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19"/>
  <workbookPr saveExternalLinkValues="0"/>
  <mc:AlternateContent xmlns:mc="http://schemas.openxmlformats.org/markup-compatibility/2006">
    <mc:Choice Requires="x15">
      <x15ac:absPath xmlns:x15ac="http://schemas.microsoft.com/office/spreadsheetml/2010/11/ac" url="D:\working\waccache\MR1PEPF00000EA9\EXCELCNV\13803113-99dd-4458-acd2-db146100df38\"/>
    </mc:Choice>
  </mc:AlternateContent>
  <xr:revisionPtr revIDLastSave="1" documentId="8_{A9E8450A-6BE2-4B74-9327-285D0F2729DF}" xr6:coauthVersionLast="47" xr6:coauthVersionMax="47" xr10:uidLastSave="{11A37150-AE7E-426C-93BA-120F16402E59}"/>
  <bookViews>
    <workbookView xWindow="-60" yWindow="-60" windowWidth="15480" windowHeight="11640" tabRatio="621" firstSheet="7" activeTab="7"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factoring_transaction" sheetId="47" r:id="rId12"/>
    <sheet name="bank_guarantee_transaction" sheetId="42" r:id="rId13"/>
    <sheet name="bills_promissory_notes_transact" sheetId="41" r:id="rId14"/>
    <sheet name="current_account_transaction" sheetId="46" r:id="rId15"/>
    <sheet name="incomesaving_acc_transaction" sheetId="45" r:id="rId16"/>
    <sheet name="debit_card_account_transaction" sheetId="48" r:id="rId17"/>
    <sheet name="prepaid_account_transaction" sheetId="50" r:id="rId18"/>
    <sheet name="credit_card_account_plan_trans" sheetId="49" r:id="rId19"/>
    <sheet name="saving_account_transaction" sheetId="51" r:id="rId20"/>
    <sheet name="loan_transaction" sheetId="53" r:id="rId21"/>
    <sheet name="loan_account_transaction" sheetId="52" r:id="rId22"/>
    <sheet name="nostrovostro_account_transactio" sheetId="54" r:id="rId23"/>
    <sheet name="trade_finance_transaction" sheetId="55" r:id="rId24"/>
    <sheet name="leasing_transaction" sheetId="56" r:id="rId25"/>
    <sheet name="internal_account_transaction" sheetId="57" r:id="rId26"/>
  </sheets>
  <externalReferences>
    <externalReference r:id="rId27"/>
    <externalReference r:id="rId28"/>
    <externalReference r:id="rId29"/>
    <externalReference r:id="rId30"/>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2" hidden="1">bank_guarantee_transaction!$B$29:$F$29</definedName>
    <definedName name="_xlnm._FilterDatabase" localSheetId="18" hidden="1">bank_guarantee_transaction!$B$29:$F$29</definedName>
    <definedName name="_xlnm._FilterDatabase" localSheetId="14" hidden="1">bank_guarantee_transaction!$B$29:$F$29</definedName>
    <definedName name="_xlnm._FilterDatabase" localSheetId="16" hidden="1">bank_guarantee_transaction!$B$29:$F$29</definedName>
    <definedName name="_xlnm._FilterDatabase" localSheetId="11" hidden="1">bank_guarantee_transaction!$B$29:$F$29</definedName>
    <definedName name="_xlnm._FilterDatabase" localSheetId="15" hidden="1">bank_guarantee_transaction!$B$29:$F$29</definedName>
    <definedName name="_xlnm._FilterDatabase" localSheetId="24" hidden="1">bank_guarantee_transaction!$B$29:$F$29</definedName>
    <definedName name="_xlnm._FilterDatabase" localSheetId="25" hidden="1">bank_guarantee_transaction!$B$29:$F$29</definedName>
    <definedName name="_xlnm._FilterDatabase" localSheetId="21" hidden="1">bank_guarantee_transaction!$B$29:$F$29</definedName>
    <definedName name="_xlnm._FilterDatabase" localSheetId="20" hidden="1">bank_guarantee_transaction!$B$29:$F$29</definedName>
    <definedName name="_xlnm._FilterDatabase" localSheetId="22" hidden="1">bank_guarantee_transaction!$B$29:$F$29</definedName>
    <definedName name="_xlnm._FilterDatabase" localSheetId="17" hidden="1">bank_guarantee_transaction!$B$29:$F$29</definedName>
    <definedName name="_xlnm._FilterDatabase" localSheetId="19" hidden="1">bank_guarantee_transaction!$B$29:$F$29</definedName>
    <definedName name="_xlnm._FilterDatabase" localSheetId="23"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7" l="1" a="1"/>
  <c r="G8" i="57"/>
  <c r="G8" i="56" a="1"/>
  <c r="G8" i="56"/>
  <c r="I25" i="57" a="1"/>
  <c r="G9" i="57" s="1" a="1"/>
  <c r="G9" i="57" s="1"/>
  <c r="I25" i="57"/>
  <c r="G19" i="57" s="1" a="1"/>
  <c r="G19" i="57" s="1"/>
  <c r="I24" i="57" a="1"/>
  <c r="I24" i="57"/>
  <c r="G20" i="57" s="1" a="1"/>
  <c r="G20" i="57" s="1"/>
  <c r="G21" i="57" a="1"/>
  <c r="G21" i="57" s="1"/>
  <c r="I25" i="56" a="1"/>
  <c r="G9" i="56" s="1" a="1"/>
  <c r="G9" i="56" s="1"/>
  <c r="I25" i="56"/>
  <c r="G19" i="56" s="1" a="1"/>
  <c r="G19" i="56" s="1"/>
  <c r="I24" i="56" a="1"/>
  <c r="I24" i="56"/>
  <c r="G8" i="55" a="1"/>
  <c r="G8" i="55"/>
  <c r="G20" i="56" a="1"/>
  <c r="G20" i="56" s="1"/>
  <c r="G21" i="56" a="1"/>
  <c r="G21" i="56" s="1"/>
  <c r="G8" i="54" a="1"/>
  <c r="G8" i="54"/>
  <c r="G8" i="52" a="1"/>
  <c r="G8" i="52"/>
  <c r="I24" i="52" a="1"/>
  <c r="I24" i="52"/>
  <c r="G8" i="53" a="1"/>
  <c r="G8" i="53"/>
  <c r="G8" i="45" a="1"/>
  <c r="G8" i="45"/>
  <c r="G8" i="42" a="1"/>
  <c r="G8" i="42"/>
  <c r="G8" i="41" a="1"/>
  <c r="G8" i="41"/>
  <c r="I25" i="55" a="1"/>
  <c r="G9" i="55" s="1" a="1"/>
  <c r="G9" i="55" s="1"/>
  <c r="I25" i="55"/>
  <c r="G19" i="55" s="1" a="1"/>
  <c r="G19" i="55" s="1"/>
  <c r="I24" i="55" a="1"/>
  <c r="I24" i="55"/>
  <c r="G20" i="55" s="1" a="1"/>
  <c r="G20" i="55" s="1"/>
  <c r="I25" i="54" a="1"/>
  <c r="G9" i="54" s="1" a="1"/>
  <c r="G9" i="54" s="1"/>
  <c r="I25" i="54"/>
  <c r="G19" i="54" s="1" a="1"/>
  <c r="G19" i="54" s="1"/>
  <c r="I24" i="54" a="1"/>
  <c r="I24" i="54"/>
  <c r="G20" i="54" s="1" a="1"/>
  <c r="G20" i="54" s="1"/>
  <c r="I25" i="52" a="1"/>
  <c r="G9" i="52" s="1" a="1"/>
  <c r="G9" i="52" s="1"/>
  <c r="I25" i="52"/>
  <c r="G19" i="52" s="1" a="1"/>
  <c r="G19" i="52" s="1"/>
  <c r="G20" i="52" a="1"/>
  <c r="G20" i="52" s="1"/>
  <c r="I25" i="53" a="1"/>
  <c r="I24" i="53" a="1"/>
  <c r="I24" i="53" s="1"/>
  <c r="G20" i="53" a="1"/>
  <c r="G20" i="53" s="1"/>
  <c r="G8" i="51" a="1"/>
  <c r="G8" i="51"/>
  <c r="I25" i="51" a="1"/>
  <c r="G9" i="51" s="1" a="1"/>
  <c r="G9" i="51" s="1"/>
  <c r="I25" i="51"/>
  <c r="G19" i="51" s="1" a="1"/>
  <c r="G19" i="51" s="1"/>
  <c r="I24" i="51" a="1"/>
  <c r="I24" i="51"/>
  <c r="G8" i="48" a="1"/>
  <c r="G8" i="48"/>
  <c r="G20" i="51" a="1"/>
  <c r="G20" i="51" s="1"/>
  <c r="I24" i="49" a="1"/>
  <c r="I24" i="49"/>
  <c r="G8" i="49" a="1"/>
  <c r="G8" i="49"/>
  <c r="I25" i="49" a="1"/>
  <c r="G9" i="49" s="1" a="1"/>
  <c r="G9" i="49" s="1"/>
  <c r="I25" i="49"/>
  <c r="G19" i="49" s="1" a="1"/>
  <c r="G19" i="49" s="1"/>
  <c r="G8" i="50" a="1"/>
  <c r="G8" i="50"/>
  <c r="G20" i="49" a="1"/>
  <c r="G20" i="49" s="1"/>
  <c r="I25" i="50" a="1"/>
  <c r="I25" i="50"/>
  <c r="I24" i="50" a="1"/>
  <c r="I24" i="50"/>
  <c r="G20" i="50" a="1"/>
  <c r="G20" i="50" s="1"/>
  <c r="I25" i="48" a="1"/>
  <c r="G9" i="48" s="1" a="1"/>
  <c r="G9" i="48" s="1"/>
  <c r="I25" i="48"/>
  <c r="G19" i="48" s="1" a="1"/>
  <c r="G19" i="48" s="1"/>
  <c r="I24" i="48" a="1"/>
  <c r="I24" i="48"/>
  <c r="G20" i="48" s="1" a="1"/>
  <c r="G20" i="48" s="1"/>
  <c r="I24" i="42" a="1"/>
  <c r="I24" i="42"/>
  <c r="G8" i="47" a="1"/>
  <c r="G8" i="47"/>
  <c r="I24" i="41" a="1"/>
  <c r="I24" i="41"/>
  <c r="G20" i="41" s="1" a="1"/>
  <c r="G20" i="41" s="1"/>
  <c r="G20" i="42" a="1"/>
  <c r="G20" i="42" s="1"/>
  <c r="I24" i="47" a="1"/>
  <c r="I24" i="47"/>
  <c r="G20" i="47" s="1" a="1"/>
  <c r="G20" i="47" s="1"/>
  <c r="I24" i="45" a="1"/>
  <c r="I24" i="45"/>
  <c r="G20" i="45" s="1" a="1"/>
  <c r="G20" i="45" s="1"/>
  <c r="I25" i="47" a="1"/>
  <c r="G9" i="47" s="1" a="1"/>
  <c r="G9" i="47" s="1"/>
  <c r="I25" i="47"/>
  <c r="G19" i="47" s="1" a="1"/>
  <c r="G19" i="47" s="1"/>
  <c r="I25" i="46" a="1"/>
  <c r="I25" i="46"/>
  <c r="G19" i="46" s="1" a="1"/>
  <c r="G19" i="46" s="1"/>
  <c r="I24" i="46" a="1"/>
  <c r="I24" i="46"/>
  <c r="G20" i="46" s="1" a="1"/>
  <c r="G20" i="46" s="1"/>
  <c r="I25" i="41" a="1"/>
  <c r="G9" i="41" s="1" a="1"/>
  <c r="G9" i="41" s="1"/>
  <c r="I25" i="41"/>
  <c r="G19" i="41" s="1" a="1"/>
  <c r="G19" i="41" s="1"/>
  <c r="I25" i="42" a="1"/>
  <c r="G9" i="42" s="1" a="1"/>
  <c r="G9" i="42" s="1"/>
  <c r="I25" i="42"/>
  <c r="G19" i="42" s="1" a="1"/>
  <c r="G19" i="42" s="1"/>
  <c r="I25" i="45" a="1"/>
  <c r="G9" i="45" s="1" a="1"/>
  <c r="G9" i="45" s="1"/>
  <c r="I25" i="45"/>
  <c r="G19" i="45" s="1" a="1"/>
  <c r="G19" i="45" s="1"/>
  <c r="H54" i="28"/>
  <c r="I25" i="53" l="1"/>
  <c r="G19" i="53" s="1" a="1"/>
  <c r="G19" i="53" s="1"/>
  <c r="G9" i="53" a="1"/>
  <c r="G9" i="53" s="1"/>
  <c r="G21" i="53" s="1" a="1"/>
  <c r="G21" i="53" s="1"/>
  <c r="G21" i="45" a="1"/>
  <c r="G21" i="45" s="1"/>
  <c r="G21" i="54" a="1"/>
  <c r="G21" i="54" s="1"/>
  <c r="G21" i="55" a="1"/>
  <c r="G21" i="55" s="1"/>
  <c r="G21" i="52" a="1"/>
  <c r="G21" i="52" s="1"/>
  <c r="G21" i="51" a="1"/>
  <c r="G21" i="51" s="1"/>
  <c r="G19" i="50" a="1"/>
  <c r="G19" i="50" s="1"/>
  <c r="G9" i="50" a="1"/>
  <c r="G9" i="50" s="1"/>
  <c r="G21" i="49" a="1"/>
  <c r="G21" i="49" s="1"/>
  <c r="G21" i="50" a="1"/>
  <c r="G21" i="50" s="1"/>
  <c r="G21" i="48" a="1"/>
  <c r="G21" i="48" s="1"/>
  <c r="G21" i="42" a="1"/>
  <c r="G21" i="42" s="1"/>
  <c r="G21" i="41" a="1"/>
  <c r="G21" i="41" s="1"/>
  <c r="G21" i="47" a="1"/>
  <c r="G21" i="47" s="1"/>
  <c r="G21" i="46" a="1"/>
  <c r="G21" i="46"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<sst xmlns="http://schemas.openxmlformats.org/spreadsheetml/2006/main" count="13368" uniqueCount="2809">
  <si>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</si>
  <si>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</si>
  <si>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</si>
  <si>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</si>
  <si>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</si>
  <si>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</si>
  <si>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</si>
  <si>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</si>
  <si>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</si>
  <si>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</si>
  <si>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</si>
  <si>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</si>
  <si>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</si>
  <si>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</si>
  <si>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</si>
  <si>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</si>
  <si>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</si>
  <si>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</si>
  <si>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</si>
  <si>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</si>
  <si>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</si>
  <si>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</si>
  <si>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</si>
  <si>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</si>
  <si>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</si>
  <si>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</si>
  <si>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</si>
  <si>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</si>
  <si>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</si>
  <si>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</si>
  <si>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</si>
  <si>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</si>
  <si>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</si>
  <si>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</si>
  <si>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</si>
  <si>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</si>
  <si>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</si>
  <si>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</si>
  <si>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</si>
  <si>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</si>
  <si>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</si>
  <si>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</si>
  <si>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</si>
  <si>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</si>
  <si>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</si>
  <si>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</si>
  <si>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</si>
  <si>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</si>
  <si>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</si>
  <si>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</si>
  <si>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</si>
  <si>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</si>
  <si>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</si>
  <si>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</si>
  <si>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</si>
  <si>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</si>
  <si>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</si>
  <si>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</si>
  <si>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</si>
  <si>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</si>
  <si>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</si>
  <si>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</si>
  <si>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</si>
  <si>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</si>
  <si>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</si>
  <si>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</si>
  <si>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</si>
  <si>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</si>
  <si>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</si>
  <si>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</si>
  <si>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</si>
  <si>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</si>
  <si>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</si>
  <si>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</si>
  <si>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</si>
  <si>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</si>
  <si>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</si>
  <si>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</si>
  <si>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</si>
  <si>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</si>
  <si>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</si>
  <si>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</si>
  <si>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</si>
  <si>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</si>
  <si>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</si>
  <si>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</si>
  <si>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</si>
  <si>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</si>
  <si>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</si>
  <si>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</si>
  <si>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</si>
  <si>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</si>
  <si>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</si>
  <si>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</si>
  <si>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</si>
  <si>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</si>
  <si>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</si>
  <si>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</si>
  <si>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</si>
  <si>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</si>
  <si>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</si>
  <si>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</si>
  <si>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</si>
  <si>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</si>
  <si>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</si>
  <si>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</si>
  <si>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</si>
  <si>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</si>
  <si>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</si>
  <si>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</si>
  <si>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</si>
  <si>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</si>
  <si>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</si>
  <si>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</si>
  <si>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</si>
  <si>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</si>
  <si>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</si>
  <si>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</si>
  <si>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</si>
  <si>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</si>
  <si>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</si>
  <si>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</si>
  <si>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</si>
  <si>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</si>
  <si>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</si>
  <si>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</si>
  <si>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</si>
  <si>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</si>
  <si>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</si>
  <si>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</si>
  <si>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</si>
  <si>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</si>
  <si>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</si>
  <si>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</si>
  <si>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</si>
  <si>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</si>
  <si>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</si>
  <si>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</si>
  <si>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</si>
  <si>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</si>
  <si>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</si>
  <si>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</si>
  <si>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</si>
  <si>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</si>
  <si>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</si>
  <si>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</si>
  <si>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</si>
  <si>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</si>
  <si>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</si>
  <si>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</si>
  <si>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</si>
  <si>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</si>
  <si>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</si>
  <si>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</si>
  <si>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</si>
  <si>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</si>
  <si>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</si>
  <si>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</si>
  <si>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</si>
  <si>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</si>
  <si>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</si>
  <si>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</si>
  <si>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</si>
  <si>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</si>
  <si>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</si>
  <si>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</si>
  <si>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</si>
  <si>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</si>
  <si>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</si>
  <si>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</si>
  <si>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</si>
  <si>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</si>
  <si>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</si>
  <si>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</si>
  <si>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</si>
  <si>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</si>
  <si>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</si>
  <si>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</si>
  <si>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</si>
  <si>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</si>
  <si>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</si>
  <si>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</si>
  <si>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</si>
  <si>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</si>
  <si>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</si>
  <si>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</si>
  <si>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</si>
  <si>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</si>
  <si>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</si>
  <si>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</si>
  <si>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</si>
  <si>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</si>
  <si>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</si>
  <si>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</si>
  <si>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</si>
  <si>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</si>
  <si>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</si>
  <si>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</si>
  <si>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</si>
  <si>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</si>
  <si>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</si>
  <si>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</si>
  <si>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</si>
  <si>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</si>
  <si>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</si>
  <si>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</si>
  <si>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</si>
  <si>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</si>
  <si>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</si>
  <si>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</si>
  <si>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</si>
  <si>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</si>
  <si>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</si>
  <si>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</si>
  <si>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</si>
  <si>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</si>
  <si>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</si>
  <si>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</si>
  <si>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</si>
  <si>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</si>
  <si>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</si>
  <si>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</si>
  <si>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</si>
  <si>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</si>
  <si>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</si>
  <si>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</si>
  <si>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</si>
  <si>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</si>
  <si>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</si>
  <si>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</si>
  <si>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</si>
  <si>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</si>
  <si>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</si>
  <si>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</si>
  <si>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</si>
  <si>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</si>
  <si>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</si>
  <si>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</si>
  <si>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</si>
  <si>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</si>
  <si>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</si>
  <si>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</si>
  <si>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</si>
  <si>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</si>
  <si>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</si>
  <si>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</si>
  <si>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</si>
  <si>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</si>
  <si>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</si>
  <si>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</si>
  <si>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</si>
  <si>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</si>
  <si>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</si>
  <si>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</si>
  <si>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</si>
  <si>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</si>
  <si>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</si>
  <si>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</si>
  <si>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</si>
  <si>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</si>
  <si>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</si>
  <si>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</si>
  <si>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</si>
  <si>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</si>
  <si>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</si>
  <si>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</si>
  <si>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</si>
  <si>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</si>
  <si>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</si>
  <si>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</si>
  <si>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</si>
  <si>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</si>
  <si>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</si>
  <si>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</si>
  <si>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</si>
  <si>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</si>
  <si>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</si>
  <si>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</si>
  <si>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</si>
  <si>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</si>
  <si>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</si>
  <si>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</si>
  <si>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</si>
  <si>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</si>
  <si>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</si>
  <si>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</si>
  <si>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</si>
  <si>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</si>
  <si>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</si>
  <si>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</si>
  <si>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</si>
  <si>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</si>
  <si>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</si>
  <si>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</si>
  <si>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</si>
  <si>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</si>
  <si>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</si>
  <si>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</si>
  <si>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</si>
  <si>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</si>
  <si>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</si>
  <si>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</si>
  <si>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</si>
  <si>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</si>
  <si>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</si>
  <si>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</si>
  <si>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</si>
  <si>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</si>
  <si>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</si>
  <si>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</si>
  <si>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</si>
  <si>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</si>
  <si>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</si>
  <si>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</si>
  <si>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</si>
  <si>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</si>
  <si>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</si>
  <si>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</si>
  <si>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</si>
  <si>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</si>
  <si>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</si>
  <si>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</si>
  <si>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</si>
  <si>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</si>
  <si>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</si>
  <si>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</si>
  <si>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</si>
  <si>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</si>
  <si>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</si>
  <si>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</si>
  <si>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</si>
  <si>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</si>
  <si>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</si>
  <si>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</si>
  <si>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</si>
  <si>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</si>
  <si>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</si>
  <si>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</si>
  <si>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</si>
  <si>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</si>
  <si>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</si>
  <si>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</si>
  <si>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</si>
  <si>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</si>
  <si>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</si>
  <si>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</si>
  <si>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</si>
  <si>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</si>
  <si>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</si>
  <si>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</si>
  <si>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</si>
  <si>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</si>
  <si>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</si>
  <si>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</si>
  <si>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</si>
  <si>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</si>
  <si>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</si>
  <si>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</si>
  <si>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</si>
  <si>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</si>
  <si>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</si>
  <si>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</si>
  <si>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</si>
  <si>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</si>
  <si>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</si>
  <si>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</si>
  <si>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</si>
  <si>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</si>
  <si>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</si>
  <si>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</si>
  <si>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</si>
  <si>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</si>
  <si>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</si>
  <si>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</si>
  <si>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</si>
  <si>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</si>
  <si>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</si>
  <si>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</si>
  <si>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</si>
  <si>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</si>
  <si>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</si>
  <si>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</si>
  <si>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</si>
  <si>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</si>
  <si>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</si>
  <si>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</si>
  <si>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</si>
  <si>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</si>
  <si>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</si>
  <si>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</si>
  <si>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</si>
  <si>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</si>
  <si>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</si>
  <si>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</si>
  <si>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</si>
  <si>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</si>
  <si>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</si>
  <si>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</si>
  <si>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</si>
  <si>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</si>
  <si>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</si>
  <si>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</si>
  <si>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</si>
  <si>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</si>
  <si>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</si>
  <si>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</si>
  <si>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</si>
  <si>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</si>
  <si>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</si>
  <si>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</si>
  <si>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</si>
  <si>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</si>
  <si>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</si>
  <si>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</si>
  <si>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</si>
  <si>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</si>
  <si>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</si>
  <si>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</si>
  <si>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</si>
  <si>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</si>
  <si>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</si>
  <si>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</si>
  <si>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</si>
  <si>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</si>
  <si>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</si>
  <si>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</si>
  <si>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</si>
  <si>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</si>
  <si>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</si>
  <si>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</si>
  <si>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</si>
  <si>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</si>
  <si>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</si>
  <si>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</si>
  <si>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</si>
  <si>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</si>
  <si>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</si>
  <si>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</si>
  <si>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</si>
  <si>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</si>
  <si>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</si>
  <si>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</si>
  <si>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</si>
  <si>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</si>
  <si>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</si>
  <si>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</si>
  <si>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</si>
  <si>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</si>
  <si>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</si>
  <si>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</si>
  <si>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</si>
  <si>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</si>
  <si>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</si>
  <si>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</si>
  <si>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</si>
  <si>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</si>
  <si>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</si>
  <si>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</si>
  <si>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</si>
  <si>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</si>
  <si>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</si>
  <si>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</si>
  <si>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</si>
  <si>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</si>
  <si>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</si>
  <si>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</si>
  <si>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</si>
  <si>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</si>
  <si>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</si>
  <si>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</si>
  <si>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</si>
  <si>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</si>
  <si>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</si>
  <si>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</si>
  <si>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</si>
  <si>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</si>
  <si>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</si>
  <si>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</si>
  <si>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</si>
  <si>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</si>
  <si>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</si>
  <si>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</si>
  <si>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</si>
  <si>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</si>
  <si>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</si>
  <si>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</si>
  <si>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</si>
  <si>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</si>
  <si>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</si>
  <si>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</si>
  <si>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</si>
  <si>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</si>
  <si>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</si>
  <si>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</si>
  <si>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</si>
  <si>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</si>
  <si>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</si>
  <si>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</si>
  <si>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</si>
  <si>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</si>
  <si>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</si>
  <si>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</si>
  <si>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</si>
  <si>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</si>
  <si>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</si>
  <si>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</si>
  <si>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</si>
  <si>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</si>
  <si>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</si>
  <si>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</si>
  <si>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</si>
  <si>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</si>
  <si>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</si>
  <si>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</si>
  <si>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</si>
  <si>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</si>
  <si>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</si>
  <si>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</si>
  <si>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</si>
  <si>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</si>
  <si>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</si>
  <si>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</si>
  <si>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</si>
  <si>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</si>
  <si>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</si>
  <si>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</si>
  <si>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</si>
  <si>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</si>
  <si>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</si>
  <si>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</si>
  <si>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</si>
  <si>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</si>
  <si>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</si>
  <si>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</si>
  <si>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</si>
  <si>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</si>
  <si>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</si>
  <si>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</si>
  <si>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</si>
  <si>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</si>
  <si>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</si>
  <si>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</si>
  <si>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</si>
  <si>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</si>
  <si>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</si>
  <si>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</si>
  <si>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</si>
  <si>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</si>
  <si>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</si>
  <si>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</si>
  <si>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</si>
  <si>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</si>
  <si>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</si>
  <si>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</si>
  <si>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</si>
  <si>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</si>
  <si>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</si>
  <si>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</si>
  <si>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</si>
  <si>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</si>
  <si>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</si>
  <si>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</si>
  <si>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</si>
  <si>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</si>
  <si>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</si>
  <si>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</si>
  <si>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</si>
  <si>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</si>
  <si>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</si>
  <si>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</si>
  <si>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</si>
  <si>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</si>
  <si>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</si>
  <si>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</si>
  <si>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</si>
  <si>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</si>
  <si>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</si>
  <si>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</si>
  <si>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</si>
  <si>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</si>
  <si>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</si>
  <si>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</si>
  <si>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</si>
  <si>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</si>
  <si>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</si>
  <si>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</si>
  <si>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</si>
  <si>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</si>
  <si>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</si>
  <si>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</si>
  <si>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</si>
  <si>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</si>
  <si>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</si>
  <si>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</si>
  <si>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</si>
  <si>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</si>
  <si>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</si>
  <si>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</si>
  <si>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</si>
  <si>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</si>
  <si>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</si>
  <si>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</si>
  <si>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</si>
  <si>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</si>
  <si>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</si>
  <si>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</si>
  <si>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</si>
  <si>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</si>
  <si>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</si>
  <si>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</si>
  <si>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</si>
  <si>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</si>
  <si>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</si>
  <si>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</si>
  <si>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</si>
  <si>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</si>
  <si>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</si>
  <si>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</si>
  <si>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</si>
  <si>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</si>
  <si>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</si>
  <si>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</si>
  <si>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</si>
  <si>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</si>
  <si>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</si>
  <si>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</si>
  <si>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</si>
  <si>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</si>
  <si>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</si>
  <si>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</si>
  <si>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</si>
  <si>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</si>
  <si>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</si>
  <si>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</si>
  <si>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</si>
  <si>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</si>
  <si>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</si>
  <si>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</si>
  <si>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</si>
  <si>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</si>
  <si>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</si>
  <si>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</si>
  <si>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</si>
  <si>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</si>
  <si>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</si>
  <si>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</si>
  <si>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</si>
  <si>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</si>
  <si>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</si>
  <si>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</si>
  <si>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</si>
  <si>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</si>
  <si>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</si>
  <si>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and processes transactions information.</t>
  </si>
  <si>
    <t>common_contracts_creditcards</t>
  </si>
  <si>
    <t>credit_card_contract_transaction</t>
  </si>
  <si>
    <t>Contains the credit card contracts' transactions information.</t>
  </si>
  <si>
    <t>common_contracts_currentaccounts</t>
  </si>
  <si>
    <t>current_account_transaction</t>
  </si>
  <si>
    <t>Contains the current account contracts' transactions information.</t>
  </si>
  <si>
    <t>common_contracts_debitcards</t>
  </si>
  <si>
    <t>debit_card_account_transaction</t>
  </si>
  <si>
    <t>Contains the debit card account's transactions information.</t>
  </si>
  <si>
    <t>common_contracts_factoring</t>
  </si>
  <si>
    <t>factoring_transaction</t>
  </si>
  <si>
    <t>Contains the factoring contracts and processes' transactions information.</t>
  </si>
  <si>
    <t>common_contracts_incomesavingaccounts</t>
  </si>
  <si>
    <t>incomesaving_account_transaction</t>
  </si>
  <si>
    <t>Contains the income saving account contracts' transactions information.</t>
  </si>
  <si>
    <t>common_contracts_internalaccounts</t>
  </si>
  <si>
    <t>internal_account_transaction</t>
  </si>
  <si>
    <t>Contains the internal account contracts' transactions information.</t>
  </si>
  <si>
    <t>common_contracts_leasing</t>
  </si>
  <si>
    <t>leasing_transaction</t>
  </si>
  <si>
    <t>Contains the leasing contracts' transactions information.</t>
  </si>
  <si>
    <t>common_contracts_loanaccounts</t>
  </si>
  <si>
    <t>loan_account_transaction</t>
  </si>
  <si>
    <t>Contains the loan account contracts' transactions information.</t>
  </si>
  <si>
    <t>common_contracts_loans</t>
  </si>
  <si>
    <t>loan_transaction</t>
  </si>
  <si>
    <t>Contains the loan contracts' transactions information.</t>
  </si>
  <si>
    <t>common_contracts_nostrovostroaccounts</t>
  </si>
  <si>
    <t>nostrovostro_account_transaction</t>
  </si>
  <si>
    <t>Contains the nostro vostro account contracts' transactions information.</t>
  </si>
  <si>
    <t>common_contracts_prepaidcards</t>
  </si>
  <si>
    <t>prepaid_card_account_transaction</t>
  </si>
  <si>
    <t>Contains the prepaid card account's transactions information.</t>
  </si>
  <si>
    <t>common_contracts_savingsaccounts</t>
  </si>
  <si>
    <t>saving_account_transaction</t>
  </si>
  <si>
    <t>Contains the saving account contracts' transactions information.</t>
  </si>
  <si>
    <t>common_contracts_tradefinance</t>
  </si>
  <si>
    <t>trade_finance_transaction</t>
  </si>
  <si>
    <t>Contains the trade finance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</si>
  <si>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</si>
  <si>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</si>
  <si>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</si>
  <si>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</si>
  <si>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</si>
  <si>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</si>
  <si>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</si>
  <si>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</si>
  <si>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</si>
  <si>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</si>
  <si>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</si>
  <si>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</si>
  <si>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</si>
  <si>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</si>
  <si>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</si>
  <si>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</si>
  <si>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</si>
  <si>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</si>
  <si>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</si>
  <si>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</si>
  <si>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</si>
  <si>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</si>
  <si>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</si>
  <si>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</si>
  <si>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</si>
  <si>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</si>
  <si>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</si>
  <si>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</si>
  <si>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</si>
  <si>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</si>
  <si>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</si>
  <si>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</si>
  <si>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</si>
  <si>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</si>
  <si>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</si>
  <si>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Guarantees Transaction</t>
  </si>
  <si>
    <t>Bank ID</t>
  </si>
  <si>
    <t>bank_id</t>
  </si>
  <si>
    <t>Key - ID</t>
  </si>
  <si>
    <t>STRING</t>
  </si>
  <si>
    <t>Internal Santander's bank identifier (previously known as CEMPRESA).</t>
  </si>
  <si>
    <t>Código identificador do banco interno do Santander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</si>
  <si>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</si>
  <si>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</si>
  <si>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</si>
  <si>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OPERATIONS_COMMON_REFERENCEDATA_CORE
OPERATIONS_COMMON_REFERENCEDATA_CORE</t>
  </si>
  <si>
    <t>BG_OPERACION
BG_CONTR_BATCH
MOVIMENTOS_CONSOLIDADOS
INTERFACE_DCT01
TCT72_MOVCTA
TCT09_OPERCN
CONF_GENERAL_CODE_CONVERTER
CONF_LITIGATION_PRODUCT</t>
  </si>
  <si>
    <t>N\A
N\A
N\A
N\A
N\A
N\A
CDM_VALUE
N\A</t>
  </si>
  <si>
    <r>
      <rPr>
        <b/>
        <sz val="11"/>
        <color rgb="FF000000"/>
        <rFont val="Calibri"/>
        <scheme val="minor"/>
      </rPr>
      <t>SELECT</t>
    </r>
    <r>
      <rPr>
        <sz val="11"/>
        <color rgb="FF000000"/>
        <rFont val="Calibri"/>
        <scheme val="minor"/>
      </rPr>
      <t xml:space="preserve"> CONF_GENERAL_CONVERTER.TARGET_VALUE
</t>
    </r>
    <r>
      <rPr>
        <b/>
        <sz val="11"/>
        <color rgb="FF000000"/>
        <rFont val="Calibri"/>
        <scheme val="minor"/>
      </rPr>
      <t>WHERE</t>
    </r>
    <r>
      <rPr>
        <sz val="11"/>
        <color rgb="FF000000"/>
        <rFont val="Calibri"/>
        <scheme val="minor"/>
      </rPr>
      <t xml:space="preserve"> CONF_GENERAL_CONVERTER.TARGET_FIELD = 'bank_id' AND CONF_GENERAL_CONVERTER.SOURCE_CODE = 'BG' AND CONF_GENERAL_CONVERTER.SOURCE_VALUE = '' AND CONF_GENERAL_CONVERTER.OPTION_NUMBER = '1' 
   AND BG_CONTR_BATCH.CODSPROD != '550'
   AND SUBSTRING(BG_OPERACION.BGOP_TIMESTAM, 1, 10) &gt; SUBSTRING(LAST_DATA_DATE_PART, 1, 10) AND SUBSTRING(BG_OPERACION.BGOP_TIMESTAM, 1, 10) &lt;= SUBSTRING(LAST_DATA_DATE_PART, 11, 10) 
</t>
    </r>
    <r>
      <rPr>
        <b/>
        <sz val="11"/>
        <color rgb="FF000000"/>
        <rFont val="Calibri"/>
        <scheme val="minor"/>
      </rPr>
      <t>SELECT</t>
    </r>
    <r>
      <rPr>
        <sz val="11"/>
        <color rgb="FF000000"/>
        <rFont val="Calibri"/>
        <scheme val="minor"/>
      </rPr>
      <t xml:space="preserve"> CONF_GENERAL_CONVERTER.TARGET_VALUE
</t>
    </r>
    <r>
      <rPr>
        <b/>
        <sz val="11"/>
        <color rgb="FF000000"/>
        <rFont val="Calibri"/>
        <scheme val="minor"/>
      </rPr>
      <t>WHERE</t>
    </r>
    <r>
      <rPr>
        <sz val="11"/>
        <color rgb="FF000000"/>
        <rFont val="Calibri"/>
        <scheme val="minor"/>
      </rPr>
      <t xml:space="preserve"> CONF_GENERAL_CONVERTER.TARGET_FIELD = 'bank_id' AND CONF_GENERAL_CONVERTER.SOURCE_CODE = 'DC' AND CONF_GENERAL_CONVERTER.SOURCE_VALUE = '' AND CONF_GENERAL_CONVERTER.OPTION_NUMBER = '1'
   AND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CONF_GENERAL_CONVERTER.TARGET_VALUE
</t>
    </r>
    <r>
      <rPr>
        <b/>
        <sz val="11"/>
        <color rgb="FF000000"/>
        <rFont val="Calibri"/>
        <scheme val="minor"/>
      </rPr>
      <t xml:space="preserve">WHERE </t>
    </r>
    <r>
      <rPr>
        <sz val="11"/>
        <color rgb="FF000000"/>
        <rFont val="Calibri"/>
        <scheme val="minor"/>
      </rPr>
      <t>TCT72_MOVCTA.DDIAOP &gt; SUBSTRING(LAST_DATA_DATE_PART, 1, 10) AND TCT72_MOVCTA.DDIAOP &lt;= SUBSTRING(LAST_DATA_DATE_PART, 11, 10) 
   AND GENERAL_CONVERTER.TARGET_FIELD = 'bank_id' AND GENERAL_CONVERTER.SOURCE_CODE = 'BG' AND GENERAL_CONVERTER.SOURCE_VALUE = '' AND CONF_GENERAL_CONVERTER.OPTION_NUMBER = '1' 
   AND TCT09_OPERCN.CKPRODUT = CONF_LITIGATION_PRODUCT.SOURCE_PRODUCT_ID AND TCT09_OPERCN.CKSUBPRO = CONF_LITIGATION_PRODUCT.SOURCE_SUBPRODUCT_ID AND CONF_LITIGATION_PRODUCT.SOURCE_CODE = 'BG'</t>
    </r>
  </si>
  <si>
    <t>BG - Garantias Prestadas
DC - Contas a Vista
TC - Terminal Contencioso</t>
  </si>
  <si>
    <t>N\A
N\A
N\A</t>
  </si>
  <si>
    <t>"31"
"31"
"31"</t>
  </si>
  <si>
    <t>Bills and Promissory Note Transaction</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</si>
  <si>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</si>
  <si>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</si>
  <si>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OPERATIONS_COMMON_REFERENCEDATA_CORE</t>
  </si>
  <si>
    <t>EFT08_CONTAB_EFT 
EFT02_CRTEFT
TCT72_MOVCTA
TCT09_OPERCN
CONF_GENERAL_CODE_CONVERTER</t>
  </si>
  <si>
    <t>N\A
N\A
N\A
N\A
TARGET_VALUE</t>
  </si>
  <si>
    <r>
      <rPr>
        <b/>
        <sz val="11"/>
        <color rgb="FF000000"/>
        <rFont val="Calibri"/>
        <scheme val="minor"/>
      </rPr>
      <t xml:space="preserve">SELECT </t>
    </r>
    <r>
      <rPr>
        <sz val="11"/>
        <color rgb="FF000000"/>
        <rFont val="Calibri"/>
        <scheme val="minor"/>
      </rPr>
      <t xml:space="preserve">CONF_GENERAL_CONVERTER.TARGET_VALUE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AND CONF_GENERAL_CONVERTER.TARGET_FIELD = 'bank_id' AND CONF_GENERAL_CONVERTER.SOURCE_CODE = 'EF' AND CONF_GENERAL_CONVERTER.SOURCE_VALUE = ''  AND CONF_GENERAL_CONVERTER.OPTION_NUMBER = '1'
</t>
    </r>
    <r>
      <rPr>
        <b/>
        <sz val="11"/>
        <color rgb="FF000000"/>
        <rFont val="Calibri"/>
        <scheme val="minor"/>
      </rPr>
      <t xml:space="preserve">SELECT </t>
    </r>
    <r>
      <rPr>
        <sz val="11"/>
        <color rgb="FF000000"/>
        <rFont val="Calibri"/>
        <scheme val="minor"/>
      </rPr>
      <t xml:space="preserve">CONF_GENERAL_CONVERTER.TARGET_VALUE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
    AND GENERAL_CONVERTER.TARGET_FIELD = 'bank_id' AND CONF_GENERAL_CONVERTER.SOURCE_CODE = 'EF' AND CONF_GENERAL_CONVERTER.SOURCE_VALUE = ''  AND CONF_GENERAL_CONVERTER.OPTION_NUMBER = '1'</t>
    </r>
  </si>
  <si>
    <t>EF - Efeitos
TC - Terminal Contencioso</t>
  </si>
  <si>
    <t>N\A
N\A</t>
  </si>
  <si>
    <t>"31"
"31"</t>
  </si>
  <si>
    <t>Credit Card Contract Transaction</t>
  </si>
  <si>
    <t>Ext Inf - Con Inf - ID</t>
  </si>
  <si>
    <t>Transactions - General
Transactions - General
Transactions - General
Transactions - Cards</t>
  </si>
  <si>
    <t>Contract ID
Contract Number
Transaction ID
Transaction ID</t>
  </si>
  <si>
    <t>CURATED_INTERNAL_MAINFRAME_CARTOES
CURATED_INTERNAL_MAINFRAME_CARTOES
CURATED_INTERNAL_MAINFRAME_CARTOES
CURATED_INTERNAL_MAINFRAME_CONTAS
CURATED_INTERNAL_MAINFRAME_CONTAS
CURATED_INTERNAL_MAINFRAME_CONTENCIOSO
CURATED_INTERNAL_MAINFRAME_CONTENCIOSO
OPERATIONS_COMMON_REFERENCEDATA_CORE
OPERATIONS_COMMON_REFERENCEDATA_CORE</t>
  </si>
  <si>
    <t>CRT12_TBMOVEXT_NEW
CRT90_TBMOVDEB_NEW
CRT07_TBCTATAR
MOVIMENTOS_CONSOLIDADOS
INTERFACE_DCT01
TCT72_MOVCTA
TCT09_OPERCN
CONF_GENERAL_CODE_CONVERTER
CONF_LITIGATION_PRODUCT</t>
  </si>
  <si>
    <t>N\A
N\A
N\A
N\A
N\A
N\A
N\A
CDM_VALUE
N\A</t>
  </si>
  <si>
    <t>SELECT CONF_GENERAL_CODE_CONVERTER.CDM_VALUE
WHERE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SELECT CONF_GENERAL_CODE_CONVERTER.CDM_VALUE
WHERE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SELECT CONF_GENERAL_CODE_CONVERTER.CDM_VALUE
WHERE CONF_LITIGATION_PRODUCT.SOURCE_CODE = 'CR' AND CONF_LITIGATION_PRODUCT.PRODUCT_ID = INTERFACE_DCT01.DCYR8101_CKPRODUT AND CONF_LITIGATION_PRODUCT.SUBPRODUCT_ID = INTERFACE_DCT01.DCYR8101_CKSUBPRO
    AND CONF_GENERAL_CODE_CONVERTER.CODE CATEGORY = 'bank_id' AND CONF_GENERAL_CODE_CONVERTER.SOURCE_CODE = 'DC' AND CONF_GENERAL_CODE_CONVERTER.SOURCE_VALUE = '' AND CONF_GENERAL_CODE_CONVERTER.PRIORITY_LEVEL = '1'
SELECT CONF_GENERAL_CODE_CONVERTER.CDM_VALUE
WHERE ( ( CONF_LITIGATION_PRODUCT.SOURCE_CODE = 'CR' AND CONF_LITIGATION_PRODUCT.PRODUCT_ID = TCT09_OPERCN.CKPRODUT AND CONF_LITIGATION_PRODUCT.SUBPRODUCT_ID = TCT09_OPERCN.CKSUBPRO )
        OR  CRT07_TBCTATAR.CKBALCAO IS NOT NULL )
    AND CONF_GENERAL_CODE_CONVERTER.CODE CATEGORY = 'bank_id' AND CONF_GENERAL_CODE_CONVERTER.SOURCE_CODE = 'TC' AND CONF_GENERAL_CODE_CONVERTER.SOURCE_VALUE = '' AND CONF_GENERAL_CODE_CONVERTER.PRIORITY_LEVEL = '1'
    AND TCT72_MOVCTA.DDIAOP &gt; SUBSTRING(LAST_DATA_DATE_PART, 1, 10) AND TCT72_MOVCTA.DDIAOP &lt;= SUBSTRING(LAST_DATA_DATE_PART, 11, 10)</t>
  </si>
  <si>
    <t>CR - Cartões
CR - Cartões
DC - Contas a Vista
TC - Contencioso</t>
  </si>
  <si>
    <t>N\A
N\A
N\A
N\A</t>
  </si>
  <si>
    <t>"31"
"31"
"31"
"31"</t>
  </si>
  <si>
    <t>Current Account Transaction</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</si>
  <si>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</si>
  <si>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</si>
  <si>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
OPERATIONS_COMMON_REFERENCEDATA_CORE</t>
  </si>
  <si>
    <t>MOVIMENTOS_CONSOLIDADOS
INTERFACE_DCT01
TCT72_MOVCTA
TCT09_OPERCN
CONF_GENERAL_CODE_CONVERTER</t>
  </si>
  <si>
    <t>N\A
N\A
N\A
N\A
CDM_VALUE</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</si>
  <si>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INTERFACE_DCT01.DCYR8101_CFAMILIA IN ( 'ME', 'MN'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INTERFACE_DCT01.DCYR8101_CFAMILIA IN ( 'ME', 'MN' )
    AND CONF_GENERAL_CODE_CONVERTER.CODE CATEGORY = 'bank_id' AND CONF_GENERAL_CODE_CONVERTER.SOURCE_CODE = 'TC' AND CONF_GENERAL_CODE_CONVERTER.SOURCE_VALUE = '' AND CONF_GENERAL_CODE_CONVERTER.PRIORITY_LEVEL = '1'
    AND TCT72_MOVCTA.DDIAOP &gt; SUBSTRING(LAST_DATA_DATE_PART, 1, 10) AND TCT72_MOVCTA.DDIAOP &lt;= SUBSTRING(LAST_DATA_DATE_PART, 11, 10)</t>
    </r>
  </si>
  <si>
    <t>DC - Contas a Vista
TC - Terminal Contencioso</t>
  </si>
  <si>
    <t>N\A
NA\</t>
  </si>
  <si>
    <t>Debit Card Account Transaction</t>
  </si>
  <si>
    <t>CURATED_INTERNAL_MAINFRAME_CARTOES
CURATED_INTERNAL_MAINFRAME_CARTOES
CURATED_INTERNAL_MAINFRAME_ESTRUTURAIS
OPERATIONS_COMMON_REFERENCEDATA_CORE</t>
  </si>
  <si>
    <t>CRT90_TBMOVDEB_NEW
CRT07_TBCTATAR
TAT91_TABELAS
CONF_GENERAL_CODE_CONVERTER</t>
  </si>
  <si>
    <t>N\A
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</si>
  <si>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</si>
  <si>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CR - Cartões</t>
  </si>
  <si>
    <t>N\A</t>
  </si>
  <si>
    <t>"31"</t>
  </si>
  <si>
    <t>Factoring 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</si>
  <si>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</si>
  <si>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</si>
  <si>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t>
  </si>
  <si>
    <t>EUR_MOVICCOR
EUR_PROCESSO
EUR_CREDITO
MOVIMENTOS_CONSOLIDADOS
INTERFACE_DCT01
TCT72_MOVCTA
TCT09_OPERCN
CONF_GENERAL_CODE_CONVERTER
CONF_LITIGATION_PRODUCT</t>
  </si>
  <si>
    <r>
      <rPr>
        <b/>
        <sz val="11"/>
        <color rgb="FF000000"/>
        <rFont val="Calibri"/>
        <scheme val="minor"/>
      </rPr>
      <t>SELECT</t>
    </r>
    <r>
      <rPr>
        <sz val="11"/>
        <color rgb="FF000000"/>
        <rFont val="Calibri"/>
        <scheme val="minor"/>
      </rPr>
      <t xml:space="preserve"> CASE
      WHEN LEN( EUR_MOVICCOR.MCC_NRORIG01 ) = 13 AND SUBSTRING( EUR_MOVICCOR.MCC_NRORIG01, 1, 2 ) = '15' THEN ''
      WHEN LEN( EUR_MOVICCOR.MCC_NRORIG02 ) = 13 AND SUBSTRING( EUR_MOVICCOR.MCC_NRORIG02, 1, 2 ) = '15' THEN ''
      WHEN LEN( EUR_MOVICCOR.MCC_NRORIG03 ) = 13 AND SUBSTRING( EUR_MOVICCOR.MCC_NRORIG03, 1, 2 ) = '15' THEN ''
      ELSE '#N/A'
</t>
    </r>
    <r>
      <rPr>
        <b/>
        <sz val="11"/>
        <color rgb="FF000000"/>
        <rFont val="Calibri"/>
        <scheme val="minor"/>
      </rPr>
      <t>WHERE</t>
    </r>
    <r>
      <rPr>
        <sz val="11"/>
        <color rgb="FF000000"/>
        <rFont val="Calibri"/>
        <scheme val="minor"/>
      </rPr>
      <t xml:space="preserve"> CONF_GENERAL_CONVERTER.CODE CATEGORY = 'bank_id' AND CONF_GENERAL_CONVERTER.SOURCE_CODE = 'FA' AND ( GENERAL_CONVERTER.SOURCE_VALUE = '' AND GENERAL_CONVERTER.SOURCE_VALUE = '#N/A' )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GENERAL_CONVERTER.SOURCE_CODE = 'DC' AND CONF_GENERAL_CONVERTER.SOURCE_VALUE = '' AND CONF_GENERAL_CONVERTER.PRIORITY_LEVEL = '1' 
    AND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'TC' AND CONF_GENERAL_CONVERTER.SOURCE_VALUE = ''
    AND CONF_LITIGATION_PRODUCT.SOURCE_PRODUCT_ID = INTERFACE_DCT01.DCYR8101_CKPRODUT AND CONF_LITIGATION_PRODUCT.SOURCE_SUBPRODUCT_ID = INTERFACE_DCT01.DCYR8101_CKSUBPRO AND CONF_LITIGATION_PRODUCT.SOURCE_CODE = 'FA'
</t>
    </r>
  </si>
  <si>
    <t>FA - Factoring Eurofac
DC - Contas a Vista
TC - Terminal Contencioso</t>
  </si>
  <si>
    <t>N\A || N\A
N\A
N\A</t>
  </si>
  <si>
    <t>"89" || "#N/A"
"31"
"31"</t>
  </si>
  <si>
    <t>Income Saving Account Transaction</t>
  </si>
  <si>
    <t>CURATED_INTERNAL_MAINFRAME_CONTAS
CURATED_INTERNAL_MAINFRAME_CONTAS
OPERATIONS_COMMON_REFERENCEDATA_CORE</t>
  </si>
  <si>
    <t>MOVIMENTOS_CONSOLIDADOS
INTERFACE_DCT01
CONF_GENERAL_CODE_CONVERTER</t>
  </si>
  <si>
    <t>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</si>
  <si>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INTERFACE_DCT01.DCYR8101_CFAMILIA = 'CR' 
    AND CONF_GENERAL_CODE_CONVERTER.CODE CATEGORY = 'bank_id' AND CONF_GENERAL_CODE_CONVERTER.SOURCE_CODE = 'DC' AND CONF_GENERAL_CODE_CONVERTER.SOURCE_VALUE = '' AND CONF_GENERAL_CODE_CONVERTER.PRIORITY_LEVEL = '1'</t>
    </r>
  </si>
  <si>
    <t>DC - Contas a Vista</t>
  </si>
  <si>
    <t>Internal Account Transaction</t>
  </si>
  <si>
    <t>CURATED_INTERNAL_MAINFRAME_CONTAS
CURATED_INTERNAL_MAINFRAME_CONTAS
OPERATIONS_COMMON_REFERENCEDATA_CORE
OPERATIONS_COMMON_REFERENCEDATA_CORE</t>
  </si>
  <si>
    <t>MOVIMENTOS_CONSOLIDADOS
INTERFACE_DCT01
CONF_GENERAL_CODE_CONVERTER
CONF_LITIGATION_PRODUCT</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</si>
  <si>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</si>
  <si>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INTERFACE_DCT01.DCYR8101_CFAMILIA IN ('IN', 'NC' )
    AND CONF_LITIGATION_PRODUCT.PRODUCT_ID IS NULL
    AND CONF_GENERAL_CODE_CONVERTER.CODE CATEGORY = 'bank_id' AND CONF_GENERAL_CODE_CONVERTER.SOURCE_CODE = 'DC' AND CONF_GENERAL_CODE_CONVERTER.SOURCE_VALUE = '' AND CONF_GENERAL_CODE_CONVERTER.PRIORITY_LEVEL = '1'</t>
    </r>
  </si>
  <si>
    <t>Leasing Transaction</t>
  </si>
  <si>
    <t>Transactions - General
Transactions - General</t>
  </si>
  <si>
    <t>Contract ID
Contract Number</t>
  </si>
  <si>
    <t>CURATED_INTERNAL_MAINFRAME_LEASE
OPERATIONS_COMMON_REFERENCEDATA_CORE</t>
  </si>
  <si>
    <t>TRANSACTIONS
CONF_TRANSACTION_TYPE_CONVERTER</t>
  </si>
  <si>
    <t>CEMPRESA
CDM_VALUE</t>
  </si>
  <si>
    <r>
      <rPr>
        <b/>
        <sz val="11"/>
        <color rgb="FF000000"/>
        <rFont val="Calibri"/>
        <scheme val="minor"/>
      </rPr>
      <t>SELECT</t>
    </r>
    <r>
      <rPr>
        <sz val="11"/>
        <color rgb="FF000000"/>
        <rFont val="Calibri"/>
        <scheme val="minor"/>
      </rPr>
      <t xml:space="preserve"> CONF_TRANSACTION_TYPE_CONVERTER.CDM_VALUE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CONF_GENERAL_CONVERTER.CODE CATEGORY = 'bank_id' AND CONF_GENERAL_CONVERTER.SOURCE_CODE = 'LG' AND CONF_GENERAL_CONVERTER.SOURCE_VALUE = TRANSACTIONS.CEMPRESA AND CONF_GENERAL_CONVERTER.PRIORITY_LEVEL = '1'</t>
    </r>
  </si>
  <si>
    <t>LG - Lease</t>
  </si>
  <si>
    <t>L_MCD_TRANSACTIONS ( SQL Procedure )</t>
  </si>
  <si>
    <t>Loan Account Transaction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</si>
  <si>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INTERFACE_DCT01.DCYR8101_CFAMILIA IN ( 'CC'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INTERFACE_DCT01.DCYR8101_CFAMILIA IN ( 'CC' )
    AND CONF_GENERAL_CODE_CONVERTER.CODE CATEGORY = 'bank_id' AND CONF_GENERAL_CODE_CONVERTER.SOURCE_CODE = 'TC' AND CONF_GENERAL_CODE_CONVERTER.SOURCE_VALUE = '' AND CONF_GENERAL_CODE_CONVERTER.PRIORITY_LEVEL = '1'
    AND TCT72_MOVCTA.DDIAOP &gt; SUBSTRING(LAST_DATA_DATE_PART, 1, 10) AND TCT72_MOVCTA.DDIAOP &lt;= SUBSTRING(LAST_DATA_DATE_PART, 11, 10)</t>
    </r>
  </si>
  <si>
    <t>Loan Transaction</t>
  </si>
  <si>
    <t>Transactions - General
Transactions - General
Transactions - General
Transactions - Loans
Transactions - Loans
Transactions - Loans</t>
  </si>
  <si>
    <t>Contract ID
Contract Number
Transaction ID
Loan Number
Loan Number
Transaction ID</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</si>
  <si>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OPERATIONS_COMMON_REFERENCEDATA_CORE</t>
  </si>
  <si>
    <t>EPT07_MOVCTA
EPT01_CONTAS
CONTBACH_PRESTM
EH_DET_REC_COB
EH_OPER_CONTR
EH_REL_REC_OPER
TCT72_MOVCTA
TCT09_OPERCN
CONF_GENERAL_CODE_CONVERTER</t>
  </si>
  <si>
    <t>N\A
N\A
N\A
N\A
N\A 
N\A
N\A
N\A
CDM_VALUE</t>
  </si>
  <si>
    <r>
      <rPr>
        <b/>
        <sz val="11"/>
        <color rgb="FF000000"/>
        <rFont val="Calibri"/>
      </rPr>
      <t xml:space="preserve">SELECT </t>
    </r>
    <r>
      <rPr>
        <sz val="11"/>
        <color rgb="FF000000"/>
        <rFont val="Calibri"/>
      </rPr>
      <t xml:space="preserve">CONF_GENERAL_CODE_CONVERTER.CDM_VALUE
</t>
    </r>
    <r>
      <rPr>
        <b/>
        <sz val="11"/>
        <color rgb="FF000000"/>
        <rFont val="Calibri"/>
      </rPr>
      <t xml:space="preserve">WHERE </t>
    </r>
    <r>
      <rPr>
        <sz val="11"/>
        <color rgb="FF000000"/>
        <rFont val="Calibri"/>
      </rPr>
      <t xml:space="preserve">EPT01_CONTAS.CSITCTA != 'EH'
    AND CONF_GENERAL_CODE_CONVERTER.CODE CATEGORY = 'bank_id' AND CONF_GENERAL_CODE_CONVERTER.SOURCE_CODE = 'EP' AND CONF_GENERAL_CODE_CONVERTER.SOURCE_VALUE = '' 
    AND SUBSTRING( EPT07_MOVCTA.HTIMEST, 1, 10 ) &gt; SUBSTRING( LAST_DATA_DATE_PART, 1, 10 ) AND SUBSTRING( EPT07_MOVCTA.HTIMEST, 1, 10 ) &lt;= SUBSTRING( LAST_DATA_DATE_PART, 11, 10 )
</t>
    </r>
    <r>
      <rPr>
        <b/>
        <sz val="11"/>
        <color rgb="FF000000"/>
        <rFont val="Calibri"/>
      </rPr>
      <t xml:space="preserve">
SELECT</t>
    </r>
    <r>
      <rPr>
        <sz val="11"/>
        <color rgb="FF000000"/>
        <rFont val="Calibri"/>
      </rPr>
      <t xml:space="preserve"> CONF_GENERAL_CODE_CONVERTER.CDM_VALUE
</t>
    </r>
    <r>
      <rPr>
        <b/>
        <sz val="11"/>
        <color rgb="FF000000"/>
        <rFont val="Calibri"/>
      </rPr>
      <t>WHERE</t>
    </r>
    <r>
      <rPr>
        <sz val="11"/>
        <color rgb="FF000000"/>
        <rFont val="Calibri"/>
      </rPr>
      <t xml:space="preserve"> CONF_GENERAL_CODE_CONVERTER.CODE CATEGORY = 'bank_id' AND CONF_GENERAL_CODE_CONVERTER.SOURCE_CODE = 'EP' AND CONF_GENERAL_CODE_CONVERTER.SOURCE_VALUE = ''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CONF_GENERAL_CODE_CONVERTER.CDM_VALUE
</t>
    </r>
    <r>
      <rPr>
        <b/>
        <sz val="11"/>
        <color rgb="FF000000"/>
        <rFont val="Calibri"/>
      </rPr>
      <t>WHERE</t>
    </r>
    <r>
      <rPr>
        <sz val="11"/>
        <color rgb="FF000000"/>
        <rFont val="Calibri"/>
      </rPr>
      <t xml:space="preserve"> CONF_GENERAL_CODE_CONVERTER.CODE CATEGORY = 'bank_id' AND CONF_GENERAL_CODE_CONVERTER.SOURCE_CODE = 'EP' AND CONF_GENERAL_CODE_CONVERTER.SOURCE_VALUE = ''
    AND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CONF_GENERAL_CODE_CONVERTER.CDM_VALUE
</t>
    </r>
    <r>
      <rPr>
        <b/>
        <sz val="11"/>
        <color rgb="FF000000"/>
        <rFont val="Calibri"/>
      </rPr>
      <t>WHERE</t>
    </r>
    <r>
      <rPr>
        <sz val="11"/>
        <color rgb="FF000000"/>
        <rFont val="Calibri"/>
      </rPr>
      <t xml:space="preserve"> CONF_GENERAL_CODE_CONVERTER.CODE CATEGORY = 'bank_id' AND CONF_GENERAL_CODE_CONVERTER.SOURCE_CODE = 'TC' AND CONF_GENERAL_CODE_CONVERTER.SOURCE_VALUE = ''
    AND TCT72_MOVCTA.DDIAOP &gt; SUBSTRING( LAST_DATA_DATE_PART, 1, 10 ) AND TCT72_MOVCTA.DDIAOP &lt;= SUBSTRING( LAST_DATA_DATE_PART, 11, 10 )</t>
    </r>
  </si>
  <si>
    <t>EP - Empréstimos
EH - Empréstimos
TC - Terminal Contencioso</t>
  </si>
  <si>
    <t>Nostro Vostro Account Transaction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</si>
  <si>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INTERFACE_DCT01.DCYR8101_CFAMILIA IN ( 'NT' )
    AND CONF_GENERAL_CODE_CONVERTER.CODE CATEGORY = 'bank_id' AND CONF_GENERAL_CODE_CONVERTER.SOURCE_CODE = 'DC'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INTERFACE_DCT01.DCYR8101_CFAMILIA IN ( 'NT' )
    AND CONF_GENERAL_CODE_CONVERTER.CODE CATEGORY = 'bank_id' AND CONF_GENERAL_CODE_CONVERTER.SOURCE_CODE = 'TC' AND CONF_GENERAL_CODE_CONVERTER.SOURCE_VALUE = '' AND CONF_GENERAL_CODE_CONVERTER.PRIORITY_LEVEL = '1'
    AND TCT72_MOVCTA.DDIAOP &gt; SUBSTRING(LAST_DATA_DATE_PART, 1, 10) AND TCT72_MOVCTA.DDIAOP &lt;= SUBSTRING(LAST_DATA_DATE_PART, 11, 10)</t>
    </r>
  </si>
  <si>
    <t>Pre-Paid Card Account Transaction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</si>
  <si>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CONF_GENERAL_CODE_CONVERTER.CODE CATEGORY = 'bank_id' AND CONF_GENERAL_CODE_CONVERTER.SOURCE_CODE = 'CR' AND CONF_GENERAL_CODE_CONVERTER.SOURCE_VALUE = '' AND CONF_GENERAL_CODE_CONVERTER.PRIORITY_LEVEL = '1'</t>
    </r>
  </si>
  <si>
    <t>Saving Account Transaction</t>
  </si>
  <si>
    <t>Transactions - General
Transactions - General
Transactions - Deposits</t>
  </si>
  <si>
    <t>Contract ID
Contract Number
Deposit Number</t>
  </si>
  <si>
    <t>CURATED_INTERNAL_MAINFRAME_DEPOSITOSPRAZO
CURATED_INTERNAL_MAINFRAME_DEPOSITOSPRAZO
OPERATIONS_COMMON_REFERENCEDATA_CORE</t>
  </si>
  <si>
    <t>DP_DPYR0550_DEPOSITOS
DP_DPYR0580_MOVIMENTOS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</si>
  <si>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CONF_GENERAL_CODE_CONVERTER.CODE CATEGORY = 'bank_id' AND CONF_GENERAL_CODE_CONVERTER.SOURCE_CODE = 'DP' AND CONF_GENERAL_CODE_CONVERTER.SOURCE_VALUE = '' AND CONF_GENERAL_CODE_CONVERTER.PRIORITY_LEVEL = '1'</t>
    </r>
  </si>
  <si>
    <t>DP - Contas a Prazo</t>
  </si>
  <si>
    <t>Trade Finance Transaction</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</si>
  <si>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t>
  </si>
  <si>
    <t>EST55_RDIMOV
EST54_REMIMP
EST78_REMEXP
EST79_RDEMOV
EST85_CREIMP
EST86_CDIMOV
EST85_CREIMP
EST86_CDIMOV
EST89_CREEXP
EST90_CDEMOV
MOVIMENTOS_CONSOLIDADOS
INTERFACE_DCT01
TCT72_MOVCTA
TCT09_OPERCN
CONF_GENERAL_CODE_CONVERTER
CONF_LITIGATION_PRODUCT</t>
  </si>
  <si>
    <t>N\A
N\A
N\A
N\A
N\A
N\A
N\A
N\A
N\A
N\A
N\A
N\A
N\A
N\A
CDM_VALUE
N\A</t>
  </si>
  <si>
    <t>SELECT CONF_GENERAL_CONVERTER.CDM_VALUE
WHERE SUBSTRING(EST55_RDIMOV.HTIMEST, 1, 10) &gt; SUBSTRING(LAST_DATA_DATE_PART, 1, 10) AND SUBSTRING(EST55_RDIMOV.HTIMEST, 1, 10) &lt;= SUBSTRING(LAST_DATA_DATE_PART, 11, 10)
      AND CONF_GENERAL_CODE_CONVERTER.SOURCE_CODE = 'RM' AND CONF_GENERAL_CODE_CONVERTER.CODE_CATEGORY = 'bank_id' AND CONF_GENERAL_CODE_CONVERTER.SOURCE_VALUE = '' AND CONF_GENERAL_CODE_CONVERTER.PRIORITY_LEVEL = 1
SELECT CONF_GENERAL_CONVERTER.CDM_VALUE
WHERE SUBSTRING(EST79_RDEMOV.HTIMEST, 1, 10) &gt; SUBSTRING(LAST_DATA_DATE_PART, 1, 10) AND SUBSTRING(EST79_RDEMOV.HTIMEST, 1, 10) &lt;= SUBSTRING(LAST_DATA_DATE_PART, 11, 10)
      AND CONF_GENERAL_CODE_CONVERTER.SOURCE_CODE = 'RX' AND CONF_GENERAL_CODE_CONVERTER.CODE_CATEGORY = 'bank_id' AND CONF_GENERAL_CODE_CONVERTER.SOURCE_VALUE = '' AND CONF_GENERAL_CODE_CONVERTER.PRIORITY_LEVEL = 1
SELECT CONF_GENERAL_CONVERTER.CDM_VALUE
WHERE SUBSTRING(EST86_CDIMOV.HTIMEST, 1, 10) &gt; SUBSTRING(LAST_DATA_DATE_PART, 1, 10) AND SUBSTRING(EST86_CDIMOV.HTIMEST, 1, 10) &lt;= SUBSTRING(LAST_DATA_DATE_PART, 11, 10)
    AND NOT( EST85_CREIMP.CKPRODUT = '038' AND EST85_CREIMP.CKSUBPRO IN ( '002', '003')
    AND CONF_GENERAL_CODE_CONVERTER.SOURCE_CODE = 'MC' AND CONF_GENERAL_CODE_CONVERTER.CODE_CATEGORY = 'bank_id' AND CONF_GENERAL_CODE_CONVERTER.SOURCE_VALUE = '' AND CONF_GENERAL_CODE_CONVERTER.PRIORITY_LEVEL = 1
SELECT CONF_GENERAL_CONVERTER.CDM_VALUE
WHERE SUBSTRING(EST90_CDEMOV.HTIMEST, 1, 10) &gt; SUBSTRING(LAST_DATA_DATE_PART, 1, 10) AND SUBSTRING(EST90_CDEMOV.HTIMEST, 1, 10) &lt;= SUBSTRING(LAST_DATA_DATE_PART, 11, 10)
      AND CONF_GENERAL_CODE_CONVERTER.SOURCE_CODE = 'XC' AND CONF_GENERAL_CODE_CONVERTER.CODE_CATEGORY = 'bank_id' AND CONF_GENERAL_CODE_CONVERTER.SOURCE_VALUE = '' AND CONF_GENERAL_CODE_CONVERTER.PRIORITY_LEVEL = 1
SELECT CONF_GENERAL_CONVERTER.CDM_VALUE
WHERE SUBSTRING(EST86_CDIMOV.HTIMEST, 1, 10) &gt; SUBSTRING(LAST_DATA_DATE_PART, 1, 10) AND SUBSTRING(EST86_CDIMOV.HTIMEST, 1, 10) &lt;= SUBSTRING(LAST_DATA_DATE_PART, 11, 10)
    AND ( EST85_CREIMP.CKPRODUT = '038' AND EST85_CREIMP.CKSUBPRO IN ( '002', '003')
    AND CONF_GENERAL_CODE_CONVERTER.SOURCE_CODE = 'MC' AND CONF_GENERAL_CODE_CONVERTER.CODE_CATEGORY = 'bank_id' AND CONF_GENERAL_CODE_CONVERTER.SOURCE_VALUE = '' AND CONF_GENERAL_CODE_CONVERTER.PRIORITY_LEVEL = 1
SELECT CONF_GENERAL_CONVERTER.CDM_VALUE
WHERE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
SELECT CONF_GENERAL_CONVERTER.CDM_VALUE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'TC' AND CONF_GENERAL_CONVERTER.SOURCE_VALUE = '' AND CONF_GENERAL_CONVERTER.PRIORITY_LEVEL = '1'</t>
  </si>
  <si>
    <t>RM - Estrangeiro
RX - Estrangeiro
MC - Estrangeiro
XC - Estrangeiro
DC - Contas a Vista
TC - Terminal Contencioso</t>
  </si>
  <si>
    <t>N\A
N\A
N\A
N\A
N\A
N\A</t>
  </si>
  <si>
    <t>"31"
"31"
"31"
"31"
"31"
"31"</t>
  </si>
  <si>
    <t>Contract ID</t>
  </si>
  <si>
    <t>contract_id</t>
  </si>
  <si>
    <t>Identifier of the contract associated with the transaction.</t>
  </si>
  <si>
    <t>Identificador do contrato associado à transação.</t>
  </si>
  <si>
    <t>CURATED_INTERNAL_MAINFRAME_AVALES
CURATED_INTERNAL_MAINFRAME_AVALES
CURATED_INTERNAL_MAINFRAME_CONTAS
CURATED_INTERNAL_MAINFRAME_CONTAS
CURATED_INTERNAL_MAINFRAME_CONTENCIOSO
CURATED_INTERNAL_MAINFRAME_CONTENCIOSO
CURATED_INTERNAL_MAINFRAME_ESTRUTURAIS
OPERATIONS_COMMON_REFERENCEDATA_CORE</t>
  </si>
  <si>
    <t>BG_OPERACION
BG_CONTR_BATCH
MOVIMENTOS_CONSOLIDADOS
INTERFACE_DCT01
TCT72_MOVCTA
TCT09_OPERCN
COINT_CTOLOC_P
CONF_LITIGATION_PRODUCT</t>
  </si>
  <si>
    <t>N\A
N\A
DCYR9750_CKBALCAO, DCYR9750_CKNUMCTA
N\A
CKBALCAO, CKNUMCTA
N\A
E2616_IDCENT_L, E2616_IDCONT_L
N\A</t>
  </si>
  <si>
    <r>
      <rPr>
        <b/>
        <sz val="11"/>
        <color rgb="FF000000"/>
        <rFont val="Calibri"/>
        <scheme val="minor"/>
      </rPr>
      <t>SELECT</t>
    </r>
    <r>
      <rPr>
        <sz val="11"/>
        <color rgb="FF000000"/>
        <rFont val="Calibri"/>
        <scheme val="minor"/>
      </rPr>
      <t xml:space="preserve"> CONCAT( "000000000000000" ,COINT_CTOLOC_P.E2616_IDCENT_L, COINT_CTOLOC_P.E2616_IDCONT_L)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CONCAT( MOVIMENTOS_CONSOLIDADOS.DCYR9750_CKBALCAO, MOVIMENTOS_CONSOLIDADOS.DCYR9750_CKNUMCTA, '000000000000000' )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CONCAT( TCT72_MOVCTA.CKBALCAO, TCT72_MOVCTA.CKNUMCTA, "000000000000000" )
</t>
    </r>
    <r>
      <rPr>
        <b/>
        <sz val="11"/>
        <color rgb="FF000000"/>
        <rFont val="Calibri"/>
        <scheme val="minor"/>
      </rPr>
      <t>WHERE</t>
    </r>
    <r>
      <rPr>
        <sz val="11"/>
        <color rgb="FF000000"/>
        <rFont val="Calibri"/>
        <scheme val="minor"/>
      </rPr>
      <t xml:space="preserve"> TCT72_MOVCTA.DDIAOP &gt;= TCT72_MOVCTA.DATA_DATE_PART
   AND TCT09_OPERCN.CKPRODUT = CONF_LITIGATION_PRODUCT.SOURCE_PRODUCT_ID AND TCT09_OPERCN.CKSUBPRO = CONF_LITIGATION_PRODUCT.SOURCE_SUBPRODUCT_ID AND CONF_LITIGATION_PRODUCT.SOURCE_CODE = 'BG'</t>
    </r>
  </si>
  <si>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</si>
  <si>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</si>
  <si>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</si>
  <si>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</si>
  <si>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</si>
  <si>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</si>
  <si>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r>
      <rPr>
        <b/>
        <sz val="11"/>
        <color rgb="FF000000"/>
        <rFont val="Calibri"/>
        <scheme val="minor"/>
      </rPr>
      <t xml:space="preserve">SELECT </t>
    </r>
    <r>
      <rPr>
        <sz val="11"/>
        <color rgb="FF000000"/>
        <rFont val="Calibri"/>
        <scheme val="minor"/>
      </rPr>
      <t xml:space="preserve">CONCAT( EFT08_CONTAB_EFT.CKBALCAO, EFT08_CONTAB_EFT.CKNUMCTA, LPAD( SUBSTRING( EFT08_CONTAB_EFT.ZLOTEFT, 1, 8 ), 8, '0' ), LPAD( SUBSTRING( EFT08_CONTAB_EFT.ZSEQEFT, 1, 2 ), 2,'0' ), '00000'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CONCAT( TCT72_MOVCTA.CKBALCAO, TCT72_MOVCTA.CKNUMCTA, TCT72_MOVCTA.ZDEPOSIT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</si>
  <si>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EFT08_CONTAB_EFT
TCT72_MOVCTA</t>
  </si>
  <si>
    <t>CONCAT( CKBALCAO, CKNUMCTA,  ZLOTEFT(1, 8) , ZSEQEFT(1, 2), "00000" )
CONCAT ( CKBALCAO, CKNUMCTA, ZDEPOSIT )</t>
  </si>
  <si>
    <t>CURATED_INTERNAL_MAINFRAME_CARTOES
CURATED_INTERNAL_MAINFRAME_CARTOES
CURATED_INTERNAL_MAINFRAME_CARTOES
CURATED_INTERNAL_MAINFRAME_CONTAS
CURATED_INTERNAL_MAINFRAME_CONTAS
CURATED_INTERNAL_MAINFRAME_CONTENCIOSO
CURATED_INTERNAL_MAINFRAME_CONTENCIOSO
OPERATIONS_COMMON_REFERENCEDATA_CORE</t>
  </si>
  <si>
    <t>CRT12_TBMOVEXT_NEW
CRT90_TBMOVDEB_NEW
CRT07_TBCTATAR
MOVIMENTOS_CONSOLIDADOS
INTERFACE_DCT01
TCT72_MOVCTA
TCT09_OPERCN
CONF_LITIGATION_PRODUCT</t>
  </si>
  <si>
    <t>N\A
N\A
CKBALCAO, CKNUMCTA
N\A
DCYR9750_CKBALCAO, DCYR9750_CKNUMCTA
CKBALCAO, CKNUMCTA, ZDEPOSIT
N\A
N\A</t>
  </si>
  <si>
    <t>SELECT CONCAT( CRT07_TBCTATAR.CKBALCAO, CRT07_TBCTATAR.CKNUMCTA, '0000000', '0000', '0001' )
WHERE TAT91_TABELAS.TAYD91C0_CTABELA = '593' AND ( SUBSTRING( TAT91_TABELAS.TAYD91C0_NELEMC08, 1, 1 ) = '1' OR SUBSTRING( TAT91_TABELAS.TAYD91C0_NELEMC08, 1, 1 ) = '3' ) 
SELECT CONCAT( CRT07_TBCTATAR.CKBALCAO, CRT07_TBCTATAR.CKNUMCTA, '0000000', '0000', '0001' )
WHERE TAT91_TABELAS.TAYD91C0_CTABELA = '593' AND ( SUBSTRING( TAT91_TABELAS.TAYD91C0_NELEMC08, 1, 1 ) = '1' OR SUBSTRING( TAT91_TABELAS.TAYD91C0_NELEMC08, 1, 1 ) = '3' ) 
SELECT CONCAT( MOVIMENTOS_CONSOLIDADOS.DCYR9750_CKBALCAO, MOVIMENTOS_CONSOLIDADOS.DCYR9750_CKNUMCTA, '000000000000000' )
WHERE CONF_LITIGATION_PRODUCT.SOURCE_CODE = 'CR' AND CONF_LITIGATION_PRODUCT.PRODUCT_ID = INTERFACE_DCT01.DCYR8101_CKPRODUT AND CONF_LITIGATION_PRODUCT.SUBPRODUCT_ID = INTERFACE_DCT01.DCYR8101_CKSUBPRO
SELECT IF( CONF_LITIGATION_PRODUCT.SOURCE_PRODUCT_ID IS NULL,
    CONCAT( TCT72_MOVCTA.CKBALCAO, TCT72_MOVCTA.CKNUMCTA, '0000000', '0000', '0001' ),
    CONCAT( TCT72_MOVCTA.CKBALCAO, MTCT72_MOVCTA.CKNUMCTA, '000000000000000' )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</si>
  <si>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(1)CRT07_TBCTATAR [**(1)CRT07_TBCTATAR + (2)CRT09_TBTARJET]
(1)CRT07_TBCTATAR [**(1)CRT07_TBCTATAR + (2)CRT09_TBTARJET]
DCYR9750
TCT72_MOVCTA</t>
  </si>
  <si>
    <t>CONCAT ( (1)CKBALCAO, (1)CKNUMCTA, "0000000", "0000" , "0001" ) [*CONCAT ( (1)CKBALCAO, (1)CKNUMCTA, (2)PAN(8, 7), "    "), "0001" ]
CONCAT ( (1)CKBALCAO, (1)CKNUMCTA, "0000000", "0000" , "0001" ) [*CONCAT ( (1)CKBALCAO, (1)CKNUMCTA, (2)PAN(8, 7), "    "), "0001" ]
CONCAT( CKBALCAO, CKNUMCTA, "000000000000000" )
CONCAT( CKBALCAO, CKNUMCTA, "000000000000000" )</t>
  </si>
  <si>
    <t>CURATED_INTERNAL_MAINFRAME_CONTAS
CURATED_INTERNAL_MAINFRAME_CONTAS
CURATED_INTERNAL_MAINFRAME_CONTENCIOSO
CURATED_INTERNAL_MAINFRAME_CONTENCIOSO</t>
  </si>
  <si>
    <t>MOVIMENTOS_CONSOLIDADOS
INTERFACE_DCT01
TCT72_MOVCTA
TCT09_OPERCN</t>
  </si>
  <si>
    <t>DCYR9750_CKBALCAO, DCYR9750_CKNUMCTA
N\A
CKBALCAO, CKNUMCTA, ZDEPOSIT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</si>
  <si>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</si>
  <si>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DCYR9750
TCT72_MOVCTA</t>
  </si>
  <si>
    <t>CONCAT( CKBALCAO, CKNUMCTA, "000000000000000" )
CONCAT( CKBALCAO, CKNUMCTA, "000000000000000" )</t>
  </si>
  <si>
    <t>CURATED_INTERNAL_MAINFRAME_CARTOES
CURATED_INTERNAL_MAINFRAME_CARTOES
CURATED_INTERNAL_MAINFRAME_ESTRUTURAIS</t>
  </si>
  <si>
    <t>CRT90_TBMOVDEB_NEW
CRT07_TBCTATAR
TAT91_TABELAS</t>
  </si>
  <si>
    <t>N\A
CKBALCAO, CKNUMCTA
N\A</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</si>
  <si>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</si>
  <si>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CRT07_TBCTATAR</t>
  </si>
  <si>
    <t>CONCAT ( CKBALCAO, CKNUMCTA, "000000000000000" )</t>
  </si>
  <si>
    <t>CURATED_INTERNAL_EUROFAC
CURATED_INTERNAL_EUROFAC
CURATED_INTERNAL_EUROFAC
CURATED_INTERNAL_MAINFRAME_CONTAS
CURATED_INTERNAL_MAINFRAME_CONTAS
CURATED_INTERNAL_MAINFRAME_CONTENCIOSO
CURATED_INTERNAL_MAINFRAME_CONTENCIOSO
OPERATIONS_COMMON_REFERENCEDATA_CORE</t>
  </si>
  <si>
    <t>EUR_MOVICCOR
EUR_PROCESSO
EUR_CREDITO
MOVIMENTOS_CONSOLIDADOS
INTERFACE_DCT01
TCT72_MOVCTA
TCT09_OPERCN
CONF_LITIGATION_PRODUCT</t>
  </si>
  <si>
    <t>MCC_NRORIG01, MCC_NRORIG02, MCC_NRORIG03
N\A
N\A
DCYR9750_CKBALCAO, DCYR9750_CKNUMCTA
N\A
CKBALCAO,CKNUMCTA, ZDEPOSIT
N\A
N\A</t>
  </si>
  <si>
    <r>
      <rPr>
        <b/>
        <sz val="11"/>
        <color rgb="FF000000"/>
        <rFont val="Calibri"/>
        <scheme val="minor"/>
      </rPr>
      <t>SELECT</t>
    </r>
    <r>
      <rPr>
        <sz val="11"/>
        <color rgb="FF000000"/>
        <rFont val="Calibri"/>
        <scheme val="minor"/>
      </rPr>
      <t xml:space="preserve"> CASE
      WHEN LEN( EUR_MOVICCOR.MCC_NRORIG01 ) = 13 AND SUBSTRING( EUR_MOVICCOR.MCC_NRORIG01, 1, 2) = '15' THEN CONCAT( '0000', SUBSTRING( EUR_MOVICCOR.MCC_NRPROCES, 3, 11 ), '00', RPAD( EUR_MOVICCOR.MCC_NRORIG01, 13,'0' ) )
      WHEN LEN( EUR_MOVICCOR.MCC_NRORIG02 ) = 13 AND SUBSTRING( EUR_MOVICCOR.MCC_NRORIG02, 1, 2) = '15' THEN CONCAT( '0000', SUBSTRING( EUR_MOVICCOR.MCC_NRPROCES, 3, 11 ), '00', RPAD( EUR_MOVICCOR.MCC_NRORIG02, 13,'0' ) )
      WHEN LEN( EUR_MOVICCOR.MCC_NRORIG03) = 13 AND SUBSTRING( EUR_MOVICCOR.MCC_NRORIG03, 1, 2) = '15' THEN CONCAT( '0000', SUBSTRING( EUR_MOVICCOR.MCC_NRPROCES, 3, 11 ), '00', RPAD( EUR_MOVICCOR.MCC_NRORIG03, 13, '0' ) )
      ELSE '#N/A'
    END
</t>
    </r>
    <r>
      <rPr>
        <b/>
        <sz val="11"/>
        <color rgb="FF000000"/>
        <rFont val="Calibri"/>
        <scheme val="minor"/>
      </rPr>
      <t xml:space="preserve">WHERE </t>
    </r>
    <r>
      <rPr>
        <sz val="11"/>
        <color rgb="FF000000"/>
        <rFont val="Calibri"/>
        <scheme val="minor"/>
      </rPr>
      <t xml:space="preserve">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CONCAT( MOVIMENTOS_CONSOLIDADOS.DCYR9750_CKBALCAO, MOVIMENTOS_CONSOLIDADOS.DCYR9750_CKNUMCTA, '000000000000000'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 xml:space="preserve">
SELECT</t>
    </r>
    <r>
      <rPr>
        <sz val="11"/>
        <color rgb="FF000000"/>
        <rFont val="Calibri"/>
        <scheme val="minor"/>
      </rPr>
      <t xml:space="preserve"> CONCAT( TCT72_MOVCTA.CKBALCAO, TCT72_MOVCTA.CKNUMCTA, TCT72_MOVCTA.ZDEPOSIT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</si>
  <si>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 EUR_MOVICCOR || EUR_MOVICCOR || N\A
DCYR9750
TCT72_MOVCTA</t>
  </si>
  <si>
    <t>CONCAT( "0000", NRPROCES( 3, 11 ), "00", RPAD( NRORIG01, 13, '0' ) || CONCAT( "0000", NRPROCES( 3, 11 ), "00", RPAD( NRORIG02, 13, '0' ) ) || CONCAT( "0000", NRPROCES( 3, 11 ), "00", RPAD( NRORIG03, 13, '0' ) ) || N\A
CONCAT( CKBALCAO, CKNUMCTA, "000000000000000" )
CONCAT ( CKBALCAO, CKNUMCTA, ZDEPOSIT )</t>
  </si>
  <si>
    <t>N\A || N\A || N\A || "#N/A"
N\A
N\A</t>
  </si>
  <si>
    <t>CURATED_INTERNAL_MAINFRAME_CONTAS
CURATED_INTERNAL_MAINFRAME_CONTAS</t>
  </si>
  <si>
    <t>MOVIMENTOS_CONSOLIDADOS
INTERFACE_DCT01</t>
  </si>
  <si>
    <t>DCYR9750_CKBALCAO, DCYR9750_CKNUMCTA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</si>
  <si>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 'CR' </t>
    </r>
  </si>
  <si>
    <t>DCYR9750</t>
  </si>
  <si>
    <t>CONCAT( CKBALCAO, CKNUMCTA, "000000000000000" )</t>
  </si>
  <si>
    <t>MOVIMENTOS_CONSOLIDADOS
INTERFACE_DCT01
CONF_LITIGATION_PRODUCT</t>
  </si>
  <si>
    <t>DCYR9750_CKBALCAO, DCYR9750_CKNUMCTA
N\A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</si>
  <si>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INTERFACE_DCT01.DCYR8101_CFAMILIA IN ('IN', 'NC' )
    AND CONF_LITIGATION_PRODUCT.PRODUCT_ID IS NULL</t>
    </r>
  </si>
  <si>
    <t>CURATED_INTERNAL_MAINFRAME_LEASE</t>
  </si>
  <si>
    <t>TRANSACTIONS</t>
  </si>
  <si>
    <t>CKBALCAO, CKNUMCTA, ZDEPOSIT</t>
  </si>
  <si>
    <r>
      <rPr>
        <b/>
        <sz val="11"/>
        <color rgb="FF000000"/>
        <rFont val="Calibri"/>
        <scheme val="minor"/>
      </rPr>
      <t>SELECT</t>
    </r>
    <r>
      <rPr>
        <sz val="11"/>
        <color rgb="FF000000"/>
        <rFont val="Calibri"/>
        <scheme val="minor"/>
      </rPr>
      <t xml:space="preserve"> CONCAT( TRANSACTIONS.CKBALCAO, TRANSACTIONS.CKNUMCTA, TRANSACTIONS.ZDEPOSIT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</si>
  <si>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SQL Procedure +  LG - Contract Table )</t>
  </si>
  <si>
    <t>CONCAT ( CKBALCAO, CKNUMCTA, ZDEPOSIT )</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</si>
  <si>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</si>
  <si>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CURATED_INTERNAL_MAINFRAME_ESTRUTURAIS</t>
  </si>
  <si>
    <t>EPT07_MOVCTA
EPT01_CONTAS
CONTBACH_PRESTM
EH_DET_REC_COB
EH_OPER_CONTR
EH_REL_REC_OPER
TCT72_MOVCTA
TCT09_OPERCN
COINT_CTOLOC_P</t>
  </si>
  <si>
    <t>CKBALCAO, CKNUMCTA
N\A
N\A
N\A
N\A
N\A
N\A
N\A
E2616_IDCENT_L, E2616_IDCONT_L</t>
  </si>
  <si>
    <r>
      <rPr>
        <b/>
        <sz val="11"/>
        <color rgb="FF000000"/>
        <rFont val="Calibri"/>
        <scheme val="minor"/>
      </rPr>
      <t xml:space="preserve">SELECT </t>
    </r>
    <r>
      <rPr>
        <sz val="11"/>
        <color rgb="FF000000"/>
        <rFont val="Calibri"/>
        <scheme val="minor"/>
      </rPr>
      <t xml:space="preserve">CONCAT( EPT07_MOVCTA.CKBALCAO, EPT07_MOVCTA.CKNUMCTA, '000000000000000' )
</t>
    </r>
    <r>
      <rPr>
        <b/>
        <sz val="11"/>
        <color rgb="FF000000"/>
        <rFont val="Calibri"/>
        <scheme val="minor"/>
      </rPr>
      <t>WHERE</t>
    </r>
    <r>
      <rPr>
        <sz val="11"/>
        <color rgb="FF000000"/>
        <rFont val="Calibri"/>
        <scheme val="minor"/>
      </rPr>
      <t xml:space="preserve"> EPT01_CONTAS.CSITCTA != 'EH' 
    AND SUBSTRING( EPT07_MOVCTA.HTIMEST, 1, 10 ) &gt; SUBSTRING( LAST_DATA_DATE_PART, 1, 10 ) AND SUBSTRING( EPT07_MOVCTA.HTIMEST, 1, 10 ) &lt;= SUBSTRING( LAST_DATA_DATE_PART, 11, 10 )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SELECT</t>
    </r>
    <r>
      <rPr>
        <sz val="11"/>
        <color rgb="FF000000"/>
        <rFont val="Calibri"/>
        <scheme val="minor"/>
      </rPr>
      <t xml:space="preserve"> CONCAT( COINT_CTOLOC_P.E2616_IDCENT_L, COINT_CTOLOC_P.E2616_IDCONT_L, '000000000000000' )
</t>
    </r>
    <r>
      <rPr>
        <b/>
        <sz val="11"/>
        <color rgb="FF000000"/>
        <rFont val="Calibri"/>
        <scheme val="minor"/>
      </rPr>
      <t>WHERE</t>
    </r>
    <r>
      <rPr>
        <sz val="11"/>
        <color rgb="FF000000"/>
        <rFont val="Calibri"/>
        <scheme val="minor"/>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CONCAT( TCT72_MOVCTA.CKBALCAO, TCT72_MOVCTA.CKNUMCTA, TCT72_MOVCTA.ZDEPOSIT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</si>
  <si>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 - Empréstimos
EH - Empréstimos -&gt; TA - Tabelas Gerais
TC - Terminal Contencioso</t>
  </si>
  <si>
    <t>EPT07_MOVCTA 
EH_DET_REC_COB || EH_OPER_CONTR -&gt; COINT_CTOLOC_P
TCT72_MOVCTA</t>
  </si>
  <si>
    <t>CONCAT ( CKBALCAO, CKNUMCTA, "000000000000000" )
CONCAT( IDCENT, IDPROD, IDCONTR ) -&gt; CONCAT( IDCENT_L, IDCONT_L, "000000000000000" ) || CONCAT( IDCENT, IDPROD, IDCONTR ) -&gt; CONCAT( IDCENT_L, IDCONT_L, "000000000000000" )
CONCAT ( CKBALCAO, CKNUMCTA, ZDEPOSIT )</t>
  </si>
  <si>
    <t>N\A
N\A -&gt; N\A || N\A -&gt; N\A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</si>
  <si>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</si>
  <si>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TAYD91C0_CTABELA = '593' AND ( ( SUBSTRING( TAYD91C0_NELEMC08, 1, 1 ) = 2 AND ( SUBSTRING( TAYD91C0_NELEMC17, 1, 1 ) = 'N' OR SUBSTRING( TAYD91C0_NELEMC17, 1, 1 ) = 'P' ) ) OR ( SUBSTRING(TAYD91C0_NELEMC08, 1, 1 ) = 2 AND SUBSTRING( TAYD91C0_NELEMC12, 14,1 ) = 'S' ) ) </t>
    </r>
  </si>
  <si>
    <t>CONCAT ( CKBALCAO, CKNUMCTA, '000000000000000' )</t>
  </si>
  <si>
    <t>CURATED_INTERNAL_MAINFRAME_DEPOSITOSPRAZO
CURATED_INTERNAL_MAINFRAME_DEPOSITOSPRAZO</t>
  </si>
  <si>
    <t>DP_DPYR0550_DEPOSITOS
DP_DPYR0580_MOVIMENTOS</t>
  </si>
  <si>
    <t>N\A
CKBALCAO, CKNUMCTA, ZDEPOSIT</t>
  </si>
  <si>
    <r>
      <rPr>
        <b/>
        <sz val="11"/>
        <color rgb="FF000000"/>
        <rFont val="Calibri"/>
        <scheme val="minor"/>
      </rPr>
      <t xml:space="preserve">SELECT </t>
    </r>
    <r>
      <rPr>
        <sz val="11"/>
        <color rgb="FF000000"/>
        <rFont val="Calibri"/>
        <scheme val="minor"/>
      </rPr>
      <t>CONCAT( DP_DPYR0580_MOVIMENTOS.CKBALCAO, DP_DPYR0580_MOVIMENTOS.CKNUMCTA, SUBSTRING( DP_DPYR0580_MOVIMENTOS.ZDEPOSIT, 2, 6 ), '000000000' )</t>
    </r>
  </si>
  <si>
    <t>DPYR058O</t>
  </si>
  <si>
    <t>CONCAT ( CKBALCAO, CKNUMCTA, ZDEPOSIT( 2, 6 ) )</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</si>
  <si>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t>
  </si>
  <si>
    <t>EST55_RDIMOV
EST54_REMIMP
EST78_REMEXP
EST79_RDEMOV
EST85_CREIMP
EST86_CDIMOV
EST85_CREIMP
EST86_CDIMOV
EST89_CREEXP
EST90_CDEMOV
MOVIMENTOS_CONSOLIDADOS
INTERFACE_DCT01
TCT72_MOVCTA
TCT09_OPERCN
CONF_LITIGATION_PRODUCT</t>
  </si>
  <si>
    <t>CKBALCAO, CKNUMCTA, CKREFEST
N\A
N\A
CKBALCAO, CKNUMCTA, CKREFEST
N\A
CKBALCAO, CKNUMCTA, CKREFEST
N\A
CKBALCAO, CKNUMCTA, CKREFEST
N\A
CKBALCAO, CKNUMCTA, CKREFEST
DCYR9750_CKBALCAO, DCYR9750_CKNUMCTA
N\A
CKBALCAO, CKNUMCTA
N\A
N\A</t>
  </si>
  <si>
    <t xml:space="preserve">SELECT CONCAT( EST55_RDIMOV.CKBALCAO, EST55_RDIMOV.CKNUMCTA, EST55_RDIMOV.CKREFEST, '0' )
WHERE SUBSTRING(EST55_RDIMOV.HTIMEST, 1, 10) &gt; SUBSTRING(LAST_DATA_DATE_PART, 1, 10)
      AND SUBSTRING(EST55_RDIMOV.HTIMEST, 1, 10) &lt;= SUBSTRING(LAST_DATA_DATE_PART, 11, 10)
SELECT CONCAT( EST79_RDEMOV.CKBALCAO, EST79_RDEMOV.CKNUMCTA, EST79_RDEMOV.CKREFEST, '0' )
WHERE SUBSTRING(EST79_RDEMOV.HTIMEST, 1, 10) &gt; SUBSTRING(LAST_DATA_DATE_PART, 1, 10) AND SUBSTRING(EST79_RDEMOV.HTIMEST, 1, 10) &lt;= SUBSTRING(LAST_DATA_DATE_PART, 11, 10)
SELECT CONCAT( EST86_CDIMOV.CKBALCAO, EST86_CDIMOV.CKNUMCTA, EST86_CDIMOV.CKREFEST, '0' )
WHERE SUBSTRING(EST86_CDIMOV.HTIMEST, 1, 10) &gt; SUBSTRING(LAST_DATA_DATE_PART, 1, 10) AND SUBSTRING(EST86_CDIMOV.HTIMEST, 1, 10) &lt;= SUBSTRING(LAST_DATA_DATE_PART, 11, 10)
    AND NOT( EST85_CREIMP.CKPRODUT = '038' AND EST85_CREIMP.CKSUBPRO IN ( '002', '003')
SELECT CONCAT( EST86_CDIMOV.CKBALCAO, EST86_CDIMOV.CKNUMCTA, EST86_CDIMOV.CKREFEST, '9' )
WHERE SUBSTRING(EST86_CDIMOV.HTIMEST, 1, 10) &gt; SUBSTRING(LAST_DATA_DATE_PART, 1, 10) AND SUBSTRING(EST86_CDIMOV.HTIMEST, 1, 10) &lt;= SUBSTRING(LAST_DATA_DATE_PART, 11, 10)
    AND ( EST85_CREIMP.CKPRODUT = '038' AND EST85_CREIMP.CKSUBPRO IN ( '002', '003')
SELECT CONCAT( EST90_CDEMOV.CKBALCAO, EST90_CDEMOV.CKNUMCTA, EST90_CDEMOV.CKREFEST, '0' )
WHERE SUBSTRING(EST90_CDEMOV.HTIMEST, 1, 10) &gt; SUBSTRING(LAST_DATA_DATE_PART, 1, 10) AND SUBSTRING(EST90_CDEMOV.HTIMEST, 1, 10) &lt;= SUBSTRING(LAST_DATA_DATE_PART, 11, 10)
SELECT CONCAT( MOVIMENTOS_CONSOLIDADOS.DCYR9750_CKBALCAO, MOVIMENTOS_CONSOLIDADOS.DCYR9750_CKNUMCTA, '000000000000000' )
WHERE ( ( CONF_LITIGATION_PRODUCT.SOURCE_PRODUCT_ID = '029' OR CONF_LITIGATION_PRODUCT.SOURCE_PRODUCT_ID = '030' ) AND ( CONF_LITIGATION_PRODUCT.SOURCE_SUBPRODUCT_ID = '083' OR CONF_LITIGATION_PRODUCT.SOURCE_SUBPRODUCT_ID = '085' OR CONF_LITIGATION_PRODUCT.SOURCE_SUBPRODUCT_ID = '302' )
SELECT CONCAT( TCT72_MOVCTA.CKBALCAO, TCT72_MOVCTA.CKNUMCTA, '000000000000000' )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</si>
  <si>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EST55_RDIMOV
EST79_RDEMOV
EST86_CDIMOV
EST90_CDEMOV
DCYR9750
TCT72_MOVCTA</t>
  </si>
  <si>
    <t>CONCAT( CKBALCAO, CKNUMECTA, CKREFEST, "0" )
CONCAT( CKBALCAO, CKNUMECTA, CKREFEST, "0" )
CONCAT( CKBALCAO, CKNUMECTA, CKREFEST, "0" )
CONCAT( CKBALCAO, CKNUMECTA, CKREFEST,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</si>
  <si>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</si>
  <si>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</si>
  <si>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</si>
  <si>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</si>
  <si>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</si>
  <si>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Representa o nº sequencial da ordem da transação. Sendo que, no caso de garantias bancárias o contador é contabilizado por contrato. No caso das transações de contencioso, o contador é contabilizado por contrato e dá "reset" anualmente.</t>
  </si>
  <si>
    <t>Operation Order
Transaction ID</t>
  </si>
  <si>
    <t>CURATED_INTERNAL_MAINFRAME_AVALES
CURATED_INTERNAL_MAINFRAME_AVALES
CURATED_INTERNAL_MAINFRAME_CONTAS
CURATED_INTERNAL_MAINFRAME_CONTAS
CURATED_INTERNAL_MAINFRAME_CONTENCIOSO
CURATED_INTERNAL_MAINFRAME_CONTENCIOSO
OPERATIONS_COMMON_REFERENCEDATA_CORE</t>
  </si>
  <si>
    <t>BG_OPERACION
BG_CONTR_BATCH
MOVIMENTOS_CONSOLIDADOS
INTERFACE_DCT01
TCT72_MOVCTA
TCT09_OPERCN
CONF_LITIGATION_PRODUCT</t>
  </si>
  <si>
    <t>BGOP_NUMSMV 
N\A
DCYR9750_ZMOVCTA 
N\A
ZMOVCTA
N\A
N\A</t>
  </si>
  <si>
    <r>
      <rPr>
        <b/>
        <sz val="11"/>
        <color rgb="FF000000"/>
        <rFont val="Calibri"/>
        <scheme val="minor"/>
      </rPr>
      <t>SELECT</t>
    </r>
    <r>
      <rPr>
        <sz val="11"/>
        <color rgb="FF000000"/>
        <rFont val="Calibri"/>
        <scheme val="minor"/>
      </rPr>
      <t xml:space="preserve"> CAST( BG_OPERACION.BGOP_NUMSMV AS BIGINT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 MOVIMENTOS_CONSOLIDADOS.DCYR9750_ZMOVCTA AS BIGINT )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CAST( TCT72_MOVCTA.ZMOVCTA AS BIGINT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</si>
  <si>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BG_OPERACION
DCYR9750
TCT72_MOVCTA</t>
  </si>
  <si>
    <t>NUMSMV
ZMOVCTA
ZMOVCTA</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</si>
  <si>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</si>
  <si>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Representa o nº sequencial da ordem do transação. Sendo que, no caso de efeitos o contador é contabilizado por conta efeito (processo) e não por contrato. No caso das transações de contencioso, o contador é contabilizado por contrato e dá "reset" anualmente.</t>
  </si>
  <si>
    <t>ZMOVCTA
N\A
ZMOVCTA
N\A</t>
  </si>
  <si>
    <r>
      <rPr>
        <b/>
        <sz val="11"/>
        <color rgb="FF000000"/>
        <rFont val="Calibri"/>
        <scheme val="minor"/>
      </rPr>
      <t xml:space="preserve">SELECT </t>
    </r>
    <r>
      <rPr>
        <sz val="11"/>
        <color rgb="FF000000"/>
        <rFont val="Calibri"/>
        <scheme val="minor"/>
      </rPr>
      <t xml:space="preserve">CAST( EFT08_CONTAB_EFT.ZMOVCTA AS BIGINT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</si>
  <si>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ZMOVCTA
ZMOVCTA</t>
  </si>
  <si>
    <t>Ext Inf - Trans Mon Inf - Value</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</si>
  <si>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</si>
  <si>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Representa o nº sequencial da ordem do transação. Sendo que, no caso de cartões o contador representa o nº do extrato da conta associado à transação. No caso das transações de contencioso, o contador é contabilizado por contrato e dá "reset" anualmente. No caso de contas passagens o contador é contabilizado por contrato e dá "reset" diariamente.</t>
  </si>
  <si>
    <t>Transactions - General
Transactions - Cards</t>
  </si>
  <si>
    <t>CRT12_NUMEXTCTA
CRT90DL_NUMEXTCTA
N\A
DCYR9750_ZMOVCTA
N\A
ZMOVCTA
N\A
N\A</t>
  </si>
  <si>
    <t>SELECT CAST( CRT12_TBMOVEXT_NEW.CRT12_NUMEXTCTA AS BIGINT )
WHERE TAT91_TABELAS.TAYD91C0_CTABELA = '593' AND ( SUBSTRING( TAT91_TABELAS.TAYD91C0_NELEMC08, 1, 1 ) = '1' OR SUBSTRING( TAT91_TABELAS.TAYD91C0_NELEMC08, 1, 1 ) = '3' ) 
SELECT CAST( CRT90_TBMOVDEB_NEW.CRT90DL_NUMEXTCTAAS BIGINT )
WHERE CRT07_TBCTATAR.FECBAJA = 0 AND TAT91_TABELAS.TAYD91C0_CTABELA = '593' AND ( SUBSTRING( TAT91_TABELAS.TAYD91C0_NELEMC08, 1, 1 ) = '1' OR SUBSTRING( TAT91_TABELAS.TAYD91C0_NELEMC08, 1, 1 ) = '3' ) 
SELECT CAST( MOVIMENTOS_CONSOLIDADOS.DCYR9750_ZMOVCTA AS BIGINT )
WHERE CONF_LITIGATION_PRODUCT.SOURCE_CODE = 'CR' AND CONF_LITIGATION_PRODUCT.PRODUCT_ID = INTERFACE_DCT01.DCYR8101_CKPRODUT AND CONF_LITIGATION_PRODUCT.SUBPRODUCT_ID = INTERFACE_DCT01.DCYR8101_CKSUBPRO
SELECT CAST( TCT72_MOVCTA.ZMOVCTA AS BIGINT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</si>
  <si>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CRT12_TBMOVEXT
CRT90_TBMOVDEB
DCYR9750
TCT72_MOVCTA</t>
  </si>
  <si>
    <t>NUMEXTCTA
NUMEXTCTA
ZMOVCTA
ZMOVCTA</t>
  </si>
  <si>
    <t>Zdeposit</t>
  </si>
  <si>
    <t>zdepsoti</t>
  </si>
  <si>
    <t>Contract's legacy identifier ZDEPOSIT.</t>
  </si>
  <si>
    <t>N\A
N\A
ZDEPOSIT
N\A</t>
  </si>
  <si>
    <r>
      <rPr>
        <b/>
        <sz val="11"/>
        <color rgb="FF000000"/>
        <rFont val="Calibri"/>
        <scheme val="minor"/>
      </rPr>
      <t xml:space="preserve">SELECT </t>
    </r>
    <r>
      <rPr>
        <sz val="11"/>
        <color rgb="FF000000"/>
        <rFont val="Calibri"/>
        <scheme val="minor"/>
      </rPr>
      <t xml:space="preserve">'000000000000000'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TCT72_MOVCTA.ZDEPOSIT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</si>
  <si>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N\A
ZDEPOSIT</t>
  </si>
  <si>
    <t>"000000000000000"
N\A</t>
  </si>
  <si>
    <t>Int Inf - Trans Op Inf - Value</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</si>
  <si>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</si>
  <si>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Representa o nº sequencial da ordem do transação. Sendo que, no caso de contas o contador é contabilizado por contrato e dá "reset" diariamente. No caso das transações de contencioso, o contador é contabilizado por contrato e dá "reset" anualmente.</t>
  </si>
  <si>
    <t>Transactions - General
Transactions - General
Transactions - Accounts</t>
  </si>
  <si>
    <t>Operation Order
Transaction ID
Transaction ID</t>
  </si>
  <si>
    <t>DCYR9750_ZMOVCTA 
N\A
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</si>
  <si>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</si>
  <si>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 xml:space="preserve">Representa o nº sequencial da ordem do transação. Sendo que, no caso de cartões o contador representa o nº do extrato da conta associado à transação. </t>
  </si>
  <si>
    <t>CRT90DL_NUMEXTCTA
N\A
N\A</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</si>
  <si>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</si>
  <si>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t>
  </si>
  <si>
    <t>NUMEXTCTA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</si>
  <si>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</si>
  <si>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Representa o nº sequencial da ordem do transação. Sendo que, no caso de factoring o contador é transversal à aplicação e não por contrato. No caso das transações de contencioso, o contador é contabilizado por contrato e dá "reset" anualmente. No caso de contas passagens o contador é contabilizado por contrato e dá "reset" diariamente.</t>
  </si>
  <si>
    <t>MCC_NRMOVIME 
N\A
N\A
DCYR9750_ZMOVCTA
N\A
ZMOVCTA
N\A
N\A</t>
  </si>
  <si>
    <r>
      <rPr>
        <b/>
        <sz val="11"/>
        <color rgb="FF000000"/>
        <rFont val="Calibri"/>
        <scheme val="minor"/>
      </rPr>
      <t>SELECT</t>
    </r>
    <r>
      <rPr>
        <sz val="11"/>
        <color rgb="FF000000"/>
        <rFont val="Calibri"/>
        <scheme val="minor"/>
      </rPr>
      <t xml:space="preserve"> CAST( EUR_MOVICCOR.MCC_NRMOVIME AS BIGINT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 MOVIMENTOS_CONSOLIDADOS.DCYR9750_ZMOVCTA AS BIGINT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TCT72_MOVCTA.ZMOVCTA AS BIGINT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</si>
  <si>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DCYR9750
TCT72_MOVCTA</t>
  </si>
  <si>
    <t>NRMOVIME
ZMOVCTA
ZMOVCTA</t>
  </si>
  <si>
    <t>DCYR9750_ZMOVCTA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</si>
  <si>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 'CR' </t>
    </r>
  </si>
  <si>
    <t>ZMOVCTA</t>
  </si>
  <si>
    <t>DCYR9750_ZMOVCTA 
N\A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</si>
  <si>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INTERFACE_DCT01.DCYR8101_CFAMILIA IN ('IN', 'NC' )
    AND CONF_LITIGATION_PRODUCT.PRODUCT_ID IS NULL</t>
    </r>
  </si>
  <si>
    <t>Represents the position in the sequencial order of transactions. In case of loans it represents the order number inside of the contract. In case of a litigation transaction, the counter resets every year and it counts inside of a contract.</t>
  </si>
  <si>
    <t>Representa o nº sequencial da ordem do transação. Sendo que, no caso de leasing o contador é contabilizado por contrato. No caso das transações de contencioso, o contador é contabilizado por contrato e dá "reset" anualmente.</t>
  </si>
  <si>
    <t>Transactions - General</t>
  </si>
  <si>
    <t>Operation Order</t>
  </si>
  <si>
    <t xml:space="preserve">TRANSACTION_IDENTIFICATOR_1 </t>
  </si>
  <si>
    <r>
      <rPr>
        <b/>
        <sz val="11"/>
        <color rgb="FF000000"/>
        <rFont val="Calibri"/>
        <scheme val="minor"/>
      </rPr>
      <t>SELECT</t>
    </r>
    <r>
      <rPr>
        <sz val="11"/>
        <color rgb="FF000000"/>
        <rFont val="Calibri"/>
        <scheme val="minor"/>
      </rPr>
      <t xml:space="preserve"> CAST( TRANSACTIONS.TRANSACTION_IDENTIFICATOR_1 AS BIGINT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</si>
  <si>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LG - Client Statement Table )</t>
  </si>
  <si>
    <t>TRANSACTION_IDENTIFICATOR_1</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</si>
  <si>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</si>
  <si>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Representa o nº sequencial da ordem do transação. Sendo que, no caso de empréstimos o contador é contabilizado por contrato. No caso das transações de contencioso, o contador é contabilizado por contrato e dá "reset" anualmente.</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</si>
  <si>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</si>
  <si>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TCT72_MOVCTA
TCT09_OPERCN</t>
  </si>
  <si>
    <t>ZMOVCTA
N\A
N\A
N\A
EH10_HNUOPEM
N\A
ZMOVCTA
N\A</t>
  </si>
  <si>
    <r>
      <rPr>
        <b/>
        <sz val="11"/>
        <color rgb="FF000000"/>
        <rFont val="Calibri"/>
      </rPr>
      <t xml:space="preserve">SELECT </t>
    </r>
    <r>
      <rPr>
        <sz val="11"/>
        <color rgb="FF000000"/>
        <rFont val="Calibri"/>
      </rPr>
      <t xml:space="preserve">CAST( EPT07_MOVCTA.ZMOVCTA AS BIGINT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EH_OPER_CONTR.EH10_HNUOPEM AS BIGINT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CAST( EH_OPER_CONTR.EH10_HNUOPEM AS BIGINT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CAST( TCT72_MOVCTA.ZMOVCTA AS BIGINT )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</si>
  <si>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TCT72_MOVCTA</t>
  </si>
  <si>
    <t>ZMOVCTA
HNUOPEM
ZMOVCTA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</si>
  <si>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</si>
  <si>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</si>
  <si>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Opening Date</t>
  </si>
  <si>
    <t>opening_date</t>
  </si>
  <si>
    <t>Ext Inf - Con Inf - Date</t>
  </si>
  <si>
    <t>Opening date of the contract associated with the transaction.</t>
  </si>
  <si>
    <t>Data de abertura do contrato associado à transação.</t>
  </si>
  <si>
    <t>x</t>
  </si>
  <si>
    <t>N\A
DABERTUR</t>
  </si>
  <si>
    <r>
      <rPr>
        <b/>
        <sz val="11"/>
        <color rgb="FF000000"/>
        <rFont val="Calibri"/>
        <scheme val="minor"/>
      </rPr>
      <t xml:space="preserve">SELECT </t>
    </r>
    <r>
      <rPr>
        <sz val="11"/>
        <color rgb="FF000000"/>
        <rFont val="Calibri"/>
        <scheme val="minor"/>
      </rPr>
      <t>DP_DPYR0580_MOVIMENTOS.DABERTUR</t>
    </r>
  </si>
  <si>
    <t>DBABERTUR</t>
  </si>
  <si>
    <t>Represents the position in the sequencial order of transactions. In case of trade finance it represents the order number inside of the contract. In case of a litigation transaction, the counter resets every year and it counts inside of a contract.</t>
  </si>
  <si>
    <t>Representa o nº sequencial da ordem do transação. Sendo que, no caso de estrangeiro o contador é contabilizado dentro por contrato. No caso das transações de contencioso, o contador é contabilizado por contrato e dá "reset" anualmente. No caso de contas passagens o contador é contabilizado por contrato e dá "reset" diariamente.</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</si>
  <si>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t>
  </si>
  <si>
    <t>ZSEQMOV 
N\A
N\A
ZSEQMOV
N\A
ZSEQUEN
N\A
ZSEQUEN 
DCYR9750_ZMOVCTA
N\A
ZMOVCTA
N\A
N\A</t>
  </si>
  <si>
    <t xml:space="preserve">SELECT CAST( EST55_RDIMOV.ZSEQMOV AS BIGINT )
WHERE SUBSTRING(EST55_RDIMOV.HTIMEST, 1, 10) &gt; SUBSTRING(LAST_DATA_DATE_PART, 1, 10) AND SUBSTRING(EST55_RDIMOV.HTIMEST, 1, 10) &lt;= SUBSTRING(LAST_DATA_DATE_PART, 11, 10)
SELECT CAST( EST79_RDEMOV.ZSEQMOV AS BIGINT )
WHERE SUBSTRING(EST79_RDEMOV.HTIMEST, 1, 10) &gt; SUBSTRING(LAST_DATA_DATE_PART, 1, 10) AND SUBSTRING(EST79_RDEMOV.HTIMEST, 1, 10) &lt;= SUBSTRING(LAST_DATA_DATE_PART, 11, 10)
SELECT CAST( EST86_CDIMOV.ZSEQUEN AS BIGINT )
WHERE SUBSTRING(EST86_CDIMOV.HTIMEST, 1, 10) &gt; SUBSTRING(LAST_DATA_DATE_PART, 1, 10) AND SUBSTRING(EST86_CDIMOV.HTIMEST, 1, 10) &lt;= SUBSTRING(LAST_DATA_DATE_PART, 11, 10)
    AND NOT( EST85_CREIMP.CKPRODUT = '038' AND EST85_CREIMP.CKSUBPRO IN ( '002', '003')
SELECT CAST( EST86_CDIMOV.ZSEQUEN AS BIGINT )
WHERE SUBSTRING(EST86_CDIMOV.HTIMEST, 1, 10) &gt; SUBSTRING(LAST_DATA_DATE_PART, 1, 10) AND SUBSTRING(EST86_CDIMOV.HTIMEST, 1, 10) &lt;= SUBSTRING(LAST_DATA_DATE_PART, 11, 10)
    AND ( EST85_CREIMP.CKPRODUT = '038' AND EST85_CREIMP.CKSUBPRO IN ( '002', '003')
SELECT CAST( EST90_CDEMOV.ZSEQUEN AS BIGINT )
WHERE SUBSTRING(EST90_CDEMOV.HTIMEST, 1, 10) &gt; SUBSTRING(LAST_DATA_DATE_PART, 1, 10) AND SUBSTRING(EST90_CDEMOV.HTIMEST, 1, 10) &lt;= SUBSTRING(LAST_DATA_DATE_PART, 11, 10)
SELECT SELECT CAST( MOVIMENTOS_CONSOLIDADOS.DCYR9750_ZMOVCTA AS BIGINT )
WHERE ( ( CONF_LITIGATION_PRODUCT.SOURCE_PRODUCT_ID = '029' OR CONF_LITIGATION_PRODUCT.SOURCE_PRODUCT_ID = '030' ) AND ( CONF_LITIGATION_PRODUCT.SOURCE_SUBPRODUCT_ID = '083' OR CONF_LITIGATION_PRODUCT.SOURCE_SUBPRODUCT_ID = '085' OR CONF_LITIGATION_PRODUCT.SOURCE_SUBPRODUCT_ID = '302' )
SELECT CAST( TCT72_MOVCTA.ZMOVCTA AS BIGINT )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</si>
  <si>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ZSEQMOV
ZSEQMOV
ZSEQUEN
ZSEQUEN
ZMOVCTA
ZMOVCTA</t>
  </si>
  <si>
    <t>Order Number Stage</t>
  </si>
  <si>
    <t>order_number_stage</t>
  </si>
  <si>
    <t>Represents the sequencial stage order inside of the transaction.</t>
  </si>
  <si>
    <t>Representa a nº da etapa dentro de uma transação.</t>
  </si>
  <si>
    <t>N\A
N\A
N\A
N\A
ZSEQMOV
N\A
N\A</t>
  </si>
  <si>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CAST( 1 AS BIGINT )
   AND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CAST( TCT72_MOVCTA.ZSEQMOV AS BIGINT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</si>
  <si>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N\A
N\A
TCT72_MOVCTA</t>
  </si>
  <si>
    <t>N\A
N\A
ZSEQMOV</t>
  </si>
  <si>
    <t>"1"
"1"
N\A</t>
  </si>
  <si>
    <t>ZSEQMOV
N\A
ZSEQMOV
N\A</t>
  </si>
  <si>
    <r>
      <rPr>
        <b/>
        <sz val="11"/>
        <color rgb="FF000000"/>
        <rFont val="Calibri"/>
        <scheme val="minor"/>
      </rPr>
      <t xml:space="preserve">SELECT </t>
    </r>
    <r>
      <rPr>
        <sz val="11"/>
        <color rgb="FF000000"/>
        <rFont val="Calibri"/>
        <scheme val="minor"/>
      </rPr>
      <t xml:space="preserve">CAST( EFT08_CONTAB_EFT.ZSEQMOV AS BIGINT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</si>
  <si>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ZSEQMOV
ZSEQMOV</t>
  </si>
  <si>
    <t>Represents the sequencial stage order inside of the transaction. In case of cards it represents the order number of the transaction inside of the card's statement.</t>
  </si>
  <si>
    <t>Representa o nº da etapa dentro de uma transação. Sendo que, no caso de cartões representa o nº da transação dentro do extrato da conta associado à transação.</t>
  </si>
  <si>
    <t>CRT12_NUMMOVEXT
CRT90DL_NUMMOVEXT
N\A
N\A
N\A
ZSEQMOV
N\A
N\A</t>
  </si>
  <si>
    <t>SELECT CAST( CRT12_TBMOVEXT_NEW.CRT12_NUMMOVEXT AS BIGINT )
WHERE TAT91_TABELAS.TAYD91C0_CTABELA = '593' AND ( SUBSTRING( TAT91_TABELAS.TAYD91C0_NELEMC08, 1, 1 ) = '1' OR SUBSTRING( TAT91_TABELAS.TAYD91C0_NELEMC08, 1, 1 ) = '3' )
SELECT CAST( CRT90_TBMOVDEB_NEW.CRT90DL_NUMMOVEXT AS BIGINT )
WHERE TAT91_TABELAS.TAYD91C0_CTABELA = '593' AND ( SUBSTRING( TAT91_TABELAS.TAYD91C0_NELEMC08, 1, 1 ) = '1' OR SUBSTRING( TAT91_TABELAS.TAYD91C0_NELEMC08, 1, 1 ) = '3' )
SELECT CAST( 1 AS BIGINT )
WHERE CONF_LITIGATION_PRODUCT.SOURCE_CODE = 'CR' AND CONF_LITIGATION_PRODUCT.PRODUCT_ID = INTERFACE_DCT01.DCYR8101_CKPRODUT AND CONF_LITIGATION_PRODUCT.SUBPRODUCT_ID = INTERFACE_DCT01.DCYR8101_CKSUBPRO
SELECT CAST( TCT72_MOVCTA.ZSEQMOV AS BIGINT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</si>
  <si>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NUMMOVEXT
NUMMOVEXT
ZSEQMOV
ZSEQMOV</t>
  </si>
  <si>
    <t>Representa o nº da etapa dentro de uma transação.</t>
  </si>
  <si>
    <t>N\A
N\A
ZSEQMOV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</si>
  <si>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'ME', 'MN' )
    AND TCT72_MOVCTA.DDIAOP &gt;= TCT72_MOVCTA.DATA_DATE_PART</t>
    </r>
  </si>
  <si>
    <t>N\A
ZSEQMOV</t>
  </si>
  <si>
    <t>"1"
N\A</t>
  </si>
  <si>
    <t>Representa a nº da etapa dentro de uma transação. Sendo que, no caso de cartões representa o nº da transação dentro do extrato da conta associado à transação.</t>
  </si>
  <si>
    <t>CRT90DL_NUMMOVEXT
N\A
N\A</t>
  </si>
  <si>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</si>
  <si>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NUMMOVEXT</t>
  </si>
  <si>
    <t>Represents the sequencial stage order inside of the transaction. In case of factoring contracts the field does not apply unless it is a litigation transaction.</t>
  </si>
  <si>
    <t>N\A
N\A
N\A
N\A
N\A
ZSEQMOV
N\A
N\A</t>
  </si>
  <si>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TCT72_MOVCTA.ZSEQMOV AS BIGINT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</si>
  <si>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 'CR' </t>
    </r>
  </si>
  <si>
    <t>"1"</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</si>
  <si>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INTERFACE_DCT01.DCYR8101_CFAMILIA IN ('IN', 'NC' )
    AND CONF_LITIGATION_PRODUCT.PRODUCT_ID IS NULL</t>
    </r>
  </si>
  <si>
    <t>TRANSACTION_IDENTIFICATOR_2</t>
  </si>
  <si>
    <r>
      <rPr>
        <b/>
        <sz val="11"/>
        <color rgb="FF000000"/>
        <rFont val="Calibri"/>
        <scheme val="minor"/>
      </rPr>
      <t>SELECT</t>
    </r>
    <r>
      <rPr>
        <sz val="11"/>
        <color rgb="FF000000"/>
        <rFont val="Calibri"/>
        <scheme val="minor"/>
      </rPr>
      <t xml:space="preserve"> CAST( TRANSACTIONS.TRANSACTION_IDENTIFICATOR_2 AS BIGINT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</si>
  <si>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Represents the sequencial stage order inside of the transaction. In case of accounts the field does not apply unless it is a litigation transaction.</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</si>
  <si>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</si>
  <si>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N\A
TCT72_MOVCTA</t>
  </si>
  <si>
    <t>Operation Number
Transaction ID
Transaction ID</t>
  </si>
  <si>
    <t>ZSEQMOV
N\A
N\A
N\A
N\A
N\A
N\A
ZSEQMOV</t>
  </si>
  <si>
    <r>
      <rPr>
        <b/>
        <sz val="11"/>
        <color rgb="FF000000"/>
        <rFont val="Calibri"/>
        <scheme val="minor"/>
      </rPr>
      <t xml:space="preserve">SELECT </t>
    </r>
    <r>
      <rPr>
        <sz val="11"/>
        <color rgb="FF000000"/>
        <rFont val="Calibri"/>
        <scheme val="minor"/>
      </rPr>
      <t xml:space="preserve">CAST( EPT07_MOVCTA.ZSEQMOV AS BIGINT )
</t>
    </r>
    <r>
      <rPr>
        <b/>
        <sz val="11"/>
        <color rgb="FF000000"/>
        <rFont val="Calibri"/>
        <scheme val="minor"/>
      </rPr>
      <t>WHERE</t>
    </r>
    <r>
      <rPr>
        <sz val="11"/>
        <color rgb="FF000000"/>
        <rFont val="Calibri"/>
        <scheme val="minor"/>
      </rPr>
      <t xml:space="preserve"> SUBSTRING( EPT07_MOVCTA.HTIMEST, 1, 10 ) &gt; SUBSTRING( LAST_DATA_DATE_PART, 1, 10 ) AND SUBSTRING( EPT07_MOVCTA.HTIMEST, 1, 10 ) &lt;= SUBSTRING( LAST_DATA_DATE_PART, 11, 10 )
</t>
    </r>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WHERE</t>
    </r>
    <r>
      <rPr>
        <sz val="11"/>
        <color rgb="FF000000"/>
        <rFont val="Calibri"/>
        <scheme val="minor"/>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</si>
  <si>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EPT07_MOVCTA 
N\A
TCT72_MOVCTA</t>
  </si>
  <si>
    <t>ZSEQMOV
N\A
ZSEQMOV</t>
  </si>
  <si>
    <t>N\A
"1"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</si>
  <si>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</si>
  <si>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</si>
  <si>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Representa o nº sequencial da ordem do transação. Sendo que, no caso de depósitos a prazo o contador é contabilizado por contrato e dá "reset" diariamente.</t>
  </si>
  <si>
    <t>N\A
NUMMOVIM</t>
  </si>
  <si>
    <r>
      <rPr>
        <b/>
        <sz val="11"/>
        <color rgb="FF000000"/>
        <rFont val="Calibri"/>
        <scheme val="minor"/>
      </rPr>
      <t xml:space="preserve">SELECT </t>
    </r>
    <r>
      <rPr>
        <sz val="11"/>
        <color rgb="FF000000"/>
        <rFont val="Calibri"/>
        <scheme val="minor"/>
      </rPr>
      <t xml:space="preserve">CAST( DP_DPYR0580_MOVIMENTOS.NUMMOVIM AS BIGINT )
</t>
    </r>
  </si>
  <si>
    <t>NUMMOVIM</t>
  </si>
  <si>
    <t>Represents the sequencial stage order inside of the transaction. In case of trade finance the field does not apply unless it is a litigation transaction.</t>
  </si>
  <si>
    <t>N\A
N\A
N\A
N\A
N\A
N\A
N\A
N\A
N\A
N\A
N\A
N\A
N\A
N\A
N\A</t>
  </si>
  <si>
    <t xml:space="preserve">SELECT CAST( 1 AS BIGINT )
WHERE SUBSTRING(EST55_RDIMOV.HTIMEST, 1, 10) &gt; SUBSTRING(LAST_DATA_DATE_PART, 1, 10) AND SUBSTRING(EST55_RDIMOV.HTIMEST, 1, 10) &lt;= SUBSTRING(LAST_DATA_DATE_PART, 11, 10)
SELECT CAST( 1 AS BIGINT )
WHERE SUBSTRING(EST79_RDEMOV.HTIMEST, 1, 10) &gt; SUBSTRING(LAST_DATA_DATE_PART, 1, 10) AND SUBSTRING(EST79_RDEMOV.HTIMEST, 1, 10) &lt;= SUBSTRING(LAST_DATA_DATE_PART, 11, 10)
SELECT CAST( 1 AS BIGINT )
WHERE SUBSTRING(EST86_CDIMOV.HTIMEST, 1, 10) &gt; SUBSTRING(LAST_DATA_DATE_PART, 1, 10) AND SUBSTRING(EST86_CDIMOV.HTIMEST, 1, 10) &lt;= SUBSTRING(LAST_DATA_DATE_PART, 11, 10)
    AND NOT( EST85_CREIMP.CKPRODUT = '038' AND EST85_CREIMP.CKSUBPRO IN ( '002', '003')
SELECT CAST( 1 AS BIGINT )
WHERE SUBSTRING(EST86_CDIMOV.HTIMEST, 1, 10) &gt; SUBSTRING(LAST_DATA_DATE_PART, 1, 10) AND SUBSTRING(EST86_CDIMOV.HTIMEST, 1, 10) &lt;= SUBSTRING(LAST_DATA_DATE_PART, 11, 10)
    AND ( EST85_CREIMP.CKPRODUT = '038' AND EST85_CREIMP.CKSUBPRO IN ( '002', '003')
SELECT CAST( 1 AS BIGINT )
WHERE SUBSTRING(EST90_CDEMOV.HTIMEST, 1, 10) &gt; SUBSTRING(LAST_DATA_DATE_PART, 1, 10) AND SUBSTRING(EST90_CDEMOV.HTIMEST, 1, 10) &lt;= SUBSTRING(LAST_DATA_DATE_PART, 11, 10)
SELECT CAST( 1 AS BIGINT )
WHERE ( ( CONF_LITIGATION_PRODUCT.SOURCE_PRODUCT_ID = '029' OR CONF_LITIGATION_PRODUCT.SOURCE_PRODUCT_ID = '030' ) AND ( CONF_LITIGATION_PRODUCT.SOURCE_SUBPRODUCT_ID = '083' OR CONF_LITIGATION_PRODUCT.SOURCE_SUBPRODUCT_ID = '085' OR CONF_LITIGATION_PRODUCT.SOURCE_SUBPRODUCT_ID = '302' )
SELECT CAST( 1 AS BIGINT )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</si>
  <si>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N\A
N\A
N\A
N\A
N\A
ZSEQMOV</t>
  </si>
  <si>
    <t>"1"
"1"
"1"
"1"
"1"
N\A</t>
  </si>
  <si>
    <t>Accounting Basic Bank Operation</t>
  </si>
  <si>
    <t>accounting_bank_basic_operation</t>
  </si>
  <si>
    <t>Ext Inf - Trans Inf - Code</t>
  </si>
  <si>
    <t>Partenon's accounting transaction code (OBB - Operação Básica Bancária)</t>
  </si>
  <si>
    <t>Código contabilístico da transação do Partenon (OBB - Operação Básica Bancária)</t>
  </si>
  <si>
    <t>Accounting Basic Bank Operation:
OB_OPERACION + OB_OPER_BASICA; CURATED_INTERNAL_MAINFRAME_ESTRUTURAIS.OB_OPERACION + CURATED_INTERNAL_MAINFRAME_ESTRUTURAIS.OB_OPER_BASICA</t>
  </si>
  <si>
    <t>CURATED_INTERNAL_MAINFRAME_AVALES
CURATED_INTERNAL_MAINFRAME_AVALES
CURATED_INTERNAL_MAINFRAME_CONTAS
CURATED_INTERNAL_MAINFRAME_CONTAS</t>
  </si>
  <si>
    <t>BG_OPERACION
BG_CONTR_BATCH
MOVIMENTOS_CONSOLIDADOS
INTERFACE_DCT01</t>
  </si>
  <si>
    <t>BGOP_CODOPBS, BGOP_CODOPBA
N\A
DCYR9750_OPERBAS, DCY9750_OPERBAN
N\A</t>
  </si>
  <si>
    <r>
      <rPr>
        <b/>
        <sz val="11"/>
        <color rgb="FF000000"/>
        <rFont val="Calibri"/>
      </rPr>
      <t xml:space="preserve">SELECT </t>
    </r>
    <r>
      <rPr>
        <sz val="11"/>
        <color rgb="FF000000"/>
        <rFont val="Calibri"/>
      </rPr>
      <t xml:space="preserve">CONCAT( BG_OPERACION.BGOP_CODOPBS, BG_OPERACION.BGOP_CODOPBA )
</t>
    </r>
    <r>
      <rPr>
        <b/>
        <sz val="11"/>
        <color rgb="FF000000"/>
        <rFont val="Calibri"/>
      </rPr>
      <t xml:space="preserve">WHERE </t>
    </r>
    <r>
      <rPr>
        <sz val="11"/>
        <color rgb="FF000000"/>
        <rFont val="Calibri"/>
      </rPr>
      <t xml:space="preserve">SUBSTRING(BG_OPERACION.BGOP_TIMESTAM, 1, 10) &gt; SUBSTRING(LAST_DATA_DATE_PART, 1, 10) AND SUBSTRING(BG_OPERACION.BGOP_TIMESTAM, 1, 10) &lt;= SUBSTRING(LAST_DATA_DATE_PART, 11, 10) 
   AND BG_CONTR_BATCH.CODSPROD != '550'
</t>
    </r>
    <r>
      <rPr>
        <b/>
        <sz val="11"/>
        <color rgb="FF000000"/>
        <rFont val="Calibri"/>
      </rPr>
      <t xml:space="preserve">SELECT </t>
    </r>
    <r>
      <rPr>
        <sz val="11"/>
        <color rgb="FF000000"/>
        <rFont val="Calibri"/>
      </rPr>
      <t xml:space="preserve">CONCAT( LPAD( MOVIMENTOS_CONSOLIDADOS.DCYR9750_OPERBAS, 3, '0' ), LPAD( MOVIMENTOS_CONSOLIDADOS.DCYR9750_OPERBAN, 3, '0' ) )
 </t>
    </r>
    <r>
      <rPr>
        <b/>
        <sz val="11"/>
        <color rgb="FF000000"/>
        <rFont val="Calibri"/>
      </rPr>
      <t xml:space="preserve">WHERE  </t>
    </r>
    <r>
      <rPr>
        <sz val="11"/>
        <color rgb="FF000000"/>
        <rFont val="Calibri"/>
      </rPr>
      <t xml:space="preserve">INTERFACE_DCT01.CKPRODUT = CONF_LITIGATION_PRODUCT.SOURCE_PRODUCT_ID AND INTERFACE_DCT01.CKSUBPRO = CONF_LITIGATION_PRODUCT.SOURCE_SUBPRODUCT_ID AND CONF_LITIGATION_PRODUCT.SOURCE_CODE = 'BG'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</si>
  <si>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BG_OPERACION
DCYR9750 
TCT72_MOVCTA</t>
  </si>
  <si>
    <t>CONCAT( CODOPBS, CODOPBA )
CONCAT ( OPERBAS, OPERBAN )
N\A</t>
  </si>
  <si>
    <t>N\A
N\A
"#N/A"</t>
  </si>
  <si>
    <t>Transaction Type Code</t>
  </si>
  <si>
    <t>transaction_type_code</t>
  </si>
  <si>
    <t>Ext Inf - Trans Op Inf - 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</si>
  <si>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</si>
  <si>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</si>
  <si>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</si>
  <si>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</si>
  <si>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</si>
  <si>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AND TAT91_TABELAS_NEW.TAYD91C0_CTABELA = '021' AND SUBSTRING( TAT91_TABELAS_NEW.TAYD91C0_CELEMTAB, 1, 3 ) = EFT08_CONTAB_EFT.COPERAC
    AND CONF_GENERAL_CODE_CONVERTER.SOURCE_CODE = '00' AND CONF_GENERAL_CODE_CONVERTER.SOURCE_VALUE = CONF_GENERAL_CODE_CONVERTER.TARGET_VALUE AND CONF_GENERAL_CODE_CONVERTER (COPERAC).SOURCE_VALUE = SUBSTRING( TAT91_TABELAS_NEW.TAYD91C0_NELEMC05, 3, 3)  AND CONF_GENERAL_CODE_CONVERTER.OPTION_NUMBER = '1' 
</t>
    </r>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
     AND TAT91_TABELAS_NEW.TAYD91C0_CTABELA = '021' AND SUBSTRING( TAT91_TABELAS_NEW.TAYD91C0_CELEMTAB, 1, 3 ) = TCT72_MOVCTA.COPERAC
     AND CONF_GENERAL_CODE_CONVERTER (COPERAC).CODE CATEGORY = 'transaction_type_code' AND CONF_GENERAL_CODE_CONVERTER (COPERAC).SOURCE_CODE = '00'   AND TCT09_OPERCN.CKPRODUT = CONF_LITIGATION_PRODUCT.SOURCE_PRODUCT_ID AND TCT09_OPERCN.CKSUBPRO = CONF_LITIGATION_PRODUCT.SOURCE_SUBPRODUCT_ID AND CONF_LITIGATION_PRODUCT.SOURCE_CODE = 'EF'</t>
    </r>
  </si>
  <si>
    <t>COPERAC
COPERAC</t>
  </si>
  <si>
    <t>Transaction Type:
CRT44_TBTIPFAC; CURATED_INTERNAL_MAINFRAME_CARTOES.CRT44_TBTIPFAC
CRT44_TBTIPFAC; CURATED_INTERNAL_MAINFRAME_CARTOES.CRT44_TBTIPFAC
TAT91_TABELAS - CTABELA 021; CURATED_INTERNAL_MAINFRAME_ESTRUTURAIS.TAT91_TABELAS - TAYD91C0_CTABELA 021|| OB_OPERACION + OB_OPER_BASICA; ? + ?
TAT91 - CTABELA 021´;  CURATED_INTERNAL_MAINFRAME_ESTRUTURAIS.TAT91_TABELAS - TAYD91C0_CTABELA 021</t>
  </si>
  <si>
    <t>CURATED_INTERNAL_MAINFRAME_CARTOES
CURATED_INTERNAL_MAINFRAME_CARTOES
CURATED_INTERNAL_MAINFRAME_CARTOES
CURATED_INTERNAL_MAINFRAME_CONTAS
CURATED_INTERNAL_MAINFRAME_CONTAS
CURATED_INTERNAL_MAINFRAME_CONTENCIOSO
CURATED_INTERNAL_MAINFRAME_CONTENCIOSO
OPERATIONS_COMMON_REFERENCEDATA_CORE
OPERATIONS_COMMON_REFERENCEDATA_CORE
OPERATIONS_COMMON_REFERENCEDATA_CORE</t>
  </si>
  <si>
    <t>CRT12_TBMOVEXT_NEW
CRT90_TBMOVDEB_NEW
CRT07_TBCTATAR
MOVIMENTOS_CONSOLIDADOS
INTERFACE_DCT01
TCT72_MOVCTA
TCT09_OPERCN
CONF_TRANSACTION_TYPE_CONVERTER
CONF_GENERAL_CODE_CONVERTER
CONF_LITIGATION_PRODUCT</t>
  </si>
  <si>
    <t>N\A
N\A
N\A
N\A
N\A
N\A
N\A
N\A
CDM_VALUE
N\A</t>
  </si>
  <si>
    <t>SELECT CONF_GENERAL_CODE_CONVERTER.CDM_VALUE
WHERE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'00' AND CONF_GENERAL_CODE_CONVERTER.SOURCE_VALUE = CONF_TRANSACTION_TYPE_CONVERTER.CDM_VALUE AND CONF_GENERAL_CODE_CONVERTER.PRIORITY_LEVEL = '1'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CONF_LITIGATION_PRODUTC.PRODUCT_ID = '029' AND CONF_LITIGATION_PRODUCT.SUBPRODUCT_ID = '286'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 ( CONF_LITIGATION_PRODUCT.SOURCE_CODE = 'CR' AND CONF_LITIGATION_PRODUCT.PRODUCT_ID = TCT09_OPERCN.CKPRODUT AND CONF_LITIGATION_PRODUCT.SUBPRODUCT_ID = TCT09_OPERCN.CKSUBPRO )
        OR  CRT07_TBCTATAR.CKBALCAO IS NOT NULL )
    AND CONF_TRANSACTION_TYPE_CONVERTER. SOURCE_TRANSACTION_TYPE_CODE = 'coperac' AND CONF_TRANSACTION_TYPE_CONVERTER.SOURCE_CODE = 'TC' AND CONF_TRANSACTION_TYPE_CONVERTER.SOURCE_VALUE = TCT72_MOVCTA.COPERAC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SUBSTRING(LAST_DATA_DATE_PART, 1, 10) AND TCT72_MOVCTA.DDIAOP &lt;= SUBSTRING(LAST_DATA_DATE_PART, 11, 10)</t>
  </si>
  <si>
    <t>CONCAT ( INDORI, TIPOFACN, INDESTR )
CONCAT ( INDORI, TIPOFACN, INDESTR )
COPERAC || CONCAT ( OPERBAS, OPERBAN )
COPERAC</t>
  </si>
  <si>
    <t>N\A
N\A
N\A || N\A
N\A</t>
  </si>
  <si>
    <t>Transaction Type:
CRT44_TBTIPFAC; CURATED_INTERNAL_MAINFRAME_CARTOES.CRT44_TBTIPFAC</t>
  </si>
  <si>
    <t>CURATED_INTERNAL_MAINFRAME_CARTOES
CURATED_INTERNAL_MAINFRAME_CARTOES
CURATED_INTERNAL_MAINFRAME_ESTRUTURAIS
OPERATIONS_COMMON_REFERENCEDATA_CORE
OPERATIONS_COMMON_REFERENCEDATA_CORE</t>
  </si>
  <si>
    <t>CRT90_TBMOVDEB_NEW
CRT07_TBCTATAR
TAT91_TABELAS
CONF_TRANSACTION_TYPE_CONVERTER
CONF_GENERAL_CODE_CONVERTER</t>
  </si>
  <si>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CONF_TRANSACTION_TYPE_CONVERTER.SOURCE_CODE = 'CR' AND CONF_TRANSACTION_TYPE_CONVERTER.SOURCE_TRANSACTION_TYPE_CODE  = 'tipofacn' AND CONF_TRANSACTION_TYPE_CONVERTER.SOURCE_VALUE =  CRT90_TBMOVDEB_NEW.CRT90DL_TIPOFACN
    AND CONF_GENERAL_CODE_CONVERTER.CODE CATEGORY = 'transaction_type_code' AND CONF_GENERAL_CODE_CONVERTER.SOURCE_CODE = '00' AND CONF_GENERAL_CODE_CONVERTER.SOURCE_VALUE = CONF_TRANSACTION_TYPE_CONVERTER.CDM_VALUE AND CONF_GENERAL_CODE_CONVERTER.PRIORITY_LEVEL = '1'</t>
    </r>
  </si>
  <si>
    <t>CONCAT (INDORI, TIPOFACN, INDESTR )</t>
  </si>
  <si>
    <t>Transaction Type:
TAT91_TABELAS - CTABELA 021 || OB_OPERACION + OB_OPER_BASICA; CURATED_INTERNAL_MAINFRAME_ESTRUTURAIS.TAT91_TABELAS - TAYD91C0_CTABELA 021 || ?</t>
  </si>
  <si>
    <t>MOVIMENTOS_CONSOLIDADOS
INTERFACE_DCT01
CONF_TRANSACTION_TYPE_CONVERTER
CONF_GENERAL_CODE_CONVERTER</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</si>
  <si>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INTERFACE_DCT01.DCYR8101_CFAMILIA = 'CR'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t>
    </r>
  </si>
  <si>
    <t xml:space="preserve">DCYR9750 || DCYR9750 </t>
  </si>
  <si>
    <t>COPERAC || CONCAT( OPERBAS, OPERBAN )</t>
  </si>
  <si>
    <t>N\A || N\A</t>
  </si>
  <si>
    <t>Source Transaction Type Code</t>
  </si>
  <si>
    <t>source_transaction_type_code</t>
  </si>
  <si>
    <t>Leasing's source application native transaction type code.</t>
  </si>
  <si>
    <t>Código que caracteriza a transação, sendo que, não é o código do MCD, mas sim da aplicação origem da transação. No caso de leasing corresponde ao tipo de despsa.</t>
  </si>
  <si>
    <t>TRANSACTION_TYPE_ID</t>
  </si>
  <si>
    <r>
      <rPr>
        <b/>
        <sz val="11"/>
        <color rgb="FF000000"/>
        <rFont val="Calibri"/>
        <scheme val="minor"/>
      </rPr>
      <t>SELECT</t>
    </r>
    <r>
      <rPr>
        <sz val="11"/>
        <color rgb="FF000000"/>
        <rFont val="Calibri"/>
        <scheme val="minor"/>
      </rPr>
      <t xml:space="preserve"> TRANSACTIONS.TRANSACTION_TYPE_ID
</t>
    </r>
    <r>
      <rPr>
        <b/>
        <sz val="11"/>
        <color rgb="FF000000"/>
        <rFont val="Calibri"/>
        <scheme val="minor"/>
      </rPr>
      <t xml:space="preserve">WHERE </t>
    </r>
    <r>
      <rPr>
        <sz val="11"/>
        <color rgb="FF000000"/>
        <rFont val="Calibri"/>
        <scheme val="minor"/>
      </rPr>
      <t xml:space="preserve">CONCAT( SUBSTRING( TRANSACTION_DATE_TIME, 1, 4 ), '-', SUBSTRING( TRANSACTION_DATE_TIME, 5, 2 ), '-', SUBSTRING( TRANSACTION_DATE_TIME, 7, 2 ) ) &gt; SUBSTRING( LAST_DATA_DATE_PART, 1, 10 ) AND CONCAT( SUBSTRING( TRANSACTION_DATE_TIME, 1, 4 ), '-', SUBSTRING( TRANSACTION_DATE_TIME, 5, 2 ), '-', SUBSTRING( TRANSACTION_DATE_TIME, 7, 2 ) ) &lt;= SUBSTRING( LAST_DATA_DATE_PART, 11, 10 ) )
</t>
    </r>
  </si>
  <si>
    <t>Transaction Type:
TAT91_TABELAS - CTABELA 021; CURATED_INTERNAL_MAINFRAME_ESTRUTURAIS.TAT91_TABELAS - TAYD91C0_CTABELA 021|| OB_OPERACION + OB_OPER_BASICA; ? + ?
TAT91 - CTABELA 021; CURATED_INTERNAL_MAINFRAME_ESTRUTURAIS.TAT91_TABELAS - TAYD91C0_CTABELA 021</t>
  </si>
  <si>
    <t>CURATED_INTERNAL_MAINFRAME_CONTAS
CURATED_INTERNAL_MAINFRAME_CONTAS
CURATED_INTERNAL_MAINFRAME_CONTENCIOSO
CURATED_INTERNAL_MAINFRAME_CONTENCIOSO
OPERATIONS_COMMON_REFERENCEDATA_CORE
OPERATIONS_COMMON_REFERENCEDATA_CORE</t>
  </si>
  <si>
    <t>MOVIMENTOS_CONSOLIDADOS
INTERFACE_DCT01
TCT72_MOVCTA
TCT09_OPERCN
CONF_TRANSACTION_TYPE_CONVERTER
CONF_GENERAL_CODE_CONVERTER</t>
  </si>
  <si>
    <t>N\A
N\A
N\A
N\A
N\A
CDM_VALUE</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</si>
  <si>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INTERFACE_DCT01.DCYR8101_CFAMILIA IN ( 'CC'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INTERFACE_DCT01.DCYR8101_CFAMILIA IN ( 'CC' )
    AND CONF_TRANSACTION_TYPE_CONVERTER. SOURCE_TRANSACTION_TYPE_CODE = 'coperac' AND CONF_TRANSACTION_TYPE_CONVERTER.SOURCE_CODE = '00' AND CONF_TRANSACTION_TYPE_CONVERTER.SOURCE_VALUE = TCT09_OPERCN.COPERAC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SUBSTRING(LAST_DATA_DATE_PART, 1, 10) AND TCT72_MOVCTA.DDIAOP &lt;= SUBSTRING(LAST_DATA_DATE_PART, 11, 10)</t>
  </si>
  <si>
    <t xml:space="preserve">COPERAC || CONCAT( OPERBAS, OPERBAN )
COPERAC </t>
  </si>
  <si>
    <t>N\A || N\A
N\A</t>
  </si>
  <si>
    <t>Sender Order Number Stage</t>
  </si>
  <si>
    <t>sender_order_number_stage</t>
  </si>
  <si>
    <t>Ext Inf - Trans Inf - Value</t>
  </si>
  <si>
    <t>Identifies the order number stage of the transaction inside the internal source code. For example, a transfer in OR (SEPA) can have 4 stages and only one generates a transaction in a current account.</t>
  </si>
  <si>
    <t>Identifica o nº da etapa da transação que originou a transação na conta. Isto é, o nº da etapa da transação na aplicação origem ( EP -&gt; DC).</t>
  </si>
  <si>
    <t>DCYR9750_NUMMOVIM_OPER
N\A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</si>
  <si>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</si>
  <si>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DCYR9750
N\A</t>
  </si>
  <si>
    <t>NUMMOVIM_OPER
N\A</t>
  </si>
  <si>
    <t>N\A
"#N/A"</t>
  </si>
  <si>
    <t>Transaction Type:
TAT91_TABELAS - CTABELA 021; CURATED_INTERNAL_MAINFRAME_ESTRUTURAIS.TAT91_TABELAS - TAYD91C0_CTABELA 021|| OB_OPERACION + OB_OPER_BASICA; ? + ?
TAT91 - CTABELA 021;  CURATED_INTERNAL_MAINFRAME_ESTRUTURAIS.TAT91_TABELAS - TAYD91C0_CTABELA 021</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</si>
  <si>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INTERFACE_DCT01.DCYR8101_CFAMILIA IN ( 'NT'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INTERFACE_DCT01.DCYR8101_CFAMILIA IN ( 'NT' )
    AND CONF_TRANSACTION_TYPE_CONVERTER. SOURCE_TRANSACTION_TYPE_CODE = 'coperac' AND CONF_TRANSACTION_TYPE_CONVERTER.SOURCE_CODE = '00' AND CONF_TRANSACTION_TYPE_CONVERTER.SOURCE_VALUE = TCT09_OPERCN.COPERAC
    AND CONF_GENERAL_CODE_CONVERTER.CODE_CATEGORY = 'transaction_type_code' AND CONF_GENERAL_CODE_CONVERTER.SOURCE_CODE = 'TC' AND CONF_GENERAL_CODE_CONVERTER.SOURCE_VALUE = CONF_TRANSACTION_TYPE_CONVERTER.CDM_VALUE AND CONF_GENERAL_CODE_CONVERTER.PRIORITY_LEVEL = '1'
    AND TCT72_MOVCTA.DDIAOP &gt; SUBSTRING(LAST_DATA_DATE_PART, 1, 10) AND TCT72_MOVCTA.DDIAOP &lt;= SUBSTRING(LAST_DATA_DATE_PART, 11, 10)</t>
  </si>
  <si>
    <t>DCYR9750 || DCYR9750 
TCT72_MOVCTA</t>
  </si>
  <si>
    <t>COPERAC || CONCAT( OPERBAS, OPERBAN )
COPERAC</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</si>
  <si>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CONF_TRANSACTION_TYPE_CONVERTER.SOURCE_CODE = 'CR' AND CONF_TRANSACTION_TYPE_CONVERTER.SOURCE_TRANSACTION_TYPE_CODE  = 'tipofacn' AND CONF_TRANSACTION_TYPE_CONVERTER.SOURCE_VALUE =  CRT90_TBMOVDEB_NEW.CRT90DL_TIPOFACN 
    AND CONF_GENERAL_CODE_CONVERTER.CODE CATEGORY = 'transaction_type_code' AND CONF_GENERAL_CODE_CONVERTER.SOURCE_CODE = '00' AND CONF_GENERAL_CODE_CONVERTER.SOURCE_VALUE = '' AND CONF_GENERAL_CODE_CONVERTER.PRIORITY_LEVEL = '1'</t>
    </r>
  </si>
  <si>
    <t>Transaction Type:
N\A (A - Anulada; C - Tracer; D - Despesas banco ordenador; E - Criacao de remessa; I - Aceite de remessa; N - Anulação da Anulação; O - Anulação Liquidação Total; P - Liquidação Parcial; R - Anulação Liquidação Parcial; T - Liquidação Total); N\A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N\A
TAT91_TABELAS - CTABELA 021; CURATED_INTERNAL_MAINFRAME_ESTRUTURAIS.TAT91_TABELAS - TAYD91C0_CTABELA 021 || OB_OPERACION + OB_OPER_BASICA + CONCEPTO_LIQUID; ?
TAT91 - CTABELA 021; CURATED_INTERNAL_MAINFRAME_ESTRUTURAIS.TAT91_TABELAS - TAYD91C0_CTABELA 021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</si>
  <si>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
OPERATIONS_COMMON_REFERENCEDATA_CORE</t>
  </si>
  <si>
    <t>EST55_RDIMOV
EST54_REMIMP
EST78_REMEXP
EST79_RDEMOV
EST85_CREIMP
EST86_CDIMOV
EST85_CREIMP
EST86_CDIMOV
EST89_CREEXP
EST90_CDEMOV
MOVIMENTOS_CONSOLIDADOS
INTERFACE_DCT01
TCT72_MOVCTA
TCT09_OPERCN
CONF_TRANSACTION_TYPE_CONVERTER
CONF_GENERAL_CODE_CONVERTER
CONF_LITIGATION_PRODUCT</t>
  </si>
  <si>
    <t>N\A
N\A
N\A
N\A
N\A
N\A
N\A
N\A
N\A
N\A
N\A
N\A
N\A
N\A
CDM_VALUE
N\A
N\A</t>
  </si>
  <si>
    <r>
      <rPr>
        <sz val="11"/>
        <color rgb="FF000000"/>
        <rFont val="Calibri"/>
        <scheme val="minor"/>
      </rPr>
      <t xml:space="preserve">SELECT CONF_GENERAL_CONVERTER.CDM_VALUE
WHERE SUBSTRING(EST55_RDIMOV.HTIMEST, 1, 10) &gt; SUBSTRING(LAST_DATA_DATE_PART, 1, 10) AND SUBSTRING(EST55_RDIMOV.HTIMEST, 1, 10) &lt;= SUBSTRING(LAST_DATA_DATE_PART, 11, 10)
     AND CONF_TRANSACTION_TYPE_CONVERTER.SOURCE_CODE = 'RM' AND CONF_TRANSACTION_TYPE_CONVERTER.SOURCE_TRANSACTION_TYPE_CODE  = 'codrm' AND CONF_TRANSACTION_TYPE_CONVERTER.SOURCE_VALUE =  EST55_RDIMOV.TIPMOV AND CONF_GENERAL_CONVERTER.CODE CATEGORY = 'transaction_type_code' AND CONF_GENERAL_CONVERTER.SOURCE_CODE = '00' AND CONF_GENERAL_CONVERTER.SOURCE_VALUE = CONF_TRANSACTION_TYPE_CONVERTER.CDM_VALUE AND CONF_GENERAL_CONVERTER.PRIORITY_LEVEL = '1'
SELECT CONF_GENERAL_CONVERTER.CDM_VALUE
WHERE WHERE SUBSTRING(EST79_RDEMOV.HTIMEST, 1, 10) &gt; SUBSTRING(LAST_DATA_DATE_PART, 1, 10) AND SUBSTRING(EST79_RDEMOV.HTIMEST, 1, 10) &lt;= SUBSTRING(LAST_DATA_DATE_PART, 11, 10)
   AND CONF_TRANSACTION_TYPE_CONVERTER.SOURCE_CODE = 'RX' AND CONF_TRANSACTION_TYPE_CONVERTER.SOURCE_TRANSACTION_TYPE_CODE  = 'codrx' AND CONF_TRANSACTION_TYPE_CONVERTER.SOURCE_VALUE =  EST79_RDEMOV.TIPMOV AND CONF_GENERAL_CONVERTER.CODE_CATEGORY = 'transaction_type_code' AND CONF_GENERAL_CONVERTER.SOURCE_CODE = '00' AND CONF_GENERAL_CONVERTER.SOURCE_VALUE = CONF_TRANSACTION_TYPE_CONVERTER.CDM_VALUE AND CONF_GENERAL_CONVERTER.PRIORITY_LEVEL = '1'
SELECT CONF_GENERAL_CONVERTER.CDM_VALUE
WHERE SUBSTRING(EST86_CDIMOV.HTIMEST, 1, 10) &gt; SUBSTRING(LAST_DATA_DATE_PART, 1, 10) AND SUBSTRING(EST86_CDIMOV.HTIMEST, 1, 10) &lt;= SUBSTRING(LAST_DATA_DATE_PART, 11, 10)
    AND NOT( EST85_CREIMP.CKPRODUT = '038' AND EST85_CREIMP.CKSUBPRO IN ( '002', '003') 
   AND CONF_TRANSACTION_TYPE_CONVERTER.SOURCE_CODE = 'MC' AND CONF_TRANSACTION_TYPE_CONVERTER.SOURCE_TRANSACTION_TYPE_CODE  = 'codmc' AND CONF_TRANSACTION_TYPE_CONVERTER.SOURCE_VALUE =  EST86_CDIMOV.TIPMOV AND CONF_GENERAL_CONVERTER.CODE CATEGORY = 'transaction_type_code' AND CONF_GENERAL_CONVERTER.SOURCE_CODE = '00' AND CONF_GENERAL_CONVERTER.SOURCE_VALUE = CONF_TRANSACTION_TYPE_CONVERTER.CDM_VALUE AND CONF_GENERAL_CONVERTER.PRIORITY_LEVEL = '1'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SUBSTRING(EST86_CDIMOV.HTIMEST, 1, 10) &gt; SUBSTRING(LAST_DATA_DATE_PART, 1, 10) AND SUBSTRING(EST86_CDIMOV.HTIMEST, 1, 10) &lt;= SUBSTRING(LAST_DATA_DATE_PART, 11, 10)
    AND ( EST85_CREIMP.CKPRODUT = '038' AND EST85_CREIMP.CKSUBPRO IN ( '002', '003') 
   AND CONF_TRANSACTION_TYPE_CONVERTER.SOURCE_CODE = 'MC' AND CONF_TRANSACTION_TYPE_CONVERTER.SOURCE_TRANSACTION_TYPE_CODE  = 'codmc' AND CONF_TRANSACTION_TYPE_CONVERTER.SOURCE_VALUE =  EST86_CDIMOV.TIPMOV AND CONF_GENERAL_CONVERTER.CODE CATEGORY = 'transaction_type_code' AND CONF_GENERAL_CONVERTER.SOURCE_CODE = '00' AND CONF_GENERAL_CONVERTER.SOURCE_VALUE = CONF_TRANSACTION_TYPE_CONVERTER.CDM_VALUE AND CONF_GENERAL_CONVERTER.PRIORITY_LEVEL = '1' 
SELECT CONF_GENERAL_CONVERTER.CDM_VALUE
WHERE SUBSTRING(EST90_CDEMOV.HTIMEST, 1, 10) &gt; SUBSTRING(LAST_DATA_DATE_PART, 1, 10) AND SUBSTRING(EST90_CDEMOV.HTIMEST, 1, 10) &lt;= SUBSTRING(LAST_DATA_DATE_PART, 11, 10)
   AND CONF_TRANSACTION_TYPE_CONVERTER.SOURCE_TRANSACTION_TYPE_CODE  = 'codxc' AND CONF_TRANSACTION_TYPE_CONVERTER.SOURCE_VALUE =  EST90_CDEMOV.TIPMOV AND CONF_GENERAL_CONVERTER.CODE CATEGORY = 'transaction_type_code' AND CONF_GENERAL_CONVERTER.SOURCE_CODE = '00' AND CONF_GENERAL_CONVERTER.SOURCE_VALUE = CONF_TRANSACTION_TYPE_CONVERTER.CDM_VALUE AND CONF_GENERAL_CONVERTER.PRIORITY_LEVEL = '1'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CONF_LITIGATION_PRODUCT.SOURCE_PRODUCT_ID = '029' OR CONF_LITIGATION_PRODUCT.SOURCE_PRODUCT_ID = '030' ) AND ( CONF_LITIGATION_PRODUCT.SOURCE_SUBPRODUCT_ID = '083' OR CONF_LITIGATION_PRODUCT.SOURCE_SUBPRODUCT_ID = '085' OR CONF_LITIGATION_PRODUCT.SOURCE_SUBPRODUCT_ID = '302'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'00' AND CONF_GENERAL_CODE_CONVERTER.SOURCE_VALUE = CONF_TRANSACTION_TYPE_CONVERTER.CDM_VALUE AND CONF_GENERAL_CODE_CONVERTER.PRIORITY_LEVEL = '1' AND CONF_LITIGATION_PRODUCT.SOURCE_PRODUCT_ID = '029' AND CONF_LITIGATION_PRODUCT.SOURCE_SUBPRODUCT_ID = '213' )
SELECT CONF_GENERAL_CODE_CONVERTER.CDM_VALUE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AND CONF_TRANSACTION_TYPE_CONVERTER. SOURCE_TRANSACTION_TYPE_CODE = 'coperac' AND CONF_TRANSACTION_TYPE_CONVERTER.SOURCE_CODE = 'TC' AND CONF_TRANSACTION_TYPE_CONVERTER.SOURCE_VALUE = TCT09_OPERCN.COPERAC AND CONF_GENERAL_CODE_CONVERTER.CODE_CATEGORY = 'transaction_type_code' AND CONF_GENERAL_CODE_CONVERTER.SOURCE_CODE = '00' AND CONF_GENERAL_CODE_CONVERTER.SOURCE_VALUE = CONF_TRANSACTION_TYPE_CONVERTER.CDM_VALUE AND CONF_GENERAL_CODE_CONVERTER.PRIORITY_LEVEL = '1' EXCEPT LAST DATA_DATE_PART</t>
    </r>
  </si>
  <si>
    <t>TIPMOV
TIPMOV
TIPMOV
TIPMOV
COPERAC || CONCAT ( OPERBAS, OPERBAN )
COPERAC</t>
  </si>
  <si>
    <t>Process Bank ID</t>
  </si>
  <si>
    <t>process_bank_id</t>
  </si>
  <si>
    <t>Identifier of the factoring process bank to which the factoring contract is associated to.</t>
  </si>
  <si>
    <t>Identifica o banco interno (cempresa) do processo associado à transação.</t>
  </si>
  <si>
    <t xml:space="preserve">
</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</si>
  <si>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'FA' AND CONF_GENERAL_CONVERTER.SOURCE_VALUE = ''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</si>
  <si>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N\A</t>
  </si>
  <si>
    <t>"89"
"NULL"
"#N/A"</t>
  </si>
  <si>
    <t>Souce Data Timestamp</t>
  </si>
  <si>
    <t>source_data_timestamp</t>
  </si>
  <si>
    <t>Int Inf - Trans Op Inf - Date</t>
  </si>
  <si>
    <t>TIMESTAMP</t>
  </si>
  <si>
    <t>Timestamp of when transaction took place.</t>
  </si>
  <si>
    <t>Representa o timestamp do instante no qual a transação ocorreu.</t>
  </si>
  <si>
    <t>DCYR9750_HTIMEST
N\A
N\A</t>
  </si>
  <si>
    <r>
      <rPr>
        <b/>
        <sz val="11"/>
        <color rgb="FF000000"/>
        <rFont val="Calibri"/>
        <scheme val="minor"/>
      </rPr>
      <t xml:space="preserve">SELECT </t>
    </r>
    <r>
      <rPr>
        <sz val="11"/>
        <color rgb="FF000000"/>
        <rFont val="Calibri"/>
        <scheme val="minor"/>
      </rPr>
      <t xml:space="preserve">CAST( MOVIMENTOS_CONSOLIDADOS.DCYR9750_HTIMEST AS STRING)
</t>
    </r>
    <r>
      <rPr>
        <b/>
        <sz val="11"/>
        <color rgb="FF000000"/>
        <rFont val="Calibri"/>
        <scheme val="minor"/>
      </rPr>
      <t xml:space="preserve">WHERE </t>
    </r>
    <r>
      <rPr>
        <sz val="11"/>
        <color rgb="FF000000"/>
        <rFont val="Calibri"/>
        <scheme val="minor"/>
      </rPr>
      <t>INTERFACE_DCT01.DCYR8101_CFAMILIA IN ('IN', 'NC' )
    AND CONF_LITIGATION_PRODUCT.PRODUCT_ID IS NULL</t>
    </r>
  </si>
  <si>
    <t>HTIMEST</t>
  </si>
  <si>
    <t>Settled Amortization Due Date</t>
  </si>
  <si>
    <t>settled_amort_due_date</t>
  </si>
  <si>
    <t>Ext Inf - Trans Cal Inf - Date</t>
  </si>
  <si>
    <t>Identifies the sttled amortization due date of the installment associated with the transaction, if applicable.</t>
  </si>
  <si>
    <t>Identifica a data de liquidação da prestação associada à transação, se aplicável.</t>
  </si>
  <si>
    <t>EPT07_MOVCTA
EPT01_CONTAS
CONTBACH_PRESTM
EH_DET_REC_COB
EH_OPER_CONTR
EH_REL_REC_OPER
TCT09_OPERCN
TCT72_MOVCTA</t>
  </si>
  <si>
    <t>DLIQUID
N\A
N\A
N\A
N\A
E4282_FECALTA
N\A
DDIAOP</t>
  </si>
  <si>
    <r>
      <rPr>
        <b/>
        <sz val="11"/>
        <color rgb="FF000000"/>
        <rFont val="Calibri"/>
      </rPr>
      <t xml:space="preserve">SELECT </t>
    </r>
    <r>
      <rPr>
        <sz val="11"/>
        <color rgb="FF000000"/>
        <rFont val="Calibri"/>
      </rPr>
      <t xml:space="preserve">IF( TRIM( EPT07_MOVCTA.DLIQUID ) = '', NULL, EPT07_MOVCTA.DLIQUID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EH_REL_REC_OPER.E4282_FECALTA ) = '', NULL, EH_REL_REC_OPER.E4282_FECALTA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</si>
  <si>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EH_REL_REC_OPER
TCT72_MOVCTA</t>
  </si>
  <si>
    <t>DLIQUID
FECALTA
N\A</t>
  </si>
  <si>
    <r>
      <rPr>
        <b/>
        <sz val="11"/>
        <color rgb="FF000000"/>
        <rFont val="Calibri"/>
        <scheme val="minor"/>
      </rPr>
      <t xml:space="preserve">SELECT </t>
    </r>
    <r>
      <rPr>
        <sz val="11"/>
        <color rgb="FF000000"/>
        <rFont val="Calibri"/>
        <scheme val="minor"/>
      </rPr>
      <t>CAST( 1 AS BIGINT )</t>
    </r>
  </si>
  <si>
    <t>Financial Flow Indicator</t>
  </si>
  <si>
    <t>financial_flow_indicator</t>
  </si>
  <si>
    <t>Ext Inf - Trans Op Inf - Ind</t>
  </si>
  <si>
    <t>Identifies the transactions that directly, or indirectly, impacts an account, this is, there is movement of money.</t>
  </si>
  <si>
    <t>Indentifca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</si>
  <si>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CURATED_INTERNAL_MAINFRAME_EFEITOS
CURATED_INTERNAL_MAINFRAME_EFEITOS
CURATED_INTERNAL_MAINFRAME_CONTENCIOSO
CURATED_INTERNAL_MAINFRAME_CONTENCIOSO
CURATED_INTERNAL_MAINFRAME_ESTRUTURAIS</t>
  </si>
  <si>
    <t>EFT08_CONTAB_EFT 
EFT02_CRTEFT
TCT72_MOVCTA
TCT09_OPERCN
TAT91_TABELAS_NEW</t>
  </si>
  <si>
    <t>N\A
N\A
N\A
N\A
TAYD91C0_NELEMC05</t>
  </si>
  <si>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 xml:space="preserve">WHERE </t>
    </r>
    <r>
      <rPr>
        <sz val="11"/>
        <color rgb="FF000000"/>
        <rFont val="Calibri"/>
      </rPr>
      <t xml:space="preserve">SUBSTRING( EFT08_CONTAB_EFT.HTIMEST, 1, 10 ) &gt; SUBSTRING(LAST_DATA_DATE_PART, 1, 10) AND SUBSTRING( EFT08_CONTAB_EFT.HTIMEST, 1, 10 ) &lt;= SUBSTRING(LAST_DATA_DATE_PART, 11, 10) 
     AND TAT91_TABELAS_NEW.TAYD91C0_CTABELA = '021' AND SUBSTRING( TAT91_TABELAS_NEW.TAYD91C0_CELEMTAB, 1, 3 ) = EFT08_CONTAB_EFT.COPERAC
</t>
    </r>
    <r>
      <rPr>
        <b/>
        <sz val="11"/>
        <color rgb="FF000000"/>
        <rFont val="Calibri"/>
      </rPr>
      <t xml:space="preserve">SELECT </t>
    </r>
    <r>
      <rPr>
        <sz val="11"/>
        <color rgb="FF000000"/>
        <rFont val="Calibri"/>
      </rPr>
      <t xml:space="preserve">IF( TRIM( SUBSTRING( TAT91_TABELAS_NEW.TAYD91C0_NELEMC05, 2, 1), NULL, SUBSTRING( TAT91_TABELAS_NEW.TAYD91C0_NELEMC05, 2, 1) )
</t>
    </r>
    <r>
      <rPr>
        <b/>
        <sz val="11"/>
        <color rgb="FF000000"/>
        <rFont val="Calibri"/>
      </rPr>
      <t xml:space="preserve">WHERE </t>
    </r>
    <r>
      <rPr>
        <sz val="11"/>
        <color rgb="FF000000"/>
        <rFont val="Calibri"/>
      </rPr>
      <t>TCT72_MOVCTA.DDIAOP &gt; SUBSTRING( LAST_DATA_DATE_PART, 1, 10) AND TCT72_MOVCTA.DDIAOP &lt;= SUBSTRING( LAST_DATA_DATE_PART, 11, 10)
     AND TAT91_TABELAS_NEW.TAYD91C0_CTABELA = '021' AND SUBSTRING( TAT91_TABELAS_NEW.TAYD91C0_CELEMTAB, 1, 3 ) = TCT72_MOVCTA.COPERAC</t>
    </r>
  </si>
  <si>
    <t>Accounting Operation Code</t>
  </si>
  <si>
    <t>accounting_operation_code</t>
  </si>
  <si>
    <t>Sintra's accounting operation code (COPERAC), This code defines the transaction, for example, principal, comissions, etc.</t>
  </si>
  <si>
    <t>Código contabilístico de tipo de transação Sintra (COPERAC). O código define a tipologia de movimento, por exemplo, capital, comissões, etc.</t>
  </si>
  <si>
    <t>Accounting Operation:
TAT91 - CTABELA 021;  CURATED_INTERNAL_MAINFRAME_ESTRUTURAIS.TAT91_TABELAS - TAYD91C0_CTABELA 021</t>
  </si>
  <si>
    <t>N\A
N\A
DCYR9750_COPERAC
N\A
COPERAC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</si>
  <si>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MOVIMENTOS_CONSOLIDADOS.DCYR9750_COPERAC ) = '', NULL, MOVIMENTOS_CONSOLIDADOS.DCYR9750_COPERAC )
WHERE CONF_LITIGATION_PRODUCT.SOURCE_CODE = 'CR' AND CONF_LITIGATION_PRODUCT.PRODUCT_ID = INTERFACE_DCT01.DCYR8101_CKPRODUT AND CONF_LITIGATION_PRODUCT.SUBPRODUCT_ID = INTERFACE_DCT01.DCYR8101_CKSUBPRO
SELECT IF( TRIM( TCT72_MOVCTA.COPERAC ) = '', NULL, TCT72_MOVCTA.COPERAC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</si>
  <si>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N\A
N\A
COPERAC
COPERAC</t>
  </si>
  <si>
    <t>"#N/A"
"#N/A"
N\A
N\A</t>
  </si>
  <si>
    <t>Transfer Reference</t>
  </si>
  <si>
    <t>transfer_reference</t>
  </si>
  <si>
    <t>If the movement is a payment or a transfer it contains its reference.</t>
  </si>
  <si>
    <t>Se aplicável, identifica a transferência que gerou ou está associada à transação.</t>
  </si>
  <si>
    <t>DCYR9750_GREFMOV
N\A
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</si>
  <si>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TCT72_MOVCTA.GREFMOV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</si>
  <si>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GREFMOV
GREFMOV</t>
  </si>
  <si>
    <t>Key - Code</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</si>
  <si>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</si>
  <si>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</si>
  <si>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</si>
  <si>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
N\A</t>
  </si>
  <si>
    <r>
      <rPr>
        <b/>
        <sz val="11"/>
        <color rgb="FF000000"/>
        <rFont val="Calibri"/>
      </rPr>
      <t xml:space="preserve">SELECT </t>
    </r>
    <r>
      <rPr>
        <sz val="11"/>
        <color rgb="FF000000"/>
        <rFont val="Calibri"/>
      </rPr>
      <t xml:space="preserve">CONF_GENERAL_CONVERTER.TARGET_VALUE
</t>
    </r>
    <r>
      <rPr>
        <b/>
        <sz val="11"/>
        <color rgb="FF000000"/>
        <rFont val="Calibri"/>
      </rPr>
      <t xml:space="preserve">WHERE </t>
    </r>
    <r>
      <rPr>
        <sz val="11"/>
        <color rgb="FF000000"/>
        <rFont val="Calibri"/>
      </rPr>
      <t xml:space="preserve">SUBSTRING(BG_OPERACION.BGOP_TIMESTAM, 1, 10) &gt; SUBSTRING(LAST_DATA_DATE_PART, 1, 10) AND SUBSTRING(BG_OPERACION.BGOP_TIMESTAM, 1, 10) &lt;= SUBSTRING(LAST_DATA_DATE_PART, 11, 10) 
    AND CONF_GENERAL_CONVERTER.SOURCE_CODE = 'BG' AND CONF_GENERAL_CONVERTER.TARGET_FIELD  = 'transaction_type_code' AND CONF_GENERAL_CONVERTER.SOURCE_VALUE =  CONCAT( BG_OPERACION.BGOP_CODOPBS, BG_OPERACION.BGOP_CODOPBA )
    AND CONF_GENERAL_CONVERTER.TARGET_FIELD = 'transaction_type_code' AND CONF_GENERAL_CONVERTER.SOURCE_CODE = '00' AND CONF_GENERAL_CONVERTER.SOURCE_VALUE = '' AND CONF_GENERAL_CONVERTER.OPTION_NUMBER = '1'
   AND BG_CONTR_BATCH.CODSPROD != '550'
</t>
    </r>
    <r>
      <rPr>
        <b/>
        <sz val="11"/>
        <color rgb="FF000000"/>
        <rFont val="Calibri"/>
      </rPr>
      <t xml:space="preserve">SELECT </t>
    </r>
    <r>
      <rPr>
        <sz val="11"/>
        <color rgb="FF000000"/>
        <rFont val="Calibri"/>
      </rPr>
      <t xml:space="preserve">IF(
    ( CASE 
        WHEN MOVIMENTOS_CONSOLIDADOS.DCYR9750_OPERBAS = '160' AND MOVIMENTOS_CONSOLIDADOS.DCYR9750_OPERBAN = '001' THEN CONF_GENERAL_CODE_CONVERTER (COPERAC).TARGET_FIELD
        ELSE CONCAT( MOVIMENTOS_CONSOLIDADOS.DCYR9750_OPERBAS, MOVIMENTOS_CONSOLIDADOS.DCYR9750_OPERBAN ) ) IS NULL, NULL, CONF_GENERAL_CODE_CONVERTER (OBB).TARGET_VALUE )
</t>
    </r>
    <r>
      <rPr>
        <b/>
        <sz val="11"/>
        <color rgb="FF000000"/>
        <rFont val="Calibri"/>
      </rPr>
      <t xml:space="preserve">WHERE </t>
    </r>
    <r>
      <rPr>
        <sz val="11"/>
        <color rgb="FF000000"/>
        <rFont val="Calibri"/>
      </rPr>
      <t xml:space="preserve"> CONF_GENERAL_CODE_CONVERTER (1).TARGET_VALUE = 'transaction_type_code' AND CONF_GENERAL_CODE_CONVERTER (1).SOURCE_CODE = '00' AND CONF_GENERAL_CODE_CONVERTER (1).SOURCE_FIELD = CONCAT( LPAD( MOVIMENTOS_CONSOLIDADOS.DCYR9750_OPERBAS, 3, '0' ), LPAD( MOVIMENTOS_CONSOLIDADOS.DCYR9750_OPERBAN, 3, '0' ) ) AND CONF_GENERAL_CODE_CONVERTER (1).OPTION_NUMBER = 1
     AND TAT91_TABELAS_NEW.TAYD91C0_CTABELA = '021' AND SUBSTRING(TAT91_TABELAS_NEW.TAYD91C0_CELEMTAB, 1, 3) = MOVIMENTOS_CONSOLIDADOS.DCYR9750_COPERAC
     AND CONF_GENERAL_CODE_CONVERTER (OBB).CODE CATEGORY = 'transaction_type_code' AND CONF_GENERAL_CODE_CONVERTER (OBB).SOURCE_CODE = '00' AND CONF_GENERAL_CODE_CONVERTER (OBB).SOURCE_VALUE = CONF_GENERAL_CODE_CONVERTER (1).TARGET_VALUE AND CONF_GENERAL_CODE_CONVERTER (OBB).OPTION_NUMBER = '1'
     AND CONF_GENERAL_CODE_CONVERTER (COPERAC).CODE CATEGORY = 'transaction_type_code' AND CONF_GENERAL_CODE_CONVERTER (COPERAC).SOURCE_CODE = '00' CONF_GENERAL_CODE_CONVERTER (COPERAC).SOURCE_VALUE = SUBSTRING( TAT91_TABELAS_NEW.TAYD91C0_NELEMC05, 3, 3) AND CONF_GENERAL_CODE_CONVERTER (COPERAC).OPTION_NUMBER = '1'
    AND INTERFACE_DCT01.CKPRODUT = CONF_LITIGATION_PRODUCT.SOURCE_PRODUCT_ID AND INTERFACE_DCT01.CKSUBPRO = CONF_LITIGATION_PRODUCT.SOURCE_SUBPRODUCT_ID AND CONF_LITIGATION_PRODUCT.SOURCE_CODE = 'BG'
</t>
    </r>
    <r>
      <rPr>
        <b/>
        <sz val="11"/>
        <color rgb="FF000000"/>
        <rFont val="Calibri"/>
      </rPr>
      <t xml:space="preserve">SELECT </t>
    </r>
    <r>
      <rPr>
        <sz val="11"/>
        <color rgb="FF000000"/>
        <rFont val="Calibri"/>
      </rPr>
      <t xml:space="preserve">CONF_GENERAL_CODE_CONVERTER.TARGET_VALUE
</t>
    </r>
    <r>
      <rPr>
        <b/>
        <sz val="11"/>
        <color rgb="FF000000"/>
        <rFont val="Calibri"/>
      </rPr>
      <t xml:space="preserve">WHERE </t>
    </r>
    <r>
      <rPr>
        <sz val="11"/>
        <color rgb="FF000000"/>
        <rFont val="Calibri"/>
      </rPr>
      <t>TCT72_MOVCTA.DDIAOP &gt; SUBSTRING( LAST_DATA_DATE_PART, 1, 10 ) AND TCT72_MOVCTA.DDIAOP &lt;= SUBSTRING( LAST_DATA_DATE_PART, 11, 10 ) 
     AND TAT91_TABELAS_NEW.TAYD91C0_CTABELA = '021' AND SUBSTRING( TAT91_TABELAS_NEW.TAYD91C0_CELEMTAB, 1, 3 ) = TCT72_MOVCTA.COPERAC
     AND CONF_GENERAL_CODE_CONVERTER (COPERAC).TARGET_FIELD = 'transaction_type_code' AND CONF_GENERAL_CODE_CONVERTER (COPERAC).SOURCE_CODE = '00'   AND CONF_GENERAL_CODE_CONVERTER (COPERAC).SOURCE_VALUE = SUBSTRING( TAT91_TABELAS_NEW.TAYD91C0_NELEMC05, 3, 3) 
     AND TCT09_OPERCN.CKPRODUT = CONF_LITIGATION_PRODUCT.SOURCE_PRODUCT_ID AND TCT09_OPERCN.CKSUBPRO = CONF_LITIGATION_PRODUCT.SOURCE_SUBPRODUCT_ID AND CONF_LITIGATION_PRODUCT.SOURCE_CODE = 'BG'</t>
    </r>
  </si>
  <si>
    <t>BG_OPERACION
DCYR9750 || DCYR9750
TCT72_MOVCTA</t>
  </si>
  <si>
    <t>CONCAT ( CODOPBS, CODOPBA )
COPERAC || CONCAT ( OPERBAS, OPERBAN )
COPERAC</t>
  </si>
  <si>
    <t>N\A
N\A || N\A
N\A</t>
  </si>
  <si>
    <t>Card's source application native transaction type code.</t>
  </si>
  <si>
    <t>Código que caracteriza a transação, sendo que, não é o código do MCD, mas sim da aplicação origem da transação. No caso de cartões, corresponde ao tipo de fatura.</t>
  </si>
  <si>
    <t>CRT90DL_INDORI, CRT90DL_TIPOFACN
N\A
N\A</t>
  </si>
  <si>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</si>
  <si>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CONCAT( INDORI, TIPOFAC )</t>
  </si>
  <si>
    <t>Process ID</t>
  </si>
  <si>
    <t>process_id</t>
  </si>
  <si>
    <t>Identifier of the factoring process associated with the factoring's contract.</t>
  </si>
  <si>
    <t>Identifica o processo associado à transação.</t>
  </si>
  <si>
    <t>MCC_NRPROCES
N\A
N\A
N\A
N\A
N\A
N\A
N\A</t>
  </si>
  <si>
    <r>
      <rPr>
        <b/>
        <sz val="11"/>
        <color rgb="FF000000"/>
        <rFont val="Calibri"/>
        <scheme val="minor"/>
      </rPr>
      <t>SELECT</t>
    </r>
    <r>
      <rPr>
        <sz val="11"/>
        <color rgb="FF000000"/>
        <rFont val="Calibri"/>
        <scheme val="minor"/>
      </rPr>
      <t xml:space="preserve"> CONCAT('0000', SUBSTRING( EUR_MOVICCOR.MCC_NRPROCES, 3, 11 )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</si>
  <si>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CONCAT( "0000", NRPROCES( 3, 11 ) )
N\A
N\A</t>
  </si>
  <si>
    <t>N\A
"NULL"
"#N/A"</t>
  </si>
  <si>
    <t>CURATED_INTERNAL_MAINFRAME_CONTAS
CURATED_INTERNAL_MAINFRAME_CONTAS
OPERATIONS_COMMON_REFERENCEDATA_CORE
OPERATIONS_COMMON_REFERENCEDATA_CORE
OPERATIONS_COMMON_REFERENCEDATA_CORE</t>
  </si>
  <si>
    <t>MOVIMENTOS_CONSOLIDADOS
INTERFACE_DCT01
CONF_TRANSACTION_TYPE_CONVERTER
CONF_GENERAL_CODE_CONVERTER
CONF_LITIGATION_PRODUCT</t>
  </si>
  <si>
    <t>N\A
N\A
N\A
CDM_VALUE
N\A</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</si>
  <si>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INTERFACE_DCT01.DCYR8101_CFAMILIA IN ('IN', 'NC' )
</t>
    </r>
    <r>
      <rPr>
        <b/>
        <sz val="11"/>
        <color rgb="FF000000"/>
        <rFont val="Calibri"/>
        <scheme val="minor"/>
      </rPr>
      <t xml:space="preserve">    </t>
    </r>
    <r>
      <rPr>
        <sz val="11"/>
        <color rgb="FF000000"/>
        <rFont val="Calibri"/>
        <scheme val="minor"/>
      </rPr>
      <t>AND CONF_LITIGATION_PRODUCT.PRODUCT_ID IS NULL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t>
    </r>
  </si>
  <si>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</si>
  <si>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DCYR9750_COPERAC
COPERAC</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</si>
  <si>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 'CR' </t>
    </r>
  </si>
  <si>
    <t>COPERAC</t>
  </si>
  <si>
    <t>Transaction Execution Date</t>
  </si>
  <si>
    <t>transaction_execution_date</t>
  </si>
  <si>
    <t>Represents the date in which the transaction was actually executed. Not to be mistaken by the moment in which the transaction was performed.</t>
  </si>
  <si>
    <t>Data efetiva de execução da transação.</t>
  </si>
  <si>
    <t>Transaction Date Time</t>
  </si>
  <si>
    <t xml:space="preserve">TRANSACTION_DATE_TIME </t>
  </si>
  <si>
    <r>
      <rPr>
        <b/>
        <sz val="11"/>
        <color rgb="FF000000"/>
        <rFont val="Calibri"/>
        <scheme val="minor"/>
      </rPr>
      <t>SELECT</t>
    </r>
    <r>
      <rPr>
        <sz val="11"/>
        <color rgb="FF000000"/>
        <rFont val="Calibri"/>
        <scheme val="minor"/>
      </rPr>
      <t xml:space="preserve"> IF( TRIM( TRANSACTIONS.TRANSACTION_DATE_TIME ) = '', NULL, CONCAT( SUBSTRING( TRANSACTIONS.TRANSACTION_DATE_TIME , 1, 4 ), '-', SUBSTRING( TRANSACTIONS.TRANSACTION_DATE_TIME , 5, 2 ), '-', SUBSTRING( TRANSACTIONS.TRANSACTION_DATE_TIME , 7, 2 )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</si>
  <si>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LG - Client Movement Detail )</t>
  </si>
  <si>
    <t>DCYR9750_COPERAC
N\A
COPERAC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</si>
  <si>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</si>
  <si>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N\A
N\A
N\A
N\A
EH10_CODBAS, EH10_CODOPEOB
N\A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</si>
  <si>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</si>
  <si>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N\A
CONCAT( CODOPBAS, CODOPEOB )
N\A</t>
  </si>
  <si>
    <t>"#N/A"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</si>
  <si>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</si>
  <si>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t>Accounting Concept Code</t>
  </si>
  <si>
    <t>accounting_concept_code</t>
  </si>
  <si>
    <t>Partenon's accounting concept code associated to the transaction and its basic banking operation. This code identifies if the transaction represents principal, commissions, etc.</t>
  </si>
  <si>
    <t>Conceito contabilístico associado à transação e à sua OBB, por exemplo, identifica se a transação é capital, comissão, etc.</t>
  </si>
  <si>
    <t>Accounting Concept:
CONCEPTO_CONTRA + CONCEPTO_LIQUID; CURATED_INTERNAL_MAINFRAME_ESTRUTURAIS.CONCEPTO_CONTRA + CURATED_INTERNAL_MAINFRAME_ESTRUTURAIS.CONCEPTO_LIQUID</t>
  </si>
  <si>
    <t>N\A
DPYR0580_TIPMVTO</t>
  </si>
  <si>
    <r>
      <rPr>
        <b/>
        <sz val="11"/>
        <color rgb="FF000000"/>
        <rFont val="Calibri"/>
        <scheme val="minor"/>
      </rPr>
      <t xml:space="preserve">SELECT </t>
    </r>
    <r>
      <rPr>
        <sz val="11"/>
        <color rgb="FF000000"/>
        <rFont val="Calibri"/>
        <scheme val="minor"/>
      </rPr>
      <t>IF( TRIM( DP_DPYR0580_MOVIMENTOS.DPYR0580_TIPMVTO ) = '', NULL, DP_DPYR0580_MOVIMENTOS.DPYR0580_TIPMVTO )</t>
    </r>
    <r>
      <rPr>
        <b/>
        <sz val="11"/>
        <color rgb="FF000000"/>
        <rFont val="Calibri"/>
        <scheme val="minor"/>
      </rPr>
      <t xml:space="preserve"> </t>
    </r>
  </si>
  <si>
    <t>TIPMOVT</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</si>
  <si>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t>
  </si>
  <si>
    <t>EST55_RDIMOV
EST54_REMIMP
EST78_REMEXP
EST79_RDEMOV
EST85_CREIMP
EST86_CDIMOV
EST85_CREIMP
EST86_CDIMOV
EST89_CREEXP
EST90_CDEMOV
MOVIMENTOS_CONSOLIDADOS
INTERFACE_DCT01
TCT72_MOVCTA
TCT09_OPERCN
CONF_FINANCIAL_FLOW_INDICATOR_CONVERTER
CONF_LITIGATION_PRODUCT</t>
  </si>
  <si>
    <t>SELECT CAST( CONF_FINANCIAL_FLOW_INDICATOR_CONVERTER.CDM_VALUE AS STRING )
WHERE SUBSTRING(EST55_RDIMOV.HTIMEST, 1, 10) &gt; SUBSTRING(LAST_DATA_DATE_PART, 1, 10) AND SUBSTRING(EST55_RDIMOV.HTIMEST, 1, 10) &lt;= SUBSTRING(LAST_DATA_DATE_PART, 11, 10)
   AND EST54_REMIMP.ESYD54C0_MONTABE &gt; 0 AND CONF_FINANCIAL_FLOW_INDICATOR_CONVERTER.SOURCE_TRANSACTION_TYPE_CODE = 'tipmov' AND CONF_FINANCIAL_FLOW_INDICATOR_CONVERTER.SOURCE_CODE = 'RM' AND  EST55_RDIMOV.TIPMOV = CONF_FINANCIAL_FLOW_INDICATOR_CONVERTER.SOURCE_VALUE
SELECT CAST( CONF_FINANCIAL_FLOW_INDICATOR_CONVERTER.CDM_VALUE AS STRING )
WHERE SUBSTRING(EST79_RDEMOV.HTIMEST, 1, 10) &gt; SUBSTRING(LAST_DATA_DATE_PART, 1, 10) AND SUBSTRING(EST79_RDEMOV.HTIMEST, 1, 10) &lt;= SUBSTRING(LAST_DATA_DATE_PART, 11, 10)
   AND CONF_FINANCIAL_FLOW_INDICATOR_CONVERTER.SOURCE_TRANSACTION_TYPE_CODE = 'tipmov' AND CONF_FINANCIAL_FLOW_INDICATOR_CONVERTER.SOURCE_CODE = 'RX' AND  EST79_RDEMOV.TIPMOV = CONF_FINANCIAL_FLOW_INDICATOR_CONVERTER.SOURCE_VALUE
SELECT CAST( CONF_FINANCIAL_FLOW_INDICATOR_CONVERTER.CDM_VALUE AS STRING )
WHERE SUBSTRING(EST86_CDIMOV.HTIMEST, 1, 10) &gt; SUBSTRING(LAST_DATA_DATE_PART, 1, 10) AND SUBSTRING(EST86_CDIMOV.HTIMEST, 1, 10) &lt;= SUBSTRING(LAST_DATA_DATE_PART, 11, 10)
    AND NOT( EST85_CREIMP.CKPRODUT = '038' AND EST85_CREIMP.CKSUBPRO IN ( '002', '003')
   AND CONF_FINANCIAL_FLOW_INDICATOR_CONVERTER.SOURCE_TRANSACTION_TYPE_CODE = 'tipmov' AND CONF_FINANCIAL_FLOW_INDICATOR_CONVERTER.SOURCE_CODE = 'MC' AND  EST86_CDIMOV.TIPMOV = CONF_FINANCIAL_FLOW_INDICATOR_CONVERTER.SOURCE_VALUE
SELECT CAST( CONF_FINANCIAL_FLOW_INDICATOR_CONVERTER.CDM_VALUE AS STRING )
WHERE SUBSTRING(EST86_CDIMOV.HTIMEST, 1, 10) &gt; SUBSTRING(LAST_DATA_DATE_PART, 1, 10) AND SUBSTRING(EST86_CDIMOV.HTIMEST, 1, 10) &lt;= SUBSTRING(LAST_DATA_DATE_PART, 11, 10)
    AND ( EST85_CREIMP.CKPRODUT = '038' AND EST85_CREIMP.CKSUBPRO IN ( '002', '003')
   AND CONF_FINANCIAL_FLOW_INDICATOR_CONVERTER.SOURCE_TRANSACTION_TYPE_CODE = 'tipmov' AND CONF_FINANCIAL_FLOW_INDICATOR_CONVERTER.SOURCE_CODE = 'MC' AND  EST86_CDIMOV.TIPMOV = CONF_FINANCIAL_FLOW_INDICATOR_CONVERTER.SOURCE_VALUE
SELECT CAST( CONF_FINANCIAL_FLOW_INDICATOR_CONVERTER.CDM_VALUE AS STRING )
WHERE SUBSTRING(EST90_CDEMOV.HTIMEST, 1, 10) &gt; SUBSTRING(LAST_DATA_DATE_PART, 1, 10) AND SUBSTRING(EST90_CDEMOV.HTIMEST, 1, 10) &lt;= SUBSTRING(LAST_DATA_DATE_PART, 11, 10)
   AND CONF_FINANCIAL_FLOW_INDICATOR_CONVERTER.SOURCE_TRANSACTION_TYPE_CODE = 'tipmov' AND CONF_FINANCIAL_FLOW_INDICATOR_CONVERTER.SOURCE_CODE = 'MC' AND EST90_CDEMOV.TIPMOV = CONF_FINANCIAL_FLOW_INDICATOR_CONVERTER.SOURCE_VALUE
SELECT 1
WHERE ( ( CONF_LITIGATION_PRODUCT.SOURCE_PRODUCT_ID = '029' OR CONF_LITIGATION_PRODUCT.SOURCE_PRODUCT_ID = '030' ) AND ( CONF_LITIGATION_PRODUCT.SOURCE_SUBPRODUCT_ID = '083' OR CONF_LITIGATION_PRODUCT.SOURCE_SUBPRODUCT_ID = '085' OR CONF_LITIGATION_PRODUCT.SOURCE_SUBPRODUCT_ID = '302' )
SELECT CAST( CONF_FINANCIAL_FLOW_INDICATOR_CONVERTER.CDM_VALUE AS STRING )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AND CONF_FINANCIAL_FLOW_INDICATOR_CONVERTER.SOURCE_TRANSACTION_TYPE_CODE = 'coperac' AND CONF_FINANCIAL_FLOW_INDICATOR_CONVERTER.SOURCE_CODE = 'TC' AND CONF_GENERAL_CONVERTER.PRIORITY_LEVEL = '1' EXCEPT LAST DATA_DATE_PART</t>
  </si>
  <si>
    <t>CURATED_INTERNAL_MAINFRAME_AVALES
CURATED_INTERNAL_MAINFRAME_AVALES
CURATED_INTERNAL_MAINFRAME_CONTAS
CURATED_INTERNAL_MAINFRAME_CONTAS
OPERATIONS_COMMON_REFERENCEDATA_CORE
OPERATIONS_COMMON_REFERENCEDATA_CORE</t>
  </si>
  <si>
    <t>BG_OPERACION
BG_CONTR_BATCH
MOVIMENTOS_CONSOLIDADOS
INTERFACE_DCT01
CONF_FINANCIAL_FLOW_INDICATOR_CONVERTER
CONF_LITIGATION_PRODUCT</t>
  </si>
  <si>
    <t>N\A
N\A
N\A
N\A
CDM_VALUE
N\A</t>
  </si>
  <si>
    <r>
      <rPr>
        <b/>
        <sz val="11"/>
        <color rgb="FF000000"/>
        <rFont val="Calibri"/>
      </rPr>
      <t xml:space="preserve">SELECT </t>
    </r>
    <r>
      <rPr>
        <sz val="11"/>
        <color rgb="FF000000"/>
        <rFont val="Calibri"/>
      </rPr>
      <t xml:space="preserve">CONF_GENERAL_CODE_CONVERTER.TARGET_VALUE
</t>
    </r>
    <r>
      <rPr>
        <b/>
        <sz val="11"/>
        <color rgb="FF000000"/>
        <rFont val="Calibri"/>
      </rPr>
      <t xml:space="preserve">WHERE </t>
    </r>
    <r>
      <rPr>
        <sz val="11"/>
        <color rgb="FF000000"/>
        <rFont val="Calibri"/>
      </rPr>
      <t xml:space="preserve">SUBSTRING(BG_OPERACION.BGOP_TIMESTAM, 1, 10) &gt; SUBSTRING(LAST_DATA_DATE_PART, 1, 10) AND SUBSTRING(BG_OPERACION.BGOP_TIMESTAM, 1, 10) &lt;= SUBSTRING(LAST_DATA_DATE_PART, 11, 10) 
   AND CONF_GENERAL_CODE_CONVERTER.TARGET_FIELD = 'financial_flow_indicator' AND CONF_GENERAL_CODE_CONVERTER.SOURCE_CODE = 'BG' AND CONF_GENERAL_CONVERTER.OPTION_NUMBER = '1' AND CONF_GENERAL_CODE_CONVERTER.SOURCE_VALUE =  CONCAT( BG_OPERACION.BGOP_CODOPBS, BG_OPERACION.BGOP_CODOPBA )
   AND BG_CONTR_BATCH.CODSPROD != '550'
</t>
    </r>
    <r>
      <rPr>
        <b/>
        <sz val="11"/>
        <color rgb="FF000000"/>
        <rFont val="Calibri"/>
      </rPr>
      <t xml:space="preserve">SELECT </t>
    </r>
    <r>
      <rPr>
        <sz val="11"/>
        <color rgb="FF000000"/>
        <rFont val="Calibri"/>
      </rPr>
      <t xml:space="preserve">CONF_GENERAL_CODE_CONVERTER.TARGET_VALUE
 </t>
    </r>
    <r>
      <rPr>
        <b/>
        <sz val="11"/>
        <color rgb="FF000000"/>
        <rFont val="Calibri"/>
      </rPr>
      <t>WHERE</t>
    </r>
    <r>
      <rPr>
        <sz val="11"/>
        <color rgb="FF000000"/>
        <rFont val="Calibri"/>
      </rPr>
      <t xml:space="preserve">  INTERFACE_DCT01.CKPRODUT = CONF_LITIGATION_PRODUCT.SOURCE_PRODUCT_ID AND INTERFACE_DCT01.CKSUBPRO = CONF_LITIGATION_PRODUCT.SOURCE_SUBPRODUCT_ID AND CONF_LITIGATION_PRODUCT.SOURCE_CODE = 'BG'
    AND CONF_GENERAL_CODE_CONVERTER.TARGET_FIELD = 'financial_flow_indicator' AND CONF_GENERAL_CODE_CONVERTER.OPTION_NUMBER = 1 AND CONF_GENERAL_CODE_CONVERTER.SOURCE_CODE = 'DC' AND CONF_GENERAL_CODE_CONVERTER.SOURCE_VALUE = ''
</t>
    </r>
    <r>
      <rPr>
        <b/>
        <sz val="11"/>
        <color rgb="FF000000"/>
        <rFont val="Calibri"/>
      </rPr>
      <t xml:space="preserve">SELECT </t>
    </r>
    <r>
      <rPr>
        <sz val="11"/>
        <color rgb="FF000000"/>
        <rFont val="Calibri"/>
      </rPr>
      <t xml:space="preserve">IF( TRIM( SUBSTRING( TAT91_TABELAS_NEW.TAYD91C0_NELEMC05, 2, 1), NULL, SUBSTRING( TAT91_TABELAS_NEW.TAYD91C0_NELEMC05, 2, 1) )
</t>
    </r>
    <r>
      <rPr>
        <b/>
        <sz val="11"/>
        <color rgb="FF000000"/>
        <rFont val="Calibri"/>
      </rPr>
      <t xml:space="preserve">WHERE </t>
    </r>
    <r>
      <rPr>
        <sz val="11"/>
        <color rgb="FF000000"/>
        <rFont val="Calibri"/>
      </rPr>
      <t>TCT72_MOVCTA.DDIAOP &gt; SUBSTRING( LAST_DATA_DATE_PART, 1, 10 ) AND TCT72_MOVCTA.DDIAOP &lt;= SUBSTRING( LAST_DATA_DATE_PART, 11, 10 ) 
     AND TAT91_TABELAS_NEW.TAYD91C0_CTABELA = '021' AND SUBSTRING( TAT91_TABELAS_NEW.TAYD91C0_CELEMTAB, 1, 3 ) = TCT72_MOVCTA.COPERAC
     AND TCT09_OPERCN.CKPRODUT = CONF_LITIGATION_PRODUCT.SOURCE_PRODUCT_ID AND TCT09_OPERCN.CKSUBPRO = CONF_LITIGATION_PRODUCT.SOURCE_SUBPRODUCT_ID AND CONF_LITIGATION_PRODUCT.SOURCE_CODE = 'BG'</t>
    </r>
  </si>
  <si>
    <t>CONCAT( CODOPBS, CODOPBA )
COPERAC || CONCAT ( OPERBAS, OPERBAN )
COPERAC</t>
  </si>
  <si>
    <t>Currency Code</t>
  </si>
  <si>
    <t>currency_code</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</si>
  <si>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</si>
  <si>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</si>
  <si>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TAT91_TABELAS - CTABELA 206; CURATED_INTERNAL_MAINFRAME_ESTRUTURAIS.TAT91_TABELAS - TAYD91C0_CTABELA 206
TAT91_TABELAS - CTABELA 206; CURATED_INTERNAL_MAINFRAME_ESTRUTURAIS.TAT91_TABELAS - TAYD91C0_CTABELA 206</t>
  </si>
  <si>
    <t>Currency</t>
  </si>
  <si>
    <t>CMOEDA
N\A
CMOEDAOR
N\A</t>
  </si>
  <si>
    <r>
      <rPr>
        <b/>
        <sz val="11"/>
        <color rgb="FF000000"/>
        <rFont val="Calibri"/>
        <scheme val="minor"/>
      </rPr>
      <t xml:space="preserve">SELECT </t>
    </r>
    <r>
      <rPr>
        <sz val="11"/>
        <color rgb="FF000000"/>
        <rFont val="Calibri"/>
        <scheme val="minor"/>
      </rPr>
      <t xml:space="preserve">IF( TRIM( EFT08_CONTAB_EFT.CMOEDA ) = '', NULL, EFT08_CONTAB_EFT.CMOEDA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</si>
  <si>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CMOEDA
CMOEDAOR</t>
  </si>
  <si>
    <t>Accounting Operation Option Code</t>
  </si>
  <si>
    <t>accounting_operation_option_code</t>
  </si>
  <si>
    <t>Sintra's accounting transaction accounting option code. This code identifies the transaction of the application that generated the transaction.</t>
  </si>
  <si>
    <t>Opção contabilística Stringa associada à transação e ao seu código contabilístico Sintra. O código identifica a transação da aplicação que gera a transação.</t>
  </si>
  <si>
    <t>Accounting Operation Option:
?</t>
  </si>
  <si>
    <t>N\A
N\A
N\A
DCYR9750_COPERAC
N\A
COPCAO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</si>
  <si>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MOVIMENTOS_CONSOLIDADOS.DCYR9750_COPCAO ) = '', NULL, MOVIMENTOS_CONSOLIDADOS.DCYR9750_COPCAO )
WHERE CONF_LITIGATION_PRODUCT.SOURCE_CODE = 'CR' AND CONF_LITIGATION_PRODUCT.PRODUCT_ID = INTERFACE_DCT01.DCYR8101_CKPRODUT AND CONF_LITIGATION_PRODUCT.SUBPRODUCT_ID = INTERFACE_DCT01.DCYR8101_CKSUBPRO
SELECT IF( TRIM( TCT72_MOVCTA.COPCAO ) = '', NULL, TCT72_MOVCTA.COPCAO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</si>
  <si>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N\A
N\A
COPCAO
COPCAO</t>
  </si>
  <si>
    <t>Chargeback Indicator</t>
  </si>
  <si>
    <t>chargeback_indicator</t>
  </si>
  <si>
    <t>Indicates whether the transaction was annulled or not.</t>
  </si>
  <si>
    <t>Identifica se a transação foi estornada, ou anulada, ou não.</t>
  </si>
  <si>
    <t>Annulation Indicator</t>
  </si>
  <si>
    <t>CRT90DL_INDESTR
N\A
N\A</t>
  </si>
  <si>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</si>
  <si>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INDESTR</t>
  </si>
  <si>
    <t>DCYR9750_COPCAO
COPCAO</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</si>
  <si>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 'CR' </t>
    </r>
  </si>
  <si>
    <t>COPCAO</t>
  </si>
  <si>
    <t>Transaction Type:
TAT91_TABELAS - CTABELA 021; CURATED_INTERNAL_MAINFRAME_ESTRUTURAIS.TAT91_TABELAS - TAYD91C0_CTABELA 021|| OB_OPERACION + OB_OPER_BASICA; ? + ?
TAT91_TABELAS - CTABELA 021; CURATED_INTERNAL_MAINFRAME_ESTRUTURAIS.TAT91_TABELAS - TAYD91C0_CTABELA 021</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</si>
  <si>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INTERFACE_DCT01.DCYR8101_CFAMILIA IN ( 'ME', 'MN'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INTERFACE_DCT01.DCYR8101_CFAMILIA IN ( 'ME', 'MN' )
    AND CONF_TRANSACTION_TYPE_CONVERTER. SOURCE_TRANSACTION_TYPE_CODE = 'coperac' AND CONF_TRANSACTION_TYPE_CONVERTER.SOURCE_CODE = '00' AND CONF_TRANSACTION_TYPE_CONVERTER.SOURCE_VALUE = TCT09_OPERCN.COPERAC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SUBSTRING(LAST_DATA_DATE_PART, 1, 10) AND TCT72_MOVCTA.DDIAOP &lt;= SUBSTRING(LAST_DATA_DATE_PART, 11, 10)</t>
  </si>
  <si>
    <t>DCYR9750_COPERAC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</si>
  <si>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INTERFACE_DCT01.DCYR8101_CFAMILIA IN ('IN', 'NC' )
    AND CONF_LITIGATION_PRODUCT.PRODUCT_ID IS NULL</t>
    </r>
  </si>
  <si>
    <t>Transaction Type:
EUR_TAB_GERAL - 013; CURATED_INTERNAL_EUROFAC.EUR_TABGERAL - GER_CDTABGER 013
TAT91 - CTABELA 021;  CURATED_INTERNAL_MAINFRAME_ESTRUTURAIS.TAT91_TABELAS - TAYD91C0_CTABELA 021</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</si>
  <si>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
OPERATIONS_COMMON_REFERENCEDATA_CORE</t>
  </si>
  <si>
    <t>EUR_MOVICCOR
EUR_PROCESSO
EUR_CREDITO
MOVIMENTOS_CONSOLIDADOS
INTERFACE_DCT01
TCT72_MOVCTA
TCT09_OPERCN
CONF_GENERAL_CODE_CONVERTER
CONF_LITIGATION_PRODUCT
CONF_TRANSACTION_TYPE_CONVERTER</t>
  </si>
  <si>
    <t>N\A
N\A
N\A
N\A
N\A
N\A
N\A
CDM_VALUE
N\A
N\A</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</si>
  <si>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CONF_TRANSACTION_TYPE_CONVERTER.SOURCE_CODE = 'FA' AND CONF_TRANSACTION_TYPE_CONVERTER.SOURCE_TRANSACTION_TYPE_CODE  = 'codfa' AND CONF_TRANSACTION_TYPE_CONVERTER.SOURCE_VALUE =  CONCAT( EUR_MOVICCOR.MCC_CDMOVIME, EUR_MOVICCOR.MCC_CDSUBMOV ) AND CONF_GENERAL_CONVERTER.CODE CATEGORY = 'transaction_type_code' AND CONF_GENERAL_CONVERTER.SOURCE_CODE = '00' AND CONF_GENERAL_CONVERTER.SOURCE_VALUE = CONF_TRANSACTION_TYPE_CONVERTER.CDM_VALUE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WHERE</t>
    </r>
    <r>
      <rPr>
        <sz val="11"/>
        <color rgb="FF000000"/>
        <rFont val="Calibri"/>
        <scheme val="minor"/>
      </rPr>
      <t xml:space="preserve">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AND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CONF_TRANSACTION_TYPE_CONVERTER.SOURCE_CODE = '00' AND CONF_TRANSACTION_TYPE_CONVERTER.SOURCE_TRANSACTION_TYPE_CODE  = 'coperac' AND CONF_TRANSACTION_TYPE_CONVERTER.SOURCE_VALUE =  TCT72_MOVCTA.COPERAC AND CONF_GENERAL_CONVERTER.CODE CATEGORY = 'transaction_type_code' AND CONF_GENERAL_CONVERTER.SOURCE_CODE = '00' AND CONF_GENERAL_CONVERTER.SOURCE_VALUE = CONF_TRANSACTION_TYPE_CONVERTER.CDM_VALUE AND CONF_GENERAL_CONVERTER.PRIORITY_LEVEL = '1'
   AND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</si>
  <si>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DCYR9750 || DCYR9750 
TCT72_MOVCTA</t>
  </si>
  <si>
    <t>CONCAT ( CDMOVIME, CDSUBMOV )
COPERAC || CONCAT( OPERBAS, OPERBAN )
COPERAC</t>
  </si>
  <si>
    <t>Transaction Type
L_MCD_EXPENSE_TYPE; CURATED_INTERNAL_MAINFRAME_LEASE.EXPENSE_TYPE</t>
  </si>
  <si>
    <t>CURATED_INTERNAL_MAINFRAME_LEASE
OPERATIONS_COMMON_REFERENCEDATA_CORE
OPERATIONS_COMMON_REFERENCEDATA_CORE</t>
  </si>
  <si>
    <t>TRANSACTIONS
CONF_TRANSACTION_TYPE_CONVERTER
CONF_GENERAL_CODE_CONVERTER</t>
  </si>
  <si>
    <t>N\A
CDM_VALUE
N\A</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</si>
  <si>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CONF_TRANSACTION_TYPE_CONVERTER.SOURCE_CODE = 'LG' AND CONF_TRANSACTION_TYPE_CONVERTER.SOURCE_TRANSACTION_TYPE_CODE  = 'codlg' AND CONF_TRANSACTION_TYPE_CONVERTER.SOURCE_VALUE =  TRANSACTIONS.TRANSACTION_TYPE_ID AND CONF_GENERAL_CONVERTER.CODE CATEGORY = 'transaction_type_code' AND CONF_GENERAL_CONVERTER.SOURCE_CODE = '00' AND CONF_GENERAL_CONVERTER.SOURCE_VALUE = CONF_TRANSACTION_TYPE_CONVERTER.CDM_VALUE AND CONF_GENERAL_CONVERTER.PRIORITY_LEVEL = '1'</t>
    </r>
  </si>
  <si>
    <t>Accounting Concept Type Code</t>
  </si>
  <si>
    <t>accounting_concept_type_code</t>
  </si>
  <si>
    <t>Partenon's accounting concept type associated with the transaction and its basic banking operation, for example: Conceito de Saldo; Conceito de Liquidação. This code identifies the type of impact \ utility of the transaction, if it is an amortization, a change in balance, ect.</t>
  </si>
  <si>
    <t>Tipo de conceito contabilístico associado à transação e à sua OBB, por exemplo: Conceito de Saldo, Conceito de Liquidação. Este código identifica o tipo de impacto \ utilidade da transação, por exemplo, se é uma amortização, uma mudança contabilística de saldo, etc.</t>
  </si>
  <si>
    <t>Accounting Concept Type:
? (CS - Conceito Saldo; CL - Conceito Liquidação)</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</si>
  <si>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</si>
  <si>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RESU_OPER_PRTM
TCT09_OPERCN
TCT72_MOVCTA</t>
  </si>
  <si>
    <t>N\A
N\A
N\A
N\A
N\A
E4282_INDCONC1
HROP_INDCONCP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</si>
  <si>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EH_REL_REC_OPER.E4282_INDCONC1 ) = '', NULL, EH_REL_REC_OPER.E4282_INDCONC1 )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'#N/A', IF( TRIM( RESU_OPER_PRTM.HROP_INDCONCP ) = '', NULL, RESU_OPER_PRTM.HROP_INDCONCP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</si>
  <si>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EH_REL_REC_OPER || RESU_OPER_PRTM
TCT72_MOVCTA</t>
  </si>
  <si>
    <t>N\A
INDCONC1 || INDCONCP
N\A</t>
  </si>
  <si>
    <t>"#N/A"
N\A || N\A
"#N/A"</t>
  </si>
  <si>
    <t>DCYR9750_COPCAO
N\A
COPCAO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</si>
  <si>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</si>
  <si>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COPCAO
COPCAO</t>
  </si>
  <si>
    <t>Transaction Type:
OB_OPERACION + OB_OPER_BASICA; ? + ?</t>
  </si>
  <si>
    <t>CURATED_INTERNAL_MAINFRAME_DEPOSITOSPRAZO
CURATED_INTERNAL_MAINFRAME_DEPOSITOSPRAZO
OPERATIONS_COMMON_REFERENCEDATA_CORE
OPERATIONS_COMMON_REFERENCEDATA_CORE</t>
  </si>
  <si>
    <t>DP_DPYR0550_DEPOSITOS
DP_DPYR0580_MOVIMENTOS
CONF_TRANSACTION_TYPE_CONVERTER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</si>
  <si>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CONF_TRANSACTION_TYPE_CONVERTER.SOURCE_CODE = 'DP' AND CONF_TRANSACTION_TYPE_CONVERTER.SOURCE_TRANSACTION_TYPE_CODE  = 'obb' AND CONF_TRANSACTION_TYPE_CONVERTER.SOURCE_VALUE =  CONCAT( DP_DPYR0580_MOVIMENTOS.DPYR0580_OPERBAS, DP_DPYR0580_MOVIMENTOS.DPYR0580_OPERBAN )
    AND CONF_GENERAL_CODE_CONVERTER.CODE CATEGORY = 'transaction_type_code' AND CONF_GENERAL_CODE_CONVERTER.SOURCE_CODE = '' AND CONF_GENERAL_CODE_CONVERTER.SOURCE_VALUE = CONF_GENERAL_CONVERTER.CDM_VALUE AND CONF_GENERAL_CODE_CONVERTER.PRIORITY_LEVEL = '1'</t>
    </r>
  </si>
  <si>
    <t>CONCAT( OPERBAS, OPERBAN )</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</si>
  <si>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</si>
  <si>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</si>
  <si>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</si>
  <si>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ESYD54C0_CMOEDA
N\A
CMOEDA
N\A
N\A
CMOEDA
CMOEDA
N\A
DCYR9750_CMOEDA
N\A
N\A
CMOEDAOR 
N\A</t>
  </si>
  <si>
    <t xml:space="preserve">SELECT IF( TRIM( TAT91_TABELAS_NEW.TAYD91C0_CELEMTAB) = '', NULL, TRIM(TAT91_TABELAS_NEW.TAYD91C0_CELEMTAB) )
WHERE SUBSTRING(EST55_RDIMOV.HTIMEST, 1, 10) &gt; SUBSTRING(LAST_DATA_DATE_PART, 1, 10) AND SUBSTRING(EST55_RDIMOV.HTIMEST, 1, 10) &lt;= SUBSTRING(LAST_DATA_DATE_PART, 11, 10)
   AND TAT91_TABELAS_NEW.TAYD91C0_CTABELA = '206'
SELECT IF( TRIM( TAT91_TABELAS_NEW.TAYD91C0_CELEMTAB) = '', NULL, TRIM(TAT91_TABELAS_NEW.TAYD91C0_CELEMTAB) )
WHERE SUBSTRING(EST79_RDEMOV.HTIMEST, 1, 10) &gt; SUBSTRING(LAST_DATA_DATE_PART, 1, 10) AND SUBSTRING(EST79_RDEMOV.HTIMEST, 1, 10) &lt;= SUBSTRING(LAST_DATA_DATE_PART, 11, 10)
   AND TAT91_TABELAS_NEW.TAYD91C0_CTABELA = '206'
SELECT IF( TRIM( TAT91_TABELAS_NEW.TAYD91C0_CELEMTAB) = '', NULL, TRIM( TAT91_TABELAS_NEW.TAYD91C0_CELEMTAB) )
WHERE SUBSTRING(EST86_CDIMOV.HTIMEST, 1, 10) &gt; SUBSTRING(LAST_DATA_DATE_PART, 1, 10) AND SUBSTRING(EST86_CDIMOV.HTIMEST, 1, 10) &lt;= SUBSTRING(LAST_DATA_DATE_PART, 11, 10)
   AND NOT( EST85_CREIMP.CKPRODUT = '038' AND EST85_CREIMP.CKSUBPRO IN ( '002', '003')
   AND TAT91_TABELAS_NEW.TAYD91C0_CTABELA = '206'
SELECT IF( TRIM( TAT91_TABELAS_NEW.TAYD91C0_CELEMTAB) = '', NULL, TRIM( TAT91_TABELAS_NEW.TAYD91C0_CELEMTAB) )
WHERE SUBSTRING(EST86_CDIMOV.HTIMEST, 1, 10) &gt; SUBSTRING(LAST_DATA_DATE_PART, 1, 10) AND SUBSTRING(EST86_CDIMOV.HTIMEST, 1, 10) &lt;= SUBSTRING(LAST_DATA_DATE_PART, 11, 10)
   AND ( EST85_CREIMP.CKPRODUT = '038' AND EST85_CREIMP.CKSUBPRO IN ( '002', '003')
   AND TAT91_TABELAS_NEW.TAYD91C0_CTABELA = '206'
SELECT IF( TRIM( TAT91_TABELAS_NEW.TAYD91C0_CELEMTAB) = '', NULL, TRIM( TAT91_TABELAS_NEW.TAYD91C0_CELEMTAB) )
WHERE SUBSTRING(EST90_CDEMOV.HTIMEST, 1, 10) &gt; SUBSTRING(LAST_DATA_DATE_PART, 1, 10) AND SUBSTRING(EST90_CDEMOV.HTIMEST, 1, 10) &lt;= SUBSTRING(LAST_DATA_DATE_PART, 11, 10)
   AND TAT91_TABELAS_NEW.TAYD91C0_CTABELA = '206'
SELECT IF( TRIM( MOVIMENTOS_CONSOLIDADOS.DCYR9750_CMOEDA ) = '', NULL, TRIM( MOVIMENTOS_CONSOLIDADOS.DCYR9750_CMOEDA ) )
WHERE ( ( CONF_LITIGATION_PRODUCT.SOURCE_PRODUCT_ID = '029' OR CONF_LITIGATION_PRODUCT.SOURCE_PRODUCT_ID = '030' ) AND ( CONF_LITIGATION_PRODUCT.SOURCE_SUBPRODUCT_ID = '083' OR CONF_LITIGATION_PRODUCT.SOURCE_SUBPRODUCT_ID = '085' OR CONF_LITIGATION_PRODUCT.SOURCE_SUBPRODUCT_ID = '302' )
SELECT IF( TRIM( TAT91_TABELAS_NEW.TAYD91C0_CELEMTAB) = '', NULL, TRIM( TAT91_TABELAS_NEW.TAYD91C0_CELEMTAB) )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AND TAT91_TABELAS_NEW.TAYD91C0_CTABELA = '206'
</t>
  </si>
  <si>
    <t>EST54_REMIMP
EST78_REMEXP
EST85_CREIMP
EST89_CREEXP
DCYR9750
TCT72_MOVCTA</t>
  </si>
  <si>
    <t>CMOEDA
CMOEDA
CMOEDA
CMOEDA
CMOEDA
CMOEDAOR</t>
  </si>
  <si>
    <t>Currency:
MONEDA -&gt; TAT91_TABELAS - CTABELA 206; CURATED_INTERNAL_MAINFRAME_ESTRUTURAIS.TAT91_TABELAS - TAYD91C0_CTABELA 206
TAT91_TABELAS - CTABELA 206; CURATED_INTERNAL_MAINFRAME_ESTRUTURAIS.TAT91_TABELAS - TAYD91C0_CTABELA 206</t>
  </si>
  <si>
    <t>CURATED_INTERNAL_MAINFRAME_ESTRUTURAIS
CURATED_INTERNAL_MAINFRAME_AVALES
CURATED_INTERNAL_MAINFRAME_CONTAS
CURATED_INTERNAL_MAINFRAME_CONTAS
CURATED_INTERNAL_MAINFRAME_CONTENCIOSO
CURATED_INTERNAL_MAINFRAME_CONTENCIOSO
OPERATIONS_COMMON_REFERENCEDATA_CORE</t>
  </si>
  <si>
    <t>TAT21_MOEDA
BG_CONTR_BATCH
MOVIMENTOS_CONSOLIDADOS
INTERFACE_DCT01
TCT72_MOVCTA
TCT09_OPERCN
CONF_LITIGATION_PRODUCT</t>
  </si>
  <si>
    <t>CMOEDA
N\A
DCYR9750_CMOEDA
N\A
CMOEDAOR
N\A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</si>
  <si>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IF( TRIM( MOVIMENTOS_CONSOLIDADOS.DCYR9750_CMOEDA ) = '', NULL, MOVIMENTOS_CONSOLIDADOS.DCYR9750_CMOEDA )
   AND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IF(TRIM(TCT72_MOVCTA.CMOEDAOR ) = '', NULL, TCT72_MOVCTA.CMOEDAOR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</si>
  <si>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BG_OPERACION -&gt; TAT21_MOEDA
DCYR9750
TCT72_MOVCTA</t>
  </si>
  <si>
    <t>CODMONSW -&gt; CMOEDA
CMOEDA
CMOEDAOR</t>
  </si>
  <si>
    <t>N\A -&gt; N\A
N\A
N\A</t>
  </si>
  <si>
    <t>Transaction Date</t>
  </si>
  <si>
    <t>transaction_date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</si>
  <si>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</si>
  <si>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</si>
  <si>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Execution Date Time</t>
  </si>
  <si>
    <t>DDIAVL
N\A
DDIAVL
N\A</t>
  </si>
  <si>
    <t>SELECT IF( TRIM(EFT08_CONTAB_EFT.DDIAVL ) = '', NULL, EFT08_CONTAB_EFT.DDIAVL )
WHERE SUBSTRING( EFT08_CONTAB_EFT.HTIMEST, 1, 10 ) &gt; SUBSTRING(LAST_DATA_DATE_PART, 1, 10) AND SUBSTRING( EFT08_CONTAB_EFT.HTIMEST, 1, 10 ) &lt;= SUBSTRING(LAST_DATA_DATE_PART, 11, 10) 
SELECT IF( TRIM( TCT72_MOVCTA.DDIAVL ) = '', NULL, TCT72_MOVCTA.DDIAVL )
WHERE TCT72_MOVCTA.DDIAOP &gt; SUBSTRING( LAST_DATA_DATE_PART, 1, 10) AND TCT72_MOVCTA.DDIAOP &lt;= SUBSTRING( LAST_DATA_DATE_PART, 11, 10)</t>
  </si>
  <si>
    <t>DDIAVL
DDIAVL</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</si>
  <si>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</si>
  <si>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DCYR9750 || N\A
TCT72_MOVCTA</t>
  </si>
  <si>
    <t>COPERAC  || N\A
COPERAC</t>
  </si>
  <si>
    <t>Transaction Type</t>
  </si>
  <si>
    <t>Monetary Indicator</t>
  </si>
  <si>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</si>
  <si>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EUR_MOVICCOR
EUR_PROCESSO
EUR_CREDITO
MOVIMENTOS_CONSOLIDADOS
INTERFACE_DCT01
TCT72_MOVCTA
TCT09_OPERCN
CONF_GENERAL_CODE_CONVERTER
CONF_LITIGATION_PRODUCT
CONF_FINANCIAL_FLOW_INDICATOR_CONVERTER</t>
  </si>
  <si>
    <t>N\A
N\A
N\A
N\A
N\A
N\A
N\A
N\A
N\A
CDM_VALUE</t>
  </si>
  <si>
    <r>
      <rPr>
        <b/>
        <sz val="11"/>
        <color rgb="FF000000"/>
        <rFont val="Calibri"/>
      </rPr>
      <t>SELECT</t>
    </r>
    <r>
      <rPr>
        <sz val="11"/>
        <color rgb="FF000000"/>
        <rFont val="Calibri"/>
      </rPr>
      <t xml:space="preserve"> CONF_FINANCIAL_FLOW_INDICATOR_CONVERTER.CDM_VALUE
</t>
    </r>
    <r>
      <rPr>
        <b/>
        <sz val="11"/>
        <color rgb="FF000000"/>
        <rFont val="Calibri"/>
      </rPr>
      <t>WHERE</t>
    </r>
    <r>
      <rPr>
        <sz val="11"/>
        <color rgb="FF000000"/>
        <rFont val="Calibri"/>
      </rPr>
      <t xml:space="preserve"> CONF_FINANCIAL_FLOW_INDICATOR_CONVERTER. SOURCE_TRANSACTION_TYPE_CODE = 'codfa' AND CONF_FINANCIAL_FLOW_INDICATOR_CONVERTER.SOURCE_CODE = 'FA' AND CONF_FINANCIAL_FLOW_INDICATOR_CONVERTER.SOURCE_VALUE = CONCAT( EUR_MOVICCOR.MCC_CDMOVIME, EUR_MOVICCOR.MCC_CDSUBMOV ) 
   AND SUBSTRING( EUR_MOVICCOR.MCC_DTALTREG, 1, 10 ) &gt; SUBSTRING( LAST_DATA_DATE_PART, 1, 10 ) AND SUBSTRING( EUR_MOVICCOR.MCC_DTALTREG, 11, 10) &lt;= SUBSTRING( LAST_DATA_DATE_PART, 11, 10 )
</t>
    </r>
    <r>
      <rPr>
        <b/>
        <sz val="11"/>
        <color rgb="FF000000"/>
        <rFont val="Calibri"/>
      </rPr>
      <t>SELECT</t>
    </r>
    <r>
      <rPr>
        <sz val="11"/>
        <color rgb="FF000000"/>
        <rFont val="Calibri"/>
      </rPr>
      <t xml:space="preserve"> '1'
</t>
    </r>
    <r>
      <rPr>
        <b/>
        <sz val="11"/>
        <color rgb="FF000000"/>
        <rFont val="Calibri"/>
      </rPr>
      <t>WHERE</t>
    </r>
    <r>
      <rPr>
        <sz val="11"/>
        <color rgb="FF000000"/>
        <rFont val="Calibri"/>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rPr>
      <t>SELECT</t>
    </r>
    <r>
      <rPr>
        <sz val="11"/>
        <color rgb="FF000000"/>
        <rFont val="Calibri"/>
      </rPr>
      <t xml:space="preserve"> CONF_FINANCIAL_FLOW_INDICATOR_CONVERTER.CDM_VALUE
</t>
    </r>
    <r>
      <rPr>
        <b/>
        <sz val="11"/>
        <color rgb="FF000000"/>
        <rFont val="Calibri"/>
      </rPr>
      <t>WHERE</t>
    </r>
    <r>
      <rPr>
        <sz val="11"/>
        <color rgb="FF000000"/>
        <rFont val="Calibri"/>
      </rPr>
      <t xml:space="preserve"> CONF_FINANCIAL_FLOW_INDICATOR_CONVERTER. SOURCE_TRANSACTION_TYPE_CODE = 'coperac' AND CONF_FINANCIAL_FLOW_INDICATOR_CONVERTER.SOURCE_CODE = 'TC' AND CONF_FINANCIAL_FLOW_INDICATOR_CONVERTER.SOURCE_VALUE = TCT72_MOVCTA.COPERAC
   AND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</si>
  <si>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TCT72_MOVCTA</t>
  </si>
  <si>
    <t>CONCAT ( CDMOVIME, CDSUBMOV )
N\A
COPERAC</t>
  </si>
  <si>
    <t>N\A
'1'
N\A</t>
  </si>
  <si>
    <t>DCYR9750_OPERBAS, DCY9750_OPERBAN
COPERAC</t>
  </si>
  <si>
    <r>
      <rPr>
        <b/>
        <sz val="11"/>
        <color rgb="FF000000"/>
        <rFont val="Calibri"/>
        <scheme val="minor"/>
      </rPr>
      <t xml:space="preserve">SELECT </t>
    </r>
    <r>
      <rPr>
        <sz val="11"/>
        <color rgb="FF000000"/>
        <rFont val="Calibri"/>
        <scheme val="minor"/>
      </rPr>
      <t xml:space="preserve">CONCAT( DCYR9750_OPERBAS, DCY9750_OPERBAN )
</t>
    </r>
    <r>
      <rPr>
        <b/>
        <sz val="11"/>
        <color rgb="FF000000"/>
        <rFont val="Calibri"/>
        <scheme val="minor"/>
      </rPr>
      <t xml:space="preserve">WHERE </t>
    </r>
    <r>
      <rPr>
        <sz val="11"/>
        <color rgb="FF000000"/>
        <rFont val="Calibri"/>
        <scheme val="minor"/>
      </rPr>
      <t xml:space="preserve">INTERFACE_DCT01.DCYR8101_CFAMILIA = 'CR' </t>
    </r>
  </si>
  <si>
    <t>DCYR9750_COPCAO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</si>
  <si>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INTERFACE_DCT01.DCYR8101_CFAMILIA IN ('IN', 'NC' )
    AND CONF_LITIGATION_PRODUCT.PRODUCT_ID IS NULL</t>
    </r>
  </si>
  <si>
    <t>MONETARY_INDIICATOR</t>
  </si>
  <si>
    <r>
      <rPr>
        <b/>
        <sz val="11"/>
        <color rgb="FF000000"/>
        <rFont val="Calibri"/>
        <scheme val="minor"/>
      </rPr>
      <t>SELECT</t>
    </r>
    <r>
      <rPr>
        <sz val="11"/>
        <color rgb="FF000000"/>
        <rFont val="Calibri"/>
        <scheme val="minor"/>
      </rPr>
      <t xml:space="preserve"> IF( TRIM( TRANSACTIONS.MONETARY_INDIICATOR ) = '', 
    NULL,
    IF( TRANSACTIONS.MONETARY_INDIICATOR = 'N', 
        '0',
         IF( TRANSACTIONS.MONETARY_INDIICATOR = 'S',
             '1',
             NULL )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</si>
  <si>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MONETARY_INDICATOR</t>
  </si>
  <si>
    <t>DCYR9750_OPERBAS, DCY9750_OPERBAN
N\A
COPERAC
N\A</t>
  </si>
  <si>
    <r>
      <rPr>
        <b/>
        <sz val="11"/>
        <color rgb="FF000000"/>
        <rFont val="Calibri"/>
        <scheme val="minor"/>
      </rPr>
      <t>SELECT I</t>
    </r>
    <r>
      <rPr>
        <sz val="11"/>
        <color rgb="FF000000"/>
        <rFont val="Calibri"/>
        <scheme val="minor"/>
      </rPr>
      <t xml:space="preserve">F( TRIM( CONCAT( MOVIMENTOS_CONSOLIDADOS.DCYR9750_OPERBAS, MOVIMENTOS_CONSOLIDADOS.DCY9750_OPERBAN ) ) = '', NULL, CONCAT( LPAD( MOVIMENTOS_CONSOLIDADOS.DCYR9750_OPERBAS, 3, '0' ), LPAD( MOVIMENTOS_CONSOLIDADOS.DCY9750_OPERBAN, 3, '0' )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</si>
  <si>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CONCAT( OPERBAS, OPERBAN )
N\A</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</si>
  <si>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</si>
  <si>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N\A
N\A
N\A
N\A
N\A
E4282_CODCONCE 
HROP_COCONCLI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</si>
  <si>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EH_REL_REC_OPER.E4282_CODCONCE ) = '', NULL, LPAD( EH_REL_REC_OPER.E4282_CODCONCE, 3, '0'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'#N/A', IF( TRIM( RESU_OPER_PRTM.HROP_COCONCLI ) = '', NULL, RESU_OPER_PRTM.HROP_COCONCLI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TCT72_MOVCTA.DDIAOP &gt; SUBSTRING( LAST_DATA_DATE_PART, 1, 10 ) AND TCT72_MOVCTA.DDIAOP &lt;= SUBSTRING( LAST_DATA_DATE_PART, 11, 10 )</t>
    </r>
  </si>
  <si>
    <t>N\A
CODCONCE || COCONCLI
N\A</t>
  </si>
  <si>
    <t>CRT12_INDORI, CRT12_TIPOFACN
CRT90DL_INDORI, CRT90DL_TIPOFACN
N\A
N\A
N\A
N\A
N\A
N\A</t>
  </si>
  <si>
    <t>SELECT IF( TRIM(CONCAT( CRT12_TBMOVEXT_NEW.CRT12_INDORI, CRT12_TBMOVEXT_NEW.CRT12_TIPOFACN) ) = '', NULL, CONCAT( CRT12_TBMOVEXT_NEW.CRT12_INDORI, CRT12_TBMOVEXT_NEW.CRT12_TIPOFACN) )
WHERE TAT91_TABELAS.TAYD91C0_CTABELA = '593' AND ( SUBSTRING( TAT91_TABELAS.TAYD91C0_NELEMC08, 1, 1 ) = '1' OR SUBSTRING( TAT91_TABELAS.TAYD91C0_NELEMC08, 1, 1 ) = '3' )
SELECT IF( TRIM( CONCAT( CRT90_TBMOVDEB_NEW.CRT90DL_INDORI, CRT90_TBMOVDEB_NEW.CRT90DL_TIPOFACN ) ) = '', NULL, CONCAT( CRT90_TBMOVDEB_NEW.CRT90DL_INDORI, CRT90_TBMOVDEB_NEW.CRT90DL_TIPOFACN ) )
WHERE TAT91_TABELAS.TAYD91C0_CTABELA = '593' AND ( SUBSTRING( TAT91_TABELAS.TAYD91C0_NELEMC08, 1, 1 ) = '1' OR SUBSTRING( TAT91_TABELAS.TAYD91C0_NELEMC08, 1, 1 ) = '3' )
SELECT '#N/A'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</si>
  <si>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CONCAT( INDORI, TIPOFAC )
CONCAT( INDORI, TIPOFAC )
N\A
N\A</t>
  </si>
  <si>
    <t>N\A
N\A
"#N/A"
"#N/A"</t>
  </si>
  <si>
    <t>DCYR9750_OPERBAS, DCYR9750_OPERBAN
N\A
COPERAC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</si>
  <si>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MOVIMENTOS_CONSOLIDADOS.DCYR9750_OPERBAN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</si>
  <si>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rPr>
      <t xml:space="preserve">SELECT </t>
    </r>
    <r>
      <rPr>
        <sz val="11"/>
        <color rgb="FF000000"/>
        <rFont val="Calibri"/>
      </rPr>
      <t xml:space="preserve">'1'
</t>
    </r>
    <r>
      <rPr>
        <b/>
        <sz val="11"/>
        <color rgb="FF000000"/>
        <rFont val="Calibri"/>
      </rPr>
      <t>WHERE</t>
    </r>
    <r>
      <rPr>
        <sz val="11"/>
        <color rgb="FF000000"/>
        <rFont val="Calibri"/>
      </rPr>
      <t xml:space="preserve"> TAYD91C0_CTABELA = '593' AND ( ( SUBSTRING( TAYD91C0_NELEMC08, 1, 1 ) = 2 AND ( SUBSTRING( TAYD91C0_NELEMC17, 1, 1 ) = 'N' OR SUBSTRING( TAYD91C0_NELEMC17, 1, 1 ) = 'P' ) ) OR ( SUBSTRING(TAYD91C0_NELEMC08, 1, 1 ) = 2 AND SUBSTRING( TAYD91C0_NELEMC12, 14,1 ) = 'S' ) )</t>
    </r>
  </si>
  <si>
    <t>N\A
DPYR0580_OPERBAS, DPYR0580_OPERBAN</t>
  </si>
  <si>
    <r>
      <rPr>
        <b/>
        <sz val="11"/>
        <color rgb="FF000000"/>
        <rFont val="Calibri"/>
        <scheme val="minor"/>
      </rPr>
      <t xml:space="preserve">SELECT </t>
    </r>
    <r>
      <rPr>
        <sz val="11"/>
        <color rgb="FF000000"/>
        <rFont val="Calibri"/>
        <scheme val="minor"/>
      </rPr>
      <t>IF( TRIM( CONCAT( DP_DPYR0580_MOVIMENTOS.DPYR0580_OPERBAS, DP_DPYR0580_MOVIMENTOS.DPYR0580_OPERBAN ) ) = '', NULL, CONCAT( DP_DPYR0580_MOVIMENTOS.DPYR0580_OPERBAS, DP_DPYR0580_MOVIMENTOS.DPYR0580_OPERBAN ) )</t>
    </r>
  </si>
  <si>
    <t>CONCAT( CODOPBAS, CODOPEOB )</t>
  </si>
  <si>
    <t>DTMOV
N\A
N\A
DTMOV
N\A
DTMOV
N\A
DTMOV
N\A
DTMOV
DCYR9750_DDIAOP
N\A
DDIAOP
N\A
N\A</t>
  </si>
  <si>
    <t xml:space="preserve">SELECT IF( TRIM(EST55_RDIMOV.DTMOV) = '', NULL, EST55_RDIMOV.DTMOV)
WHERE SUBSTRING(EST55_RDIMOV.HTIMEST, 1, 10) &gt; SUBSTRING(LAST_DATA_DATE_PART, 1, 10) AND SUBSTRING(EST55_RDIMOV.HTIMEST, 1, 10) &lt;= SUBSTRING(LAST_DATA_DATE_PART, 11, 10)
SELECT IF( TRIM(EST79_RDEMOV.DTMOV) = '', NULL, EST79_RDEMOV.DTMOV)
WHERE SUBSTRING(EST79_RDEMOV.HTIMEST, 1, 10) &gt; SUBSTRING(LAST_DATA_DATE_PART, 1, 10) AND SUBSTRING(EST79_RDEMOV.HTIMEST, 1, 10) &lt;= SUBSTRING(LAST_DATA_DATE_PART, 11, 10)
SELECT IF( TRIM(EST86_CDIMOV.DTMOV) = '', NULL, EST86_CDIMOV.DTMOV)
WHERE SUBSTRING(EST86_CDIMOV.HTIMEST, 1, 10) &gt; SUBSTRING(LAST_DATA_DATE_PART, 1, 10) AND SUBSTRING(EST86_CDIMOV.HTIMEST, 1, 10) &lt;= SUBSTRING(LAST_DATA_DATE_PART, 11, 10)
    AND NOT( EST85_CREIMP.CKPRODUT = '038' AND EST85_CREIMP.CKSUBPRO IN ( '002', '003')
SELECT IF( TRIM(EST86_CDIMOV.DTMOV) = '', NULL, EST86_CDIMOV.DTMOV)
WHERE SUBSTRING(EST86_CDIMOV.HTIMEST, 1, 10) &gt; SUBSTRING(LAST_DATA_DATE_PART, 1, 10) AND SUBSTRING(EST86_CDIMOV.HTIMEST, 1, 10) &lt;= SUBSTRING(LAST_DATA_DATE_PART, 11, 10)
    AND ( EST85_CREIMP.CKPRODUT = '038' AND EST85_CREIMP.CKSUBPRO IN ( '002', '003')
SELECT IF( TRIM( EST90_CDEMOV.DTMOV), NULL, EST90_CDEMOV.DTMOV)
WHERE SUBSTRING(EST90_CDEMOV.HTIMEST, 1, 10) &gt; SUBSTRING(LAST_DATA_DATE_PART, 1, 10) AND SUBSTRING(EST90_CDEMOV.HTIMEST, 1, 10) &lt;= SUBSTRING(LAST_DATA_DATE_PART, 11, 10)
SELECT MOVIMENTOS_CONSOLIDADOS.DCYR9750_DDIAOP
WHERE ( ( CONF_LITIGATION_PRODUCT.SOURCE_PRODUCT_ID = '029' OR CONF_LITIGATION_PRODUCT.SOURCE_PRODUCT_ID = '030' ) AND ( CONF_LITIGATION_PRODUCT.SOURCE_SUBPRODUCT_ID = '083' OR CONF_LITIGATION_PRODUCT.SOURCE_SUBPRODUCT_ID = '085' OR CONF_LITIGATION_PRODUCT.SOURCE_SUBPRODUCT_ID = '302' )
SELECT TCT72_MOVCTA.DDIAOP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</si>
  <si>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DTMOV
DTMOV
DTMOV
DTMOV
DDIAOP
DDIAOP</t>
  </si>
  <si>
    <t>BGOP_FECVAL 
N\A
DCYR9750_DDIAVL 
N\A
DDIAVL 
N\A
N\A</t>
  </si>
  <si>
    <r>
      <rPr>
        <b/>
        <sz val="11"/>
        <color rgb="FF000000"/>
        <rFont val="Calibri"/>
        <scheme val="minor"/>
      </rPr>
      <t>SELECT</t>
    </r>
    <r>
      <rPr>
        <sz val="11"/>
        <color rgb="FF000000"/>
        <rFont val="Calibri"/>
        <scheme val="minor"/>
      </rPr>
      <t xml:space="preserve"> IF( TRIM( BG_OPERACION.BGOP_FECVAL ) = '', NULL, CAST( BG_OPERACION.BGOP_FECVAL AS STRING )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IF( TRIM( MOVIMENTOS_CONSOLIDADOS.DCYR9750_DDIAVL ) = '', NULL, CAST( MOVIMENTOS_CONSOLIDADOS.DCYR9750_DDIAVL AS STRING ) )
 </t>
    </r>
    <r>
      <rPr>
        <b/>
        <sz val="11"/>
        <color rgb="FF000000"/>
        <rFont val="Calibri"/>
        <scheme val="minor"/>
      </rPr>
      <t xml:space="preserve">WHERE  </t>
    </r>
    <r>
      <rPr>
        <sz val="11"/>
        <color rgb="FF000000"/>
        <rFont val="Calibri"/>
        <scheme val="minor"/>
      </rPr>
      <t xml:space="preserve">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IF( TRIM( TCT72_MOVCTA.DDIAVL ) = '', NULL, CAST( TCT72_MOVCTA.DDIAVL AS STRING )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</si>
  <si>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FECVAL
DDIAVL
DDIAVL</t>
  </si>
  <si>
    <t>DDIAOP
N\A
DDIAOP
N\A</t>
  </si>
  <si>
    <t>SELECT IF( TRIM( EFT08_CONTAB_EFT.DDIAOP ) = '', NULL, EFT08_CONTAB_EFT.DDIAOP )
WHERE SUBSTRING( EFT08_CONTAB_EFT.HTIMEST, 1, 10 ) &gt; SUBSTRING(LAST_DATA_DATE_PART, 1, 10) AND SUBSTRING( EFT08_CONTAB_EFT.HTIMEST, 1, 10 ) &lt;= SUBSTRING(LAST_DATA_DATE_PART, 11, 10) 
SELECT IF( TRIM( TCT72_MOVCTA.DDIAOP ) = '', NULL, TCT72_MOVCTA.DDIAOP )
WHERE TCT72_MOVCTA.DDIAOP &gt; SUBSTRING( LAST_DATA_DATE_PART, 1, 10) AND TCT72_MOVCTA.DDIAOP &lt;= SUBSTRING( LAST_DATA_DATE_PART, 11, 10)</t>
  </si>
  <si>
    <t>DDIAOP
DDIAOP</t>
  </si>
  <si>
    <t>CRT12_INDESTR
CRT90DL_INDESTR
N\A
N\A
N\A
N\A
N\A
N\A</t>
  </si>
  <si>
    <t>SELECT IF( TRIM( CRT12_TBMOVEXT_NEW.CRT12_INDESTR ) = '', NULL, CRT12_TBMOVEXT_NEW.CRT12_INDESTR )
WHERE TAT91_TABELAS.TAYD91C0_CTABELA = '593' AND ( SUBSTRING( TAT91_TABELAS.TAYD91C0_NELEMC08, 1, 1 ) = '1' OR SUBSTRING( TAT91_TABELAS.TAYD91C0_NELEMC08, 1, 1 ) = '3' )
SELECT CAST( IF( TRIM( CRT90_TBMOVDEB_NEW.CRT90DL_INDESTR ) = '', NULL, CRT90_TBMOVDEB_NEW.CRT90DL_INDESTR ) AS STRING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NULL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</si>
  <si>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CRT12_TBMOVEXT
CRT90_TBMOVDEB
N\A
N\A</t>
  </si>
  <si>
    <t>INDESTR
INDESTR
N\A
N\A</t>
  </si>
  <si>
    <t>N\A
N\A
"NULL"
"NULL"</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</si>
  <si>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</si>
  <si>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COPCAO || N\A
COPCAO</t>
  </si>
  <si>
    <t>Card Number</t>
  </si>
  <si>
    <t>card_number</t>
  </si>
  <si>
    <t>Ext Inf - Trans Card Inf - Value</t>
  </si>
  <si>
    <t>Primary Account Number (PAN) present on the card.</t>
  </si>
  <si>
    <t>Identificador único do cartão (PAN).</t>
  </si>
  <si>
    <t>Transactions - Cards</t>
  </si>
  <si>
    <t>CRT90DL_PAN
N\A
N\A</t>
  </si>
  <si>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</si>
  <si>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PAN</t>
  </si>
  <si>
    <t>MCC_IDANULAD
N\A
N\A
N\A
N\A
N\A
N\A
N\A</t>
  </si>
  <si>
    <r>
      <rPr>
        <b/>
        <sz val="11"/>
        <color rgb="FF000000"/>
        <rFont val="Calibri"/>
        <scheme val="minor"/>
      </rPr>
      <t>SELECT</t>
    </r>
    <r>
      <rPr>
        <sz val="11"/>
        <color rgb="FF000000"/>
        <rFont val="Calibri"/>
        <scheme val="minor"/>
      </rPr>
      <t xml:space="preserve"> CASE
    WHEN EUR_MOVICCOR.MCC_IDANULAD = 'N' THEN '0'
    WHEN EUR_MOVICCOR.MCC_IDANULAD = 'S' THEN '1'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</si>
  <si>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IDANULAD
N\A
N\A</t>
  </si>
  <si>
    <t>N\A
"NULL"
"NULL"</t>
  </si>
  <si>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INTERFACE_DCT01.DCYR8101_CFAMILIA = 'CR' </t>
    </r>
  </si>
  <si>
    <t>DCYR9750_OPERBAS, DCY9750_OPERBAN
N\A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</si>
  <si>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MOVIMENTOS_CONSOLIDADOS.DCYR9750_OPERBAS, MOVIMENTOS_CONSOLIDADOS.DCY9750_OPERBAN ) )
</t>
    </r>
    <r>
      <rPr>
        <b/>
        <sz val="11"/>
        <color rgb="FF000000"/>
        <rFont val="Calibri"/>
        <scheme val="minor"/>
      </rPr>
      <t xml:space="preserve">WHERE </t>
    </r>
    <r>
      <rPr>
        <sz val="11"/>
        <color rgb="FF000000"/>
        <rFont val="Calibri"/>
        <scheme val="minor"/>
      </rPr>
      <t>INTERFACE_DCT01.DCYR8101_CFAMILIA IN ('IN', 'NC' )
    AND CONF_LITIGATION_PRODUCT.PRODUCT_ID IS NULL</t>
    </r>
  </si>
  <si>
    <t>Recurring Transaction Indicator</t>
  </si>
  <si>
    <t>recurring_transaction_indicator</t>
  </si>
  <si>
    <t>Indicates whether the transaction is a scheduled recurring transaction or not.</t>
  </si>
  <si>
    <t>Identifica se a transação é recorrente, isto é, acontece de forma programada e com a mesma periodicidade.</t>
  </si>
  <si>
    <t>Recurring Indicator</t>
  </si>
  <si>
    <t>RECURRING_INDICATOR</t>
  </si>
  <si>
    <r>
      <rPr>
        <b/>
        <sz val="11"/>
        <color rgb="FF000000"/>
        <rFont val="Calibri"/>
        <scheme val="minor"/>
      </rPr>
      <t>SELECT</t>
    </r>
    <r>
      <rPr>
        <sz val="11"/>
        <color rgb="FF000000"/>
        <rFont val="Calibri"/>
        <scheme val="minor"/>
      </rPr>
      <t xml:space="preserve"> IF( TRIM( TRANSACTIONS.RECURRING_INDICATOR ) = '', 
    NULL,
    IF( TRANSACTIONS.RECURRING_INDICATOR = 'N', 
        '0',
        IF( TRANSACTIONS.RECURRING_INDICATOR = 'S',
            '1',
             NULL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</si>
  <si>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MOVIMENTOS_CONSOLIDADOS
INTERFACE_DCT01
CONF_FINANCIAL_FLOW_INDICATOR_CONVERTER</t>
  </si>
  <si>
    <t>SELECT '1'
WHERE INTERFACE_DCT01.DCYR8101_CFAMILIA IN ( 'CC' ) 
SELECT CAST( CONF_FINANCIAL_FLOW_INDICATOR_CONVERTER.CDM_VALUE AS STRING )
WHERE INTERFACE_DCT01.DCYR8101_CFAMILIA IN ( 'CC' )
    AND CONF_FINANCIAL_FLOW_INDICATOR_CONVERTER.SOURCE_TRANSACTION_TYPE_CODE = 'coperac' AND CONF_FINANCIAL_FLOW_INDICATOR_CONVERTER.SOURCE_CODE = 'TC' AND CONF_FINANCIAL_FLOW_INDICATOR_CONVERTER.SOURCE_VALUE = TCT72_MOVCTA.COPERAC
    AND TCT72_MOVCTA.DDIAOP &gt; SUBSTRING(LAST_DATA_DATE_PART, 1, 10) AND TCT72_MOVCTA.DDIAOP &lt;= SUBSTRING(LAST_DATA_DATE_PART, 11, 10)</t>
  </si>
  <si>
    <t xml:space="preserve">N\A
COPERAC </t>
  </si>
  <si>
    <t>COPERAC
N\A
N\A
N\A
N\A
N\A
N\A
COPERAC</t>
  </si>
  <si>
    <r>
      <rPr>
        <b/>
        <sz val="11"/>
        <color rgb="FF000000"/>
        <rFont val="Calibri"/>
      </rPr>
      <t xml:space="preserve">SELECT </t>
    </r>
    <r>
      <rPr>
        <sz val="11"/>
        <color rgb="FF000000"/>
        <rFont val="Calibri"/>
      </rPr>
      <t xml:space="preserve">IF( TRIM(EPT07_MOVCTA.COPERAC ) = '', NULL, EPT07_MOVCTA.COPERAC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TRIM(TCT72_MOVCTA.COPERAC ) = '', NULL, TCT72_MOVCTA.COPERAC )
</t>
    </r>
    <r>
      <rPr>
        <b/>
        <sz val="11"/>
        <color rgb="FF000000"/>
        <rFont val="Calibri"/>
      </rPr>
      <t>WHERE</t>
    </r>
    <r>
      <rPr>
        <sz val="11"/>
        <color rgb="FF000000"/>
        <rFont val="Calibri"/>
      </rPr>
      <t xml:space="preserve"> TCT72_MOVCTA.DDIAOP &gt; SUBSTRING( LAST_DATA_DATE_PART, 1, 10 ) AND TCT72_MOVCTA.DDIAOP &lt;= SUBSTRING( LAST_DATA_DATE_PART, 11, 10 )</t>
    </r>
  </si>
  <si>
    <t>COPERAC
N\A
COPERAC</t>
  </si>
  <si>
    <t>N\A
"#N/A"
N\A</t>
  </si>
  <si>
    <t> </t>
  </si>
  <si>
    <t>SELECT '1'
WHERE INTERFACE_DCT01.DCYR8101_CFAMILIA IN ( 'NT' ) 
SELECT CAST( CONF_FINANCIAL_FLOW_INDICATOR_CONVERTER.CDM_VALUE AS STRING )
WHERE INTERFACE_DCT01.DCYR8101_CFAMILIA IN ( 'NT' )
    AND CONF_FINANCIAL_FLOW_INDICATOR_CONVERTER.SOURCE_TRANSACTION_TYPE_CODE = 'coperac' AND CONF_FINANCIAL_FLOW_INDICATOR_CONVERTER.SOURCE_CODE = 'TC'
    AND TCT72_MOVCTA.DDIAOP &gt; SUBSTRING(LAST_DATA_DATE_PART, 1, 10) AND TCT72_MOVCTA.DDIAOP &lt;= SUBSTRING(LAST_DATA_DATE_PART, 11, 10)</t>
  </si>
  <si>
    <t>N\A
COPERAC</t>
  </si>
  <si>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</si>
  <si>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DP_DPYR0550_DEPOSITOS
DP_DPYR0580_MOVIMENTOS
CONF_FINANCIAL_FLOW_INDICATOR_CONVERTER</t>
  </si>
  <si>
    <t>SELECT CAST( CONF_FINANCIAL_FLOW_INDICATOR_CONVERTER.CDM_VALUE AS STRING )
WHERE CONF_FINANCIAL_FLOW_INDICATOR_CONVERTER.SOURCE_TRANSACTION_TYPE_CODE = 'obb' AND CONF_FINANCIAL_FLOW_INDICATOR_CONVERTER.SOURCE_CODE = 'DP' AND CONF_FINANCIAL_FLOW_INDICATOR_CONVERTER.SOURCE_VALUE =  CONCAT( DP_DPYR0580_MOVIMENTOS.DPYR0580_OPERBAS, DP_DPYR0580_MOVIMENTOS.DPYR0580_OPERBAN )</t>
  </si>
  <si>
    <t>Client Transaction Date</t>
  </si>
  <si>
    <t>client_transaction_date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</si>
  <si>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client.</t>
  </si>
  <si>
    <t>Data valor da transação, isto é: data prevista para a transação, sendo que a data da execução pode ser diferente, por exemplo, se a data valor for num feriado. Esta data representa a data valor do cliente Santander e não do correspondente do contrato de Estrangeiro.</t>
  </si>
  <si>
    <t>DTVCLI
N\A
N\A
DTVCLI
N\A
DTVCLI
N\A
DTVCLI
N\A
DTVCLI
N\A
DTVCLI
DCYR9750_DDIAVL
N\A
N\A
DDIAVL
N\A</t>
  </si>
  <si>
    <r>
      <rPr>
        <sz val="11"/>
        <color rgb="FF000000"/>
        <rFont val="Calibri"/>
        <scheme val="minor"/>
      </rPr>
      <t xml:space="preserve">SELECT IF( TRIM( EST55_RDIMOV.DTVCLI ) = '', NULL, EST55_RDIMOV.DTVCLI )
WHERE SUBSTRING(EST55_RDIMOV.HTIMEST, 1, 10) &gt; SUBSTRING(LAST_DATA_DATE_PART, 1, 10) AND SUBSTRING(EST55_RDIMOV.HTIMEST, 1, 10) &lt;= SUBSTRING(LAST_DATA_DATE_PART, 11, 10)
SELECT IF( TRIM( EST79_RDEMOV.DTVCLI ) = '', NULL, EST79_RDEMOV.DTVCLI )
WHERE SUBSTRING(EST79_RDEMOV.HTIMEST, 1, 10) &gt; SUBSTRING(LAST_DATA_DATE_PART, 1, 10) AND SUBSTRING(EST79_RDEMOV.HTIMEST, 1, 10) &lt;= SUBSTRING(LAST_DATA_DATE_PART, 11, 10)
SELECT IF( TRIM( EST86_CDIMOV.DTVCLI ) = '', NULL, EST86_CDIMOV.DTVCLI )
WHERE SUBSTRING(EST86_CDIMOV.HTIMEST, 1, 10) &gt; SUBSTRING(LAST_DATA_DATE_PART, 1, 10) AND SUBSTRING(EST86_CDIMOV.HTIMEST, 1, 10) &lt;= SUBSTRING(LAST_DATA_DATE_PART, 11, 10)
    AND NOT( EST85_CREIMP.CKPRODUT = '038' AND EST85_CREIMP.CKSUBPRO IN ( '002', '003')
</t>
    </r>
    <r>
      <rPr>
        <b/>
        <sz val="11"/>
        <color rgb="FF000000"/>
        <rFont val="Calibri"/>
        <scheme val="minor"/>
      </rPr>
      <t>SELECT</t>
    </r>
    <r>
      <rPr>
        <sz val="11"/>
        <color rgb="FF000000"/>
        <rFont val="Calibri"/>
        <scheme val="minor"/>
      </rPr>
      <t xml:space="preserve"> IF( TRIM( EST86_CDIMOV.DTVCLI ) = '', NULL, EST86_CDIMOV.DTVCLI )
</t>
    </r>
    <r>
      <rPr>
        <b/>
        <sz val="11"/>
        <color rgb="FF000000"/>
        <rFont val="Calibri"/>
        <scheme val="minor"/>
      </rPr>
      <t>WHERE</t>
    </r>
    <r>
      <rPr>
        <sz val="11"/>
        <color rgb="FF000000"/>
        <rFont val="Calibri"/>
        <scheme val="minor"/>
      </rPr>
      <t xml:space="preserve"> SUBSTRING(EST86_CDIMOV.HTIMEST, 1, 10) &gt; SUBSTRING(LAST_DATA_DATE_PART, 1, 10) AND SUBSTRING(EST86_CDIMOV.HTIMEST, 1, 10) &lt;= SUBSTRING(LAST_DATA_DATE_PART, 11, 10)
    AND ( EST85_CREIMP.CKPRODUT = '038' AND EST85_CREIMP.CKSUBPRO IN ( '002', '003')
SELECT IF( TRIM( EST86_CDIMOV.DTVCLI ) = '', NULL, EST86_CDIMOV.DTVCLI )
WHERE SUBSTRING(EST86_CDIMOV.HTIMEST, 1, 10) &gt; SUBSTRING(LAST_DATA_DATE_PART, 1, 10) AND SUBSTRING(EST86_CDIMOV.HTIMEST, 1, 10) &lt;= SUBSTRING(LAST_DATA_DATE_PART, 11, 10)
    AND ( EST85_CREIMP.CKPRODUT = '038' AND EST85_CREIMP.CKSUBPRO IN ( '002', '003')
SELECT IF( TRIM( EST90_CDEMOV.DTVCLI ) = '', NULL, EST90_CDEMOV.DTVCLI )
WHERE SUBSTRING(EST90_CDEMOV.HTIMEST, 1, 10) &gt; SUBSTRING(LAST_DATA_DATE_PART, 1, 10) AND SUBSTRING(EST90_CDEMOV.HTIMEST, 1, 10) &lt;= SUBSTRING(LAST_DATA_DATE_PART, 11, 10)
SELECT IF( TRIM( MOVIMENTOS_CONSOLIDADOS.DCYR9750_DDIAVL ) = '', NULL, CAST( MOVIMENTOS_CONSOLIDADOS.DCYR9750_DDIAVL AS STRING ) )
WHERE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TCT72_MOVCTA.DDIAVL ) = '', NULL, TCT72_MOVCTA.DDIAVL )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r>
  </si>
  <si>
    <t>DTVCLI
DTVCLI
DTVCLI
DTVCLI
DDIAVL
DDIAVL</t>
  </si>
  <si>
    <t>BGOP_FECMOV 
N\A
DCYR9750_DDIAOP 
N\A
DDIAOP
N\A
N\A</t>
  </si>
  <si>
    <r>
      <rPr>
        <b/>
        <sz val="11"/>
        <color rgb="FF000000"/>
        <rFont val="Calibri"/>
        <scheme val="minor"/>
      </rPr>
      <t>SELECT</t>
    </r>
    <r>
      <rPr>
        <sz val="11"/>
        <color rgb="FF000000"/>
        <rFont val="Calibri"/>
        <scheme val="minor"/>
      </rPr>
      <t xml:space="preserve"> BG_OPERACION.BGOP_FECMOV
</t>
    </r>
    <r>
      <rPr>
        <b/>
        <sz val="11"/>
        <color rgb="FF000000"/>
        <rFont val="Calibri"/>
        <scheme val="minor"/>
      </rPr>
      <t xml:space="preserve">WHERE </t>
    </r>
    <r>
      <rPr>
        <sz val="11"/>
        <color rgb="FF000000"/>
        <rFont val="Calibri"/>
        <scheme val="minor"/>
      </rPr>
      <t xml:space="preserve">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MOVIMENTOS_CONSOLIDADOS.DCYR9750_DDIAOP
</t>
    </r>
    <r>
      <rPr>
        <b/>
        <sz val="11"/>
        <color rgb="FF000000"/>
        <rFont val="Calibri"/>
        <scheme val="minor"/>
      </rPr>
      <t xml:space="preserve">WHERE </t>
    </r>
    <r>
      <rPr>
        <sz val="11"/>
        <color rgb="FF000000"/>
        <rFont val="Calibri"/>
        <scheme val="minor"/>
      </rPr>
      <t xml:space="preserve">INTERFACE_DCT01.CKPRODUT = CONF_LITIGATION_PRODUCT.SOURCE_PRODUCT_ID AND INTERFACE_DCT01.CKSUBPRO = CONF_LITIGATION_PRODUCT.SOURCE_SUBPRODUCT_ID AND CONF_LITIGATION_PRODUCT.SOURCE_CODE = 'BG'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</si>
  <si>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FECMOV
DDIAOP
DDIAOP</t>
  </si>
  <si>
    <t>Amount</t>
  </si>
  <si>
    <t>amount</t>
  </si>
  <si>
    <t>DECIMAL</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</si>
  <si>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</si>
  <si>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</si>
  <si>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Transaction Amount</t>
  </si>
  <si>
    <t>MMOVIM
N\A
MMOVIM
N\A</t>
  </si>
  <si>
    <t>SELECT CAST( EFT08_CONTAB_EFT.MMOVIM AS DECIMAL( 23, 6 ) )
WHERE SUBSTRING( EFT08_CONTAB_EFT.HTIMEST, 1, 10 ) &gt; SUBSTRING(LAST_DATA_DATE_PART, 1, 10) AND SUBSTRING( EFT08_CONTAB_EFT.HTIMEST, 1, 10 ) &lt;= SUBSTRING(LAST_DATA_DATE_PART, 11, 10)  
SELECT CAST( TCT72_MOVCTA.MMOVIM AS DECIMAL( 23, 6 ) )
WHERE TCT72_MOVCTA.DDIAOP &gt; SUBSTRING( LAST_DATA_DATE_PART, 1, 10) AND TCT72_MOVCTA.DDIAOP &lt;= SUBSTRING( LAST_DATA_DATE_PART, 11, 10)</t>
  </si>
  <si>
    <t>MMOVIM
MMOVIM</t>
  </si>
  <si>
    <t>CRT12_TBMOVEXT_NEW
CRT90_TBMOVDEB_NEW
CRT07_TBCTATAR
MOVIMENTOS_CONSOLIDADOS
INTERFACE_DCT01
TCT72_MOVCTA
TCT09_OPERCN
CONF_FINANCIAL_FLOW_INDICATOR_CONVERTER
CONF_GENERAL_CODE_CONVERTER
CONF_LITIGATION_PRODUCT</t>
  </si>
  <si>
    <t>SELECT CONF_FINANCIAL_FLOW_INDICATOR_CONVERTER.CDM_VALUE
WHERE TAT91_TABELAS.TAYD91C0_CTABELA = '593' AND ( SUBSTRING( TAT91_TABELAS.TAYD91C0_NELEMC08, 1, 1 ) = '1' OR SUBSTRING( TAT91_TABELAS.TAYD91C0_NELEMC08, 1, 1 ) = '3' )
    AND CONF_FINANCIAL_FLOW_INDICATOR_CONVERTER. SOURCE_TRANSACTION_TYPE_CODE = 'tipofacn' AND CONF_FINANCIAL_FLOW_INDICATOR_CONVERTER.SOURCE_CODE = 'CR' AND CONF_FINANCIAL_FLOW_INDICATOR_CONVERTER.SOURCE_VALUE = CRT12_TBMOVEXT_NEW.TIPOFACN
SELECT '1'
WHERE TAT91_TABELAS.TAYD91C0_CTABELA = '593' AND ( SUBSTRING( TAT91_TABELAS.TAYD91C0_NELEMC08, 1, 1 ) = '1' OR SUBSTRING( TAT91_TABELAS.TAYD91C0_NELEMC08, 1, 1 ) = '3' )
SELECT '1'
WHERE CONF_LITIGATION_PRODUCT.SOURCE_CODE = 'CR' AND CONF_LITIGATION_PRODUCT.PRODUCT_ID = INTERFACE_DCT01.DCYR8101_CKPRODUT AND CONF_LITIGATION_PRODUCT.SUBPRODUCT_ID = INTERFACE_DCT01.DCYR8101_CKSUBPRO
SELECT CAST( CONF_FINANCIAL_FLOW_INDICATOR_CONVERTER.CDM_VALUE AS STRING )
WHERE ( ( CONF_LITIGATION_PRODUCT.SOURCE_CODE = 'CR' AND CONF_LITIGATION_PRODUCT.PRODUCT_ID = TCT09_OPERCN.CKPRODUT AND CONF_LITIGATION_PRODUCT.SUBPRODUCT_ID = TCT09_OPERCN.CKSUBPRO )
        OR  CRT07_TBCTATAR.CKBALCAO IS NOT NULL )
    AND CONF_FINANCIAL_FLOW_INDICATOR_CONVERTER.SOURCE_TRANSACTION_TYPE_CODE = 'coperac' AND CONF_FINANCIAL_FLOW_INDICATOR_CONVERTER.SOURCE_CODE = 'TC' AND CONF_FINANCIAL_FLOW_INDICATOR_CONVERTER.SOURCE_VALUE = TCT72_MOVCTA.COPERAC
    AND TCT72_MOVCTA.DDIAOP &gt; SUBSTRING(LAST_DATA_DATE_PART, 1, 10) AND TCT72_MOVCTA.DDIAOP &lt;= SUBSTRING(LAST_DATA_DATE_PART, 11, 10)</t>
  </si>
  <si>
    <t>CRT12_TBMOVEXT
N\A
DCYR9750
TCT72_MOVCTA</t>
  </si>
  <si>
    <t>TIPOFACN
N\A
N\A
COPERAC</t>
  </si>
  <si>
    <t>N\A
"1"
"1"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</si>
  <si>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</si>
  <si>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CRT90DL_CNATOPR
N\A
N\A</t>
  </si>
  <si>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</si>
  <si>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 xml:space="preserve">
CRT90_TBMOVDEB</t>
  </si>
  <si>
    <t>CNATOPER</t>
  </si>
  <si>
    <t>Billing Indicator</t>
  </si>
  <si>
    <t>billing_indicator</t>
  </si>
  <si>
    <t>Indicates whether the transaction is a billing or an advancement.</t>
  </si>
  <si>
    <t>Identifica se a transação representa uma cobrança ao cliente ou um adiantamento de capital.</t>
  </si>
  <si>
    <t>Transaction Type ID</t>
  </si>
  <si>
    <t>MCC_TPOPERAC
N\A
N\A
N\A
N\A
N\A
N\A
N\A</t>
  </si>
  <si>
    <r>
      <rPr>
        <b/>
        <sz val="11"/>
        <color rgb="FF000000"/>
        <rFont val="Calibri"/>
        <scheme val="minor"/>
      </rPr>
      <t>SELECT</t>
    </r>
    <r>
      <rPr>
        <sz val="11"/>
        <color rgb="FF000000"/>
        <rFont val="Calibri"/>
        <scheme val="minor"/>
      </rPr>
      <t xml:space="preserve"> CASE
    WHEN EUR_MOVICCOR.MCC_TPOPERAC = 'P' THEN 0
    WHEN EUR_MOVICCOR.MCC_TPOPERAC = 'C' THEN 1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</si>
  <si>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TPOPERAC
N\A
N\A</t>
  </si>
  <si>
    <t>Currency:
TAT91_TABELAS - CTABELA 206; CURATED_INTERNAL_MAINFRAME_ESTRUTURAIS.TAT91_TABELAS - TAYD91C0_CTABELA 206</t>
  </si>
  <si>
    <t>DCYR9750_CMOEDA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</si>
  <si>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 'CR' </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</si>
  <si>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INTERFACE_DCT01.DCYR8101_CFAMILIA IN ('IN', 'NC' )
    AND CONF_LITIGATION_PRODUCT.PRODUCT_ID IS NULL</t>
    </r>
  </si>
  <si>
    <t>Currency:
TAT91 - CTABELA 206; CURATED_INTERNAL_MAINFRAME_ESTRUTURAIS.TAT91_TABELAS - TAYD91C0_CTABELA 206</t>
  </si>
  <si>
    <t>CURRENCY</t>
  </si>
  <si>
    <r>
      <rPr>
        <b/>
        <sz val="11"/>
        <color rgb="FF000000"/>
        <rFont val="Calibri"/>
        <scheme val="minor"/>
      </rPr>
      <t>SELECT</t>
    </r>
    <r>
      <rPr>
        <sz val="11"/>
        <color rgb="FF000000"/>
        <rFont val="Calibri"/>
        <scheme val="minor"/>
      </rPr>
      <t xml:space="preserve"> IF( TRIM( TRANSACTIONS.CURRENCY ) = '', NULL, TRANSACTIONS.CURRENCY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</si>
  <si>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Currency:
TAT91 - CTABELA 206; CURATED_INTERNAL_MAINFRAME_ESTRUTURAIS.TAT91_TABELAS - TAYD91C0_CTABELA 206
TAT91 - CTABELA 206; CURATED_INTERNAL_MAINFRAME_ESTRUTURAIS.TAT91_TABELAS - TAYD91C0_CTABELA 206</t>
  </si>
  <si>
    <t>DCYR9750_CMOEDA 
N\A
CMOEDAOR
N\A</t>
  </si>
  <si>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</si>
  <si>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Transaction Type:
TAT91 - CTABELA 021; CURATED_INTERNAL_MAINFRAME_ESTRUTURAIS.TAT91_TABELAS - TAYD91C0_CTABELA 021
?; ?
TAT91 - CTABELA 021; CURATED_INTERNAL_MAINFRAME_ESTRUTURAIS.TAT91_TABELAS - TAYD91C0_CTABELA 021</t>
  </si>
  <si>
    <t>CURATED_INTERNAL_MAINFRAME_EMPRESTIMOS
CURATED_INTERNAL_MAINFRAME_EMPRESTIMOS
CURATED_INTERNAL_MAINFRAME_EMPRESTIMOS
CURATED_INTERNAL_MAINFRAME_EMPRESTIMOS
CURATED_INTERNAL_MAINFRAME_EMPRESTIMOS
CURATED_INTERNAL_MAINFRAME_EMPRESTIMOS
OPERATIONS_COMMON_REFERENCEDATA_CORE
OPERATIONS_COMMON_REFERENCEDATA_CORE
CURATED_INTERNAL_MAINFRAME_CONTENCIOSO
CURATED_INTERNAL_MAINFRAME_CONTENCIOSO</t>
  </si>
  <si>
    <t>EPT07_MOVCTA
EPT01_CONTAS
CONTBACH_PRESTM
EH_DET_REC_COB
EH_OPER_CONTR
EH_REL_REC_OPER
CONF_TRANSACTION_TYPE_CONVERTER
CONF_GENERAL_CODE_CONVERTER
TCT72_MOVCTA
TCT09_OPERCN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</si>
  <si>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EPT01_CONTAS.CSITCTA != 'EH'
    AND CONF_TRANSACTION_TYPE_CONVERTER.SOURCE_CODE = 'EP' AND CONF_TRANSACTION_TYPE_CONVERTER.SOURCE_TRANSACTION_TYPE_CODE  = 'coperac' AND CONF_TRANSACTION_TYPE_CONVERTER.SOURCE_VALUE =  EPT07_MOVCTA.COPERAC 
    AND CONF_GENERAL_CODE_CONVERTER.CODE CATEGORY = 'transaction_type_code' AND CONF_GENERAL_CODE_CONVERTER.SOURCE_CODE = '00' AND CONF_GENERAL_CODE_CONVERTER.SOURCE_VALUE = CONF_GENERAL_CODE_CONVERTER.CDM_VALUE AND CONF_GENERAL_CODE_CONVERTER.PRIORITY_LEVEL = '1'
    AND SUBSTRING( EPT07_MOVCTA.HTIMEST, 1, 10 ) &gt; SUBSTRING( LAST_DATA_DATE_PART, 1, 10 ) AND SUBSTRING( EPT07_MOVCTA.HTIMEST, 1, 10 ) &lt;= SUBSTRING( LAST_DATA_DATE_PART, 11, 10 )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'00' AND CONF_GENERAL_CODE_CONVERTER.SOURCE_VALUE = CONF_TRANSACTION_TYPE_CONVERTER.CDM_VALUE  AND CONF_GENERAL_CODE_CONVERTER.PRIORITY_LEVEL = '1'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'00' AND CONF_GENERAL_CODE_CONVERTER.SOURCE_VALUE = CONF_TRANSACTION_TYPE_CONVERTER.CDM_VALUE  AND CONF_GENERAL_CODE_CONVERTER.PRIORITY_LEVEL = '1' 
    AND EH_OPER_CONTR.EH10_OPERBAS IN ( '001', '024', '028' )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CONF_TRANSACTION_TYPE_CONVERTER.SOURCE_CODE = 'TC' AND CONF_TRANSACTION_TYPE_CONVERTER.SOURCE_TRANSACTION_TYPE_CODE  = 'coperac' AND CONF_TRANSACTION_TYPE_CONVERTER.SOURCE_VALUE =  TCT72_MOVCTA.COPERA
    AND CONF_GENERAL_CODE_CONVERTER.CODE CATEGORY = 'transaction_type_code' AND CONF_GENERAL_CODE_CONVERTER.SOURCE_CODE = '00' AND CONF_GENERAL_CODE_CONVERTER.SOURCE_VALUE = CONF_TRANSACTION_TYPE_CONVERTER.CDM_VALUE  AND CONF_GENERAL_CODE_CONVERTER.PRIORITY_LEVEL = '1'
    AND TCT72_MOVCTA.DDIAOP &gt; SUBSTRING( LAST_DATA_DATE_PART, 1, 10 ) AND TCT72_MOVCTA.DDIAOP &lt;= SUBSTRING( LAST_DATA_DATE_PART, 11, 10 )</t>
    </r>
  </si>
  <si>
    <t>COPERAC
CONCAT (CODOPBAS, CODOPEOB )
COPERAC</t>
  </si>
  <si>
    <t>Currency:
TAT91 - CTABELA 206;  CURATED_INTERNAL_MAINFRAME_ESTRUTURAIS.TAT91_TABELAS - TAYD91C0_CTABELA 206
TAT91 - CTABELA 206;  CURATED_INTERNAL_MAINFRAME_ESTRUTURAIS.TAT91_TABELAS - TAYD91C0_CTABELA 206</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</si>
  <si>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</si>
  <si>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</si>
  <si>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N\A
MONOPER</t>
  </si>
  <si>
    <r>
      <rPr>
        <b/>
        <sz val="11"/>
        <color rgb="FF000000"/>
        <rFont val="Calibri"/>
        <scheme val="minor"/>
      </rPr>
      <t xml:space="preserve">SELECT </t>
    </r>
    <r>
      <rPr>
        <sz val="11"/>
        <color rgb="FF000000"/>
        <rFont val="Calibri"/>
        <scheme val="minor"/>
      </rPr>
      <t>IF( TRIM( DP_DPYR0580_MOVIMENTOS.MONOPER ) = '', NULL, DP_DPYR0580_MOVIMENTOS.MONOPER )</t>
    </r>
  </si>
  <si>
    <t>MONOPER</t>
  </si>
  <si>
    <t>Correspondent Transaction Date</t>
  </si>
  <si>
    <t>correspondent_transaction_date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</si>
  <si>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correspondent.</t>
  </si>
  <si>
    <t>Data valor da transação, isto é: data prevista para a transação, sendo que a data da execução pode ser diferente, por exemplo, se a data valor for num feriado. Esta data representa a data valor do correspondente do Santander e não do cliente do contrato de Estrangeiro.</t>
  </si>
  <si>
    <t>DTVCOR 
N\A
N\A
DTVENC
N\A
DTVCOR
N\A
DTVCOR
N\A
DTVCOR
N\A
N\A
N\A
N\A
N\A</t>
  </si>
  <si>
    <t xml:space="preserve">SELECT IF( TRIM( EST55_RDIMOV.DTVCOR ) = '', NULL, EST55_RDIMOV.DTVCOR )
WHERE SUBSTRING(EST55_RDIMOV.HTIMEST, 1, 10) &gt; SUBSTRING(LAST_DATA_DATE_PART, 1, 10) AND SUBSTRING(EST55_RDIMOV.HTIMEST, 1, 10) &lt;= SUBSTRING(LAST_DATA_DATE_PART, 11, 10)
SELECT IF( TRIM( EST79_RDEMOV.DTVENC ) = '', NULL, EST79_RDEMOV.DTVENC )
WHERE SUBSTRING(EST79_RDEMOV.HTIMEST, 1, 10) &gt; SUBSTRING(LAST_DATA_DATE_PART, 1, 10) AND SUBSTRING(EST79_RDEMOV.HTIMEST, 1, 10) &lt;= SUBSTRING(LAST_DATA_DATE_PART, 11, 10)
SELECT IF( TRIM( EST86_CDIMOV.DTVCOR ) = '', NULL, EST86_CDIMOV.DTVCOR )
WHERE SUBSTRING(EST86_CDIMOV.HTIMEST, 1, 10) &gt; SUBSTRING(LAST_DATA_DATE_PART, 1, 10) AND SUBSTRING(EST86_CDIMOV.HTIMEST, 1, 10) &lt;= SUBSTRING(LAST_DATA_DATE_PART, 11, 10)
    AND NOT( EST85_CREIMP.CKPRODUT = '038' AND EST85_CREIMP.CKSUBPRO IN ( '002', '003')
SELECT IF( TRIM( EST86_CDIMOV.DTVCOR ) = '', NULL, EST86_CDIMOV.DTVCOR )
WHERE SUBSTRING(EST86_CDIMOV.HTIMEST, 1, 10) &gt; SUBSTRING(LAST_DATA_DATE_PART, 1, 10) AND SUBSTRING(EST86_CDIMOV.HTIMEST, 1, 10) &lt;= SUBSTRING(LAST_DATA_DATE_PART, 11, 10)
    AND ( EST85_CREIMP.CKPRODUT = '038' AND EST85_CREIMP.CKSUBPRO IN ( '002', '003')
SELECT IF( TRIM( EST90_CDEMOV.DTVCOR ) = '', NULL, EST90_CDEMOV.DTVCOR )
WHERE SUBSTRING(EST90_CDEMOV.HTIMEST, 1, 10) &gt; SUBSTRING(LAST_DATA_DATE_PART, 1, 10) AND SUBSTRING(EST90_CDEMOV.HTIMEST, 1, 10) &lt;= SUBSTRING(LAST_DATA_DATE_PART, 11, 10)
SELECT '#N/A'
WHERE  ( CONF_LITIGATION_PRODUCT.SOURCE_PRODUCT_ID = '029' OR CONF_LITIGATION_PRODUCT.SOURCE_PRODUCT_ID = '030' ) AND ( CONF_LITIGATION_PRODUCT.SOURCE_SUBPRODUCT_ID = '083' OR CONF_LITIGATION_PRODUCT.SOURCE_SUBPRODUCT_ID = '085' OR CONF_LITIGATION_PRODUCT.SOURCE_SUBPRODUCT_ID = '302' )
SELECT '#N/A'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</si>
  <si>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DTVCOR
DTVENC
DTVCOR
DTVCOR
N\A
N\A</t>
  </si>
  <si>
    <t>N\A
N\A
N\A
N\A
"#N/A"
"#N/A"</t>
  </si>
  <si>
    <t>BGOP_IMPOMVTO
N\A
DCYR9750_MMOVIM 
N\A
MMOVIM
N\A
N\A</t>
  </si>
  <si>
    <r>
      <rPr>
        <b/>
        <sz val="11"/>
        <color rgb="FF000000"/>
        <rFont val="Calibri"/>
        <scheme val="minor"/>
      </rPr>
      <t>SELECT</t>
    </r>
    <r>
      <rPr>
        <sz val="11"/>
        <color rgb="FF000000"/>
        <rFont val="Calibri"/>
        <scheme val="minor"/>
      </rPr>
      <t xml:space="preserve"> CAST( BG_OPERACION.BGOP_IMPOMVTO AS DECIMAL( 23, 6 )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CAST(CASE
      WHEN MOVIMENTOS_CONSOLIDADOS.DCYR9750_COPER = 'D' THEN -1 * MOVIMENTOS_CONSOLIDADOS.DCYR9750_MMOVIM 
      ELSE MOVIMENTOS_CONSOLIDADOS.DCYR9750_MMOVIM
    END AS DECIMAL(23, 6))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</si>
  <si>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IMPOMVTO
MMOVIM
MMOVIM</t>
  </si>
  <si>
    <t>Source Code</t>
  </si>
  <si>
    <t>source_code</t>
  </si>
  <si>
    <t>Tec - Code</t>
  </si>
  <si>
    <t>Identifier of the Santander's application that generated the information. For example, EP for loans, CRT for cards, etc.</t>
  </si>
  <si>
    <t>Identifica a aplicação onde foi realizada a transação.</t>
  </si>
  <si>
    <t>Information Source Application:
N\A; N\A
N\A; N\A</t>
  </si>
  <si>
    <t>SELECT 'EF'
WHERE SUBSTRING( EFT08_CONTAB_EFT.HTIMEST, 1, 10 ) &gt; SUBSTRING(LAST_DATA_DATE_PART, 1, 10) AND SUBSTRING( EFT08_CONTAB_EFT.HTIMEST, 1, 10 ) &lt;= SUBSTRING(LAST_DATA_DATE_PART, 11, 10)  
SELECT 'TC'
WHERE TCT72_MOVCTA.DDIAOP &gt; SUBSTRING( LAST_DATA_DATE_PART, 1, 10) AND TCT72_MOVCTA.DDIAOP &lt;= SUBSTRING( LAST_DATA_DATE_PART, 11, 10)</t>
  </si>
  <si>
    <t>"EF"
"TC"</t>
  </si>
  <si>
    <t>CRT12_PAN
CRT90DL_PAN
N\A
N\A
N\A
N\A
N\A
N\A</t>
  </si>
  <si>
    <t>SELECT IF( TRIM( CRT12_TBMOVEXT_NEW.CRT12_PAN ) = '', NULL, CRT12_TBMOVEXT_NEW.CRT12_PAN )
WHERE TAT91_TABELAS.TAYD91C0_CTABELA = '593' AND ( SUBSTRING( TAT91_TABELAS.TAYD91C0_NELEMC08, 1, 1 ) = '1' OR SUBSTRING( TAT91_TABELAS.TAYD91C0_NELEMC08, 1, 1 ) = '3' )
SELECT IF( TRIM( CRT90_TBMOVDEB_NEW.CRT90DL_PAN ) = '', NULL, CRT90_TBMOVDEB_NEW.CRT90DL_PAN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</si>
  <si>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PAN
PAN
N\A
N\A</t>
  </si>
  <si>
    <t>N\A
N\A
"NULL"
"#N/A"</t>
  </si>
  <si>
    <t>SELECT '1'
WHERE INTERFACE_DCT01.DCYR8101_CFAMILIA IN ( 'ME', 'MN' ) 
SELECT CAST( CONF_FINANCIAL_FLOW_INDICATOR_CONVERTER.CDM_VALUE AS STRING )
WHERE INTERFACE_DCT01.DCYR8101_CFAMILIA IN ( 'ME', 'MN' )
    AND CONF_FINANCIAL_FLOW_INDICATOR_CONVERTER.SOURCE_TRANSACTION_TYPE_CODE = 'coperac' AND CONF_FINANCIAL_FLOW_INDICATOR_CONVERTER.SOURCE_VALUE = TCT72_MOVCTA.COPERAC AND CONF_FINANCIAL_FLOW_INDICATOR_CONVERTER.SOURCE_CODE = 'TC'
    AND TCT72_MOVCTA.DDIAOP &gt; SUBSTRING(LAST_DATA_DATE_PART, 1, 10) AND TCT72_MOVCTA.DDIAOP &lt;= SUBSTRING(LAST_DATA_DATE_PART, 11, 10)</t>
  </si>
  <si>
    <t>Card Presence Indicator</t>
  </si>
  <si>
    <t>card_presence_indicator</t>
  </si>
  <si>
    <t>Ext Inf - Trans Card Inf - Ind</t>
  </si>
  <si>
    <t>Indicates whether the card was physically present during the transaction.</t>
  </si>
  <si>
    <t>Identifica se a transação foi realizada com recurso ao cartão físico.</t>
  </si>
  <si>
    <t>Authentication Method:
N\A ( Manual Implementação SIBS ); N\A</t>
  </si>
  <si>
    <t>Presence Indicator</t>
  </si>
  <si>
    <t>CURATED_INTERNAL_MAINFRAME_CARTOES
CURATED_INTERNAL_MAINFRAME_CARTOES
CURATED_INTERNAL_MAINFRAME_CARTOES
CURATED_INTERNAL_MAINFRAME_ESTRUTURAIS</t>
  </si>
  <si>
    <t>CRT90_TBMOVDEB_NEW
CRT07_TBCTATAR
CRT53
TAT91_TABELAS</t>
  </si>
  <si>
    <t>N\A
N\A
TIPOAUT
N\A</t>
  </si>
  <si>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</si>
  <si>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t>
  </si>
  <si>
    <t>TIPOAUT</t>
  </si>
  <si>
    <t>Billing Document ID</t>
  </si>
  <si>
    <t>billing_document_id</t>
  </si>
  <si>
    <t>Ext Inf - Trans Op Inf - ID</t>
  </si>
  <si>
    <t>Identifies the billing document that triggered the transaction.</t>
  </si>
  <si>
    <t>Identifica o documento de cobrança que causou a transação e à qual a mesma ficou associada.</t>
  </si>
  <si>
    <t>Transactions - Loans</t>
  </si>
  <si>
    <t>Cheque Number</t>
  </si>
  <si>
    <t>MCC_NRINTDOC
N\A
N\A
N\A
N\A
N\A
N\A
N\A</t>
  </si>
  <si>
    <r>
      <rPr>
        <b/>
        <sz val="11"/>
        <color rgb="FF000000"/>
        <rFont val="Calibri"/>
        <scheme val="minor"/>
      </rPr>
      <t>SELECT</t>
    </r>
    <r>
      <rPr>
        <sz val="11"/>
        <color rgb="FF000000"/>
        <rFont val="Calibri"/>
        <scheme val="minor"/>
      </rPr>
      <t xml:space="preserve"> IF( TRIM( CAST( EUR_MOVICCOR.MCC_NRINTDOC AS STRING ) ) = '', NULL, CAST( EUR_MOVICCOR.MCC_NRINTDOC AS STRING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</si>
  <si>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NRINTDOC
N\A
N\A</t>
  </si>
  <si>
    <t>DCYR9750_DDIAVL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</si>
  <si>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WHERE</t>
    </r>
    <r>
      <rPr>
        <sz val="11"/>
        <color rgb="FF000000"/>
        <rFont val="Calibri"/>
        <scheme val="minor"/>
      </rPr>
      <t xml:space="preserve"> INTERFACE_DCT01.DCYR8101_CFAMILIA = 'CR' </t>
    </r>
  </si>
  <si>
    <t>DDIAVL</t>
  </si>
  <si>
    <t>DCYR9750_CMOEDA
N\A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</si>
  <si>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INTERFACE_DCT01.DCYR8101_CFAMILIA IN ('IN', 'NC' )
    AND CONF_LITIGATION_PRODUCT.PRODUCT_ID IS NULL</t>
    </r>
  </si>
  <si>
    <t xml:space="preserve">EXECUTION_DATE_TIME </t>
  </si>
  <si>
    <r>
      <rPr>
        <b/>
        <sz val="11"/>
        <color rgb="FF000000"/>
        <rFont val="Calibri"/>
        <scheme val="minor"/>
      </rPr>
      <t>SELECT</t>
    </r>
    <r>
      <rPr>
        <sz val="11"/>
        <color rgb="FF000000"/>
        <rFont val="Calibri"/>
        <scheme val="minor"/>
      </rPr>
      <t xml:space="preserve"> IF( TRIM( TRANSACTIONS.EXECUTION_DATE_TIME ) = '', NULL, CONCAT( SUBSTRING( TRANSACTIONS.EXECUTION_DATE_TIME , 1, 4 ), '-', SUBSTRING( TRANSACTIONS.EXECUTION_DATE_TIME , 5, 2 ), '-', SUBSTRING( TRANSACTIONS.EXECUTION_DATE_TIME  , 7, 2 )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</si>
  <si>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EXECUTION_DATE_TIME</t>
  </si>
  <si>
    <t>DCYR9750_DDIAVL
N\A
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</si>
  <si>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</si>
  <si>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CURATED_INTERNAL_MAINFRAME_EMPRESTIMOS
CURATED_INTERNAL_MAINFRAME_EMPRESTIMOS
CURATED_INTERNAL_MAINFRAME_EMPRESTIMOS
CURATED_INTERNAL_MAINFRAME_EMPRESTIMOS
CURATED_INTERNAL_MAINFRAME_EMPRESTIMOS
CURATED_INTERNAL_MAINFRAME_EMPRESTIMOS
OPERATIONS_COMMON_REFERENCEDATA_CORE
CURATED_INTERNAL_MAINFRAME_CONTENCIOSO
CURATED_INTERNAL_MAINFRAME_CONTENCIOSO</t>
  </si>
  <si>
    <t>EPT07_MOVCTA
EPT01_CONTAS
CONTBACH_PRESTM
EH_DET_REC_COB
EH_OPER_CONTR
EH_REL_REC_OPER
CONF_FINANCIAL_FLOW_INDICATOR_CONVERTER
TCT72_MOVCTA
TCT09_OPERCN</t>
  </si>
  <si>
    <t>N\A
N\A
N\A
N\A
N\A
N\A
CDM_VALUE
N\A
N\A</t>
  </si>
  <si>
    <t>SELECT CONF_FINANCIAL_FLOW_INDICATOR_CONVERTER.CDM_VALUE
WHERE EPT01_CONTAS.CSITCTA != 'EH' 
    AND CONF_FINANCIAL_FLOW_INDICATOR_CONVERTER.SOURCE_CODE = 'EP' AND CONF_FINANCIAL_FLOW_INDICATOR_CONVERTER.SOURCE_TRANSACTION_TYPE_CODE  = 'coperac' AND CONF_FINANCIAL_FLOW_INDICATOR_CONVERTER.SOURCE_VALUE =  EPT07_MOVCTA.COPERAC 
    AND SUBSTRING( EPT07_MOVCTA.HTIMEST, 1, 10 ) &gt; SUBSTRING( LAST_DATA_DATE_PART, 1, 10 ) AND SUBSTRING( EPT07_MOVCTA.HTIMEST, 1, 10 ) &lt;= SUBSTRING( LAST_DATA_DATE_PART, 11, 10 )
SELECT CONF_FINANCIAL_FLOW_INDICATOR_CONVERTER.CDM_VALUE
WHERE CONF_FINANCIAL_FLOW_INDICATOR_CONVERTER.SOURCE_CODE = 'EP' AND CONF_FINANCIAL_FLOW_INDICATOR_CONVERTER.SOURCE_TRANSACTION_TYPE_CODE  = 'obb' AND CONF_FINANCIAL_FLOW_INDICATOR_CONVERTER.SOURCE_VALUE =  CONCAT( EH_OPER_CONTR.EH10_CODOPBAS, EH_OPER_CONTR.EH10_CODOPEOB )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SELECT CONF_FINANCIAL_FLOW_INDICATOR_CONVERTER.CDM_VALUE
WHERE CONF_FINANCIAL_FLOW_INDICATOR_CONVERTER.SOURCE_CODE = 'EP' AND CONF_FINANCIAL_FLOW_INDICATOR_CONVERTER.SOURCE_TRANSACTION_TYPE_CODE  = 'obb' AND CONF_FINANCIAL_FLOW_INDICATOR_CONVERTER.SOURCE_VALUE =  CONCAT( EH_OPER_CONTR.EH10_CODOPBAS, EH_OPER_CONTR.EH10_CODOPEOB )
    AND EH_OPER_CONTR.EH10_OPERBAS IN ( '001', '024', '028' )
    AND SUBSTRING( EH_OPER_CONTR.EH10_TIMESTAM, 1, 10 ) &gt; SUBSTRING( LAST_DATA_DATE_PART, 1, 10) AND SUBSTRING( EH_OPER_CONTR.EH10_TIMESTAM, 1, 10 ) &lt;= SUBSTRING( LAST_DATA_DATE_PART, 11, 10 )
SELECT CONF_FINANCIAL_FLOW_INDICATOR_CONVERTER.CDM_VALUE
WHERE CONF_FINANCIAL_FLOW_INDICATOR_CONVERTER.SOURCE_CODE = 'TC' AND CONF_FINANCIAL_FLOW_INDICATOR_CONVERTER.SOURCE_TRANSACTION_TYPE_CODE  = 'coperac' AND CONF_FINANCIAL_FLOW_INDICATOR_CONVERTER.SOURCE_VALUE =  TCT72_MOVCTA.COPERAC 
    AND TCT72_MOVCTA.DDIAOP &gt; SUBSTRING( LAST_DATA_DATE_PART, 1, 10 ) AND TCT72_MOVCTA.DDIAOP &lt;= SUBSTRING( LAST_DATA_DATE_PART, 11, 10 )</t>
  </si>
  <si>
    <t>COPERAC
CONCAT ( CODOPBAS, CODOPEOB )
COPERAC</t>
  </si>
  <si>
    <r>
      <rPr>
        <b/>
        <sz val="11"/>
        <color rgb="FF000000"/>
        <rFont val="Calibri"/>
        <scheme val="minor"/>
      </rPr>
      <t>SELECT</t>
    </r>
    <r>
      <rPr>
        <sz val="11"/>
        <color rgb="FF000000"/>
        <rFont val="Calibri"/>
        <scheme val="minor"/>
      </rPr>
      <t xml:space="preserve"> 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</si>
  <si>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</si>
  <si>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N\A
FECHAENT</t>
  </si>
  <si>
    <r>
      <rPr>
        <b/>
        <sz val="11"/>
        <color rgb="FF000000"/>
        <rFont val="Calibri"/>
        <scheme val="minor"/>
      </rPr>
      <t xml:space="preserve">SELECT </t>
    </r>
    <r>
      <rPr>
        <sz val="11"/>
        <color rgb="FF000000"/>
        <rFont val="Calibri"/>
        <scheme val="minor"/>
      </rPr>
      <t>IF( TRIM( DP_DPYR0580_MOVIMENTOS.FECHAENT ) = '', NULL, DP_DPYR0580_MOVIMENTOS.FECHAENT )</t>
    </r>
  </si>
  <si>
    <t>FECHAENT</t>
  </si>
  <si>
    <t>MONTMOV
N\A
N\A
MONTMOV
N\A
MONTMOV
N\A
MONTMOV
N\A
MONTMOV
DCYR9750_MMOVIM
N\A
MMOVIM
N\A
N\A</t>
  </si>
  <si>
    <t xml:space="preserve">SELECT CAST( EST55_RDIMOV.MONTMOV AS DECIMAL( 23,  6 ) )
WHERE SUBSTRING(EST55_RDIMOV.HTIMEST, 1, 10) &gt; SUBSTRING(LAST_DATA_DATE_PART, 1, 10) AND SUBSTRING(EST55_RDIMOV.HTIMEST, 1, 10) &lt;= SUBSTRING(LAST_DATA_DATE_PART, 11, 10)
SELECT CAST( EST79_RDEMOV.MONTMOV AS DECIMAL( 23,  6 ) )
WHERE SUBSTRING(EST79_RDEMOV.HTIMEST, 1, 10) &gt; SUBSTRING(LAST_DATA_DATE_PART, 1, 10) AND SUBSTRING(EST79_RDEMOV.HTIMEST, 1, 10) &lt;= SUBSTRING(LAST_DATA_DATE_PART, 11, 10)
SELECT CAST( EST86_CDIMOV.DTMOV AS DECIMAL( 23,  6 ) )
WHERE SUBSTRING(EST86_CDIMOV.HTIMEST, 1, 10) &gt; SUBSTRING(LAST_DATA_DATE_PART, 1, 10) AND SUBSTRING(EST86_CDIMOV.HTIMEST, 1, 10) &lt;= SUBSTRING(LAST_DATA_DATE_PART, 11, 10)
    AND NOT( EST85_CREIMP.CKPRODUT = '038' AND EST85_CREIMP.CKSUBPRO IN ( '002', '003')
SELECT CAST( EST86_CDIMOV.DTMOV AS DECIMAL( 23,  6 ) )
WHERE SUBSTRING(EST86_CDIMOV.HTIMEST, 1, 10) &gt; SUBSTRING(LAST_DATA_DATE_PART, 1, 10) AND SUBSTRING(EST86_CDIMOV.HTIMEST, 1, 10) &lt;= SUBSTRING(LAST_DATA_DATE_PART, 11, 10)
    AND ( EST85_CREIMP.CKPRODUT = '038' AND EST85_CREIMP.CKSUBPRO IN ( '002', '003')
SELECT CAST( EST90_CDEMOV.DTMOV AS DECIMAL( 23,  6 ) )
WHERE SUBSTRING(EST90_CDEMOV.HTIMEST, 1, 10) &gt; SUBSTRING(LAST_DATA_DATE_PART, 1, 10) AND SUBSTRING(EST90_CDEMOV.HTIMEST, 1, 10) &lt;= SUBSTRING(LAST_DATA_DATE_PART, 11, 10)
SELECT CAST( MOVIMENTOS_CONSOLIDADOS.DCYR9750_MMOVIM AS DECIMAL( 23, 6 ) )
WHERE ( ( CONF_LITIGATION_PRODUCT.SOURCE_PRODUCT_ID = '029' OR CONF_LITIGATION_PRODUCT.SOURCE_PRODUCT_ID = '030' ) AND ( CONF_LITIGATION_PRODUCT.SOURCE_SUBPRODUCT_ID = '083' OR CONF_LITIGATION_PRODUCT.SOURCE_SUBPRODUCT_ID = '085' OR CONF_LITIGATION_PRODUCT.SOURCE_SUBPRODUCT_ID = '302' )
SELECT TCT72_MOVCTA.MMOVIM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</si>
  <si>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MONTMOV
MONTMOV
MONTMOV
MONTMOV
MMOVIM
MMOVIM</t>
  </si>
  <si>
    <t>N\A
N\A
N\A
N\A
N\A
N\A
N\A</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</si>
  <si>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</si>
  <si>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"BG"
"DC"
"TC"</t>
  </si>
  <si>
    <t>Data Date Part</t>
  </si>
  <si>
    <t>data_date_part</t>
  </si>
  <si>
    <t>Key - Date</t>
  </si>
  <si>
    <t>Information reference date.</t>
  </si>
  <si>
    <t>Data de referência dos dados</t>
  </si>
  <si>
    <t>DATA_DATE_PART
N\A
DATA_DATE_PART
N\A</t>
  </si>
  <si>
    <t>SELECT EFT08_CONTAB_EFT.DATA_DATE_PART
WHERE SUBSTRING( EFT08_CONTAB_EFT.HTIMEST, 1, 10 ) &gt; SUBSTRING(LAST_DATA_DATE_PART, 1, 10) AND SUBSTRING( EFT08_CONTAB_EFT.HTIMEST, 1, 10 ) &lt;= SUBSTRING(LAST_DATA_DATE_PART, 11, 10)  
SELECT TCT72_MOVCTA.DATA_DATE_PART
WHERE TCT72_MOVCTA.DDIAOP &gt; SUBSTRING( LAST_DATA_DATE_PART, 1, 10) AND TCT72_MOVCTA.DDIAOP &lt;= SUBSTRING( LAST_DATA_DATE_PART, 11, 10)</t>
  </si>
  <si>
    <t>CRT12_CNATOPR
CRT90DL_NATOPR
N\A
N\A
N\A
N\A
N\A
N\A</t>
  </si>
  <si>
    <t>SELECT IF( ( TRIM( CRT12_TBMOVEXT_NEW.CRT12_CNATOPR ) = '' OR CRT12_TBMOVEXT_NEW.CRT12_CNATOPR IS NULL ),
    NULL,
    IF( CRT12_TBMOVEXT_NEW.CRT12_CNATOPR IN ( '57', '52' ),
        '1',
        '0' )
WHERE TAT91_TABELAS.TAYD91C0_CTABELA = '593' AND ( SUBSTRING( TAT91_TABELAS.TAYD91C0_NELEMC08, 1, 1 ) = '1' OR SUBSTRING( TAT91_TABELAS.TAYD91C0_NELEMC08, 1, 1 ) = '3' )
SELECT IF( ( TRIM( CRT90_TBMOVDEB_NEW.CRT90DL_NATOPR ) = '' OR CRT90_TBMOVDEB_NEW.CRT90DL_NATOPR IS NULL ),
    NULL,
    IF( CRT90_TBMOVDEB_NEW.CRT90DL_NATOPR IN ( '52', '57' ),
        '1',
        '0' )
WHERE TAT91_TABELAS.TAYD91C0_CTABELA = '593' AND ( SUBSTRING( TAT91_TABELAS.TAYD91C0_NELEMC08, 1, 1 ) = '1' OR SUBSTRING( TAT91_TABELAS.TAYD91C0_NELEMC08, 1, 1 ) = '3' )
SELECT '0'
WHERE CONF_LITIGATION_PRODUCT.SOURCE_CODE = 'CR' AND CONF_LITIGATION_PRODUCT.PRODUCT_ID = INTERFACE_DCT01.DCYR8101_CKPRODUT AND CONF_LITIGATION_PRODUCT.SUBPRODUCT_ID = INTERFACE_DCT01.DCYR8101_CKSUBPRO
SELECT '0'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</si>
  <si>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NATOPER
NATOPER
N\A
N\A</t>
  </si>
  <si>
    <t>N\A
N\A
"0"
"0"</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</si>
  <si>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</si>
  <si>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Currency:
EUR_MOEDA; CURATED_INTERNAL_EUROFAC.EUR_MOEDA
TAT91 - CTABELA 206;  CURATED_INTERNAL_MAINFRAME_ESTRUTURAIS.TAT91_TABELAS - TAYD91C0_CTABELA 206</t>
  </si>
  <si>
    <t>CDMOEDA
N\A
N\A
CMOEDA
N\A
CMOEDAOR
N\A
N\A</t>
  </si>
  <si>
    <r>
      <rPr>
        <b/>
        <sz val="11"/>
        <color rgb="FF000000"/>
        <rFont val="Calibri"/>
        <scheme val="minor"/>
      </rPr>
      <t>SELECT</t>
    </r>
    <r>
      <rPr>
        <sz val="11"/>
        <color rgb="FF000000"/>
        <rFont val="Calibri"/>
        <scheme val="minor"/>
      </rPr>
      <t xml:space="preserve">  IF( TRIM( EUR_INTERVEN.INT_CDMOEDA ) = '', NULL, EUR_INTERVEN.INT_CDMOEDA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</si>
  <si>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EUR_INTERVEN
DCYR9750
TCT72_MOVCTA</t>
  </si>
  <si>
    <t>CDMOEDA
CMOEDA
CMOEDAOR</t>
  </si>
  <si>
    <t>DCYR9750_DDIAOP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</si>
  <si>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 'CR' </t>
    </r>
  </si>
  <si>
    <t>DDIAOP</t>
  </si>
  <si>
    <t>DCYR9750_DDIAVL 
N\A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</si>
  <si>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WHERE</t>
    </r>
    <r>
      <rPr>
        <sz val="11"/>
        <color rgb="FF000000"/>
        <rFont val="Calibri"/>
        <scheme val="minor"/>
      </rPr>
      <t xml:space="preserve"> INTERFACE_DCT01.DCYR8101_CFAMILIA IN ('IN', 'NC' )
    AND CONF_LITIGATION_PRODUCT.PRODUCT_ID IS NULL</t>
    </r>
  </si>
  <si>
    <t xml:space="preserve">TRANSACTION_AMOUNT </t>
  </si>
  <si>
    <r>
      <rPr>
        <b/>
        <sz val="11"/>
        <color rgb="FF000000"/>
        <rFont val="Calibri"/>
        <scheme val="minor"/>
      </rPr>
      <t>SELECT</t>
    </r>
    <r>
      <rPr>
        <sz val="11"/>
        <color rgb="FF000000"/>
        <rFont val="Calibri"/>
        <scheme val="minor"/>
      </rPr>
      <t xml:space="preserve"> CAST( TRANSACTIONS.TRANSACTION_AMOUNT AS DECIMAL( 23, 6 )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</si>
  <si>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TRANSACTION_AMOUNT</t>
  </si>
  <si>
    <t>Transaction Date Time
Transaction ID</t>
  </si>
  <si>
    <t>DCYR9750_DDIAOP 
N\A
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</si>
  <si>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</si>
  <si>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DCYR9750 || DCYR9750
TCT72_MOVCTA</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</si>
  <si>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</si>
  <si>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IOPANULA
N\A
N\A
N\A
EH10_INDSIT
N\A
N\A
N\A</t>
  </si>
  <si>
    <r>
      <rPr>
        <b/>
        <sz val="11"/>
        <color rgb="FF000000"/>
        <rFont val="Calibri"/>
        <scheme val="minor"/>
      </rPr>
      <t>SELECT</t>
    </r>
    <r>
      <rPr>
        <sz val="11"/>
        <color rgb="FF000000"/>
        <rFont val="Calibri"/>
        <scheme val="minor"/>
      </rPr>
      <t xml:space="preserve"> IF( TRIM( EPT07_MOVCTA.IOPANULA ) = '', NULL,
    IF( EPT07_MOVCTA.IOPANULA = 'S',
        '1',
        '0' )
</t>
    </r>
    <r>
      <rPr>
        <b/>
        <sz val="11"/>
        <color rgb="FF000000"/>
        <rFont val="Calibri"/>
        <scheme val="minor"/>
      </rPr>
      <t>WHERE</t>
    </r>
    <r>
      <rPr>
        <sz val="11"/>
        <color rgb="FF000000"/>
        <rFont val="Calibri"/>
        <scheme val="minor"/>
      </rPr>
      <t xml:space="preserve"> EPT01_CONTAS.CSITCTA != 'EH' 
    AND SUBSTRING( EPT07_MOVCTA.HTIMEST, 1, 10 ) &gt; SUBSTRING( LAST_DATA_DATE_PART, 1, 10 ) AND SUBSTRING( EPT07_MOVCTA.HTIMEST, 1, 10 ) &lt;= SUBSTRING( LAST_DATA_DATE_PART, 11, 10 )
</t>
    </r>
    <r>
      <rPr>
        <b/>
        <sz val="11"/>
        <color rgb="FF000000"/>
        <rFont val="Calibri"/>
        <scheme val="minor"/>
      </rPr>
      <t>SELECT</t>
    </r>
    <r>
      <rPr>
        <sz val="11"/>
        <color rgb="FF000000"/>
        <rFont val="Calibri"/>
        <scheme val="minor"/>
      </rPr>
      <t xml:space="preserve"> IF( TRIM( EH_OPER_CONTR.EH10_INDSIT ) = '', NULL,
    IF( EH_OPER_CONTR.EH10_INDSIT IN ( 'AN' ),
        '1',
        '0' )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SELECT</t>
    </r>
    <r>
      <rPr>
        <sz val="11"/>
        <color rgb="FF000000"/>
        <rFont val="Calibri"/>
        <scheme val="minor"/>
      </rPr>
      <t xml:space="preserve"> IF( TRIM( EH_OPER_CONTR.EH10_INDSIT ) = '', NULL,
    IF( EH_OPER_CONTR.EH10_INDSIT IN ( 'AN' ),
        '1',
</t>
    </r>
    <r>
      <rPr>
        <b/>
        <sz val="11"/>
        <color rgb="FF000000"/>
        <rFont val="Calibri"/>
        <scheme val="minor"/>
      </rPr>
      <t xml:space="preserve">        </t>
    </r>
    <r>
      <rPr>
        <sz val="11"/>
        <color rgb="FF000000"/>
        <rFont val="Calibri"/>
        <scheme val="minor"/>
      </rPr>
      <t xml:space="preserve">'0' )
</t>
    </r>
    <r>
      <rPr>
        <b/>
        <sz val="11"/>
        <color rgb="FF000000"/>
        <rFont val="Calibri"/>
        <scheme val="minor"/>
      </rPr>
      <t>WHERE</t>
    </r>
    <r>
      <rPr>
        <sz val="11"/>
        <color rgb="FF000000"/>
        <rFont val="Calibri"/>
        <scheme val="minor"/>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</si>
  <si>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EPT07_MOVCTA 
EH_OPER_CONTR
N\A</t>
  </si>
  <si>
    <t>IOPANULA 
INDSIT
N\A</t>
  </si>
  <si>
    <t>N\A
N\A
"NULL"</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</si>
  <si>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</si>
  <si>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t>Authentication Type Code</t>
  </si>
  <si>
    <t>authentication_type_code</t>
  </si>
  <si>
    <t>Ext Inf - Trans Auth Inf - Code</t>
  </si>
  <si>
    <t>Represents the method used to authenticate the transaction.</t>
  </si>
  <si>
    <t>Identifica o tipo de autenticação que foi utilizado para ser possível realizar a transação.</t>
  </si>
  <si>
    <t>Authentication Method</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</si>
  <si>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</si>
  <si>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
N\A</t>
  </si>
  <si>
    <t xml:space="preserve">TIPOAUT </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</si>
  <si>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</si>
  <si>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N\A
DDIAOP</t>
  </si>
  <si>
    <r>
      <rPr>
        <b/>
        <sz val="11"/>
        <color rgb="FF000000"/>
        <rFont val="Calibri"/>
        <scheme val="minor"/>
      </rPr>
      <t xml:space="preserve">SELECT </t>
    </r>
    <r>
      <rPr>
        <sz val="11"/>
        <color rgb="FF000000"/>
        <rFont val="Calibri"/>
        <scheme val="minor"/>
      </rPr>
      <t>IF( TRIM( DP_DPYR0580_MOVIMENTOS.DDIAOP ) = '', NULL, DP_DPYR0580_MOVIMENTOS.DDIAOP )</t>
    </r>
  </si>
  <si>
    <t>Information Source Application:
N\A; N\A
N\A; N\A
N\A; N\A
N\A; N\A
N\A; N\A
N\A; N\A</t>
  </si>
  <si>
    <t xml:space="preserve">SELECT 'RM'
WHERE SUBSTRING(EST55_RDIMOV.HTIMEST, 1, 10) &gt; SUBSTRING(LAST_DATA_DATE_PART, 1, 10) AND SUBSTRING(EST55_RDIMOV.HTIMEST, 1, 10) &lt;= SUBSTRING(LAST_DATA_DATE_PART, 11, 10)
SELECT 'RX'
WHERE SUBSTRING(EST79_RDEMOV.HTIMEST, 1, 10) &gt; SUBSTRING(LAST_DATA_DATE_PART, 1, 10) AND SUBSTRING(EST79_RDEMOV.HTIMEST, 1, 10) &lt;= SUBSTRING(LAST_DATA_DATE_PART, 11, 10)
SELECT 'MC'
WHERE SUBSTRING(EST86_CDIMOV.HTIMEST, 1, 10) &gt; SUBSTRING(LAST_DATA_DATE_PART, 1, 10) AND SUBSTRING(EST86_CDIMOV.HTIMEST, 1, 10) &lt;= SUBSTRING(LAST_DATA_DATE_PART, 11, 10)
    AND NOT( EST85_CREIMP.CKPRODUT = '038' AND EST85_CREIMP.CKSUBPRO IN ( '002', '003')
SELECT 'MC'
WHERE SUBSTRING(EST86_CDIMOV.HTIMEST, 1, 10) &gt; SUBSTRING(LAST_DATA_DATE_PART, 1, 10) AND SUBSTRING(EST86_CDIMOV.HTIMEST, 1, 10) &lt;= SUBSTRING(LAST_DATA_DATE_PART, 11, 10)
    AND ( EST85_CREIMP.CKPRODUT = '038' AND EST85_CREIMP.CKSUBPRO IN ( '002', '003')
SELECT 'XC'
WHERE SUBSTRING(EST90_CDEMOV.HTIMEST, 1, 10) &gt; SUBSTRING(LAST_DATA_DATE_PART, 1, 10) AND SUBSTRING(EST90_CDEMOV.HTIMEST, 1, 10) &lt;= SUBSTRING(LAST_DATA_DATE_PART, 11, 10)
SELECT 'DC'
WHERE ( ( CONF_LITIGATION_PRODUCT.SOURCE_PRODUCT_ID = '029' OR CONF_LITIGATION_PRODUCT.SOURCE_PRODUCT_ID = '030' ) AND ( CONF_LITIGATION_PRODUCT.SOURCE_SUBPRODUCT_ID = '083' OR CONF_LITIGATION_PRODUCT.SOURCE_SUBPRODUCT_ID = '085' OR CONF_LITIGATION_PRODUCT.SOURCE_SUBPRODUCT_ID = '302' )
SELECT 'TC'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</si>
  <si>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"RM"
"RX"
"MC"
"XC"
"DC"
"TC"</t>
  </si>
  <si>
    <t>DATA_DATE_PART
N\A
DATA_DATE_PART
N\A
DATA_DATE_PART
N\A
N\A</t>
  </si>
  <si>
    <r>
      <rPr>
        <b/>
        <sz val="11"/>
        <color rgb="FF000000"/>
        <rFont val="Calibri"/>
        <scheme val="minor"/>
      </rPr>
      <t>SELECT</t>
    </r>
    <r>
      <rPr>
        <sz val="11"/>
        <color rgb="FF000000"/>
        <rFont val="Calibri"/>
        <scheme val="minor"/>
      </rPr>
      <t xml:space="preserve"> BG_OPERACION.DATA_DATE_PART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MOVIMENTOS_CONSOLIDADOS.DATA_DATE_PART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</si>
  <si>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Data Timestamp Part</t>
  </si>
  <si>
    <t>data_timestamp_part</t>
  </si>
  <si>
    <t>Tec - Date</t>
  </si>
  <si>
    <t>Record's load timestamp in common layer.</t>
  </si>
  <si>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</si>
  <si>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t>SELECT NOW()
WHERE SUBSTRING( EFT08_CONTAB_EFT.HTIMEST, 1, 10 ) &gt; SUBSTRING(LAST_DATA_DATE_PART, 1, 10) AND SUBSTRING( EFT08_CONTAB_EFT.HTIMEST, 1, 10 ) &lt;= SUBSTRING(LAST_DATA_DATE_PART, 11, 10)  
SELECT NOW()
WHERE TCT72_MOVCTA.DDIAOP &gt; SUBSTRING( LAST_DATA_DATE_PART, 1, 10) AND TCT72_MOVCTA.DDIAOP &lt;= SUBSTRING( LAST_DATA_DATE_PART, 11, 10)</t>
  </si>
  <si>
    <t>CRT12_TBMOVEXT_NEW
CRT53
CRT07_TBCTATAR
MOVIMENTOS_CONSOLIDADOS
INTERFACE_DCT01
TCT72_MOVCTA
TCT09_OPERCN
CONF_LITIGATION_PRODUCT</t>
  </si>
  <si>
    <t>N\A
TIPOAUT
N\A
N\A
N\A
N\A
N\A
N\A</t>
  </si>
  <si>
    <t>SELECT IF( ( TRIM( CRT53.TIPOAUT ) = '' OR CRT53.TIPOAUT IS NULL ),
    NULL,
    IF( SUBSTRING( CRT53.TIPOAUT, 1, 1 ) IN ( '1', '4', '8' ),
        '1',
        '0' )
WHERE TAT91_TABELAS.TAYD91C0_CTABELA = '593' AND ( SUBSTRING( TAT91_TABELAS.TAYD91C0_NELEMC08, 1, 1 ) = '1' OR SUBSTRING( TAT91_TABELAS.TAYD91C0_NELEMC08, 1, 1 ) = '3' )
SELECT IF( ( TRIM( CRT53.TIPOAUT ) = '' OR CRT53.TIPOAUT IS NULL ),
    NULL,
    IF( SUBSTR( CRT53.TIPOAUT , 1, 1 ) IN ( '1', '4', '8' ),
        '1',
        '0'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</si>
  <si>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CRT53_TBMOVAUX
CRT53_TBMOVAUX
N\A
N\A</t>
  </si>
  <si>
    <t>TIPOAUT
TIPOAUT
N\A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</si>
  <si>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</si>
  <si>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Original Currency Code</t>
  </si>
  <si>
    <t>original_currency_code</t>
  </si>
  <si>
    <t>Original currency code of the transaction. Represents the currency before the currency exchange, if applicable.</t>
  </si>
  <si>
    <t>Reprensa a moeda original da transação, isto é, antes da conversão (se aplicável). Caso não exista uma conversão, assume a moeda da transação.</t>
  </si>
  <si>
    <t>Counterparty Currency</t>
  </si>
  <si>
    <t>CRT90DL_CLAMON
N\A
N\A</t>
  </si>
  <si>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</si>
  <si>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t>
  </si>
  <si>
    <t>MCC_DTVALMOV 
N\A
N\A
DCYR9750_DDIAVL
N\A
DDIAVL
N\A
N\A</t>
  </si>
  <si>
    <r>
      <rPr>
        <b/>
        <sz val="11"/>
        <color rgb="FF000000"/>
        <rFont val="Calibri"/>
        <scheme val="minor"/>
      </rPr>
      <t>SELECT</t>
    </r>
    <r>
      <rPr>
        <sz val="11"/>
        <color rgb="FF000000"/>
        <rFont val="Calibri"/>
        <scheme val="minor"/>
      </rPr>
      <t xml:space="preserve"> IF( TRIM( EUR_MOVICCOR.MCC_DTVALMOV ) = '', NULL, CAST( SUBSTRING( EUR_MOVICCOR.MCC_DTVALMOV , 1, 10 ) AS STRING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TRIM( MOVIMENTOS_CONSOLIDADOS.DCYR9750_DDIAVL ) = '', NULL, CAST( MOVIMENTOS_CONSOLIDADOS.DCYR9750_DDIAVL AS STRING )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IF( TRIM( TCT72_MOVCTA.DDIAVL) = '', NULL, CAST( TCT72_MOVCTA.DDIAVLAS STRING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</si>
  <si>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DTVALMOV
DDIAVL
DDIAVL</t>
  </si>
  <si>
    <t>DCYR9750_MMOVIM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</si>
  <si>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INTERFACE_DCT01.DCYR8101_CFAMILIA = 'CR' </t>
    </r>
  </si>
  <si>
    <t>MMOVIM</t>
  </si>
  <si>
    <t>DCYR9750_DDIAOP 
N\A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</si>
  <si>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INTERFACE_DCT01.DCYR8101_CFAMILIA IN ('IN', 'NC' )
    AND CONF_LITIGATION_PRODUCT.PRODUCT_ID IS NULL</t>
    </r>
  </si>
  <si>
    <t>Description</t>
  </si>
  <si>
    <t>description</t>
  </si>
  <si>
    <t xml:space="preserve">General observations about the transaction, for example, description of the transaction, transfer reference, etc. </t>
  </si>
  <si>
    <t xml:space="preserve">Observações gerais sobre a transação, por exemplo, descrição do movimento, referência da transferência associada, etc. </t>
  </si>
  <si>
    <t>TRANSACTION_TYPE_DESCRIPTION</t>
  </si>
  <si>
    <r>
      <rPr>
        <b/>
        <sz val="11"/>
        <color rgb="FF000000"/>
        <rFont val="Calibri"/>
        <scheme val="minor"/>
      </rPr>
      <t>SELECT</t>
    </r>
    <r>
      <rPr>
        <sz val="11"/>
        <color rgb="FF000000"/>
        <rFont val="Calibri"/>
        <scheme val="minor"/>
      </rPr>
      <t xml:space="preserve"> TRANSACTIONS.TRANSACTION_TYPE_DESCRIPTION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</si>
  <si>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DCYR9750_MMOVIM 
N\A
MMOVIM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</si>
  <si>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</si>
  <si>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Chargeback Date</t>
  </si>
  <si>
    <t>chargeback_date</t>
  </si>
  <si>
    <t>Ext Inf - Trans Rej Cal Inf - Date</t>
  </si>
  <si>
    <t>If applicable, the date when the transaction was annulled, for example, the money was returned to the client.</t>
  </si>
  <si>
    <t>Se aplicável, representa a data do estorno, ou anulação, da transação.</t>
  </si>
  <si>
    <t>Reject Date</t>
  </si>
  <si>
    <t>DANULACA
N\A
N\A
N\A
EH10_TIMESTAM
N\A
N\A
N\A</t>
  </si>
  <si>
    <r>
      <rPr>
        <b/>
        <sz val="11"/>
        <color rgb="FF000000"/>
        <rFont val="Calibri"/>
      </rPr>
      <t xml:space="preserve">SELECT </t>
    </r>
    <r>
      <rPr>
        <sz val="11"/>
        <color rgb="FF000000"/>
        <rFont val="Calibri"/>
      </rPr>
      <t xml:space="preserve">IF( TRIM( EPT07_MOVCTA.DANULACA ) = '', NULL, EPT07_MOVCTA.EPYD07C0_DANULACA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TCT72_MOVCTA.DDIAOP &gt; SUBSTRING( LAST_DATA_DATE_PART, 1, 10 ) AND TCT72_MOVCTA.DDIAOP &lt;= SUBSTRING( LAST_DATA_DATE_PART, 11, 10 )</t>
    </r>
  </si>
  <si>
    <t>DANULACA 
TIMESTAM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</si>
  <si>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 6 )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</si>
  <si>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</si>
  <si>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N\A
MMOVIM</t>
  </si>
  <si>
    <r>
      <rPr>
        <b/>
        <sz val="11"/>
        <color rgb="FF000000"/>
        <rFont val="Calibri"/>
        <scheme val="minor"/>
      </rPr>
      <t xml:space="preserve">SELECT </t>
    </r>
    <r>
      <rPr>
        <sz val="11"/>
        <color rgb="FF000000"/>
        <rFont val="Calibri"/>
        <scheme val="minor"/>
      </rPr>
      <t>CAST( DP_DPYR0580_MOVIMENTOS.MMOVIM AS DECIMAL( 23, 6 ) )</t>
    </r>
  </si>
  <si>
    <t>DATA_DATE_PART
N\A
N\A
DATA_DATE_PART
N\A
DATA_DATE_PART
N\A
DATA_DATE_PART
N\A
DATA_DATE_PART
N\A
DATA_DATE_PART
N\A
DATA_DATE_PART
N\A</t>
  </si>
  <si>
    <t xml:space="preserve">SELECT EST55_RDIMOV.DATA_DATE_PART
WHERE SUBSTRING(EST55_RDIMOV.HTIMEST, 1, 10) &gt; SUBSTRING(LAST_DATA_DATE_PART, 1, 10) AND SUBSTRING(EST55_RDIMOV.HTIMEST, 1, 10) &lt;= SUBSTRING(LAST_DATA_DATE_PART, 11, 10)
SELECT EST79_RDEMOV.DATA_DATE_PART
WHERE SUBSTRING(EST79_RDEMOV.HTIMEST, 1, 10) &gt; SUBSTRING(LAST_DATA_DATE_PART, 1, 10) AND SUBSTRING(EST79_RDEMOV.HTIMEST, 1, 10) &lt;= SUBSTRING(LAST_DATA_DATE_PART, 11, 10)
SELECT EST86_CDIMOV.DATA_DATE_PART
WHERE SUBSTRING(EST86_CDIMOV.HTIMEST, 1, 10) &gt; SUBSTRING(LAST_DATA_DATE_PART, 1, 10) AND SUBSTRING(EST86_CDIMOV.HTIMEST, 1, 10) &lt;= SUBSTRING(LAST_DATA_DATE_PART, 11, 10)
    AND NOT( EST85_CREIMP.CKPRODUT = '038' AND EST85_CREIMP.CKSUBPRO IN ( '002', '003')
SELECT EST86_CDIMOV.DATA_DATE_PART
WHERE SUBSTRING(EST86_CDIMOV.HTIMEST, 1, 10) &gt; SUBSTRING(LAST_DATA_DATE_PART, 1, 10) AND SUBSTRING(EST86_CDIMOV.HTIMEST, 1, 10) &lt;= SUBSTRING(LAST_DATA_DATE_PART, 11, 10)
    AND ( EST85_CREIMP.CKPRODUT = '038' AND EST85_CREIMP.CKSUBPRO IN ( '002', '003')
SELECT EST90_CDEMOV.DATA_DATE_PART
WHERE SUBSTRING(EST90_CDEMOV.HTIMEST, 1, 10) &gt; SUBSTRING(LAST_DATA_DATE_PART, 1, 10) AND SUBSTRING(EST90_CDEMOV.HTIMEST, 1, 10) &lt;= SUBSTRING(LAST_DATA_DATE_PART, 11, 10)
SELECT MOVIMENTOS_CONSOLIDADOS.DATA_DATE_PART
WHERE ( ( CONF_LITIGATION_PRODUCT.SOURCE_PRODUCT_ID = '029' OR CONF_LITIGATION_PRODUCT.SOURCE_PRODUCT_ID = '030' ) AND ( CONF_LITIGATION_PRODUCT.SOURCE_SUBPRODUCT_ID = '083' OR CONF_LITIGATION_PRODUCT.SOURCE_SUBPRODUCT_ID = '085' OR CONF_LITIGATION_PRODUCT.SOURCE_SUBPRODUCT_ID = '302' )
SELECT TCT72_MOVCTA.DATA_DATE_PART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</si>
  <si>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</si>
  <si>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Transaction Date Time
Transaction ID
Transaction ID</t>
  </si>
  <si>
    <r>
      <rPr>
        <b/>
        <sz val="11"/>
        <color rgb="FF000000"/>
        <rFont val="Calibri"/>
        <scheme val="minor"/>
      </rPr>
      <t xml:space="preserve">SELECT </t>
    </r>
    <r>
      <rPr>
        <sz val="11"/>
        <color rgb="FF000000"/>
        <rFont val="Calibri"/>
        <scheme val="minor"/>
      </rPr>
      <t xml:space="preserve">IF( TRIM( MOVIMENTOS_CONSOLIDADOS.DCYR9750_DDIAOP  = '' ), NULL, MOVIMENTOS_CONSOLIDADOS.DCYR9750_DDIAOP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TCT72_MOVCTA.DDIAOP ) = '', NULL, TCT72_MOVCTA.DDIAOP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</si>
  <si>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CRT90DL_CLAMONEUR
N\A
N\A</t>
  </si>
  <si>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</si>
  <si>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CLAMONEUR</t>
  </si>
  <si>
    <t>MCC_DTMOVIME 
N\A
N\A
DCYR9750_DDIAOP
N\A
DDIAOP
N\A
N\A</t>
  </si>
  <si>
    <r>
      <rPr>
        <b/>
        <sz val="11"/>
        <color rgb="FF000000"/>
        <rFont val="Calibri"/>
        <scheme val="minor"/>
      </rPr>
      <t>SELECT</t>
    </r>
    <r>
      <rPr>
        <sz val="11"/>
        <color rgb="FF000000"/>
        <rFont val="Calibri"/>
        <scheme val="minor"/>
      </rPr>
      <t xml:space="preserve"> CAST( SUBSTRING( EUR_MOVICCOR.MCC_DTMOVIME , 1, 10 ) AS STRING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MOVIMENTOS_CONSOLIDADOS.DCYR9750_DDIAOP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TCT72_MOVCTA.DDIAOP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</si>
  <si>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DTMOVIME
DDIAOP
DDIAOP</t>
  </si>
  <si>
    <t>Check Number</t>
  </si>
  <si>
    <t>check_number</t>
  </si>
  <si>
    <t>If applicable, identifies the check associated with the transaction.</t>
  </si>
  <si>
    <t>Se aplicável, representa o identificador único do cheque utilizado para realizar a transação.</t>
  </si>
  <si>
    <t>DCYR9750_ZCHQ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</si>
  <si>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 'CR' </t>
    </r>
  </si>
  <si>
    <t>ZCHQ</t>
  </si>
  <si>
    <t>DCYR9750_MMOVIM 
N\A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</si>
  <si>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INTERFACE_DCT01.DCYR8101_CFAMILIA IN ('IN', 'NC' )
    AND CONF_LITIGATION_PRODUCT.PRODUCT_ID IS NULL</t>
    </r>
  </si>
  <si>
    <t>Information Source Application:
N\A; N\A</t>
  </si>
  <si>
    <r>
      <rPr>
        <b/>
        <sz val="11"/>
        <color rgb="FF000000"/>
        <rFont val="Calibri"/>
      </rPr>
      <t>SELECT</t>
    </r>
    <r>
      <rPr>
        <sz val="11"/>
        <color rgb="FF000000"/>
        <rFont val="Calibri"/>
      </rPr>
      <t xml:space="preserve"> 'LG'
</t>
    </r>
    <r>
      <rPr>
        <b/>
        <sz val="11"/>
        <color rgb="FF000000"/>
        <rFont val="Calibri"/>
      </rPr>
      <t>WHERE</t>
    </r>
    <r>
      <rPr>
        <sz val="11"/>
        <color rgb="FF000000"/>
        <rFont val="Calibri"/>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</si>
  <si>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"EP"
"EP"
"TC"</t>
  </si>
  <si>
    <t>DCYR9750_ZCHQ
N\A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</si>
  <si>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</si>
  <si>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ZCHQ
N\A</t>
  </si>
  <si>
    <t>N\A
"NULL"</t>
  </si>
  <si>
    <t>Installment Number</t>
  </si>
  <si>
    <t>installment_number</t>
  </si>
  <si>
    <t>Corresponds to installment number that is associated to the transaction.</t>
  </si>
  <si>
    <t>Corresponde ao número da prestação associada ao movimento.</t>
  </si>
  <si>
    <t>EPT01_CONTAS
EPT07_MOVCTA
CONTBACH_PRESTM
EH_DET_REC_COB
EH_OPER_CONTR
EH_REL_REC_OPER
EPT99_MOVIMENTO
TCT09_OPERCN
TCT72_MOVCTA</t>
  </si>
  <si>
    <t>N\A
ZNUMPRE
N\A
N\A
N\A
N\A
ZNUMPRES
N\A
N\A</t>
  </si>
  <si>
    <r>
      <rPr>
        <b/>
        <sz val="11"/>
        <color rgb="FF000000"/>
        <rFont val="Calibri"/>
      </rPr>
      <t>SELECT</t>
    </r>
    <r>
      <rPr>
        <sz val="11"/>
        <color rgb="FF000000"/>
        <rFont val="Calibri"/>
      </rPr>
      <t xml:space="preserve"> IF( TRIM( EPT07_MOVCTA.ZNUMPRE ) = '', NULL, EPT07_MOVCTA.EPYD07C0_ZNUMPRE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CAST( EPT99_MOVIMENTO.ZNUMPRES AS INT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AND EPT99_MOVIMENTO.DLIQUID = EH_REL_REC_OPER.E4282_FECALTA AND MAX( EPT99_MOVIMENTO.ZSEQOPER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</si>
  <si>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EPT99_MOVIMENTO || N\A
N\A</t>
  </si>
  <si>
    <t>ZNUMPRE
ZNUMPRES || N\A
N\A</t>
  </si>
  <si>
    <t>N\A
N\A ||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</si>
  <si>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</si>
  <si>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t>Authentication Method:
N\A ( Manual Implementação SIBS ); N\A
N\A; N\A
N\A; N\A
N\A; N\A</t>
  </si>
  <si>
    <t>SELECT IF( TRIM( CRT53.TIPOAUT ) = '', NULL, CRT53.TIPOAUT )
WHERE CRT07_TBCTATAR.FECBAJA = 0 AND TAT91_TABELAS.TAYD91C0_CTABELA = '593' AND ( SUBSTRING( TAT91_TABELAS.TAYD91C0_NELEMC08, 1, 1 ) = '1' OR SUBSTRING( TAT91_TABELAS.TAYD91C0_NELEMC08, 1, 1 ) = '3' )
SELECT IF( TRIM( CRT53.TIPOAUT ) = '', NULL, CRT53.TIPOAUT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</si>
  <si>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</si>
  <si>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'DP'</t>
    </r>
  </si>
  <si>
    <t>"DP"</t>
  </si>
  <si>
    <t xml:space="preserve">SELECT NOW()
WHERE SUBSTRING(EST55_RDIMOV.HTIMEST, 1, 10) &gt; SUBSTRING(LAST_DATA_DATE_PART, 1, 10) AND SUBSTRING(EST55_RDIMOV.HTIMEST, 1, 10) &lt;= SUBSTRING(LAST_DATA_DATE_PART, 11, 10)
SELECT NOW()
WHERE SUBSTRING(EST79_RDEMOV.HTIMEST, 1, 10) &gt; SUBSTRING(LAST_DATA_DATE_PART, 1, 10) AND SUBSTRING(EST79_RDEMOV.HTIMEST, 1, 10) &lt;= SUBSTRING(LAST_DATA_DATE_PART, 11, 10)
SELECT NOW()
WHERE SUBSTRING(EST86_CDIMOV.HTIMEST, 1, 10) &gt; SUBSTRING(LAST_DATA_DATE_PART, 1, 10) AND SUBSTRING(EST86_CDIMOV.HTIMEST, 1, 10) &lt;= SUBSTRING(LAST_DATA_DATE_PART, 11, 10)
    AND NOT( EST85_CREIMP.CKPRODUT = '038' AND EST85_CREIMP.CKSUBPRO IN ( '002', '003')
SELECT NOW()
WHERE SUBSTRING(EST86_CDIMOV.HTIMEST, 1, 10) &gt; SUBSTRING(LAST_DATA_DATE_PART, 1, 10) AND SUBSTRING(EST86_CDIMOV.HTIMEST, 1, 10) &lt;= SUBSTRING(LAST_DATA_DATE_PART, 11, 10)
    AND ( EST85_CREIMP.CKPRODUT = '038' AND EST85_CREIMP.CKSUBPRO IN ( '002', '003')
SELECT NOW()
WHERE SUBSTRING(EST90_CDEMOV.HTIMEST, 1, 10) &gt; SUBSTRING(LAST_DATA_DATE_PART, 1, 10) AND SUBSTRING(EST90_CDEMOV.HTIMEST, 1, 10) &lt;= SUBSTRING(LAST_DATA_DATE_PART, 11, 10)
SELECT NOW()
WHERE ( ( CONF_LITIGATION_PRODUCT.SOURCE_PRODUCT_ID = '029' OR CONF_LITIGATION_PRODUCT.SOURCE_PRODUCT_ID = '030' ) AND ( CONF_LITIGATION_PRODUCT.SOURCE_SUBPRODUCT_ID = '083' OR CONF_LITIGATION_PRODUCT.SOURCE_SUBPRODUCT_ID = '085' OR CONF_LITIGATION_PRODUCT.SOURCE_SUBPRODUCT_ID = '302' )
SELECT NOW()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</si>
  <si>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Representa a moeda original da transação, isto é, antes da conversão (se aplicável). Caso não exista uma conversão, assume a moeda da transação.</t>
  </si>
  <si>
    <t>Currency:
TAT91 - CTABELA 206; CURATED_INTERNAL_MAINFRAME_ESTRUTURAIS.TAT91_TABELAS - TAYD91C0_CTABELA 206
TAT91 - CTABELA 206; CURATED_INTERNAL_MAINFRAME_ESTRUTURAIS.TAT91_TABELAS - TAYD91C0_CTABELA 206
N\A; N\A
N\A; N\A</t>
  </si>
  <si>
    <t>CRT12_CLAMON
CRT90DL_CLAMON
N\A
N\A
N\A
N\A
N\A
N\A</t>
  </si>
  <si>
    <t>SELECT IF( TRIM( CRT12_TBMOVEXT_NEW.CRT12_CLAMON ) = '', NULL, LPAD( CRT12_TBMOVEXT_NEW.CRT12_CLAMON, 3, '0' ) ) )
WHERE CRT07_TBCTATAR.FECBAJA = 0 AND TAT91_TABELAS.TAYD91C0_CTABELA = '593' AND ( SUBSTRING( TAT91_TABELAS.TAYD91C0_NELEMC08, 1, 1 ) = '1' OR SUBSTRING( TAT91_TABELAS.TAYD91C0_NELEMC08, 1, 1 ) = '3' )
SELECT IF( TRIM( CRT90_TBMOVDEB_NEW.CRT90DL_CLAMON ) = '', NULL, LPAD( CRT90_TBMOVDEB_NEW.CRT90DL_CLAMON, 3, '0' )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</si>
  <si>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CLAMON
CLAMON
N\A
N\A</t>
  </si>
  <si>
    <r>
      <rPr>
        <b/>
        <sz val="11"/>
        <color rgb="FF000000"/>
        <rFont val="Calibri"/>
        <scheme val="minor"/>
      </rPr>
      <t xml:space="preserve">SELECT </t>
    </r>
    <r>
      <rPr>
        <sz val="11"/>
        <color rgb="FF000000"/>
        <rFont val="Calibri"/>
        <scheme val="minor"/>
      </rPr>
      <t xml:space="preserve">CAST( CASE
    WHEN MOVIMENTOS_CONSOLIDADOS.DCYR9750_COPER = 'D' THEN - 1 * MOVIMENTOS_CONSOLIDADOS.DCYR9750_MMOVIM 
    ELSE dcyr9750.DCYR9750_MMOVIM 
END AS DECIMAL( 23, 6 )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'ME', 'MN' )
    AND TCT72_MOVCTA.DDIAOP &gt;= TCT72_MOVCTA.DATA_DATE_PART</t>
    </r>
  </si>
  <si>
    <t>CRT90DL_FECVALOR
N\A
N\A</t>
  </si>
  <si>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</si>
  <si>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FECVALOR</t>
  </si>
  <si>
    <t>MCC_VLMOVIME
N\A
N\A
DCYR9750_MMOVIM
N\A
MMOVIM 
N\A
N\A</t>
  </si>
  <si>
    <r>
      <rPr>
        <b/>
        <sz val="11"/>
        <color rgb="FF000000"/>
        <rFont val="Calibri"/>
        <scheme val="minor"/>
      </rPr>
      <t>SELECT</t>
    </r>
    <r>
      <rPr>
        <sz val="11"/>
        <color rgb="FF000000"/>
        <rFont val="Calibri"/>
        <scheme val="minor"/>
      </rPr>
      <t xml:space="preserve"> CAST( EUR_MOVICCOR.MCC_VLMOVIME AS DECIMAL( 23, 6 )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CAST(CASE
      WHEN MOVIMENTOS_CONSOLIDADOS.DCYR9750_COPER = 'D' THEN -1 * MOVIMENTOS_CONSOLIDADOS.DCYR9750_MMOVIM 
      ELSE MOVIMENTOS_CONSOLIDADOS.DCYR9750_MMOVIM
    END AS DECIMAL(23, 6))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</si>
  <si>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VLMOVIME
MMOVIM
MMOVIM</t>
  </si>
  <si>
    <t>DCYR9750_GREFMOV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</si>
  <si>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 'CR' </t>
    </r>
  </si>
  <si>
    <t>GREFMOV</t>
  </si>
  <si>
    <t>DCYR9750_ZCHQ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</si>
  <si>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INTERFACE_DCT01.DCYR8101_CFAMILIA IN ('IN', 'NC' )
    AND CONF_LITIGATION_PRODUCT.PRODUCT_ID IS NULL</t>
    </r>
  </si>
  <si>
    <t>DATA_DATE_PART</t>
  </si>
  <si>
    <r>
      <rPr>
        <b/>
        <sz val="11"/>
        <color rgb="FF000000"/>
        <rFont val="Calibri"/>
        <scheme val="minor"/>
      </rPr>
      <t>SELECT</t>
    </r>
    <r>
      <rPr>
        <sz val="11"/>
        <color rgb="FF000000"/>
        <rFont val="Calibri"/>
        <scheme val="minor"/>
      </rPr>
      <t xml:space="preserve"> TRANSACTIONS.DATA_DATE_PART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</si>
  <si>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</si>
  <si>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GREFMOV
N\A</t>
  </si>
  <si>
    <t>Currency:
TAT91 - CTABELA 206; CURATED_INTERNAL_MAINFRAME_ESTRUTURAIS.TAT91_TABELAS - TAYD91C0_CTABELA 206
MONEDA -&gt; AT91 - CTABELA 206; CURATED_INTERNAL_MAINFRAME_ESTRUTURAIS.TAT91_TABELAS - TAYD91C0_CTABELA 206
TAT91 - CTABELA 206; CURATED_INTERNAL_MAINFRAME_ESTRUTURAIS.TAT91_TABELAS - TAYD91C0_CTABELA 206</t>
  </si>
  <si>
    <t>CURATED_INTERNAL_MAINFRAME_EMPRESTIMOS
CURATED_INTERNAL_MAINFRAME_EMPRESTIMOS
CURATED_INTERNAL_MAINFRAME_EMPRESTIMOS
CURATED_INTERNAL_MAINFRAME_EMPRESTIMOS
CURATED_INTERNAL_MAINFRAME_EMPRESTIMOS
CURATED_INTERNAL_MAINFRAME_EMPRESTIMOS
CURATED_INTERNAL_MAINFRAME_ESTRUTURAIS
CURATED_INTERNAL_MAINFRAME_CONTENCIOSO
CURATED_INTERNAL_MAINFRAME_CONTENCIOSO</t>
  </si>
  <si>
    <t>EPT07_MOVCTA
EPT01_CONTAS
CONTBACH_PRESTM
EH_DET_REC_COB
EH_OPER_CONTR
EH_REL_REC_OPER
TAT21_MOEDA
TCT72_MOVCTA
TCT09_OPERCN</t>
  </si>
  <si>
    <t>CMOEDAOR
N\A
N\A
N\A
N\A
N\A
CMOEDA
CMOEDAOR
N\A</t>
  </si>
  <si>
    <r>
      <rPr>
        <b/>
        <sz val="11"/>
        <color rgb="FF000000"/>
        <rFont val="Calibri"/>
      </rPr>
      <t xml:space="preserve">SELECT </t>
    </r>
    <r>
      <rPr>
        <sz val="11"/>
        <color rgb="FF000000"/>
        <rFont val="Calibri"/>
      </rPr>
      <t xml:space="preserve">IF( TRIM( EPT07_MOVCTA.CMOEDAOR ) = '', NULL, EPT07_MOVCTA.EPYD07C0_CMOEDAOR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 TCT72_MOVCTA.CMOEDAOR ) = '', NULL, TCT72_MOVCTA.CMOEDAOR )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</si>
  <si>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-&gt; TAT21_MOEDA
TCT72_MOVCTA</t>
  </si>
  <si>
    <t>CMOEDAOR
CODMONSW -&gt; CMOEDA
CMOEDAOR</t>
  </si>
  <si>
    <t>N\A
N\A -&gt; N\A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</si>
  <si>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</si>
  <si>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</si>
  <si>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N\A
DATA_DATE_PART</t>
  </si>
  <si>
    <r>
      <rPr>
        <b/>
        <sz val="11"/>
        <color rgb="FF000000"/>
        <rFont val="Calibri"/>
        <scheme val="minor"/>
      </rPr>
      <t xml:space="preserve">SELECT </t>
    </r>
    <r>
      <rPr>
        <sz val="11"/>
        <color rgb="FF000000"/>
        <rFont val="Calibri"/>
        <scheme val="minor"/>
      </rPr>
      <t>DP_DPYR0580_MOVIMENTOS.DATA_DATE_PART</t>
    </r>
  </si>
  <si>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</si>
  <si>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CRT12_CLAMONEUR
CRT90_CLAMONEUR
N\A
DCYR9750_CMOEDA
N\A
N\A
CMOEDAOR
N\A
N\A</t>
  </si>
  <si>
    <t>SELECT IF( TRIM( CRT12_TBMOVEXT_NEW.CRT12_CLAMONEUR ) = '', NULL, CRT12_TBMOVEXT_NEW.CRT12_CLAMONEUR )
WHERE CRT07_TBCTATAR.FECBAJA = 0 AND TAT91_TABELAS.TAYD91C0_CTABELA = '593' AND ( SUBSTRING( TAT91_TABELAS.TAYD91C0_NELEMC08, 1, 1 ) = '1' OR SUBSTRING( TAT91_TABELAS.TAYD91C0_NELEMC08, 1, 1 ) = '3' )
SELECT IF( TRIM( CRT90_TBMOVDEB_NEW.CRT90DL_CLAMONEUR ) = '', NULL, CRT90_TBMOVDEB_NEW.CRT90DL_CLAMONEUR )
WHERE TAT91_TABELAS.TAYD91C0_CTABELA = '593' AND ( SUBSTRING( TAT91_TABELAS.TAYD91C0_NELEMC08, 1, 1 ) = '1' OR SUBSTRING( TAT91_TABELAS.TAYD91C0_NELEMC08, 1, 1 ) = '3' )
SELECT IF( TRIM( MOVIMENTOS_CONSOLIDADOS.DCYR9750_CMOEDA ) = '', NULL, MOVIMENTOS_CONSOLIDADOS.DCYR9750_CMOEDA )
WHERE CONF_LITIGATION_PRODUCT.SOURCE_CODE = 'CR' AND CONF_LITIGATION_PRODUCT.PRODUCT_ID = INTERFACE_DCT01.DCYR8101_CKPRODUT AND CONF_LITIGATION_PRODUCT.SUBPRODUCT_ID = INTERFACE_DCT01.DCYR8101_CKSUBPRO
SELECT IF( TRIM( TCT72_MOVCTA.CMOEDAOR ) = '', NULL, TCT72_MOVCTA.CMOEDAOR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</si>
  <si>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CLAMONEUR
CLAMONEUR
CMOEDA
CMOEDAOR</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</si>
  <si>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INTERFACE_DCT01.DCYR8101_CFAMILIA IN ( 'ME', 'MN' )
    AND TCT72_MOVCTA.DDIAOP &gt;= TCT72_MOVCTA.DATA_DATE_PART</t>
    </r>
  </si>
  <si>
    <t>CRT90DL_FECFAC
N\A
N\A</t>
  </si>
  <si>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</si>
  <si>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FECFAC</t>
  </si>
  <si>
    <t>Party ID</t>
  </si>
  <si>
    <t>party_id</t>
  </si>
  <si>
    <t>Ext Inf - Clt Inf - ID</t>
  </si>
  <si>
    <t>Unique identifier of the party  involved in the transaction. It does not necessarly means that the transaction was started \ performed by the party. It only means it was the client affected by the transaction.</t>
  </si>
  <si>
    <t>Identifica o cliente associado à transação, isto é, enviou, recebeu ou está associado ao contrato indexado à transação.</t>
  </si>
  <si>
    <t>CLI_NRINTCLI
N\A
N\A
N\A
N\A
N\A
N\A
N\A</t>
  </si>
  <si>
    <r>
      <rPr>
        <b/>
        <sz val="11"/>
        <color rgb="FF000000"/>
        <rFont val="Calibri"/>
        <scheme val="minor"/>
      </rPr>
      <t>SELECT</t>
    </r>
    <r>
      <rPr>
        <sz val="11"/>
        <color rgb="FF000000"/>
        <rFont val="Calibri"/>
        <scheme val="minor"/>
      </rPr>
      <t xml:space="preserve"> IF( TRIM( EUR_CLIENTE.CLI_NRINTCLI ) = '', NULL, EUR_CLIENTE.CLI_NRINTCLI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</si>
  <si>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-&gt; EUR_CLIENTE
N\A
N\A</t>
  </si>
  <si>
    <t>NRINTINT -&gt; NRINTCLI
N\A
N\A</t>
  </si>
  <si>
    <t>N\A -&gt; N\A
"NULL"
"NULL"</t>
  </si>
  <si>
    <t>Short description of the transaction. It can include payment details, transfer reference, etc.</t>
  </si>
  <si>
    <t>Pequena descrição da transação. Pode incluir detalhes do pagamento, referência da transferência, etc.</t>
  </si>
  <si>
    <t>DCYR9750_GDESMOV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</si>
  <si>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 'CR' </t>
    </r>
  </si>
  <si>
    <t>GDESMOV</t>
  </si>
  <si>
    <t>DCYR9750_GREFMOV
N\A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</si>
  <si>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INTERFACE_DCT01.DCYR8101_CFAMILIA IN ('IN', 'NC' )
    AND CONF_LITIGATION_PRODUCT.PRODUCT_ID IS NULL</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</si>
  <si>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</si>
  <si>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</si>
  <si>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GDESMOV
N\A</t>
  </si>
  <si>
    <t>N\A
" "</t>
  </si>
  <si>
    <t>DDIAVL
N\A
N\A
N\A
EH10_FECVAL
N\A
N\A
DDIAVL</t>
  </si>
  <si>
    <r>
      <rPr>
        <b/>
        <sz val="11"/>
        <color rgb="FF000000"/>
        <rFont val="Calibri"/>
      </rPr>
      <t xml:space="preserve">SELECT </t>
    </r>
    <r>
      <rPr>
        <sz val="11"/>
        <color rgb="FF000000"/>
        <rFont val="Calibri"/>
      </rPr>
      <t xml:space="preserve">IF( TRIM( EPT07_MOVCTA.DDIAVL ) = '', NULL, EPT07_MOVCTA.EPYD07C0_DDIAVL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 TCT72_MOVCTA.DDIAVL ) = '', NULL, TCT72_MOVCTA.DDIAVL )
</t>
    </r>
    <r>
      <rPr>
        <b/>
        <sz val="11"/>
        <color rgb="FF000000"/>
        <rFont val="Calibri"/>
      </rPr>
      <t>WHERE</t>
    </r>
    <r>
      <rPr>
        <sz val="11"/>
        <color rgb="FF000000"/>
        <rFont val="Calibri"/>
      </rPr>
      <t xml:space="preserve"> TCT72_MOVCTA.DDIAOP &gt; SUBSTRING( LAST_DATA_DATE_PART, 1, 10 ) AND TCT72_MOVCTA.DDIAOP &lt;= SUBSTRING( LAST_DATA_DATE_PART, 11, 10 )</t>
    </r>
  </si>
  <si>
    <t>DDIAVL
FECVAL
DDIAVL</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</si>
  <si>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</si>
  <si>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</si>
  <si>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NOW()</t>
    </r>
  </si>
  <si>
    <t>CRT12_FECVALOR
CRT90DL_FECVALOR
N\A
DCYR9750_DDIAVL
N\A
DDIAVL
N\A
N\A</t>
  </si>
  <si>
    <t>SELECT IF( LEN( CRT12_TBMOVEXT_NEW.CRT12_FECVALOR ) != 8, 
    IF(TRIM(CRT12_TBMOVEXT_NEW.CRT12_FECVALOR ) = '', 
        NULL, 
        CRT12_TBMOVEXT_NEW.CRT12_FECVALOR ), 
    CONCAT( SUBSTRING( CRT12_TBMOVEXT_NEW.CRT12_FECVALOR, 1, 4 ), '-', SUBSTRING( CRT12_TBMOVEXT_NEW.CRT12_FECVALOR, 5, 2 ), '-', SUBSTRING( CRT12_TBMOVEXT_NEW.CRT12_FECVALOR, 7, 2 ) )
WHERE TAT91_TABELAS.TAYD91C0_CTABELA = '593' AND ( SUBSTRING( TAT91_TABELAS.TAYD91C0_NELEMC08, 1, 1 ) = '1' OR SUBSTRING( TAT91_TABELAS.TAYD91C0_NELEMC08, 1, 1 ) = '3' )
SELECT IF( LEN( CRT90_TBMOVDEB_NEW.CRT90DL_FECVALOR ) != 8, 
    IF( TRIM( CRT90_TBMOVDEB_NEW.CRT90DL_FECVALOR ) = '', 
        NULL, 
        CRT90_TBMOVDEB_NEW.CRT90DL_FECVALOR ), 
    CONCAT( SUBSTRING( CRT90_TBMOVDEB_NEW.CRT90DL_FECVALOR, 1, 4 ), '-', SUBSTRING( CRT90_TBMOVDEB_NEW.CRT90DL_FECVALOR, 5, 2 ), '-', SUBSTRING( CRT90_TBMOVDEB_NEW.CRT90DL_FECVALOR, 7, 2 ) )
WHERE TAT91_TABELAS.TAYD91C0_CTABELA = '593' AND ( SUBSTRING( TAT91_TABELAS.TAYD91C0_NELEMC08, 1, 1 ) = '1' OR SUBSTRING( TAT91_TABELAS.TAYD91C0_NELEMC08, 1, 1 ) = '3' )
SELECT IF( TRIM( MOVIMENTOS_CONSOLIDADOS.DCYR9750_DDIAVL ) = '', NULL, MOVIMENTOS_CONSOLIDADOS.DCYR9750_DDIAVL )
WHERE CONF_LITIGATION_PRODUCT.SOURCE_CODE = 'CR' AND CONF_LITIGATION_PRODUCT.PRODUCT_ID = INTERFACE_DCT01.DCYR8101_CKPRODUT AND CONF_LITIGATION_PRODUCT.SUBPRODUCT_ID = INTERFACE_DCT01.DCYR8101_CKSUBPRO
SELECT IF( TRIM( TCT72_MOVCTA.DDIAVL ) = '', NULL, TCT72_MOVCTA.DDIAVL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</si>
  <si>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FECVALOR
FECVALOR
DDIAVL
DDIAVL</t>
  </si>
  <si>
    <t>DCYR9750_GDESMOV
N\A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</si>
  <si>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</si>
  <si>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Original Amount</t>
  </si>
  <si>
    <t>original_amount</t>
  </si>
  <si>
    <t>Original amount of the transaction. Represents the amount before the currency exchange, if applicable.</t>
  </si>
  <si>
    <t>Valor da transação antes da conversão de moeda, se aplicável. Caso não exista conversão de moeda, assume o valor na moeda da transação.</t>
  </si>
  <si>
    <t>Counterparty Transaction Amount</t>
  </si>
  <si>
    <t>CRT90_TBMOVDEB_NEW
CRT07_TBCTATAR
CRT44_TBTIPFAC
TAT91_TABELAS</t>
  </si>
  <si>
    <t>CRT90DL_IMPDIV, CRT90DL_IMPFAC 
N\A
SIGNO
N\A</t>
  </si>
  <si>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</si>
  <si>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 ||(1)CRT90_TBMOVDEB + (2)CRT44_TBTIPFAC</t>
  </si>
  <si>
    <t>CONCAT( (2)SIGNO, (1)IMPDIV )|| CONCAT( (2)SIGNO, (1)IMPFAC )</t>
  </si>
  <si>
    <t>Party Current Account Bank ID</t>
  </si>
  <si>
    <t>party_current_account_bank_id</t>
  </si>
  <si>
    <t>The bank identifier of the current account that received \ sent the transaction amount. This field only applies if the account belongs to Santander.</t>
  </si>
  <si>
    <t>Identifica o código interno de banco (cempresa) da conta à ordem que recebeu ou enviou a transação.</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</si>
  <si>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GENERAL_CONVERTER.SOURCE_CODE = 'DC' AND CONF_GENERAL_CONVERTER.SOURCE_VALUE = ''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</si>
  <si>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"31" || N\A
"NULL"
"NULL"</t>
  </si>
  <si>
    <t>Full Description</t>
  </si>
  <si>
    <t>full_description</t>
  </si>
  <si>
    <t>Full description of the transaction. It can include payment details, transfer reference, etc.</t>
  </si>
  <si>
    <t>Descrição completa da transação. Pode incluir detalhes do pagamento, referência da transferência, etc.</t>
  </si>
  <si>
    <t>DCYR9750_DESCR01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</si>
  <si>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 'CR' </t>
    </r>
  </si>
  <si>
    <t>DESCR01</t>
  </si>
  <si>
    <t>DCYR9750_GDESMOV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</si>
  <si>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</si>
  <si>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DCYR9750_DESCR01
N\A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</si>
  <si>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</si>
  <si>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DESCR01
N\A</t>
  </si>
  <si>
    <t>DDIOP
N\A
N\A
N\A
EH10_FECOPER
N\A
N\A
DDIAOP</t>
  </si>
  <si>
    <r>
      <rPr>
        <b/>
        <sz val="11"/>
        <color rgb="FF000000"/>
        <rFont val="Calibri"/>
      </rPr>
      <t xml:space="preserve">SELECT </t>
    </r>
    <r>
      <rPr>
        <sz val="11"/>
        <color rgb="FF000000"/>
        <rFont val="Calibri"/>
      </rPr>
      <t xml:space="preserve">IF( TRIM( EPT07_MOVCTA.DDIOP ) = '', NULL, EPT07_MOVCTA.EPYD07C0_DDIOP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 TCT72_MOVCTA.DDIAOP ) = '', NULL, TCT72_MOVCTA.DDIAOP )
</t>
    </r>
    <r>
      <rPr>
        <b/>
        <sz val="11"/>
        <color rgb="FF000000"/>
        <rFont val="Calibri"/>
      </rPr>
      <t xml:space="preserve">WHERE </t>
    </r>
    <r>
      <rPr>
        <sz val="11"/>
        <color rgb="FF000000"/>
        <rFont val="Calibri"/>
      </rPr>
      <t>TCT72_MOVCTA.DDIAOP &gt; SUBSTRING( LAST_DATA_DATE_PART, 1, 10 ) AND TCT72_MOVCTA.DDIAOP &lt;= SUBSTRING( LAST_DATA_DATE_PART, 11, 10 )</t>
    </r>
  </si>
  <si>
    <t>DDIAOP
FECOPER
DDIAOP</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</si>
  <si>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</si>
  <si>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</si>
  <si>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CONCAT( (2)SIGNO, (1)IMPDIV ) || CONCAT( (2)SIGNO, (1)IMPFAC )</t>
  </si>
  <si>
    <t>CRT12_FECFAC
CRT90DL_FECFAC
N\A
DCYR9750_DDIAOP
N\A
DDIAOP
N\A
N\A</t>
  </si>
  <si>
    <t>SELECT IF( LEN( CRT12_TBMOVEXT_NEW.CRT12_FECFAC ) != 8, 
    IF( TRIM( CRT12_TBMOVEXT_NEW.CRT12_FECFAC ) = '', 
        NULL, 
        CRT12_TBMOVEXT_NEW.CRT12_FECFAC ), 
    CONCAT( SUBSTRING( CRT12_TBMOVEXT_NEW.CRT12_FECFAC, 1, 4 ), '-', SUBSTRING( CRT12_TBMOVEXT_NEW.CRT12_FECFAC, 5, 2 ), '-', SUBSTRING( CRT12_TBMOVEXT_NEW.crt12_fecfac, 7, 2 ) )
WHERE CRT07_TBCTATAR.FECBAJA = 0 AND TAT91_TABELAS.TAYD91C0_CTABELA = '593' AND ( SUBSTRING( TAT91_TABELAS.TAYD91C0_NELEMC08, 1, 1 ) = '1' OR SUBSTRING( TAT91_TABELAS.TAYD91C0_NELEMC08, 1, 1 ) = '3' )
SELECT IF( LEN( CRT90_TBMOVDEB_NEW.CRT90DL_FECFAC ) != 8, 
    IF( TRIM( crt90.CRT90DL_FECFAC ) = '', 
        NULL, 
        CRT90_TBMOVDEB_NEW.CRT90DL_FECFAC ), 
    CONCAT( SUBSTRING( CRT90_TBMOVDEB_NEW.CRT90DL_FECFAC, 1, 4 ), '-', SUBSTRING( CRT90_TBMOVDEB_NEW.CRT90DL_FECFAC, 5, 2 ), '-', SUBSTRING( CRT90_TBMOVDEB_NEW.CRT90DL_FECFAC, 7, 2 ) )
WHERE TAT91_TABELAS.TAYD91C0_CTABELA = '593' AND ( SUBSTRING( TAT91_TABELAS.TAYD91C0_NELEMC08, 1, 1 ) = '1' OR SUBSTRING( TAT91_TABELAS.TAYD91C0_NELEMC08, 1, 1 ) = '3' )
SELECT IF( TRIM( MOVIMENTOS_CONSOLIDADOS.DCYR9750_DDIAOP ) = '', NULL, MOVIMENTOS_CONSOLIDADOS.DCYR9750_DDIAOP )
WHERE CONF_LITIGATION_PRODUCT.SOURCE_CODE = 'CR' AND CONF_LITIGATION_PRODUCT.PRODUCT_ID = INTERFACE_DCT01.DCYR8101_CKPRODUT AND CONF_LITIGATION_PRODUCT.SUBPRODUCT_ID = INTERFACE_DCT01.DCYR8101_CKSUBPRO
SELECT IF( TRIM( TCT72_MOVCTA.DDIAOP ) = '', NULL, TCT72_MOVCTA.DDIAOP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</si>
  <si>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FECFAC
FECFAC
DDIAOP
DDIAOP</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</si>
  <si>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</si>
  <si>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CRT90DL_IMPFAC 
N\A
SIGNO
N\A</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</si>
  <si>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</si>
  <si>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t>
  </si>
  <si>
    <t>CONCAT( (2)SIGNO, (1)IMPFAC )</t>
  </si>
  <si>
    <t>Party Current Account Contract ID</t>
  </si>
  <si>
    <t>party_cur_account_contract_id</t>
  </si>
  <si>
    <t>The contract identifier of the current account that received \ sent the transaction amount. This field only applies if the account belongs to Santander.</t>
  </si>
  <si>
    <t>Identifica o contrato da conta origem \ destino da transação, caso a mesma seja Santander.</t>
  </si>
  <si>
    <t>Account ID</t>
  </si>
  <si>
    <t>MCC_NRIBANCHE
N\A
N\A
N\A
N\A
N\A
N\A
N\A</t>
  </si>
  <si>
    <r>
      <rPr>
        <b/>
        <sz val="11"/>
        <color rgb="FF000000"/>
        <rFont val="Calibri"/>
        <scheme val="minor"/>
      </rPr>
      <t>SELECT</t>
    </r>
    <r>
      <rPr>
        <sz val="11"/>
        <color rgb="FF000000"/>
        <rFont val="Calibri"/>
        <scheme val="minor"/>
      </rPr>
      <t xml:space="preserve"> IF( TRIM( EUR_MOVICCOR.MCC_NRIBANCHE ) = '' , NULL, CONCAT( SUBSTRING( EUR_MOVICCOR.MCC_NRIBANCHE , 9, 15 ), '000000000000000'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</si>
  <si>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N\A</t>
  </si>
  <si>
    <t>CONCAT( SUBSTRING( NRIBANCHE, 5 , 20 ), '000000000000000' ) || N\A
N\A
N\A</t>
  </si>
  <si>
    <t>Comment</t>
  </si>
  <si>
    <t>comment</t>
  </si>
  <si>
    <t>DCYR9750_GOBSERV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</si>
  <si>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 'CR' </t>
    </r>
  </si>
  <si>
    <t>GOBSERV</t>
  </si>
  <si>
    <t>DCYR9750_DESCR01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</si>
  <si>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WHERE</t>
    </r>
    <r>
      <rPr>
        <sz val="11"/>
        <color rgb="FF000000"/>
        <rFont val="Calibri"/>
        <scheme val="minor"/>
      </rPr>
      <t xml:space="preserve">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</si>
  <si>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</si>
  <si>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GOBSERV
N\A</t>
  </si>
  <si>
    <t>MMOVORIG
N\A
N\A
N\A
E4282_IMPORCOO
N\A
HROP_IMLIQUID
N\A
MMOVIM</t>
  </si>
  <si>
    <r>
      <rPr>
        <b/>
        <sz val="11"/>
        <color rgb="FF000000"/>
        <rFont val="Calibri"/>
      </rPr>
      <t xml:space="preserve">SELECT </t>
    </r>
    <r>
      <rPr>
        <sz val="11"/>
        <color rgb="FF000000"/>
        <rFont val="Calibri"/>
      </rPr>
      <t xml:space="preserve">CAST( CASE
    WHEN EPT07_MOVCTA.CITPOPER = 'D' THEN -1 * EPT07_MOVCTA.MMOVORIG
    ELSE EPT07_MOVCTA.MMOVORIG
END AS DECIMAL( 23, 6 )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EH_REL_REC_OPER.E4282_IMPORCOO AS DECIMAL( 23,  6 )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CAST( EH_OPER_CONTR.Eh10_IMPOPERA AS DECIMAL( 23,6 ) ) ,CAST( RESU_OPER_PRTM.HROP_IMLIQUID DECIMAL( 23,  6 )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CAST( TCT72_MOVCTA.MMOVIM AS DECIMAL( 23, 6 ) )
</t>
    </r>
    <r>
      <rPr>
        <b/>
        <sz val="11"/>
        <color rgb="FF000000"/>
        <rFont val="Calibri"/>
      </rPr>
      <t xml:space="preserve">WHERE </t>
    </r>
    <r>
      <rPr>
        <sz val="11"/>
        <color rgb="FF000000"/>
        <rFont val="Calibri"/>
      </rPr>
      <t>TCT72_MOVCTA.DDIAOP &gt; SUBSTRING( LAST_DATA_DATE_PART, 1, 10 ) AND TCT72_MOVCTA.DDIAOP &lt;= SUBSTRING( LAST_DATA_DATE_PART, 11, 10 )</t>
    </r>
  </si>
  <si>
    <t>MMOVORIG
IMPORCOO || IMLIQUID
MMOVIM</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</si>
  <si>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</si>
  <si>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</si>
  <si>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CURATED_INTERNAL_MAINFRAME_CARTOES
CURATED_INTERNAL_MAINFRAME_CARTOES
CURATED_INTERNAL_MAINFRAME_CARTOES
CURATED_INTERNAL_MAINFRAME_CARTOES
CURATED_INTERNAL_MAINFRAME_CONTAS
CURATED_INTERNAL_MAINFRAME_CONTAS
CURATED_INTERNAL_MAINFRAME_CONTENCIOSO
CURATED_INTERNAL_MAINFRAME_CONTENCIOSO
OPERATIONS_COMMON_REFERENCEDATA_CORE</t>
  </si>
  <si>
    <t>CRT12_TBMOVEXT_NEW
CRT90_TBMOVDEB_NEW
CRT07_TBCTATAR
CRT44_TBTIPFAC
MOVIMENTOS_CONSOLIDADOS
INTERFACE_DCT01
TCT72_MOVCTA
TCT09_OPERCN
CONF_LITIGATION_PRODUCT</t>
  </si>
  <si>
    <t>CRT12_IMPDIV, CRT12_IMPFAC
CRT90DL_IMPDIV, CRT90DL_IMPFAC
N\A
N\A
N\A
N\A
N\A
N\A
N\A</t>
  </si>
  <si>
    <t>SELECT IF( CRT12_TBMOVEXT_NEW.CRT12_CLAMON != '978', CAST( CONCAT( CRT44_TBTIPFAC.SIGNO, CRT12_TBMOVEXT_NEW.CRT12_IMPDIV ) AS DECIMAL( 23, 6 ) ), CAST( CONCAT( CRT44_TBTIPFAC.SIGNO, CRT12_TBMOVEXT_NEW.CRT12_IMPFAC ) AS DECIMAL( 23, 6 ) ) )
WHERE CRT07_TBCTATAR.FECBAJA = 0 AND TAT91_TABELAS.TAYD91C0_CTABELA = '593' AND ( SUBSTRING( TAT91_TABELAS.TAYD91C0_NELEMC08, 1, 1 ) = '1' OR SUBSTRING( TAT91_TABELAS.TAYD91C0_NELEMC08, 1, 1 ) = '3' )
SELECT IF( CRT90_TBMOVDEB_NEW.CRT90DL_CLAMON != '978', CAST( CONCAT( CRT44_TBTIPFAC.SIGNO, CRT90_TBMOVDEB_NEW.CRT90DL_IMPDIV ) AS DECIMAL( 23, 6 ) ), CAST( CONCAT( CRT44_TBTIPFAC.SIGNO, CRT90_TBMOVDEB_NEW.CRT90DL_IMPFAC ) AS DECIMAL( 23, 6 ) )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</si>
  <si>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(1)CRT12_TBMOVEXT + (2)CRT44_TBTIPFAC || (1)CRT12_TBMOVEXT + (2)CRT44_TBTIPFAC
(1)CRT90_TBMOVDEB + (2)CRT44_TBTIPFAC || (1)CRT90_TBMOVDEB + (2)CRT44_TBTIPFAC
N\A
N\A</t>
  </si>
  <si>
    <t>CONCAT( (2)SIGNO, (1)IMPDIV )|| CONCAT( (2)SIGNO, (1)IMPFAC )
CONCAT( (2)SIGNO, (1)IMPDIV )|| CONCAT( (2)SIGNO, (1)IMPFAC )
N\A
N\A</t>
  </si>
  <si>
    <t>N\A || N\A
N\A || N\A
"NULL"
"#N/A"</t>
  </si>
  <si>
    <t>DCYR9750_GOBSERV
N\A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</si>
  <si>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</si>
  <si>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Terminal Organization ID</t>
  </si>
  <si>
    <t>terminal_organization_id</t>
  </si>
  <si>
    <t>Ext Inf - Trans ATM Inf - ID</t>
  </si>
  <si>
    <t>If applicable, it is the identifier of the financial instution that owns \ supports the ATM.</t>
  </si>
  <si>
    <t>Identifica a organização que detém o ATM \ terminal.</t>
  </si>
  <si>
    <t>Organization ID:
?; ?</t>
  </si>
  <si>
    <t>ATM Organization ID</t>
  </si>
  <si>
    <t>CRT90DL_BANAPOIO
N\A
N\A</t>
  </si>
  <si>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</si>
  <si>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BANAPOIO</t>
  </si>
  <si>
    <t>Party Current Account IBAN</t>
  </si>
  <si>
    <t>party_current_account_iban</t>
  </si>
  <si>
    <t>The international identifier of the current account that received \ sent the transaction amount.</t>
  </si>
  <si>
    <t>Identifica o IBAN da conta origem \ destino da transação.</t>
  </si>
  <si>
    <r>
      <rPr>
        <b/>
        <sz val="11"/>
        <color rgb="FF000000"/>
        <rFont val="Calibri"/>
        <scheme val="minor"/>
      </rPr>
      <t>SELECT</t>
    </r>
    <r>
      <rPr>
        <sz val="11"/>
        <color rgb="FF000000"/>
        <rFont val="Calibri"/>
        <scheme val="minor"/>
      </rPr>
      <t xml:space="preserve"> IF( TRIM( EUR_MOVICCOR.MCC_NRIBANCHE) = '' , NULL, EUR_MOVICCOR.MCC_NRIBANCHE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</si>
  <si>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NRIBANCHE
N\A
N\A</t>
  </si>
  <si>
    <t>Sender Source Code</t>
  </si>
  <si>
    <t>sender_source_code</t>
  </si>
  <si>
    <t>Identifies the application that generated the transaction in the current account (DC) application.</t>
  </si>
  <si>
    <t>Identifica a aplicação que originou a movimentação na conta.</t>
  </si>
  <si>
    <t>DCYR9750_CAPLIC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</si>
  <si>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WHERE</t>
    </r>
    <r>
      <rPr>
        <sz val="11"/>
        <color rgb="FF000000"/>
        <rFont val="Calibri"/>
        <scheme val="minor"/>
      </rPr>
      <t xml:space="preserve"> INTERFACE_DCT01.DCYR8101_CFAMILIA = 'CR' </t>
    </r>
  </si>
  <si>
    <t>DCYR9750_GOBSERV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</si>
  <si>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</si>
  <si>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DCYR9750_CAPLIC
N\A
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</si>
  <si>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</si>
  <si>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CAPLIC
CAPLIC</t>
  </si>
  <si>
    <t>Tax Amount</t>
  </si>
  <si>
    <t>tax_amount</t>
  </si>
  <si>
    <t>Amount of the transaction type of the transaction that corresponds to taxes. This amount is only applicable to Partenon transactions. In case of Sintra, the tax amount is a record as itself and its value is in amount.</t>
  </si>
  <si>
    <t>Valor do transação que corresponde a impostos. Este valor apenas é contabilizado em Partenon, pois em Sintra as transações referentes a impostos são um registo por si só.</t>
  </si>
  <si>
    <t>N\A
N\A
N\A
N\A
N\A
E4282_IMPOIMPU 
HROP_IMIMPTO
N\A
MMOVIM</t>
  </si>
  <si>
    <r>
      <rPr>
        <b/>
        <sz val="11"/>
        <color rgb="FF000000"/>
        <rFont val="Calibri"/>
      </rPr>
      <t xml:space="preserve">SELECT </t>
    </r>
    <r>
      <rPr>
        <sz val="11"/>
        <color rgb="FF000000"/>
        <rFont val="Calibri"/>
      </rPr>
      <t xml:space="preserve">CAST( 0.00 AS DECIMAL( 23, 6 )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EH_REL_REC_OPER.E4282_IMPOIMPU AS DECIMAL( 23, 6 )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CAST( 0 AS DECIMAL( 23,6 ) ) , CAST( RESU_OPER_PRTM.HROP_IMIMPTO AS DECIMAL( 23, 6 )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CAST( 0.00 AS DECIMAL( 23, 6 ) )
</t>
    </r>
    <r>
      <rPr>
        <b/>
        <sz val="11"/>
        <color rgb="FF000000"/>
        <rFont val="Calibri"/>
      </rPr>
      <t xml:space="preserve">WHERE </t>
    </r>
    <r>
      <rPr>
        <sz val="11"/>
        <color rgb="FF000000"/>
        <rFont val="Calibri"/>
      </rPr>
      <t>TCT72_MOVCTA.DDIAOP &gt; SUBSTRING( LAST_DATA_DATE_PART, 1, 10 ) AND TCT72_MOVCTA.DDIAOP &lt;= SUBSTRING( LAST_DATA_DATE_PART, 11, 10 )</t>
    </r>
  </si>
  <si>
    <t>N\A
IMPOIMPU || IMIMPTO
N\A</t>
  </si>
  <si>
    <t>"0.00"
N\A || N\A
"0.00"</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</si>
  <si>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</si>
  <si>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</si>
  <si>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CRT12_IMPFAC
CRT90DL_IMPFAC
N\A
N\A
DCYR9750_MMOVIM
N\A
MMOVIM
N\A
N\A</t>
  </si>
  <si>
    <t>SELECT CAST( CONCAT( CRT44_TBTIPFAC.SIGNO, CRT12_TBMOVEXT_NEW.CRT12_IMPFAC ) AS DECIMAL( 23, 6 )
WHERE CRT07_TBCTATAR.FECBAJA = 0 AND TAT91_TABELAS.TAYD91C0_CTABELA = '593' AND ( SUBSTRING( TAT91_TABELAS.TAYD91C0_NELEMC08, 1, 1 ) = '1' OR SUBSTRING( TAT91_TABELAS.TAYD91C0_NELEMC08, 1, 1 ) = '3' )
SELECT IF( TRIM( CONCAT( CRT44_TBTIPFAC.SIGNO, CRT90_TBMOVDEB_NEW.CRT90DL_IMPFAC ) ) = '', NULL, CAST( CONCAT( CRT44_TBTIPFAC.SIGNO, CRT90_TBMOVDEB_NEW.CRT90DL_IMPFAC ) AS DECIMAL( 23, 6 ) ) )
WHERE TAT91_TABELAS.TAYD91C0_CTABELA = '593' AND ( SUBSTRING( TAT91_TABELAS.TAYD91C0_NELEMC08, 1, 1 ) = '1' OR SUBSTRING( TAT91_TABELAS.TAYD91C0_NELEMC08, 1, 1 ) = '3' )
SELECT CAST(  MOVIMENTOS_CONSOLIDADOS.DCYR9750_MMOVIM AS DECIMAL( 23, 6 ) )
WHERE CONF_LITIGATION_PRODUCT.SOURCE_CODE = 'CR' AND CONF_LITIGATION_PRODUCT.PRODUCT_ID = INTERFACE_DCT01.DCYR8101_CKPRODUT AND CONF_LITIGATION_PRODUCT.SUBPRODUCT_ID = INTERFACE_DCT01.DCYR8101_CKSUBPRO
SELECT IF( TRIM( TCT72_MOVCTA.MMOVIM ) = '', NULL, CAST( TCT72_MOVCTA.MMOVIM AS DECIMAL( 23, 6 ) )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</si>
  <si>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(1)CRT12_TBMOVEXT + (2)CRT44_TBTIPFAC
(1)CRT90_TBMOVDEB + (2)CRT44_TBTIPFAC
DCYR9750
TCT72_MOVCTA</t>
  </si>
  <si>
    <t>CONCAT( (2)SIGNO, (1)IMPFAC )
CONCAT( (2)SIGNO, (1)IMPFAC )
MMOVIM
MMOVIM</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</si>
  <si>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</si>
  <si>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Terminal Country Code</t>
  </si>
  <si>
    <t>terminal_country_code</t>
  </si>
  <si>
    <t>Ext Inf - Trans ATM Inf - Code</t>
  </si>
  <si>
    <t>The country of the atm terminal or the country to which the POS terminal belongs to.</t>
  </si>
  <si>
    <t>Código do pais onde o ATM está localizado.</t>
  </si>
  <si>
    <t>POS Country Code</t>
  </si>
  <si>
    <t>CRT90DL_CODPAIS
N\A
N\A</t>
  </si>
  <si>
    <r>
      <rPr>
        <b/>
        <sz val="11"/>
        <color rgb="FF000000"/>
        <rFont val="Calibri"/>
        <scheme val="minor"/>
      </rPr>
      <t xml:space="preserve">SELECT </t>
    </r>
    <r>
      <rPr>
        <sz val="11"/>
        <color rgb="FF000000"/>
        <rFont val="Calibri"/>
        <scheme val="minor"/>
      </rPr>
      <t xml:space="preserve">IF( TRIM( CRT90_TBMOVDEB_NEW.CRT90DL_CODPAIS ) = '', NULL, LPAD( CRT90_TBMOVDEB_NEW.CRT90DL_CODPAIS, 3,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</si>
  <si>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CODPAIS</t>
  </si>
  <si>
    <t>N\A
N\A
N\A
N\A
N\A
N\A
N\A
N\A</t>
  </si>
  <si>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</si>
  <si>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"FA"
"DC"
"TC"</t>
  </si>
  <si>
    <t>DCYR9750_NUMMOVIM_OPER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</si>
  <si>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 'CR' </t>
    </r>
  </si>
  <si>
    <t>NUMMOVIM_OPER</t>
  </si>
  <si>
    <t>DCYR9750_CAPLIC
N\A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</si>
  <si>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</si>
  <si>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</si>
  <si>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Information Source Application:
N\A; N\A
N\A; N\A
N\A; N\A</t>
  </si>
  <si>
    <r>
      <rPr>
        <b/>
        <sz val="11"/>
        <color rgb="FF000000"/>
        <rFont val="Calibri"/>
      </rPr>
      <t>SELECT</t>
    </r>
    <r>
      <rPr>
        <sz val="11"/>
        <color rgb="FF000000"/>
        <rFont val="Calibri"/>
      </rPr>
      <t xml:space="preserve"> 'EP'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'EP'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'EP'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'TC'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</si>
  <si>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</si>
  <si>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CRT90_TBMOVDEB_NEW.CRT90DL_CODPAIS )= '', NULL, LPAD( CRT90_TBMOVDEB_NEW.CRT90DL_CODPAIS, 3,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</si>
  <si>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Organization ID:
?; ?
?; ?
N\A; N\A
N\A; N\A</t>
  </si>
  <si>
    <t>CRT12_BANAPOIO
CRT90DL_BANAPOIO
N\A
N\A
N\A
N\A
N\A
N\A
N\A</t>
  </si>
  <si>
    <t>SELECT IF( TRIM( CRT12_TBMOVEXT_NEW.CRT12_BANAPOIO ) = '', NULL, LPAD( CRT12_TBMOVEXT_NEW.CRT12_BANAPOIO , 4, '0' ) )
WHERE CRT07_TBCTATAR.FECBAJA = 0 AND TAT91_TABELAS.TAYD91C0_CTABELA = '593' AND ( SUBSTRING( TAT91_TABELAS.TAYD91C0_NELEMC08, 1, 1 ) = '1' OR SUBSTRING( TAT91_TABELAS.TAYD91C0_NELEMC08, 1, 1 ) = '3' )
SELECT IF( TRIM( CRT90_TBMOVDEB_NEW.CRT90DL_BANAPOIO ) = '', NULL, LPAD( CRT90_TBMOVDEB_NEW.CRT90DL_BANAPOIO, 4, '0'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</si>
  <si>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BANAPOIO
BANAPOIO
N\A
N\A</t>
  </si>
  <si>
    <t>N\A 
N\A
"NULL"
"#N/A"</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</si>
  <si>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</si>
  <si>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
"TC"</t>
  </si>
  <si>
    <t>Terminal Description</t>
  </si>
  <si>
    <t>terminal_description</t>
  </si>
  <si>
    <t>Ext Inf - Trans Mrch Inf - Value</t>
  </si>
  <si>
    <t>In case of POS terminals it corresponds to the name of the merchant that received the card transaction. If it corresponds to an ATM, describes the ATM's location.</t>
  </si>
  <si>
    <t>No caso de terminais POS corresponde ao nome do comerciante que detém o mesmo. No caso de ATM, corresponde a uma descrição da sua localização.</t>
  </si>
  <si>
    <t>Counterparty Name
Merchant Name</t>
  </si>
  <si>
    <t>CRT90DL_NOMCOMRED
N\A
N\A</t>
  </si>
  <si>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</si>
  <si>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NOMCOMRED</t>
  </si>
  <si>
    <t>DATA_DATE_PART
N\A
N\A
DATA_DATE_PART
N\A
DATA_DATE_PART
N\A
N\A</t>
  </si>
  <si>
    <r>
      <rPr>
        <b/>
        <sz val="11"/>
        <color rgb="FF000000"/>
        <rFont val="Calibri"/>
        <scheme val="minor"/>
      </rPr>
      <t>SELECT</t>
    </r>
    <r>
      <rPr>
        <sz val="11"/>
        <color rgb="FF000000"/>
        <rFont val="Calibri"/>
        <scheme val="minor"/>
      </rPr>
      <t xml:space="preserve"> EUR_MOVICCOR.DATA_DATE_PART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MOVIMENTOS_CONSOLIDADOS.DATA_DATE_PART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</si>
  <si>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 'CR' </t>
    </r>
  </si>
  <si>
    <t>"DC"</t>
  </si>
  <si>
    <t>DCYR9750_NUMMOVIM_OPER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</si>
  <si>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</si>
  <si>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</si>
  <si>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DATA_DATE_PART
N\A
N\A
DATA_DATE_PART
DATA_DATE_PART
N\A
N\A
DATA_DATE_PART</t>
  </si>
  <si>
    <r>
      <rPr>
        <b/>
        <sz val="11"/>
        <color rgb="FF000000"/>
        <rFont val="Calibri"/>
      </rPr>
      <t>SELECT</t>
    </r>
    <r>
      <rPr>
        <sz val="11"/>
        <color rgb="FF000000"/>
        <rFont val="Calibri"/>
      </rPr>
      <t xml:space="preserve"> EPT07_MOVCTA.DATA_DATE_PART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EH_DET_REC_COB.DATA_DATE_PART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EH_OPER_CONTR.DATA_DATE_PART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TCT72_MOVCTA.DATA_DATE_PART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</si>
  <si>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</si>
  <si>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</si>
  <si>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Country Code:
TAT91 - CTABELA 206; CURATED_INTERNAL_MAINFRAME_ESTRUTURAIS.TAT91_TABELAS - TAYD91C0_CTABELA 015</t>
  </si>
  <si>
    <t>CRT12_CODPAIS
CRT90DL_CODPAIS
N\A
N\A
N\A
N\A
N\A
N\A
N\A</t>
  </si>
  <si>
    <t>SELECT IF( TRIM( CRT12_TBMOVEXT_NEW.CRT12_CODPAIS )= '', NULL, LPAD( CRT12_TBMOVEXT_NEW.CRT12_CODPAIS, 3, '0' ) )
WHERE TAT91_TABELAS.TAYD91C0_CTABELA = '593' AND ( SUBSTRING( TAT91_TABELAS.TAYD91C0_NELEMC08, 1, 1 ) = '1' OR SUBSTRING( TAT91_TABELAS.TAYD91C0_NELEMC08, 1, 1 ) = '3' )
SELECT IF( TRIM( CRT90_TBMOVDEB_NEW.CRT90DL_CODPAIS )= '', NULL, LPAD( CRT90_TBMOVDEB_NEW.CRT90DL_CODPAIS, 3, '0' )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</si>
  <si>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CODPAIS
CODPAIS
N\A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</si>
  <si>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</si>
  <si>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ATM Terminal ID</t>
  </si>
  <si>
    <t>atm_terminal_id</t>
  </si>
  <si>
    <t>If applicable, it is the identifier of the ATM terminal, in case of ATM transactions. The identifier is provided by the ATM terminal.</t>
  </si>
  <si>
    <t>Se aplicável, identifica o terminal de ATM utilizado na transação. O identificador corresponde ao código enviado pelo próprio ATM.</t>
  </si>
  <si>
    <t>ATM Terminal:
CRT_ELPS; CURATED_INTERNAL_MAINFRAME_CARTOES.CRTELPS</t>
  </si>
  <si>
    <t>CRT90DL_CODCOM
N\A
N\A</t>
  </si>
  <si>
    <r>
      <rPr>
        <b/>
        <sz val="11"/>
        <color rgb="FF000000"/>
        <rFont val="Calibri"/>
        <scheme val="minor"/>
      </rPr>
      <t xml:space="preserve">SELECT </t>
    </r>
    <r>
      <rPr>
        <sz val="11"/>
        <color rgb="FF000000"/>
        <rFont val="Calibri"/>
        <scheme val="minor"/>
      </rPr>
      <t xml:space="preserve">IF( CRT90_TBMOVDEB_NEW.CRT90DL_GRUPO= 'A',
    IF( TRIM( CRT90_TBMOVDEB_NEW.CRT90DL_CODCOM ) = '',
        NULL,
        CRT90_TBMOVDEB_NEW.CRT90DL_CODCOM ),
    '#N/A'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</si>
  <si>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 || N\A</t>
  </si>
  <si>
    <t>CODCOM || N\A</t>
  </si>
  <si>
    <t>N\A || "#N/A"</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</si>
  <si>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 &lt;= SUBSTRING( LAST_DATA_DATE_PART, 11, 10 )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</si>
  <si>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DATA_DATE_PART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</si>
  <si>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 'CR' </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</si>
  <si>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</si>
  <si>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INTERFACE_DCT01.DCYR8101_CFAMILIA IN ( 'CC' )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</si>
  <si>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</si>
  <si>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</si>
  <si>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CRT90_TBMOVDEB_NEW.CRT90DL_GRUPO = 'A',
    IF( TRIM( CRT90_TBMOVDEB_NEW.CRT90DL_CODCOM ) = '',
        NULL,
        CRT90_TBMOVDEB_NEW.CRT90DL_CODCOM ),
    '#N/A'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</si>
  <si>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CRT12_NOMCOMRED
CRT90DL_NOMCOMRED
N\A
N\A
N\A
N\A
N\A
N\A
N\A</t>
  </si>
  <si>
    <t>SELECT IF( TRIM( CRT12_TBMOVEXT_NEW.CRT12_NOMCOMRED ) = '', NULL, CRT12_TBMOVEXT_NEW.CRT12_NOMCOMRED )
WHERE CRT07_TBCTATAR.FECBAJA = 0 AND TAT91_TABELAS.TAYD91C0_CTABELA = '593' AND ( SUBSTRING( TAT91_TABELAS.TAYD91C0_NELEMC08, 1, 1 ) = '1' OR SUBSTRING( TAT91_TABELAS.TAYD91C0_NELEMC08, 1, 1 ) = '3' )
SELECT IF( TRIM( CRT90_TBMOVDEB_NEW.CRT90DL_NOMCOMRED ) = '', NULL, CRT90_TBMOVDEB_NEW.CRT90DL_NOMCOMRED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</si>
  <si>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CRT12_TBMOVEXT
CRT90_TBMOVDEB 
N\A
N\A</t>
  </si>
  <si>
    <t>NOMCOMRED
NOMCOMRED
N\A
N\A</t>
  </si>
  <si>
    <t>N\A
N\A
"NULL"
"#NA"</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</si>
  <si>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</si>
  <si>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POS Terminal ID</t>
  </si>
  <si>
    <t>pos_terminal_id</t>
  </si>
  <si>
    <t>Ext Inf - Trans POS Inf - ID</t>
  </si>
  <si>
    <t>Identifier of the POS terminal, in case of POS transactions.</t>
  </si>
  <si>
    <t>Identifica o terminal utilizado para realizar a transação se aplicável.</t>
  </si>
  <si>
    <t>POS Terminal:
CRT98_ELPS; CURATED_INTERNAL_MAINFRAME_CARTOES.CRT98_ELPS</t>
  </si>
  <si>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</si>
  <si>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 'CR' </t>
    </r>
  </si>
  <si>
    <t>DATA_DATE_PART 
N\A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</si>
  <si>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</si>
  <si>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</si>
  <si>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</si>
  <si>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</si>
  <si>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ATM Terminal:
CRT_ELPS; CURANTED_INTERNAL_MAINFRAME_CARTOES.CRT_ELPS
CRT_ELPS; CURANTED_INTERNAL_MAINFRAME_CARTOES.CRT_ELPS
N\A; N\A
N\A; N\A</t>
  </si>
  <si>
    <t>CRT12_CODCOM
CRT90DL_CODCOM
N\A
N\A
N\A
N\A
N\A
N\A
N\A</t>
  </si>
  <si>
    <t>SELECT IF( CRT12_TBMOVEXT_NEW.CRT12_GRUPO = 'A',
    IF( TRIM( CRT12_TBMOVEXT_NEW.CRT12_CODCOM ) = '',
        NULL,
        CRT12_TBMOVEXT_NEW.CRT12_CODCOM ),
    '#N/A'
WHERE TAT91_TABELAS.TAYD91C0_CTABELA = '593' AND ( SUBSTRING( TAT91_TABELAS.TAYD91C0_NELEMC08, 1, 1 ) = '1' OR SUBSTRING( TAT91_TABELAS.TAYD91C0_NELEMC08, 1, 1 ) = '3' )
SELECT IF( CRT90_TBMOVDEB_NEW.CRT90DL_GRUPO = 'A',
    IF( TRIM( CRT90_TBMOVDEB_NEW.CRT90DL_CODCOM ) = '',
        NULL,
        CRT90_TBMOVDEB_NEW.CRT90DL_CODCOM ),
    '#N/A'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</si>
  <si>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CRT12_TBMOVEXT || N\A
CRT90_TBMOVDEB || N\A
N\A
N\A</t>
  </si>
  <si>
    <t>CODCOM || N\A
CODCOM || N\A
N\A
N\A</t>
  </si>
  <si>
    <t>N\A || "#N/A
N\A || "#N/A
"NULL"
"#N/A"</t>
  </si>
  <si>
    <t>Merchant ID</t>
  </si>
  <si>
    <t>merchant_id</t>
  </si>
  <si>
    <t>Ext Inf - Trans Mrch Inf - ID</t>
  </si>
  <si>
    <t>If applicable, the identification of the merchant that received the transaction.</t>
  </si>
  <si>
    <t>Se aplicável, identificador do comerciante que recebeu a transação.</t>
  </si>
  <si>
    <t>CRT90_TBMOVDEB_NEW
CRT07_TBCTATAR
CRT98_ELPS
TAT91_TABELAS</t>
  </si>
  <si>
    <t>N\A
N\A
IDCOMEMP
N\A</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</si>
  <si>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TO_DATE( CRT98_ELPS.DTFIM ) &gt; TO_DATE(CAST(CRT90_TBMOVDEB_NEW.CRT90DL_FECFAC AS STRING ), 'yyyyMMdd' ) AND TO_DATE( CRT98_ELPS.DTINICIO ) &lt;= TO_DATE(CAST(CRT90_TBMOVDEB_NEW.CRT90DL_FECFAC AS STRING ), 'yyyyMMdd' )</t>
    </r>
  </si>
  <si>
    <t>CRT98_ELPS</t>
  </si>
  <si>
    <t>IDCOMEMP</t>
  </si>
  <si>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</si>
  <si>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TO_DATE( CRT98_ELPS.DTFIM ) &gt; TO_DATE( CAST( CRT90_TBMOVDEB_NEW.CRT90DL_FECFAC AS STRING ), 'yyyyMMdd' ) AND TO_DATE( CRT98_ELPS.DTINICIO ) &lt;= TO_DATE( CAST( CRT90_TBMOVDEB_NEW.CRT90DL_FECFAC AS STRING ), 'yyyyMMdd' )</t>
    </r>
  </si>
  <si>
    <t>POS Terminal:
CRT98_ELPS; CURATED_INTERNAL_MAINFRAME_CARTOES.CRT98_ELPS
CRT98_ELPS; CURATED_INTERNAL_MAINFRAME_CARTOES.CRT98_ELPS
N\A; N\A
N\A; N\A</t>
  </si>
  <si>
    <t>SELECT IF( CRT12_TBMOVEXT_NEW.CRT12_GRUPO IN ( 'B', 'P', 'Z' ),
    IF( TRIM( CRT12_TBMOVEXT_NEW.CRT12_CODCOM ) = '',
        NULL,
        CRT12_TBMOVEXT_NEW.CRT12_CODCOM ),
    '#N/A'
WHERE CRT07_TBCTATAR.FECBAJA = 0 AND TAT91_TABELAS.TAYD91C0_CTABELA = '593' AND ( SUBSTRING( TAT91_TABELAS.TAYD91C0_NELEMC08, 1, 1 ) = '1' OR SUBSTRING( TAT91_TABELAS.TAYD91C0_NELEMC08, 1, 1 ) = '3' )
SELECT IF( CRT90_TBMOVDEB_NEW.CRT90DL_GRUPO IN ( 'B', 'P', 'Z' ),
    IF( TRIM( CRT90_TBMOVDEB_NEW.CRT90DL_CODCOM ) = '',
        NULL,
        CRT90_TBMOVDEB_NEW.CRT90DL_CODCOM ),
    '#N/A'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</si>
  <si>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Merchant Type Code</t>
  </si>
  <si>
    <t>merchant_type_code</t>
  </si>
  <si>
    <t>Ext Inf - Trans Mrch Inf - Code</t>
  </si>
  <si>
    <t>Represents the merchant category that received the category.</t>
  </si>
  <si>
    <t>Representa o tipo de comerciante que recebeu a transação.</t>
  </si>
  <si>
    <t>Merchant Category:
?; ?</t>
  </si>
  <si>
    <t>Merchant Category Code</t>
  </si>
  <si>
    <t>CRT90DL_CODACT
N\A
N\A</t>
  </si>
  <si>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</si>
  <si>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CODACT</t>
  </si>
  <si>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</si>
  <si>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CRT12_TBMOVEXT_NEW
CRT90_TBMOVDEB_NEW
CRT07_TBCTATAR
CRT98_ELPS
MOVIMENTOS_CONSOLIDADOS
INTERFACE_DCT01
TCT72_MOVCTA
TCT09_OPERCN
CONF_LITIGATION_PRODUCT</t>
  </si>
  <si>
    <t>N\A
N\A
N\A
IDCOMEMP
N\A
N\A
N\A
N\A
N\A</t>
  </si>
  <si>
    <t>SELECT IF( TRIM( CRT98_ELPS.IDCOMEMP ) = '', NULL, CRT98_ELPS.IDCOMEMP )
WHERE TAT91_TABELAS.TAYD91C0_CTABELA = '593' AND ( SUBSTRING( TAT91_TABELAS.TAYD91C0_NELEMC08, 1, 1 ) = '1' OR SUBSTRING( TAT91_TABELAS.TAYD91C0_NELEMC08, 1, 1 ) = '3' )
    AND TO_DATE( CRT98_ELPS.DTFIM ) &gt; TO_TIMESTAMP( CAST( CRT12_TBMOVEXT_NEW.CRT90DL_FEC_FAC AS STRING ),'yyyyMMdd' ) AND TO_DATE( CRT98_ELPS.DTINICIO ) &lt;= TO_TIMESTAMP( CAST( CRT12_TBMOVEXT_NEW.CRT90DL_FEC_FAC AS STRING ),'yyyyMMdd' ) 
SELECT IF( TRIM( CRT98_ELPS.IDCOMEMP ) = '', NULL, CRT98_ELPS.IDCOMEMP )
WHERE TAT91_TABELAS.TAYD91C0_CTABELA = '593' AND ( SUBSTRING( TAT91_TABELAS.TAYD91C0_NELEMC08, 1, 1 ) = '1' OR SUBSTRING( TAT91_TABELAS.TAYD91C0_NELEMC08, 1, 1 ) = '3' )
    AND TO_DATE( CRT98_ELPS.DTFIM ) &gt; TO_TIMESTAMP( CAST( CRT90_TBMOVDEB_NEW.CRT12_FECFAC AS STRING ),'yyyyMMdd' ) AND TO_DATE( CRT98_ELPS.DTINICIO ) &lt;= TO_TIMESTAMP( CAST( CRT90_TBMOVDEB_NEW.CRT12_FECFAC AS STRING ),'yyyyMMdd'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</si>
  <si>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CRT98_ELPS
CRT98_ELPS
N\A
N\A</t>
  </si>
  <si>
    <t>IDCOMEMP
IDCOMEMP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</si>
  <si>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</si>
  <si>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</si>
  <si>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</si>
  <si>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DATA_DATE_PART
N\A
N\A</t>
  </si>
  <si>
    <r>
      <rPr>
        <b/>
        <sz val="11"/>
        <color rgb="FF000000"/>
        <rFont val="Calibri"/>
        <scheme val="minor"/>
      </rPr>
      <t>SELECT</t>
    </r>
    <r>
      <rPr>
        <sz val="11"/>
        <color rgb="FF000000"/>
        <rFont val="Calibri"/>
        <scheme val="minor"/>
      </rPr>
      <t xml:space="preserve"> CRT90_TBMOVDEB_NEW.DATA_DATE_PART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</si>
  <si>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CRT90_TBMOVDEB_NEW.DATA_DATE_PART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</si>
  <si>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 xml:space="preserve">N\A
</t>
  </si>
  <si>
    <t>Merchant Category:
?; ?
?; ?
N\A; N\A
N\A; N\A</t>
  </si>
  <si>
    <t>CRT12_CODACT
CRT90DL_CODACT
N\A
N\A
N\A
N\A
N\A
N\A</t>
  </si>
  <si>
    <t>SELECT IF( TRIM( CRT12_TBMOVEXT_NEW.CRT12_CODACT ) = '', NULL, LPAD( CRT12_TBMOVEXT_NEW.CRT12_CODACT , 4, '0' ) )
WHERE CRT07_TBCTATAR.FECBAJA = 0 AND TAT91_TABELAS.TAYD91C0_CTABELA = '593' AND ( SUBSTRING( TAT91_TABELAS.TAYD91C0_NELEMC08, 1, 1 ) = '1' OR SUBSTRING( TAT91_TABELAS.TAYD91C0_NELEMC08, 1, 1 ) = '3' )
SELECT IF( TRIM( CRT90_TBMOVDEB_NEW.CRT90DL_CODACT ) = '', NULL, LPAD( CRT90_TBMOVDEB_NEW.CRT90DL_CODACT, 4, '0'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</si>
  <si>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CODACT
CODACT
N\A
N\A</t>
  </si>
  <si>
    <t>Information Source Application:
N\A; N\A
N\A; N\A
N\A; N\A
N\A; N\A</t>
  </si>
  <si>
    <t>SELECT 'CR'
WHERE CRT07_TBCTATAR.FECBAJA = 0 AND TAT91_TABELAS.TAYD91C0_CTABELA = '593' AND ( SUBSTRING( TAT91_TABELAS.TAYD91C0_NELEMC08, 1, 1 ) = '1' OR SUBSTRING( TAT91_TABELAS.TAYD91C0_NELEMC08, 1, 1 ) = '3' )
SELECT 'CR'
WHERE TAT91_TABELAS.TAYD91C0_CTABELA = '593' AND ( SUBSTRING( TAT91_TABELAS.TAYD91C0_NELEMC08, 1, 1 ) = '1' OR SUBSTRING( TAT91_TABELAS.TAYD91C0_NELEMC08, 1, 1 ) = '3' )
SELECT 'DC'
WHERE CONF_LITIGATION_PRODUCT.SOURCE_CODE = 'CR' AND CONF_LITIGATION_PRODUCT.PRODUCT_ID = INTERFACE_DCT01.DCYR8101_CKPRODUT AND CONF_LITIGATION_PRODUCT.SUBPRODUCT_ID = INTERFACE_DCT01.DCYR8101_CKSUBPRO
SELECT 'TC'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</si>
  <si>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
"CR"
"DC"
"TC"</t>
  </si>
  <si>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</si>
  <si>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</si>
  <si>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DATA_DATE_PART
DATA_DATE_PART
N\A
DATA_DATE_PART
N\A
DATA_DATE_PART
N\A
N\A</t>
  </si>
  <si>
    <t>SELECT CRT12_TBMOVEXT_NEW.DATA_DATE_PART
WHERE CRT07_TBCTATAR.FECBAJA = 0 AND TAT91_TABELAS.TAYD91C0_CTABELA = '593' AND ( SUBSTRING( TAT91_TABELAS.TAYD91C0_NELEMC08, 1, 1 ) = '1' OR SUBSTRING( TAT91_TABELAS.TAYD91C0_NELEMC08, 1, 1 ) = '3' )
SELECT CRT90_TBMOVDEB_NEW.DATA_DATE_PART
WHERE TAT91_TABELAS.TAYD91C0_CTABELA = '593' AND ( SUBSTRING( TAT91_TABELAS.TAYD91C0_NELEMC08, 1, 1 ) = '1' OR SUBSTRING( TAT91_TABELAS.TAYD91C0_NELEMC08, 1, 1 ) = '3' )
SELECT MOVIMENTOS_CONSOLIDADOS.DATA_DATE_PART
WHERE CONF_LITIGATION_PRODUCT.SOURCE_CODE = 'CR' AND CONF_LITIGATION_PRODUCT.PRODUCT_ID = INTERFACE_DCT01.DCYR8101_CKPRODUT AND CONF_LITIGATION_PRODUCT.SUBPRODUCT_ID = INTERFACE_DCT01.DCYR8101_CKSUBPRO
SELECT TCT72_MOVCTA.DATA_DATE_PART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</si>
  <si>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SELECT NOW()
WHERE CRT07_TBCTATAR.FECBAJA = 0 AND TAT91_TABELAS.TAYD91C0_CTABELA = '593' AND ( SUBSTRING( TAT91_TABELAS.TAYD91C0_NELEMC08, 1, 1 ) = '1' OR SUBSTRING( TAT91_TABELAS.TAYD91C0_NELEMC08, 1, 1 ) = '3' )
SELECT NOW()
WHERE TAT91_TABELAS.TAYD91C0_CTABELA = '593' AND ( SUBSTRING( TAT91_TABELAS.TAYD91C0_NELEMC08, 1, 1 ) = '1' OR SUBSTRING( TAT91_TABELAS.TAYD91C0_NELEMC08, 1, 1 ) = '3' )
SELECT NOW()
WHERE CONF_LITIGATION_PRODUCT.SOURCE_CODE = 'CR' AND CONF_LITIGATION_PRODUCT.PRODUCT_ID = INTERFACE_DCT01.DCYR8101_CKPRODUT AND CONF_LITIGATION_PRODUCT.SUBPRODUCT_ID = INTERFACE_DCT01.DCYR8101_CKSUBPRO
SELECT NOW()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</si>
  <si>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</si>
  <si>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</si>
  <si>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</si>
  <si>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</si>
  <si>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</si>
  <si>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</si>
  <si>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</si>
  <si>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</si>
  <si>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</si>
  <si>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bg_contr_batch</t>
  </si>
  <si>
    <t>bg_operacion.bgop_idcent = bg_contr_batch.idcent and bg_operacion.bgop_idempr = bg_contr_batch.idempr and bg_operacion.bgop_codprod =  bg_contr_batch.codprod and bg_operacion.bgop_numctr =  bg_contr_batch.numctr</t>
  </si>
  <si>
    <t>inner</t>
  </si>
  <si>
    <t>curated_internal_mainframe_estruturais</t>
  </si>
  <si>
    <t>coint_ctoloc_p</t>
  </si>
  <si>
    <t>bg_operacion. bgop_idcent  = coint_ctoloc_p.e2616_idcent and bg_operacion.bgop_idempr = coint_ctoloc_p.e2616_idempr and bg_operacion.bgop_codprod = coint_ctoloc_p.e2616_idprod and bg_operacion.bgop_numctr = coint_ctoloc_p.e2616_idcontr</t>
  </si>
  <si>
    <t>left</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</si>
  <si>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</si>
  <si>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</si>
  <si>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</si>
  <si>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</si>
  <si>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 xml:space="preserve">tat21_moeda </t>
  </si>
  <si>
    <t>bg_operacion.bgop_codmonsw  = tat21_moeda .codmon</t>
  </si>
  <si>
    <t>curated_internal_mainframe_contencioso</t>
  </si>
  <si>
    <t>tct72_movcta</t>
  </si>
  <si>
    <t xml:space="preserve">tct09_opercn </t>
  </si>
  <si>
    <t xml:space="preserve">tct72_movcta.zproc = tct09_opercn.zproc and tct72_movcta.zoper = tct09_opercn.zoper and tct72_movcta.zanoproc = tct09_opercn.zanoproc </t>
  </si>
  <si>
    <t>tct09_opercn</t>
  </si>
  <si>
    <t>tct72_movcta.zoper = tct09_opercn.zoper AND tct72_movcta.zanoproc = tct09_opercn.zanoproc AND tct72_movcta.zproc = tct09_opercn.zproc</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</si>
  <si>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</si>
  <si>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</si>
  <si>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</si>
  <si>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eft08_contab_eft</t>
  </si>
  <si>
    <t>eft08_contab_eft.ckbalcao = eft02_crteft.ckbalcao and eft08_contab_eft.cknumcta = eft02_crteft.cknumcta and eft08_contab_eft.zloteft = eft02_crteft.zloteft and eft08_contab_eft.zseqeft= eft02.zseqeft</t>
  </si>
  <si>
    <t>credit_card_account_contract_transaction</t>
  </si>
  <si>
    <t>curated_internal_mainframe_cartoes</t>
  </si>
  <si>
    <t>crt07_tbctatar</t>
  </si>
  <si>
    <t>tat91_tabelas</t>
  </si>
  <si>
    <t>concat( lpad( crt07_tbctatar.codmar, 2, '0' ), lpad( crt07_tbctatar.indtipt, 2, '0' ) ) = tat91_tabelas.tat593_filter.tayd91c0_celemtab and crt07_tbctatar.cmarca = tat91_tabelas.tayd91c0_cempmarc</t>
  </si>
  <si>
    <t>crt12_tbmovext_new</t>
  </si>
  <si>
    <t>crt12_tbmovext_new.crt12_codent = crt07_tbctatar.codent and crt12_tbmovext_new.crt12_numctatar = crt07_tbctatar.numctatar</t>
  </si>
  <si>
    <t>crt09_tbtarjet</t>
  </si>
  <si>
    <t>crt12_tbmovext_new.crt12_codent = crt09_tbtarjet.codent and crt12_tbmovext_new.crt12_numctatar = crt09_tbtarjet.numctatar and crt09_tbtarjet.pan = crt12_tbmovext_new.crt12_pan</t>
  </si>
  <si>
    <t>crt53</t>
  </si>
  <si>
    <t>crt12_tbmovext_new.crt12_codent = crt53.codent and crt12_tbmovext_new.crt12_numctatar = crt53.numctatar and crt12_tbmovext_new.crt12_numextcta = crt53.numextcta and crt12_tbmovext_new.crt12_nummovext = crt53.nummovext</t>
  </si>
  <si>
    <t>crt98_elps</t>
  </si>
  <si>
    <t xml:space="preserve">crt12_tbmovext_new.crt12_grupo = crt98_elps.tipoterm and crt12_tbmovext_new.crt12_codcom = crt98_elps.idterminal and to_date( crt98_elps.dtfim ) &gt;= to_timestamp( cast( crt12_tbmovext_new.crt12_fecfac as string ),'yyyymmdd' ) and to_date( crt98_elps.dtinicio ) &lt;= to_timestamp( cast( crt12_tbmovext_new.crt12_fecfac as string ),'yyyymmdd' ) </t>
  </si>
  <si>
    <t>crt44_tbtipfac</t>
  </si>
  <si>
    <t>crt12_tbmovext_new.crt12_indori = crt44_tbtipfac.indori and crt12_tbmovext_new.crt12_tipofacn = crt44_tbtipfac.tipofacn and crt12_tbmovext_new.crt12_indestr = crt44_tbtipfac.indestr</t>
  </si>
  <si>
    <t>crt90_tbmovdeb_new</t>
  </si>
  <si>
    <t>crt90_tbmovdeb_new.crt90dl_codent = crt07_tbctatar.codent and crt90_tbmovdeb_new.crt90dl_numctatar = crt07_tbctatar.numctatar</t>
  </si>
  <si>
    <t xml:space="preserve">crt09_tbtarjet.pan = crt90_tbmovdeb_new.crt90dl_pan and crt90_tbmovdeb_new.crt90dl_numctatar = crt09_tbtarjet.numctatar and crt90_tbmovdeb_new.crt90dl_codent = crt09_tbtarjet.codent  </t>
  </si>
  <si>
    <t>crt90_tbmovdeb_new.crt90dl_codent = crt53.codent and crt90_tbmovdeb_new.crt90dl_numctatar = crt53.numctatar and crt90_tbmovdeb_new.crt90dl_numextcta = crt53.numextcta and crt90_tbmovdeb_new.crt90dl_nummovext = crt53.nummovext</t>
  </si>
  <si>
    <t>crt90_tbmovdeb_new.crt90dl_grupo = crt98_elps.tipoterm and crt90_tbmovdeb_new.crt90dl_codcom = crt98_elps.idterminal and to_date( crt98_elps.dtfim ) &gt;= to_timestamp( cast( crt90_tbmovdeb_new.crt90dl_fecfac as string ),'yyyyMMdd' ) and to_date( crt98_elps.dtinicio ) &lt;= to_timestamp( cast( crt90_tbmovdeb_new.crt90dl_fecfac as string ),'yyyyMMdd' )</t>
  </si>
  <si>
    <t>crt90_tbmovdeb_new.crt90dl_indori = crt44_tbtipfac.indori and crt90_tbmovdeb_new.crt90dl_tipofacn = crt44_tbtipfac.tipofacn and crt90_tbmovdeb_new.crt90dl_indestr = crt44_tbtipfac.indestr</t>
  </si>
  <si>
    <t>interface_dct01</t>
  </si>
  <si>
    <t>operations_common_referencedata_core</t>
  </si>
  <si>
    <t>conf_litigation_product</t>
  </si>
  <si>
    <t>conf_litigation_product.source_product_id = interface_dct01.dcyr8101_ckprodut and conf_litigation_product.source_subproduct_id = interface_dct01.dcyr8101_cksubpro</t>
  </si>
  <si>
    <t>interface_dct01.dcyr8101_ckbalcao = movimentos_consolidados.dcyr9750_ckbalcao and interface_dct01.dcyr8101_cknumcta = movimentos_consolidados.dcyr9750_cknumcta</t>
  </si>
  <si>
    <t>conf_litigation_product.source_product_id = tct09_opercn.ckprodut and conf_litigation_product.source_subproduct_id = tct09_opercn.cksubpro</t>
  </si>
  <si>
    <t>tct09_opercn.zanoproc = tct72_movcta.zanoproc and tct09_opercn.zproc = tct72_movcta.zproc and tct09_opercn.zoper = tct72_movcta.zoper</t>
  </si>
  <si>
    <t>crt07_tbctatar.ckbalcao = tct72_movcta.ckbalcao and crt07_tbctatar.cknumcta = tct72_movcta.cknumcta</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</si>
  <si>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</si>
  <si>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</si>
  <si>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 xml:space="preserve">crt07_tbctatar </t>
  </si>
  <si>
    <t>concat( lpad( crt07_tbctatar.codmar, 2, '0' ), lpad( crt07_tbctatar.indtipt, 2, '0' ) ) = tat91_tabelas.tayd91c0_celemtab and crt07_tbctatar.cmarca = tat91_tabelas.tayd91c0_cempmarc and tat91_tabelas.tayd91c0_ctabela = '593'</t>
  </si>
  <si>
    <t>crt90_tbmovdeb_new.crt90dl_grupo = crt98_elps.tipoterm and crt90_tbmovdeb_new.crt90dl_codcom = crt98_elps.idterminal and to_date(crt98_elps.dtfim) &gt; to_date( CAST( crt90_tbmovdeb_new.crt90dl_fecfac as string ), 'yyyyMMdd' ) and to_date( crt98_elps.dtinicio ) &lt;= to_date( CAST( crt90_tbmovdeb_new.crt90dl_fecfac as string), 'yyyyMMdd' )</t>
  </si>
  <si>
    <t>conf_transaction_type_converter</t>
  </si>
  <si>
    <t>crt90_tbmovdeb_new.crt90dl_tipofacn = conf_transaction_type_converter.source_value  and conf_transaction_type_converter.source_transaction_type_code = 'tipofacn' AND conf_transaction_type_converter.source_code = 'CR'</t>
  </si>
  <si>
    <t>crt09_tbtarjet.pan = crt90_tbmovdeb_new.crt90dl_pan</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</si>
  <si>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</si>
  <si>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</si>
  <si>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</si>
  <si>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</si>
  <si>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</si>
  <si>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</si>
  <si>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</si>
  <si>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</si>
  <si>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</si>
  <si>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</si>
  <si>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tat21_moeda</t>
  </si>
  <si>
    <t>tat21_moeda.codmon = eur_interven.int_cdmoeda</t>
  </si>
  <si>
    <t>curated_internal_mainframe_emprestimos</t>
  </si>
  <si>
    <t>ept99_movimento</t>
  </si>
  <si>
    <t>coint_ctoloc_p.e2616_idcent_l = ept99_movimento.ckbalcao and coint_ctoloc_p.e2616_idcont_l =  ept99_movimento.cknumcta</t>
  </si>
  <si>
    <t>contbach_prestm</t>
  </si>
  <si>
    <t>contbach_prestm.ctp_idempr = coint_ctoloc_p.e2616_idempr and contbach_prestm.ctp_idcent = coint_ctoloc_p.e2616_idcent and contbach_prestm.ctp_idprod = coint_ctoloc_p.e2616_idprod and contbach_prestm.ctp_idcontr = coint_ctoloc_p.e2616_idcontr</t>
  </si>
  <si>
    <t>eh_det_rec_cob</t>
  </si>
  <si>
    <t>contbach_prestm.ctp_idempr = eh_det_rec_cob.e4279_idempr and contbach_prestm.ctp_idcent = eh_det_rec_cob.e4279_idcent and contbach_prestm.ctp_idprod = eh_det_rec_cob.e4279_codprod and contbach_prestm.ctp_idcontr = eh_det_rec_cob.e4279_idcontr</t>
  </si>
  <si>
    <t>eh_rel_rec_oper</t>
  </si>
  <si>
    <t>eh_rel_rec_oper.e4282_idempr = eh_det_rec_cob.e4279_idempr and eh_rel_rec_oper.e4282_idcent = eh_det_rec_cob.e4279_idcent and eh_rel_rec_oper.e4282_codprod = eh_det_rec_cob.e4279_codprod and eh_rel_rec_oper.e4282_idcontr = eh_det_rec_cob.e4279_idcontr and eh_rel_rec_oper.e4282_fecalta = eh_det_rec_cob.e4279_fecalta and eh_rel_rec_oper.e4282_secualta = eh_det_rec_cob.e4279_secualta and eh_rel_rec_oper.e4282_indconcp = eh_det_rec_cob.e4279_indconcp and eh_rel_rec_oper.e4282_codconp = eh_det_rec_cob.e4279_codconp and eh_rel_rec_oper.e4282_codopbas IN ('031', '121', '182')</t>
  </si>
  <si>
    <t>ept99_movimento.ckbalcao = coint_ctoloc_p.e2616_idcent_l and ept99_movimento.cknumcta = coint_ctoloc_p.e2616_idcont_l and ept99_movimento.dliquid = eh_rel_rec_oper.e4282_fecalta and ept99_movimento.row_num = 1</t>
  </si>
  <si>
    <t>eh_oper_contr</t>
  </si>
  <si>
    <t>eh_oper_contr.eh10_idempr = contbach_prestm.ctp_idempr and eh_oper_contr.eh10_idcent = contbach_prestm.ctp_idcent and eh_oper_contr.eh10_idcontr = contbach_prestm.ctp_idcontr and eh_oper_contr.eh10_codprod = contbach_prestm.ctp_idprod</t>
  </si>
  <si>
    <t>eh_oper_contr.eh10_codmonsw = tat21_moeda.codmon</t>
  </si>
  <si>
    <t>eh_rel_rec_oper.eh10_codprod = eh_oper_contr.e4282_codprod and eh_rel_rec_oper.eh10_idcent = eh_oper_contr.e4282_idcent and eh_rel_rec_oper.eh10_idempr = eh_oper_contr.e4282_idempr  and eh_rel_rec_oper.eh10_idcontr = eh_oper_contr.e4282_idcontr and eh_rel_rec_oper.eh10_hnuopem = eh_oper_contr.e4282_hnuopem</t>
  </si>
  <si>
    <t>tat21_moeda.codmon = eh_oper_contr.eh10_codmonsw</t>
  </si>
  <si>
    <t>resu_oper_prtm</t>
  </si>
  <si>
    <t>resu_oper_prtm.hrop_idempr = eh_oper_contr.eh10_idempr and resu_oper_prtm.hrop_idcent = eh_oper_contr.eh10_idcent and resu_oper_prtm.hrop_idprod = eh_oper_contr.eh10_codprod and resu_oper_prtm.hrop_idcontr = eh_oper_contr.eh10_idcontr and resu_oper_prtm.hrop_hnuoper = eh_oper_contr.eh10_hnuopem and resu_oper_prtm.hrop_codopbas = eh_oper_contr.eh10_codopbas and resu_oper_prtm.hrop_codopban = eh_oper_contr.eh10_codopeob</t>
  </si>
  <si>
    <t>eh_oper_contr.eh10_idempr = eh_rel_rec_oper.e4282_idempr and eh_oper_contr.eh10_idcent = eh_rel_rec_oper.e4282_idcent and eh_oper_contr.eh10_codprod = eh_rel_rec_oper.e4282_codprod and eh_oper_contr.eh10_idcontr = eh_rel_rec_oper.e4282_idcontr and eh_oper_contr.eh10_hnuopem = eh_rel_rec_oper.e4282_hnuopem and eh_oper_contr.eh10_codopbas = eh_rel_rec_oper.e4282_codopbas</t>
  </si>
  <si>
    <t>ept07_movcta</t>
  </si>
  <si>
    <t>ept01_contas</t>
  </si>
  <si>
    <t>ept01_contas.ckbalcao = ept07_movcta.ckbalcao and ept01_contas.cknumcta = ept07_movcta.cknumcta</t>
  </si>
  <si>
    <t xml:space="preserve">tct72_movcta.ckbalcao = ept07_movcta.ckbalcao and tct72_movcta.cknumcta = ept07_movcta.cknumcta </t>
  </si>
  <si>
    <t>coint_ctoloc_p.e2616_idcent_l = tct72_movcta.ckbalcao and coint_ctoloc_p.e2616_idcont_l =  tct72_movcta.cknumcta</t>
  </si>
  <si>
    <t>curated_internal_mainframe_depositosprazo</t>
  </si>
  <si>
    <t>dp_dpyr0580_movimentos</t>
  </si>
  <si>
    <t>dp_dpyr0550_depositos</t>
  </si>
  <si>
    <t>dp_dpyr0580_movimentos.ckbalcao = dp_dpyr0550_depositos.ckbalcao and dp_dpyr0580_movimentos.cknumcta = dp_dpyr0550_depositos.cknumcta and dp_dpyr0580_movimentos.zdeposit = dpyr0550.zdeposit and dp_dpyr0550_depositos.dabertur = dp_dpyr0580_movimentos.dabertur</t>
  </si>
  <si>
    <t>curated_internal_mainframe_estrangeiro</t>
  </si>
  <si>
    <t>est55_rdimov</t>
  </si>
  <si>
    <t>est54_remimp</t>
  </si>
  <si>
    <t>est55_rdimov.ckrefest = est54_remimp.esyd54c0_ckrefest</t>
  </si>
  <si>
    <t>curated_internal_estruturais</t>
  </si>
  <si>
    <t>tat91_tabelas_new</t>
  </si>
  <si>
    <t>SUBSTRING(tat91_tabelas_new.tayd91c0_nelemc01, 1, 3) = est54_remimp.esyd54c0_cmoeda</t>
  </si>
  <si>
    <t>est79_rdemov</t>
  </si>
  <si>
    <t>est78_remexp (A) LEFT JOIN est78_remexp (B)</t>
  </si>
  <si>
    <t>est79_rdemov.ckrefest = est78_view.ckrefest 
AND (
  (CAST(est79_rdemov.zseqmov AS INT) &gt; est78_remexp (B).zseqmov 
    AND CAST(est79_rdemov.zseqmov AS INT) &lt;= est78_remexp (A).zseqmov
    AND est78_remexp (A).zseqrem NOT IN ('001', '999')
  )
  OR (est78_remexp (B).zseqmov IS NULL 
    AND est78_remexp (A).zseqmov != '00'
    AND CAST(est79_rdemov.zseqmov AS INT) &lt;= est78_remexp (A).zseqmov 
    AND est79_rdemov.zseqmov &gt; 0
    AND est78_remexp (A).zseqrem IN ('001', '999')
  )
  OR (est78_remexp (B).zseqmov IS NOT NULL 
    AND '999' = est78_remexp (A).zseqrem 
    AND CAST(est79_rdemov.zseqmov AS INT) &gt; est78_remexp (B).zseqmov
  )
  OR (est78_remexp (A).zseqmov = '00' 
    AND est78_remexp (B).zseqmov IS NULL
    AND '999' = est78_remexp (A).zseqrem
    AND CAST(est79_rdemov.zseqmov AS INT) &gt;= est78_remexp (B).zseqmov 
  )
  OR (est78_remexp (A).zseqmov = '00'
    AND '999' = est78_remexp (A).zseqrem
    AND est79_rdemov.zseqmov = '000'
  )</t>
  </si>
  <si>
    <t>est78_remexp (A)</t>
  </si>
  <si>
    <t>est78_remexp (B)</t>
  </si>
  <si>
    <t>A.ckrefest = B.ckrefest AND A.row_num_plus_one = B.row_num
NOTA: 
row_num = ROW_NUMBER() OVER (PARTITION BY ckrefest ORDER BY (CAST(zseqrem AS INT), CAST(zseqmov AS INT)) DESC)
row_num_plus_one = ROW_NUMBER() OVER (PARTITION BY ckrefest ORDER BY (CAST(zseqrem AS INT), CAST(zseqmov AS INT)) DESC) + 1</t>
  </si>
  <si>
    <t>est78_remexp (A).cmoeda = SUBSTRING(tat91_tabelas_new.tayd91c0_nelemc01, 1, 3)</t>
  </si>
  <si>
    <t>est86_cdimov</t>
  </si>
  <si>
    <t>est85_creimp</t>
  </si>
  <si>
    <t>est86_cdimov.ckrefest = est85_creimp.ckrefest AND est86_cdimov.zsequen = est85_creimp.zsequen</t>
  </si>
  <si>
    <t>est85_creimp.cmoeda = SUBSTRING(tat91_tabelas_new.tayd91c0_nelemc01, 1, 3)</t>
  </si>
  <si>
    <t>est90_cdemov</t>
  </si>
  <si>
    <t>est89_creexp</t>
  </si>
  <si>
    <t>est90_cdemov.ckrefest = est89_creexp.zsequen AND est90_cdemov.ckrefest = est89_creexp.zsequen</t>
  </si>
  <si>
    <t>est89_creexp.cmoeda = SUBSTRING(tat91_tabelas_new.tayd91c0_nelemc01, 1, 3)</t>
  </si>
  <si>
    <t>tct72_movcta.zanoproc = tct09_opercn.zanoproc and tct72_movcta.zoper = tct09_opercn.zoper and tct72_movcta.zproc = tct09_opercn.zproc</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</si>
  <si>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</si>
  <si>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</si>
  <si>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</si>
  <si>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</si>
  <si>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</si>
  <si>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bg_contr_batch.codsprod != '550')</t>
  </si>
  <si>
    <t xml:space="preserve">NR - NORMAL
CA - CANCELADA
TR - TRANSFERIDA </t>
  </si>
  <si>
    <t>movimentos_consolidados.dcyr9750_ckbalcao and movimentos_consolidados.dcyr9750_cknumcta exists in ( interface_dct01 where interface_dct01.dcyr8101_ckprodut = '029' and interface_dct01.dcyr8101_cksubpro = '213' )</t>
  </si>
  <si>
    <t>0 - CONTA ABERTA
1 - CONTA BLOQUEADA DEBITO
2 - CONTA BLOQUEADA CREDITO
3 - CONTA BLOQUEADA
7 - CONTA EM CREDITO VENCIDO
8 - CONTA EM CONTENCIOSO
4 - CONTA CANCELADA
5 - CONTA COM PEDIDO CANCELAMENTO SEM DESTINO
6 - CONTA COM PEDIDO CANCELAMENTO COM DESTINO
9 - CONTA PRE-ABERTA</t>
  </si>
  <si>
    <t>tct72_movcta.zproc and tct72_movcta.zoper and tct72_movcta.zanoproc exists in ( tct09_opercn where tct09_opercn.ckprodut = '029' and tct09_opercn.cksubpro = '213' )</t>
  </si>
  <si>
    <t xml:space="preserve"> 1 - ATIVO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</si>
  <si>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 )</t>
  </si>
  <si>
    <t>CO - CONTRATADO
IR - IRREGULAR
VE - VENCIDO
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</si>
  <si>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t>
  </si>
  <si>
    <t xml:space="preserve"> 1 - ATIVO
CT -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</si>
  <si>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crt12_tbmovext_new.crt12_codent and crt12_tbmovext_new. crt12_numctatar exists in ( tat91_tabelas.tayd91c0_ctabela = '593' and ( substring( tat91_tabelas.tayd91c0_nelemc08, 1, 1 ) = '1' or substring( tat91_tabelas.tayd91c0_nelemc08, 1, 1 ) = '3' ) )</t>
  </si>
  <si>
    <t>0 - OPERATIVA
1 - BLOQUEIO SEM RETENÇÃO
2 - BLOQUEIO COM RETENÇÃO
3 - BLOQUEIO PREVENTIVO / ATRASO PAGAMENTO
4 - BLOQUEIO PRE-CONTENCIOSO
9 - BLOQUEIO POR LITIGIO</t>
  </si>
  <si>
    <t>crt90_tbmovdeb_new.crt90dl_codent and crt90_tbmovdeb_new.crt90dl_numctatar exists in ( and tat91_tabelas.tayd91c0_ctabela = '593' and ( substring( tat91_tabelas.tayd91c0_nelemc08, 1, 1 ) = '1' or substring( tat91_tabelas.tayd91c0_nelemc08, 1, 1 ) = '3' ) )</t>
  </si>
  <si>
    <t>movimentos_consolidados.dcyr9750_ckbalcao and movimentos_consolidados.dcyr9750_cknumcta exists in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</si>
  <si>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
4 - CONTA CANCELADA</t>
  </si>
  <si>
    <t>tct72_movcta.zproc and tct72_movcta.zoper and tct72_movcta.zanoproc exists in ( tct09_opercn.ckprodut = '029' and tct09_opercn.cksubpro = '286' )</t>
  </si>
  <si>
    <t>tct72_movcta.ckbalcao and tct72_movcta.cknumcta exists in ( tat91_tabelas.tayd91c0_ctabela = '593' and ( substring( tat91_tabelas.tayd91c0_nelemc08, 1, 1 ) = '1' or substring( tat91_tabelas.tayd91c0_nelemc08, 1, 1 ) = '3' ) )</t>
  </si>
  <si>
    <t xml:space="preserve">movimentos_consolidados.dcyr9750_ckbalcao and movimentos_consolidados.dcyr9750_cknumcta exists in ( interface_dct01 where dcyr8101_cfamilia in ( 'ME', 'MN'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</si>
  <si>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ME - D.O. MOEDA ESTRANGEIRA
MN - D.O. MOEDA NACIONAL</t>
  </si>
  <si>
    <t>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</si>
  <si>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dcyr8101_cfamilia in ( 'ME', 'MN' ) ) </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</si>
  <si>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ME - D.O. MOEDA ESTRANGEIRA
MN - D.O. MOEDA NACIONAL</t>
  </si>
  <si>
    <t>crt90_tbmovdeb_new.ckbalcao and crt90_tbmovdeb_new.cknumcta exists in (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t>
  </si>
  <si>
    <t>eur_moviccor.mcc_nrorig01 and eur_moviccor.mcc_nrorig02 and eur_moviccor.mcc_nrorig03</t>
  </si>
  <si>
    <t>05 - CONTRATO
01 - OPORTUNIDADE
02 - ANÁLISE
03 - PROPOSTA
04- ASSINATURA
06 - ARQUIVO</t>
  </si>
  <si>
    <t>movimentos_consolidados.dcyr9750_ckbalcao and movimentos_consolidados.dcyr9750_cknumcta exists in ( interface_dct01 where interface_dct01.dcyr8101_ckprodut = '029' and interface_dct01.dcyr8101_cksubpro = '289' )</t>
  </si>
  <si>
    <t>tct72_movcta.zproc and tct72_movcta.zoper and tct72_movcta.zanoproc exists in ( tct09_opercn where tct09_opercn.ckprodut = '029' and tct09_opercn.cksubpro = '289' )</t>
  </si>
  <si>
    <t>movimentos_consolidados.dcyr9750_ckbalcao and movimentos_consolidados.dcyr9750_cknumcta exists in ( interface_dct01 where dcyr8101_cfamilia = 'CR' )</t>
  </si>
  <si>
    <t>0 - CONTA ABERTA
1 - CONTA BLOQUEADA DEBITO
2 - CONTA BLOQUEADA CREDITO
3 - CONTA BLOQUEADA
7 - CONTA EM CREDITO VENCIDO
8 - CONTA EM CONTENCIOSO
4 - CONTA CANCELADA
5 - CONTA COM PEDIDO CANCELAMENTO SEM DESTINO
6 - CONTA COM PEDIDO CANCELAMENTO COM DESTINO
9 - CONTA PRE-ABERTA
CR - CRP - RENDIMENTO POUPANÇA</t>
  </si>
  <si>
    <t>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</si>
  <si>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movimentos_consolidados.dcyr9750_ckbalcao and movimentos_consolidados.dcyr9750_cknumcta exists in ( interface_dct01 where dcyr8101_cfamilia in ( 'IN , 'NC' )</t>
  </si>
  <si>
    <t>0 - CONTA ABERTA
1 - CONTA BLOQUEADA DEBITO
2 - CONTA BLOQUEADA CREDITO
3 - CONTA BLOQUEADA
7 - CONTA EM CREDITO VENCIDO
8 - CONTA EM CONTENCIOSO
4 - CONTA CANCELADA
5 - CONTA COM PEDIDO CANCELAMENTO SEM DESTINO
6 - CONTA COM PEDIDO CANCELAMENTO COM DESTINO
9 - CONTA PRE-ABERTA
NC - CONTAS INTERNAS NÃO CLIENTES
IN - CONTAS INTERNAS</t>
  </si>
  <si>
    <t>CR - CRP - RENDIMENTO POUPANÇA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</si>
  <si>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curated_internal_lease</t>
  </si>
  <si>
    <t>transactions</t>
  </si>
  <si>
    <t>transactions.cempresa and transactions.ckbalcao and transactions.cknumcta and transactions.zdeposit</t>
  </si>
  <si>
    <t>1	ACTIVO
2	ACTIVO COM ALTERACOES
0	POR ATIVAR
3	RESCINDIDO ANTECIPADAMENTE
4	RESCINDIDO POR INCUMPRIMENTO
5	TERMINADO
6	CANCELADO</t>
  </si>
  <si>
    <t xml:space="preserve">movimentos_consolidados.dcyr9750_ckbalcao and movimentos_consolidados.dcyr9750_cknumcta exists in ( interface_dct01 where dcyr8101_cfamilia in ( 'CC'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</si>
  <si>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CC - CONTAS CORRENTES</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</si>
  <si>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</si>
  <si>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 xml:space="preserve">tct72_movcta.zproc and tct72_movcta.zoper and tct72_movcta.zanoproc exists in ( tct09_opercn and interface_dct01 where dcyr8101_cfamilia in ( 'CC' )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</si>
  <si>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CC - CONTAS CORRENTES</t>
  </si>
  <si>
    <t>ept07_movcta.ckbalcao and dp_dpyr0580_movimentos.cknumcta and ept07_movcta.zdeposit in ( csitcta != 'EH' )</t>
  </si>
  <si>
    <t>ES - ESTORNADA
FO - FORMALIZADA
SU - SUSPENSA
AN - ANULADA
AP - APROVADA
CA - CANCELADA
CN - LIQUIDADA PARA CONTENCIOSO
EX - LIQUIDADO EM CONTENCIOSO
LI - LIQUIDADA
RE - RECUSADA
TR - TRAMITE</t>
  </si>
  <si>
    <t xml:space="preserve">eh_oper_contr.eh10_idempr and eh_oper_contr.eh10_idcent and eh_oper_contr.eh10_idcontr and eh_oper_contr.eh10_codprod </t>
  </si>
  <si>
    <t>0 - ATIVO
7 - CANCELADA
C - PAGO</t>
  </si>
  <si>
    <t xml:space="preserve">tct72_movcta.zproc and tct72_movcta.zoper and tct72_movcta.zanoproc exists in ( tct09_opercn and interface_dct01 where  csitcta != 'EH'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</si>
  <si>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ME - D.O. MOEDA ESTRANGEIRA
MN - D.O. MOEDA NACIONAL</t>
  </si>
  <si>
    <t xml:space="preserve">movimentos_consolidados.dcyr9750_ckbalcao and movimentos_consolidados.dcyr9750_cknumcta exists in ( interface_dct01 where  dcyr8101_cfamilia in ( 'NT'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</si>
  <si>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NT - CONTAS NOSTRO</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</si>
  <si>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t>
  </si>
  <si>
    <t xml:space="preserve">tct72_movcta.zproc and tct72_movcta.zoper and tct72_movcta.zanoproc exists in ( tct09_opercn and interface_dct01 where dcyr8101_cfamilia in ( 'NT' ) ) </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</si>
  <si>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NT - CONTAS NOSTRO</t>
  </si>
  <si>
    <t>crt90_tbmovdeb_new.ckbalcao and crt90_tbmovdeb_new.cknumcta exists in ( tayd91c0_ctabela = '593' and ( ( substring( tayd91c0_nelemc08, 1, 1 ) = 2 and ( substring( tayd91c0_nelemc17, 1, 1 ) = 'n' or substring( tayd91c0_nelemc17, 1, 1 ) = 'p' ) ) or ( substring(tayd91c0_nelemc08, 1, 1 ) = 2 and substring( tayd91c0_nelemc12, 14,1 ) = 's' ) ) )</t>
  </si>
  <si>
    <t>dp_dpyr0580_movimentos.ckbalcao and dp_dpyr0580_movimentos.cknumcta and dp_dpyr0580_movimentos.zdeposit</t>
  </si>
  <si>
    <t>NR - NORMAL
AN - ANULADO
CA - CANCELADO</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</si>
  <si>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</si>
  <si>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</si>
  <si>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</si>
  <si>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</si>
  <si>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</si>
  <si>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</si>
  <si>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</si>
  <si>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</si>
  <si>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</si>
  <si>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</si>
  <si>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</si>
  <si>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</si>
  <si>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</si>
  <si>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</si>
  <si>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</si>
  <si>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</si>
  <si>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</si>
  <si>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</si>
  <si>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</si>
  <si>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</si>
  <si>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</si>
  <si>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</si>
  <si>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</si>
  <si>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</si>
  <si>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</si>
  <si>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</si>
  <si>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</si>
  <si>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</si>
  <si>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</si>
  <si>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</si>
  <si>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</si>
  <si>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</si>
  <si>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</si>
  <si>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</si>
  <si>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</si>
  <si>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</si>
  <si>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</si>
  <si>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</si>
  <si>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</si>
  <si>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</si>
  <si>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</si>
  <si>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</si>
  <si>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</si>
  <si>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</si>
  <si>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</si>
  <si>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</si>
  <si>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</si>
  <si>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</si>
  <si>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</si>
  <si>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</si>
  <si>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</si>
  <si>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</si>
  <si>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</si>
  <si>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</si>
  <si>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</si>
  <si>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</si>
  <si>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2024-08-20T15:31:21.238+00:00</t>
  </si>
  <si>
    <t>null</t>
  </si>
  <si>
    <t>2024-08-20T15:31:33.145+00:00</t>
  </si>
  <si>
    <t>2024-08-20T15:31:51.935+00:00</t>
  </si>
  <si>
    <t>1</t>
  </si>
  <si>
    <t>0</t>
  </si>
  <si>
    <t>-</t>
  </si>
  <si>
    <t>2024-08-20T15:32:20.459+00:00</t>
  </si>
  <si>
    <t>None</t>
  </si>
  <si>
    <t>2024-08-20T15:32:31.360+00:00</t>
  </si>
  <si>
    <t>2024-08-20T15:32:45.180+00:00</t>
  </si>
  <si>
    <t>89</t>
  </si>
  <si>
    <t>000020000000426001000000000000</t>
  </si>
  <si>
    <t>1822403740761</t>
  </si>
  <si>
    <t>0.010000</t>
  </si>
  <si>
    <t>000020000000426</t>
  </si>
  <si>
    <t>0000000216</t>
  </si>
  <si>
    <t>31</t>
  </si>
  <si>
    <t>000000181389001000000000000000</t>
  </si>
  <si>
    <t xml:space="preserve">PT50001000002316955000143         </t>
  </si>
  <si>
    <t>CAD</t>
  </si>
  <si>
    <t>2024-06-27</t>
  </si>
  <si>
    <t>FA</t>
  </si>
  <si>
    <t>2024-08-09</t>
  </si>
  <si>
    <t>2024-08-20 15:22:24.513000</t>
  </si>
  <si>
    <t>2024-08-20T15:34:49.954+00:00</t>
  </si>
  <si>
    <t>0.01</t>
  </si>
  <si>
    <t xml:space="preserve">               000000000000000</t>
  </si>
  <si>
    <t xml:space="preserve">                                  </t>
  </si>
  <si>
    <t>2024-08-20 15:33:14.263000</t>
  </si>
  <si>
    <t>2024-08-20T15:36:40.045+00:00</t>
  </si>
  <si>
    <t>000020240000281001000000000000</t>
  </si>
  <si>
    <t>1822403953931</t>
  </si>
  <si>
    <t>6370852.880000</t>
  </si>
  <si>
    <t>000020240000281</t>
  </si>
  <si>
    <t>9002681752</t>
  </si>
  <si>
    <t>239302783937020000000000000000</t>
  </si>
  <si>
    <t xml:space="preserve">PT50001823930278393702093         </t>
  </si>
  <si>
    <t>USD</t>
  </si>
  <si>
    <t>2024-08-12</t>
  </si>
  <si>
    <t>6420240015270</t>
  </si>
  <si>
    <t>2024-08-20T15:39:38.775+00:00</t>
  </si>
  <si>
    <t>6370852.88</t>
  </si>
  <si>
    <t>2024-08-20 15:37:05.946000</t>
  </si>
  <si>
    <t>2024-08-20T15:40:59.667+00:00</t>
  </si>
  <si>
    <t>1538</t>
  </si>
  <si>
    <t>471</t>
  </si>
  <si>
    <t>2024-08-20T15:41:06.217+00:00</t>
  </si>
  <si>
    <t>2024-08-20T15:42:06.755+00:00</t>
  </si>
  <si>
    <t>2024-08-20T15:49:49.937+00:00</t>
  </si>
  <si>
    <t>2024-08-20T15:50:01.831+00:00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</si>
  <si>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</si>
  <si>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</si>
  <si>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</si>
  <si>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</si>
  <si>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</si>
  <si>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</si>
  <si>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</si>
  <si>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</si>
  <si>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</si>
  <si>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</si>
  <si>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</si>
  <si>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</si>
  <si>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</si>
  <si>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</si>
  <si>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</si>
  <si>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</si>
  <si>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7</t>
  </si>
  <si>
    <t xml:space="preserve">1 - O campo 'transaction_type_code' está ser mapeado pelos dados de referência para um valor default, enquanto aguardamos o preenchimento das tabelas de dados de referência. </t>
  </si>
  <si>
    <t>Total: 1538
1 -1538</t>
  </si>
  <si>
    <t>1 - OK</t>
  </si>
  <si>
    <t>Test 3</t>
  </si>
  <si>
    <t>1 - Entradas com campo a NULL, devido à condição imposta no mapeamento. Correspondem a movimentos realizados á granularidade do processo, sendo que nestes casos este campo não é aplicável. Assim, o valor default NULL é aplicado.</t>
  </si>
  <si>
    <t>Total : 1
1 - 1</t>
  </si>
  <si>
    <t>1 - Entradas com campo a NULL, devido à condição imposta no mapeamento. Correspondem a movimentos realizados á granularidade do processo,  sendo que nestes casos este campo não é aplicável. Assim, o valor default NULL é aplicado.</t>
  </si>
  <si>
    <t>Test 12</t>
  </si>
  <si>
    <t>Total: 1538
1 - 1538</t>
  </si>
  <si>
    <t>1 - Valor default para IDs. Correspondem a entradas que estão vazias na tabela de origem.</t>
  </si>
  <si>
    <t>Total : 471
1  - 471</t>
  </si>
  <si>
    <t>1 - OK
2 - OK</t>
  </si>
  <si>
    <t>2024-08-19T15:32:34.858+00:00</t>
  </si>
  <si>
    <t>2024-08-19T15:32:39.153+00:00</t>
  </si>
  <si>
    <t>2024-08-19T15:32:50.047+00:00</t>
  </si>
  <si>
    <t>2024-08-19T15:33:00.405+00:00</t>
  </si>
  <si>
    <t>2024-08-19T15:33:03.270+00:00</t>
  </si>
  <si>
    <t>2024-08-19T15:33:05.934+00:00</t>
  </si>
  <si>
    <t>0.000000</t>
  </si>
  <si>
    <t>2024-08-19 16:25:08.644000</t>
  </si>
  <si>
    <t>2024-08-19T15:34:12.339+00:00</t>
  </si>
  <si>
    <t>2024-08-19 16:28:54.847000</t>
  </si>
  <si>
    <t>2024-08-19T15:34:16.076+00:00</t>
  </si>
  <si>
    <t>DC</t>
  </si>
  <si>
    <t>2024-08-19T15:35:22.523+00:00</t>
  </si>
  <si>
    <t>2024-08-19 16:30:34.973000</t>
  </si>
  <si>
    <t>2024-08-19T15:35:52.680+00:00</t>
  </si>
  <si>
    <t>2024-08-19T15:35:57.575+00:00</t>
  </si>
  <si>
    <t>2024-08-19T15:36:08.241+00:00</t>
  </si>
  <si>
    <t>2024-08-19T15:38:55.309+00:00</t>
  </si>
  <si>
    <t>2024-08-19T15:39:07.508+00:00</t>
  </si>
  <si>
    <t xml:space="preserve">1 - O campo "transaction_type_code" faz parte da chave primária e pendente do preenchimento das tabelas de referência.  Assim, o campo foi colocado o valor default NULL, pelo que não encontra entradas em comum. </t>
  </si>
  <si>
    <t>Total - 298
1 - 298</t>
  </si>
  <si>
    <t>Test 15</t>
  </si>
  <si>
    <t>Test 16</t>
  </si>
  <si>
    <t>1 - Pendente do preenchimento das tabelas de referência. Assim, o campo foi colocado o valor default</t>
  </si>
  <si>
    <t>2024-08-19T14:57:43.697+00:00</t>
  </si>
  <si>
    <t>2024-08-19T14:57:47.285+00:00</t>
  </si>
  <si>
    <t>2024-08-19T14:57:54.804+00:00</t>
  </si>
  <si>
    <t>2024-08-19T14:58:04.672+00:00</t>
  </si>
  <si>
    <t>2024-08-19T14:58:10.357+00:00</t>
  </si>
  <si>
    <t>2024-08-19T14:58:15.596+00:00</t>
  </si>
  <si>
    <t>0.050000</t>
  </si>
  <si>
    <t>EF</t>
  </si>
  <si>
    <t>2024-08-19 14:21:17.193000</t>
  </si>
  <si>
    <t>2024-08-19T14:59:32.443+00:00</t>
  </si>
  <si>
    <t>2024-08-19 14:58:18.758000</t>
  </si>
  <si>
    <t>2024-08-19T14:59:35.182+00:00</t>
  </si>
  <si>
    <t>2024-08-19T15:00:57.713+00:00</t>
  </si>
  <si>
    <t>2024-08-19 14:59:37.513000</t>
  </si>
  <si>
    <t>2024-08-19T15:01:09.102+00:00</t>
  </si>
  <si>
    <t>2024-08-19T15:01:13.958+00:00</t>
  </si>
  <si>
    <t>2024-08-19T15:01:19.722+00:00</t>
  </si>
  <si>
    <t>2024-08-19T15:04:02.161+00:00</t>
  </si>
  <si>
    <t>2024-08-19T15:04:04.707+00:00</t>
  </si>
  <si>
    <t>2024-07-12T15:36:55.726+00:00</t>
  </si>
  <si>
    <t>1 - O campo 'financial_flow_indicator' está ser mapeado pelos dados de referência. As entradas a NULL estão pendentes da chegada da lista final de coperacs para efeitos</t>
  </si>
  <si>
    <t>Total : 75
1 - 75</t>
  </si>
  <si>
    <t>1 - NOK</t>
  </si>
  <si>
    <t>E3F
E3J
E3K
E3M
E3X
EF0
EF1
EF2
EF3
EF4
EF7
EF8
EFN
EFY</t>
  </si>
  <si>
    <t>Total : 132
1 - 132</t>
  </si>
  <si>
    <t>universe</t>
  </si>
  <si>
    <t>1 - O campo 'transaction_type_code' está ser mapeado pelos dados de referência para um valor default, enquanto aguardamos o preenchimento das tabelas de dados de referência.  Como este campo faz parte da PK, não são encontradas correspondências entre o MCD e a Source Query</t>
  </si>
  <si>
    <t>2024-09-17T10:11:11.631+00:00</t>
  </si>
  <si>
    <t>2024-09-17T10:11:19.528+00:00</t>
  </si>
  <si>
    <t>2024-09-17T10:11:28.623+00:00</t>
  </si>
  <si>
    <t>2024-09-17T10:11:39.929+00:00</t>
  </si>
  <si>
    <t>2024-09-17T10:11:46.225+00:00</t>
  </si>
  <si>
    <t>2024-09-17T10:11:54.089+00:00</t>
  </si>
  <si>
    <t>AA</t>
  </si>
  <si>
    <t>2024-09-16 21:02:03.593000</t>
  </si>
  <si>
    <t>2024-09-17T10:13:18.807+00:00</t>
  </si>
  <si>
    <t>2024-09-17 10:11:56.791000</t>
  </si>
  <si>
    <t>2024-09-17T10:13:45.976+00:00</t>
  </si>
  <si>
    <t>ZPD</t>
  </si>
  <si>
    <t>DB</t>
  </si>
  <si>
    <t>ZEXF/9460152</t>
  </si>
  <si>
    <t>última mensalidade</t>
  </si>
  <si>
    <t>última mensalidade-42305826</t>
  </si>
  <si>
    <t>fte 141/024</t>
  </si>
  <si>
    <t>XC</t>
  </si>
  <si>
    <t>TC</t>
  </si>
  <si>
    <t>2024-09-17T10:14:30.911+00:00</t>
  </si>
  <si>
    <t>2024-09-17 10:13:48.748000</t>
  </si>
  <si>
    <t>2024-09-17T10:14:46.266+00:00</t>
  </si>
  <si>
    <t>2024-09-17T10:14:50.263+00:00</t>
  </si>
  <si>
    <t>2024-09-17T10:15:01.961+00:00</t>
  </si>
  <si>
    <t>2024-09-17T10:17:40.113+00:00</t>
  </si>
  <si>
    <t>2024-09-17T10:17:46.355+00:00</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</si>
  <si>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</si>
  <si>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</si>
  <si>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</si>
  <si>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</si>
  <si>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Test 6</t>
  </si>
  <si>
    <t>O campo 'description' não requer valor obrigatoriamente</t>
  </si>
  <si>
    <t>Total: 64
1 - 64</t>
  </si>
  <si>
    <t>Ocampo 'comment' não requer valor obrigatoriamente</t>
  </si>
  <si>
    <t>Total: 49510
1 - 49510</t>
  </si>
  <si>
    <t>2024-08-20T16:04:03.623+00:00</t>
  </si>
  <si>
    <t>95428</t>
  </si>
  <si>
    <t>2024-08-20T16:04:13.851+00:00</t>
  </si>
  <si>
    <t>0.00</t>
  </si>
  <si>
    <t>2024-08-20T16:06:46.726+00:00</t>
  </si>
  <si>
    <t>2024-08-20T16:09:30.657+00:00</t>
  </si>
  <si>
    <t>2024-08-20T16:10:27.550+00:00</t>
  </si>
  <si>
    <t>2024-08-20T16:11:01.849+00:00</t>
  </si>
  <si>
    <t>.-00452076</t>
  </si>
  <si>
    <t>2024-08-20 15:25:14.824000</t>
  </si>
  <si>
    <t>2024-08-20T16:11:51.491+00:00</t>
  </si>
  <si>
    <t>2024-08-20 15:34:08.439000</t>
  </si>
  <si>
    <t>2024-08-20T16:12:27.778+00:00</t>
  </si>
  <si>
    <t>óculos-41475674</t>
  </si>
  <si>
    <t>2024-08-20T16:12:41.320+00:00</t>
  </si>
  <si>
    <t>492500.00</t>
  </si>
  <si>
    <t>2024-08-20 15:34:43.307000</t>
  </si>
  <si>
    <t>2024-08-20T16:13:51.092+00:00</t>
  </si>
  <si>
    <t>2024-08-20T16:13:56.591+00:00</t>
  </si>
  <si>
    <t>2024-08-20T16:14:08.409+00:00</t>
  </si>
  <si>
    <t>2024-08-20T16:14:29.201+00:00</t>
  </si>
  <si>
    <t>2024-08-20T16:14:31.610+00:00</t>
  </si>
  <si>
    <t>Test 9</t>
  </si>
  <si>
    <t>Total : 95428
1 - 95428</t>
  </si>
  <si>
    <t>beneficiary_order_number</t>
  </si>
  <si>
    <t>2024-08-01T19:25:06.311</t>
  </si>
  <si>
    <t>2024-08-01T19:25:13.567</t>
  </si>
  <si>
    <t>2024-08-01T19:25:23.085</t>
  </si>
  <si>
    <t>2024-08-01T19:25:34.528</t>
  </si>
  <si>
    <t>2024-08-01T19:25:38.963</t>
  </si>
  <si>
    <t>2024-08-01T19:25:45.118</t>
  </si>
  <si>
    <t>"ALCO MARKET" Sadovean   isinau, str20</t>
  </si>
  <si>
    <t>CR</t>
  </si>
  <si>
    <t>2024-08-01 19:08:54.456000</t>
  </si>
  <si>
    <t>2024-08-01T19:26:17.278</t>
  </si>
  <si>
    <t>0.0</t>
  </si>
  <si>
    <t>0--</t>
  </si>
  <si>
    <t>+0.00</t>
  </si>
  <si>
    <t>2024-08-01 19:25:47.484000</t>
  </si>
  <si>
    <t>2024-08-01T19:26:22.379</t>
  </si>
  <si>
    <t>A3</t>
  </si>
  <si>
    <t>zooplus PT 347581857     nnenstr.   80</t>
  </si>
  <si>
    <t>2024-08-01T19:26:56.371</t>
  </si>
  <si>
    <t>320.0</t>
  </si>
  <si>
    <t>-9990.00</t>
  </si>
  <si>
    <t>2024-08-01 19:26:24.906000</t>
  </si>
  <si>
    <t>2024-08-01T19:27:23.060</t>
  </si>
  <si>
    <t>2024-08-01T19:27:25.766</t>
  </si>
  <si>
    <t>2024-08-01T19:27:47.433</t>
  </si>
  <si>
    <t>2024-08-01T19:29:38.654</t>
  </si>
  <si>
    <t>2024-08-01T19:29:47.118</t>
  </si>
  <si>
    <t>big int</t>
  </si>
  <si>
    <t>int</t>
  </si>
  <si>
    <t>2024-07-31T18:08:00.133</t>
  </si>
  <si>
    <t>1 - O campo 'transaction_type_code' está marcado com o valor default NULL, enquanto aguardamos o preenchimento da tabela dos dados de referência</t>
  </si>
  <si>
    <t>Total: 1099875
1 - 1099875</t>
  </si>
  <si>
    <t>1 - Movimentos sem correspondencia na crt53. De acordo com o onwer movimento internos (p.e tipofacn 070 - cobrança de taxas) podem não ter correspondência. Como tal são missing e ficarão a NULL.
2 - Campo tipoaut está a vazio na tabela crt53</t>
  </si>
  <si>
    <t>Total: 1052
1 - 548
2 - 504</t>
  </si>
  <si>
    <t>1 - Entradas cujo campo se encontra vazio na fonte, sendo então aplicado o valor default NULL.</t>
  </si>
  <si>
    <t>Total: 79416
1 - 79416</t>
  </si>
  <si>
    <t>1 - Entradas associadas a movimentos internacionais. Como tal, não obedecem às condições impostas na query e o campo toma o valor default NULL.</t>
  </si>
  <si>
    <t>Total: 116253
1 - 116253</t>
  </si>
  <si>
    <t>1- Movimentos que não foram realizados em POS, como tal, não tem correspondência com a tabela de POS da SIBS.
2 - Movimentos realizados em POS, mas sem entrada válida na tabela de POS da SIBS
3 - Movimentos realizados em POS, com entrada válida na tabela de POS da SIBS, mas que se encontram a vazio.</t>
  </si>
  <si>
    <t>Total: 703828
1 - 479403
2 - 140959 
3 - 159483</t>
  </si>
  <si>
    <t>1 - OK
2 - OK
3 - OK</t>
  </si>
  <si>
    <t>2024-08-01T19:25:15.500</t>
  </si>
  <si>
    <t>2024-08-01T19:25:19.235</t>
  </si>
  <si>
    <t>2024-08-01T19:25:25.831</t>
  </si>
  <si>
    <t>2024-08-01T19:25:35.761</t>
  </si>
  <si>
    <t>2024-08-01T19:25:39.825</t>
  </si>
  <si>
    <t>2024-08-01T19:25:44.266</t>
  </si>
  <si>
    <t>2024-08-01 19:08:19.348000</t>
  </si>
  <si>
    <t>2024-08-01T19:26:17.443</t>
  </si>
  <si>
    <t>+0.01</t>
  </si>
  <si>
    <t>2024-08-01 19:25:46.533000</t>
  </si>
  <si>
    <t>2024-08-01T19:26:21.803</t>
  </si>
  <si>
    <t>www.jacksonsart.com      London</t>
  </si>
  <si>
    <t>2024-08-01T19:26:57.838</t>
  </si>
  <si>
    <t>8.0</t>
  </si>
  <si>
    <t>-965.00</t>
  </si>
  <si>
    <t>2024-08-01 19:26:24.270000</t>
  </si>
  <si>
    <t>2024-08-01T19:27:17.832</t>
  </si>
  <si>
    <t>2024-08-01T19:27:21.101</t>
  </si>
  <si>
    <t>2024-08-01T19:27:30.402</t>
  </si>
  <si>
    <t>2024-08-01T19:29:24.620</t>
  </si>
  <si>
    <t>2024-08-01T19:29:28.569</t>
  </si>
  <si>
    <t>2024-07-25T18:49:00.574+00:01</t>
  </si>
  <si>
    <t>2024-07-25T18:49:00.574+00:02</t>
  </si>
  <si>
    <t>Total: 48533
1 - 48533</t>
  </si>
  <si>
    <t>1 - Movimentos sem correspondencia na crt53. De acordo com o onwer movimento internos (p.e tipofacn 070 - cobrança de taxas) podem não ter correspondência. Como tal são missing e ficarão a NULL.</t>
  </si>
  <si>
    <t>Total: 19
1 - 19</t>
  </si>
  <si>
    <t>1 - Entradas associadas a movimentos em POS, mas cujo terminal não tem correspondência válida na tabela crt98_elps (terminais SIBS).
2 - Entradas com correspondência na tabela crt98_elps, mas cujo valor para o qual o campo está mapeado está a vazio, assumindo então o valor default de NULL.</t>
  </si>
  <si>
    <t>Total: 13197
1 - 254
2 - 12943</t>
  </si>
  <si>
    <t>2024-08-01T20:18:38.026</t>
  </si>
  <si>
    <t>2024-08-01T20:18:43.735</t>
  </si>
  <si>
    <t>2024-08-01T20:18:52.631</t>
  </si>
  <si>
    <t>2024-08-01T20:19:09.483</t>
  </si>
  <si>
    <t>2024-08-01T20:19:16.783</t>
  </si>
  <si>
    <t>2024-08-01T20:19:24.631</t>
  </si>
  <si>
    <t>TBD</t>
  </si>
  <si>
    <t>"Der Andechser am Dom"   auenplatz 780</t>
  </si>
  <si>
    <t>2024-08-01 19:57:18.288000</t>
  </si>
  <si>
    <t>2024-08-01T20:20:20.734</t>
  </si>
  <si>
    <t>2024-08-01 20:19:26.690000</t>
  </si>
  <si>
    <t>2024-08-01T20:20:27.224</t>
  </si>
  <si>
    <t>TAX</t>
  </si>
  <si>
    <t>ÏST DAGLIGVARE           kkegata 3  01</t>
  </si>
  <si>
    <t>2024-08-01T20:21:20.782</t>
  </si>
  <si>
    <t>97.0</t>
  </si>
  <si>
    <t>-9998.11</t>
  </si>
  <si>
    <t>999.78</t>
  </si>
  <si>
    <t>2024-08-01 20:20:31.868000</t>
  </si>
  <si>
    <t>2024-08-01T20:21:43.873</t>
  </si>
  <si>
    <t>2024-08-01T20:21:48.661</t>
  </si>
  <si>
    <t>2024-08-01T20:22:04.392</t>
  </si>
  <si>
    <t>2024-08-01T20:25:48.693</t>
  </si>
  <si>
    <t>2024-08-01T20:25:51.559</t>
  </si>
  <si>
    <t>decimal(10,0)</t>
  </si>
  <si>
    <t>* Não temos movimentos para o universo passagem a contencioso para a data de 2024-07-19, mas foi testado para outras datas e existem</t>
  </si>
  <si>
    <t>Total: 4011089
1 - 4011089</t>
  </si>
  <si>
    <t>1 - O campo está ser mapeado pelos dados de referência para um valor default, enquanto aguardamos o preenchimento das tabelas de dados de referência. Alguns valores de origem pendentes de ser mapeados.</t>
  </si>
  <si>
    <t>Total:  524735
1 - 524735</t>
  </si>
  <si>
    <t>1 - Campo definido como valor default NULL (universo contencioso)</t>
  </si>
  <si>
    <t>Total:  17538
1 - 17538</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</si>
  <si>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</si>
  <si>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Total: 72615
1 - 65135
2 - 5009
3 - 1178
4 - 1293</t>
  </si>
  <si>
    <t>1 - OK
2 - OK
3 - OK
4 - OK</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</si>
  <si>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</si>
  <si>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1 - O campo encontra-se vazio na origem, por isso fica NULL universo crédito
2 - O campo encontra-se vazio na origem, por isso fica NULL universo débito</t>
  </si>
  <si>
    <t>Total: 248334
1 - 175
2 - 248159</t>
  </si>
  <si>
    <t>1- Movimentos que não foram realizados em POS, como tal, não tem correspondência com a tabela de POS da SIBS. (universo créditos)
2 - Movimentos realizados em POS, mas sem entrada válida na tabela de POS da SIBS (universo créditos)
3 - Movimentos realizados em POS, com entrada válida na tabela de POS da SIBS, mas que se encontram a vazio." crédito
1- Movimentos que não foram realizados em POS, como tal, não tem correspondência com a tabela de POS da SIBS. (universo débitos)
2 - Movimentos realizados em POS, mas sem entrada válida na tabela de POS da SIBS (universo débitos)
3 - Movimentos realizados em POS, com entrada válida na tabela de POS da SIBS, mas que se encontram a vazio."" (universo débitos)</t>
  </si>
  <si>
    <t>Total: 2554248
1 - 203851
2 - 17097
3 - 92397
4- 1316565
5 - 174878
6 - 501126</t>
  </si>
  <si>
    <t>1 - OK
2 - OK
3 - OK
4 - OK
5 - OK
6 - OK</t>
  </si>
  <si>
    <t>2024-08-09T18:20:27.459+00:00</t>
  </si>
  <si>
    <t>2024-08-09T18:20:51.877+00:00</t>
  </si>
  <si>
    <t>2024-08-09T18:21:03.577+00:00</t>
  </si>
  <si>
    <t>2024-08-09T18:21:49.756+00:00</t>
  </si>
  <si>
    <t>2024-08-09T18:22:07.797+00:00</t>
  </si>
  <si>
    <t>2024-08-09T18:22:28.368+00:00</t>
  </si>
  <si>
    <t>DP</t>
  </si>
  <si>
    <t>2024-08-09 17:19:35.923000</t>
  </si>
  <si>
    <t>2024-08-09T18:22:45.442+00:00</t>
  </si>
  <si>
    <t>-2000000.00</t>
  </si>
  <si>
    <t>2024-08-09 18:22:38.143000</t>
  </si>
  <si>
    <t>2024-08-09T18:23:17.186+00:00</t>
  </si>
  <si>
    <t>2024-08-09T18:23:45.790+00:00</t>
  </si>
  <si>
    <t>2000000.00</t>
  </si>
  <si>
    <t>2024-08-09 18:23:38.664000</t>
  </si>
  <si>
    <t>2024-08-09T18:24:49.596+00:00</t>
  </si>
  <si>
    <t>2024-08-09T18:25:15.586+00:00</t>
  </si>
  <si>
    <t>2024-08-09T18:26:00.696+00:00</t>
  </si>
  <si>
    <t>2024-08-09T18:27:11.149+00:00</t>
  </si>
  <si>
    <t>2024-08-09T18:27:15.633+00:00</t>
  </si>
  <si>
    <t>* Movimentos duplicados por ingestas</t>
  </si>
  <si>
    <t>Test 2</t>
  </si>
  <si>
    <t>1 - Duplicados por ingestas, o data_timestamp_part_ingestion é o único campo que difere.</t>
  </si>
  <si>
    <t>Total:6466
1 - 6466</t>
  </si>
  <si>
    <t>1 - O campo está ser mapeado pelos dados de referência para um valor default, enquanto aguardamos o preenchimento das tabelas de dados de referência.</t>
  </si>
  <si>
    <t>Total:14.644
1 - 14.644</t>
  </si>
  <si>
    <t>1 - Campo sem correspondência na tabela de conversão para obb 027292, 027148.
Pendente do regresso do Pedro Cadete.</t>
  </si>
  <si>
    <t>Total:782
1 - 782</t>
  </si>
  <si>
    <t>1 - O campo está ser mapeado pelos dados de referência para um valor default NULL, enquanto aguardamos o preenchimento das tabelas de dados de referência.</t>
  </si>
  <si>
    <t>Total:12.932
1 - 12.934</t>
  </si>
  <si>
    <t>2024-08-12T18:48:30.740+00:00</t>
  </si>
  <si>
    <t>2024-08-12T18:48:53.414+00:00</t>
  </si>
  <si>
    <t>2024-08-12T18:49:09.412+00:00</t>
  </si>
  <si>
    <t>2024-08-12T18:49:41.700+00:00</t>
  </si>
  <si>
    <t>2024-08-12T18:50:07.029+00:00</t>
  </si>
  <si>
    <t>2024-08-12T18:50:31.322+00:00</t>
  </si>
  <si>
    <t>0001-01-01</t>
  </si>
  <si>
    <t>EP</t>
  </si>
  <si>
    <t>2024-08-12 18:39:48.866000</t>
  </si>
  <si>
    <t>2024-08-12T18:53:09.121+00:00</t>
  </si>
  <si>
    <t>-1000000694.21</t>
  </si>
  <si>
    <t>2024-08-12 18:50:33.467000</t>
  </si>
  <si>
    <t>2024-08-12T18:53:30.498+00:00</t>
  </si>
  <si>
    <t>SOL</t>
  </si>
  <si>
    <t>2024-08-12T18:56:04.079+00:00</t>
  </si>
  <si>
    <t>1000000687.07</t>
  </si>
  <si>
    <t>2024-08-12 18:53:33.110000</t>
  </si>
  <si>
    <t>2024-08-12T18:56:25.908+00:00</t>
  </si>
  <si>
    <t>2024-08-12T18:56:29.535+00:00</t>
  </si>
  <si>
    <t>2024-08-12T18:56:43.277+00:00</t>
  </si>
  <si>
    <t>2024-08-12T19:06:55.294+00:00</t>
  </si>
  <si>
    <t>2024-08-12T19:06:58.529+00:00</t>
  </si>
  <si>
    <t>1 - Duplicados da tabela de origem ept07 (eh_oper_contr partenon)
2 - Duplicados da tabela de origem ept07 (ept07 sintra)</t>
  </si>
  <si>
    <t>Total: 5762512
1 - 6494292
2 - 77913364</t>
  </si>
  <si>
    <t>1 - Transações em partenon que não encontram correspodência na tabela eh_rel_rec_oper. Em validação com o owner.
2 - Null da tabela de origem ept07 sintra</t>
  </si>
  <si>
    <t>Total: 62698747
1 - 6494292
2 - 136511447</t>
  </si>
  <si>
    <t>1 - Null da tabela de origem ept07 sintra</t>
  </si>
  <si>
    <t>Total: 35503361
1 - 92606927</t>
  </si>
  <si>
    <t>Total : 84398164
1 - 84398164</t>
  </si>
  <si>
    <t>Total: 6340358
1 - 6340358</t>
  </si>
  <si>
    <t>test 12</t>
  </si>
  <si>
    <t>1 - O campo está pendente ainda de alguns mapeamentos com a contabilidade, nomeadamente para Partenon concat(eh10_codopbas, eh10_codopeob): 004008, CAP008, YYYXXX
2 - O campo está vazio na origem para Sintra epyd07c0_coperac</t>
  </si>
  <si>
    <t>Total: 969
1 - 26
2 - 943</t>
  </si>
  <si>
    <t>1 - Transações em partenon que não encontram correspodência na tabela tat21. Em validação com o owner.</t>
  </si>
  <si>
    <t>Total: 1
1 - 1</t>
  </si>
  <si>
    <t>1 - Null da tabela de origem ept07 sintra
2 - Transações em partenon que não encontram correspodência na tabela ept99. Em validação com o owner.</t>
  </si>
  <si>
    <t>Total: 58866944
1 - 125510806
2 - 6494292</t>
  </si>
  <si>
    <t>1 - OK
2 - NOK</t>
  </si>
  <si>
    <t>1 - Valor default NULL em contencioso</t>
  </si>
  <si>
    <t>Total: 110
1- 110</t>
  </si>
  <si>
    <t>Total: 53470555
1 - 135121388</t>
  </si>
  <si>
    <t>1 - Pks duplicadas</t>
  </si>
  <si>
    <t>Total : 72036359
1 - 72036359</t>
  </si>
  <si>
    <t>2024-09-04T08:51:10.687+00:00</t>
  </si>
  <si>
    <t>0.999565</t>
  </si>
  <si>
    <t>2024-09-04T08:52:03.890+00:00</t>
  </si>
  <si>
    <t>2024-09-04T08:53:04.307+00:00</t>
  </si>
  <si>
    <t>2024-09-04T08:54:00.468+00:00</t>
  </si>
  <si>
    <t>2024-09-04T08:54:13.283+00:00</t>
  </si>
  <si>
    <t>2024-09-04T08:55:00.525+00:00</t>
  </si>
  <si>
    <t>2024-09-02 19:42:08.269000</t>
  </si>
  <si>
    <t>2024-09-04T08:56:44.096+00:00</t>
  </si>
  <si>
    <t>5.00</t>
  </si>
  <si>
    <t>2024-09-04 08:55:14.355000</t>
  </si>
  <si>
    <t>2024-09-04T08:57:14.158+00:00</t>
  </si>
  <si>
    <t>TFLEX regulariz</t>
  </si>
  <si>
    <t>VENCIMENTO C/CORRENTE</t>
  </si>
  <si>
    <t>2024-09-04T08:58:52.864+00:00</t>
  </si>
  <si>
    <t>2530000.00</t>
  </si>
  <si>
    <t>EUR</t>
  </si>
  <si>
    <t>2024-09-04 08:57:27.386000</t>
  </si>
  <si>
    <t>2024-09-04T08:59:21.204+00:00</t>
  </si>
  <si>
    <t>0.875000</t>
  </si>
  <si>
    <t>2024-09-04T08:59:32.089+00:00</t>
  </si>
  <si>
    <t>2024-09-04T08:59:44.628+00:00</t>
  </si>
  <si>
    <t>2024-09-04T09:04:33.051+00:00</t>
  </si>
  <si>
    <t>2024-09-04T09:04:36.005+00:00</t>
  </si>
  <si>
    <t>Total : 2301
1 - 2301</t>
  </si>
  <si>
    <t>2024-09-04T14:29:42.631+00:00</t>
  </si>
  <si>
    <t>2024-09-04T14:29:45.464+00:00</t>
  </si>
  <si>
    <t>2024-09-04T14:29:51.996+00:00</t>
  </si>
  <si>
    <t>2024-09-04T14:29:58.668+00:00</t>
  </si>
  <si>
    <t>2024-09-04T14:30:01.409+00:00</t>
  </si>
  <si>
    <t>2024-09-04T14:30:04.597+00:00</t>
  </si>
  <si>
    <t>0.160000</t>
  </si>
  <si>
    <t>APL48655873</t>
  </si>
  <si>
    <t>2024-09-03 18:22:21.207000</t>
  </si>
  <si>
    <t>2024-09-04T14:30:58.360+00:00</t>
  </si>
  <si>
    <t>2024-09-04 14:30:08.613000</t>
  </si>
  <si>
    <t>2024-09-04T14:31:01.018+00:00</t>
  </si>
  <si>
    <t>US8676524064</t>
  </si>
  <si>
    <t>XS2874384279   RVP 6</t>
  </si>
  <si>
    <t>2024-09-04T14:31:50.436+00:00</t>
  </si>
  <si>
    <t>2024-09-04 14:31:02.791000</t>
  </si>
  <si>
    <t>2024-09-04T14:31:58.264+00:00</t>
  </si>
  <si>
    <t>0.937500</t>
  </si>
  <si>
    <t>2024-09-04T14:32:01.101+00:00</t>
  </si>
  <si>
    <t>2024-09-04T14:32:06.173+00:00</t>
  </si>
  <si>
    <t>2024-09-04T14:34:31.456+00:00</t>
  </si>
  <si>
    <t>2024-09-04T14:34:33.406+00:00</t>
  </si>
  <si>
    <t>Total: 1205
1 - 1205</t>
  </si>
  <si>
    <t>2024-08-14T15:25:48.682+00:00</t>
  </si>
  <si>
    <t>9363</t>
  </si>
  <si>
    <t>2024-08-14T15:25:52.784+00:00</t>
  </si>
  <si>
    <t>2024-08-14T15:25:57.138+00:00</t>
  </si>
  <si>
    <t>2024-08-14T15:26:03.809+00:00</t>
  </si>
  <si>
    <t>2024-08-14T15:26:06.425+00:00</t>
  </si>
  <si>
    <t>2024-08-14T15:26:11.094+00:00</t>
  </si>
  <si>
    <t>MC</t>
  </si>
  <si>
    <t>2024-08-14 15:24:42.549000</t>
  </si>
  <si>
    <t>2024-08-14T15:26:37.478+00:00</t>
  </si>
  <si>
    <t>0000000000000.00</t>
  </si>
  <si>
    <t>2024-08-14 15:26:13.177000</t>
  </si>
  <si>
    <t>2024-08-14T15:26:40.267+00:00</t>
  </si>
  <si>
    <t>RX</t>
  </si>
  <si>
    <t>2024-08-14T15:27:08.676+00:00</t>
  </si>
  <si>
    <t>0000027068804.00</t>
  </si>
  <si>
    <t>2024-08-14 15:26:42.041000</t>
  </si>
  <si>
    <t>2024-08-14T15:27:15.598+00:00</t>
  </si>
  <si>
    <t>2024-08-14T15:27:18.385+00:00</t>
  </si>
  <si>
    <t>2024-08-14T15:27:24.503+00:00</t>
  </si>
  <si>
    <t>2024-08-14T15:28:27.204+00:00</t>
  </si>
  <si>
    <t>2024-08-14T15:28:30.042+00:00</t>
  </si>
  <si>
    <t>Total: 9363
1 - 9363</t>
  </si>
  <si>
    <t>1 - O campo está ser mapeado para um valor default, enquanto aguardamos mais informações.</t>
  </si>
  <si>
    <t>2024-09-05T10:43:49.165+00:00</t>
  </si>
  <si>
    <t>17944</t>
  </si>
  <si>
    <t>2024-09-05T10:43:52.477+00:00</t>
  </si>
  <si>
    <t>2024-09-05T10:43:58.651+00:00</t>
  </si>
  <si>
    <t>2024-09-05T10:44:05.600+00:00</t>
  </si>
  <si>
    <t>2024-09-05T10:44:09.480+00:00</t>
  </si>
  <si>
    <t>2024-09-05T10:44:12.244+00:00</t>
  </si>
  <si>
    <t>-150000.000000</t>
  </si>
  <si>
    <t>248653:C</t>
  </si>
  <si>
    <t>LG</t>
  </si>
  <si>
    <t>2024-09-04 18:01:07.216000</t>
  </si>
  <si>
    <t>2024-09-05T10:44:17.925+00:00</t>
  </si>
  <si>
    <t>-150000.00</t>
  </si>
  <si>
    <t>2024-09-05 10:44:16.124000</t>
  </si>
  <si>
    <t>2024-09-05T10:44:36.747+00:00</t>
  </si>
  <si>
    <t>150000.000000</t>
  </si>
  <si>
    <t>RESCISAO ANTECIPADA</t>
  </si>
  <si>
    <t>2024-09-05T10:44:49.200+00:00</t>
  </si>
  <si>
    <t>150000.00</t>
  </si>
  <si>
    <t>2024-09-05 10:44:44.113000</t>
  </si>
  <si>
    <t>2024-09-05T10:44:58.273+00:00</t>
  </si>
  <si>
    <t>0.933333</t>
  </si>
  <si>
    <t>2024-09-05T10:45:06.222+00:00</t>
  </si>
  <si>
    <t>2024-09-05T10:45:11.614+00:00</t>
  </si>
  <si>
    <t>2024-09-05T10:45:22.164+00:00</t>
  </si>
  <si>
    <t>2024-09-05T10:45:26.400+00:00</t>
  </si>
  <si>
    <t>Total: 17944
1 - 17944</t>
  </si>
  <si>
    <t>2024-09-26T13:31:50.598+00:00</t>
  </si>
  <si>
    <t>94653</t>
  </si>
  <si>
    <t>2024-09-26T13:32:01.074+00:00</t>
  </si>
  <si>
    <t>2024-09-26T13:32:12.953+00:00</t>
  </si>
  <si>
    <t>2024-09-26T13:32:34.701+00:00</t>
  </si>
  <si>
    <t>2024-09-26T13:32:41.699+00:00</t>
  </si>
  <si>
    <t>2024-09-26T13:32:48.813+00:00</t>
  </si>
  <si>
    <t>000000118643149000000000000000</t>
  </si>
  <si>
    <t>BUS</t>
  </si>
  <si>
    <t>-3724000000.000000</t>
  </si>
  <si>
    <t>00</t>
  </si>
  <si>
    <t>0095</t>
  </si>
  <si>
    <t>+KOIPP476879226380MEHDM</t>
  </si>
  <si>
    <t>2024-09-26 13:24:52.908000</t>
  </si>
  <si>
    <t>2024-09-26T13:33:49.842+00:00</t>
  </si>
  <si>
    <t>-3724000000.00</t>
  </si>
  <si>
    <t>2024-09-26 13:32:54.501000</t>
  </si>
  <si>
    <t>2024-09-26T13:33:56.262+00:00</t>
  </si>
  <si>
    <t>000800553390025000000000000000</t>
  </si>
  <si>
    <t>TRN</t>
  </si>
  <si>
    <t>3720000000.000000</t>
  </si>
  <si>
    <t>ZCG</t>
  </si>
  <si>
    <t>ogGbvAThrLhVVkF</t>
  </si>
  <si>
    <t>ze</t>
  </si>
  <si>
    <t>ze-20268627</t>
  </si>
  <si>
    <t>XS0348691972!</t>
  </si>
  <si>
    <t>VC</t>
  </si>
  <si>
    <t>2024-09-26T13:34:55.514+00:00</t>
  </si>
  <si>
    <t>3720000000.00</t>
  </si>
  <si>
    <t>2024-09-26 13:34:03.982000</t>
  </si>
  <si>
    <t>2024-09-26T13:35:19.613+00:00</t>
  </si>
  <si>
    <t>0.826087</t>
  </si>
  <si>
    <t>2024-09-26T13:35:27.791+00:00</t>
  </si>
  <si>
    <t>2024-09-26T13:35:48.041+00:00</t>
  </si>
  <si>
    <t>0.975428</t>
  </si>
  <si>
    <t>2024-09-26T13:40:08.289+00:00</t>
  </si>
  <si>
    <t>2024-09-26T13:40:16.320+00:00</t>
  </si>
  <si>
    <t>Total: 132
1 - 132</t>
  </si>
  <si>
    <t xml:space="preserve">1 - Dados vazios que se encontram na tabela de origem movimentos_consolidados no universo de contas internas ativas </t>
  </si>
  <si>
    <t>Total: 26253
1 - 26253</t>
  </si>
  <si>
    <t xml:space="preserve">Total: 3983
1 - 3983
</t>
  </si>
  <si>
    <t xml:space="preserve">1 - OK
</t>
  </si>
  <si>
    <t>Test 14</t>
  </si>
  <si>
    <t xml:space="preserve">1 - Dados vazios que se encontram na tabela de origem movimentos_consolidados no universo de contas internas ativas 
</t>
  </si>
  <si>
    <t>1 - O tamanho do campo definido pelo mapeamento é superado devido ao tamanho dos dados na origem</t>
  </si>
  <si>
    <t>Total: 10
1 - 10</t>
  </si>
  <si>
    <t>1 - Os nulos que existem é devido às condições impostas na query por haver resultados vazios na tabela de origem</t>
  </si>
  <si>
    <t>Total: 122
1 - 122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</si>
</sst>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ont>
    <font>
      <sz val="11"/>
      <name val="Calibri"/>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ont>
    <font>
      <sz val="11"/>
      <color rgb="FF000000"/>
      <name val="Calibri"/>
      <scheme val="minor"/>
    </font>
    <font>
      <sz val="8"/>
      <color theme="1"/>
      <name val="Calibri"/>
      <family val="2"/>
    </font>
    <font>
      <sz val="8"/>
      <color theme="1"/>
      <name val="Calibri"/>
      <family val="2"/>
      <scheme val="minor"/>
    </font>
    <font>
      <b/>
      <sz val="8"/>
      <name val="Arial"/>
    </font>
    <font>
      <b/>
      <sz val="11"/>
      <color theme="0"/>
      <name val="Calibri"/>
      <family val="2"/>
      <scheme val="minor"/>
    </font>
    <font>
      <b/>
      <sz val="11"/>
      <color rgb="FF000000"/>
      <name val="Calibri"/>
      <scheme val="minor"/>
    </font>
    <font>
      <b/>
      <sz val="11"/>
      <color rgb="FF000000"/>
      <name val="Calibri"/>
    </font>
    <font>
      <i/>
      <sz val="11"/>
      <color rgb="FF000000"/>
      <name val="Calibri"/>
      <scheme val="minor"/>
    </font>
    <font>
      <sz val="10"/>
      <name val="Arial"/>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s>
  <borders count="4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
      <left style="thin">
        <color rgb="FF000000"/>
      </left>
      <right/>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96">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0"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16" xfId="0" applyBorder="1" applyAlignment="1">
      <alignment vertical="center"/>
    </xf>
    <xf numFmtId="0" fontId="0" fillId="0" borderId="16" xfId="0" applyBorder="1" applyAlignment="1">
      <alignment horizontal="center" vertical="center"/>
    </xf>
    <xf numFmtId="0" fontId="0" fillId="0" borderId="16" xfId="0" applyBorder="1" applyAlignment="1">
      <alignment horizontal="left" vertical="center"/>
    </xf>
    <xf numFmtId="0" fontId="0" fillId="0" borderId="21" xfId="0" applyBorder="1" applyAlignment="1">
      <alignment vertical="center"/>
    </xf>
    <xf numFmtId="0" fontId="0" fillId="0" borderId="17" xfId="0" applyBorder="1" applyAlignment="1">
      <alignment vertical="center"/>
    </xf>
    <xf numFmtId="0" fontId="0" fillId="0" borderId="17" xfId="0" applyBorder="1" applyAlignment="1">
      <alignment horizontal="left" vertical="center" wrapText="1"/>
    </xf>
    <xf numFmtId="0" fontId="0" fillId="0" borderId="17" xfId="0" applyBorder="1" applyAlignment="1">
      <alignment horizontal="left" vertical="center"/>
    </xf>
    <xf numFmtId="0" fontId="0" fillId="0" borderId="21" xfId="0" applyBorder="1" applyAlignment="1">
      <alignment horizontal="left" vertical="center"/>
    </xf>
    <xf numFmtId="0" fontId="33" fillId="0" borderId="16" xfId="0" applyFont="1" applyBorder="1" applyAlignment="1">
      <alignment vertical="center" wrapText="1"/>
    </xf>
    <xf numFmtId="0" fontId="0" fillId="0" borderId="16" xfId="0" applyBorder="1" applyAlignment="1">
      <alignment vertical="center" wrapText="1"/>
    </xf>
    <xf numFmtId="0" fontId="0" fillId="0" borderId="16"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4" xfId="0" applyFont="1" applyFill="1" applyBorder="1" applyAlignment="1">
      <alignment horizontal="center" vertical="center" wrapText="1"/>
    </xf>
    <xf numFmtId="0" fontId="0" fillId="0" borderId="21"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5" xfId="0" applyFont="1" applyFill="1" applyBorder="1" applyAlignment="1">
      <alignment horizontal="center" vertical="center" wrapText="1"/>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40" fillId="0" borderId="16" xfId="0" applyFont="1" applyBorder="1" applyAlignment="1">
      <alignment horizontal="left" vertical="center"/>
    </xf>
    <xf numFmtId="0" fontId="40" fillId="0" borderId="16" xfId="0" applyFont="1" applyBorder="1" applyAlignment="1">
      <alignment horizontal="left" vertical="center" wrapText="1"/>
    </xf>
    <xf numFmtId="0" fontId="40" fillId="0" borderId="21" xfId="0" applyFont="1" applyBorder="1" applyAlignment="1">
      <alignment horizontal="left" vertical="center"/>
    </xf>
    <xf numFmtId="0" fontId="40" fillId="0" borderId="21"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41" fillId="14" borderId="8" xfId="0" applyFont="1" applyFill="1" applyBorder="1" applyAlignment="1">
      <alignment horizontal="center" vertical="center" wrapText="1"/>
    </xf>
    <xf numFmtId="0" fontId="0" fillId="0" borderId="20" xfId="0" applyBorder="1"/>
    <xf numFmtId="0" fontId="0" fillId="0" borderId="22" xfId="0" applyBorder="1"/>
    <xf numFmtId="22" fontId="0" fillId="0" borderId="22" xfId="0" applyNumberFormat="1" applyBorder="1"/>
    <xf numFmtId="0" fontId="42" fillId="13" borderId="31" xfId="0" applyFont="1" applyFill="1" applyBorder="1" applyAlignment="1">
      <alignment horizontal="center" vertical="center"/>
    </xf>
    <xf numFmtId="0" fontId="42" fillId="13" borderId="29" xfId="0" applyFont="1" applyFill="1" applyBorder="1" applyAlignment="1">
      <alignment horizontal="center" vertical="center"/>
    </xf>
    <xf numFmtId="0" fontId="42" fillId="13" borderId="30" xfId="0" applyFont="1" applyFill="1" applyBorder="1" applyAlignment="1">
      <alignment horizontal="center" vertical="center"/>
    </xf>
    <xf numFmtId="0" fontId="42" fillId="13" borderId="21" xfId="0" applyFont="1" applyFill="1" applyBorder="1" applyAlignment="1">
      <alignment vertical="center"/>
    </xf>
    <xf numFmtId="0" fontId="42" fillId="13" borderId="17" xfId="0" applyFont="1" applyFill="1" applyBorder="1" applyAlignment="1">
      <alignment horizontal="center" vertical="center"/>
    </xf>
    <xf numFmtId="0" fontId="42" fillId="13" borderId="18" xfId="0" applyFont="1" applyFill="1" applyBorder="1" applyAlignment="1">
      <alignment horizontal="center" vertical="center"/>
    </xf>
    <xf numFmtId="0" fontId="42" fillId="13" borderId="18" xfId="0" applyFont="1" applyFill="1" applyBorder="1" applyAlignment="1">
      <alignment horizontal="left"/>
    </xf>
    <xf numFmtId="0" fontId="42" fillId="13" borderId="23" xfId="0" applyFont="1" applyFill="1" applyBorder="1" applyAlignment="1">
      <alignment horizontal="left"/>
    </xf>
    <xf numFmtId="0" fontId="42" fillId="13" borderId="32" xfId="0" applyFont="1" applyFill="1" applyBorder="1" applyAlignment="1">
      <alignment horizontal="center" vertical="center"/>
    </xf>
    <xf numFmtId="0" fontId="0" fillId="0" borderId="19" xfId="0" applyBorder="1"/>
    <xf numFmtId="0" fontId="0" fillId="0" borderId="22" xfId="0" applyBorder="1" applyAlignment="1">
      <alignment horizontal="left"/>
    </xf>
    <xf numFmtId="0" fontId="0" fillId="0" borderId="19" xfId="0" applyBorder="1" applyAlignment="1">
      <alignment horizontal="left"/>
    </xf>
    <xf numFmtId="0" fontId="42" fillId="13" borderId="16"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0" xfId="0" applyBorder="1" applyAlignment="1">
      <alignment horizontal="left"/>
    </xf>
    <xf numFmtId="22" fontId="0" fillId="0" borderId="22" xfId="0" applyNumberFormat="1" applyBorder="1" applyAlignment="1">
      <alignment horizontal="left"/>
    </xf>
    <xf numFmtId="0" fontId="0" fillId="0" borderId="27" xfId="0" applyBorder="1" applyAlignment="1">
      <alignment horizontal="left"/>
    </xf>
    <xf numFmtId="0" fontId="0" fillId="0" borderId="28" xfId="0" applyBorder="1" applyAlignment="1">
      <alignment horizontal="left"/>
    </xf>
    <xf numFmtId="22" fontId="0" fillId="0" borderId="28" xfId="0" applyNumberFormat="1" applyBorder="1" applyAlignment="1">
      <alignment horizontal="left"/>
    </xf>
    <xf numFmtId="0" fontId="42" fillId="13" borderId="16" xfId="0" applyFont="1" applyFill="1" applyBorder="1" applyAlignment="1">
      <alignment vertical="center"/>
    </xf>
    <xf numFmtId="0" fontId="42" fillId="13" borderId="28" xfId="0" applyFont="1" applyFill="1" applyBorder="1" applyAlignment="1">
      <alignment horizontal="center" vertical="center"/>
    </xf>
    <xf numFmtId="0" fontId="42" fillId="13" borderId="25" xfId="0" applyFont="1" applyFill="1" applyBorder="1" applyAlignment="1">
      <alignment horizontal="center" vertical="center"/>
    </xf>
    <xf numFmtId="0" fontId="33" fillId="0" borderId="16" xfId="0" applyFont="1" applyBorder="1" applyAlignment="1">
      <alignment horizontal="left" vertical="center" wrapText="1"/>
    </xf>
    <xf numFmtId="0" fontId="33" fillId="0" borderId="16" xfId="0" applyFont="1" applyBorder="1" applyAlignment="1">
      <alignment horizontal="center" vertical="center" wrapText="1"/>
    </xf>
    <xf numFmtId="0" fontId="0" fillId="0" borderId="16" xfId="0" applyBorder="1" applyAlignment="1" applyProtection="1">
      <alignment horizontal="left" vertical="center"/>
      <protection locked="0"/>
    </xf>
    <xf numFmtId="0" fontId="35" fillId="0" borderId="16" xfId="0" applyFont="1" applyBorder="1" applyAlignment="1">
      <alignment horizontal="left" vertical="center" wrapText="1"/>
    </xf>
    <xf numFmtId="0" fontId="0" fillId="0" borderId="19" xfId="0" applyBorder="1" applyAlignment="1">
      <alignment horizontal="left" vertical="center"/>
    </xf>
    <xf numFmtId="0" fontId="0" fillId="0" borderId="20" xfId="0" applyBorder="1" applyAlignment="1">
      <alignment horizontal="left" vertical="center"/>
    </xf>
    <xf numFmtId="0" fontId="42" fillId="13" borderId="0" xfId="0" applyFont="1" applyFill="1" applyAlignment="1">
      <alignment horizontal="center" vertical="center"/>
    </xf>
    <xf numFmtId="0" fontId="42" fillId="13" borderId="33" xfId="0" applyFont="1" applyFill="1" applyBorder="1" applyAlignment="1">
      <alignment horizontal="center" vertical="center"/>
    </xf>
    <xf numFmtId="0" fontId="0" fillId="0" borderId="23" xfId="0" applyBorder="1" applyAlignment="1">
      <alignment horizontal="left" vertical="center"/>
    </xf>
    <xf numFmtId="0" fontId="42" fillId="13" borderId="34" xfId="0" applyFont="1" applyFill="1" applyBorder="1" applyAlignment="1">
      <alignment horizontal="left"/>
    </xf>
    <xf numFmtId="0" fontId="42" fillId="13" borderId="35" xfId="0" applyFont="1" applyFill="1" applyBorder="1" applyAlignment="1">
      <alignment horizontal="left"/>
    </xf>
    <xf numFmtId="0" fontId="38" fillId="0" borderId="21" xfId="0" applyFont="1" applyBorder="1" applyAlignment="1">
      <alignment horizontal="left" vertical="center" wrapText="1"/>
    </xf>
    <xf numFmtId="0" fontId="0" fillId="0" borderId="26" xfId="0" applyBorder="1" applyAlignment="1">
      <alignment horizontal="left" vertical="center" wrapText="1"/>
    </xf>
    <xf numFmtId="14" fontId="0" fillId="0" borderId="0" xfId="0" applyNumberFormat="1"/>
    <xf numFmtId="3" fontId="0" fillId="0" borderId="0" xfId="0" applyNumberFormat="1"/>
    <xf numFmtId="0" fontId="0" fillId="0" borderId="36" xfId="0" applyBorder="1" applyAlignment="1">
      <alignment horizontal="left" vertical="center"/>
    </xf>
    <xf numFmtId="0" fontId="0" fillId="0" borderId="34" xfId="0" applyBorder="1" applyAlignment="1">
      <alignment horizontal="left" vertical="center"/>
    </xf>
    <xf numFmtId="0" fontId="0" fillId="0" borderId="37" xfId="0" applyBorder="1" applyAlignment="1">
      <alignment horizontal="left" vertical="center"/>
    </xf>
    <xf numFmtId="0" fontId="0" fillId="0" borderId="28"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42" fillId="13" borderId="40" xfId="0" applyFont="1" applyFill="1" applyBorder="1" applyAlignment="1">
      <alignment horizontal="left"/>
    </xf>
    <xf numFmtId="49" fontId="0" fillId="0" borderId="0" xfId="0" applyNumberFormat="1"/>
    <xf numFmtId="0" fontId="33" fillId="0" borderId="21" xfId="0" applyFont="1" applyBorder="1" applyAlignment="1">
      <alignment horizontal="left" vertical="center"/>
    </xf>
    <xf numFmtId="0" fontId="24" fillId="14" borderId="17" xfId="0" applyFont="1" applyFill="1" applyBorder="1" applyAlignment="1">
      <alignment horizontal="center" vertical="center" wrapText="1"/>
    </xf>
    <xf numFmtId="0" fontId="27" fillId="0" borderId="16" xfId="0" applyFont="1" applyBorder="1" applyAlignment="1">
      <alignment vertical="center"/>
    </xf>
    <xf numFmtId="0" fontId="33" fillId="0" borderId="16" xfId="0" applyFont="1" applyBorder="1" applyAlignment="1">
      <alignment vertical="center"/>
    </xf>
    <xf numFmtId="0" fontId="34" fillId="0" borderId="16" xfId="0" applyFont="1" applyBorder="1" applyAlignment="1">
      <alignment vertical="center" wrapText="1"/>
    </xf>
    <xf numFmtId="0" fontId="35" fillId="0" borderId="16" xfId="0" applyFont="1" applyBorder="1" applyAlignment="1">
      <alignment horizontal="center" vertical="center"/>
    </xf>
    <xf numFmtId="0" fontId="36" fillId="0" borderId="16" xfId="0" applyFont="1" applyBorder="1" applyAlignment="1">
      <alignment vertical="center" wrapText="1"/>
    </xf>
    <xf numFmtId="0" fontId="39" fillId="0" borderId="16" xfId="0" applyFont="1" applyBorder="1" applyAlignment="1">
      <alignment horizontal="center" vertical="center"/>
    </xf>
    <xf numFmtId="0" fontId="40" fillId="0" borderId="16" xfId="0" applyFont="1" applyBorder="1" applyAlignment="1">
      <alignment horizontal="center" vertical="center"/>
    </xf>
    <xf numFmtId="0" fontId="40" fillId="0" borderId="21" xfId="0" applyFont="1" applyBorder="1" applyAlignment="1">
      <alignment horizontal="center" vertical="center"/>
    </xf>
    <xf numFmtId="0" fontId="0" fillId="2" borderId="0" xfId="0" applyFill="1" applyAlignment="1">
      <alignment horizontal="left" vertical="center"/>
    </xf>
    <xf numFmtId="0" fontId="29" fillId="0" borderId="16" xfId="0" applyFont="1" applyBorder="1" applyAlignment="1">
      <alignment horizontal="left" vertical="center" wrapText="1"/>
    </xf>
    <xf numFmtId="0" fontId="29" fillId="0" borderId="20" xfId="0" applyFont="1" applyBorder="1" applyAlignment="1">
      <alignment horizontal="left" vertical="center"/>
    </xf>
    <xf numFmtId="0" fontId="0" fillId="0" borderId="36" xfId="0" applyBorder="1" applyAlignment="1">
      <alignment horizontal="left" vertical="center" wrapText="1"/>
    </xf>
    <xf numFmtId="0" fontId="0" fillId="0" borderId="41" xfId="0" applyBorder="1" applyAlignment="1">
      <alignment horizontal="left" vertical="center"/>
    </xf>
    <xf numFmtId="49" fontId="40" fillId="0" borderId="16" xfId="0" applyNumberFormat="1" applyFont="1" applyBorder="1" applyAlignment="1">
      <alignment horizontal="left" vertical="center"/>
    </xf>
    <xf numFmtId="0" fontId="0" fillId="0" borderId="0" xfId="0" quotePrefix="1" applyAlignment="1">
      <alignment horizontal="left" vertical="center"/>
    </xf>
    <xf numFmtId="0" fontId="0" fillId="0" borderId="26" xfId="0" applyBorder="1" applyAlignment="1">
      <alignment vertical="center"/>
    </xf>
    <xf numFmtId="0" fontId="0" fillId="0" borderId="26" xfId="0" applyBorder="1" applyAlignment="1">
      <alignment vertical="center" wrapText="1"/>
    </xf>
    <xf numFmtId="3" fontId="0" fillId="0" borderId="0" xfId="0" quotePrefix="1" applyNumberFormat="1" applyAlignment="1">
      <alignment horizontal="left" vertical="center"/>
    </xf>
    <xf numFmtId="0" fontId="38" fillId="0" borderId="16" xfId="0" applyFont="1" applyBorder="1" applyAlignment="1">
      <alignment horizontal="left" vertical="center" wrapText="1"/>
    </xf>
    <xf numFmtId="0" fontId="0" fillId="0" borderId="42" xfId="0" applyBorder="1" applyAlignment="1">
      <alignment horizontal="left" vertical="center" wrapText="1"/>
    </xf>
    <xf numFmtId="2" fontId="0" fillId="0" borderId="34" xfId="0" applyNumberFormat="1" applyBorder="1" applyAlignment="1">
      <alignment horizontal="left" vertical="center"/>
    </xf>
    <xf numFmtId="0" fontId="0" fillId="2" borderId="36" xfId="0" applyFill="1" applyBorder="1" applyAlignment="1">
      <alignment horizontal="left" vertical="center"/>
    </xf>
    <xf numFmtId="2" fontId="0" fillId="2" borderId="0" xfId="0" applyNumberFormat="1" applyFill="1" applyAlignment="1">
      <alignment horizontal="left" vertical="center"/>
    </xf>
    <xf numFmtId="0" fontId="0" fillId="0" borderId="38" xfId="0" applyBorder="1" applyAlignment="1">
      <alignment vertical="center"/>
    </xf>
    <xf numFmtId="0" fontId="0" fillId="0" borderId="39" xfId="0" applyBorder="1" applyAlignment="1">
      <alignment horizontal="left" vertical="center" wrapText="1"/>
    </xf>
    <xf numFmtId="0" fontId="42" fillId="13" borderId="44" xfId="0" applyFont="1" applyFill="1" applyBorder="1" applyAlignment="1">
      <alignment horizontal="left"/>
    </xf>
    <xf numFmtId="49" fontId="42" fillId="13" borderId="34" xfId="0" applyNumberFormat="1" applyFont="1" applyFill="1" applyBorder="1" applyAlignment="1">
      <alignment horizontal="left"/>
    </xf>
    <xf numFmtId="49" fontId="0" fillId="0" borderId="34" xfId="0" applyNumberFormat="1" applyBorder="1" applyAlignment="1">
      <alignment horizontal="left" vertical="center"/>
    </xf>
    <xf numFmtId="49" fontId="0" fillId="0" borderId="34" xfId="0" applyNumberFormat="1" applyBorder="1" applyAlignment="1">
      <alignment horizontal="left" vertical="center" wrapText="1"/>
    </xf>
    <xf numFmtId="49" fontId="0" fillId="0" borderId="37" xfId="0" applyNumberFormat="1" applyBorder="1" applyAlignment="1">
      <alignment horizontal="left" vertical="center"/>
    </xf>
    <xf numFmtId="14" fontId="0" fillId="0" borderId="34" xfId="0" applyNumberFormat="1" applyBorder="1" applyAlignment="1">
      <alignment horizontal="left" vertical="center"/>
    </xf>
    <xf numFmtId="0" fontId="0" fillId="0" borderId="43" xfId="0" applyBorder="1" applyAlignment="1">
      <alignment vertical="center"/>
    </xf>
    <xf numFmtId="0" fontId="0" fillId="0" borderId="0" xfId="0" quotePrefix="1" applyAlignment="1">
      <alignment horizontal="left" wrapText="1"/>
    </xf>
    <xf numFmtId="0" fontId="42" fillId="0" borderId="0" xfId="0" applyFont="1"/>
    <xf numFmtId="0" fontId="37" fillId="0" borderId="16" xfId="0" applyFont="1" applyBorder="1" applyAlignment="1">
      <alignment vertical="center" wrapText="1"/>
    </xf>
    <xf numFmtId="2" fontId="0" fillId="0" borderId="0" xfId="0" quotePrefix="1" applyNumberFormat="1" applyAlignment="1">
      <alignment horizontal="left" vertical="center"/>
    </xf>
    <xf numFmtId="0" fontId="31" fillId="0" borderId="16" xfId="0" applyFont="1" applyBorder="1" applyAlignment="1">
      <alignment horizontal="left" vertical="center" wrapText="1"/>
    </xf>
    <xf numFmtId="0" fontId="30" fillId="0" borderId="16" xfId="0" applyFont="1" applyBorder="1" applyAlignment="1">
      <alignment vertical="center" wrapText="1"/>
    </xf>
    <xf numFmtId="0" fontId="30" fillId="0" borderId="16" xfId="0" applyFont="1" applyBorder="1" applyAlignment="1">
      <alignment horizontal="center" vertical="center" wrapText="1"/>
    </xf>
    <xf numFmtId="0" fontId="27" fillId="0" borderId="16" xfId="0" applyFont="1" applyBorder="1" applyAlignment="1">
      <alignment horizontal="left" vertical="center" wrapText="1"/>
    </xf>
    <xf numFmtId="0" fontId="29" fillId="0" borderId="21" xfId="0" applyFont="1" applyBorder="1" applyAlignment="1">
      <alignment horizontal="left" vertical="center" wrapText="1"/>
    </xf>
    <xf numFmtId="0" fontId="29" fillId="0" borderId="17" xfId="0" applyFont="1" applyBorder="1" applyAlignment="1">
      <alignment horizontal="left" vertical="center"/>
    </xf>
    <xf numFmtId="0" fontId="0" fillId="0" borderId="20" xfId="0" applyBorder="1" applyAlignment="1">
      <alignment horizontal="left" vertical="center" wrapText="1"/>
    </xf>
    <xf numFmtId="0" fontId="35" fillId="0" borderId="16" xfId="0" applyFont="1" applyBorder="1" applyAlignment="1">
      <alignment vertical="center"/>
    </xf>
    <xf numFmtId="0" fontId="0" fillId="0" borderId="16" xfId="0" applyBorder="1" applyAlignment="1">
      <alignment horizontal="center" vertical="center" wrapText="1"/>
    </xf>
    <xf numFmtId="0" fontId="32" fillId="0" borderId="16" xfId="0" applyFont="1" applyBorder="1" applyAlignment="1">
      <alignment horizontal="left" vertical="center" wrapText="1"/>
    </xf>
    <xf numFmtId="0" fontId="30" fillId="0" borderId="21" xfId="0" applyFont="1" applyBorder="1" applyAlignment="1">
      <alignment horizontal="left" vertical="center"/>
    </xf>
    <xf numFmtId="0" fontId="42" fillId="12" borderId="18" xfId="0" applyFont="1" applyFill="1" applyBorder="1"/>
    <xf numFmtId="0" fontId="42" fillId="12" borderId="23" xfId="0" applyFont="1" applyFill="1" applyBorder="1"/>
    <xf numFmtId="1" fontId="0" fillId="0" borderId="0" xfId="0" applyNumberFormat="1" applyAlignment="1">
      <alignment horizontal="left" vertical="center"/>
    </xf>
    <xf numFmtId="0" fontId="0" fillId="2" borderId="16" xfId="0" applyFill="1" applyBorder="1" applyAlignment="1">
      <alignment horizontal="left" vertical="center" wrapText="1"/>
    </xf>
    <xf numFmtId="1" fontId="0" fillId="0" borderId="0" xfId="0" quotePrefix="1" applyNumberFormat="1" applyAlignment="1">
      <alignment horizontal="left" vertical="center"/>
    </xf>
    <xf numFmtId="0" fontId="27" fillId="0" borderId="16" xfId="0" applyFont="1" applyBorder="1" applyAlignment="1">
      <alignment vertical="center" wrapText="1"/>
    </xf>
    <xf numFmtId="0" fontId="31" fillId="0" borderId="16" xfId="0" applyFont="1" applyBorder="1" applyAlignment="1" applyProtection="1">
      <alignment horizontal="left" vertical="center" wrapText="1"/>
      <protection locked="0"/>
    </xf>
    <xf numFmtId="0" fontId="0" fillId="0" borderId="16" xfId="0" applyBorder="1" applyAlignment="1" applyProtection="1">
      <alignment horizontal="center" vertical="center"/>
      <protection locked="0"/>
    </xf>
    <xf numFmtId="0" fontId="34" fillId="0" borderId="16" xfId="0" applyFont="1" applyBorder="1" applyAlignment="1">
      <alignment vertical="center"/>
    </xf>
    <xf numFmtId="0" fontId="29" fillId="0" borderId="16" xfId="0" applyFont="1" applyBorder="1" applyAlignment="1">
      <alignment vertical="center" wrapText="1"/>
    </xf>
    <xf numFmtId="0" fontId="35" fillId="0" borderId="16" xfId="0" applyFont="1" applyBorder="1" applyAlignment="1">
      <alignment vertical="center" wrapText="1"/>
    </xf>
    <xf numFmtId="0" fontId="27" fillId="0" borderId="16" xfId="0" applyFont="1" applyBorder="1" applyAlignment="1">
      <alignment horizontal="center" vertical="center"/>
    </xf>
    <xf numFmtId="0" fontId="27" fillId="0" borderId="16" xfId="0" applyFont="1" applyBorder="1" applyAlignment="1">
      <alignment horizontal="left" vertical="center"/>
    </xf>
    <xf numFmtId="0" fontId="0" fillId="2" borderId="21" xfId="0" applyFill="1" applyBorder="1" applyAlignment="1">
      <alignment horizontal="left" vertical="center" wrapText="1"/>
    </xf>
    <xf numFmtId="0" fontId="0" fillId="2" borderId="23" xfId="0" applyFill="1" applyBorder="1" applyAlignment="1">
      <alignment horizontal="left" vertical="center"/>
    </xf>
    <xf numFmtId="0" fontId="0" fillId="2" borderId="17" xfId="0" applyFill="1" applyBorder="1" applyAlignment="1">
      <alignment horizontal="left" vertical="center" wrapText="1"/>
    </xf>
    <xf numFmtId="4" fontId="0" fillId="0" borderId="0" xfId="0" applyNumberFormat="1" applyAlignment="1">
      <alignment horizontal="left" vertical="center"/>
    </xf>
    <xf numFmtId="0" fontId="0" fillId="2" borderId="20" xfId="0" applyFill="1" applyBorder="1" applyAlignment="1">
      <alignment horizontal="left" vertical="center" wrapText="1"/>
    </xf>
    <xf numFmtId="0" fontId="42" fillId="2" borderId="0" xfId="0" applyFont="1" applyFill="1"/>
    <xf numFmtId="0" fontId="0" fillId="2" borderId="16" xfId="0" applyFill="1" applyBorder="1" applyAlignment="1">
      <alignment horizontal="center" vertical="center"/>
    </xf>
    <xf numFmtId="0" fontId="0" fillId="2" borderId="17" xfId="0" applyFill="1" applyBorder="1" applyAlignment="1">
      <alignment horizontal="left" vertical="center"/>
    </xf>
    <xf numFmtId="0" fontId="0" fillId="2" borderId="20" xfId="0" applyFill="1" applyBorder="1" applyAlignment="1">
      <alignment horizontal="left" vertical="center"/>
    </xf>
    <xf numFmtId="0" fontId="0" fillId="2" borderId="19" xfId="0" applyFill="1" applyBorder="1" applyAlignment="1">
      <alignment horizontal="left" vertical="center"/>
    </xf>
    <xf numFmtId="0" fontId="0" fillId="2" borderId="0" xfId="0" applyFill="1" applyAlignment="1">
      <alignment horizontal="left" vertical="center" wrapText="1"/>
    </xf>
    <xf numFmtId="0" fontId="42" fillId="0" borderId="0" xfId="0" applyFont="1" applyAlignment="1">
      <alignment horizontal="center" vertical="center"/>
    </xf>
    <xf numFmtId="0" fontId="42" fillId="0" borderId="0" xfId="0" applyFont="1" applyAlignment="1">
      <alignment horizontal="left"/>
    </xf>
    <xf numFmtId="0" fontId="34" fillId="0" borderId="16" xfId="0" applyFont="1" applyBorder="1"/>
    <xf numFmtId="0" fontId="31" fillId="0" borderId="16" xfId="0" applyFont="1" applyBorder="1" applyAlignment="1">
      <alignment vertical="center" wrapText="1"/>
    </xf>
    <xf numFmtId="0" fontId="0" fillId="0" borderId="18" xfId="0" applyBorder="1"/>
    <xf numFmtId="0" fontId="38" fillId="0" borderId="16" xfId="0" applyFont="1" applyBorder="1" applyAlignment="1">
      <alignment vertical="center" wrapText="1"/>
    </xf>
    <xf numFmtId="0" fontId="33" fillId="0" borderId="21" xfId="0" applyFont="1" applyBorder="1" applyAlignment="1">
      <alignment vertical="center" wrapText="1"/>
    </xf>
    <xf numFmtId="0" fontId="0" fillId="0" borderId="21" xfId="0" applyBorder="1" applyAlignment="1" applyProtection="1">
      <alignment horizontal="left" vertical="center"/>
      <protection locked="0"/>
    </xf>
    <xf numFmtId="0" fontId="24" fillId="14" borderId="0" xfId="0" applyFont="1" applyFill="1" applyAlignment="1">
      <alignment horizontal="center" vertical="center" wrapText="1"/>
    </xf>
    <xf numFmtId="0" fontId="33" fillId="0" borderId="21" xfId="0" applyFont="1" applyBorder="1" applyAlignment="1">
      <alignment vertical="center"/>
    </xf>
    <xf numFmtId="0" fontId="29" fillId="0" borderId="19" xfId="0" applyFont="1" applyBorder="1" applyAlignment="1">
      <alignment horizontal="left" vertical="center"/>
    </xf>
    <xf numFmtId="0" fontId="33" fillId="0" borderId="26" xfId="0" applyFont="1" applyBorder="1" applyAlignment="1">
      <alignment horizontal="center" vertical="center" wrapText="1"/>
    </xf>
    <xf numFmtId="0" fontId="29" fillId="0" borderId="16" xfId="0" applyFont="1" applyBorder="1" applyAlignment="1">
      <alignment vertical="center"/>
    </xf>
    <xf numFmtId="0" fontId="24" fillId="14" borderId="16" xfId="0" applyFont="1" applyFill="1" applyBorder="1" applyAlignment="1">
      <alignment horizontal="center" vertical="center" wrapText="1"/>
    </xf>
    <xf numFmtId="0" fontId="30" fillId="0" borderId="16" xfId="0" applyFont="1" applyBorder="1" applyAlignment="1">
      <alignment horizontal="left" vertical="center" wrapText="1"/>
    </xf>
    <xf numFmtId="0" fontId="34" fillId="0" borderId="16" xfId="0" applyFont="1" applyBorder="1" applyAlignment="1">
      <alignment horizontal="center" vertical="center"/>
    </xf>
    <xf numFmtId="0" fontId="42" fillId="9" borderId="18" xfId="0" applyFont="1" applyFill="1" applyBorder="1" applyAlignment="1">
      <alignment horizontal="left"/>
    </xf>
    <xf numFmtId="0" fontId="0" fillId="0" borderId="25" xfId="0" applyBorder="1" applyAlignment="1">
      <alignment horizontal="left"/>
    </xf>
    <xf numFmtId="0" fontId="34" fillId="0" borderId="21" xfId="0" applyFont="1" applyBorder="1" applyAlignment="1">
      <alignment horizontal="left" vertical="center"/>
    </xf>
    <xf numFmtId="0" fontId="42" fillId="12" borderId="22" xfId="0" applyFont="1" applyFill="1" applyBorder="1" applyAlignment="1">
      <alignment horizontal="left"/>
    </xf>
    <xf numFmtId="0" fontId="42" fillId="12" borderId="19" xfId="0" applyFont="1" applyFill="1" applyBorder="1"/>
    <xf numFmtId="14" fontId="0" fillId="0" borderId="0" xfId="0" quotePrefix="1" applyNumberFormat="1" applyAlignment="1">
      <alignment horizontal="left" vertical="center"/>
    </xf>
    <xf numFmtId="0" fontId="0" fillId="0" borderId="16" xfId="0" applyBorder="1" applyAlignment="1" applyProtection="1">
      <alignment vertical="center" wrapText="1"/>
      <protection locked="0"/>
    </xf>
    <xf numFmtId="0" fontId="42" fillId="12" borderId="0" xfId="0" applyFont="1" applyFill="1"/>
    <xf numFmtId="0" fontId="42" fillId="12" borderId="22" xfId="0" applyFont="1" applyFill="1" applyBorder="1"/>
    <xf numFmtId="0" fontId="38" fillId="0" borderId="26" xfId="0" applyFont="1" applyBorder="1" applyAlignment="1">
      <alignment vertical="center" wrapText="1"/>
    </xf>
    <xf numFmtId="0" fontId="37" fillId="0" borderId="16" xfId="0" applyFont="1" applyBorder="1" applyAlignment="1">
      <alignment horizontal="left" vertical="center" wrapText="1"/>
    </xf>
    <xf numFmtId="0" fontId="33" fillId="0" borderId="26" xfId="0" applyFont="1" applyBorder="1" applyAlignment="1">
      <alignment vertical="center" wrapText="1"/>
    </xf>
    <xf numFmtId="0" fontId="0" fillId="0" borderId="26" xfId="0" applyBorder="1" applyAlignment="1">
      <alignment horizontal="center" vertical="center"/>
    </xf>
    <xf numFmtId="0" fontId="0" fillId="0" borderId="26" xfId="0" applyBorder="1" applyAlignment="1">
      <alignment horizontal="left" vertical="center"/>
    </xf>
    <xf numFmtId="0" fontId="24" fillId="14" borderId="45" xfId="0" applyFont="1" applyFill="1" applyBorder="1" applyAlignment="1">
      <alignment horizontal="center" vertical="center" wrapText="1"/>
    </xf>
    <xf numFmtId="0" fontId="38" fillId="0" borderId="16" xfId="0" applyFont="1" applyBorder="1" applyAlignment="1">
      <alignment vertical="center"/>
    </xf>
    <xf numFmtId="0" fontId="38" fillId="0" borderId="26" xfId="0" applyFont="1" applyBorder="1" applyAlignment="1">
      <alignment horizontal="left" vertical="center" wrapText="1"/>
    </xf>
    <xf numFmtId="0" fontId="0" fillId="0" borderId="26" xfId="0" applyBorder="1" applyAlignment="1">
      <alignment horizontal="center" vertical="center" wrapText="1"/>
    </xf>
    <xf numFmtId="0" fontId="46" fillId="0" borderId="9" xfId="0" applyFont="1" applyBorder="1" applyAlignment="1">
      <alignment horizontal="left" vertical="center" indent="1"/>
    </xf>
    <xf numFmtId="0" fontId="46" fillId="0" borderId="10" xfId="0" applyFont="1" applyBorder="1" applyAlignment="1">
      <alignment horizontal="left" vertical="center" indent="1"/>
    </xf>
    <xf numFmtId="0" fontId="46" fillId="0" borderId="7" xfId="0" applyFont="1" applyBorder="1" applyAlignment="1">
      <alignment horizontal="left" vertical="center" indent="1"/>
    </xf>
    <xf numFmtId="0" fontId="33" fillId="0" borderId="16" xfId="0" applyFont="1" applyBorder="1" applyAlignment="1">
      <alignment horizontal="left" vertical="center"/>
    </xf>
    <xf numFmtId="0" fontId="33" fillId="0" borderId="17" xfId="0" applyFont="1" applyBorder="1" applyAlignment="1">
      <alignment vertical="center"/>
    </xf>
    <xf numFmtId="0" fontId="33" fillId="0" borderId="17" xfId="0" applyFont="1" applyBorder="1" applyAlignment="1">
      <alignment horizontal="left" vertical="center"/>
    </xf>
    <xf numFmtId="0" fontId="30" fillId="0" borderId="21" xfId="0" applyFont="1" applyBorder="1" applyAlignment="1">
      <alignment vertical="center" wrapText="1"/>
    </xf>
    <xf numFmtId="0" fontId="41" fillId="14" borderId="16" xfId="0" applyFont="1" applyFill="1" applyBorder="1" applyAlignment="1">
      <alignment horizontal="center" vertical="center" wrapText="1"/>
    </xf>
    <xf numFmtId="0" fontId="0" fillId="0" borderId="43" xfId="0" applyBorder="1" applyAlignment="1">
      <alignment horizontal="left" vertical="center"/>
    </xf>
    <xf numFmtId="0" fontId="38" fillId="0" borderId="17" xfId="0" applyFont="1" applyBorder="1" applyAlignment="1">
      <alignment horizontal="left" vertical="center" wrapText="1"/>
    </xf>
    <xf numFmtId="0" fontId="38" fillId="0" borderId="16" xfId="0" applyFont="1" applyBorder="1" applyAlignment="1" applyProtection="1">
      <alignment vertical="center" wrapText="1"/>
      <protection locked="0"/>
    </xf>
    <xf numFmtId="0" fontId="30" fillId="0" borderId="26" xfId="0" applyFont="1" applyBorder="1" applyAlignment="1">
      <alignment vertical="center" wrapText="1"/>
    </xf>
    <xf numFmtId="0" fontId="30" fillId="0" borderId="26" xfId="0" applyFont="1" applyBorder="1" applyAlignment="1">
      <alignment horizontal="center" vertical="center" wrapText="1"/>
    </xf>
    <xf numFmtId="0" fontId="35" fillId="0" borderId="26" xfId="0" applyFont="1" applyBorder="1" applyAlignment="1">
      <alignment horizontal="center" vertical="center"/>
    </xf>
    <xf numFmtId="0" fontId="0" fillId="0" borderId="26" xfId="0" applyBorder="1" applyAlignment="1" applyProtection="1">
      <alignment horizontal="center" vertical="center"/>
      <protection locked="0"/>
    </xf>
    <xf numFmtId="0" fontId="31" fillId="0" borderId="26" xfId="0" applyFont="1"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20" xfId="0" applyFont="1" applyFill="1" applyBorder="1" applyAlignment="1" applyProtection="1">
      <alignment horizontal="center" vertical="center" wrapText="1" readingOrder="1"/>
      <protection locked="0"/>
    </xf>
    <xf numFmtId="0" fontId="23" fillId="11" borderId="22" xfId="0" applyFont="1" applyFill="1" applyBorder="1" applyAlignment="1" applyProtection="1">
      <alignment horizontal="center" vertical="center" wrapText="1" readingOrder="1"/>
      <protection locked="0"/>
    </xf>
    <xf numFmtId="0" fontId="23" fillId="11" borderId="19" xfId="0" applyFont="1" applyFill="1" applyBorder="1" applyAlignment="1" applyProtection="1">
      <alignment horizontal="center" vertical="center" wrapText="1" readingOrder="1"/>
      <protection locked="0"/>
    </xf>
    <xf numFmtId="0" fontId="23" fillId="3" borderId="16" xfId="0" applyFont="1" applyFill="1" applyBorder="1" applyAlignment="1" applyProtection="1">
      <alignment horizontal="center" vertical="center" wrapText="1" readingOrder="1"/>
      <protection locked="0"/>
    </xf>
    <xf numFmtId="0" fontId="23" fillId="3" borderId="22"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26" xfId="0" applyFont="1" applyFill="1" applyBorder="1" applyAlignment="1" applyProtection="1">
      <alignment horizontal="center" vertical="center" wrapText="1" readingOrder="1"/>
      <protection locked="0"/>
    </xf>
    <xf numFmtId="0" fontId="23" fillId="3" borderId="27" xfId="0" applyFont="1" applyFill="1" applyBorder="1" applyAlignment="1" applyProtection="1">
      <alignment horizontal="center" vertical="center" wrapText="1" readingOrder="1"/>
      <protection locked="0"/>
    </xf>
    <xf numFmtId="0" fontId="23" fillId="12" borderId="16" xfId="0" applyFont="1" applyFill="1" applyBorder="1" applyAlignment="1" applyProtection="1">
      <alignment horizontal="center" vertical="center" wrapText="1" readingOrder="1"/>
      <protection locked="0"/>
    </xf>
    <xf numFmtId="0" fontId="23" fillId="10" borderId="20" xfId="0" applyFont="1" applyFill="1" applyBorder="1" applyAlignment="1" applyProtection="1">
      <alignment horizontal="center" vertical="center" wrapText="1" readingOrder="1"/>
      <protection locked="0"/>
    </xf>
    <xf numFmtId="0" fontId="23" fillId="10" borderId="22"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1" borderId="20" xfId="0" applyFont="1" applyFill="1" applyBorder="1" applyAlignment="1" applyProtection="1">
      <alignment horizontal="center" vertical="center" wrapText="1"/>
      <protection locked="0"/>
    </xf>
    <xf numFmtId="0" fontId="23" fillId="11" borderId="22" xfId="0" applyFont="1" applyFill="1" applyBorder="1" applyAlignment="1" applyProtection="1">
      <alignment horizontal="center" vertical="center" wrapText="1"/>
      <protection locked="0"/>
    </xf>
    <xf numFmtId="0" fontId="23" fillId="11" borderId="19" xfId="0" applyFont="1" applyFill="1" applyBorder="1" applyAlignment="1" applyProtection="1">
      <alignment horizontal="center" vertical="center" wrapText="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98">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border outline="0">
        <bottom style="thin">
          <color rgb="FF000000"/>
        </bottom>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Types" Target="richData/rdRichValueTyp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36F1FD1E-E769-42D2-B98C-3A913FEA58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97971EE-77D3-4415-ACC9-7EA8E2EB21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A55FB8C-C5AF-4035-9770-73FA9F8574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E561222-BE11-41FA-A00B-D0BEE6495F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BFB5106-CD47-4D26-85B2-06878D6421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E3611D42-6AAB-4A42-899B-EC2BC5171D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76FC7BC-1D2C-4AA3-AE41-D6AC3D0B0C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amedSheetView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322" totalsRowShown="0" headerRowBorderDxfId="596" tableBorderDxfId="597" totalsRowBorderDxfId="595">
  <autoFilter ref="B5:D322" xr:uid="{00000000-0009-0000-0100-000001000000}"/>
  <sortState xmlns:xlrd2="http://schemas.microsoft.com/office/spreadsheetml/2017/richdata2" ref="B6:D40">
    <sortCondition ref="B5:B40"/>
  </sortState>
  <tableColumns count="3">
    <tableColumn id="1" xr3:uid="{00000000-0010-0000-0000-000001000000}" name="Schema" dataDxfId="594"/>
    <tableColumn id="2" xr3:uid="{00000000-0010-0000-0000-000002000000}" name="Tabela " dataDxfId="593"/>
    <tableColumn id="3" xr3:uid="{00000000-0010-0000-0000-000003000000}" name="Descrição" dataDxfId="59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8:AA328" totalsRowShown="0" headerRowDxfId="591" tableBorderDxfId="590">
  <autoFilter ref="B8:AA328" xr:uid="{E005BC36-6E9E-40C7-82DB-D8159E0040FF}"/>
  <tableColumns count="26">
    <tableColumn id="1" xr3:uid="{B202AB96-6DBE-4E4C-9212-5291A005DCC8}" name="NOME BD" dataDxfId="589"/>
    <tableColumn id="2" xr3:uid="{3FF272FE-C1A4-450E-9322-82A40048A5EF}" name="NOME TABELA" dataDxfId="588"/>
    <tableColumn id="3" xr3:uid="{26DB6D8C-2119-4367-9ACD-A86BC22D445C}" name="NOME FÍSICO TABELA" dataDxfId="587"/>
    <tableColumn id="4" xr3:uid="{60A5A59F-94A2-4615-9F04-C165925EB3B6}" name="NÍVEL TABELA" dataDxfId="586"/>
    <tableColumn id="5" xr3:uid="{99056714-3624-4BA3-B5A7-6BDD481A1DEB}" name="NOME CAMPO" dataDxfId="585"/>
    <tableColumn id="6" xr3:uid="{4C98432E-2A24-41E9-B6FC-71598F3E676F}" name="NOME FÍSICO CAMPO" dataDxfId="584"/>
    <tableColumn id="7" xr3:uid="{92AC0881-9A14-49A2-A29D-9BED4AFDA816}" name="BLOCO" dataDxfId="583"/>
    <tableColumn id="8" xr3:uid="{BC3C5233-9C1C-47BA-AC7E-8677BFB2FA92}" name="ORDEM" dataDxfId="582"/>
    <tableColumn id="9" xr3:uid="{1478D91D-09B4-4FD3-9F29-2F6725837886}" name="FORMATO" dataDxfId="581"/>
    <tableColumn id="10" xr3:uid="{A83FF87E-BBA6-48DB-9A4E-9F7F2C09E4F0}" name="COMP_ CAMPO" dataDxfId="580"/>
    <tableColumn id="11" xr3:uid="{772632A4-2B44-47CA-984B-1C730DA4890D}" name="NUM_ DECIMAIS" dataDxfId="579"/>
    <tableColumn id="12" xr3:uid="{471996C0-15F0-4E14-B764-EB98E1753CB2}" name="DESCRIÇÃO FUNCIONAL (ENG)" dataDxfId="578"/>
    <tableColumn id="13" xr3:uid="{FFC8F48C-3714-4D77-81FE-18E32D92B3FD}" name="DESCRIÇÃO FUNCIONAL (PT)" dataDxfId="577"/>
    <tableColumn id="14" xr3:uid="{D66780C9-11A6-49A3-9875-909B37CE31C1}" name="CHAVE PRIMÁRIA" dataDxfId="576"/>
    <tableColumn id="15" xr3:uid="{C402404C-88D5-4A87-9DF6-7061CDC0BCE4}" name="DADOS REFERÊNCIA" dataDxfId="575"/>
    <tableColumn id="16" xr3:uid="{7C91699D-B62B-46CC-9FA1-A1FAE1FDDFEA}" name="NOME TABELA ONEFCC" dataDxfId="574"/>
    <tableColumn id="17" xr3:uid="{CF71C61F-E023-4FCB-9C32-313981132DA4}" name="NOME CAMPO ONEFCC" dataDxfId="573"/>
    <tableColumn id="18" xr3:uid="{7E0E556B-76E6-4319-AA8B-769944D58DEB}" name="NOME BD CURATED" dataDxfId="572"/>
    <tableColumn id="19" xr3:uid="{38C5F91A-6455-4725-AA96-00F5B14E5CB4}" name="NOME FISICO TABELA CURATED" dataDxfId="571"/>
    <tableColumn id="20" xr3:uid="{E19AC285-873B-4F14-990D-D6D2A954449D}" name="NOME FISICO CAMPO CURATED" dataDxfId="570"/>
    <tableColumn id="21" xr3:uid="{EC9098AB-88AE-4292-AB27-A1D5290FB03F}" name="CODIÇÃO CURATED - CDM" dataDxfId="569"/>
    <tableColumn id="22" xr3:uid="{69274326-591E-4269-AD87-6A327AD281D0}" name="TABELA / FICHEIRO" dataDxfId="568"/>
    <tableColumn id="23" xr3:uid="{DA01B157-095B-4031-BA99-AB04551A286E}" name="ID APLICAÇÂO TÉCNICA" dataDxfId="567"/>
    <tableColumn id="24" xr3:uid="{360A5020-0CC7-4F12-B934-23440ED055B3}" name="NOME FISICO TABELA FONTE" dataDxfId="566"/>
    <tableColumn id="25" xr3:uid="{7E2C2EBF-3460-4D1A-854B-58E91F400A35}" name="NOME FISICO CAMPO FONTE" dataDxfId="565"/>
    <tableColumn id="26" xr3:uid="{F065C47E-DAFE-46CD-B602-C1462F00CD11}" name="VALOR MANUAL FONTE" dataDxfId="56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81C153A-084F-452D-9936-E389B95C8041}" name="Table32" displayName="Table32" ref="B2:I83" totalsRowShown="0" headerRowDxfId="563" tableBorderDxfId="562">
  <autoFilter ref="B2:I83" xr:uid="{C81C153A-084F-452D-9936-E389B95C8041}">
    <filterColumn colId="1">
      <filters>
        <filter val="loan_transaction"/>
      </filters>
    </filterColumn>
  </autoFilter>
  <sortState xmlns:xlrd2="http://schemas.microsoft.com/office/spreadsheetml/2017/richdata2" ref="B3:I83">
    <sortCondition ref="G2:G83"/>
  </sortState>
  <tableColumns count="8">
    <tableColumn id="1" xr3:uid="{06E7CF65-89C4-4C03-A2D9-58E1CB6CA968}" name="NOME BD " dataDxfId="561"/>
    <tableColumn id="2" xr3:uid="{D49216BB-D0A3-43A6-B06D-C34159B9758A}" name="NOME FÍSICO TABELA" dataDxfId="560"/>
    <tableColumn id="3" xr3:uid="{C0112372-EF0A-4438-B1B8-54CF801D93D9}" name="NOME FÍSICO BD FONTE ESQUERDA" dataDxfId="559"/>
    <tableColumn id="4" xr3:uid="{5A89F741-E410-4CB4-B41B-FC9E70DE4858}" name="NOME FÍSICO TABELA FONTE ESQUERDA" dataDxfId="558"/>
    <tableColumn id="5" xr3:uid="{D32AF77C-D23B-4C56-8393-EF099EB50493}" name="NOME FÍSICO BD FONTE DIREITA" dataDxfId="557"/>
    <tableColumn id="6" xr3:uid="{54DFD2BC-9B47-4A8C-A7AF-25160F1ACBFE}" name="NOME FÍSICO TABELA FONTE DIREITA" dataDxfId="556"/>
    <tableColumn id="7" xr3:uid="{4423439B-7591-4483-92BC-E252D48B50C4}" name="REGRA DE CRUZAMENTO" dataDxfId="555"/>
    <tableColumn id="8" xr3:uid="{24F76732-91FB-46BD-8755-D2353FA4E9AC}" name="TIPO CRUZAMENTO" dataDxfId="55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36" totalsRowShown="0" headerRowDxfId="553" dataDxfId="552" tableBorderDxfId="551">
  <autoFilter ref="B2:H36" xr:uid="{2B1516AE-868D-4EFA-82B3-3AFB7642D723}"/>
  <sortState xmlns:xlrd2="http://schemas.microsoft.com/office/spreadsheetml/2017/richdata2" ref="B3:H36">
    <sortCondition ref="B2:B36"/>
  </sortState>
  <tableColumns count="7">
    <tableColumn id="1" xr3:uid="{16926414-B272-4706-9CD7-50DD28B23310}" name="NOME BD" dataDxfId="550"/>
    <tableColumn id="2" xr3:uid="{47CDFEFB-27C1-46BE-8C9E-E3B250579357}" name="NOME FÍSICO TABELA" dataDxfId="549"/>
    <tableColumn id="3" xr3:uid="{B95E573E-16FB-44CF-BED0-98B83C7D482A}" name="NOME FÍSICO BD FONTE" dataDxfId="548"/>
    <tableColumn id="4" xr3:uid="{8282954B-BD06-4FB6-AEC4-B735FBAE2410}" name="NOME FÍSICO TABELA FONTE" dataDxfId="547"/>
    <tableColumn id="5" xr3:uid="{D662E194-7821-4AC4-958D-74DEFDDB324F}" name="REGRA DE ATAQUE" dataDxfId="546"/>
    <tableColumn id="6" xr3:uid="{3076BB36-67AB-4F3B-9767-D3F3855F8D55}" name="DESCRIÇÃO ESTADOS CONSIDERADOS" dataDxfId="545"/>
    <tableColumn id="7" xr3:uid="{5F0F8382-5BBA-4407-AD43-63A2F23AC57A}" name="DESCRIÇÃO ESTADOS DESCONSIDERADOS" dataDxfId="54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542" dataDxfId="541" headerRowBorderDxfId="539" tableBorderDxfId="540" totalsRowBorderDxfId="538">
  <autoFilter ref="B2:E23" xr:uid="{6A73D132-650B-4772-ACDF-A52D806EDDCD}"/>
  <tableColumns count="4">
    <tableColumn id="1" xr3:uid="{B1674CDC-3CAF-416B-816C-636935125A50}" name="ID" dataDxfId="537"/>
    <tableColumn id="2" xr3:uid="{79FDEBE0-C7B7-40C8-A102-BA62D73D9369}" name="Case Test" dataDxfId="536"/>
    <tableColumn id="3" xr3:uid="{4F5538FB-DAC4-43DF-8756-97915831D95C}" name="Description" dataDxfId="535"/>
    <tableColumn id="4" xr3:uid="{0AABCA40-B966-48E4-BB94-247FC70D297B}" name="Observation" dataDxfId="53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533" dataDxfId="532">
  <autoFilter ref="B2:AD21" xr:uid="{98F99B18-A7DF-4D30-9CD9-BD3142DEEEDB}"/>
  <tableColumns count="29">
    <tableColumn id="1" xr3:uid="{0BF13A4F-5F5D-4C79-9CBE-79CD9C9F673B}" name="Case_Test" dataDxfId="531"/>
    <tableColumn id="2" xr3:uid="{702EFC72-B820-44C5-A112-307E01781909}" name="test_id" dataDxfId="530"/>
    <tableColumn id="3" xr3:uid="{1BD251D4-3942-4E50-988C-06F2C8F172AE}" name="test_timestamp" dataDxfId="529"/>
    <tableColumn id="4" xr3:uid="{FA83CC27-CCEA-453C-BEF7-7A97C9DA0003}" name="query_driver_data_date_part" dataDxfId="528"/>
    <tableColumn id="5" xr3:uid="{E73E24A0-7030-4193-9E42-7D2873A42FCE}" name="test_number" dataDxfId="527"/>
    <tableColumn id="6" xr3:uid="{8CD9A7A2-30E6-41D1-B310-38ED2E70A2FC}" name="score" dataDxfId="526"/>
    <tableColumn id="7" xr3:uid="{CAB1ECE3-AAD5-45A6-9CBF-F7DB92DE71A6}" name="general_result" dataDxfId="525"/>
    <tableColumn id="8" xr3:uid="{F45697FD-C480-4C96-AFFA-9627310D49EB}" name="bank_id" dataDxfId="524"/>
    <tableColumn id="9" xr3:uid="{4B0EB268-93C5-425D-BEE7-A70789BDF797}" name="contract_id" dataDxfId="523"/>
    <tableColumn id="10" xr3:uid="{171C5CF7-CF15-4383-BF3C-EF4EE744AEE4}" name="order_number" dataDxfId="522"/>
    <tableColumn id="11" xr3:uid="{F81D341B-8BE7-4A0E-A206-F124DA9DC553}" name="order_number_stage" dataDxfId="521"/>
    <tableColumn id="30" xr3:uid="{E96AD31F-0D99-43B9-958D-14304ED5DE04}" name="transaction_type_code" dataDxfId="520"/>
    <tableColumn id="25" xr3:uid="{BED0A457-AA19-4F7A-9110-C27BE95DB39F}" name="transaction_date" dataDxfId="519"/>
    <tableColumn id="24" xr3:uid="{961419AA-BFF6-4431-B7DF-A6FCEB565DC7}" name="amount" dataDxfId="518"/>
    <tableColumn id="12" xr3:uid="{362D7200-4FC2-42B1-B256-4EB88E6CB85D}" name="process_bank_id" dataDxfId="517"/>
    <tableColumn id="13" xr3:uid="{76627027-09E4-4CCB-8AF6-6E86CBC030A1}" name="process_id" dataDxfId="516"/>
    <tableColumn id="15" xr3:uid="{CBC6FB51-83F3-41F0-92AB-FB83687F6CBE}" name="financial_flow_indicator" dataDxfId="515"/>
    <tableColumn id="16" xr3:uid="{88934195-1A5C-4203-861F-3347907B2A2F}" name="party_id" dataDxfId="514"/>
    <tableColumn id="17" xr3:uid="{1C7D138E-2A09-44C1-99D8-6E70097C8E84}" name="party_current_account_bank_id" dataDxfId="513"/>
    <tableColumn id="18" xr3:uid="{403C77E6-0974-447A-B5A9-420FD15F0F89}" name="party_cur_account_contract_id" dataDxfId="512"/>
    <tableColumn id="19" xr3:uid="{58D59EB2-9B27-4AE0-AF44-1376D47F7A49}" name="party_current_account_iban" dataDxfId="511"/>
    <tableColumn id="20" xr3:uid="{C62911A6-20E8-4C10-9B96-B19135DC0831}" name="chargeback_indicator" dataDxfId="510"/>
    <tableColumn id="21" xr3:uid="{221A7D3B-CFA4-41E9-B24C-E8CF0170B08C}" name="billing_indicator" dataDxfId="509"/>
    <tableColumn id="22" xr3:uid="{671B114D-4DDB-4BC4-B930-7A5E9EC637ED}" name="currency_code" dataDxfId="508"/>
    <tableColumn id="23" xr3:uid="{7C86CC56-3E26-4217-8366-6DA55EF97B50}" name="transaction_execution_date" dataDxfId="507"/>
    <tableColumn id="26" xr3:uid="{38949D8C-E9FF-46A0-898A-FFD1343FE644}" name="billing_document_id" dataDxfId="506"/>
    <tableColumn id="27" xr3:uid="{B2D76DD5-980F-4861-A2B4-6B55AB9D0706}" name="source_code" dataDxfId="505"/>
    <tableColumn id="28" xr3:uid="{01A3CAEA-A672-4CB7-AEE9-644B7DF2BF88}" name="data_date_part" dataDxfId="504"/>
    <tableColumn id="29" xr3:uid="{9B4B0F8C-1891-45ED-B585-64327D94CE53}" name="data_timestamp_part" dataDxfId="503"/>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38" totalsRowShown="0" headerRowDxfId="502" dataDxfId="501" tableBorderDxfId="500">
  <autoFilter ref="B30:F38" xr:uid="{9121FEBE-5052-4C33-8556-5048BDB999FA}"/>
  <sortState xmlns:xlrd2="http://schemas.microsoft.com/office/spreadsheetml/2017/richdata2" ref="B31:F38">
    <sortCondition descending="1" ref="B30:B38"/>
  </sortState>
  <tableColumns count="5">
    <tableColumn id="1" xr3:uid="{B68BC358-6263-4B3D-A4CC-169AE543E9C1}" name="Test ID" dataDxfId="499"/>
    <tableColumn id="2" xr3:uid="{FD64B458-DB53-4873-BC58-34365FB74091}" name="Field" dataDxfId="498"/>
    <tableColumn id="3" xr3:uid="{3A7579B9-0DD8-4AA5-9688-1EBEAC3DC8CC}" name="Justification" dataDxfId="497"/>
    <tableColumn id="4" xr3:uid="{7541CEA6-1484-4CDC-AF7F-C7EE0E131E35}" name="Number of Occurences" dataDxfId="496"/>
    <tableColumn id="5" xr3:uid="{3A673375-5320-48F2-B13A-D75E04A9870F}" name="Justification State" dataDxfId="495"/>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494" dataDxfId="493">
  <autoFilter ref="B2:U21" xr:uid="{98F99B18-A7DF-4D30-9CD9-BD3142DEEEDB}"/>
  <tableColumns count="20">
    <tableColumn id="1" xr3:uid="{150F1CE6-82E9-4AEF-ABBC-D678EFC231FA}" name="Case_Test" dataDxfId="492"/>
    <tableColumn id="2" xr3:uid="{F327A45E-0E38-4FD9-B815-F2B606DB276B}" name="test_id" dataDxfId="491"/>
    <tableColumn id="3" xr3:uid="{0A22115F-0938-4D19-9B70-2D4E104EBE15}" name="test_timestamp" dataDxfId="490"/>
    <tableColumn id="4" xr3:uid="{200A2A1B-DC85-4C5D-852F-CFE2DB539767}" name="query_driver_data_date_part" dataDxfId="489"/>
    <tableColumn id="5" xr3:uid="{CB2A7ED8-44B6-4F4E-A624-13242BFBA7F7}" name="test_number" dataDxfId="488"/>
    <tableColumn id="6" xr3:uid="{5345718C-D40A-4CF6-93F4-A8C3E6294F30}" name="score" dataDxfId="487"/>
    <tableColumn id="7" xr3:uid="{5B6E9E29-BCA4-4933-A52A-6FAC5926D3B9}" name="general_result" dataDxfId="486"/>
    <tableColumn id="8" xr3:uid="{5E8CB2AA-3058-4CF5-BD39-03087CC75AB7}" name="bank_id" dataDxfId="485"/>
    <tableColumn id="9" xr3:uid="{E459B9CE-CE18-4295-B006-08B84E0FFCA2}" name="contract_id" dataDxfId="484"/>
    <tableColumn id="10" xr3:uid="{B4C6EE25-0C4B-4740-B277-E14E857BC1AB}" name="order_number" dataDxfId="483"/>
    <tableColumn id="11" xr3:uid="{5492B3ED-09A8-4C97-A9F2-EC0472D0BB3C}" name="order_number_stage" dataDxfId="482"/>
    <tableColumn id="12" xr3:uid="{725F2EC4-037C-4D12-A5E3-FA9F2801C604}" name="transaction_date" dataDxfId="481"/>
    <tableColumn id="13" xr3:uid="{BBF4F1B4-D430-4153-BCF0-C98244D443D6}" name="amount" dataDxfId="480"/>
    <tableColumn id="14" xr3:uid="{5182EADC-09FA-4BB6-86EA-D1490064C594}" name="transaction_type_code" dataDxfId="479"/>
    <tableColumn id="15" xr3:uid="{C94EE8CF-5E90-4CF6-8CD4-51997E1DCD77}" name="financial_flow_indicator" dataDxfId="478"/>
    <tableColumn id="16" xr3:uid="{5CFE0E90-7385-45FD-9BC6-80FB5AB3DEC6}" name="currency_code" dataDxfId="477"/>
    <tableColumn id="17" xr3:uid="{FE4998D1-513B-448A-8929-7E35F1D79B1A}" name="transaction_execution_date" dataDxfId="476"/>
    <tableColumn id="18" xr3:uid="{D9A6ABC2-CE3A-4288-B74C-6B39A454F7A1}" name="source_code" dataDxfId="475"/>
    <tableColumn id="19" xr3:uid="{DA916E53-748F-4266-AAE2-BEA41DFE69F3}" name="data_date_part" dataDxfId="474"/>
    <tableColumn id="20" xr3:uid="{E9BCA295-4854-469D-B385-13B82C5383E7}" name="data_timestamp_part" dataDxfId="47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5" totalsRowShown="0" headerRowDxfId="472" dataDxfId="471" tableBorderDxfId="470">
  <autoFilter ref="B29:F35" xr:uid="{9121FEBE-5052-4C33-8556-5048BDB999FA}"/>
  <sortState xmlns:xlrd2="http://schemas.microsoft.com/office/spreadsheetml/2017/richdata2" ref="B30:F34">
    <sortCondition ref="B29:B34"/>
  </sortState>
  <tableColumns count="5">
    <tableColumn id="1" xr3:uid="{632F9DD3-C2E8-4C25-970D-55559260FACA}" name="Test ID" dataDxfId="469"/>
    <tableColumn id="2" xr3:uid="{007A71A9-883B-4ECC-A490-FC95A2992F77}" name="Field" dataDxfId="468"/>
    <tableColumn id="3" xr3:uid="{404B2586-DB1E-4698-AB59-D383500C6B18}" name="Justification" dataDxfId="467"/>
    <tableColumn id="4" xr3:uid="{B3026D2B-8B46-410B-90DF-4E765F64EE1D}" name="Number of Occurences" dataDxfId="466"/>
    <tableColumn id="5" xr3:uid="{093ED586-E4FA-4ECD-BF74-8BF15AD8CD82}" name="Justification State" dataDxfId="465"/>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464" dataDxfId="463">
  <autoFilter ref="B2:U21" xr:uid="{8354E80B-4384-45ED-85F9-36C8F1253042}"/>
  <tableColumns count="20">
    <tableColumn id="1" xr3:uid="{D4684C5C-81D1-42FC-BEFA-1661CE929FE5}" name="case_test" dataDxfId="462"/>
    <tableColumn id="2" xr3:uid="{A1935713-2A78-4885-B2B5-823E91361369}" name="test_id" dataDxfId="461"/>
    <tableColumn id="3" xr3:uid="{35A53578-754C-4627-ACD2-B353E5BF9F24}" name="test_timestamp" dataDxfId="460"/>
    <tableColumn id="4" xr3:uid="{4B705C7D-DC8C-4459-B730-B62E5BD461DF}" name="query_driver_data_date_part" dataDxfId="459"/>
    <tableColumn id="5" xr3:uid="{36032182-0D46-450E-8A08-F18A1D650377}" name="test_number" dataDxfId="458"/>
    <tableColumn id="6" xr3:uid="{F1DF9373-1D0E-4541-AB4F-223183153D6D}" name="score" dataDxfId="457"/>
    <tableColumn id="7" xr3:uid="{43F24F7E-6B3C-4F05-9015-6B46A44FC1B5}" name="general_result" dataDxfId="456"/>
    <tableColumn id="8" xr3:uid="{8DB5E048-F03A-4F25-AE8B-F73F05D312B5}" name="bank_id" dataDxfId="455"/>
    <tableColumn id="9" xr3:uid="{9A755778-0F44-488C-B58B-900B942B9887}" name="contract_id" dataDxfId="454"/>
    <tableColumn id="10" xr3:uid="{C38ACEB5-696C-4EF7-A856-54209A80A463}" name="order_number" dataDxfId="453"/>
    <tableColumn id="11" xr3:uid="{5A58A6A0-FA38-4945-8E46-E5C891E5DE4B}" name="order_number_stage" dataDxfId="452"/>
    <tableColumn id="12" xr3:uid="{C0916945-C4CF-4C2E-AAEE-88B37ED5F4A3}" name="transaction_type_code" dataDxfId="451"/>
    <tableColumn id="13" xr3:uid="{EA96BAA3-0D50-4CC9-9D84-36112A36EF4C}" name="financial_flow_indicator" dataDxfId="450"/>
    <tableColumn id="14" xr3:uid="{3D44235C-6DB2-4BDE-A9A4-983E43AF7CCE}" name="currency_code" dataDxfId="449"/>
    <tableColumn id="15" xr3:uid="{69276CF2-7FAD-42E1-8DF7-04903058F9AC}" name="transaction_date" dataDxfId="448"/>
    <tableColumn id="16" xr3:uid="{0E1FEA56-506E-4C0F-AAC1-23A4C1A43CB8}" name="transaction_execution_date" dataDxfId="447"/>
    <tableColumn id="17" xr3:uid="{9217D865-AD91-4CC6-8303-E5FA1598FFEC}" name="amount" dataDxfId="446"/>
    <tableColumn id="18" xr3:uid="{11043013-799C-49F7-96E3-28365F0194E8}" name="source_code" dataDxfId="445"/>
    <tableColumn id="19" xr3:uid="{3FC5C2C9-F16F-4713-8123-59947C26D78C}" name="data_date_part" dataDxfId="444"/>
    <tableColumn id="20" xr3:uid="{0E903AD1-6B96-4891-B33C-A0C1F7AD847F}" name="data_timestamp_part" dataDxfId="443"/>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5" totalsRowShown="0" headerRowDxfId="442" dataDxfId="441" headerRowBorderDxfId="439" tableBorderDxfId="440">
  <autoFilter ref="B29:F35" xr:uid="{21F781DC-071C-4F39-BC5F-D8B54BF119E3}"/>
  <sortState xmlns:xlrd2="http://schemas.microsoft.com/office/spreadsheetml/2017/richdata2" ref="B30:F31">
    <sortCondition ref="B29:B31"/>
  </sortState>
  <tableColumns count="5">
    <tableColumn id="1" xr3:uid="{B620E0A3-978F-48FD-811B-A2FE9A2A7158}" name="Test ID" dataDxfId="438"/>
    <tableColumn id="2" xr3:uid="{8BCAE36C-7840-4E67-B42B-A3BDEE0D243F}" name="Field" dataDxfId="437"/>
    <tableColumn id="3" xr3:uid="{06661F9C-77CB-4FDE-A5DC-21F459426B10}" name="Justification" dataDxfId="436"/>
    <tableColumn id="4" xr3:uid="{79F21EE9-69A3-40F0-A231-B3B3205358BD}" name="Number of Occurences" dataDxfId="435"/>
    <tableColumn id="5" xr3:uid="{F515B111-8F0E-42B4-8FFA-8B413642FAD6}" name="Justification State" dataDxfId="434"/>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AE21" totalsRowShown="0" headerRowDxfId="433" dataDxfId="432">
  <autoFilter ref="B2:AE21" xr:uid="{98F99B18-A7DF-4D30-9CD9-BD3142DEEEDB}"/>
  <tableColumns count="30">
    <tableColumn id="1" xr3:uid="{A56DC95F-BA02-4189-A97B-3E107C442CA5}" name="Case_Test" dataDxfId="431"/>
    <tableColumn id="2" xr3:uid="{1C86658D-7B35-4335-A23B-E988177F002C}" name="test_id" dataDxfId="430"/>
    <tableColumn id="3" xr3:uid="{139BC6C4-6630-44E5-936A-409C495CDF6C}" name="test_timestamp" dataDxfId="429"/>
    <tableColumn id="4" xr3:uid="{30EFC6BE-F9DB-4269-8669-A244E78FFC54}" name="query_driver_data_date_part" dataDxfId="428"/>
    <tableColumn id="5" xr3:uid="{F46D54E2-8655-494D-8CEB-F34CD04A6331}" name="test_number" dataDxfId="427"/>
    <tableColumn id="6" xr3:uid="{4D97938B-B226-4994-A65C-A29B2D010B47}" name="score" dataDxfId="426"/>
    <tableColumn id="7" xr3:uid="{99A6EED2-1D5F-4C70-B9DF-9160EB4D5C5C}" name="general_result" dataDxfId="425"/>
    <tableColumn id="8" xr3:uid="{02EE734E-77E3-4E16-A627-D61ADD85A602}" name="bank_id" dataDxfId="424"/>
    <tableColumn id="9" xr3:uid="{2285C739-7D13-4B0B-88FC-6B5991691F71}" name="contract_id" dataDxfId="423"/>
    <tableColumn id="10" xr3:uid="{5C8ABA7D-5849-44DC-AE4D-7491E2B32C83}" name="order_number" dataDxfId="422"/>
    <tableColumn id="11" xr3:uid="{67361930-48C3-4B6A-8825-ABA569964543}" name="order_number_stage" dataDxfId="421"/>
    <tableColumn id="12" xr3:uid="{04EA5A77-5CE6-4258-86D3-0CCADD7D65B3}" name="transaction_type_code" dataDxfId="420"/>
    <tableColumn id="13" xr3:uid="{E15D68B7-D367-4908-9A4F-5D1AC8DA279C}" name="transaction_execution_date" dataDxfId="419"/>
    <tableColumn id="14" xr3:uid="{21706388-3DEC-464A-AD3E-C087AD4CBD43}" name="amount" dataDxfId="418"/>
    <tableColumn id="15" xr3:uid="{3A73FC5C-CF00-4929-89A4-3832577F18EE}" name="financial_flow_indicator" dataDxfId="417"/>
    <tableColumn id="16" xr3:uid="{8ECCAF08-C933-4BD9-BF3F-E4FF6413C99D}" name="currency_code" dataDxfId="416"/>
    <tableColumn id="17" xr3:uid="{FF5CDC3B-3F01-40D8-B698-5D7ACA9E9881}" name="transaction_date" dataDxfId="415"/>
    <tableColumn id="18" xr3:uid="{C048AD66-692B-47E4-864A-C07FBE359716}" name="accounting_operation_code" dataDxfId="414"/>
    <tableColumn id="19" xr3:uid="{4441C6CF-A47A-4B91-908F-75D638A33CB7}" name="accounting_operation_option_code" dataDxfId="413"/>
    <tableColumn id="20" xr3:uid="{5F39FE5B-0114-4840-AB38-A9F048C1F969}" name="accounting_bank_basic_operation" dataDxfId="412"/>
    <tableColumn id="21" xr3:uid="{6B80C012-2C01-4475-B34B-EEB9F5A60E38}" name="check_number" dataDxfId="411"/>
    <tableColumn id="22" xr3:uid="{FC20F41F-73F9-49B7-A9B7-70DC3F30D054}" name="transfer_reference" dataDxfId="410"/>
    <tableColumn id="23" xr3:uid="{478CEF76-ACBB-42E7-A0FF-FF0BB4C84F75}" name="description" dataDxfId="409"/>
    <tableColumn id="24" xr3:uid="{537E1E3C-6F7E-4DB5-905F-CC4C7E83A799}" name="full_description" dataDxfId="408"/>
    <tableColumn id="25" xr3:uid="{754D7BED-AABF-4EC2-BA3A-B6BF98FC8388}" name="comment" dataDxfId="407"/>
    <tableColumn id="26" xr3:uid="{BAAA7ED6-0F4A-47CE-864E-389E3C72E431}" name="sender_source_code" dataDxfId="406"/>
    <tableColumn id="27" xr3:uid="{35CB1888-39C3-46DC-BD8A-BA92992EEC5D}" name="sender_order_number_stage" dataDxfId="405"/>
    <tableColumn id="28" xr3:uid="{741AE958-F6B9-419E-A0C8-31F113E7A7F6}" name="source_code" dataDxfId="404"/>
    <tableColumn id="29" xr3:uid="{89A0C293-7195-408B-A640-D01AB00B4287}" name="data_date_part" dataDxfId="403"/>
    <tableColumn id="30" xr3:uid="{370DF519-62FC-4A11-95F9-DB0F5DD5B02B}" name="data_timestamp_part" dataDxfId="402"/>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401" dataDxfId="400" tableBorderDxfId="399">
  <autoFilter ref="B30:F36" xr:uid="{9121FEBE-5052-4C33-8556-5048BDB999FA}"/>
  <sortState xmlns:xlrd2="http://schemas.microsoft.com/office/spreadsheetml/2017/richdata2" ref="B31:F36">
    <sortCondition ref="B30:B36"/>
  </sortState>
  <tableColumns count="5">
    <tableColumn id="1" xr3:uid="{F69C0283-5B97-464B-AD99-94075126EB2F}" name="Test ID" dataDxfId="398"/>
    <tableColumn id="2" xr3:uid="{1817D71C-7540-4F40-843E-CE8E361C1022}" name="Field" dataDxfId="397"/>
    <tableColumn id="3" xr3:uid="{5DF37EFB-B83C-4A10-B636-545D858D1B27}" name="Justification" dataDxfId="396"/>
    <tableColumn id="4" xr3:uid="{E2359272-3336-4591-BC2D-02BF39DA1192}" name="Number of Occurences" dataDxfId="395"/>
    <tableColumn id="5" xr3:uid="{189A05AE-B5CB-4279-837B-9E4C390F4918}" name="Justification State" dataDxfId="394"/>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393" dataDxfId="392">
  <autoFilter ref="B2:V21" xr:uid="{98F99B18-A7DF-4D30-9CD9-BD3142DEEEDB}"/>
  <tableColumns count="21">
    <tableColumn id="1" xr3:uid="{DB9DEB41-507D-4213-8943-38E97CC5F134}" name="Case_Test" dataDxfId="391"/>
    <tableColumn id="2" xr3:uid="{8B1EC659-59D6-4D5C-90BB-2989BB1CA229}" name="test_id" dataDxfId="390"/>
    <tableColumn id="3" xr3:uid="{75E1924D-DE2E-4DEE-B77A-36E44120D0D1}" name="test_timestamp" dataDxfId="389"/>
    <tableColumn id="4" xr3:uid="{6A5050D2-1441-48C4-8B2E-B3D8C19D96E6}" name="query_driver_data_date_part" dataDxfId="388"/>
    <tableColumn id="5" xr3:uid="{9AEEFA90-8A26-4E0D-BE12-5DBD06F60C63}" name="test_number" dataDxfId="387"/>
    <tableColumn id="6" xr3:uid="{D2132B16-AB9B-4008-8259-0B43B791093E}" name="score" dataDxfId="386"/>
    <tableColumn id="7" xr3:uid="{8A856261-EE5D-4213-BCC9-496A26F692D5}" name="general_result" dataDxfId="385"/>
    <tableColumn id="8" xr3:uid="{B30A8488-19D0-4733-AE7A-58AB670FFC9E}" name="bank_id" dataDxfId="384"/>
    <tableColumn id="9" xr3:uid="{713F1D59-DDFC-4315-9A09-A135D967C82E}" name="contract_id" dataDxfId="383"/>
    <tableColumn id="10" xr3:uid="{1AE63236-6D3B-4E3C-A926-AB36A753E46A}" name="order_number" dataDxfId="382"/>
    <tableColumn id="11" xr3:uid="{753B6E17-CEFB-49A9-B8CF-6E56B3175CBC}" name="order_number_stage" dataDxfId="381"/>
    <tableColumn id="12" xr3:uid="{18098FA1-1580-4822-B794-05101D55C4EB}" name="transaction_execution_date" dataDxfId="380"/>
    <tableColumn id="22" xr3:uid="{DB7E96E5-9DDD-4076-8BDC-C19BDDE4A2F8}" name="amount" dataDxfId="379"/>
    <tableColumn id="13" xr3:uid="{EB093913-F26D-45B9-A5F0-893FAFD5D2A0}" name="transaction_type_code" dataDxfId="378"/>
    <tableColumn id="14" xr3:uid="{BA1AB8B5-009C-452B-B202-DCFC35A8FDF2}" name="financial_flow_indicator" dataDxfId="377"/>
    <tableColumn id="15" xr3:uid="{8B3AD108-FD0A-43B3-B9C9-7E256E2654D7}" name="currency_code" dataDxfId="376"/>
    <tableColumn id="16" xr3:uid="{2A5E3B2C-CA57-49CC-AE1C-11E24B5060F0}" name="transaction_date" dataDxfId="375"/>
    <tableColumn id="17" xr3:uid="{FA8EFCB5-4319-459F-B92B-23A6E356CCAA}" name="description" dataDxfId="374"/>
    <tableColumn id="19" xr3:uid="{DB871489-8C12-4B1D-919C-0C4D9B033495}" name="source_code" dataDxfId="373"/>
    <tableColumn id="20" xr3:uid="{95EAE03E-BC94-477F-946A-35148BD037FD}" name="data_date_part" dataDxfId="372"/>
    <tableColumn id="21" xr3:uid="{C60761E3-D7D9-4CDD-A3E6-F96A4CAA5E0D}" name="data_timestamp_part" dataDxfId="371"/>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370" dataDxfId="369" tableBorderDxfId="368">
  <autoFilter ref="B30:F32" xr:uid="{9121FEBE-5052-4C33-8556-5048BDB999FA}"/>
  <tableColumns count="5">
    <tableColumn id="1" xr3:uid="{EC0B0645-1909-49AF-AAA1-E8866D7EC8E2}" name="Test ID" dataDxfId="367"/>
    <tableColumn id="2" xr3:uid="{BF2EA3B4-EFEE-42DC-AE90-8CBCAAF9B009}" name="Field" dataDxfId="366"/>
    <tableColumn id="3" xr3:uid="{5BE4A0CC-0FEE-4F6E-A035-B3541958236D}" name="Justification" dataDxfId="365"/>
    <tableColumn id="4" xr3:uid="{9C96D9D5-0751-4F87-ACC2-EAE38593185E}" name="Number of Occurences" dataDxfId="364"/>
    <tableColumn id="5" xr3:uid="{D7A794D6-2603-414E-AF0E-9F95E06A4963}" name="Justification State" dataDxfId="36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I21" totalsRowShown="0" headerRowDxfId="362" dataDxfId="361">
  <autoFilter ref="B2:AI21" xr:uid="{98F99B18-A7DF-4D30-9CD9-BD3142DEEEDB}"/>
  <tableColumns count="34">
    <tableColumn id="1" xr3:uid="{32AC2FAA-8B3D-41C0-B535-9912F1D4F696}" name="Case_Test" dataDxfId="360"/>
    <tableColumn id="2" xr3:uid="{2968C1F7-F10E-47F4-8D52-7876F88D66C8}" name="test_id" dataDxfId="359"/>
    <tableColumn id="3" xr3:uid="{7612E1DE-78D5-405C-872D-BB036273C469}" name="test_timestamp" dataDxfId="358"/>
    <tableColumn id="4" xr3:uid="{06AC1904-F29C-40A4-B4E7-58AAF0742512}" name="query_driver_data_date_part" dataDxfId="357"/>
    <tableColumn id="5" xr3:uid="{5C0E55F4-36F1-48A5-AC4E-B3760CC50938}" name="test_number" dataDxfId="356"/>
    <tableColumn id="6" xr3:uid="{C8A81828-370E-4376-A42D-AAAE755EFC50}" name="score" dataDxfId="355"/>
    <tableColumn id="7" xr3:uid="{0F541DA5-7164-4A98-AEBF-B91931AE1858}" name="general_result" dataDxfId="354"/>
    <tableColumn id="8" xr3:uid="{C33FB17C-D906-4CDA-AFB9-290D3ED94085}" name="bank_id" dataDxfId="353"/>
    <tableColumn id="9" xr3:uid="{1B2AE918-D894-4FC3-B366-27A7D006ACF9}" name="contract_id" dataDxfId="352"/>
    <tableColumn id="10" xr3:uid="{F4293476-89CB-479C-B46A-6606AFF7E635}" name="order_number" dataDxfId="351"/>
    <tableColumn id="11" xr3:uid="{6235D6FF-31A2-4331-9242-DB0F2D41AFB3}" name="order_number_stage" dataDxfId="350"/>
    <tableColumn id="12" xr3:uid="{65CCC869-2473-4101-A968-164A6719E55B}" name="transaction_type_code" dataDxfId="349"/>
    <tableColumn id="13" xr3:uid="{D4DD383B-A628-4813-ADDB-FD21792BA614}" name="financial_flow_indicator" dataDxfId="348"/>
    <tableColumn id="14" xr3:uid="{B400A6C3-2DE4-40BA-8653-5E12619489AB}" name="card_number" dataDxfId="347"/>
    <tableColumn id="15" xr3:uid="{4D934146-4002-41A2-A710-6CFEE0DBFD01}" name="beneficiary_order_number" dataDxfId="346"/>
    <tableColumn id="16" xr3:uid="{B186ACF8-CBE9-4416-BFC1-4256F0E01979}" name="recurring_transaction_indicator" dataDxfId="345"/>
    <tableColumn id="17" xr3:uid="{D65A18FD-EB4B-4859-8BED-1048BEC752C9}" name="chargeback_indicator" dataDxfId="344"/>
    <tableColumn id="18" xr3:uid="{996FB65C-F2C7-49BA-A6CA-C16ED18ADAC2}" name="card_presence_indicator" dataDxfId="343"/>
    <tableColumn id="19" xr3:uid="{A759515C-63FE-4BB3-9258-C0FAFB438E3F}" name="authentication_type_code" dataDxfId="342"/>
    <tableColumn id="20" xr3:uid="{97570BCC-A682-4A37-83BD-DED41BE2FA77}" name="original_currency_code" dataDxfId="341"/>
    <tableColumn id="21" xr3:uid="{C44C6859-6434-451D-B907-FF81527DBB62}" name="currency_code" dataDxfId="340"/>
    <tableColumn id="22" xr3:uid="{DCEF34AE-F5CA-466B-933C-D2A9DC116868}" name="transaction_date" dataDxfId="339"/>
    <tableColumn id="23" xr3:uid="{4D6F992B-BF96-4E69-AAB6-0AEEB5CA4E2F}" name="transaction_execution_date" dataDxfId="338"/>
    <tableColumn id="24" xr3:uid="{4A57D397-0C32-46CD-857B-6C230B7CE800}" name="original_amount" dataDxfId="337"/>
    <tableColumn id="25" xr3:uid="{28E3D694-62B3-4C7E-BB24-5DD188408251}" name="amount" dataDxfId="336"/>
    <tableColumn id="26" xr3:uid="{8DFB6961-FECA-4C2F-853B-C703B9499481}" name="terminal_organization_id" dataDxfId="335"/>
    <tableColumn id="27" xr3:uid="{9F1F1EF7-FCE3-495B-887B-AB5E2EA55303}" name="terminal_description" dataDxfId="334"/>
    <tableColumn id="28" xr3:uid="{25DDB822-CB99-498A-8ADB-71C22E5FD9C5}" name="atm_terminal_id" dataDxfId="333"/>
    <tableColumn id="29" xr3:uid="{95B09128-CB4F-4E57-A76B-564901451D61}" name="pos_terminal_id" dataDxfId="332"/>
    <tableColumn id="30" xr3:uid="{4EA39686-4FE0-4ABE-83F6-1CBC10340B44}" name="merchant_id" dataDxfId="331"/>
    <tableColumn id="31" xr3:uid="{F14DF3BB-1D0B-4A50-9ADD-129649D5FE02}" name="merchant_type_code" dataDxfId="330"/>
    <tableColumn id="32" xr3:uid="{7A899050-ED66-42CB-B562-E2CD0187393F}" name="source_code" dataDxfId="329"/>
    <tableColumn id="33" xr3:uid="{A70588D6-0CB7-479B-8CFA-301F3C530760}" name="data_date_part" dataDxfId="328"/>
    <tableColumn id="34" xr3:uid="{DFD7C820-DB13-4476-A9E4-2614E4DB38C2}" name="data_timestamp_part" dataDxfId="327"/>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7" totalsRowShown="0" headerRowDxfId="326" dataDxfId="325" tableBorderDxfId="324">
  <autoFilter ref="B30:F37" xr:uid="{9121FEBE-5052-4C33-8556-5048BDB999FA}"/>
  <sortState xmlns:xlrd2="http://schemas.microsoft.com/office/spreadsheetml/2017/richdata2" ref="B31:F32">
    <sortCondition ref="B30:B32"/>
  </sortState>
  <tableColumns count="5">
    <tableColumn id="1" xr3:uid="{59F71672-58D0-4647-A6EF-7BCCE0F068CB}" name="Test ID" dataDxfId="323"/>
    <tableColumn id="2" xr3:uid="{29E9C52E-652C-46B2-98A7-F396EDA13B56}" name="Field" dataDxfId="322"/>
    <tableColumn id="3" xr3:uid="{B4A99768-C287-44F6-AF17-7376C9028354}" name="Justification" dataDxfId="321"/>
    <tableColumn id="4" xr3:uid="{564F8B54-E4BD-425E-B841-7F0B2773D3B2}" name="Number of Occurences" dataDxfId="320"/>
    <tableColumn id="5" xr3:uid="{7F7B9DC9-724B-4D23-A300-52A4565A36CB}" name="Justification State" dataDxfId="319"/>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I21" totalsRowShown="0" headerRowDxfId="318" dataDxfId="317">
  <autoFilter ref="B2:AI21" xr:uid="{98F99B18-A7DF-4D30-9CD9-BD3142DEEEDB}"/>
  <tableColumns count="34">
    <tableColumn id="1" xr3:uid="{390161C3-F15A-4C90-9848-32480241474F}" name="Case_Test" dataDxfId="316"/>
    <tableColumn id="2" xr3:uid="{282BA6DD-5914-4C33-8BE2-F939910D3EDE}" name="test_id" dataDxfId="315"/>
    <tableColumn id="3" xr3:uid="{4DF92EB7-2CD3-42B1-BA73-0E1239D5DE08}" name="test_timestamp" dataDxfId="314"/>
    <tableColumn id="4" xr3:uid="{FF190206-57D9-4E56-A98F-0314D03B29C7}" name="query_driver_data_date_part" dataDxfId="313"/>
    <tableColumn id="5" xr3:uid="{261F69D0-9561-4F60-BA85-ABC373B28B99}" name="test_number" dataDxfId="312"/>
    <tableColumn id="6" xr3:uid="{52922647-0CD8-4A91-A96D-9E769068039A}" name="score" dataDxfId="311"/>
    <tableColumn id="7" xr3:uid="{66966B0A-80EB-4A52-ACFB-F84428E2CAFC}" name="general_result" dataDxfId="310"/>
    <tableColumn id="8" xr3:uid="{FF5218F6-0D3D-47B7-B2AA-CBBEC1B651B1}" name="bank_id" dataDxfId="309"/>
    <tableColumn id="9" xr3:uid="{2183F0D9-C3A0-4BF8-BF0F-972E5E123755}" name="contract_id" dataDxfId="308"/>
    <tableColumn id="10" xr3:uid="{B7405AE8-DF5F-402A-95F9-B318605682F7}" name="order_number" dataDxfId="307"/>
    <tableColumn id="11" xr3:uid="{EDD169E1-1570-47FE-9EE1-571FA04A1691}" name="order_number_stage" dataDxfId="306"/>
    <tableColumn id="12" xr3:uid="{6441117B-C2E0-4326-9251-3C78B0D585B8}" name="transaction_type_code" dataDxfId="305"/>
    <tableColumn id="13" xr3:uid="{D7DB84FE-39E5-4478-B22A-F86AB90BCE1A}" name="financial_flow_indicator" dataDxfId="304"/>
    <tableColumn id="14" xr3:uid="{78461BC1-F8A3-4B45-82DD-FC92F3CB7CD9}" name="card_number" dataDxfId="303"/>
    <tableColumn id="15" xr3:uid="{9E140D28-E1F0-4FAC-AC55-B8791AD52FA4}" name="beneficiary_order_number" dataDxfId="302"/>
    <tableColumn id="16" xr3:uid="{C193CBD7-EA31-4EEE-8826-38C98C7E7F52}" name="recurring_transaction_indicator" dataDxfId="301"/>
    <tableColumn id="17" xr3:uid="{4741E761-C15B-4B4C-8ECD-D7135ACACFB3}" name="chargeback_indicator" dataDxfId="300"/>
    <tableColumn id="18" xr3:uid="{A7F45A4E-14AD-44B6-86B7-CD114E2B7BBF}" name="card_presence_indicator" dataDxfId="299"/>
    <tableColumn id="19" xr3:uid="{948E0054-B43E-4C76-9276-998D20DFD777}" name="authentication_type_code" dataDxfId="298"/>
    <tableColumn id="20" xr3:uid="{4CCEC06A-BDFB-484A-BB42-69A5D56FF0F6}" name="original_currency_code" dataDxfId="297"/>
    <tableColumn id="21" xr3:uid="{EC5CC640-97D8-4B5E-B4CD-15392B4E43DD}" name="currency_code" dataDxfId="296"/>
    <tableColumn id="22" xr3:uid="{8A5EC714-197B-4B36-BDC7-B1AC15C1C2C1}" name="transaction_date" dataDxfId="295"/>
    <tableColumn id="23" xr3:uid="{3722A01E-18A7-4B94-8945-926A08E4F914}" name="transaction_execution_date" dataDxfId="294"/>
    <tableColumn id="24" xr3:uid="{6F9F5A0A-2E88-495E-9489-0F6D6397E118}" name="original_amount" dataDxfId="293"/>
    <tableColumn id="25" xr3:uid="{6A6AF8EC-B533-469A-9D49-1490E0998E5B}" name="amount" dataDxfId="292"/>
    <tableColumn id="26" xr3:uid="{5D4582D1-75F6-4B2D-8E41-A73A721F4A10}" name="terminal_organization_id" dataDxfId="291"/>
    <tableColumn id="27" xr3:uid="{832BF45C-10B8-4762-8F54-F4B3986599E7}" name="terminal_description" dataDxfId="290"/>
    <tableColumn id="28" xr3:uid="{9FA0A8C6-C1E4-4182-AA63-BE8F59E65305}" name="atm_terminal_id" dataDxfId="289"/>
    <tableColumn id="29" xr3:uid="{48108370-E9F5-4478-8884-E8F867B158D2}" name="pos_terminal_id" dataDxfId="288"/>
    <tableColumn id="30" xr3:uid="{D8D5C23C-CB82-446D-9C61-B67BF497D648}" name="merchant_id" dataDxfId="287"/>
    <tableColumn id="31" xr3:uid="{F29A1F1F-F3CC-4C03-9795-25FC34952847}" name="merchant_type_code" dataDxfId="286"/>
    <tableColumn id="32" xr3:uid="{2A3519D8-D43E-438F-AE9A-F8E02E9036EA}" name="source_code" dataDxfId="285"/>
    <tableColumn id="33" xr3:uid="{007BCB4F-D149-4CE4-996A-67FABD0142A6}" name="data_date_part" dataDxfId="284"/>
    <tableColumn id="34" xr3:uid="{ACCA8722-FE13-4057-B234-327C0A2C3CFF}" name="data_timestamp_part" dataDxfId="283"/>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5" totalsRowShown="0" headerRowDxfId="282" dataDxfId="281" tableBorderDxfId="280">
  <autoFilter ref="B30:F35" xr:uid="{9121FEBE-5052-4C33-8556-5048BDB999FA}"/>
  <sortState xmlns:xlrd2="http://schemas.microsoft.com/office/spreadsheetml/2017/richdata2" ref="B31:F32">
    <sortCondition ref="B30:B32"/>
  </sortState>
  <tableColumns count="5">
    <tableColumn id="1" xr3:uid="{00FA21F0-81BF-430D-9BBE-DF03FD47FFB3}" name="Test ID" dataDxfId="279"/>
    <tableColumn id="2" xr3:uid="{5BD32E6B-2B9F-4BAF-9E99-B673171FA1CD}" name="Field" dataDxfId="278"/>
    <tableColumn id="3" xr3:uid="{84B220B6-2871-404E-8CEB-BB0F71663C2F}" name="Justification" dataDxfId="277"/>
    <tableColumn id="4" xr3:uid="{F5912715-2C26-43E9-8229-AF5522556751}" name="Number of Occurences" dataDxfId="276"/>
    <tableColumn id="5" xr3:uid="{082D5718-CD1A-4DFA-B8ED-D4280E934785}" name="Justification State" dataDxfId="275"/>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I21" totalsRowShown="0" headerRowDxfId="274" dataDxfId="273">
  <autoFilter ref="B2:AI21" xr:uid="{98F99B18-A7DF-4D30-9CD9-BD3142DEEEDB}"/>
  <tableColumns count="34">
    <tableColumn id="1" xr3:uid="{55AC8386-227A-4913-944D-0102C310CCBD}" name="Case_Test" dataDxfId="272"/>
    <tableColumn id="2" xr3:uid="{76D2AF99-9CB8-4618-BCB7-E5B997D7E43E}" name="test_id" dataDxfId="271"/>
    <tableColumn id="3" xr3:uid="{ED700BF7-A1C5-4562-B2EE-3F7C1D47C69E}" name="test_timestamp" dataDxfId="270"/>
    <tableColumn id="4" xr3:uid="{54516FA7-29CE-4717-81F0-6EFBDA6111F0}" name="query_driver_data_date_part" dataDxfId="269"/>
    <tableColumn id="5" xr3:uid="{BC90141C-9D24-496A-8E6A-D471C32C369E}" name="test_number" dataDxfId="268"/>
    <tableColumn id="6" xr3:uid="{B6B68227-72B9-4BDC-9A33-053D6705CB4A}" name="score" dataDxfId="267"/>
    <tableColumn id="7" xr3:uid="{F42CD6E4-96B5-42C7-8DD9-663905A2604D}" name="general_result" dataDxfId="266"/>
    <tableColumn id="8" xr3:uid="{259E53EC-DF38-40B7-AF38-32C02EB0FA98}" name="bank_id" dataDxfId="265"/>
    <tableColumn id="9" xr3:uid="{BF564BA7-59AF-41A6-9E24-31CCD959BD69}" name="contract_id" dataDxfId="264"/>
    <tableColumn id="10" xr3:uid="{B30BB6C4-AFC9-49E9-8278-066D0BD20EDA}" name="order_number" dataDxfId="263"/>
    <tableColumn id="11" xr3:uid="{E341ED0F-1C67-411E-B594-DEAFEB43FF98}" name="order_number_stage" dataDxfId="262"/>
    <tableColumn id="12" xr3:uid="{C58B5E8D-088A-47AD-8CD3-6CDEBA5572BD}" name="transaction_type_code" dataDxfId="261"/>
    <tableColumn id="34" xr3:uid="{C8A540FC-1976-44E3-B03F-63AFDEE19CAC}" name="financial_flow_indicator" dataDxfId="260"/>
    <tableColumn id="13" xr3:uid="{EB196534-D1C4-4648-B5A6-9928DFDC8411}" name="card_number" dataDxfId="259"/>
    <tableColumn id="14" xr3:uid="{005AC1B1-A041-4089-9FD6-7E6DEBCBDF4F}" name="beneficiary_order_number" dataDxfId="258"/>
    <tableColumn id="15" xr3:uid="{560838C2-8136-4CD3-9243-C6489C68D8F1}" name="recurring_transaction_indicator" dataDxfId="257"/>
    <tableColumn id="16" xr3:uid="{C5221579-8534-4F1B-BD60-F2F0E587A1AF}" name="chargeback_indicator" dataDxfId="256"/>
    <tableColumn id="17" xr3:uid="{1FF6D795-0B06-4A37-A451-42B88EE9DC88}" name="card_presence_indicator" dataDxfId="255"/>
    <tableColumn id="18" xr3:uid="{0A9FFCC8-9B12-4FE3-A6AF-3FF618B68760}" name="authentication_type_code" dataDxfId="254"/>
    <tableColumn id="19" xr3:uid="{ED31327C-EC8B-4936-847B-0115A60629D1}" name="original_currency_code" dataDxfId="253"/>
    <tableColumn id="20" xr3:uid="{5190705C-2485-42E7-818D-B09B659F65C6}" name="currency_code" dataDxfId="252"/>
    <tableColumn id="21" xr3:uid="{8E4F7046-1DD9-4E18-94EB-20283492C0D8}" name="transaction_date" dataDxfId="251"/>
    <tableColumn id="22" xr3:uid="{E8796625-D1CD-4ACC-A692-AEC5B70122EF}" name="transaction_execution_date" dataDxfId="250"/>
    <tableColumn id="23" xr3:uid="{EF2911AA-50E0-492A-AD7A-B346164FD465}" name="original_amount" dataDxfId="249"/>
    <tableColumn id="24" xr3:uid="{D0DC8BF4-A5BA-421F-A34C-B456C58006BD}" name="amount" dataDxfId="248"/>
    <tableColumn id="25" xr3:uid="{CA5793C7-2D40-4936-91E9-EE53E8E03AFC}" name="terminal_organization_id" dataDxfId="247"/>
    <tableColumn id="26" xr3:uid="{9C8C2ED3-B91E-4BA0-A6C5-9ACD07926E5E}" name="atm_terminal_id" dataDxfId="246"/>
    <tableColumn id="27" xr3:uid="{14794463-73A4-402D-807A-7A80848BE091}" name="terminal_description" dataDxfId="245"/>
    <tableColumn id="28" xr3:uid="{8ADD8A71-E28E-48C1-8894-2F9C8D73A6CC}" name="pos_terminal_id" dataDxfId="244"/>
    <tableColumn id="29" xr3:uid="{2AC11CCC-1EF6-4955-BE2E-166A6998FE2C}" name="merchant_type_code" dataDxfId="243"/>
    <tableColumn id="30" xr3:uid="{23D6BDD5-0E88-4B3D-9328-3F40E390D299}" name="merchant_id" dataDxfId="242"/>
    <tableColumn id="31" xr3:uid="{05DA1B5C-66E6-4512-9F68-6C9EFD04A7B1}" name="source_code" dataDxfId="241"/>
    <tableColumn id="32" xr3:uid="{67934C25-1550-4196-8E8A-04EB523F5180}" name="data_date_part" dataDxfId="240"/>
    <tableColumn id="33" xr3:uid="{61854520-06AA-4B35-9728-0C71112CA6BD}" name="data_timestamp_part" dataDxfId="23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37" totalsRowShown="0" headerRowDxfId="238" dataDxfId="237" tableBorderDxfId="236">
  <autoFilter ref="B30:F37" xr:uid="{9121FEBE-5052-4C33-8556-5048BDB999FA}"/>
  <sortState xmlns:xlrd2="http://schemas.microsoft.com/office/spreadsheetml/2017/richdata2" ref="B31:F31">
    <sortCondition ref="B30:B31"/>
  </sortState>
  <tableColumns count="5">
    <tableColumn id="1" xr3:uid="{209084B5-002E-45F4-8757-72035F78901C}" name="Test ID" dataDxfId="235"/>
    <tableColumn id="2" xr3:uid="{D469BEFF-2169-43A8-8C49-57803B36E203}" name="Field" dataDxfId="234"/>
    <tableColumn id="3" xr3:uid="{C0E33CAF-9582-4DA5-945B-4766434DC000}" name="Justification" dataDxfId="233"/>
    <tableColumn id="4" xr3:uid="{387EBDCC-4D81-4879-A892-001BAE7F8340}" name="Number of Occurences" dataDxfId="232"/>
    <tableColumn id="5" xr3:uid="{F79DDA3B-476A-4DC5-9400-F2F5759EB320}" name="Justification State" dataDxfId="23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CB984D-7D58-4AC8-BA70-A61B4BB5101B}" name="Table61113171923" displayName="Table61113171923" ref="B2:U21" totalsRowShown="0" headerRowDxfId="230" dataDxfId="229">
  <autoFilter ref="B2:U21" xr:uid="{98F99B18-A7DF-4D30-9CD9-BD3142DEEEDB}"/>
  <tableColumns count="20">
    <tableColumn id="1" xr3:uid="{14770AF0-B73A-4511-A43F-795CECA7F4C3}" name="Case_Test" dataDxfId="228"/>
    <tableColumn id="2" xr3:uid="{3B8D66AF-F31F-42C7-8CFF-7EF5A1B6D94E}" name="test_id" dataDxfId="227"/>
    <tableColumn id="3" xr3:uid="{2FFDCE77-6A38-43DA-9C4C-A27E33260132}" name="test_timestamp" dataDxfId="226"/>
    <tableColumn id="4" xr3:uid="{08BE8540-1415-4E80-A5BC-CBB6DD943FF0}" name="query_driver_data_date_part" dataDxfId="225"/>
    <tableColumn id="5" xr3:uid="{4D3697A2-1B6D-46F9-9B2B-70D121055267}" name="test_number" dataDxfId="224"/>
    <tableColumn id="6" xr3:uid="{E56D53B5-EDF3-4620-B7C0-F2B1613B7876}" name="score" dataDxfId="223"/>
    <tableColumn id="7" xr3:uid="{5AD8A322-311C-456A-90B1-799C1B86E037}" name="general_result" dataDxfId="222"/>
    <tableColumn id="8" xr3:uid="{59A8845A-59B2-405A-A24F-0D52623C0212}" name="bank_id" dataDxfId="221"/>
    <tableColumn id="9" xr3:uid="{DC2F6310-32CD-47F7-9AAE-EB73B0953BCF}" name="contract_id" dataDxfId="220"/>
    <tableColumn id="10" xr3:uid="{ADA584E0-2AFA-43CE-8725-987DD9F1A005}" name="order_number" dataDxfId="219"/>
    <tableColumn id="11" xr3:uid="{9E00E73D-E2E7-4E27-92E9-FF49E7DC15DA}" name="order_number_stage" dataDxfId="218"/>
    <tableColumn id="12" xr3:uid="{37AA1A64-65F8-40E0-86EC-9DD5CE183DAE}" name="transaction_type_code" dataDxfId="217"/>
    <tableColumn id="34" xr3:uid="{69F98A8A-B5BB-483C-A9B9-0F3142648484}" name="financial_flow_indicator" dataDxfId="216"/>
    <tableColumn id="13" xr3:uid="{5B410CA3-3331-4321-937D-5F7E7E612679}" name="currency_code" dataDxfId="215"/>
    <tableColumn id="14" xr3:uid="{1C1951D2-C2DF-4813-B35C-BE8DFF69DB68}" name="transaction_date" dataDxfId="214"/>
    <tableColumn id="15" xr3:uid="{BBFF5CDE-DA50-46C0-A388-12B81618F5E1}" name="transaction_execution_date" dataDxfId="213"/>
    <tableColumn id="16" xr3:uid="{16E4CB6C-1DC5-421C-9A64-30412D6B079A}" name="amount" dataDxfId="212"/>
    <tableColumn id="17" xr3:uid="{AB44A910-E449-4217-A128-DA0A883FCB05}" name="source_code" dataDxfId="211"/>
    <tableColumn id="18" xr3:uid="{7A3FCA76-E3E4-4662-864C-EF817C062F51}" name="data_date_part" dataDxfId="210"/>
    <tableColumn id="19" xr3:uid="{F5A432F0-4750-4FC3-ADE8-F935C5E8F864}" name="data_timestamp_part" dataDxfId="209"/>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74021E4-9EF5-45C4-A2BA-8D4230EF7911}" name="Table101214182024" displayName="Table101214182024" ref="B30:F34" totalsRowShown="0" headerRowDxfId="208" dataDxfId="207" tableBorderDxfId="206">
  <autoFilter ref="B30:F34" xr:uid="{9121FEBE-5052-4C33-8556-5048BDB999FA}"/>
  <sortState xmlns:xlrd2="http://schemas.microsoft.com/office/spreadsheetml/2017/richdata2" ref="B31:F31">
    <sortCondition ref="B30:B31"/>
  </sortState>
  <tableColumns count="5">
    <tableColumn id="1" xr3:uid="{C37A5F7E-6234-4811-B795-93C37273D1EE}" name="Test ID" dataDxfId="205"/>
    <tableColumn id="2" xr3:uid="{9D81219A-03C8-4755-BFA6-135A58421106}" name="Field" dataDxfId="204"/>
    <tableColumn id="3" xr3:uid="{A73A2536-8948-47B1-BD0E-3D0C14047049}" name="Justification" dataDxfId="203"/>
    <tableColumn id="4" xr3:uid="{2F6861D7-25D0-405B-976F-35093ABB20CB}" name="Number of Occurences" dataDxfId="202"/>
    <tableColumn id="5" xr3:uid="{9C7B1BA8-7223-4F18-9F7E-20C72246B6EE}" name="Justification State" dataDxfId="201"/>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26B6987-CEAD-4F47-96CE-5ED932A00403}" name="Table6111317192527" displayName="Table6111317192527" ref="B2:X21" totalsRowShown="0" headerRowDxfId="200" dataDxfId="199">
  <autoFilter ref="B2:X21" xr:uid="{98F99B18-A7DF-4D30-9CD9-BD3142DEEEDB}"/>
  <tableColumns count="23">
    <tableColumn id="1" xr3:uid="{52CA5B72-0398-44F4-BC22-2EAEA50321DE}" name="Case_Test" dataDxfId="198"/>
    <tableColumn id="2" xr3:uid="{D0235CD5-970B-4EDE-ABC7-2C16BBCAFE0B}" name="test_id" dataDxfId="197"/>
    <tableColumn id="3" xr3:uid="{AE877707-1ED5-4658-97A7-ED5DF0E5ED36}" name="test_timestamp" dataDxfId="196"/>
    <tableColumn id="4" xr3:uid="{8F187913-F589-4757-8D6A-6AD5F78F912D}" name="query_driver_data_date_part" dataDxfId="195"/>
    <tableColumn id="5" xr3:uid="{04C955C7-2DB3-454D-B698-FD38442E9396}" name="test_number" dataDxfId="194"/>
    <tableColumn id="6" xr3:uid="{41566357-D956-4759-BB2D-072CB7A45F86}" name="score" dataDxfId="193"/>
    <tableColumn id="7" xr3:uid="{FB765165-0BE3-4CB5-AA11-9AA0DA730BED}" name="general_result" dataDxfId="192"/>
    <tableColumn id="8" xr3:uid="{D3E89A1A-1026-41C7-AEAD-A925113F218A}" name="bank_id" dataDxfId="191"/>
    <tableColumn id="9" xr3:uid="{4CE0E53B-74DA-468D-AEEC-4AFA27EA34A9}" name="contract_id" dataDxfId="190"/>
    <tableColumn id="10" xr3:uid="{33AD990B-C1C3-46F9-BD68-9ADC877B547C}" name="order_number" dataDxfId="189"/>
    <tableColumn id="11" xr3:uid="{28E9A788-F1D6-4146-9EF7-24E9D84003C1}" name="order_number_stage" dataDxfId="188"/>
    <tableColumn id="12" xr3:uid="{76BE2F1E-B046-4058-86E3-88F5E5FD6BCB}" name="transaction_type_code" dataDxfId="187"/>
    <tableColumn id="34" xr3:uid="{982C7667-91B1-4DDE-9F3D-A93300C84C95}" name="financial_flow_indicator" dataDxfId="186"/>
    <tableColumn id="13" xr3:uid="{68DB0596-60FA-49D4-8BF9-AA5CAA2BC2E7}" name="currency_code" dataDxfId="185"/>
    <tableColumn id="14" xr3:uid="{26255F14-B311-4781-8AD4-531365CE197D}" name="installment_number" dataDxfId="184"/>
    <tableColumn id="15" xr3:uid="{4523FBE2-FD35-4E35-B05D-6060408CC5A3}" name="chargeback_indicator" dataDxfId="183"/>
    <tableColumn id="16" xr3:uid="{8B841018-8ED9-4603-94D9-393BA09FAC6B}" name="chargeback_date" dataDxfId="182"/>
    <tableColumn id="17" xr3:uid="{99BD3879-EA10-4621-99D6-88DAFE07A71F}" name="transaction_date" dataDxfId="181"/>
    <tableColumn id="18" xr3:uid="{C8E7B287-2D44-47C4-8E61-43E7C3FDE420}" name="transaction_execution_date" dataDxfId="180"/>
    <tableColumn id="19" xr3:uid="{E55E983B-4224-4A54-83BD-341E5ECEABFC}" name="amount" dataDxfId="179"/>
    <tableColumn id="20" xr3:uid="{C021A244-DA87-4DC9-AB25-6E4FE52D7A8E}" name="source_code" dataDxfId="178"/>
    <tableColumn id="21" xr3:uid="{8E95793B-0AC2-493D-9F7F-92810809B088}" name="data_date_part" dataDxfId="177"/>
    <tableColumn id="22" xr3:uid="{1F23191F-5BD5-4079-873E-D9C14CC37556}" name="data_timestamp_part" dataDxfId="17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4AE5108-A54F-437E-9383-59C109F774F9}" name="Table10121418202628" displayName="Table10121418202628" ref="B30:F45" totalsRowShown="0" headerRowDxfId="175" dataDxfId="174" tableBorderDxfId="173">
  <autoFilter ref="B30:F45" xr:uid="{9121FEBE-5052-4C33-8556-5048BDB999FA}"/>
  <sortState xmlns:xlrd2="http://schemas.microsoft.com/office/spreadsheetml/2017/richdata2" ref="B31:F31">
    <sortCondition ref="B30:B31"/>
  </sortState>
  <tableColumns count="5">
    <tableColumn id="1" xr3:uid="{E30F72FD-3B8F-4E2C-A792-3B4A05A8DBE3}" name="Test ID" dataDxfId="172"/>
    <tableColumn id="2" xr3:uid="{300A289B-0D5D-450C-AFB0-BA03810F7A00}" name="Field" dataDxfId="171"/>
    <tableColumn id="3" xr3:uid="{BD672909-B98A-45EC-BF95-B94B995A265E}" name="Justification" dataDxfId="170"/>
    <tableColumn id="4" xr3:uid="{09434DF9-480F-49FB-BFD4-7E6F60042230}" name="Number of Occurences" dataDxfId="169"/>
    <tableColumn id="5" xr3:uid="{55E47F65-267C-4706-8B30-F0AD1B86B987}" name="Justification State" dataDxfId="16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F6D734-66AF-4AB0-A67D-8D3EA76F7803}" name="Table61113171925" displayName="Table61113171925" ref="B2:X21" totalsRowShown="0" headerRowDxfId="167" dataDxfId="166">
  <autoFilter ref="B2:X21" xr:uid="{98F99B18-A7DF-4D30-9CD9-BD3142DEEEDB}"/>
  <tableColumns count="23">
    <tableColumn id="1" xr3:uid="{FF220F84-8ED1-40A7-9ED9-75158518D2DB}" name="Case_Test" dataDxfId="165"/>
    <tableColumn id="2" xr3:uid="{AF15E24C-7FEF-4B0C-A366-4B9A3EB3E194}" name="test_id" dataDxfId="164"/>
    <tableColumn id="3" xr3:uid="{C6118EE6-89DE-4857-A048-2B1FF409FE02}" name="test_timestamp" dataDxfId="163"/>
    <tableColumn id="4" xr3:uid="{667A31E0-24F8-465E-A523-C18B206FDB58}" name="query_driver_data_date_part" dataDxfId="162"/>
    <tableColumn id="5" xr3:uid="{0FB6D1FB-A481-4527-BBC9-E5FAE02332D0}" name="test_number" dataDxfId="161"/>
    <tableColumn id="6" xr3:uid="{BEA0F25F-F092-4894-8D32-D517C1C24AF4}" name="score" dataDxfId="160"/>
    <tableColumn id="7" xr3:uid="{46D6F052-CC52-4B50-AAE0-DE6FFB821A0D}" name="general_result" dataDxfId="159"/>
    <tableColumn id="8" xr3:uid="{C567C2D1-75D6-465E-AF95-6B691167E9ED}" name="bank_id" dataDxfId="158"/>
    <tableColumn id="9" xr3:uid="{7AC4BC24-3ABB-4798-BBA2-FB0E28999FDB}" name="contract_id" dataDxfId="157"/>
    <tableColumn id="10" xr3:uid="{23824B64-5B59-4230-A6DF-4F8637E3A973}" name="order_number" dataDxfId="156"/>
    <tableColumn id="11" xr3:uid="{DD36AC3E-91CB-4388-8033-FAAE5DD35A62}" name="order_number_stage" dataDxfId="155"/>
    <tableColumn id="12" xr3:uid="{90A9454A-E804-42C3-97A6-F7C5E55DB37D}" name="transaction_type_code" dataDxfId="154"/>
    <tableColumn id="34" xr3:uid="{0A446977-E1AC-45ED-962A-0E28B378D1E7}" name="transaction_execution_date" dataDxfId="153"/>
    <tableColumn id="13" xr3:uid="{16876B73-E993-4F55-A0BD-16E3B3325C76}" name="amount" dataDxfId="152"/>
    <tableColumn id="14" xr3:uid="{B63B2004-9B34-4A0A-81F6-69D12D340A2F}" name="financial_flow_indicator" dataDxfId="151"/>
    <tableColumn id="15" xr3:uid="{E9387724-F562-479B-908B-AD979FD1C9C8}" name="currency_code" dataDxfId="150"/>
    <tableColumn id="16" xr3:uid="{9B0ADC85-EC84-484D-B48E-129EA7D545CA}" name="transaction_date" dataDxfId="149"/>
    <tableColumn id="17" xr3:uid="{18204970-6C7E-4840-BB5A-3DCE61D7F100}" name="transfer_reference" dataDxfId="148"/>
    <tableColumn id="18" xr3:uid="{F3FE4189-7257-4AC0-9916-54B0C408BC81}" name="description" dataDxfId="147"/>
    <tableColumn id="19" xr3:uid="{0A1A633D-EF5C-40EE-A071-AAC9F6F9B6C0}" name="comment" dataDxfId="146"/>
    <tableColumn id="20" xr3:uid="{F57C4B18-57EF-4C0B-AB97-1974CD2407E5}" name="source_code" dataDxfId="145"/>
    <tableColumn id="21" xr3:uid="{476799A6-0FB9-42CF-B3F8-D3C24EE29CE2}" name="data_date_part" dataDxfId="144"/>
    <tableColumn id="22" xr3:uid="{77432B93-EDC5-4996-A6D7-4585225EB088}" name="data_timestamp_part" dataDxfId="143"/>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AF33430-E327-4721-8286-53E2C71687EC}" name="Table101214182026" displayName="Table101214182026" ref="B30:F32" totalsRowShown="0" headerRowDxfId="142" dataDxfId="141" tableBorderDxfId="140">
  <autoFilter ref="B30:F32" xr:uid="{9121FEBE-5052-4C33-8556-5048BDB999FA}"/>
  <sortState xmlns:xlrd2="http://schemas.microsoft.com/office/spreadsheetml/2017/richdata2" ref="B31:F31">
    <sortCondition ref="B30:B31"/>
  </sortState>
  <tableColumns count="5">
    <tableColumn id="1" xr3:uid="{2D1FF1F0-BA2E-4806-BE73-008A47C96DA3}" name="Test ID" dataDxfId="139"/>
    <tableColumn id="2" xr3:uid="{D0C3C08D-B789-47A8-8CAE-0C5142C6E6FC}" name="Field" dataDxfId="138"/>
    <tableColumn id="3" xr3:uid="{C379CD12-2745-4A7E-9CDE-8151A73B56D3}" name="Justification" dataDxfId="137"/>
    <tableColumn id="4" xr3:uid="{070F3DE3-B495-4D19-9FB5-20C8F8354EAB}" name="Number of Occurences" dataDxfId="136"/>
    <tableColumn id="5" xr3:uid="{DB7A4CEC-5489-4092-A7FC-A54ABC0ABEDD}" name="Justification State" dataDxfId="135"/>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E69E17-D54E-43AE-BD8B-B948B8F1F5BD}" name="Table6111317192529" displayName="Table6111317192529" ref="B2:X21" totalsRowShown="0" headerRowDxfId="134" dataDxfId="133">
  <autoFilter ref="B2:X21" xr:uid="{98F99B18-A7DF-4D30-9CD9-BD3142DEEEDB}"/>
  <tableColumns count="23">
    <tableColumn id="1" xr3:uid="{6CA41FD2-9335-4959-ABC5-AED8F8EBB743}" name="Case_Test" dataDxfId="132"/>
    <tableColumn id="2" xr3:uid="{99477B50-ACE8-4DB8-AC01-E59EBF0DB4BA}" name="test_id" dataDxfId="131"/>
    <tableColumn id="3" xr3:uid="{0FF43701-57EF-4983-A6B4-435D5606D763}" name="test_timestamp" dataDxfId="130"/>
    <tableColumn id="4" xr3:uid="{663C3136-2B52-4100-AB35-92A4FAE5CB9B}" name="query_driver_data_date_part" dataDxfId="129"/>
    <tableColumn id="5" xr3:uid="{A0F17DEE-F247-44A2-80E8-738434E8BE2D}" name="test_number" dataDxfId="128"/>
    <tableColumn id="6" xr3:uid="{3089C3ED-98E8-4EB5-A286-1E660F6F2B6D}" name="score" dataDxfId="127"/>
    <tableColumn id="7" xr3:uid="{F9C8A4FF-DDC1-4774-A900-EBF23B65DB63}" name="general_result" dataDxfId="126"/>
    <tableColumn id="8" xr3:uid="{2E070DB3-FBB2-4F90-9601-1843151897AC}" name="bank_id" dataDxfId="125"/>
    <tableColumn id="9" xr3:uid="{1851B9F6-3B5F-4DB2-93A5-DCB0CB613788}" name="contract_id" dataDxfId="124"/>
    <tableColumn id="10" xr3:uid="{0140C575-45A4-4382-87A8-B5FEB067114B}" name="order_number" dataDxfId="123"/>
    <tableColumn id="11" xr3:uid="{BD3A50C7-4F75-4A84-A24C-EB91B62EF731}" name="order_number_stage" dataDxfId="122"/>
    <tableColumn id="12" xr3:uid="{B6ACA7AE-05E3-407B-9BE6-391A69EB3098}" name="transaction_type_code" dataDxfId="121"/>
    <tableColumn id="34" xr3:uid="{CA9FBB78-659C-4D79-9317-286D35C15076}" name="transaction_execution_date" dataDxfId="120"/>
    <tableColumn id="13" xr3:uid="{2C998628-E849-4C1C-8FDF-3A52962148A0}" name="amount" dataDxfId="119"/>
    <tableColumn id="14" xr3:uid="{57376A41-A47D-4DB7-BC70-4D3A67C0C616}" name="financial_flow_indicator" dataDxfId="118"/>
    <tableColumn id="15" xr3:uid="{DD1DB830-2F5B-4902-A9EE-A2CC31078FE1}" name="currency_code" dataDxfId="117"/>
    <tableColumn id="16" xr3:uid="{95A16F3A-2889-4C5C-9772-997A6EF642B9}" name="transaction_date" dataDxfId="116"/>
    <tableColumn id="17" xr3:uid="{73D6B7FC-41BF-443F-8B48-1A6372B4EC05}" name="transfer_reference" dataDxfId="115"/>
    <tableColumn id="18" xr3:uid="{8A1CF097-9AA2-43F5-ADE9-8DD1AC0AA149}" name="description" dataDxfId="114"/>
    <tableColumn id="19" xr3:uid="{A80286E5-B7D2-44B1-805F-AE5337C84C2A}" name="comment" dataDxfId="113"/>
    <tableColumn id="20" xr3:uid="{778AB9AE-E212-4257-A6D9-A8FB1FEAEC29}" name="source_code" dataDxfId="112"/>
    <tableColumn id="21" xr3:uid="{DFE7FCAE-C788-49B6-9415-E48FDDF9BE17}" name="data_date_part" dataDxfId="111"/>
    <tableColumn id="22" xr3:uid="{2443BBB4-C4DC-49CE-81D8-044536E1B3AD}" name="data_timestamp_part" dataDxfId="110"/>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E9D41AF-79E5-4205-86CC-6FB7D2218477}" name="Table10121418202630" displayName="Table10121418202630" ref="B30:F32" totalsRowShown="0" headerRowDxfId="109" dataDxfId="108" tableBorderDxfId="107">
  <autoFilter ref="B30:F32" xr:uid="{9121FEBE-5052-4C33-8556-5048BDB999FA}"/>
  <sortState xmlns:xlrd2="http://schemas.microsoft.com/office/spreadsheetml/2017/richdata2" ref="B31:F31">
    <sortCondition ref="B30:B31"/>
  </sortState>
  <tableColumns count="5">
    <tableColumn id="1" xr3:uid="{79C36966-065E-45DB-A3E2-57447BD4B509}" name="Test ID" dataDxfId="106"/>
    <tableColumn id="2" xr3:uid="{C96A2014-9FB5-41E4-BFC8-75F9CC46715D}" name="Field" dataDxfId="105"/>
    <tableColumn id="3" xr3:uid="{1D37B1BB-BDD4-4186-9C09-56D72C48B4F7}" name="Justification" dataDxfId="104"/>
    <tableColumn id="4" xr3:uid="{2653B484-E3C5-4F7E-A4BC-8637EF73C0AD}" name="Number of Occurences" dataDxfId="103"/>
    <tableColumn id="5" xr3:uid="{78BF3B10-F16E-4E4F-B984-A982DA0F4482}" name="Justification State" dataDxfId="102"/>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A0F3995-1C29-4F7A-B10F-84CDE812A28A}" name="Table611131719252931" displayName="Table611131719252931" ref="B2:U21" totalsRowShown="0" headerRowDxfId="101" dataDxfId="100">
  <autoFilter ref="B2:U21" xr:uid="{98F99B18-A7DF-4D30-9CD9-BD3142DEEEDB}"/>
  <tableColumns count="20">
    <tableColumn id="1" xr3:uid="{68648D85-3DB9-4DE3-9CA8-138309B3B3B1}" name="Case_Test" dataDxfId="99"/>
    <tableColumn id="2" xr3:uid="{C82D909C-96D1-4B85-B4C5-239025CA6642}" name="test_id" dataDxfId="98"/>
    <tableColumn id="3" xr3:uid="{03BC5EA5-F341-460F-AAC0-3DFF792A4B32}" name="test_timestamp" dataDxfId="97"/>
    <tableColumn id="4" xr3:uid="{62D116BE-2435-491E-BC88-60E719B97FA6}" name="query_driver_data_date_part" dataDxfId="96"/>
    <tableColumn id="5" xr3:uid="{57DF49A2-1A30-4A57-B766-B93F9A085018}" name="test_number" dataDxfId="95"/>
    <tableColumn id="6" xr3:uid="{1F713611-8BC0-4487-8819-0AA171D40072}" name="score" dataDxfId="94"/>
    <tableColumn id="7" xr3:uid="{2FD321AE-D28D-4E5C-B9F5-EB083DB77528}" name="general_result" dataDxfId="93"/>
    <tableColumn id="8" xr3:uid="{63EEAEC8-62E3-48A0-B467-49BCACBF788F}" name="bank_id" dataDxfId="92"/>
    <tableColumn id="9" xr3:uid="{507F9F5B-88D6-4628-AE6A-908140DA868F}" name="contract_id" dataDxfId="91"/>
    <tableColumn id="10" xr3:uid="{32D04ABF-026D-495B-BC6B-FAA986FA21C6}" name="order_number" dataDxfId="90"/>
    <tableColumn id="11" xr3:uid="{EC2AACEE-E1A3-4579-A1A1-3D90FC8F524D}" name="order_number_stage" dataDxfId="89"/>
    <tableColumn id="12" xr3:uid="{DD523ECE-2F53-452A-BB12-3ABACACA8BD8}" name="transaction_type_code" dataDxfId="88"/>
    <tableColumn id="34" xr3:uid="{0EACAF4F-9347-416F-8124-965F392AC182}" name="currency_code" dataDxfId="87"/>
    <tableColumn id="13" xr3:uid="{1D9D23E7-8320-44A6-BF50-BEA1EEE9A693}" name="chargeback_indicator" dataDxfId="86"/>
    <tableColumn id="14" xr3:uid="{647602CC-4C28-4DCF-AA9C-C7AAF5BF5163}" name="transaction_date" dataDxfId="85"/>
    <tableColumn id="15" xr3:uid="{B08BE334-6623-4A16-997C-1D4F93159A93}" name="transaction_execution_date" dataDxfId="84"/>
    <tableColumn id="16" xr3:uid="{3EF3A11F-E38B-4A13-9543-D7E1460F9AF5}" name="amount" dataDxfId="83"/>
    <tableColumn id="17" xr3:uid="{1D3468FB-4FE8-4A20-A2AF-D0837FB43FA7}" name="source_code" dataDxfId="82"/>
    <tableColumn id="18" xr3:uid="{E84B736A-CCA3-44E0-9370-414BB744F7A6}" name="data_date_part" dataDxfId="81"/>
    <tableColumn id="19" xr3:uid="{5BF5491C-2DE7-43A8-9AE9-192AC010E3F9}" name="data_timestamp_part" dataDxfId="80"/>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E3DE6A1-260E-4CE6-909B-009FE5575A06}" name="Table1012141820263032" displayName="Table1012141820263032" ref="B30:F34" totalsRowShown="0" headerRowDxfId="79" dataDxfId="78" tableBorderDxfId="77">
  <autoFilter ref="B30:F34" xr:uid="{9121FEBE-5052-4C33-8556-5048BDB999FA}"/>
  <sortState xmlns:xlrd2="http://schemas.microsoft.com/office/spreadsheetml/2017/richdata2" ref="B31:F31">
    <sortCondition ref="B30:B31"/>
  </sortState>
  <tableColumns count="5">
    <tableColumn id="1" xr3:uid="{8891F8E8-2D8D-4528-ACC5-56501E6F4F40}" name="Test ID" dataDxfId="76"/>
    <tableColumn id="2" xr3:uid="{A826CB3F-C1D5-4AB8-9D8A-D92D962B41DB}" name="Field" dataDxfId="75"/>
    <tableColumn id="3" xr3:uid="{551F8D3E-B5EC-462C-B486-8E9DF7427BF8}" name="Justification" dataDxfId="74"/>
    <tableColumn id="4" xr3:uid="{90ABE433-A14A-4481-843F-2DDB0D3B4640}" name="Number of Occurences" dataDxfId="73"/>
    <tableColumn id="5" xr3:uid="{1C80C9D1-6583-42FE-9283-359E7A1C2FA0}" name="Justification State" dataDxfId="72"/>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93A0A9-52CD-4958-AC76-BAB27B2F4264}" name="Table6111317192529314" displayName="Table6111317192529314" ref="B2:W21" totalsRowShown="0" headerRowDxfId="71" dataDxfId="70">
  <autoFilter ref="B2:W21" xr:uid="{98F99B18-A7DF-4D30-9CD9-BD3142DEEEDB}"/>
  <tableColumns count="22">
    <tableColumn id="1" xr3:uid="{FAA96F9C-8DCB-43E6-84A0-F0EBDDA13149}" name="Case_Test" dataDxfId="69"/>
    <tableColumn id="2" xr3:uid="{DDDA9758-752B-4616-B699-F84CAC3E02EE}" name="test_id" dataDxfId="68"/>
    <tableColumn id="3" xr3:uid="{D3F15EF7-37E6-4A85-84C7-AEA0A068E0F7}" name="test_timestamp" dataDxfId="67"/>
    <tableColumn id="4" xr3:uid="{09D8A96F-4B25-47DE-AD65-2E1BCAAAA753}" name="query_driver_data_date_part" dataDxfId="66"/>
    <tableColumn id="5" xr3:uid="{8126C8DC-E277-4E7B-BFA3-1AA71BCF4E2E}" name="test_number" dataDxfId="65"/>
    <tableColumn id="6" xr3:uid="{99DB9C7D-EB8F-41B8-B42E-93114B2A2F3F}" name="score" dataDxfId="64"/>
    <tableColumn id="7" xr3:uid="{EE4C38ED-6FA1-4D87-B54A-5E2BC2C98CB7}" name="general_result" dataDxfId="63"/>
    <tableColumn id="8" xr3:uid="{848A33A1-D059-4128-82F6-614ED3DF4461}" name="bank_id" dataDxfId="62"/>
    <tableColumn id="9" xr3:uid="{D84F5507-E11F-43B3-9002-D7ED989DB8D9}" name="contract_id" dataDxfId="61"/>
    <tableColumn id="10" xr3:uid="{BF367105-A2DD-4B22-8253-B35A2A54A98A}" name="order_number" dataDxfId="60"/>
    <tableColumn id="11" xr3:uid="{1810687E-4DB2-4619-B4B1-E64755839C40}" name="order_number_stage" dataDxfId="59"/>
    <tableColumn id="12" xr3:uid="{367DBBE9-C7AD-434B-9FD9-971CF291DFCA}" name="transaction_type_code" dataDxfId="58"/>
    <tableColumn id="34" xr3:uid="{2F84C2C3-EEE8-4F5F-AC50-1473ADAB57D5}" name="financial_flow_indicator" dataDxfId="57"/>
    <tableColumn id="13" xr3:uid="{55368004-4186-4DBE-9F85-17FB3D170D7C}" name="recurring_transaction_indicator" dataDxfId="56"/>
    <tableColumn id="14" xr3:uid="{E5BFBB8C-584F-446E-8556-A0C476F8FDCB}" name="currency_code" dataDxfId="55"/>
    <tableColumn id="15" xr3:uid="{1E36511C-7D2D-48B9-9177-02CE4F9DEB5F}" name="transaction_date" dataDxfId="54"/>
    <tableColumn id="16" xr3:uid="{D3AC6298-8813-4B01-B1C1-300B0629DDAB}" name="transaction_execution_date" dataDxfId="53"/>
    <tableColumn id="17" xr3:uid="{4B57418A-9C7A-46E5-B618-8F2BD9CEAA16}" name="amount" dataDxfId="52"/>
    <tableColumn id="18" xr3:uid="{726F55B3-84D1-4F51-800C-A805E8A8C7C7}" name="comment" dataDxfId="51"/>
    <tableColumn id="19" xr3:uid="{CA288062-E6DF-4D52-94A3-2A64803005A3}" name="source_code" dataDxfId="50"/>
    <tableColumn id="20" xr3:uid="{A38A65CA-04D4-4F99-8BA1-9322C28950D5}" name="data_date_part" dataDxfId="49"/>
    <tableColumn id="21" xr3:uid="{F7C6BC53-9534-4289-A242-1926CD3DA7ED}" name="data_timestamp_part" dataDxfId="48"/>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9F73002-AD98-4170-90DA-026ECEEFCDD0}" name="Table101214182026303234" displayName="Table101214182026303234" ref="B30:F32" totalsRowShown="0" headerRowDxfId="47" dataDxfId="46" tableBorderDxfId="45">
  <autoFilter ref="B30:F32" xr:uid="{9121FEBE-5052-4C33-8556-5048BDB999FA}"/>
  <sortState xmlns:xlrd2="http://schemas.microsoft.com/office/spreadsheetml/2017/richdata2" ref="B31:F31">
    <sortCondition ref="B30:B31"/>
  </sortState>
  <tableColumns count="5">
    <tableColumn id="1" xr3:uid="{2EF8348A-D986-40B6-B370-DFF6AECA2586}" name="Test ID" dataDxfId="44"/>
    <tableColumn id="2" xr3:uid="{DADB2555-8F6A-441B-96D3-3664E846F4DC}" name="Field" dataDxfId="43"/>
    <tableColumn id="3" xr3:uid="{EA622EC1-6CE6-4B7A-A642-3A3A6722FE24}" name="Justification" dataDxfId="42"/>
    <tableColumn id="4" xr3:uid="{43A233EE-44DD-4EAD-ADB9-9148156701E0}" name="Number of Occurences" dataDxfId="41"/>
    <tableColumn id="5" xr3:uid="{99B542CB-69AD-492B-B314-ED6341144473}" name="Justification State" dataDxfId="40"/>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2E11118-4C2B-496F-84C5-7938337A3FF4}" name="Table611131719252931435" displayName="Table611131719252931435" ref="B2:AE21" totalsRowShown="0" headerRowDxfId="39" dataDxfId="38">
  <autoFilter ref="B2:AE21" xr:uid="{98F99B18-A7DF-4D30-9CD9-BD3142DEEEDB}"/>
  <tableColumns count="30">
    <tableColumn id="1" xr3:uid="{B0F6CB78-A8DD-4035-8743-19D2783AF7B1}" name="Case_Test" dataDxfId="37"/>
    <tableColumn id="2" xr3:uid="{E0105C24-EDA3-479C-BA4B-C4EDB3F1F705}" name="test_id" dataDxfId="36"/>
    <tableColumn id="3" xr3:uid="{543E73D0-E89B-4BD0-A372-C7222990FBEF}" name="test_timestamp" dataDxfId="35"/>
    <tableColumn id="4" xr3:uid="{C1A94CEA-CFCB-4CC3-9026-F7BA5B78871C}" name="query_driver_data_date_part" dataDxfId="34"/>
    <tableColumn id="5" xr3:uid="{31E6BF59-3F42-46E2-B894-196DC52F7469}" name="test_number" dataDxfId="33"/>
    <tableColumn id="6" xr3:uid="{5492DCF0-08F3-4C47-8876-4A4E1461B2DA}" name="score" dataDxfId="32"/>
    <tableColumn id="7" xr3:uid="{1F3220A1-3CE4-4EDD-A633-FE7251ECAB11}" name="general_result" dataDxfId="31"/>
    <tableColumn id="8" xr3:uid="{A70ABD1F-2790-4EC7-8A93-E225DAAD9AAF}" name="bank_id" dataDxfId="30"/>
    <tableColumn id="9" xr3:uid="{3E22C8DF-08AB-48E2-9528-58B569F5CC02}" name="contract_id" dataDxfId="29"/>
    <tableColumn id="10" xr3:uid="{6AB6CD66-5CC7-4BBD-A9B8-73F2BB6C08C9}" name="order_number" dataDxfId="28"/>
    <tableColumn id="11" xr3:uid="{DB955C35-E476-41C5-A097-6047FEB202D0}" name="order_number_stage" dataDxfId="27"/>
    <tableColumn id="12" xr3:uid="{00AF1056-443F-45AB-82EE-BEB73CF1C0C4}" name="transaction_type_code" dataDxfId="26"/>
    <tableColumn id="34" xr3:uid="{E9A67A9C-3E55-4489-807B-4DBB84C8C5F5}" name="transaction_execution_date" dataDxfId="25"/>
    <tableColumn id="13" xr3:uid="{7A0B289C-32D1-4018-9FD1-C6EB7B0B3934}" name="amount" dataDxfId="24"/>
    <tableColumn id="14" xr3:uid="{17FD06F9-5F8C-4A05-866D-1AC520C2BD21}" name="financial_flow_indicator" dataDxfId="23"/>
    <tableColumn id="15" xr3:uid="{F0A67C4B-8A8F-4EE9-9B1C-D85310DF2BEB}" name="currency_code" dataDxfId="22"/>
    <tableColumn id="16" xr3:uid="{F0D3C9F6-2F0D-4CE8-ACB9-EEC467C5064C}" name="transaction_date" dataDxfId="21"/>
    <tableColumn id="17" xr3:uid="{067012F6-F802-4206-B534-E91680FB991E}" name="accounting_operation_code" dataDxfId="20"/>
    <tableColumn id="18" xr3:uid="{A8AAC2E3-041D-4F96-B8E9-9B82B1443623}" name="accounting_operation_option_code" dataDxfId="19"/>
    <tableColumn id="19" xr3:uid="{AB0DD6CC-9701-4306-AC45-8B5B823364AF}" name="accounting_bank_basic_operation" dataDxfId="18"/>
    <tableColumn id="20" xr3:uid="{7DEB3300-D487-40FF-9078-DB4CC9D264EE}" name="check_number" dataDxfId="17"/>
    <tableColumn id="21" xr3:uid="{C0E49161-B417-4309-8EF4-185C39FE78F1}" name="transfer_reference" dataDxfId="16"/>
    <tableColumn id="22" xr3:uid="{E0D0446F-1026-47A4-A25A-B86C87B39894}" name="description" dataDxfId="15"/>
    <tableColumn id="23" xr3:uid="{70D6ACCA-81FF-452C-A52B-A210949590C0}" name="full_description" dataDxfId="14"/>
    <tableColumn id="24" xr3:uid="{6AD2EAD5-5002-4AA2-8CDE-4A3D536EFD08}" name="comment" dataDxfId="13"/>
    <tableColumn id="25" xr3:uid="{10531324-0432-41C4-9DA5-F4EBF91A5429}" name="sender_source_code" dataDxfId="12"/>
    <tableColumn id="26" xr3:uid="{3A78F6D4-E379-4E29-9309-3E8A88778E04}" name="sender_order_number_stage" dataDxfId="11"/>
    <tableColumn id="27" xr3:uid="{6AB20257-A7D1-4A16-97C5-87E721F1F403}" name="source_code" dataDxfId="10"/>
    <tableColumn id="28" xr3:uid="{FA93F085-62CC-4285-B4C3-7690CD3168BB}" name="data_date_part" dataDxfId="9"/>
    <tableColumn id="29" xr3:uid="{09565F14-DAAB-4E9B-997F-A6A4DA6C6732}" name="data_timestamp_part" dataDxfId="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CF4C54D-3D79-4289-AD49-4F9C9C194406}" name="Table10121418202630323436" displayName="Table10121418202630323436" ref="B30:F39" totalsRowShown="0" headerRowDxfId="7" dataDxfId="6" tableBorderDxfId="5">
  <autoFilter ref="B30:F39" xr:uid="{9121FEBE-5052-4C33-8556-5048BDB999FA}"/>
  <sortState xmlns:xlrd2="http://schemas.microsoft.com/office/spreadsheetml/2017/richdata2" ref="B30:F31">
    <sortCondition ref="B30"/>
  </sortState>
  <tableColumns count="5">
    <tableColumn id="1" xr3:uid="{765F333D-7939-4CE5-9B0F-D9A4DE875C00}" name="Test ID" dataDxfId="4"/>
    <tableColumn id="2" xr3:uid="{7B9441AC-46BD-454C-89CD-EFC8976E7C0D}" name="Field" dataDxfId="3"/>
    <tableColumn id="3" xr3:uid="{77F575A9-057B-4BA4-A1FB-3AC9F597A919}" name="Justification" dataDxfId="2"/>
    <tableColumn id="4" xr3:uid="{ADA2E8C7-6751-43A0-A1E8-4D98B580A58E}" name="Number of Occurences" dataDxfId="1"/>
    <tableColumn id="5" xr3:uid="{B29701B1-6CF7-47AF-BE8E-0BF4BF86392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7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2" t="s">
        <v>0</v>
      </c>
      <c r="C3" s="5"/>
      <c r="D3" s="5"/>
      <c r="E3" s="5"/>
      <c r="F3" s="5"/>
      <c r="G3" s="5"/>
      <c r="H3" s="5"/>
      <c r="I3" s="5"/>
      <c r="J3" s="5"/>
      <c r="K3" s="5"/>
      <c r="L3" s="5"/>
      <c r="M3" s="5"/>
      <c r="N3" s="5"/>
      <c r="O3" s="5"/>
      <c r="P3" s="5"/>
    </row>
    <row r="4" spans="1:16" ht="18">
      <c r="A4" s="5"/>
      <c r="B4" s="6"/>
      <c r="C4" s="5"/>
      <c r="D4" s="5"/>
      <c r="E4" s="5"/>
      <c r="F4" s="5"/>
      <c r="G4" s="5"/>
      <c r="H4" s="5"/>
      <c r="I4" s="5"/>
      <c r="J4" s="5"/>
      <c r="K4" s="5"/>
      <c r="L4" s="5"/>
      <c r="M4" s="5"/>
      <c r="N4" s="5"/>
      <c r="O4" s="5"/>
      <c r="P4" s="5"/>
    </row>
    <row r="5" spans="1:16" ht="13.5" thickBot="1">
      <c r="A5" s="5"/>
      <c r="B5" s="7"/>
      <c r="C5" s="7"/>
      <c r="D5" s="7"/>
      <c r="E5" s="7"/>
      <c r="F5" s="7"/>
      <c r="G5" s="7"/>
      <c r="H5" s="7"/>
      <c r="I5" s="7"/>
      <c r="J5" s="5"/>
      <c r="K5" s="5"/>
      <c r="L5" s="5"/>
      <c r="M5" s="5"/>
      <c r="N5" s="5"/>
      <c r="O5" s="5"/>
      <c r="P5" s="5"/>
    </row>
    <row r="6" spans="1:16" ht="1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9"/>
      <c r="B16" s="9"/>
      <c r="C16" s="9"/>
      <c r="D16" s="9"/>
      <c r="E16" s="9"/>
      <c r="F16" s="9"/>
      <c r="G16" s="9"/>
      <c r="H16" s="9"/>
      <c r="I16" s="9"/>
      <c r="J16" s="9"/>
      <c r="K16" s="9"/>
      <c r="L16" s="9"/>
      <c r="M16" s="9"/>
      <c r="N16" s="9"/>
      <c r="O16" s="10"/>
      <c r="P16" s="9"/>
    </row>
    <row r="17" spans="1:16" s="3" customFormat="1" ht="25.5">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75">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75">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v>
      </c>
      <c r="E1" s="23"/>
      <c r="F1" s="23"/>
      <c r="G1" s="23"/>
      <c r="H1" s="23" t="s">
        <v>2</v>
      </c>
      <c r="I1" s="34"/>
      <c r="J1" s="23"/>
      <c r="K1" s="23"/>
      <c r="L1" s="23"/>
      <c r="M1" s="23"/>
      <c r="N1" s="23" t="s">
        <v>3</v>
      </c>
      <c r="O1" s="23"/>
      <c r="P1" s="23"/>
      <c r="Q1" s="23"/>
    </row>
    <row r="2" spans="2:17">
      <c r="B2" s="23" t="s">
        <v>4</v>
      </c>
      <c r="C2" s="23" t="s">
        <v>5</v>
      </c>
      <c r="D2" s="23" t="s">
        <v>6</v>
      </c>
      <c r="E2" s="23">
        <v>1</v>
      </c>
      <c r="F2" s="23">
        <v>500</v>
      </c>
      <c r="G2" s="23">
        <v>500</v>
      </c>
      <c r="H2" s="23"/>
      <c r="I2" s="34"/>
      <c r="J2" s="23" t="s">
        <v>5</v>
      </c>
      <c r="K2" s="23">
        <v>1</v>
      </c>
      <c r="L2" s="23">
        <v>500</v>
      </c>
      <c r="M2" s="23">
        <v>500</v>
      </c>
      <c r="N2" s="23"/>
      <c r="O2" s="23"/>
      <c r="P2" s="23" t="s">
        <v>7</v>
      </c>
      <c r="Q2" s="23" t="s">
        <v>6</v>
      </c>
    </row>
    <row r="3" spans="2:17">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c r="B39" s="23"/>
      <c r="C39" s="23"/>
      <c r="D39" s="23"/>
      <c r="E39" s="23"/>
      <c r="F39" s="23"/>
      <c r="G39" s="23"/>
      <c r="H39" s="23"/>
      <c r="I39" s="34"/>
      <c r="J39" s="23"/>
      <c r="K39" s="23"/>
      <c r="L39" s="23"/>
      <c r="M39" s="23"/>
      <c r="N39" s="23"/>
      <c r="O39" s="23"/>
      <c r="P39" s="23"/>
      <c r="Q39" s="23"/>
    </row>
    <row r="43" spans="2:17">
      <c r="B43" t="s">
        <v>127</v>
      </c>
      <c r="C43" t="s">
        <v>120</v>
      </c>
      <c r="E43">
        <v>1</v>
      </c>
      <c r="F43" t="s">
        <v>6</v>
      </c>
      <c r="G43">
        <v>500</v>
      </c>
      <c r="K43">
        <v>1</v>
      </c>
      <c r="L43" t="s">
        <v>6</v>
      </c>
      <c r="M43">
        <v>500</v>
      </c>
      <c r="P43" t="s">
        <v>7</v>
      </c>
      <c r="Q43" t="s">
        <v>6</v>
      </c>
    </row>
    <row r="44" spans="2:17">
      <c r="B44" t="s">
        <v>128</v>
      </c>
      <c r="C44" t="s">
        <v>129</v>
      </c>
      <c r="E44">
        <v>25</v>
      </c>
      <c r="F44">
        <v>29</v>
      </c>
      <c r="G44">
        <v>5</v>
      </c>
      <c r="K44">
        <v>228</v>
      </c>
      <c r="L44">
        <v>232</v>
      </c>
      <c r="M44">
        <v>5</v>
      </c>
      <c r="N44" t="s">
        <v>130</v>
      </c>
      <c r="P44" t="s">
        <v>131</v>
      </c>
      <c r="Q44" t="s">
        <v>19</v>
      </c>
    </row>
    <row r="45" spans="2:17">
      <c r="B45" t="s">
        <v>132</v>
      </c>
      <c r="C45" t="s">
        <v>133</v>
      </c>
      <c r="E45">
        <v>30</v>
      </c>
      <c r="F45">
        <v>34</v>
      </c>
      <c r="G45">
        <v>5</v>
      </c>
      <c r="K45">
        <v>228</v>
      </c>
      <c r="L45">
        <v>232</v>
      </c>
      <c r="M45">
        <v>5</v>
      </c>
      <c r="N45" t="s">
        <v>130</v>
      </c>
      <c r="P45" t="s">
        <v>131</v>
      </c>
      <c r="Q45" t="s">
        <v>12</v>
      </c>
    </row>
    <row r="48" spans="2:17">
      <c r="B48" t="s">
        <v>134</v>
      </c>
      <c r="C48" t="s">
        <v>135</v>
      </c>
      <c r="D48" t="s">
        <v>6</v>
      </c>
      <c r="E48">
        <v>1</v>
      </c>
      <c r="F48">
        <v>300</v>
      </c>
      <c r="G48">
        <v>300</v>
      </c>
      <c r="K48">
        <v>1</v>
      </c>
      <c r="L48">
        <v>300</v>
      </c>
      <c r="M48">
        <v>300</v>
      </c>
      <c r="P48" t="s">
        <v>7</v>
      </c>
    </row>
    <row r="49" spans="2:17">
      <c r="B49" t="s">
        <v>136</v>
      </c>
      <c r="C49" t="s">
        <v>135</v>
      </c>
      <c r="D49">
        <v>1</v>
      </c>
      <c r="E49">
        <v>1</v>
      </c>
      <c r="F49">
        <v>5</v>
      </c>
      <c r="G49">
        <v>5</v>
      </c>
      <c r="H49" t="s">
        <v>137</v>
      </c>
      <c r="K49">
        <v>160</v>
      </c>
      <c r="L49">
        <v>161</v>
      </c>
      <c r="M49">
        <v>2</v>
      </c>
      <c r="N49" t="s">
        <v>138</v>
      </c>
      <c r="P49" t="s">
        <v>139</v>
      </c>
      <c r="Q49" t="s">
        <v>12</v>
      </c>
    </row>
    <row r="50" spans="2:17">
      <c r="B50" t="s">
        <v>140</v>
      </c>
      <c r="C50" t="s">
        <v>135</v>
      </c>
      <c r="D50">
        <v>12</v>
      </c>
      <c r="E50">
        <v>57</v>
      </c>
      <c r="F50">
        <v>61</v>
      </c>
      <c r="G50">
        <v>5</v>
      </c>
      <c r="H50" t="s">
        <v>141</v>
      </c>
      <c r="K50">
        <v>182</v>
      </c>
      <c r="L50">
        <v>185</v>
      </c>
      <c r="M50">
        <v>4</v>
      </c>
      <c r="N50" t="s">
        <v>142</v>
      </c>
      <c r="P50" t="s">
        <v>143</v>
      </c>
      <c r="Q50" t="s">
        <v>12</v>
      </c>
    </row>
    <row r="51" spans="2:17">
      <c r="B51" t="s">
        <v>144</v>
      </c>
      <c r="C51" t="s">
        <v>135</v>
      </c>
      <c r="D51">
        <v>12</v>
      </c>
      <c r="E51">
        <v>62</v>
      </c>
      <c r="F51">
        <v>66</v>
      </c>
      <c r="G51">
        <v>5</v>
      </c>
      <c r="H51" t="s">
        <v>145</v>
      </c>
      <c r="K51">
        <v>182</v>
      </c>
      <c r="L51">
        <v>185</v>
      </c>
      <c r="M51">
        <v>4</v>
      </c>
      <c r="N51" t="s">
        <v>142</v>
      </c>
      <c r="P51" t="s">
        <v>143</v>
      </c>
      <c r="Q51" t="s">
        <v>19</v>
      </c>
    </row>
    <row r="55" spans="2:17">
      <c r="B55" t="s">
        <v>146</v>
      </c>
      <c r="C55" t="s">
        <v>137</v>
      </c>
      <c r="D55">
        <v>1</v>
      </c>
      <c r="E55">
        <v>1</v>
      </c>
      <c r="F55">
        <v>5</v>
      </c>
      <c r="G55">
        <v>5</v>
      </c>
      <c r="K55">
        <v>264</v>
      </c>
      <c r="L55">
        <v>265</v>
      </c>
      <c r="M55">
        <v>2</v>
      </c>
      <c r="N55" t="s">
        <v>138</v>
      </c>
      <c r="P55" t="s">
        <v>139</v>
      </c>
    </row>
    <row r="56" spans="2:17">
      <c r="B56" t="s">
        <v>147</v>
      </c>
      <c r="C56" t="s">
        <v>148</v>
      </c>
      <c r="D56">
        <v>2</v>
      </c>
      <c r="E56">
        <v>164</v>
      </c>
      <c r="F56">
        <v>168</v>
      </c>
      <c r="G56">
        <v>5</v>
      </c>
      <c r="K56">
        <v>276</v>
      </c>
      <c r="L56">
        <v>278</v>
      </c>
      <c r="M56">
        <v>3</v>
      </c>
      <c r="N56" t="s">
        <v>149</v>
      </c>
      <c r="P56" t="s">
        <v>150</v>
      </c>
    </row>
    <row r="57" spans="2:17">
      <c r="B57" t="s">
        <v>151</v>
      </c>
      <c r="C57" t="s">
        <v>152</v>
      </c>
      <c r="D57">
        <v>18</v>
      </c>
      <c r="E57">
        <v>212</v>
      </c>
      <c r="F57">
        <v>216</v>
      </c>
      <c r="G57">
        <v>5</v>
      </c>
      <c r="K57">
        <v>279</v>
      </c>
      <c r="L57">
        <v>283</v>
      </c>
      <c r="M57">
        <v>5</v>
      </c>
      <c r="N57" t="s">
        <v>153</v>
      </c>
      <c r="P57" t="s">
        <v>154</v>
      </c>
    </row>
    <row r="58" spans="2:17">
      <c r="B58" t="s">
        <v>155</v>
      </c>
      <c r="C58" t="s">
        <v>156</v>
      </c>
      <c r="D58">
        <v>18</v>
      </c>
      <c r="E58">
        <v>217</v>
      </c>
      <c r="F58">
        <v>221</v>
      </c>
      <c r="G58">
        <v>5</v>
      </c>
      <c r="K58">
        <v>284</v>
      </c>
      <c r="L58">
        <v>288</v>
      </c>
      <c r="M58">
        <v>5</v>
      </c>
      <c r="N58" t="s">
        <v>157</v>
      </c>
      <c r="P58" t="s">
        <v>154</v>
      </c>
    </row>
    <row r="59" spans="2:17">
      <c r="B59" t="s">
        <v>158</v>
      </c>
      <c r="C59" t="s">
        <v>159</v>
      </c>
      <c r="D59">
        <v>18</v>
      </c>
      <c r="E59">
        <v>222</v>
      </c>
      <c r="F59">
        <v>226</v>
      </c>
      <c r="G59">
        <v>5</v>
      </c>
      <c r="K59">
        <v>289</v>
      </c>
      <c r="L59">
        <v>293</v>
      </c>
      <c r="M59">
        <v>5</v>
      </c>
      <c r="N59" t="s">
        <v>160</v>
      </c>
      <c r="P59" t="s">
        <v>154</v>
      </c>
    </row>
    <row r="62" spans="2:17">
      <c r="B62" t="s">
        <v>161</v>
      </c>
      <c r="C62" t="s">
        <v>137</v>
      </c>
      <c r="D62">
        <v>1</v>
      </c>
      <c r="E62">
        <v>1</v>
      </c>
      <c r="F62">
        <v>5</v>
      </c>
      <c r="K62">
        <v>59</v>
      </c>
      <c r="L62">
        <v>60</v>
      </c>
      <c r="M62">
        <v>2</v>
      </c>
      <c r="N62" t="s">
        <v>138</v>
      </c>
      <c r="P62" t="s">
        <v>139</v>
      </c>
    </row>
    <row r="63" spans="2:17">
      <c r="B63" t="s">
        <v>162</v>
      </c>
      <c r="C63" t="s">
        <v>163</v>
      </c>
      <c r="D63">
        <v>58</v>
      </c>
      <c r="E63">
        <v>34</v>
      </c>
      <c r="F63">
        <v>38</v>
      </c>
      <c r="K63">
        <v>91</v>
      </c>
      <c r="L63">
        <v>91</v>
      </c>
      <c r="M63">
        <v>1</v>
      </c>
      <c r="N63" t="s">
        <v>164</v>
      </c>
      <c r="P63" t="s">
        <v>165</v>
      </c>
    </row>
    <row r="65" spans="2:16">
      <c r="B65" t="s">
        <v>166</v>
      </c>
      <c r="C65" t="s">
        <v>120</v>
      </c>
      <c r="D65" t="s">
        <v>6</v>
      </c>
      <c r="E65">
        <v>1</v>
      </c>
      <c r="F65">
        <v>250</v>
      </c>
      <c r="G65">
        <v>250</v>
      </c>
      <c r="K65">
        <v>1</v>
      </c>
      <c r="L65">
        <v>250</v>
      </c>
      <c r="M65">
        <v>250</v>
      </c>
      <c r="P65" t="s">
        <v>7</v>
      </c>
    </row>
    <row r="66" spans="2:16">
      <c r="B66" t="s">
        <v>167</v>
      </c>
      <c r="C66" t="s">
        <v>137</v>
      </c>
      <c r="D66">
        <v>1</v>
      </c>
      <c r="E66">
        <v>1</v>
      </c>
      <c r="F66">
        <v>5</v>
      </c>
      <c r="G66">
        <v>5</v>
      </c>
      <c r="K66">
        <v>113</v>
      </c>
      <c r="L66">
        <v>114</v>
      </c>
      <c r="M66">
        <v>2</v>
      </c>
      <c r="N66" t="s">
        <v>138</v>
      </c>
      <c r="P66" t="s">
        <v>139</v>
      </c>
    </row>
    <row r="67" spans="2:16">
      <c r="B67" t="s">
        <v>168</v>
      </c>
      <c r="C67" t="s">
        <v>152</v>
      </c>
      <c r="D67">
        <v>18</v>
      </c>
      <c r="E67">
        <v>88</v>
      </c>
      <c r="F67">
        <v>92</v>
      </c>
      <c r="G67">
        <v>5</v>
      </c>
      <c r="K67">
        <v>135</v>
      </c>
      <c r="L67">
        <v>139</v>
      </c>
      <c r="M67">
        <v>5</v>
      </c>
      <c r="N67" t="s">
        <v>153</v>
      </c>
      <c r="P67" t="s">
        <v>154</v>
      </c>
    </row>
    <row r="68" spans="2:16">
      <c r="B68" t="s">
        <v>169</v>
      </c>
      <c r="C68" t="s">
        <v>156</v>
      </c>
      <c r="D68">
        <v>18</v>
      </c>
      <c r="E68">
        <v>93</v>
      </c>
      <c r="F68">
        <v>97</v>
      </c>
      <c r="G68">
        <v>5</v>
      </c>
      <c r="K68">
        <v>140</v>
      </c>
      <c r="L68">
        <v>144</v>
      </c>
      <c r="M68">
        <v>5</v>
      </c>
      <c r="N68" t="s">
        <v>157</v>
      </c>
      <c r="P68" t="s">
        <v>154</v>
      </c>
    </row>
    <row r="69" spans="2:16">
      <c r="B69" t="s">
        <v>170</v>
      </c>
      <c r="C69" t="s">
        <v>159</v>
      </c>
      <c r="D69">
        <v>67</v>
      </c>
      <c r="E69">
        <v>98</v>
      </c>
      <c r="F69">
        <v>102</v>
      </c>
      <c r="G69">
        <v>5</v>
      </c>
      <c r="K69">
        <v>145</v>
      </c>
      <c r="L69">
        <v>149</v>
      </c>
      <c r="M69">
        <v>5</v>
      </c>
      <c r="N69" t="s">
        <v>160</v>
      </c>
      <c r="P69" t="s">
        <v>171</v>
      </c>
    </row>
    <row r="76" spans="2:16">
      <c r="B76" t="s">
        <v>172</v>
      </c>
      <c r="C76" t="s">
        <v>173</v>
      </c>
    </row>
    <row r="77" spans="2:16">
      <c r="B77" t="s">
        <v>174</v>
      </c>
      <c r="C77" t="s">
        <v>175</v>
      </c>
    </row>
    <row r="78" spans="2:16">
      <c r="B78" t="s">
        <v>176</v>
      </c>
      <c r="C78" t="s">
        <v>177</v>
      </c>
    </row>
    <row r="82" spans="2:5">
      <c r="B82" t="s">
        <v>178</v>
      </c>
      <c r="C82" t="s">
        <v>179</v>
      </c>
      <c r="D82" t="s">
        <v>180</v>
      </c>
      <c r="E82" t="s">
        <v>181</v>
      </c>
    </row>
    <row r="83" spans="2:5">
      <c r="C83" t="s">
        <v>182</v>
      </c>
      <c r="D83" t="s">
        <v>183</v>
      </c>
    </row>
    <row r="85" spans="2:5">
      <c r="B85" t="s">
        <v>184</v>
      </c>
      <c r="C85" t="s">
        <v>185</v>
      </c>
      <c r="D85" t="s">
        <v>186</v>
      </c>
    </row>
    <row r="86" spans="2:5">
      <c r="C86" t="s">
        <v>187</v>
      </c>
      <c r="D86" t="s">
        <v>188</v>
      </c>
      <c r="E86" t="s">
        <v>189</v>
      </c>
    </row>
    <row r="88" spans="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191</v>
      </c>
    </row>
    <row r="2" spans="1:5">
      <c r="A2">
        <v>5</v>
      </c>
      <c r="B2" t="s">
        <v>6</v>
      </c>
      <c r="C2" s="37" t="s">
        <v>192</v>
      </c>
      <c r="D2" s="37" t="s">
        <v>193</v>
      </c>
    </row>
    <row r="3" spans="1:5">
      <c r="A3">
        <v>9</v>
      </c>
      <c r="B3" t="s">
        <v>6</v>
      </c>
      <c r="C3" s="37" t="s">
        <v>194</v>
      </c>
      <c r="D3" s="37" t="s">
        <v>195</v>
      </c>
    </row>
    <row r="4" spans="1:5">
      <c r="A4">
        <v>13</v>
      </c>
      <c r="B4" t="s">
        <v>6</v>
      </c>
      <c r="C4" s="37" t="s">
        <v>196</v>
      </c>
      <c r="D4" s="37" t="s">
        <v>197</v>
      </c>
    </row>
    <row r="5" spans="1:5">
      <c r="A5">
        <v>17</v>
      </c>
      <c r="B5" t="s">
        <v>6</v>
      </c>
      <c r="C5" s="37" t="s">
        <v>198</v>
      </c>
      <c r="D5" s="37" t="s">
        <v>199</v>
      </c>
    </row>
    <row r="6" spans="1:5">
      <c r="A6">
        <v>21</v>
      </c>
      <c r="B6" t="s">
        <v>6</v>
      </c>
      <c r="C6" s="37" t="s">
        <v>200</v>
      </c>
      <c r="D6" s="37" t="s">
        <v>201</v>
      </c>
    </row>
    <row r="7" spans="1:5">
      <c r="A7">
        <v>25</v>
      </c>
      <c r="B7" t="s">
        <v>6</v>
      </c>
      <c r="C7" s="37" t="s">
        <v>202</v>
      </c>
      <c r="D7" s="37" t="s">
        <v>203</v>
      </c>
    </row>
    <row r="8" spans="1:5">
      <c r="A8">
        <v>29</v>
      </c>
      <c r="B8" t="s">
        <v>6</v>
      </c>
      <c r="C8" s="37" t="s">
        <v>204</v>
      </c>
      <c r="D8" s="37" t="s">
        <v>205</v>
      </c>
    </row>
    <row r="9" spans="1:5">
      <c r="A9">
        <v>33</v>
      </c>
      <c r="B9" t="s">
        <v>6</v>
      </c>
      <c r="C9" s="37" t="s">
        <v>206</v>
      </c>
      <c r="D9" s="37" t="s">
        <v>207</v>
      </c>
    </row>
    <row r="10" spans="1:5">
      <c r="A10">
        <v>37</v>
      </c>
      <c r="B10" t="s">
        <v>6</v>
      </c>
      <c r="C10" s="37" t="s">
        <v>208</v>
      </c>
      <c r="D10" s="37" t="s">
        <v>209</v>
      </c>
    </row>
    <row r="11" spans="1:5">
      <c r="A11">
        <v>41</v>
      </c>
      <c r="B11" t="s">
        <v>6</v>
      </c>
      <c r="C11" s="37" t="s">
        <v>210</v>
      </c>
      <c r="D11" s="37" t="s">
        <v>211</v>
      </c>
    </row>
    <row r="12" spans="1:5">
      <c r="A12">
        <v>45</v>
      </c>
      <c r="B12" t="s">
        <v>6</v>
      </c>
      <c r="C12" s="37" t="s">
        <v>212</v>
      </c>
      <c r="D12" s="37" t="s">
        <v>213</v>
      </c>
    </row>
    <row r="13" spans="1:5">
      <c r="A13">
        <v>49</v>
      </c>
      <c r="B13" t="s">
        <v>6</v>
      </c>
      <c r="C13" s="37" t="s">
        <v>214</v>
      </c>
      <c r="D13" s="37" t="s">
        <v>215</v>
      </c>
    </row>
    <row r="14" spans="1:5">
      <c r="A14">
        <v>56</v>
      </c>
      <c r="B14" t="s">
        <v>6</v>
      </c>
      <c r="C14" s="37" t="s">
        <v>216</v>
      </c>
      <c r="D14" s="37" t="s">
        <v>217</v>
      </c>
    </row>
    <row r="15" spans="1:5">
      <c r="A15">
        <v>60</v>
      </c>
      <c r="B15" t="s">
        <v>6</v>
      </c>
      <c r="C15" s="37" t="s">
        <v>218</v>
      </c>
      <c r="D15" s="37" t="s">
        <v>219</v>
      </c>
    </row>
    <row r="16" spans="1:5">
      <c r="A16">
        <v>64</v>
      </c>
      <c r="B16" t="s">
        <v>6</v>
      </c>
      <c r="C16" s="37" t="s">
        <v>220</v>
      </c>
      <c r="D16" s="37" t="s">
        <v>221</v>
      </c>
    </row>
    <row r="17" spans="1:4">
      <c r="A17">
        <v>68</v>
      </c>
      <c r="B17" t="s">
        <v>6</v>
      </c>
      <c r="C17" s="37" t="s">
        <v>222</v>
      </c>
      <c r="D17" s="37" t="s">
        <v>223</v>
      </c>
    </row>
    <row r="18" spans="1:4">
      <c r="A18">
        <v>72</v>
      </c>
      <c r="B18" t="s">
        <v>6</v>
      </c>
      <c r="C18" s="37" t="s">
        <v>224</v>
      </c>
      <c r="D18" s="37" t="s">
        <v>225</v>
      </c>
    </row>
    <row r="19" spans="1:4">
      <c r="A19">
        <v>73</v>
      </c>
      <c r="B19" t="s">
        <v>6</v>
      </c>
      <c r="C19" s="37" t="s">
        <v>6</v>
      </c>
      <c r="D19" s="37" t="s">
        <v>226</v>
      </c>
    </row>
    <row r="20" spans="1:4">
      <c r="A20">
        <v>74</v>
      </c>
      <c r="B20" t="s">
        <v>6</v>
      </c>
      <c r="D20" s="37" t="s">
        <v>227</v>
      </c>
    </row>
    <row r="21" spans="1:4">
      <c r="A21">
        <v>75</v>
      </c>
      <c r="B21" t="s">
        <v>6</v>
      </c>
      <c r="D21" s="37" t="s">
        <v>228</v>
      </c>
    </row>
    <row r="22" spans="1:4">
      <c r="A22">
        <v>79</v>
      </c>
      <c r="B22" t="s">
        <v>6</v>
      </c>
      <c r="C22" s="37" t="s">
        <v>229</v>
      </c>
      <c r="D22" s="37" t="s">
        <v>230</v>
      </c>
    </row>
    <row r="23" spans="1:4">
      <c r="A23">
        <v>83</v>
      </c>
      <c r="B23" t="s">
        <v>6</v>
      </c>
      <c r="C23" s="37" t="s">
        <v>231</v>
      </c>
      <c r="D23" s="37" t="s">
        <v>232</v>
      </c>
    </row>
    <row r="24" spans="1:4">
      <c r="A24">
        <v>87</v>
      </c>
      <c r="B24" t="s">
        <v>6</v>
      </c>
      <c r="C24" s="37" t="s">
        <v>233</v>
      </c>
      <c r="D24" s="37" t="s">
        <v>234</v>
      </c>
    </row>
    <row r="25" spans="1:4">
      <c r="A25">
        <v>91</v>
      </c>
      <c r="B25" t="s">
        <v>6</v>
      </c>
      <c r="C25" s="37" t="s">
        <v>235</v>
      </c>
      <c r="D25" s="37" t="s">
        <v>236</v>
      </c>
    </row>
    <row r="26" spans="1:4">
      <c r="A26">
        <v>95</v>
      </c>
      <c r="B26" t="s">
        <v>6</v>
      </c>
      <c r="C26" s="37" t="s">
        <v>237</v>
      </c>
      <c r="D26" s="37" t="s">
        <v>238</v>
      </c>
    </row>
    <row r="27" spans="1:4">
      <c r="A27">
        <v>96</v>
      </c>
      <c r="B27" t="s">
        <v>6</v>
      </c>
      <c r="C27" s="37" t="s">
        <v>6</v>
      </c>
      <c r="D27" s="37" t="s">
        <v>239</v>
      </c>
    </row>
    <row r="28" spans="1:4">
      <c r="A28">
        <v>97</v>
      </c>
      <c r="B28" t="s">
        <v>6</v>
      </c>
      <c r="D28" s="37" t="s">
        <v>240</v>
      </c>
    </row>
    <row r="29" spans="1:4">
      <c r="A29">
        <v>98</v>
      </c>
      <c r="B29" t="s">
        <v>6</v>
      </c>
      <c r="D29" s="37" t="s">
        <v>241</v>
      </c>
    </row>
    <row r="30" spans="1:4">
      <c r="A30">
        <v>99</v>
      </c>
      <c r="B30" t="s">
        <v>6</v>
      </c>
      <c r="D30" s="37" t="s">
        <v>242</v>
      </c>
    </row>
    <row r="31" spans="1:4">
      <c r="A31">
        <v>100</v>
      </c>
      <c r="B31" t="s">
        <v>6</v>
      </c>
      <c r="D31" s="37" t="s">
        <v>243</v>
      </c>
    </row>
    <row r="32" spans="1:4">
      <c r="A32">
        <v>101</v>
      </c>
      <c r="B32" t="s">
        <v>6</v>
      </c>
      <c r="D32" s="37" t="s">
        <v>244</v>
      </c>
    </row>
    <row r="33" spans="1:4">
      <c r="A33">
        <v>102</v>
      </c>
      <c r="B33" t="s">
        <v>6</v>
      </c>
      <c r="D33" s="37" t="s">
        <v>245</v>
      </c>
    </row>
    <row r="34" spans="1:4">
      <c r="A34">
        <v>103</v>
      </c>
      <c r="B34" t="s">
        <v>6</v>
      </c>
      <c r="D34" s="37" t="s">
        <v>246</v>
      </c>
    </row>
    <row r="35" spans="1:4">
      <c r="A35">
        <v>104</v>
      </c>
      <c r="B35" t="s">
        <v>6</v>
      </c>
      <c r="D35" s="37" t="s">
        <v>247</v>
      </c>
    </row>
    <row r="36" spans="1:4">
      <c r="A36">
        <v>105</v>
      </c>
      <c r="B36" t="s">
        <v>6</v>
      </c>
      <c r="D36" s="37" t="s">
        <v>248</v>
      </c>
    </row>
    <row r="37" spans="1:4">
      <c r="A37">
        <v>112</v>
      </c>
      <c r="B37" t="s">
        <v>6</v>
      </c>
      <c r="C37" s="37" t="s">
        <v>249</v>
      </c>
      <c r="D37" s="37" t="s">
        <v>250</v>
      </c>
    </row>
    <row r="38" spans="1:4">
      <c r="A38">
        <v>116</v>
      </c>
      <c r="B38" t="s">
        <v>6</v>
      </c>
      <c r="C38" s="37" t="s">
        <v>251</v>
      </c>
      <c r="D38" s="37" t="s">
        <v>252</v>
      </c>
    </row>
    <row r="39" spans="1:4">
      <c r="A39">
        <v>117</v>
      </c>
      <c r="B39" t="s">
        <v>6</v>
      </c>
      <c r="C39" s="37" t="s">
        <v>6</v>
      </c>
      <c r="D39" s="37" t="s">
        <v>253</v>
      </c>
    </row>
    <row r="40" spans="1:4">
      <c r="A40">
        <v>118</v>
      </c>
      <c r="B40" t="s">
        <v>6</v>
      </c>
      <c r="D40" s="37" t="s">
        <v>254</v>
      </c>
    </row>
    <row r="41" spans="1:4">
      <c r="A41">
        <v>119</v>
      </c>
      <c r="B41" t="s">
        <v>6</v>
      </c>
      <c r="D41" s="37" t="s">
        <v>255</v>
      </c>
    </row>
    <row r="42" spans="1:4">
      <c r="A42">
        <v>120</v>
      </c>
      <c r="B42" t="s">
        <v>6</v>
      </c>
      <c r="D42" s="37" t="s">
        <v>256</v>
      </c>
    </row>
    <row r="43" spans="1:4">
      <c r="A43">
        <v>121</v>
      </c>
      <c r="B43" t="s">
        <v>6</v>
      </c>
      <c r="D43" s="37" t="s">
        <v>257</v>
      </c>
    </row>
    <row r="44" spans="1:4">
      <c r="A44">
        <v>122</v>
      </c>
      <c r="B44" t="s">
        <v>6</v>
      </c>
      <c r="D44" s="37" t="s">
        <v>258</v>
      </c>
    </row>
    <row r="45" spans="1:4">
      <c r="A45">
        <v>123</v>
      </c>
      <c r="B45" t="s">
        <v>6</v>
      </c>
      <c r="D45" s="37" t="s">
        <v>259</v>
      </c>
    </row>
    <row r="46" spans="1:4">
      <c r="A46">
        <v>124</v>
      </c>
      <c r="B46" t="s">
        <v>6</v>
      </c>
      <c r="D46" s="37" t="s">
        <v>260</v>
      </c>
    </row>
    <row r="47" spans="1:4">
      <c r="A47">
        <v>125</v>
      </c>
      <c r="B47" t="s">
        <v>6</v>
      </c>
      <c r="D47" s="37" t="s">
        <v>261</v>
      </c>
    </row>
    <row r="48" spans="1:4">
      <c r="A48">
        <v>129</v>
      </c>
      <c r="B48" t="s">
        <v>6</v>
      </c>
      <c r="C48" s="37" t="s">
        <v>262</v>
      </c>
      <c r="D48" s="37" t="s">
        <v>263</v>
      </c>
    </row>
    <row r="49" spans="1:4">
      <c r="A49">
        <v>130</v>
      </c>
      <c r="B49" t="s">
        <v>6</v>
      </c>
      <c r="C49" s="37" t="s">
        <v>6</v>
      </c>
      <c r="D49" s="37" t="s">
        <v>264</v>
      </c>
    </row>
    <row r="50" spans="1:4">
      <c r="A50">
        <v>134</v>
      </c>
      <c r="B50" t="s">
        <v>6</v>
      </c>
      <c r="C50" s="37" t="s">
        <v>265</v>
      </c>
      <c r="D50" s="37" t="s">
        <v>266</v>
      </c>
    </row>
    <row r="51" spans="1:4">
      <c r="A51">
        <v>138</v>
      </c>
      <c r="B51" t="s">
        <v>6</v>
      </c>
      <c r="C51" s="37" t="s">
        <v>267</v>
      </c>
      <c r="D51" s="37" t="s">
        <v>268</v>
      </c>
    </row>
    <row r="52" spans="1:4">
      <c r="A52">
        <v>142</v>
      </c>
      <c r="B52" t="s">
        <v>6</v>
      </c>
      <c r="C52" s="37" t="s">
        <v>269</v>
      </c>
      <c r="D52" s="37" t="s">
        <v>270</v>
      </c>
    </row>
    <row r="53" spans="1:4">
      <c r="A53">
        <v>146</v>
      </c>
      <c r="B53" t="s">
        <v>6</v>
      </c>
      <c r="C53" s="37" t="s">
        <v>271</v>
      </c>
      <c r="D53" s="37" t="s">
        <v>272</v>
      </c>
    </row>
    <row r="54" spans="1:4">
      <c r="A54">
        <v>150</v>
      </c>
      <c r="B54" t="s">
        <v>6</v>
      </c>
      <c r="C54" s="37" t="s">
        <v>273</v>
      </c>
      <c r="D54" s="37" t="s">
        <v>274</v>
      </c>
    </row>
    <row r="55" spans="1:4">
      <c r="A55">
        <v>154</v>
      </c>
      <c r="B55" t="s">
        <v>6</v>
      </c>
      <c r="C55" s="37" t="s">
        <v>275</v>
      </c>
      <c r="D55" s="37" t="s">
        <v>276</v>
      </c>
    </row>
    <row r="56" spans="1:4">
      <c r="A56">
        <v>158</v>
      </c>
      <c r="B56" t="s">
        <v>6</v>
      </c>
      <c r="C56" s="37" t="s">
        <v>277</v>
      </c>
      <c r="D56" s="37" t="s">
        <v>278</v>
      </c>
    </row>
    <row r="57" spans="1:4">
      <c r="A57">
        <v>159</v>
      </c>
      <c r="B57" t="s">
        <v>6</v>
      </c>
      <c r="C57" s="37" t="s">
        <v>6</v>
      </c>
      <c r="D57" s="37" t="s">
        <v>279</v>
      </c>
    </row>
    <row r="58" spans="1:4">
      <c r="A58">
        <v>166</v>
      </c>
      <c r="B58" t="s">
        <v>6</v>
      </c>
      <c r="C58" s="37" t="s">
        <v>280</v>
      </c>
      <c r="D58" s="37" t="s">
        <v>281</v>
      </c>
    </row>
    <row r="59" spans="1:4">
      <c r="A59">
        <v>167</v>
      </c>
      <c r="B59" t="s">
        <v>6</v>
      </c>
      <c r="C59" s="37" t="s">
        <v>6</v>
      </c>
      <c r="D59" s="37" t="s">
        <v>282</v>
      </c>
    </row>
    <row r="60" spans="1:4">
      <c r="A60">
        <v>171</v>
      </c>
      <c r="B60" t="s">
        <v>6</v>
      </c>
      <c r="C60" s="37" t="s">
        <v>283</v>
      </c>
      <c r="D60" s="37" t="s">
        <v>284</v>
      </c>
    </row>
    <row r="61" spans="1:4">
      <c r="A61">
        <v>172</v>
      </c>
      <c r="B61" t="s">
        <v>6</v>
      </c>
      <c r="C61" s="37" t="s">
        <v>6</v>
      </c>
      <c r="D61" s="37" t="s">
        <v>285</v>
      </c>
    </row>
    <row r="62" spans="1:4">
      <c r="A62">
        <v>173</v>
      </c>
      <c r="B62" t="s">
        <v>6</v>
      </c>
      <c r="D62" s="37" t="s">
        <v>286</v>
      </c>
    </row>
    <row r="63" spans="1:4">
      <c r="A63">
        <v>177</v>
      </c>
      <c r="B63" t="s">
        <v>6</v>
      </c>
      <c r="C63" s="37" t="s">
        <v>287</v>
      </c>
      <c r="D63" s="37" t="s">
        <v>288</v>
      </c>
    </row>
    <row r="64" spans="1:4">
      <c r="A64">
        <v>178</v>
      </c>
      <c r="B64" t="s">
        <v>6</v>
      </c>
      <c r="C64" s="37" t="s">
        <v>6</v>
      </c>
      <c r="D64" s="37" t="s">
        <v>289</v>
      </c>
    </row>
    <row r="65" spans="1:4">
      <c r="A65">
        <v>182</v>
      </c>
      <c r="B65" t="s">
        <v>6</v>
      </c>
      <c r="C65" s="37" t="s">
        <v>290</v>
      </c>
      <c r="D65" s="37" t="s">
        <v>291</v>
      </c>
    </row>
    <row r="66" spans="1:4">
      <c r="A66">
        <v>183</v>
      </c>
      <c r="B66" t="s">
        <v>6</v>
      </c>
      <c r="C66" s="37" t="s">
        <v>6</v>
      </c>
      <c r="D66" s="37" t="s">
        <v>292</v>
      </c>
    </row>
    <row r="67" spans="1:4">
      <c r="A67">
        <v>184</v>
      </c>
      <c r="B67" t="s">
        <v>6</v>
      </c>
      <c r="D67" s="37" t="s">
        <v>293</v>
      </c>
    </row>
    <row r="68" spans="1:4">
      <c r="A68">
        <v>185</v>
      </c>
      <c r="B68" t="s">
        <v>6</v>
      </c>
      <c r="D68" s="37" t="s">
        <v>294</v>
      </c>
    </row>
    <row r="69" spans="1:4">
      <c r="A69">
        <v>186</v>
      </c>
      <c r="B69" t="s">
        <v>6</v>
      </c>
      <c r="D69" s="37" t="s">
        <v>295</v>
      </c>
    </row>
    <row r="70" spans="1:4">
      <c r="A70">
        <v>190</v>
      </c>
      <c r="B70" t="s">
        <v>6</v>
      </c>
      <c r="C70" s="37" t="s">
        <v>296</v>
      </c>
      <c r="D70" s="37" t="s">
        <v>297</v>
      </c>
    </row>
    <row r="71" spans="1:4">
      <c r="A71">
        <v>191</v>
      </c>
      <c r="B71" t="s">
        <v>6</v>
      </c>
      <c r="C71" s="37" t="s">
        <v>6</v>
      </c>
      <c r="D71" s="37" t="s">
        <v>298</v>
      </c>
    </row>
    <row r="72" spans="1:4">
      <c r="A72">
        <v>192</v>
      </c>
      <c r="B72" t="s">
        <v>6</v>
      </c>
      <c r="D72" s="37" t="s">
        <v>299</v>
      </c>
    </row>
    <row r="73" spans="1:4">
      <c r="A73">
        <v>196</v>
      </c>
      <c r="B73" t="s">
        <v>6</v>
      </c>
      <c r="C73" s="37" t="s">
        <v>300</v>
      </c>
      <c r="D73" s="37" t="s">
        <v>301</v>
      </c>
    </row>
    <row r="74" spans="1:4">
      <c r="A74">
        <v>197</v>
      </c>
      <c r="B74" t="s">
        <v>6</v>
      </c>
      <c r="C74" s="37" t="s">
        <v>6</v>
      </c>
      <c r="D74" s="37" t="s">
        <v>302</v>
      </c>
    </row>
    <row r="75" spans="1:4">
      <c r="A75">
        <v>198</v>
      </c>
      <c r="B75" t="s">
        <v>6</v>
      </c>
      <c r="D75" s="37" t="s">
        <v>303</v>
      </c>
    </row>
    <row r="76" spans="1:4">
      <c r="A76">
        <v>202</v>
      </c>
      <c r="B76" t="s">
        <v>6</v>
      </c>
      <c r="C76" s="37" t="s">
        <v>304</v>
      </c>
      <c r="D76" s="37" t="s">
        <v>305</v>
      </c>
    </row>
    <row r="77" spans="1:4">
      <c r="A77">
        <v>203</v>
      </c>
      <c r="B77" t="s">
        <v>6</v>
      </c>
      <c r="C77" s="37" t="s">
        <v>6</v>
      </c>
      <c r="D77" s="37" t="s">
        <v>306</v>
      </c>
    </row>
    <row r="78" spans="1:4">
      <c r="A78">
        <v>207</v>
      </c>
      <c r="B78" t="s">
        <v>6</v>
      </c>
      <c r="C78" s="37" t="s">
        <v>307</v>
      </c>
      <c r="D78" s="37" t="s">
        <v>308</v>
      </c>
    </row>
    <row r="79" spans="1:4">
      <c r="A79">
        <v>208</v>
      </c>
      <c r="B79" t="s">
        <v>6</v>
      </c>
      <c r="C79" s="37" t="s">
        <v>6</v>
      </c>
      <c r="D79" s="37" t="s">
        <v>309</v>
      </c>
    </row>
    <row r="80" spans="1:4">
      <c r="A80">
        <v>209</v>
      </c>
      <c r="B80" t="s">
        <v>6</v>
      </c>
      <c r="D80" s="37" t="s">
        <v>310</v>
      </c>
    </row>
    <row r="81" spans="1:4">
      <c r="A81">
        <v>210</v>
      </c>
      <c r="B81" t="s">
        <v>6</v>
      </c>
      <c r="D81" s="37" t="s">
        <v>311</v>
      </c>
    </row>
    <row r="82" spans="1:4">
      <c r="A82">
        <v>211</v>
      </c>
      <c r="B82" t="s">
        <v>6</v>
      </c>
      <c r="D82" s="37" t="s">
        <v>312</v>
      </c>
    </row>
    <row r="83" spans="1:4">
      <c r="A83">
        <v>212</v>
      </c>
      <c r="B83" t="s">
        <v>6</v>
      </c>
      <c r="D83" s="37" t="s">
        <v>313</v>
      </c>
    </row>
    <row r="84" spans="1:4">
      <c r="A84">
        <v>213</v>
      </c>
      <c r="B84" t="s">
        <v>6</v>
      </c>
      <c r="D84" s="37" t="s">
        <v>314</v>
      </c>
    </row>
    <row r="85" spans="1:4">
      <c r="A85">
        <v>214</v>
      </c>
      <c r="B85" t="s">
        <v>6</v>
      </c>
      <c r="D85" s="37" t="s">
        <v>315</v>
      </c>
    </row>
    <row r="86" spans="1:4">
      <c r="A86">
        <v>215</v>
      </c>
      <c r="B86" t="s">
        <v>6</v>
      </c>
    </row>
    <row r="87" spans="1:4">
      <c r="A87">
        <v>216</v>
      </c>
      <c r="B87" t="s">
        <v>6</v>
      </c>
    </row>
    <row r="88" spans="1:4">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c r="A2" s="24" t="s">
        <v>316</v>
      </c>
      <c r="B2" s="24" t="s">
        <v>120</v>
      </c>
      <c r="C2" s="24" t="s">
        <v>6</v>
      </c>
      <c r="D2" s="24">
        <v>1</v>
      </c>
      <c r="E2" s="24" t="s">
        <v>6</v>
      </c>
      <c r="F2" s="24">
        <v>732</v>
      </c>
      <c r="I2">
        <v>1</v>
      </c>
      <c r="J2" t="s">
        <v>6</v>
      </c>
      <c r="K2">
        <v>732</v>
      </c>
      <c r="L2" t="s">
        <v>7</v>
      </c>
      <c r="M2" t="s">
        <v>6</v>
      </c>
    </row>
    <row r="3" spans="1:13">
      <c r="A3" s="24" t="s">
        <v>317</v>
      </c>
      <c r="B3" s="24" t="s">
        <v>318</v>
      </c>
      <c r="C3" s="24">
        <v>1</v>
      </c>
      <c r="D3" s="24">
        <v>11</v>
      </c>
      <c r="E3" s="24">
        <v>15</v>
      </c>
      <c r="F3" s="24">
        <v>5</v>
      </c>
      <c r="I3">
        <v>542</v>
      </c>
      <c r="J3">
        <v>543</v>
      </c>
      <c r="K3">
        <v>2</v>
      </c>
      <c r="L3" t="s">
        <v>139</v>
      </c>
      <c r="M3" t="s">
        <v>12</v>
      </c>
    </row>
    <row r="4" spans="1:13">
      <c r="A4" s="24" t="s">
        <v>319</v>
      </c>
      <c r="B4" s="24" t="s">
        <v>320</v>
      </c>
      <c r="C4" s="24">
        <v>3</v>
      </c>
      <c r="D4" s="24">
        <v>314</v>
      </c>
      <c r="E4" s="24">
        <v>318</v>
      </c>
      <c r="F4" s="24">
        <v>5</v>
      </c>
      <c r="H4" t="s">
        <v>67</v>
      </c>
      <c r="I4">
        <v>724</v>
      </c>
      <c r="J4">
        <v>726</v>
      </c>
      <c r="K4">
        <v>3</v>
      </c>
      <c r="L4" t="s">
        <v>68</v>
      </c>
      <c r="M4" t="s">
        <v>12</v>
      </c>
    </row>
    <row r="5" spans="1:13">
      <c r="A5" s="24" t="s">
        <v>321</v>
      </c>
      <c r="B5" s="24" t="s">
        <v>322</v>
      </c>
      <c r="C5" s="24">
        <v>112</v>
      </c>
      <c r="D5" s="24">
        <v>358</v>
      </c>
      <c r="E5" s="24">
        <v>362</v>
      </c>
      <c r="F5" s="24">
        <v>5</v>
      </c>
      <c r="H5" t="s">
        <v>323</v>
      </c>
      <c r="I5">
        <v>727</v>
      </c>
      <c r="J5">
        <v>727</v>
      </c>
      <c r="K5">
        <v>1</v>
      </c>
      <c r="L5" t="s">
        <v>324</v>
      </c>
      <c r="M5" t="s">
        <v>12</v>
      </c>
    </row>
    <row r="6" spans="1:13">
      <c r="A6" s="24" t="s">
        <v>325</v>
      </c>
      <c r="B6" s="24" t="s">
        <v>326</v>
      </c>
      <c r="C6" s="24">
        <v>113</v>
      </c>
      <c r="D6" s="24">
        <v>492</v>
      </c>
      <c r="E6" s="24">
        <v>496</v>
      </c>
      <c r="F6" s="24">
        <v>5</v>
      </c>
      <c r="H6" t="s">
        <v>327</v>
      </c>
      <c r="I6">
        <v>728</v>
      </c>
      <c r="J6">
        <v>729</v>
      </c>
      <c r="K6">
        <v>2</v>
      </c>
      <c r="L6" t="s">
        <v>328</v>
      </c>
      <c r="M6" t="s">
        <v>12</v>
      </c>
    </row>
    <row r="7" spans="1:13">
      <c r="A7" s="24" t="s">
        <v>329</v>
      </c>
      <c r="B7" s="24" t="s">
        <v>330</v>
      </c>
      <c r="C7" s="24">
        <v>6</v>
      </c>
      <c r="D7" s="24">
        <v>598</v>
      </c>
      <c r="E7" s="24">
        <v>602</v>
      </c>
      <c r="F7" s="24">
        <v>3</v>
      </c>
      <c r="H7" t="s">
        <v>331</v>
      </c>
      <c r="I7">
        <v>730</v>
      </c>
      <c r="J7">
        <v>732</v>
      </c>
      <c r="K7">
        <v>3</v>
      </c>
      <c r="L7" t="s">
        <v>332</v>
      </c>
      <c r="M7" t="s">
        <v>12</v>
      </c>
    </row>
    <row r="9" spans="1:13">
      <c r="D9" t="s">
        <v>333</v>
      </c>
    </row>
    <row r="10" spans="1:13">
      <c r="A10" s="31" t="s">
        <v>334</v>
      </c>
      <c r="B10" s="43" t="s">
        <v>335</v>
      </c>
      <c r="C10" t="s">
        <v>335</v>
      </c>
      <c r="D10" t="s">
        <v>336</v>
      </c>
      <c r="E10" t="s">
        <v>337</v>
      </c>
    </row>
    <row r="11" spans="1:13">
      <c r="A11" s="31" t="s">
        <v>338</v>
      </c>
      <c r="B11" t="s">
        <v>339</v>
      </c>
      <c r="C11" t="s">
        <v>340</v>
      </c>
      <c r="D11" t="s">
        <v>318</v>
      </c>
      <c r="E11" t="s">
        <v>341</v>
      </c>
    </row>
    <row r="12" spans="1:13">
      <c r="A12" s="31" t="s">
        <v>342</v>
      </c>
      <c r="B12" t="s">
        <v>343</v>
      </c>
      <c r="C12" t="s">
        <v>344</v>
      </c>
      <c r="D12" t="s">
        <v>345</v>
      </c>
      <c r="E12" s="50" t="s">
        <v>346</v>
      </c>
    </row>
    <row r="13" spans="1:13">
      <c r="A13" s="31" t="s">
        <v>347</v>
      </c>
      <c r="B13" t="s">
        <v>348</v>
      </c>
      <c r="C13" t="s">
        <v>327</v>
      </c>
      <c r="D13" t="s">
        <v>349</v>
      </c>
      <c r="E13" s="49" t="s">
        <v>350</v>
      </c>
    </row>
    <row r="14" spans="1:13">
      <c r="A14" s="29" t="s">
        <v>351</v>
      </c>
      <c r="B14" t="s">
        <v>323</v>
      </c>
      <c r="C14" t="s">
        <v>323</v>
      </c>
      <c r="D14" t="s">
        <v>352</v>
      </c>
      <c r="E14" s="35" t="s">
        <v>353</v>
      </c>
    </row>
    <row r="15" spans="1:13">
      <c r="A15" s="29" t="s">
        <v>354</v>
      </c>
      <c r="B15" t="s">
        <v>355</v>
      </c>
      <c r="C15" t="s">
        <v>356</v>
      </c>
      <c r="D15" t="s">
        <v>357</v>
      </c>
      <c r="E15" s="35" t="s">
        <v>358</v>
      </c>
    </row>
    <row r="16" spans="1:13">
      <c r="A16" s="32" t="s">
        <v>359</v>
      </c>
      <c r="B16" t="s">
        <v>360</v>
      </c>
      <c r="C16" t="s">
        <v>361</v>
      </c>
      <c r="D16" t="s">
        <v>362</v>
      </c>
      <c r="E16" s="45" t="s">
        <v>363</v>
      </c>
      <c r="F16" s="45" t="s">
        <v>364</v>
      </c>
      <c r="G16" s="45"/>
    </row>
    <row r="17" spans="1:8">
      <c r="A17" s="29" t="s">
        <v>365</v>
      </c>
      <c r="B17" t="s">
        <v>366</v>
      </c>
      <c r="C17" t="s">
        <v>366</v>
      </c>
      <c r="D17" t="s">
        <v>320</v>
      </c>
      <c r="E17" s="35" t="s">
        <v>367</v>
      </c>
    </row>
    <row r="18" spans="1:8">
      <c r="A18" s="29" t="s">
        <v>368</v>
      </c>
      <c r="B18" t="s">
        <v>369</v>
      </c>
      <c r="C18" t="s">
        <v>370</v>
      </c>
      <c r="D18" t="s">
        <v>371</v>
      </c>
      <c r="E18" s="35" t="s">
        <v>372</v>
      </c>
    </row>
    <row r="19" spans="1:8">
      <c r="A19" s="29" t="s">
        <v>373</v>
      </c>
      <c r="B19" t="s">
        <v>374</v>
      </c>
      <c r="C19" t="s">
        <v>375</v>
      </c>
      <c r="D19" t="s">
        <v>376</v>
      </c>
      <c r="E19" s="47" t="s">
        <v>377</v>
      </c>
    </row>
    <row r="20" spans="1:8">
      <c r="A20" s="29" t="s">
        <v>378</v>
      </c>
      <c r="B20" t="s">
        <v>379</v>
      </c>
      <c r="C20" t="s">
        <v>380</v>
      </c>
      <c r="D20" t="s">
        <v>381</v>
      </c>
      <c r="E20" s="47" t="s">
        <v>382</v>
      </c>
      <c r="H20" t="s">
        <v>383</v>
      </c>
    </row>
    <row r="21" spans="1:8">
      <c r="A21" s="29" t="s">
        <v>384</v>
      </c>
      <c r="B21" t="s">
        <v>385</v>
      </c>
      <c r="C21" t="s">
        <v>386</v>
      </c>
      <c r="D21" t="s">
        <v>387</v>
      </c>
      <c r="E21" s="47" t="s">
        <v>388</v>
      </c>
      <c r="G21">
        <v>6</v>
      </c>
    </row>
    <row r="22" spans="1:8">
      <c r="A22" s="29" t="s">
        <v>389</v>
      </c>
      <c r="B22" t="s">
        <v>390</v>
      </c>
      <c r="C22" t="s">
        <v>391</v>
      </c>
      <c r="D22" t="s">
        <v>392</v>
      </c>
      <c r="E22" s="47" t="s">
        <v>393</v>
      </c>
      <c r="G22">
        <v>10</v>
      </c>
    </row>
    <row r="23" spans="1:8">
      <c r="A23" s="32" t="s">
        <v>394</v>
      </c>
      <c r="B23" t="s">
        <v>395</v>
      </c>
      <c r="C23" t="s">
        <v>396</v>
      </c>
      <c r="D23" t="s">
        <v>397</v>
      </c>
      <c r="G23">
        <v>3</v>
      </c>
    </row>
    <row r="24" spans="1:8">
      <c r="A24" s="29" t="s">
        <v>398</v>
      </c>
      <c r="B24" t="s">
        <v>399</v>
      </c>
      <c r="C24" s="49" t="s">
        <v>400</v>
      </c>
      <c r="D24" t="s">
        <v>322</v>
      </c>
      <c r="E24" s="35" t="s">
        <v>401</v>
      </c>
      <c r="G24">
        <v>2</v>
      </c>
    </row>
    <row r="25" spans="1:8">
      <c r="A25" s="29" t="s">
        <v>402</v>
      </c>
      <c r="B25" t="s">
        <v>403</v>
      </c>
      <c r="C25" t="s">
        <v>404</v>
      </c>
      <c r="D25" t="s">
        <v>405</v>
      </c>
      <c r="E25" s="35" t="s">
        <v>406</v>
      </c>
      <c r="G25">
        <v>1</v>
      </c>
    </row>
    <row r="26" spans="1:8">
      <c r="A26" s="29" t="s">
        <v>407</v>
      </c>
      <c r="B26" s="48" t="s">
        <v>408</v>
      </c>
      <c r="C26" s="45" t="s">
        <v>409</v>
      </c>
      <c r="D26" t="s">
        <v>410</v>
      </c>
      <c r="E26" s="47" t="s">
        <v>411</v>
      </c>
      <c r="G26">
        <v>2</v>
      </c>
    </row>
    <row r="27" spans="1:8">
      <c r="A27" s="29" t="s">
        <v>412</v>
      </c>
      <c r="B27" t="s">
        <v>413</v>
      </c>
      <c r="C27" s="45" t="s">
        <v>414</v>
      </c>
      <c r="D27" t="s">
        <v>415</v>
      </c>
      <c r="E27" s="47" t="s">
        <v>416</v>
      </c>
      <c r="G27">
        <v>10</v>
      </c>
    </row>
    <row r="28" spans="1:8">
      <c r="A28" s="31" t="s">
        <v>417</v>
      </c>
      <c r="B28" t="s">
        <v>418</v>
      </c>
      <c r="C28" s="45" t="s">
        <v>419</v>
      </c>
      <c r="D28" t="s">
        <v>420</v>
      </c>
      <c r="E28" t="s">
        <v>421</v>
      </c>
      <c r="G28">
        <v>4</v>
      </c>
    </row>
    <row r="29" spans="1:8">
      <c r="A29" s="29" t="s">
        <v>422</v>
      </c>
      <c r="B29" t="s">
        <v>423</v>
      </c>
      <c r="C29" t="s">
        <v>424</v>
      </c>
      <c r="D29" t="s">
        <v>425</v>
      </c>
      <c r="E29" s="35" t="s">
        <v>426</v>
      </c>
      <c r="G29">
        <v>11</v>
      </c>
    </row>
    <row r="30" spans="1:8">
      <c r="A30" s="29" t="s">
        <v>427</v>
      </c>
      <c r="B30" t="s">
        <v>428</v>
      </c>
      <c r="C30" s="45" t="s">
        <v>429</v>
      </c>
      <c r="D30" t="s">
        <v>430</v>
      </c>
      <c r="E30" s="47" t="s">
        <v>431</v>
      </c>
      <c r="G30">
        <v>10</v>
      </c>
    </row>
    <row r="31" spans="1:8">
      <c r="A31" s="32" t="s">
        <v>432</v>
      </c>
      <c r="B31" t="s">
        <v>433</v>
      </c>
      <c r="C31" t="s">
        <v>434</v>
      </c>
      <c r="D31" t="s">
        <v>435</v>
      </c>
      <c r="E31" s="45" t="s">
        <v>436</v>
      </c>
      <c r="G31">
        <v>5</v>
      </c>
    </row>
    <row r="32" spans="1:8">
      <c r="A32" s="32" t="s">
        <v>437</v>
      </c>
      <c r="B32" s="44" t="s">
        <v>438</v>
      </c>
      <c r="C32" t="s">
        <v>439</v>
      </c>
      <c r="D32" t="s">
        <v>440</v>
      </c>
      <c r="E32" s="45" t="s">
        <v>441</v>
      </c>
      <c r="G32">
        <v>4</v>
      </c>
    </row>
    <row r="33" spans="1:7">
      <c r="A33" s="29" t="s">
        <v>442</v>
      </c>
      <c r="B33" t="s">
        <v>443</v>
      </c>
      <c r="C33" t="s">
        <v>444</v>
      </c>
      <c r="D33" t="s">
        <v>326</v>
      </c>
      <c r="E33" s="35" t="s">
        <v>445</v>
      </c>
      <c r="G33">
        <v>9</v>
      </c>
    </row>
    <row r="34" spans="1:7">
      <c r="A34" s="29" t="s">
        <v>446</v>
      </c>
      <c r="B34" t="s">
        <v>447</v>
      </c>
      <c r="C34" t="s">
        <v>448</v>
      </c>
      <c r="D34" t="s">
        <v>449</v>
      </c>
      <c r="E34" s="35" t="s">
        <v>450</v>
      </c>
      <c r="G34">
        <v>4</v>
      </c>
    </row>
    <row r="35" spans="1:7">
      <c r="A35" s="31" t="s">
        <v>451</v>
      </c>
      <c r="C35" s="45" t="s">
        <v>323</v>
      </c>
      <c r="D35" t="s">
        <v>452</v>
      </c>
      <c r="E35" t="s">
        <v>453</v>
      </c>
      <c r="G35">
        <v>5</v>
      </c>
    </row>
    <row r="36" spans="1:7">
      <c r="A36" s="31" t="s">
        <v>454</v>
      </c>
      <c r="C36" s="45" t="s">
        <v>327</v>
      </c>
      <c r="D36" t="s">
        <v>455</v>
      </c>
      <c r="E36" t="s">
        <v>456</v>
      </c>
      <c r="G36">
        <v>7</v>
      </c>
    </row>
    <row r="37" spans="1:7">
      <c r="A37" s="29" t="s">
        <v>457</v>
      </c>
      <c r="C37" s="45" t="s">
        <v>458</v>
      </c>
      <c r="D37" t="s">
        <v>459</v>
      </c>
      <c r="E37" s="35" t="s">
        <v>460</v>
      </c>
      <c r="G37">
        <v>6</v>
      </c>
    </row>
    <row r="38" spans="1:7">
      <c r="A38" s="31" t="s">
        <v>461</v>
      </c>
      <c r="C38" t="s">
        <v>366</v>
      </c>
      <c r="D38" t="s">
        <v>462</v>
      </c>
      <c r="E38" t="s">
        <v>463</v>
      </c>
      <c r="G38">
        <v>10</v>
      </c>
    </row>
    <row r="39" spans="1:7">
      <c r="A39" s="29" t="s">
        <v>464</v>
      </c>
      <c r="C39" t="s">
        <v>370</v>
      </c>
      <c r="D39" t="s">
        <v>330</v>
      </c>
      <c r="E39" s="35" t="s">
        <v>465</v>
      </c>
      <c r="G39">
        <v>17</v>
      </c>
    </row>
    <row r="40" spans="1:7">
      <c r="A40" s="29" t="s">
        <v>466</v>
      </c>
      <c r="C40" t="s">
        <v>375</v>
      </c>
      <c r="D40" t="s">
        <v>467</v>
      </c>
      <c r="E40" s="35" t="s">
        <v>468</v>
      </c>
      <c r="G40">
        <v>17</v>
      </c>
    </row>
    <row r="41" spans="1:7">
      <c r="A41" s="29" t="s">
        <v>469</v>
      </c>
      <c r="C41" t="s">
        <v>380</v>
      </c>
      <c r="D41" t="s">
        <v>469</v>
      </c>
      <c r="E41" s="47" t="s">
        <v>470</v>
      </c>
      <c r="G41">
        <v>10</v>
      </c>
    </row>
    <row r="42" spans="1:7">
      <c r="A42" s="29" t="s">
        <v>471</v>
      </c>
      <c r="C42" s="46" t="s">
        <v>472</v>
      </c>
      <c r="D42" t="s">
        <v>473</v>
      </c>
      <c r="E42" s="47" t="s">
        <v>474</v>
      </c>
      <c r="G42">
        <v>1</v>
      </c>
    </row>
    <row r="43" spans="1:7">
      <c r="A43" s="29" t="s">
        <v>475</v>
      </c>
      <c r="C43" s="46" t="s">
        <v>476</v>
      </c>
      <c r="D43" t="s">
        <v>477</v>
      </c>
      <c r="E43" s="35" t="s">
        <v>478</v>
      </c>
      <c r="G43">
        <v>4</v>
      </c>
    </row>
    <row r="44" spans="1:7">
      <c r="A44" s="29" t="s">
        <v>479</v>
      </c>
      <c r="C44" s="46" t="s">
        <v>480</v>
      </c>
      <c r="D44" t="s">
        <v>481</v>
      </c>
      <c r="E44" s="47" t="s">
        <v>482</v>
      </c>
      <c r="G44">
        <v>50</v>
      </c>
    </row>
    <row r="45" spans="1:7">
      <c r="A45" s="29" t="s">
        <v>483</v>
      </c>
      <c r="D45" t="s">
        <v>484</v>
      </c>
      <c r="E45" s="47" t="s">
        <v>485</v>
      </c>
      <c r="G45">
        <v>10</v>
      </c>
    </row>
    <row r="46" spans="1:7">
      <c r="A46" s="31"/>
      <c r="C46" t="s">
        <v>486</v>
      </c>
      <c r="D46" t="s">
        <v>487</v>
      </c>
      <c r="E46" s="50" t="s">
        <v>488</v>
      </c>
      <c r="G46">
        <v>1</v>
      </c>
    </row>
    <row r="47" spans="1:7">
      <c r="A47" s="31"/>
      <c r="C47" t="s">
        <v>489</v>
      </c>
      <c r="D47" t="s">
        <v>490</v>
      </c>
      <c r="E47" s="49" t="s">
        <v>491</v>
      </c>
      <c r="G47">
        <v>2</v>
      </c>
    </row>
    <row r="48" spans="1:7">
      <c r="A48" s="31"/>
      <c r="C48" t="s">
        <v>492</v>
      </c>
      <c r="D48" t="s">
        <v>493</v>
      </c>
      <c r="E48" t="s">
        <v>494</v>
      </c>
      <c r="G48">
        <v>3</v>
      </c>
    </row>
    <row r="49" spans="1:8">
      <c r="A49" s="31"/>
      <c r="C49" t="s">
        <v>495</v>
      </c>
      <c r="D49" t="s">
        <v>496</v>
      </c>
      <c r="E49" t="s">
        <v>497</v>
      </c>
      <c r="G49">
        <v>15</v>
      </c>
    </row>
    <row r="50" spans="1:8">
      <c r="A50" s="31" t="s">
        <v>498</v>
      </c>
      <c r="C50" t="s">
        <v>499</v>
      </c>
      <c r="D50" t="s">
        <v>500</v>
      </c>
      <c r="E50" s="45" t="s">
        <v>501</v>
      </c>
      <c r="G50">
        <v>10</v>
      </c>
    </row>
    <row r="51" spans="1:8">
      <c r="C51" t="s">
        <v>502</v>
      </c>
      <c r="E51" s="45" t="s">
        <v>503</v>
      </c>
      <c r="G51">
        <v>5</v>
      </c>
    </row>
    <row r="52" spans="1:8">
      <c r="C52" t="s">
        <v>504</v>
      </c>
      <c r="E52" s="45" t="s">
        <v>505</v>
      </c>
      <c r="G52">
        <v>4</v>
      </c>
    </row>
    <row r="53" spans="1:8">
      <c r="C53" t="s">
        <v>506</v>
      </c>
      <c r="E53" s="45" t="s">
        <v>507</v>
      </c>
      <c r="G53">
        <v>11</v>
      </c>
    </row>
    <row r="54" spans="1:8">
      <c r="C54" s="49" t="s">
        <v>508</v>
      </c>
      <c r="E54" s="45" t="s">
        <v>509</v>
      </c>
      <c r="G54">
        <v>2</v>
      </c>
      <c r="H54">
        <f>SUM(G21:G54)</f>
        <v>271</v>
      </c>
    </row>
    <row r="55" spans="1:8">
      <c r="C55" s="49" t="s">
        <v>510</v>
      </c>
      <c r="E55" s="45" t="s">
        <v>511</v>
      </c>
    </row>
    <row r="56" spans="1:8">
      <c r="C56" t="s">
        <v>512</v>
      </c>
      <c r="E56" s="45" t="s">
        <v>513</v>
      </c>
    </row>
    <row r="57" spans="1:8">
      <c r="C57" t="s">
        <v>514</v>
      </c>
    </row>
    <row r="58" spans="1:8">
      <c r="C58" t="s">
        <v>515</v>
      </c>
    </row>
    <row r="59" spans="1:8">
      <c r="C59" t="s">
        <v>516</v>
      </c>
    </row>
    <row r="61" spans="1:8">
      <c r="B61" t="s">
        <v>517</v>
      </c>
      <c r="C61" s="45" t="s">
        <v>518</v>
      </c>
    </row>
    <row r="62" spans="1:8">
      <c r="C62" s="45" t="s">
        <v>519</v>
      </c>
    </row>
    <row r="63" spans="1:8">
      <c r="C63" s="45" t="s">
        <v>67</v>
      </c>
    </row>
    <row r="64" spans="1:8">
      <c r="C64" s="45" t="s">
        <v>331</v>
      </c>
    </row>
    <row r="65" spans="2:3">
      <c r="C65" t="s">
        <v>520</v>
      </c>
    </row>
    <row r="66" spans="2:3">
      <c r="C66" t="s">
        <v>521</v>
      </c>
    </row>
    <row r="67" spans="2:3">
      <c r="C67" s="45" t="s">
        <v>522</v>
      </c>
    </row>
    <row r="68" spans="2:3">
      <c r="C68" t="s">
        <v>345</v>
      </c>
    </row>
    <row r="70" spans="2:3">
      <c r="B70" t="s">
        <v>523</v>
      </c>
      <c r="C70" s="50" t="s">
        <v>524</v>
      </c>
    </row>
    <row r="71" spans="2:3">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525</v>
      </c>
      <c r="B1" s="40" t="s">
        <v>526</v>
      </c>
      <c r="C1" s="34" t="s">
        <v>527</v>
      </c>
      <c r="D1" s="34" t="s">
        <v>528</v>
      </c>
      <c r="E1" s="34" t="s">
        <v>529</v>
      </c>
      <c r="F1" s="34" t="s">
        <v>528</v>
      </c>
    </row>
    <row r="2" spans="1:7" ht="30">
      <c r="A2" s="274" t="s">
        <v>530</v>
      </c>
      <c r="B2" s="39" t="s">
        <v>531</v>
      </c>
      <c r="C2" s="30"/>
      <c r="D2" s="41"/>
      <c r="E2" s="30" t="s">
        <v>532</v>
      </c>
      <c r="F2" s="41" t="s">
        <v>533</v>
      </c>
    </row>
    <row r="3" spans="1:7" ht="30">
      <c r="A3" s="275"/>
      <c r="B3" s="40" t="s">
        <v>534</v>
      </c>
      <c r="C3" s="34" t="s">
        <v>535</v>
      </c>
      <c r="D3" s="34" t="s">
        <v>536</v>
      </c>
      <c r="E3" s="34" t="s">
        <v>537</v>
      </c>
      <c r="F3" s="34" t="s">
        <v>533</v>
      </c>
    </row>
    <row r="4" spans="1:7" ht="30">
      <c r="A4" s="276"/>
      <c r="B4" s="24" t="s">
        <v>538</v>
      </c>
      <c r="C4" s="34" t="s">
        <v>539</v>
      </c>
      <c r="D4" s="34"/>
      <c r="E4" s="34" t="s">
        <v>540</v>
      </c>
      <c r="F4" s="34" t="s">
        <v>533</v>
      </c>
    </row>
    <row r="5" spans="1:7" ht="30">
      <c r="A5" s="34" t="s">
        <v>541</v>
      </c>
      <c r="B5" s="28" t="s">
        <v>542</v>
      </c>
      <c r="C5" s="28" t="s">
        <v>543</v>
      </c>
      <c r="D5" s="34" t="s">
        <v>544</v>
      </c>
      <c r="E5" s="34"/>
      <c r="F5" s="34"/>
    </row>
    <row r="6" spans="1:7">
      <c r="A6" s="34"/>
      <c r="B6" s="34"/>
      <c r="C6" s="34"/>
      <c r="D6" s="34"/>
      <c r="E6" s="34"/>
      <c r="F6" s="34"/>
    </row>
    <row r="7" spans="1:7" ht="30">
      <c r="A7" s="34"/>
      <c r="B7" s="28"/>
      <c r="C7" s="28" t="s">
        <v>545</v>
      </c>
      <c r="D7" s="34"/>
      <c r="E7" s="34"/>
      <c r="F7" s="34"/>
      <c r="G7" s="34" t="s">
        <v>546</v>
      </c>
    </row>
    <row r="8" spans="1:7">
      <c r="A8" s="34"/>
      <c r="B8" s="34"/>
      <c r="C8" s="34"/>
      <c r="D8" s="34"/>
      <c r="E8" s="34"/>
      <c r="F8" s="34"/>
    </row>
    <row r="9" spans="1:7">
      <c r="A9" s="34" t="s">
        <v>547</v>
      </c>
      <c r="B9" s="34"/>
      <c r="C9" s="34" t="s">
        <v>548</v>
      </c>
      <c r="D9" s="34"/>
      <c r="E9" s="34"/>
      <c r="F9" s="34"/>
    </row>
    <row r="10" spans="1:7">
      <c r="A10" s="42"/>
      <c r="B10" s="42"/>
      <c r="C10" s="42"/>
      <c r="D10" s="42"/>
      <c r="E10" s="34"/>
      <c r="F10" s="34"/>
    </row>
    <row r="11" spans="1:7">
      <c r="A11" s="34" t="s">
        <v>549</v>
      </c>
      <c r="B11" s="34"/>
      <c r="C11" s="34" t="s">
        <v>550</v>
      </c>
      <c r="D11" s="34"/>
      <c r="E11" s="34"/>
      <c r="F11" s="34"/>
    </row>
    <row r="12" spans="1:7">
      <c r="A12" s="34" t="s">
        <v>549</v>
      </c>
      <c r="B12" s="34"/>
      <c r="C12" s="34" t="s">
        <v>551</v>
      </c>
      <c r="D12" s="34"/>
      <c r="E12" s="34"/>
      <c r="F12" s="34"/>
    </row>
    <row r="13" spans="1:7">
      <c r="A13" s="34" t="s">
        <v>549</v>
      </c>
      <c r="B13" s="34" t="s">
        <v>552</v>
      </c>
      <c r="C13" s="34" t="s">
        <v>553</v>
      </c>
      <c r="D13" s="34"/>
      <c r="E13" s="34" t="s">
        <v>554</v>
      </c>
      <c r="F13" s="34"/>
    </row>
    <row r="14" spans="1:7">
      <c r="A14" s="34" t="s">
        <v>549</v>
      </c>
      <c r="B14" s="34" t="s">
        <v>555</v>
      </c>
      <c r="C14" s="34" t="s">
        <v>556</v>
      </c>
      <c r="D14" s="34"/>
      <c r="E14" s="34" t="s">
        <v>557</v>
      </c>
      <c r="F14" s="34"/>
    </row>
    <row r="15" spans="1:7">
      <c r="A15" s="34"/>
      <c r="B15" s="34"/>
      <c r="C15" s="34"/>
      <c r="D15" s="34"/>
      <c r="E15" s="34"/>
      <c r="F15" s="34"/>
    </row>
    <row r="16" spans="1:7">
      <c r="A16" s="274" t="s">
        <v>558</v>
      </c>
      <c r="B16" s="274" t="s">
        <v>559</v>
      </c>
      <c r="C16" s="34" t="s">
        <v>560</v>
      </c>
      <c r="D16" s="34" t="s">
        <v>176</v>
      </c>
      <c r="E16" s="34" t="s">
        <v>561</v>
      </c>
      <c r="F16" s="34"/>
    </row>
    <row r="17" spans="1:6">
      <c r="A17" s="275"/>
      <c r="B17" s="275"/>
      <c r="C17" s="34" t="s">
        <v>562</v>
      </c>
      <c r="D17" s="34" t="s">
        <v>176</v>
      </c>
      <c r="E17" s="34" t="s">
        <v>563</v>
      </c>
      <c r="F17" s="34"/>
    </row>
    <row r="18" spans="1:6">
      <c r="A18" s="275"/>
      <c r="B18" s="275"/>
      <c r="C18" s="34" t="s">
        <v>564</v>
      </c>
      <c r="D18" s="34" t="s">
        <v>176</v>
      </c>
      <c r="E18" s="34" t="s">
        <v>565</v>
      </c>
      <c r="F18" s="34"/>
    </row>
    <row r="19" spans="1:6">
      <c r="A19" s="276"/>
      <c r="B19" s="276"/>
      <c r="C19" s="34" t="s">
        <v>566</v>
      </c>
      <c r="D19" s="34" t="s">
        <v>176</v>
      </c>
      <c r="E19" s="34" t="s">
        <v>567</v>
      </c>
      <c r="F19" s="34"/>
    </row>
    <row r="20" spans="1:6">
      <c r="A20" s="34"/>
      <c r="B20" s="34"/>
      <c r="C20" s="34"/>
      <c r="D20" s="34"/>
      <c r="E20" s="34"/>
      <c r="F20" s="34"/>
    </row>
    <row r="21" spans="1:6" ht="30">
      <c r="A21" s="34" t="s">
        <v>568</v>
      </c>
      <c r="B21" s="34" t="s">
        <v>569</v>
      </c>
      <c r="C21" s="34" t="s">
        <v>570</v>
      </c>
      <c r="D21" s="34" t="s">
        <v>571</v>
      </c>
      <c r="E21" s="34" t="s">
        <v>572</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525</v>
      </c>
      <c r="B1" s="25" t="s">
        <v>526</v>
      </c>
      <c r="C1" s="23" t="s">
        <v>527</v>
      </c>
      <c r="D1" s="23" t="s">
        <v>528</v>
      </c>
      <c r="E1" s="23" t="s">
        <v>529</v>
      </c>
      <c r="F1" s="23" t="s">
        <v>528</v>
      </c>
    </row>
    <row r="2" spans="1:6">
      <c r="A2" s="277" t="s">
        <v>530</v>
      </c>
      <c r="B2" s="38" t="s">
        <v>531</v>
      </c>
      <c r="C2" s="28"/>
      <c r="D2" s="23"/>
      <c r="E2" s="28" t="s">
        <v>532</v>
      </c>
      <c r="F2" s="23" t="s">
        <v>533</v>
      </c>
    </row>
    <row r="3" spans="1:6">
      <c r="A3" s="278"/>
      <c r="B3" s="25" t="s">
        <v>534</v>
      </c>
      <c r="C3" s="23" t="s">
        <v>535</v>
      </c>
      <c r="D3" s="23" t="s">
        <v>536</v>
      </c>
      <c r="E3" s="23" t="s">
        <v>537</v>
      </c>
      <c r="F3" s="23" t="s">
        <v>533</v>
      </c>
    </row>
    <row r="4" spans="1:6">
      <c r="A4" s="279"/>
      <c r="B4" t="s">
        <v>538</v>
      </c>
      <c r="C4" s="34" t="s">
        <v>539</v>
      </c>
      <c r="D4" s="23"/>
      <c r="E4" s="34" t="s">
        <v>540</v>
      </c>
      <c r="F4" s="23" t="s">
        <v>533</v>
      </c>
    </row>
    <row r="5" spans="1:6">
      <c r="A5" s="23"/>
      <c r="B5" s="25"/>
      <c r="C5" s="23"/>
      <c r="D5" s="23"/>
      <c r="E5" s="23"/>
      <c r="F5" s="23"/>
    </row>
    <row r="6" spans="1:6">
      <c r="A6" s="280" t="s">
        <v>573</v>
      </c>
      <c r="B6" s="23"/>
      <c r="C6" s="23" t="s">
        <v>574</v>
      </c>
      <c r="D6" s="23"/>
      <c r="E6" s="23" t="s">
        <v>575</v>
      </c>
      <c r="F6" s="25"/>
    </row>
    <row r="7" spans="1:6">
      <c r="A7" s="280"/>
      <c r="B7" s="23"/>
      <c r="C7" s="23" t="s">
        <v>576</v>
      </c>
      <c r="D7" s="23"/>
      <c r="E7" s="23" t="s">
        <v>577</v>
      </c>
      <c r="F7" s="25"/>
    </row>
    <row r="8" spans="1:6">
      <c r="A8" s="280"/>
      <c r="B8" s="23"/>
      <c r="C8" s="23" t="s">
        <v>578</v>
      </c>
      <c r="D8" s="23"/>
      <c r="E8" s="23" t="s">
        <v>579</v>
      </c>
    </row>
    <row r="9" spans="1:6">
      <c r="A9" s="280"/>
      <c r="B9" s="23"/>
      <c r="C9" s="23" t="s">
        <v>580</v>
      </c>
      <c r="D9" s="23"/>
      <c r="E9" s="23" t="s">
        <v>581</v>
      </c>
    </row>
    <row r="10" spans="1:6">
      <c r="A10" s="280"/>
      <c r="B10" s="23"/>
      <c r="C10" s="23" t="s">
        <v>582</v>
      </c>
      <c r="D10" s="23"/>
      <c r="E10" s="23" t="s">
        <v>583</v>
      </c>
    </row>
    <row r="11" spans="1:6">
      <c r="A11" s="280"/>
      <c r="B11" s="23"/>
      <c r="C11" s="23" t="s">
        <v>584</v>
      </c>
      <c r="D11" s="23"/>
      <c r="E11" s="23" t="s">
        <v>585</v>
      </c>
    </row>
    <row r="12" spans="1:6">
      <c r="A12" s="280"/>
      <c r="B12" s="23"/>
      <c r="C12" s="23" t="s">
        <v>586</v>
      </c>
      <c r="D12" s="23"/>
      <c r="E12" s="23" t="s">
        <v>587</v>
      </c>
    </row>
    <row r="13" spans="1:6">
      <c r="A13" s="280"/>
      <c r="B13" s="23"/>
      <c r="C13" s="23" t="s">
        <v>588</v>
      </c>
      <c r="D13" s="23"/>
      <c r="E13" s="23" t="s">
        <v>589</v>
      </c>
    </row>
    <row r="14" spans="1:6">
      <c r="A14" s="280"/>
      <c r="B14" s="23"/>
      <c r="C14" s="23" t="s">
        <v>590</v>
      </c>
      <c r="D14" s="23"/>
      <c r="E14" s="23" t="s">
        <v>591</v>
      </c>
    </row>
    <row r="15" spans="1:6">
      <c r="A15" s="280"/>
      <c r="B15" s="23"/>
      <c r="C15" s="23" t="s">
        <v>592</v>
      </c>
      <c r="D15" s="23"/>
      <c r="E15" s="23" t="s">
        <v>593</v>
      </c>
    </row>
    <row r="16" spans="1:6">
      <c r="A16" s="280"/>
      <c r="B16" s="23"/>
      <c r="C16" s="23" t="s">
        <v>594</v>
      </c>
      <c r="D16" s="23"/>
      <c r="E16" s="23" t="s">
        <v>595</v>
      </c>
    </row>
    <row r="17" spans="1:5">
      <c r="A17" s="280"/>
      <c r="B17" s="23"/>
      <c r="C17" s="23" t="s">
        <v>596</v>
      </c>
      <c r="D17" s="23"/>
      <c r="E17" s="23" t="s">
        <v>597</v>
      </c>
    </row>
    <row r="18" spans="1:5">
      <c r="A18" s="280"/>
      <c r="B18" s="23"/>
      <c r="C18" s="23" t="s">
        <v>598</v>
      </c>
      <c r="D18" s="23"/>
      <c r="E18" s="23" t="s">
        <v>599</v>
      </c>
    </row>
    <row r="19" spans="1:5">
      <c r="A19" s="280"/>
      <c r="B19" s="23"/>
      <c r="C19" s="23" t="s">
        <v>600</v>
      </c>
      <c r="D19" s="23"/>
      <c r="E19" s="23" t="s">
        <v>601</v>
      </c>
    </row>
    <row r="20" spans="1:5">
      <c r="A20" s="277" t="s">
        <v>602</v>
      </c>
      <c r="B20" s="23"/>
      <c r="C20" s="23" t="s">
        <v>603</v>
      </c>
      <c r="D20" s="23"/>
      <c r="E20" s="23" t="s">
        <v>604</v>
      </c>
    </row>
    <row r="21" spans="1:5">
      <c r="A21" s="278"/>
      <c r="B21" s="23"/>
      <c r="C21" s="23" t="s">
        <v>605</v>
      </c>
      <c r="D21" s="23"/>
      <c r="E21" s="23" t="s">
        <v>606</v>
      </c>
    </row>
    <row r="22" spans="1:5">
      <c r="A22" s="278"/>
      <c r="B22" s="23"/>
      <c r="C22" s="23" t="s">
        <v>607</v>
      </c>
      <c r="D22" s="23"/>
      <c r="E22" s="23" t="s">
        <v>608</v>
      </c>
    </row>
    <row r="23" spans="1:5">
      <c r="A23" s="278"/>
      <c r="B23" s="23"/>
      <c r="C23" s="23" t="s">
        <v>609</v>
      </c>
      <c r="D23" s="23"/>
      <c r="E23" s="23" t="s">
        <v>610</v>
      </c>
    </row>
    <row r="24" spans="1:5">
      <c r="A24" s="278"/>
      <c r="B24" s="23"/>
      <c r="C24" s="23" t="s">
        <v>611</v>
      </c>
      <c r="D24" s="23"/>
      <c r="E24" s="23" t="s">
        <v>612</v>
      </c>
    </row>
    <row r="25" spans="1:5">
      <c r="A25" s="278"/>
      <c r="B25" s="23"/>
      <c r="C25" s="23" t="s">
        <v>613</v>
      </c>
      <c r="D25" s="23"/>
      <c r="E25" s="23" t="s">
        <v>614</v>
      </c>
    </row>
    <row r="26" spans="1:5">
      <c r="A26" s="278"/>
      <c r="B26" s="23"/>
      <c r="C26" s="23" t="s">
        <v>615</v>
      </c>
      <c r="D26" s="23"/>
      <c r="E26" s="23" t="s">
        <v>616</v>
      </c>
    </row>
    <row r="27" spans="1:5">
      <c r="A27" s="278"/>
      <c r="B27" s="23"/>
      <c r="C27" s="23" t="s">
        <v>617</v>
      </c>
      <c r="D27" s="23"/>
      <c r="E27" s="23" t="s">
        <v>618</v>
      </c>
    </row>
    <row r="28" spans="1:5">
      <c r="A28" s="278"/>
      <c r="B28" s="23"/>
      <c r="C28" s="23" t="s">
        <v>619</v>
      </c>
      <c r="D28" s="23"/>
      <c r="E28" s="23" t="s">
        <v>620</v>
      </c>
    </row>
    <row r="29" spans="1:5">
      <c r="A29" s="278"/>
      <c r="B29" s="23"/>
      <c r="C29" s="23" t="s">
        <v>621</v>
      </c>
      <c r="D29" s="23"/>
      <c r="E29" s="23" t="s">
        <v>622</v>
      </c>
    </row>
    <row r="30" spans="1:5">
      <c r="A30" s="279"/>
      <c r="B30" s="23"/>
      <c r="C30" s="23" t="s">
        <v>623</v>
      </c>
      <c r="D30" s="23"/>
      <c r="E30" s="23" t="s">
        <v>624</v>
      </c>
    </row>
    <row r="31" spans="1:5">
      <c r="A31" s="23"/>
      <c r="B31" s="23"/>
      <c r="C31" s="23" t="s">
        <v>625</v>
      </c>
      <c r="D31" s="23"/>
      <c r="E31" s="23" t="s">
        <v>626</v>
      </c>
    </row>
    <row r="32" spans="1:5">
      <c r="A32" s="23"/>
      <c r="B32" s="23"/>
      <c r="C32" s="23" t="s">
        <v>627</v>
      </c>
      <c r="D32" s="23"/>
      <c r="E32" s="23" t="s">
        <v>628</v>
      </c>
    </row>
    <row r="33" spans="1:5">
      <c r="A33" s="23"/>
      <c r="B33" s="23"/>
      <c r="C33" s="23" t="s">
        <v>629</v>
      </c>
      <c r="D33" s="23"/>
      <c r="E33" s="23" t="s">
        <v>630</v>
      </c>
    </row>
    <row r="34" spans="1:5">
      <c r="A34" s="23"/>
      <c r="B34" s="23"/>
      <c r="C34" s="23" t="s">
        <v>631</v>
      </c>
      <c r="D34" s="23"/>
      <c r="E34" s="23" t="s">
        <v>632</v>
      </c>
    </row>
    <row r="35" spans="1:5">
      <c r="A35" s="23"/>
      <c r="B35" s="23"/>
      <c r="C35" s="23" t="s">
        <v>633</v>
      </c>
      <c r="D35" s="23"/>
      <c r="E35" s="23" t="s">
        <v>634</v>
      </c>
    </row>
    <row r="36" spans="1:5">
      <c r="A36" s="23"/>
      <c r="B36" s="23"/>
      <c r="C36" s="23" t="s">
        <v>635</v>
      </c>
      <c r="D36" s="23"/>
      <c r="E36" s="23" t="s">
        <v>636</v>
      </c>
    </row>
    <row r="37" spans="1:5">
      <c r="A37" s="23"/>
      <c r="B37" s="23"/>
      <c r="C37" s="23" t="s">
        <v>637</v>
      </c>
      <c r="D37" s="23"/>
      <c r="E37" s="23" t="s">
        <v>638</v>
      </c>
    </row>
    <row r="38" spans="1:5">
      <c r="A38" s="23"/>
      <c r="B38" s="23"/>
      <c r="C38" s="23" t="s">
        <v>639</v>
      </c>
      <c r="D38" s="23"/>
      <c r="E38" s="23" t="s">
        <v>640</v>
      </c>
    </row>
    <row r="39" spans="1:5">
      <c r="A39" s="23"/>
      <c r="B39" s="23"/>
      <c r="C39" s="23" t="s">
        <v>641</v>
      </c>
      <c r="D39" s="23"/>
      <c r="E39" s="23" t="s">
        <v>642</v>
      </c>
    </row>
    <row r="40" spans="1:5">
      <c r="A40" s="23"/>
      <c r="B40" s="23"/>
      <c r="C40" s="23"/>
      <c r="D40" s="23"/>
      <c r="E40" s="23"/>
    </row>
    <row r="41" spans="1:5">
      <c r="A41" s="23"/>
      <c r="B41" s="28"/>
      <c r="C41" s="28" t="s">
        <v>545</v>
      </c>
      <c r="D41" s="23"/>
      <c r="E41" s="23" t="s">
        <v>546</v>
      </c>
    </row>
    <row r="42" spans="1:5">
      <c r="A42" s="23"/>
      <c r="B42" s="23"/>
      <c r="C42" s="23"/>
      <c r="D42" s="23"/>
      <c r="E42" s="23"/>
    </row>
    <row r="43" spans="1:5">
      <c r="A43" s="23" t="s">
        <v>643</v>
      </c>
      <c r="B43" s="23"/>
      <c r="C43" s="23" t="s">
        <v>644</v>
      </c>
      <c r="D43" s="23"/>
      <c r="E43" s="23"/>
    </row>
    <row r="44" spans="1:5">
      <c r="A44" s="23"/>
      <c r="B44" s="23"/>
      <c r="C44" s="23"/>
      <c r="D44" s="23"/>
      <c r="E44" s="23"/>
    </row>
    <row r="45" spans="1:5">
      <c r="A45" s="23" t="s">
        <v>547</v>
      </c>
      <c r="B45" s="23"/>
      <c r="C45" s="23" t="s">
        <v>548</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22"/>
  <sheetViews>
    <sheetView workbookViewId="0">
      <selection activeCell="D18" sqref="D18"/>
    </sheetView>
  </sheetViews>
  <sheetFormatPr defaultColWidth="0" defaultRowHeight="1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75" thickBot="1">
      <c r="A3" s="22"/>
      <c r="B3" s="22"/>
      <c r="C3" s="22"/>
      <c r="D3" s="22"/>
      <c r="E3" s="22"/>
    </row>
    <row r="4" spans="1:5">
      <c r="A4" s="21"/>
      <c r="B4" s="21"/>
      <c r="C4" s="21"/>
      <c r="D4" s="21"/>
      <c r="E4" s="21"/>
    </row>
    <row r="5" spans="1:5">
      <c r="A5" s="21"/>
      <c r="B5" s="55" t="s">
        <v>645</v>
      </c>
      <c r="C5" s="56" t="s">
        <v>646</v>
      </c>
      <c r="D5" s="57" t="s">
        <v>647</v>
      </c>
      <c r="E5" s="21"/>
    </row>
    <row r="6" spans="1:5">
      <c r="A6" s="21"/>
      <c r="B6" s="53" t="s">
        <v>648</v>
      </c>
      <c r="C6" s="53" t="s">
        <v>649</v>
      </c>
      <c r="D6" s="54" t="s">
        <v>650</v>
      </c>
      <c r="E6" s="21"/>
    </row>
    <row r="7" spans="1:5">
      <c r="A7" s="21"/>
      <c r="B7" s="53" t="s">
        <v>651</v>
      </c>
      <c r="C7" s="53" t="s">
        <v>652</v>
      </c>
      <c r="D7" s="54" t="s">
        <v>653</v>
      </c>
      <c r="E7" s="21"/>
    </row>
    <row r="8" spans="1:5">
      <c r="A8" s="21"/>
      <c r="B8" s="260" t="s">
        <v>654</v>
      </c>
      <c r="C8" s="53" t="s">
        <v>655</v>
      </c>
      <c r="D8" s="54" t="s">
        <v>656</v>
      </c>
      <c r="E8" s="21"/>
    </row>
    <row r="9" spans="1:5">
      <c r="A9" s="21"/>
      <c r="B9" s="51" t="s">
        <v>657</v>
      </c>
      <c r="C9" s="53" t="s">
        <v>658</v>
      </c>
      <c r="D9" s="54" t="s">
        <v>659</v>
      </c>
      <c r="E9" s="21"/>
    </row>
    <row r="10" spans="1:5">
      <c r="A10" s="21"/>
      <c r="B10" s="51" t="s">
        <v>660</v>
      </c>
      <c r="C10" s="53" t="s">
        <v>661</v>
      </c>
      <c r="D10" s="54" t="s">
        <v>662</v>
      </c>
      <c r="E10" s="21"/>
    </row>
    <row r="11" spans="1:5">
      <c r="B11" s="51" t="s">
        <v>663</v>
      </c>
      <c r="C11" s="53" t="s">
        <v>664</v>
      </c>
      <c r="D11" s="54" t="s">
        <v>665</v>
      </c>
    </row>
    <row r="12" spans="1:5">
      <c r="B12" s="51" t="s">
        <v>666</v>
      </c>
      <c r="C12" s="53" t="s">
        <v>667</v>
      </c>
      <c r="D12" s="54" t="s">
        <v>668</v>
      </c>
    </row>
    <row r="13" spans="1:5">
      <c r="B13" s="51" t="s">
        <v>669</v>
      </c>
      <c r="C13" s="53" t="s">
        <v>670</v>
      </c>
      <c r="D13" s="54" t="s">
        <v>671</v>
      </c>
    </row>
    <row r="14" spans="1:5" s="4" customFormat="1">
      <c r="B14" s="51" t="s">
        <v>672</v>
      </c>
      <c r="C14" s="53" t="s">
        <v>673</v>
      </c>
      <c r="D14" s="54" t="s">
        <v>674</v>
      </c>
    </row>
    <row r="15" spans="1:5" s="4" customFormat="1">
      <c r="B15" s="51" t="s">
        <v>675</v>
      </c>
      <c r="C15" s="53" t="s">
        <v>676</v>
      </c>
      <c r="D15" s="54" t="s">
        <v>677</v>
      </c>
    </row>
    <row r="16" spans="1:5" s="4" customFormat="1">
      <c r="B16" s="51" t="s">
        <v>678</v>
      </c>
      <c r="C16" s="53" t="s">
        <v>679</v>
      </c>
      <c r="D16" s="54" t="s">
        <v>680</v>
      </c>
    </row>
    <row r="17" spans="2:4" s="4" customFormat="1">
      <c r="B17" s="51" t="s">
        <v>681</v>
      </c>
      <c r="C17" s="53" t="s">
        <v>682</v>
      </c>
      <c r="D17" s="54" t="s">
        <v>683</v>
      </c>
    </row>
    <row r="18" spans="2:4" s="4" customFormat="1">
      <c r="B18" s="51" t="s">
        <v>684</v>
      </c>
      <c r="C18" s="53" t="s">
        <v>685</v>
      </c>
      <c r="D18" s="54" t="s">
        <v>686</v>
      </c>
    </row>
    <row r="19" spans="2:4" s="4" customFormat="1">
      <c r="B19" s="51" t="s">
        <v>687</v>
      </c>
      <c r="C19" s="53" t="s">
        <v>688</v>
      </c>
      <c r="D19" s="54" t="s">
        <v>689</v>
      </c>
    </row>
    <row r="20" spans="2:4" s="4" customFormat="1">
      <c r="B20" s="51" t="s">
        <v>690</v>
      </c>
      <c r="C20" s="53" t="s">
        <v>691</v>
      </c>
      <c r="D20" s="54" t="s">
        <v>692</v>
      </c>
    </row>
    <row r="21" spans="2:4" s="4" customFormat="1">
      <c r="B21" s="53"/>
      <c r="C21"/>
      <c r="D21" s="54"/>
    </row>
    <row r="22" spans="2:4" s="4" customFormat="1">
      <c r="B22" s="53"/>
      <c r="C22"/>
      <c r="D22" s="54"/>
    </row>
    <row r="23" spans="2:4" s="4" customFormat="1">
      <c r="B23" s="53"/>
      <c r="C23"/>
      <c r="D23" s="54"/>
    </row>
    <row r="24" spans="2:4" s="4" customFormat="1">
      <c r="B24" s="53"/>
      <c r="C24"/>
      <c r="D24" s="54"/>
    </row>
    <row r="25" spans="2:4" s="4" customFormat="1">
      <c r="B25" s="53"/>
      <c r="C25"/>
      <c r="D25" s="54"/>
    </row>
    <row r="26" spans="2:4" s="4" customFormat="1">
      <c r="B26" s="53"/>
      <c r="C26"/>
      <c r="D26" s="54"/>
    </row>
    <row r="27" spans="2:4" s="4" customFormat="1">
      <c r="B27" s="53"/>
      <c r="C27"/>
      <c r="D27" s="54"/>
    </row>
    <row r="28" spans="2:4" s="4" customFormat="1">
      <c r="B28" s="53"/>
      <c r="C28"/>
      <c r="D28" s="54"/>
    </row>
    <row r="29" spans="2:4" s="4" customFormat="1">
      <c r="B29" s="53"/>
      <c r="C29"/>
      <c r="D29" s="54"/>
    </row>
    <row r="30" spans="2:4" s="4" customFormat="1">
      <c r="B30" s="53"/>
      <c r="C30"/>
      <c r="D30" s="54"/>
    </row>
    <row r="31" spans="2:4" s="4" customFormat="1">
      <c r="B31" s="53"/>
      <c r="C31"/>
      <c r="D31" s="54"/>
    </row>
    <row r="32" spans="2:4" s="4" customFormat="1">
      <c r="B32" s="53"/>
      <c r="C32"/>
      <c r="D32" s="54"/>
    </row>
    <row r="33" spans="2:4" s="4" customFormat="1">
      <c r="B33" s="53"/>
      <c r="C33"/>
      <c r="D33" s="54"/>
    </row>
    <row r="34" spans="2:4" s="4" customFormat="1">
      <c r="B34" s="53"/>
      <c r="C34"/>
      <c r="D34" s="54"/>
    </row>
    <row r="35" spans="2:4" s="4" customFormat="1">
      <c r="B35" s="53"/>
      <c r="C35"/>
      <c r="D35" s="54"/>
    </row>
    <row r="36" spans="2:4" s="4" customFormat="1">
      <c r="B36" s="53"/>
      <c r="C36"/>
      <c r="D36" s="54"/>
    </row>
    <row r="37" spans="2:4" s="4" customFormat="1">
      <c r="B37" s="53"/>
      <c r="C37"/>
      <c r="D37" s="54"/>
    </row>
    <row r="38" spans="2:4" s="4" customFormat="1">
      <c r="B38" s="53"/>
      <c r="C38"/>
      <c r="D38" s="54"/>
    </row>
    <row r="39" spans="2:4" s="4" customFormat="1">
      <c r="B39" s="53"/>
      <c r="C39"/>
      <c r="D39" s="54"/>
    </row>
    <row r="40" spans="2:4" s="4" customFormat="1">
      <c r="B40" s="58"/>
      <c r="C40"/>
      <c r="D40" s="59"/>
    </row>
    <row r="41" spans="2:4">
      <c r="B41" s="258"/>
      <c r="D41" s="259"/>
    </row>
    <row r="42" spans="2:4">
      <c r="B42" s="258"/>
      <c r="D42" s="259"/>
    </row>
    <row r="43" spans="2:4">
      <c r="B43" s="258"/>
      <c r="D43" s="259"/>
    </row>
    <row r="44" spans="2:4">
      <c r="B44" s="258"/>
      <c r="D44" s="259"/>
    </row>
    <row r="45" spans="2:4">
      <c r="B45" s="258"/>
      <c r="D45" s="259"/>
    </row>
    <row r="46" spans="2:4">
      <c r="B46" s="258"/>
      <c r="D46" s="259"/>
    </row>
    <row r="47" spans="2:4">
      <c r="B47" s="258"/>
      <c r="D47" s="259"/>
    </row>
    <row r="48" spans="2:4">
      <c r="B48" s="258"/>
      <c r="D48" s="259"/>
    </row>
    <row r="49" spans="2:4">
      <c r="B49" s="258"/>
      <c r="D49" s="259"/>
    </row>
    <row r="50" spans="2:4">
      <c r="B50" s="258"/>
      <c r="D50" s="259"/>
    </row>
    <row r="51" spans="2:4">
      <c r="B51" s="258"/>
      <c r="D51" s="259"/>
    </row>
    <row r="52" spans="2:4">
      <c r="B52" s="258"/>
      <c r="D52" s="259"/>
    </row>
    <row r="53" spans="2:4">
      <c r="B53" s="258"/>
      <c r="D53" s="259"/>
    </row>
    <row r="54" spans="2:4">
      <c r="B54" s="258"/>
      <c r="D54" s="259"/>
    </row>
    <row r="55" spans="2:4">
      <c r="B55" s="258"/>
      <c r="D55" s="259"/>
    </row>
    <row r="56" spans="2:4">
      <c r="B56" s="258"/>
      <c r="D56" s="259"/>
    </row>
    <row r="57" spans="2:4">
      <c r="B57" s="258"/>
      <c r="D57" s="259"/>
    </row>
    <row r="58" spans="2:4">
      <c r="B58" s="258"/>
      <c r="D58" s="259"/>
    </row>
    <row r="59" spans="2:4">
      <c r="B59" s="258"/>
      <c r="D59" s="259"/>
    </row>
    <row r="60" spans="2:4">
      <c r="B60" s="258"/>
      <c r="D60" s="259"/>
    </row>
    <row r="61" spans="2:4">
      <c r="B61" s="258"/>
      <c r="D61" s="259"/>
    </row>
    <row r="62" spans="2:4">
      <c r="B62" s="258"/>
      <c r="D62" s="259"/>
    </row>
    <row r="63" spans="2:4">
      <c r="B63" s="258"/>
      <c r="D63" s="259"/>
    </row>
    <row r="64" spans="2:4">
      <c r="B64" s="258"/>
      <c r="D64" s="259"/>
    </row>
    <row r="65" spans="2:4">
      <c r="B65" s="258"/>
      <c r="D65" s="259"/>
    </row>
    <row r="66" spans="2:4">
      <c r="B66" s="258"/>
      <c r="D66" s="259"/>
    </row>
    <row r="67" spans="2:4">
      <c r="B67" s="258"/>
      <c r="D67" s="259"/>
    </row>
    <row r="68" spans="2:4">
      <c r="B68" s="258"/>
      <c r="D68" s="259"/>
    </row>
    <row r="69" spans="2:4">
      <c r="B69" s="258"/>
      <c r="D69" s="259"/>
    </row>
    <row r="70" spans="2:4">
      <c r="B70" s="258"/>
      <c r="D70" s="259"/>
    </row>
    <row r="71" spans="2:4">
      <c r="B71" s="258"/>
      <c r="D71" s="259"/>
    </row>
    <row r="72" spans="2:4">
      <c r="B72" s="258"/>
      <c r="D72" s="259"/>
    </row>
    <row r="73" spans="2:4">
      <c r="B73" s="258"/>
      <c r="D73" s="259"/>
    </row>
    <row r="74" spans="2:4">
      <c r="B74" s="258"/>
      <c r="D74" s="259"/>
    </row>
    <row r="75" spans="2:4">
      <c r="B75" s="258"/>
      <c r="D75" s="259"/>
    </row>
    <row r="76" spans="2:4">
      <c r="B76" s="258"/>
      <c r="D76" s="259"/>
    </row>
    <row r="77" spans="2:4">
      <c r="B77" s="258"/>
      <c r="D77" s="259"/>
    </row>
    <row r="78" spans="2:4">
      <c r="B78" s="258"/>
      <c r="D78" s="259"/>
    </row>
    <row r="79" spans="2:4">
      <c r="B79" s="258"/>
      <c r="D79" s="259"/>
    </row>
    <row r="80" spans="2:4">
      <c r="B80" s="258"/>
      <c r="D80" s="259"/>
    </row>
    <row r="81" spans="2:4">
      <c r="B81" s="258"/>
      <c r="D81" s="259"/>
    </row>
    <row r="82" spans="2:4">
      <c r="B82" s="258"/>
      <c r="D82" s="259"/>
    </row>
    <row r="83" spans="2:4">
      <c r="B83" s="258"/>
      <c r="D83" s="259"/>
    </row>
    <row r="84" spans="2:4">
      <c r="B84" s="258"/>
      <c r="D84" s="259"/>
    </row>
    <row r="85" spans="2:4">
      <c r="B85" s="258"/>
      <c r="D85" s="259"/>
    </row>
    <row r="86" spans="2:4">
      <c r="B86" s="258"/>
      <c r="D86" s="259"/>
    </row>
    <row r="87" spans="2:4">
      <c r="B87" s="258"/>
      <c r="D87" s="259"/>
    </row>
    <row r="88" spans="2:4">
      <c r="B88" s="258"/>
      <c r="D88" s="259"/>
    </row>
    <row r="89" spans="2:4">
      <c r="B89" s="258"/>
      <c r="D89" s="259"/>
    </row>
    <row r="90" spans="2:4">
      <c r="B90" s="258"/>
      <c r="D90" s="259"/>
    </row>
    <row r="91" spans="2:4">
      <c r="B91" s="258"/>
      <c r="D91" s="259"/>
    </row>
    <row r="92" spans="2:4">
      <c r="B92" s="258"/>
      <c r="D92" s="259"/>
    </row>
    <row r="93" spans="2:4">
      <c r="B93" s="258"/>
      <c r="D93" s="259"/>
    </row>
    <row r="94" spans="2:4">
      <c r="B94" s="258"/>
      <c r="D94" s="259"/>
    </row>
    <row r="95" spans="2:4">
      <c r="B95" s="258"/>
      <c r="D95" s="259"/>
    </row>
    <row r="96" spans="2:4">
      <c r="B96" s="258"/>
      <c r="D96" s="259"/>
    </row>
    <row r="97" spans="2:4">
      <c r="B97" s="258"/>
      <c r="D97" s="259"/>
    </row>
    <row r="98" spans="2:4">
      <c r="B98" s="258"/>
      <c r="D98" s="259"/>
    </row>
    <row r="99" spans="2:4">
      <c r="B99" s="258"/>
      <c r="D99" s="259"/>
    </row>
    <row r="100" spans="2:4">
      <c r="B100" s="258"/>
      <c r="D100" s="259"/>
    </row>
    <row r="101" spans="2:4">
      <c r="B101" s="258"/>
      <c r="D101" s="259"/>
    </row>
    <row r="102" spans="2:4">
      <c r="B102" s="258"/>
      <c r="D102" s="259"/>
    </row>
    <row r="103" spans="2:4">
      <c r="B103" s="258"/>
      <c r="D103" s="259"/>
    </row>
    <row r="104" spans="2:4">
      <c r="B104" s="258"/>
      <c r="D104" s="259"/>
    </row>
    <row r="105" spans="2:4">
      <c r="B105" s="258"/>
      <c r="D105" s="259"/>
    </row>
    <row r="106" spans="2:4">
      <c r="B106" s="258"/>
      <c r="D106" s="259"/>
    </row>
    <row r="107" spans="2:4">
      <c r="B107" s="258"/>
      <c r="D107" s="259"/>
    </row>
    <row r="108" spans="2:4">
      <c r="B108" s="258"/>
      <c r="D108" s="259"/>
    </row>
    <row r="109" spans="2:4">
      <c r="B109" s="258"/>
      <c r="D109" s="259"/>
    </row>
    <row r="110" spans="2:4">
      <c r="B110" s="258"/>
      <c r="D110" s="259"/>
    </row>
    <row r="111" spans="2:4">
      <c r="B111" s="258"/>
      <c r="D111" s="259"/>
    </row>
    <row r="112" spans="2:4">
      <c r="B112" s="258"/>
      <c r="D112" s="259"/>
    </row>
    <row r="113" spans="2:4">
      <c r="B113" s="258"/>
      <c r="D113" s="259"/>
    </row>
    <row r="114" spans="2:4">
      <c r="B114" s="258"/>
      <c r="D114" s="259"/>
    </row>
    <row r="115" spans="2:4">
      <c r="B115" s="258"/>
      <c r="D115" s="259"/>
    </row>
    <row r="116" spans="2:4">
      <c r="B116" s="258"/>
      <c r="D116" s="259"/>
    </row>
    <row r="117" spans="2:4">
      <c r="B117" s="258"/>
      <c r="D117" s="259"/>
    </row>
    <row r="118" spans="2:4">
      <c r="B118" s="258"/>
      <c r="D118" s="259"/>
    </row>
    <row r="119" spans="2:4">
      <c r="B119" s="258"/>
      <c r="D119" s="259"/>
    </row>
    <row r="120" spans="2:4">
      <c r="B120" s="258"/>
      <c r="D120" s="259"/>
    </row>
    <row r="121" spans="2:4">
      <c r="B121" s="258"/>
      <c r="D121" s="259"/>
    </row>
    <row r="122" spans="2:4">
      <c r="B122" s="258"/>
      <c r="D122" s="259"/>
    </row>
    <row r="123" spans="2:4">
      <c r="B123" s="258"/>
      <c r="D123" s="259"/>
    </row>
    <row r="124" spans="2:4">
      <c r="B124" s="258"/>
      <c r="D124" s="259"/>
    </row>
    <row r="125" spans="2:4">
      <c r="B125" s="258"/>
      <c r="D125" s="259"/>
    </row>
    <row r="126" spans="2:4">
      <c r="B126" s="258"/>
      <c r="D126" s="259"/>
    </row>
    <row r="127" spans="2:4">
      <c r="B127" s="258"/>
      <c r="D127" s="259"/>
    </row>
    <row r="128" spans="2:4">
      <c r="B128" s="258"/>
      <c r="D128" s="259"/>
    </row>
    <row r="129" spans="2:4">
      <c r="B129" s="258"/>
      <c r="D129" s="259"/>
    </row>
    <row r="130" spans="2:4">
      <c r="B130" s="258"/>
      <c r="D130" s="259"/>
    </row>
    <row r="131" spans="2:4">
      <c r="B131" s="258"/>
      <c r="D131" s="259"/>
    </row>
    <row r="132" spans="2:4">
      <c r="B132" s="258"/>
      <c r="D132" s="259"/>
    </row>
    <row r="133" spans="2:4">
      <c r="B133" s="258"/>
      <c r="D133" s="259"/>
    </row>
    <row r="134" spans="2:4">
      <c r="B134" s="258"/>
      <c r="D134" s="259"/>
    </row>
    <row r="135" spans="2:4">
      <c r="B135" s="258"/>
      <c r="D135" s="259"/>
    </row>
    <row r="136" spans="2:4">
      <c r="B136" s="258"/>
      <c r="D136" s="259"/>
    </row>
    <row r="137" spans="2:4">
      <c r="B137" s="258"/>
      <c r="D137" s="259"/>
    </row>
    <row r="138" spans="2:4">
      <c r="B138" s="258"/>
      <c r="D138" s="259"/>
    </row>
    <row r="139" spans="2:4">
      <c r="B139" s="258"/>
      <c r="D139" s="259"/>
    </row>
    <row r="140" spans="2:4">
      <c r="B140" s="258"/>
      <c r="D140" s="259"/>
    </row>
    <row r="141" spans="2:4">
      <c r="B141" s="258"/>
      <c r="D141" s="259"/>
    </row>
    <row r="142" spans="2:4">
      <c r="B142" s="258"/>
      <c r="D142" s="259"/>
    </row>
    <row r="143" spans="2:4">
      <c r="B143" s="258"/>
      <c r="D143" s="259"/>
    </row>
    <row r="144" spans="2:4">
      <c r="B144" s="258"/>
      <c r="D144" s="259"/>
    </row>
    <row r="145" spans="2:4">
      <c r="B145" s="258"/>
      <c r="D145" s="259"/>
    </row>
    <row r="146" spans="2:4">
      <c r="B146" s="258"/>
      <c r="D146" s="259"/>
    </row>
    <row r="147" spans="2:4">
      <c r="B147" s="258"/>
      <c r="D147" s="259"/>
    </row>
    <row r="148" spans="2:4">
      <c r="B148" s="258"/>
      <c r="D148" s="259"/>
    </row>
    <row r="149" spans="2:4">
      <c r="B149" s="258"/>
      <c r="D149" s="259"/>
    </row>
    <row r="150" spans="2:4">
      <c r="B150" s="258"/>
      <c r="D150" s="259"/>
    </row>
    <row r="151" spans="2:4">
      <c r="B151" s="258"/>
      <c r="D151" s="259"/>
    </row>
    <row r="152" spans="2:4">
      <c r="B152" s="258"/>
      <c r="D152" s="259"/>
    </row>
    <row r="153" spans="2:4">
      <c r="B153" s="258"/>
      <c r="D153" s="259"/>
    </row>
    <row r="154" spans="2:4">
      <c r="B154" s="258"/>
      <c r="D154" s="259"/>
    </row>
    <row r="155" spans="2:4">
      <c r="B155" s="258"/>
      <c r="D155" s="259"/>
    </row>
    <row r="156" spans="2:4">
      <c r="B156" s="258"/>
      <c r="D156" s="259"/>
    </row>
    <row r="157" spans="2:4">
      <c r="B157" s="258"/>
      <c r="D157" s="259"/>
    </row>
    <row r="158" spans="2:4">
      <c r="B158" s="258"/>
      <c r="D158" s="259"/>
    </row>
    <row r="159" spans="2:4">
      <c r="B159" s="258"/>
      <c r="D159" s="259"/>
    </row>
    <row r="160" spans="2:4">
      <c r="B160" s="258"/>
      <c r="D160" s="259"/>
    </row>
    <row r="161" spans="2:4">
      <c r="B161" s="258"/>
      <c r="D161" s="259"/>
    </row>
    <row r="162" spans="2:4">
      <c r="B162" s="258"/>
      <c r="D162" s="259"/>
    </row>
    <row r="163" spans="2:4">
      <c r="B163" s="258"/>
      <c r="D163" s="259"/>
    </row>
    <row r="164" spans="2:4">
      <c r="B164" s="258"/>
      <c r="D164" s="259"/>
    </row>
    <row r="165" spans="2:4">
      <c r="B165" s="258"/>
      <c r="D165" s="259"/>
    </row>
    <row r="166" spans="2:4">
      <c r="B166" s="258"/>
      <c r="D166" s="259"/>
    </row>
    <row r="167" spans="2:4">
      <c r="B167" s="258"/>
      <c r="D167" s="259"/>
    </row>
    <row r="168" spans="2:4">
      <c r="B168" s="258"/>
      <c r="D168" s="259"/>
    </row>
    <row r="169" spans="2:4">
      <c r="B169" s="258"/>
      <c r="D169" s="259"/>
    </row>
    <row r="170" spans="2:4">
      <c r="B170" s="258"/>
      <c r="D170" s="259"/>
    </row>
    <row r="171" spans="2:4">
      <c r="B171" s="258"/>
      <c r="D171" s="259"/>
    </row>
    <row r="172" spans="2:4">
      <c r="B172" s="258"/>
      <c r="D172" s="259"/>
    </row>
    <row r="173" spans="2:4">
      <c r="B173" s="258"/>
      <c r="D173" s="259"/>
    </row>
    <row r="174" spans="2:4">
      <c r="B174" s="258"/>
      <c r="D174" s="259"/>
    </row>
    <row r="175" spans="2:4">
      <c r="B175" s="258"/>
      <c r="D175" s="259"/>
    </row>
    <row r="176" spans="2:4">
      <c r="B176" s="258"/>
      <c r="D176" s="259"/>
    </row>
    <row r="177" spans="2:4">
      <c r="B177" s="258"/>
      <c r="D177" s="259"/>
    </row>
    <row r="178" spans="2:4">
      <c r="B178" s="258"/>
      <c r="D178" s="259"/>
    </row>
    <row r="179" spans="2:4">
      <c r="B179" s="258"/>
      <c r="D179" s="259"/>
    </row>
    <row r="180" spans="2:4">
      <c r="B180" s="258"/>
      <c r="D180" s="259"/>
    </row>
    <row r="181" spans="2:4">
      <c r="B181" s="258"/>
      <c r="D181" s="259"/>
    </row>
    <row r="182" spans="2:4">
      <c r="B182" s="258"/>
      <c r="D182" s="259"/>
    </row>
    <row r="183" spans="2:4">
      <c r="B183" s="258"/>
      <c r="D183" s="259"/>
    </row>
    <row r="184" spans="2:4">
      <c r="B184" s="258"/>
      <c r="D184" s="259"/>
    </row>
    <row r="185" spans="2:4">
      <c r="B185" s="258"/>
      <c r="D185" s="259"/>
    </row>
    <row r="186" spans="2:4">
      <c r="B186" s="258"/>
      <c r="D186" s="259"/>
    </row>
    <row r="187" spans="2:4">
      <c r="B187" s="258"/>
      <c r="D187" s="259"/>
    </row>
    <row r="188" spans="2:4">
      <c r="B188" s="258"/>
      <c r="D188" s="259"/>
    </row>
    <row r="189" spans="2:4">
      <c r="B189" s="258"/>
      <c r="D189" s="259"/>
    </row>
    <row r="190" spans="2:4">
      <c r="B190" s="258"/>
      <c r="D190" s="259"/>
    </row>
    <row r="191" spans="2:4">
      <c r="B191" s="258"/>
      <c r="D191" s="259"/>
    </row>
    <row r="192" spans="2:4">
      <c r="B192" s="258"/>
      <c r="D192" s="259"/>
    </row>
    <row r="193" spans="2:4">
      <c r="B193" s="258"/>
      <c r="D193" s="259"/>
    </row>
    <row r="194" spans="2:4">
      <c r="B194" s="258"/>
      <c r="D194" s="259"/>
    </row>
    <row r="195" spans="2:4">
      <c r="B195" s="258"/>
      <c r="D195" s="259"/>
    </row>
    <row r="196" spans="2:4">
      <c r="B196" s="258"/>
      <c r="D196" s="259"/>
    </row>
    <row r="197" spans="2:4">
      <c r="B197" s="258"/>
      <c r="D197" s="259"/>
    </row>
    <row r="198" spans="2:4">
      <c r="B198" s="258"/>
      <c r="D198" s="259"/>
    </row>
    <row r="199" spans="2:4">
      <c r="B199" s="258"/>
      <c r="D199" s="259"/>
    </row>
    <row r="200" spans="2:4">
      <c r="B200" s="258"/>
      <c r="D200" s="259"/>
    </row>
    <row r="201" spans="2:4">
      <c r="B201" s="258"/>
      <c r="D201" s="259"/>
    </row>
    <row r="202" spans="2:4">
      <c r="B202" s="258"/>
      <c r="D202" s="259"/>
    </row>
    <row r="203" spans="2:4">
      <c r="B203" s="258"/>
      <c r="D203" s="259"/>
    </row>
    <row r="204" spans="2:4">
      <c r="B204" s="258"/>
      <c r="D204" s="259"/>
    </row>
    <row r="205" spans="2:4">
      <c r="B205" s="258"/>
      <c r="D205" s="259"/>
    </row>
    <row r="206" spans="2:4">
      <c r="B206" s="258"/>
      <c r="D206" s="259"/>
    </row>
    <row r="207" spans="2:4">
      <c r="B207" s="258"/>
      <c r="D207" s="259"/>
    </row>
    <row r="208" spans="2:4">
      <c r="B208" s="258"/>
      <c r="D208" s="259"/>
    </row>
    <row r="209" spans="2:4">
      <c r="B209" s="258"/>
      <c r="D209" s="259"/>
    </row>
    <row r="210" spans="2:4">
      <c r="B210" s="258"/>
      <c r="D210" s="259"/>
    </row>
    <row r="211" spans="2:4">
      <c r="B211" s="258"/>
      <c r="D211" s="259"/>
    </row>
    <row r="212" spans="2:4">
      <c r="B212" s="258"/>
      <c r="D212" s="259"/>
    </row>
    <row r="213" spans="2:4">
      <c r="B213" s="258"/>
      <c r="D213" s="259"/>
    </row>
    <row r="214" spans="2:4">
      <c r="B214" s="258"/>
      <c r="D214" s="259"/>
    </row>
    <row r="215" spans="2:4">
      <c r="B215" s="258"/>
      <c r="D215" s="259"/>
    </row>
    <row r="216" spans="2:4">
      <c r="B216" s="258"/>
      <c r="D216" s="259"/>
    </row>
    <row r="217" spans="2:4">
      <c r="B217" s="258"/>
      <c r="D217" s="259"/>
    </row>
    <row r="218" spans="2:4">
      <c r="B218" s="258"/>
      <c r="D218" s="259"/>
    </row>
    <row r="219" spans="2:4">
      <c r="B219" s="258"/>
      <c r="D219" s="259"/>
    </row>
    <row r="220" spans="2:4">
      <c r="B220" s="258"/>
      <c r="D220" s="259"/>
    </row>
    <row r="221" spans="2:4">
      <c r="B221" s="258"/>
      <c r="D221" s="259"/>
    </row>
    <row r="222" spans="2:4">
      <c r="B222" s="258"/>
      <c r="D222" s="259"/>
    </row>
    <row r="223" spans="2:4">
      <c r="B223" s="258"/>
      <c r="D223" s="259"/>
    </row>
    <row r="224" spans="2:4">
      <c r="B224" s="258"/>
      <c r="D224" s="259"/>
    </row>
    <row r="225" spans="2:4">
      <c r="B225" s="258"/>
      <c r="D225" s="259"/>
    </row>
    <row r="226" spans="2:4">
      <c r="B226" s="258"/>
      <c r="D226" s="259"/>
    </row>
    <row r="227" spans="2:4">
      <c r="B227" s="258"/>
      <c r="D227" s="259"/>
    </row>
    <row r="228" spans="2:4">
      <c r="B228" s="258"/>
      <c r="D228" s="259"/>
    </row>
    <row r="229" spans="2:4">
      <c r="B229" s="258"/>
      <c r="D229" s="259"/>
    </row>
    <row r="230" spans="2:4">
      <c r="B230" s="258"/>
      <c r="D230" s="259"/>
    </row>
    <row r="231" spans="2:4">
      <c r="B231" s="258"/>
      <c r="D231" s="259"/>
    </row>
    <row r="232" spans="2:4">
      <c r="B232" s="258"/>
      <c r="D232" s="259"/>
    </row>
    <row r="233" spans="2:4">
      <c r="B233" s="258"/>
      <c r="D233" s="259"/>
    </row>
    <row r="234" spans="2:4">
      <c r="B234" s="258"/>
      <c r="D234" s="259"/>
    </row>
    <row r="235" spans="2:4">
      <c r="B235" s="258"/>
      <c r="D235" s="259"/>
    </row>
    <row r="236" spans="2:4">
      <c r="B236" s="258"/>
      <c r="D236" s="259"/>
    </row>
    <row r="237" spans="2:4">
      <c r="B237" s="258"/>
      <c r="D237" s="259"/>
    </row>
    <row r="238" spans="2:4">
      <c r="B238" s="258"/>
      <c r="D238" s="259"/>
    </row>
    <row r="239" spans="2:4">
      <c r="B239" s="258"/>
      <c r="D239" s="259"/>
    </row>
    <row r="240" spans="2:4">
      <c r="B240" s="258"/>
      <c r="D240" s="259"/>
    </row>
    <row r="241" spans="2:4">
      <c r="B241" s="258"/>
      <c r="D241" s="259"/>
    </row>
    <row r="242" spans="2:4">
      <c r="B242" s="258"/>
      <c r="D242" s="259"/>
    </row>
    <row r="243" spans="2:4">
      <c r="B243" s="258"/>
      <c r="D243" s="259"/>
    </row>
    <row r="244" spans="2:4">
      <c r="B244" s="258"/>
      <c r="D244" s="259"/>
    </row>
    <row r="245" spans="2:4">
      <c r="B245" s="258"/>
      <c r="D245" s="259"/>
    </row>
    <row r="246" spans="2:4">
      <c r="B246" s="258"/>
      <c r="D246" s="259"/>
    </row>
    <row r="247" spans="2:4">
      <c r="B247" s="258"/>
      <c r="D247" s="259"/>
    </row>
    <row r="248" spans="2:4">
      <c r="B248" s="258"/>
      <c r="D248" s="259"/>
    </row>
    <row r="249" spans="2:4">
      <c r="B249" s="258"/>
      <c r="D249" s="259"/>
    </row>
    <row r="250" spans="2:4">
      <c r="B250" s="258"/>
      <c r="D250" s="259"/>
    </row>
    <row r="251" spans="2:4">
      <c r="B251" s="258"/>
      <c r="D251" s="259"/>
    </row>
    <row r="252" spans="2:4">
      <c r="B252" s="258"/>
      <c r="D252" s="259"/>
    </row>
    <row r="253" spans="2:4">
      <c r="B253" s="258"/>
      <c r="D253" s="259"/>
    </row>
    <row r="254" spans="2:4">
      <c r="B254" s="258"/>
      <c r="D254" s="259"/>
    </row>
    <row r="255" spans="2:4">
      <c r="B255" s="258"/>
      <c r="D255" s="259"/>
    </row>
    <row r="256" spans="2:4">
      <c r="B256" s="258"/>
      <c r="D256" s="259"/>
    </row>
    <row r="257" spans="2:4">
      <c r="B257" s="258"/>
      <c r="D257" s="259"/>
    </row>
    <row r="258" spans="2:4">
      <c r="B258" s="258"/>
      <c r="D258" s="259"/>
    </row>
    <row r="259" spans="2:4">
      <c r="B259" s="258"/>
      <c r="D259" s="259"/>
    </row>
    <row r="260" spans="2:4">
      <c r="B260" s="258"/>
      <c r="D260" s="259"/>
    </row>
    <row r="261" spans="2:4">
      <c r="B261" s="258"/>
      <c r="D261" s="259"/>
    </row>
    <row r="262" spans="2:4">
      <c r="B262" s="258"/>
      <c r="D262" s="259"/>
    </row>
    <row r="263" spans="2:4">
      <c r="B263" s="258"/>
      <c r="D263" s="259"/>
    </row>
    <row r="264" spans="2:4">
      <c r="B264" s="258"/>
      <c r="D264" s="259"/>
    </row>
    <row r="265" spans="2:4">
      <c r="B265" s="258"/>
      <c r="D265" s="259"/>
    </row>
    <row r="266" spans="2:4">
      <c r="B266" s="258"/>
      <c r="D266" s="259"/>
    </row>
    <row r="267" spans="2:4">
      <c r="B267" s="258"/>
      <c r="D267" s="259"/>
    </row>
    <row r="268" spans="2:4">
      <c r="B268" s="258"/>
      <c r="D268" s="259"/>
    </row>
    <row r="269" spans="2:4">
      <c r="B269" s="258"/>
      <c r="D269" s="259"/>
    </row>
    <row r="270" spans="2:4">
      <c r="B270" s="258"/>
      <c r="D270" s="259"/>
    </row>
    <row r="271" spans="2:4">
      <c r="B271" s="258"/>
      <c r="D271" s="259"/>
    </row>
    <row r="272" spans="2:4">
      <c r="B272" s="258"/>
      <c r="D272" s="259"/>
    </row>
    <row r="273" spans="2:4">
      <c r="B273" s="258"/>
      <c r="D273" s="259"/>
    </row>
    <row r="274" spans="2:4">
      <c r="B274" s="258"/>
      <c r="D274" s="259"/>
    </row>
    <row r="275" spans="2:4">
      <c r="B275" s="258"/>
      <c r="D275" s="259"/>
    </row>
    <row r="276" spans="2:4">
      <c r="B276" s="258"/>
      <c r="D276" s="259"/>
    </row>
    <row r="277" spans="2:4">
      <c r="B277" s="258"/>
      <c r="D277" s="259"/>
    </row>
    <row r="278" spans="2:4">
      <c r="B278" s="258"/>
      <c r="D278" s="259"/>
    </row>
    <row r="279" spans="2:4">
      <c r="B279" s="258"/>
      <c r="D279" s="259"/>
    </row>
    <row r="280" spans="2:4">
      <c r="B280" s="258"/>
      <c r="D280" s="259"/>
    </row>
    <row r="281" spans="2:4">
      <c r="B281" s="258"/>
      <c r="D281" s="259"/>
    </row>
    <row r="282" spans="2:4">
      <c r="B282" s="258"/>
      <c r="D282" s="259"/>
    </row>
    <row r="283" spans="2:4">
      <c r="B283" s="258"/>
      <c r="D283" s="259"/>
    </row>
    <row r="284" spans="2:4">
      <c r="B284" s="258"/>
      <c r="D284" s="259"/>
    </row>
    <row r="285" spans="2:4">
      <c r="B285" s="258"/>
      <c r="D285" s="259"/>
    </row>
    <row r="286" spans="2:4">
      <c r="B286" s="258"/>
      <c r="D286" s="259"/>
    </row>
    <row r="287" spans="2:4">
      <c r="B287" s="258"/>
      <c r="D287" s="259"/>
    </row>
    <row r="288" spans="2:4">
      <c r="B288" s="258"/>
      <c r="D288" s="259"/>
    </row>
    <row r="289" spans="2:4">
      <c r="B289" s="258"/>
      <c r="D289" s="259"/>
    </row>
    <row r="290" spans="2:4">
      <c r="B290" s="258"/>
      <c r="D290" s="259"/>
    </row>
    <row r="291" spans="2:4">
      <c r="B291" s="258"/>
      <c r="D291" s="259"/>
    </row>
    <row r="292" spans="2:4">
      <c r="B292" s="258"/>
      <c r="D292" s="259"/>
    </row>
    <row r="293" spans="2:4">
      <c r="B293" s="258"/>
      <c r="D293" s="259"/>
    </row>
    <row r="294" spans="2:4">
      <c r="B294" s="258"/>
      <c r="D294" s="259"/>
    </row>
    <row r="295" spans="2:4">
      <c r="B295" s="258"/>
      <c r="D295" s="259"/>
    </row>
    <row r="296" spans="2:4">
      <c r="B296" s="258"/>
      <c r="D296" s="259"/>
    </row>
    <row r="297" spans="2:4">
      <c r="B297" s="258"/>
      <c r="D297" s="259"/>
    </row>
    <row r="298" spans="2:4">
      <c r="B298" s="258"/>
      <c r="D298" s="259"/>
    </row>
    <row r="299" spans="2:4">
      <c r="B299" s="258"/>
      <c r="D299" s="259"/>
    </row>
    <row r="300" spans="2:4">
      <c r="B300" s="258"/>
      <c r="D300" s="259"/>
    </row>
    <row r="301" spans="2:4">
      <c r="B301" s="258"/>
      <c r="D301" s="259"/>
    </row>
    <row r="302" spans="2:4">
      <c r="B302" s="258"/>
      <c r="D302" s="259"/>
    </row>
    <row r="303" spans="2:4">
      <c r="B303" s="258"/>
      <c r="D303" s="259"/>
    </row>
    <row r="304" spans="2:4">
      <c r="B304" s="258"/>
      <c r="D304" s="259"/>
    </row>
    <row r="305" spans="2:4">
      <c r="B305" s="258"/>
      <c r="D305" s="259"/>
    </row>
    <row r="306" spans="2:4">
      <c r="B306" s="258"/>
      <c r="D306" s="259"/>
    </row>
    <row r="307" spans="2:4">
      <c r="B307" s="258"/>
      <c r="D307" s="259"/>
    </row>
    <row r="308" spans="2:4">
      <c r="B308" s="258"/>
      <c r="D308" s="259"/>
    </row>
    <row r="309" spans="2:4">
      <c r="B309" s="258"/>
      <c r="D309" s="259"/>
    </row>
    <row r="310" spans="2:4">
      <c r="B310" s="258"/>
      <c r="D310" s="259"/>
    </row>
    <row r="311" spans="2:4">
      <c r="B311" s="258"/>
      <c r="D311" s="259"/>
    </row>
    <row r="312" spans="2:4">
      <c r="B312" s="258"/>
      <c r="D312" s="259"/>
    </row>
    <row r="313" spans="2:4">
      <c r="B313" s="258"/>
      <c r="D313" s="259"/>
    </row>
    <row r="314" spans="2:4">
      <c r="B314" s="258"/>
      <c r="D314" s="259"/>
    </row>
    <row r="315" spans="2:4">
      <c r="B315" s="258"/>
      <c r="D315" s="259"/>
    </row>
    <row r="316" spans="2:4">
      <c r="B316" s="258"/>
      <c r="D316" s="259"/>
    </row>
    <row r="317" spans="2:4">
      <c r="B317" s="258"/>
      <c r="D317" s="259"/>
    </row>
    <row r="318" spans="2:4">
      <c r="B318" s="258"/>
      <c r="D318" s="259"/>
    </row>
    <row r="319" spans="2:4">
      <c r="B319" s="258"/>
      <c r="D319" s="259"/>
    </row>
    <row r="320" spans="2:4">
      <c r="B320" s="258"/>
      <c r="D320" s="259"/>
    </row>
    <row r="321" spans="2:4">
      <c r="B321" s="258"/>
      <c r="D321" s="259"/>
    </row>
    <row r="322" spans="2:4">
      <c r="B322" s="258"/>
      <c r="D322" s="259"/>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328"/>
  <sheetViews>
    <sheetView showGridLines="0" tabSelected="1" zoomScale="85" zoomScaleNormal="85" workbookViewId="0">
      <selection activeCell="F82" sqref="F82"/>
    </sheetView>
  </sheetViews>
  <sheetFormatPr defaultColWidth="8.5703125" defaultRowHeight="15"/>
  <cols>
    <col min="1" max="1" width="2.42578125" style="27" customWidth="1"/>
    <col min="2" max="2" width="37.5703125" style="63" customWidth="1"/>
    <col min="3" max="3" width="27.42578125" style="33" customWidth="1"/>
    <col min="4" max="5" width="40.5703125" style="33" customWidth="1"/>
    <col min="6" max="6" width="56.5703125" style="33" customWidth="1"/>
    <col min="7" max="7" width="49.85546875" style="33" customWidth="1"/>
    <col min="8" max="8" width="39" style="64" customWidth="1"/>
    <col min="9" max="9" width="28.5703125" style="33" customWidth="1"/>
    <col min="10" max="10" width="21.5703125" style="64" customWidth="1"/>
    <col min="11" max="11" width="22.28515625" style="65" customWidth="1"/>
    <col min="12" max="12" width="20.140625" style="64" customWidth="1"/>
    <col min="13" max="13" width="60" style="66" customWidth="1"/>
    <col min="14" max="14" width="59.28515625" style="66" customWidth="1"/>
    <col min="15" max="15" width="65.5703125" style="63" customWidth="1"/>
    <col min="16" max="16" width="117" style="65" customWidth="1"/>
    <col min="17" max="17" width="175.7109375" style="65" customWidth="1"/>
    <col min="18" max="18" width="50.7109375" style="65" customWidth="1"/>
    <col min="19" max="19" width="50.7109375" style="33" customWidth="1"/>
    <col min="20" max="20" width="78.28515625" style="33" customWidth="1"/>
    <col min="21" max="21" width="57.140625" style="33" customWidth="1"/>
    <col min="22" max="22" width="176.28515625" style="66" customWidth="1"/>
    <col min="23" max="23" width="193.42578125" style="66" customWidth="1"/>
    <col min="24" max="24" width="29.140625" style="66" customWidth="1"/>
    <col min="25" max="25" width="48" style="66" customWidth="1"/>
    <col min="26" max="26" width="103.5703125" style="33" customWidth="1"/>
    <col min="27" max="27" width="174.7109375" style="33" customWidth="1"/>
  </cols>
  <sheetData>
    <row r="1" spans="1:27" s="33" customFormat="1">
      <c r="A1" s="27"/>
      <c r="B1" s="63"/>
      <c r="H1" s="64"/>
      <c r="J1" s="64"/>
      <c r="K1" s="65"/>
      <c r="L1" s="64"/>
      <c r="M1" s="66"/>
      <c r="N1" s="66"/>
      <c r="O1" s="63"/>
      <c r="P1" s="65"/>
      <c r="Q1" s="65"/>
      <c r="R1" s="65"/>
      <c r="V1" s="66"/>
      <c r="W1" s="66"/>
      <c r="X1" s="66"/>
      <c r="Y1" s="66"/>
    </row>
    <row r="2" spans="1:27" s="33" customFormat="1">
      <c r="A2" s="27"/>
      <c r="B2" s="63"/>
      <c r="H2" s="64"/>
      <c r="J2" s="64"/>
      <c r="K2" s="65"/>
      <c r="L2" s="64"/>
      <c r="M2" s="66"/>
      <c r="N2" s="66"/>
      <c r="O2" s="63"/>
      <c r="P2" s="65"/>
      <c r="Q2" s="65"/>
      <c r="R2" s="65"/>
      <c r="V2" s="66"/>
      <c r="W2" s="66"/>
      <c r="X2" s="66"/>
      <c r="Y2" s="66"/>
    </row>
    <row r="3" spans="1:27" s="33" customFormat="1">
      <c r="A3" s="67"/>
      <c r="B3" s="68"/>
      <c r="C3" s="69"/>
      <c r="D3" s="69"/>
      <c r="E3" s="69"/>
      <c r="F3" s="69"/>
      <c r="G3" s="69"/>
      <c r="H3" s="70"/>
      <c r="I3" s="69"/>
      <c r="J3" s="70"/>
      <c r="K3" s="71"/>
      <c r="L3" s="70"/>
      <c r="M3" s="72"/>
      <c r="N3" s="72"/>
      <c r="O3" s="68"/>
      <c r="P3" s="71"/>
      <c r="Q3" s="71"/>
      <c r="R3" s="71"/>
      <c r="S3" s="69"/>
      <c r="T3" s="69"/>
      <c r="U3" s="69"/>
      <c r="V3" s="72"/>
      <c r="W3" s="72"/>
      <c r="X3" s="72"/>
      <c r="Y3" s="72"/>
    </row>
    <row r="4" spans="1:27" s="33" customFormat="1">
      <c r="A4" s="27"/>
      <c r="B4" s="63"/>
      <c r="H4" s="64"/>
      <c r="J4" s="64"/>
      <c r="K4" s="65"/>
      <c r="L4" s="64"/>
      <c r="M4" s="66"/>
      <c r="N4" s="66"/>
      <c r="O4" s="63"/>
      <c r="P4" s="65"/>
      <c r="Q4" s="65"/>
      <c r="R4" s="65"/>
      <c r="V4" s="66"/>
      <c r="W4" s="66"/>
      <c r="X4" s="66"/>
      <c r="Y4" s="66"/>
    </row>
    <row r="5" spans="1:27" s="33" customFormat="1">
      <c r="A5" s="27"/>
      <c r="B5" s="63"/>
      <c r="H5" s="64"/>
      <c r="J5" s="64"/>
      <c r="K5" s="65"/>
      <c r="L5" s="64"/>
      <c r="M5" s="66"/>
      <c r="N5" s="66"/>
      <c r="O5" s="63"/>
      <c r="P5" s="65"/>
      <c r="Q5" s="65"/>
      <c r="R5" s="65"/>
      <c r="V5" s="66"/>
      <c r="W5" s="66"/>
      <c r="X5" s="66"/>
      <c r="Y5" s="66"/>
    </row>
    <row r="6" spans="1:27" s="64" customFormat="1">
      <c r="B6" s="284" t="s">
        <v>693</v>
      </c>
      <c r="C6" s="284"/>
      <c r="D6" s="284"/>
      <c r="E6" s="284"/>
      <c r="F6" s="284"/>
      <c r="G6" s="284"/>
      <c r="H6" s="284"/>
      <c r="I6" s="284"/>
      <c r="J6" s="284"/>
      <c r="K6" s="285"/>
      <c r="L6" s="285"/>
      <c r="M6" s="285"/>
      <c r="N6" s="285"/>
      <c r="O6" s="285"/>
      <c r="P6" s="286"/>
      <c r="Q6" s="289" t="s">
        <v>694</v>
      </c>
      <c r="R6" s="289"/>
      <c r="S6" s="290" t="s">
        <v>695</v>
      </c>
      <c r="T6" s="291"/>
      <c r="U6" s="291"/>
      <c r="V6" s="291"/>
      <c r="W6" s="291"/>
      <c r="X6" s="293" t="s">
        <v>696</v>
      </c>
      <c r="Y6" s="294"/>
      <c r="Z6" s="294"/>
      <c r="AA6" s="295"/>
    </row>
    <row r="7" spans="1:27" s="33" customFormat="1">
      <c r="A7" s="27"/>
      <c r="B7" s="287" t="s">
        <v>697</v>
      </c>
      <c r="C7" s="287"/>
      <c r="D7" s="287"/>
      <c r="E7" s="287"/>
      <c r="F7" s="287"/>
      <c r="G7" s="287"/>
      <c r="H7" s="287"/>
      <c r="I7" s="287"/>
      <c r="J7" s="287"/>
      <c r="K7" s="285"/>
      <c r="L7" s="285"/>
      <c r="M7" s="285"/>
      <c r="N7" s="285"/>
      <c r="O7" s="285"/>
      <c r="P7" s="288"/>
      <c r="Q7" s="289" t="s">
        <v>698</v>
      </c>
      <c r="R7" s="289"/>
      <c r="S7" s="290" t="s">
        <v>699</v>
      </c>
      <c r="T7" s="291"/>
      <c r="U7" s="291"/>
      <c r="V7" s="292"/>
      <c r="W7" s="62" t="s">
        <v>700</v>
      </c>
      <c r="X7" s="281" t="s">
        <v>701</v>
      </c>
      <c r="Y7" s="282"/>
      <c r="Z7" s="282"/>
      <c r="AA7" s="283"/>
    </row>
    <row r="8" spans="1:27" s="63" customFormat="1">
      <c r="B8" s="254" t="s">
        <v>702</v>
      </c>
      <c r="C8" s="254" t="s">
        <v>703</v>
      </c>
      <c r="D8" s="254" t="s">
        <v>704</v>
      </c>
      <c r="E8" s="254" t="s">
        <v>705</v>
      </c>
      <c r="F8" s="254" t="s">
        <v>706</v>
      </c>
      <c r="G8" s="254" t="s">
        <v>707</v>
      </c>
      <c r="H8" s="254" t="s">
        <v>708</v>
      </c>
      <c r="I8" s="254" t="s">
        <v>709</v>
      </c>
      <c r="J8" s="254" t="s">
        <v>710</v>
      </c>
      <c r="K8" s="152" t="s">
        <v>711</v>
      </c>
      <c r="L8" s="152" t="s">
        <v>712</v>
      </c>
      <c r="M8" s="152" t="s">
        <v>713</v>
      </c>
      <c r="N8" s="152" t="s">
        <v>714</v>
      </c>
      <c r="O8" s="152" t="s">
        <v>715</v>
      </c>
      <c r="P8" s="254" t="s">
        <v>716</v>
      </c>
      <c r="Q8" s="254" t="s">
        <v>717</v>
      </c>
      <c r="R8" s="254" t="s">
        <v>718</v>
      </c>
      <c r="S8" s="152" t="s">
        <v>719</v>
      </c>
      <c r="T8" s="152" t="s">
        <v>720</v>
      </c>
      <c r="U8" s="152" t="s">
        <v>721</v>
      </c>
      <c r="V8" s="152" t="s">
        <v>722</v>
      </c>
      <c r="W8" s="152" t="s">
        <v>723</v>
      </c>
      <c r="X8" s="152" t="s">
        <v>724</v>
      </c>
      <c r="Y8" s="152" t="s">
        <v>725</v>
      </c>
      <c r="Z8" s="152" t="s">
        <v>726</v>
      </c>
      <c r="AA8" s="237" t="s">
        <v>727</v>
      </c>
    </row>
    <row r="9" spans="1:27" s="33" customFormat="1" ht="290.25">
      <c r="A9" s="27"/>
      <c r="B9" s="81" t="s">
        <v>648</v>
      </c>
      <c r="C9" s="81" t="s">
        <v>728</v>
      </c>
      <c r="D9" s="81" t="s">
        <v>649</v>
      </c>
      <c r="E9" s="127">
        <v>2</v>
      </c>
      <c r="F9" s="81" t="s">
        <v>729</v>
      </c>
      <c r="G9" s="81" t="s">
        <v>730</v>
      </c>
      <c r="H9" s="73" t="s">
        <v>731</v>
      </c>
      <c r="I9" s="74">
        <v>1</v>
      </c>
      <c r="J9" s="75" t="s">
        <v>732</v>
      </c>
      <c r="K9" s="74">
        <v>4</v>
      </c>
      <c r="L9" s="74"/>
      <c r="M9" s="81" t="s">
        <v>733</v>
      </c>
      <c r="N9" s="82" t="s">
        <v>734</v>
      </c>
      <c r="O9" s="74" t="s">
        <v>735</v>
      </c>
      <c r="P9" s="75"/>
      <c r="Q9" s="126" t="s">
        <v>736</v>
      </c>
      <c r="R9" s="129" t="s">
        <v>737</v>
      </c>
      <c r="S9" s="83" t="s">
        <v>738</v>
      </c>
      <c r="T9" s="83" t="s">
        <v>739</v>
      </c>
      <c r="U9" s="83" t="s">
        <v>740</v>
      </c>
      <c r="V9" s="171" t="s">
        <v>741</v>
      </c>
      <c r="W9" s="73"/>
      <c r="X9" s="83" t="s">
        <v>742</v>
      </c>
      <c r="Y9" s="81" t="s">
        <v>743</v>
      </c>
      <c r="Z9" s="81" t="s">
        <v>743</v>
      </c>
      <c r="AA9" s="235" t="s">
        <v>744</v>
      </c>
    </row>
    <row r="10" spans="1:27" s="33" customFormat="1" ht="152.25">
      <c r="A10" s="27"/>
      <c r="B10" s="81" t="s">
        <v>651</v>
      </c>
      <c r="C10" s="81" t="s">
        <v>745</v>
      </c>
      <c r="D10" s="81" t="s">
        <v>652</v>
      </c>
      <c r="E10" s="127">
        <v>2</v>
      </c>
      <c r="F10" s="81" t="s">
        <v>729</v>
      </c>
      <c r="G10" s="81" t="s">
        <v>730</v>
      </c>
      <c r="H10" s="73" t="s">
        <v>731</v>
      </c>
      <c r="I10" s="74">
        <v>1</v>
      </c>
      <c r="J10" s="75" t="s">
        <v>732</v>
      </c>
      <c r="K10" s="74">
        <v>4</v>
      </c>
      <c r="L10" s="74"/>
      <c r="M10" s="81" t="s">
        <v>733</v>
      </c>
      <c r="N10" s="82" t="s">
        <v>734</v>
      </c>
      <c r="O10" s="74" t="s">
        <v>735</v>
      </c>
      <c r="P10" s="75"/>
      <c r="Q10" s="126" t="s">
        <v>746</v>
      </c>
      <c r="R10" s="129" t="s">
        <v>747</v>
      </c>
      <c r="S10" s="82" t="s">
        <v>748</v>
      </c>
      <c r="T10" s="82" t="s">
        <v>749</v>
      </c>
      <c r="U10" s="83" t="s">
        <v>750</v>
      </c>
      <c r="V10" s="229" t="s">
        <v>751</v>
      </c>
      <c r="W10" s="73"/>
      <c r="X10" s="81" t="s">
        <v>752</v>
      </c>
      <c r="Y10" s="81" t="s">
        <v>753</v>
      </c>
      <c r="Z10" s="81" t="s">
        <v>753</v>
      </c>
      <c r="AA10" s="127" t="s">
        <v>754</v>
      </c>
    </row>
    <row r="11" spans="1:27" s="33" customFormat="1" ht="351">
      <c r="A11" s="27"/>
      <c r="B11" s="81" t="s">
        <v>654</v>
      </c>
      <c r="C11" s="155" t="s">
        <v>755</v>
      </c>
      <c r="D11" s="81" t="s">
        <v>655</v>
      </c>
      <c r="E11" s="127">
        <v>2</v>
      </c>
      <c r="F11" s="81" t="s">
        <v>729</v>
      </c>
      <c r="G11" s="81" t="s">
        <v>730</v>
      </c>
      <c r="H11" s="73" t="s">
        <v>756</v>
      </c>
      <c r="I11" s="74">
        <v>1</v>
      </c>
      <c r="J11" s="75" t="s">
        <v>732</v>
      </c>
      <c r="K11" s="74">
        <v>4</v>
      </c>
      <c r="L11" s="74"/>
      <c r="M11" s="81" t="s">
        <v>733</v>
      </c>
      <c r="N11" s="82" t="s">
        <v>734</v>
      </c>
      <c r="O11" s="74" t="s">
        <v>735</v>
      </c>
      <c r="P11" s="75"/>
      <c r="Q11" s="126" t="s">
        <v>757</v>
      </c>
      <c r="R11" s="129" t="s">
        <v>758</v>
      </c>
      <c r="S11" s="82" t="s">
        <v>759</v>
      </c>
      <c r="T11" s="82" t="s">
        <v>760</v>
      </c>
      <c r="U11" s="83" t="s">
        <v>761</v>
      </c>
      <c r="V11" s="229" t="s">
        <v>762</v>
      </c>
      <c r="W11" s="73"/>
      <c r="X11" s="83" t="s">
        <v>763</v>
      </c>
      <c r="Y11" s="81" t="s">
        <v>764</v>
      </c>
      <c r="Z11" s="81" t="s">
        <v>764</v>
      </c>
      <c r="AA11" s="127" t="s">
        <v>765</v>
      </c>
    </row>
    <row r="12" spans="1:27" s="33" customFormat="1" ht="152.25">
      <c r="A12" s="27"/>
      <c r="B12" s="73" t="s">
        <v>657</v>
      </c>
      <c r="C12" s="73" t="s">
        <v>766</v>
      </c>
      <c r="D12" s="73" t="s">
        <v>658</v>
      </c>
      <c r="E12" s="74">
        <v>2</v>
      </c>
      <c r="F12" s="73" t="s">
        <v>729</v>
      </c>
      <c r="G12" s="73" t="s">
        <v>730</v>
      </c>
      <c r="H12" s="73" t="s">
        <v>756</v>
      </c>
      <c r="I12" s="74">
        <v>1</v>
      </c>
      <c r="J12" s="75" t="s">
        <v>732</v>
      </c>
      <c r="K12" s="74">
        <v>4</v>
      </c>
      <c r="L12" s="74"/>
      <c r="M12" s="81" t="s">
        <v>733</v>
      </c>
      <c r="N12" s="82" t="s">
        <v>734</v>
      </c>
      <c r="O12" s="74" t="s">
        <v>735</v>
      </c>
      <c r="P12" s="75"/>
      <c r="Q12" s="82" t="s">
        <v>767</v>
      </c>
      <c r="R12" s="82" t="s">
        <v>768</v>
      </c>
      <c r="S12" s="82" t="s">
        <v>769</v>
      </c>
      <c r="T12" s="82" t="s">
        <v>770</v>
      </c>
      <c r="U12" s="82" t="s">
        <v>771</v>
      </c>
      <c r="V12" s="229" t="s">
        <v>772</v>
      </c>
      <c r="W12" s="73"/>
      <c r="X12" s="81" t="s">
        <v>773</v>
      </c>
      <c r="Y12" s="82" t="s">
        <v>774</v>
      </c>
      <c r="Z12" s="82" t="s">
        <v>753</v>
      </c>
      <c r="AA12" s="197" t="s">
        <v>754</v>
      </c>
    </row>
    <row r="13" spans="1:27" s="33" customFormat="1" ht="91.5">
      <c r="A13" s="27"/>
      <c r="B13" s="153" t="s">
        <v>660</v>
      </c>
      <c r="C13" s="154" t="s">
        <v>775</v>
      </c>
      <c r="D13" s="154" t="s">
        <v>661</v>
      </c>
      <c r="E13" s="156">
        <v>2</v>
      </c>
      <c r="F13" s="154" t="s">
        <v>729</v>
      </c>
      <c r="G13" s="154" t="s">
        <v>730</v>
      </c>
      <c r="H13" s="73" t="s">
        <v>756</v>
      </c>
      <c r="I13" s="74">
        <v>1</v>
      </c>
      <c r="J13" s="73" t="s">
        <v>732</v>
      </c>
      <c r="K13" s="74">
        <v>4</v>
      </c>
      <c r="L13" s="74"/>
      <c r="M13" s="81" t="s">
        <v>733</v>
      </c>
      <c r="N13" s="82" t="s">
        <v>734</v>
      </c>
      <c r="O13" s="74" t="s">
        <v>735</v>
      </c>
      <c r="P13" s="75"/>
      <c r="Q13" s="126" t="s">
        <v>757</v>
      </c>
      <c r="R13" s="129" t="s">
        <v>758</v>
      </c>
      <c r="S13" s="82" t="s">
        <v>776</v>
      </c>
      <c r="T13" s="82" t="s">
        <v>777</v>
      </c>
      <c r="U13" s="82" t="s">
        <v>778</v>
      </c>
      <c r="V13" s="229" t="s">
        <v>779</v>
      </c>
      <c r="W13" s="73"/>
      <c r="X13" s="83" t="s">
        <v>780</v>
      </c>
      <c r="Y13" s="81" t="s">
        <v>781</v>
      </c>
      <c r="Z13" s="81" t="s">
        <v>781</v>
      </c>
      <c r="AA13" s="127" t="s">
        <v>782</v>
      </c>
    </row>
    <row r="14" spans="1:27" s="33" customFormat="1" ht="321">
      <c r="A14" s="27"/>
      <c r="B14" s="81" t="s">
        <v>663</v>
      </c>
      <c r="C14" s="81" t="s">
        <v>783</v>
      </c>
      <c r="D14" s="81" t="s">
        <v>664</v>
      </c>
      <c r="E14" s="127">
        <v>2</v>
      </c>
      <c r="F14" s="81" t="s">
        <v>729</v>
      </c>
      <c r="G14" s="81" t="s">
        <v>730</v>
      </c>
      <c r="H14" s="73" t="s">
        <v>756</v>
      </c>
      <c r="I14" s="74">
        <v>1</v>
      </c>
      <c r="J14" s="73" t="s">
        <v>732</v>
      </c>
      <c r="K14" s="74">
        <v>4</v>
      </c>
      <c r="L14" s="74"/>
      <c r="M14" s="81" t="s">
        <v>733</v>
      </c>
      <c r="N14" s="82" t="s">
        <v>734</v>
      </c>
      <c r="O14" s="74" t="s">
        <v>735</v>
      </c>
      <c r="P14" s="75"/>
      <c r="Q14" s="126" t="s">
        <v>784</v>
      </c>
      <c r="R14" s="129" t="s">
        <v>785</v>
      </c>
      <c r="S14" s="82" t="s">
        <v>786</v>
      </c>
      <c r="T14" s="82" t="s">
        <v>787</v>
      </c>
      <c r="U14" s="82" t="s">
        <v>761</v>
      </c>
      <c r="V14" s="229" t="s">
        <v>788</v>
      </c>
      <c r="W14" s="73"/>
      <c r="X14" s="81" t="s">
        <v>789</v>
      </c>
      <c r="Y14" s="81" t="s">
        <v>790</v>
      </c>
      <c r="Z14" s="81" t="s">
        <v>790</v>
      </c>
      <c r="AA14" s="127" t="s">
        <v>791</v>
      </c>
    </row>
    <row r="15" spans="1:27" s="33" customFormat="1" ht="60.75">
      <c r="A15" s="27"/>
      <c r="B15" s="81" t="s">
        <v>666</v>
      </c>
      <c r="C15" s="81" t="s">
        <v>792</v>
      </c>
      <c r="D15" s="81" t="s">
        <v>667</v>
      </c>
      <c r="E15" s="74">
        <v>2</v>
      </c>
      <c r="F15" s="73" t="s">
        <v>729</v>
      </c>
      <c r="G15" s="73" t="s">
        <v>730</v>
      </c>
      <c r="H15" s="73" t="s">
        <v>756</v>
      </c>
      <c r="I15" s="74">
        <v>1</v>
      </c>
      <c r="J15" s="75" t="s">
        <v>732</v>
      </c>
      <c r="K15" s="74">
        <v>4</v>
      </c>
      <c r="L15" s="74"/>
      <c r="M15" s="81" t="s">
        <v>733</v>
      </c>
      <c r="N15" s="82" t="s">
        <v>734</v>
      </c>
      <c r="O15" s="74" t="s">
        <v>735</v>
      </c>
      <c r="P15" s="75"/>
      <c r="Q15" s="82" t="s">
        <v>746</v>
      </c>
      <c r="R15" s="82" t="s">
        <v>747</v>
      </c>
      <c r="S15" s="82" t="s">
        <v>793</v>
      </c>
      <c r="T15" s="82" t="s">
        <v>794</v>
      </c>
      <c r="U15" s="82" t="s">
        <v>795</v>
      </c>
      <c r="V15" s="229" t="s">
        <v>796</v>
      </c>
      <c r="W15" s="73"/>
      <c r="X15" s="81" t="s">
        <v>797</v>
      </c>
      <c r="Y15" s="82" t="s">
        <v>781</v>
      </c>
      <c r="Z15" s="82" t="s">
        <v>781</v>
      </c>
      <c r="AA15" s="197" t="s">
        <v>782</v>
      </c>
    </row>
    <row r="16" spans="1:27" s="33" customFormat="1" ht="76.5">
      <c r="A16" s="27"/>
      <c r="B16" s="190" t="s">
        <v>669</v>
      </c>
      <c r="C16" s="190" t="s">
        <v>798</v>
      </c>
      <c r="D16" s="190" t="s">
        <v>670</v>
      </c>
      <c r="E16" s="74">
        <v>2</v>
      </c>
      <c r="F16" s="73" t="s">
        <v>729</v>
      </c>
      <c r="G16" s="73" t="s">
        <v>730</v>
      </c>
      <c r="H16" s="73" t="s">
        <v>756</v>
      </c>
      <c r="I16" s="74">
        <v>1</v>
      </c>
      <c r="J16" s="75" t="s">
        <v>732</v>
      </c>
      <c r="K16" s="74">
        <v>4</v>
      </c>
      <c r="L16" s="74"/>
      <c r="M16" s="81" t="s">
        <v>733</v>
      </c>
      <c r="N16" s="82" t="s">
        <v>734</v>
      </c>
      <c r="O16" s="74" t="s">
        <v>735</v>
      </c>
      <c r="P16" s="75"/>
      <c r="Q16" s="82" t="s">
        <v>746</v>
      </c>
      <c r="R16" s="82" t="s">
        <v>747</v>
      </c>
      <c r="S16" s="82" t="s">
        <v>799</v>
      </c>
      <c r="T16" s="82" t="s">
        <v>800</v>
      </c>
      <c r="U16" s="82" t="s">
        <v>801</v>
      </c>
      <c r="V16" s="229" t="s">
        <v>802</v>
      </c>
      <c r="W16" s="73"/>
      <c r="X16" s="81" t="s">
        <v>797</v>
      </c>
      <c r="Y16" s="82" t="s">
        <v>781</v>
      </c>
      <c r="Z16" s="82" t="s">
        <v>781</v>
      </c>
      <c r="AA16" s="197" t="s">
        <v>782</v>
      </c>
    </row>
    <row r="17" spans="1:27" s="33" customFormat="1" ht="91.5">
      <c r="A17" s="27"/>
      <c r="B17" s="81" t="s">
        <v>672</v>
      </c>
      <c r="C17" s="81" t="s">
        <v>803</v>
      </c>
      <c r="D17" s="155" t="s">
        <v>673</v>
      </c>
      <c r="E17" s="127">
        <v>2</v>
      </c>
      <c r="F17" s="81" t="s">
        <v>729</v>
      </c>
      <c r="G17" s="81" t="s">
        <v>730</v>
      </c>
      <c r="H17" s="73" t="s">
        <v>756</v>
      </c>
      <c r="I17" s="74">
        <v>1</v>
      </c>
      <c r="J17" s="75" t="s">
        <v>732</v>
      </c>
      <c r="K17" s="74">
        <v>4</v>
      </c>
      <c r="L17" s="74"/>
      <c r="M17" s="81" t="s">
        <v>733</v>
      </c>
      <c r="N17" s="82" t="s">
        <v>734</v>
      </c>
      <c r="O17" s="74" t="s">
        <v>735</v>
      </c>
      <c r="P17" s="75"/>
      <c r="Q17" s="81" t="s">
        <v>804</v>
      </c>
      <c r="R17" s="81" t="s">
        <v>805</v>
      </c>
      <c r="S17" s="83" t="s">
        <v>806</v>
      </c>
      <c r="T17" s="83" t="s">
        <v>807</v>
      </c>
      <c r="U17" s="83" t="s">
        <v>808</v>
      </c>
      <c r="V17" s="171" t="s">
        <v>809</v>
      </c>
      <c r="W17" s="73"/>
      <c r="X17" s="81" t="s">
        <v>810</v>
      </c>
      <c r="Y17" s="81" t="s">
        <v>811</v>
      </c>
      <c r="Z17" s="81" t="s">
        <v>138</v>
      </c>
      <c r="AA17" s="74" t="s">
        <v>781</v>
      </c>
    </row>
    <row r="18" spans="1:27" s="33" customFormat="1" ht="152.25">
      <c r="A18" s="27"/>
      <c r="B18" s="81" t="s">
        <v>675</v>
      </c>
      <c r="C18" s="81" t="s">
        <v>812</v>
      </c>
      <c r="D18" s="81" t="s">
        <v>676</v>
      </c>
      <c r="E18" s="127">
        <v>2</v>
      </c>
      <c r="F18" s="73" t="s">
        <v>729</v>
      </c>
      <c r="G18" s="73" t="s">
        <v>730</v>
      </c>
      <c r="H18" s="73" t="s">
        <v>756</v>
      </c>
      <c r="I18" s="74">
        <v>1</v>
      </c>
      <c r="J18" s="75" t="s">
        <v>732</v>
      </c>
      <c r="K18" s="74">
        <v>4</v>
      </c>
      <c r="L18" s="74"/>
      <c r="M18" s="81" t="s">
        <v>733</v>
      </c>
      <c r="N18" s="82" t="s">
        <v>734</v>
      </c>
      <c r="O18" s="74" t="s">
        <v>735</v>
      </c>
      <c r="P18" s="75"/>
      <c r="Q18" s="82" t="s">
        <v>746</v>
      </c>
      <c r="R18" s="82" t="s">
        <v>747</v>
      </c>
      <c r="S18" s="82" t="s">
        <v>769</v>
      </c>
      <c r="T18" s="82" t="s">
        <v>770</v>
      </c>
      <c r="U18" s="82" t="s">
        <v>771</v>
      </c>
      <c r="V18" s="229" t="s">
        <v>813</v>
      </c>
      <c r="W18" s="73"/>
      <c r="X18" s="81" t="s">
        <v>773</v>
      </c>
      <c r="Y18" s="82" t="s">
        <v>753</v>
      </c>
      <c r="Z18" s="82" t="s">
        <v>753</v>
      </c>
      <c r="AA18" s="197" t="s">
        <v>754</v>
      </c>
    </row>
    <row r="19" spans="1:27" s="33" customFormat="1" ht="321">
      <c r="A19" s="27"/>
      <c r="B19" s="81" t="s">
        <v>678</v>
      </c>
      <c r="C19" s="81" t="s">
        <v>814</v>
      </c>
      <c r="D19" s="81" t="s">
        <v>679</v>
      </c>
      <c r="E19" s="127">
        <v>2</v>
      </c>
      <c r="F19" s="81" t="s">
        <v>729</v>
      </c>
      <c r="G19" s="81" t="s">
        <v>730</v>
      </c>
      <c r="H19" s="73" t="s">
        <v>756</v>
      </c>
      <c r="I19" s="74">
        <v>1</v>
      </c>
      <c r="J19" s="75" t="s">
        <v>732</v>
      </c>
      <c r="K19" s="74">
        <v>4</v>
      </c>
      <c r="L19" s="74"/>
      <c r="M19" s="81" t="s">
        <v>733</v>
      </c>
      <c r="N19" s="82" t="s">
        <v>734</v>
      </c>
      <c r="O19" s="74" t="s">
        <v>735</v>
      </c>
      <c r="P19" s="75"/>
      <c r="Q19" s="126" t="s">
        <v>815</v>
      </c>
      <c r="R19" s="129" t="s">
        <v>816</v>
      </c>
      <c r="S19" s="81" t="s">
        <v>817</v>
      </c>
      <c r="T19" s="81" t="s">
        <v>818</v>
      </c>
      <c r="U19" s="81" t="s">
        <v>819</v>
      </c>
      <c r="V19" s="250" t="s">
        <v>820</v>
      </c>
      <c r="W19" s="81"/>
      <c r="X19" s="81" t="s">
        <v>821</v>
      </c>
      <c r="Y19" s="81" t="s">
        <v>743</v>
      </c>
      <c r="Z19" s="81" t="s">
        <v>743</v>
      </c>
      <c r="AA19" s="127" t="s">
        <v>744</v>
      </c>
    </row>
    <row r="20" spans="1:27" s="33" customFormat="1" ht="152.25">
      <c r="A20" s="27"/>
      <c r="B20" s="82" t="s">
        <v>681</v>
      </c>
      <c r="C20" s="82" t="s">
        <v>822</v>
      </c>
      <c r="D20" s="82" t="s">
        <v>682</v>
      </c>
      <c r="E20" s="74">
        <v>2</v>
      </c>
      <c r="F20" s="73" t="s">
        <v>729</v>
      </c>
      <c r="G20" s="73" t="s">
        <v>730</v>
      </c>
      <c r="H20" s="73" t="s">
        <v>756</v>
      </c>
      <c r="I20" s="74">
        <v>1</v>
      </c>
      <c r="J20" s="75" t="s">
        <v>732</v>
      </c>
      <c r="K20" s="74">
        <v>4</v>
      </c>
      <c r="L20" s="74"/>
      <c r="M20" s="81" t="s">
        <v>733</v>
      </c>
      <c r="N20" s="82" t="s">
        <v>734</v>
      </c>
      <c r="O20" s="74" t="s">
        <v>735</v>
      </c>
      <c r="P20" s="75"/>
      <c r="Q20" s="82" t="s">
        <v>746</v>
      </c>
      <c r="R20" s="82" t="s">
        <v>747</v>
      </c>
      <c r="S20" s="82" t="s">
        <v>769</v>
      </c>
      <c r="T20" s="82" t="s">
        <v>770</v>
      </c>
      <c r="U20" s="82" t="s">
        <v>771</v>
      </c>
      <c r="V20" s="229" t="s">
        <v>823</v>
      </c>
      <c r="W20" s="73"/>
      <c r="X20" s="81" t="s">
        <v>773</v>
      </c>
      <c r="Y20" s="82" t="s">
        <v>753</v>
      </c>
      <c r="Z20" s="82" t="s">
        <v>753</v>
      </c>
      <c r="AA20" s="197" t="s">
        <v>754</v>
      </c>
    </row>
    <row r="21" spans="1:27" s="33" customFormat="1" ht="91.5">
      <c r="A21" s="27"/>
      <c r="B21" s="81" t="s">
        <v>684</v>
      </c>
      <c r="C21" s="81" t="s">
        <v>824</v>
      </c>
      <c r="D21" s="81" t="s">
        <v>685</v>
      </c>
      <c r="E21" s="127">
        <v>2</v>
      </c>
      <c r="F21" s="81" t="s">
        <v>729</v>
      </c>
      <c r="G21" s="81" t="s">
        <v>730</v>
      </c>
      <c r="H21" s="73" t="s">
        <v>756</v>
      </c>
      <c r="I21" s="74">
        <v>1</v>
      </c>
      <c r="J21" s="75" t="s">
        <v>732</v>
      </c>
      <c r="K21" s="74">
        <v>4</v>
      </c>
      <c r="L21" s="74"/>
      <c r="M21" s="81" t="s">
        <v>733</v>
      </c>
      <c r="N21" s="82" t="s">
        <v>734</v>
      </c>
      <c r="O21" s="74" t="s">
        <v>735</v>
      </c>
      <c r="P21" s="75"/>
      <c r="Q21" s="126" t="s">
        <v>757</v>
      </c>
      <c r="R21" s="129" t="s">
        <v>758</v>
      </c>
      <c r="S21" s="82" t="s">
        <v>776</v>
      </c>
      <c r="T21" s="82" t="s">
        <v>777</v>
      </c>
      <c r="U21" s="82" t="s">
        <v>778</v>
      </c>
      <c r="V21" s="229" t="s">
        <v>825</v>
      </c>
      <c r="W21" s="73"/>
      <c r="X21" s="83" t="s">
        <v>780</v>
      </c>
      <c r="Y21" s="81" t="s">
        <v>781</v>
      </c>
      <c r="Z21" s="81" t="s">
        <v>781</v>
      </c>
      <c r="AA21" s="127" t="s">
        <v>782</v>
      </c>
    </row>
    <row r="22" spans="1:27" s="33" customFormat="1" ht="45.75">
      <c r="A22" s="27"/>
      <c r="B22" s="75" t="s">
        <v>687</v>
      </c>
      <c r="C22" s="81" t="s">
        <v>826</v>
      </c>
      <c r="D22" s="81" t="s">
        <v>688</v>
      </c>
      <c r="E22" s="74">
        <v>2</v>
      </c>
      <c r="F22" s="73" t="s">
        <v>729</v>
      </c>
      <c r="G22" s="73" t="s">
        <v>730</v>
      </c>
      <c r="H22" s="73" t="s">
        <v>756</v>
      </c>
      <c r="I22" s="74">
        <v>1</v>
      </c>
      <c r="J22" s="73" t="s">
        <v>732</v>
      </c>
      <c r="K22" s="74">
        <v>4</v>
      </c>
      <c r="L22" s="74"/>
      <c r="M22" s="81" t="s">
        <v>733</v>
      </c>
      <c r="N22" s="82" t="s">
        <v>734</v>
      </c>
      <c r="O22" s="74" t="s">
        <v>735</v>
      </c>
      <c r="P22" s="75"/>
      <c r="Q22" s="82" t="s">
        <v>827</v>
      </c>
      <c r="R22" s="82" t="s">
        <v>828</v>
      </c>
      <c r="S22" s="82" t="s">
        <v>829</v>
      </c>
      <c r="T22" s="82" t="s">
        <v>830</v>
      </c>
      <c r="U22" s="82" t="s">
        <v>795</v>
      </c>
      <c r="V22" s="229" t="s">
        <v>831</v>
      </c>
      <c r="W22" s="73"/>
      <c r="X22" s="82" t="s">
        <v>832</v>
      </c>
      <c r="Y22" s="82" t="s">
        <v>781</v>
      </c>
      <c r="Z22" s="82" t="s">
        <v>781</v>
      </c>
      <c r="AA22" s="127" t="s">
        <v>782</v>
      </c>
    </row>
    <row r="23" spans="1:27" s="33" customFormat="1" ht="409.6">
      <c r="A23" s="27"/>
      <c r="B23" s="81" t="s">
        <v>690</v>
      </c>
      <c r="C23" s="81" t="s">
        <v>833</v>
      </c>
      <c r="D23" s="81" t="s">
        <v>691</v>
      </c>
      <c r="E23" s="127">
        <v>2</v>
      </c>
      <c r="F23" s="81" t="s">
        <v>729</v>
      </c>
      <c r="G23" s="81" t="s">
        <v>730</v>
      </c>
      <c r="H23" s="73" t="s">
        <v>756</v>
      </c>
      <c r="I23" s="74">
        <v>1</v>
      </c>
      <c r="J23" s="73" t="s">
        <v>732</v>
      </c>
      <c r="K23" s="74">
        <v>4</v>
      </c>
      <c r="L23" s="74"/>
      <c r="M23" s="81" t="s">
        <v>733</v>
      </c>
      <c r="N23" s="82" t="s">
        <v>734</v>
      </c>
      <c r="O23" s="74" t="s">
        <v>735</v>
      </c>
      <c r="P23" s="75"/>
      <c r="Q23" s="126" t="s">
        <v>746</v>
      </c>
      <c r="R23" s="129" t="s">
        <v>747</v>
      </c>
      <c r="S23" s="82" t="s">
        <v>834</v>
      </c>
      <c r="T23" s="82" t="s">
        <v>835</v>
      </c>
      <c r="U23" s="82" t="s">
        <v>836</v>
      </c>
      <c r="V23" s="229" t="s">
        <v>837</v>
      </c>
      <c r="W23" s="73"/>
      <c r="X23" s="192" t="s">
        <v>838</v>
      </c>
      <c r="Y23" s="82" t="s">
        <v>839</v>
      </c>
      <c r="Z23" s="82" t="s">
        <v>839</v>
      </c>
      <c r="AA23" s="127" t="s">
        <v>840</v>
      </c>
    </row>
    <row r="24" spans="1:27" s="33" customFormat="1" ht="198">
      <c r="A24" s="27"/>
      <c r="B24" s="81" t="s">
        <v>648</v>
      </c>
      <c r="C24" s="81" t="s">
        <v>728</v>
      </c>
      <c r="D24" s="81" t="s">
        <v>649</v>
      </c>
      <c r="E24" s="127">
        <v>2</v>
      </c>
      <c r="F24" s="81" t="s">
        <v>841</v>
      </c>
      <c r="G24" s="81" t="s">
        <v>842</v>
      </c>
      <c r="H24" s="73" t="s">
        <v>731</v>
      </c>
      <c r="I24" s="74">
        <v>2</v>
      </c>
      <c r="J24" s="75" t="s">
        <v>732</v>
      </c>
      <c r="K24" s="74">
        <v>30</v>
      </c>
      <c r="L24" s="74"/>
      <c r="M24" s="81" t="s">
        <v>843</v>
      </c>
      <c r="N24" s="82" t="s">
        <v>844</v>
      </c>
      <c r="O24" s="74" t="s">
        <v>735</v>
      </c>
      <c r="P24" s="75"/>
      <c r="Q24" s="126" t="s">
        <v>736</v>
      </c>
      <c r="R24" s="129" t="s">
        <v>737</v>
      </c>
      <c r="S24" s="83" t="s">
        <v>845</v>
      </c>
      <c r="T24" s="83" t="s">
        <v>846</v>
      </c>
      <c r="U24" s="83" t="s">
        <v>847</v>
      </c>
      <c r="V24" s="171" t="s">
        <v>848</v>
      </c>
      <c r="W24" s="73"/>
      <c r="X24" s="83" t="s">
        <v>849</v>
      </c>
      <c r="Y24" s="81" t="s">
        <v>850</v>
      </c>
      <c r="Z24" s="82" t="s">
        <v>851</v>
      </c>
      <c r="AA24" s="127" t="s">
        <v>743</v>
      </c>
    </row>
    <row r="25" spans="1:27" s="33" customFormat="1" ht="106.5">
      <c r="A25" s="27"/>
      <c r="B25" s="81" t="s">
        <v>651</v>
      </c>
      <c r="C25" s="81" t="s">
        <v>745</v>
      </c>
      <c r="D25" s="81" t="s">
        <v>652</v>
      </c>
      <c r="E25" s="127">
        <v>2</v>
      </c>
      <c r="F25" s="81" t="s">
        <v>841</v>
      </c>
      <c r="G25" s="81" t="s">
        <v>842</v>
      </c>
      <c r="H25" s="73" t="s">
        <v>731</v>
      </c>
      <c r="I25" s="74">
        <v>2</v>
      </c>
      <c r="J25" s="75" t="s">
        <v>732</v>
      </c>
      <c r="K25" s="74">
        <v>30</v>
      </c>
      <c r="L25" s="74"/>
      <c r="M25" s="81" t="s">
        <v>843</v>
      </c>
      <c r="N25" s="82" t="s">
        <v>844</v>
      </c>
      <c r="O25" s="74" t="s">
        <v>735</v>
      </c>
      <c r="P25" s="75"/>
      <c r="Q25" s="126" t="s">
        <v>746</v>
      </c>
      <c r="R25" s="129" t="s">
        <v>747</v>
      </c>
      <c r="S25" s="82" t="s">
        <v>852</v>
      </c>
      <c r="T25" s="82" t="s">
        <v>853</v>
      </c>
      <c r="U25" s="83" t="s">
        <v>854</v>
      </c>
      <c r="V25" s="229" t="s">
        <v>855</v>
      </c>
      <c r="W25" s="73"/>
      <c r="X25" s="81" t="s">
        <v>752</v>
      </c>
      <c r="Y25" s="81" t="s">
        <v>856</v>
      </c>
      <c r="Z25" s="205" t="s">
        <v>857</v>
      </c>
      <c r="AA25" s="127" t="s">
        <v>753</v>
      </c>
    </row>
    <row r="26" spans="1:27" s="33" customFormat="1" ht="259.5">
      <c r="A26" s="27"/>
      <c r="B26" s="81" t="s">
        <v>654</v>
      </c>
      <c r="C26" s="155" t="s">
        <v>755</v>
      </c>
      <c r="D26" s="81" t="s">
        <v>655</v>
      </c>
      <c r="E26" s="127">
        <v>2</v>
      </c>
      <c r="F26" s="81" t="s">
        <v>841</v>
      </c>
      <c r="G26" s="81" t="s">
        <v>842</v>
      </c>
      <c r="H26" s="73" t="s">
        <v>756</v>
      </c>
      <c r="I26" s="74">
        <v>2</v>
      </c>
      <c r="J26" s="75" t="s">
        <v>732</v>
      </c>
      <c r="K26" s="74">
        <v>30</v>
      </c>
      <c r="L26" s="74"/>
      <c r="M26" s="81" t="s">
        <v>843</v>
      </c>
      <c r="N26" s="82" t="s">
        <v>844</v>
      </c>
      <c r="O26" s="74" t="s">
        <v>735</v>
      </c>
      <c r="P26" s="75"/>
      <c r="Q26" s="126" t="s">
        <v>757</v>
      </c>
      <c r="R26" s="129" t="s">
        <v>758</v>
      </c>
      <c r="S26" s="82" t="s">
        <v>858</v>
      </c>
      <c r="T26" s="82" t="s">
        <v>859</v>
      </c>
      <c r="U26" s="83" t="s">
        <v>860</v>
      </c>
      <c r="V26" s="229" t="s">
        <v>861</v>
      </c>
      <c r="W26" s="73"/>
      <c r="X26" s="83" t="s">
        <v>763</v>
      </c>
      <c r="Y26" s="81" t="s">
        <v>862</v>
      </c>
      <c r="Z26" s="81" t="s">
        <v>863</v>
      </c>
      <c r="AA26" s="127" t="s">
        <v>764</v>
      </c>
    </row>
    <row r="27" spans="1:27" s="33" customFormat="1" ht="91.5">
      <c r="A27" s="27"/>
      <c r="B27" s="73" t="s">
        <v>657</v>
      </c>
      <c r="C27" s="73" t="s">
        <v>766</v>
      </c>
      <c r="D27" s="73" t="s">
        <v>658</v>
      </c>
      <c r="E27" s="74">
        <v>2</v>
      </c>
      <c r="F27" s="73" t="s">
        <v>841</v>
      </c>
      <c r="G27" s="73" t="s">
        <v>842</v>
      </c>
      <c r="H27" s="73" t="s">
        <v>756</v>
      </c>
      <c r="I27" s="74">
        <v>2</v>
      </c>
      <c r="J27" s="75" t="s">
        <v>732</v>
      </c>
      <c r="K27" s="74">
        <v>30</v>
      </c>
      <c r="L27" s="74"/>
      <c r="M27" s="81" t="s">
        <v>843</v>
      </c>
      <c r="N27" s="82" t="s">
        <v>844</v>
      </c>
      <c r="O27" s="74" t="s">
        <v>735</v>
      </c>
      <c r="P27" s="75"/>
      <c r="Q27" s="82" t="s">
        <v>767</v>
      </c>
      <c r="R27" s="82" t="s">
        <v>768</v>
      </c>
      <c r="S27" s="82" t="s">
        <v>864</v>
      </c>
      <c r="T27" s="82" t="s">
        <v>865</v>
      </c>
      <c r="U27" s="82" t="s">
        <v>866</v>
      </c>
      <c r="V27" s="229" t="s">
        <v>867</v>
      </c>
      <c r="W27" s="73"/>
      <c r="X27" s="81" t="s">
        <v>773</v>
      </c>
      <c r="Y27" s="82" t="s">
        <v>868</v>
      </c>
      <c r="Z27" s="82" t="s">
        <v>869</v>
      </c>
      <c r="AA27" s="127" t="s">
        <v>753</v>
      </c>
    </row>
    <row r="28" spans="1:27" s="33" customFormat="1" ht="60.75">
      <c r="A28" s="27"/>
      <c r="B28" s="153" t="s">
        <v>660</v>
      </c>
      <c r="C28" s="154" t="s">
        <v>775</v>
      </c>
      <c r="D28" s="154" t="s">
        <v>661</v>
      </c>
      <c r="E28" s="156">
        <v>2</v>
      </c>
      <c r="F28" s="81" t="s">
        <v>841</v>
      </c>
      <c r="G28" s="81" t="s">
        <v>842</v>
      </c>
      <c r="H28" s="73" t="s">
        <v>756</v>
      </c>
      <c r="I28" s="74">
        <v>2</v>
      </c>
      <c r="J28" s="75" t="s">
        <v>732</v>
      </c>
      <c r="K28" s="74">
        <v>15</v>
      </c>
      <c r="L28" s="74"/>
      <c r="M28" s="81" t="s">
        <v>843</v>
      </c>
      <c r="N28" s="82" t="s">
        <v>844</v>
      </c>
      <c r="O28" s="74" t="s">
        <v>735</v>
      </c>
      <c r="P28" s="75"/>
      <c r="Q28" s="126" t="s">
        <v>757</v>
      </c>
      <c r="R28" s="129" t="s">
        <v>758</v>
      </c>
      <c r="S28" s="82" t="s">
        <v>870</v>
      </c>
      <c r="T28" s="82" t="s">
        <v>871</v>
      </c>
      <c r="U28" s="82" t="s">
        <v>872</v>
      </c>
      <c r="V28" s="171" t="s">
        <v>873</v>
      </c>
      <c r="W28" s="73"/>
      <c r="X28" s="83" t="s">
        <v>780</v>
      </c>
      <c r="Y28" s="81" t="s">
        <v>874</v>
      </c>
      <c r="Z28" s="81" t="s">
        <v>875</v>
      </c>
      <c r="AA28" s="127" t="s">
        <v>781</v>
      </c>
    </row>
    <row r="29" spans="1:27" s="33" customFormat="1" ht="305.25">
      <c r="A29" s="27"/>
      <c r="B29" s="81" t="s">
        <v>663</v>
      </c>
      <c r="C29" s="81" t="s">
        <v>783</v>
      </c>
      <c r="D29" s="81" t="s">
        <v>664</v>
      </c>
      <c r="E29" s="127">
        <v>2</v>
      </c>
      <c r="F29" s="81" t="s">
        <v>841</v>
      </c>
      <c r="G29" s="81" t="s">
        <v>842</v>
      </c>
      <c r="H29" s="73" t="s">
        <v>756</v>
      </c>
      <c r="I29" s="74">
        <v>2</v>
      </c>
      <c r="J29" s="75" t="s">
        <v>732</v>
      </c>
      <c r="K29" s="74">
        <v>30</v>
      </c>
      <c r="L29" s="74"/>
      <c r="M29" s="81" t="s">
        <v>843</v>
      </c>
      <c r="N29" s="82" t="s">
        <v>844</v>
      </c>
      <c r="O29" s="74" t="s">
        <v>735</v>
      </c>
      <c r="P29" s="75"/>
      <c r="Q29" s="126" t="s">
        <v>784</v>
      </c>
      <c r="R29" s="129" t="s">
        <v>785</v>
      </c>
      <c r="S29" s="82" t="s">
        <v>876</v>
      </c>
      <c r="T29" s="82" t="s">
        <v>877</v>
      </c>
      <c r="U29" s="82" t="s">
        <v>878</v>
      </c>
      <c r="V29" s="229" t="s">
        <v>879</v>
      </c>
      <c r="W29" s="73"/>
      <c r="X29" s="81" t="s">
        <v>789</v>
      </c>
      <c r="Y29" s="81" t="s">
        <v>880</v>
      </c>
      <c r="Z29" s="81" t="s">
        <v>881</v>
      </c>
      <c r="AA29" s="127" t="s">
        <v>882</v>
      </c>
    </row>
    <row r="30" spans="1:27" s="33" customFormat="1" ht="45.75">
      <c r="A30" s="27"/>
      <c r="B30" s="81" t="s">
        <v>666</v>
      </c>
      <c r="C30" s="81" t="s">
        <v>792</v>
      </c>
      <c r="D30" s="81" t="s">
        <v>667</v>
      </c>
      <c r="E30" s="74">
        <v>2</v>
      </c>
      <c r="F30" s="73" t="s">
        <v>841</v>
      </c>
      <c r="G30" s="73" t="s">
        <v>842</v>
      </c>
      <c r="H30" s="73" t="s">
        <v>756</v>
      </c>
      <c r="I30" s="74">
        <v>2</v>
      </c>
      <c r="J30" s="75" t="s">
        <v>732</v>
      </c>
      <c r="K30" s="74">
        <v>30</v>
      </c>
      <c r="L30" s="74"/>
      <c r="M30" s="81" t="s">
        <v>843</v>
      </c>
      <c r="N30" s="82" t="s">
        <v>844</v>
      </c>
      <c r="O30" s="74" t="s">
        <v>735</v>
      </c>
      <c r="P30" s="75"/>
      <c r="Q30" s="82" t="s">
        <v>746</v>
      </c>
      <c r="R30" s="82" t="s">
        <v>747</v>
      </c>
      <c r="S30" s="82" t="s">
        <v>883</v>
      </c>
      <c r="T30" s="82" t="s">
        <v>884</v>
      </c>
      <c r="U30" s="82" t="s">
        <v>885</v>
      </c>
      <c r="V30" s="229" t="s">
        <v>886</v>
      </c>
      <c r="W30" s="73"/>
      <c r="X30" s="81" t="s">
        <v>797</v>
      </c>
      <c r="Y30" s="82" t="s">
        <v>887</v>
      </c>
      <c r="Z30" s="82" t="s">
        <v>888</v>
      </c>
      <c r="AA30" s="127" t="s">
        <v>781</v>
      </c>
    </row>
    <row r="31" spans="1:27" s="33" customFormat="1" ht="45.75">
      <c r="A31" s="27"/>
      <c r="B31" s="190" t="s">
        <v>669</v>
      </c>
      <c r="C31" s="190" t="s">
        <v>798</v>
      </c>
      <c r="D31" s="190" t="s">
        <v>670</v>
      </c>
      <c r="E31" s="74">
        <v>2</v>
      </c>
      <c r="F31" s="73" t="s">
        <v>841</v>
      </c>
      <c r="G31" s="73" t="s">
        <v>842</v>
      </c>
      <c r="H31" s="73" t="s">
        <v>756</v>
      </c>
      <c r="I31" s="74">
        <v>2</v>
      </c>
      <c r="J31" s="75" t="s">
        <v>732</v>
      </c>
      <c r="K31" s="74">
        <v>30</v>
      </c>
      <c r="L31" s="74"/>
      <c r="M31" s="81" t="s">
        <v>843</v>
      </c>
      <c r="N31" s="82" t="s">
        <v>844</v>
      </c>
      <c r="O31" s="74" t="s">
        <v>735</v>
      </c>
      <c r="P31" s="75"/>
      <c r="Q31" s="82" t="s">
        <v>746</v>
      </c>
      <c r="R31" s="82" t="s">
        <v>747</v>
      </c>
      <c r="S31" s="82" t="s">
        <v>793</v>
      </c>
      <c r="T31" s="82" t="s">
        <v>889</v>
      </c>
      <c r="U31" s="82" t="s">
        <v>890</v>
      </c>
      <c r="V31" s="229" t="s">
        <v>891</v>
      </c>
      <c r="W31" s="73"/>
      <c r="X31" s="81" t="s">
        <v>797</v>
      </c>
      <c r="Y31" s="82" t="s">
        <v>887</v>
      </c>
      <c r="Z31" s="82" t="s">
        <v>888</v>
      </c>
      <c r="AA31" s="127" t="s">
        <v>781</v>
      </c>
    </row>
    <row r="32" spans="1:27" s="33" customFormat="1" ht="60.75">
      <c r="A32" s="27"/>
      <c r="B32" s="81" t="s">
        <v>672</v>
      </c>
      <c r="C32" s="81" t="s">
        <v>803</v>
      </c>
      <c r="D32" s="155" t="s">
        <v>673</v>
      </c>
      <c r="E32" s="127">
        <v>2</v>
      </c>
      <c r="F32" s="81" t="s">
        <v>841</v>
      </c>
      <c r="G32" s="81" t="s">
        <v>842</v>
      </c>
      <c r="H32" s="73" t="s">
        <v>756</v>
      </c>
      <c r="I32" s="74">
        <v>2</v>
      </c>
      <c r="J32" s="75" t="s">
        <v>732</v>
      </c>
      <c r="K32" s="74">
        <v>30</v>
      </c>
      <c r="L32" s="74"/>
      <c r="M32" s="81" t="s">
        <v>843</v>
      </c>
      <c r="N32" s="82" t="s">
        <v>844</v>
      </c>
      <c r="O32" s="74" t="s">
        <v>735</v>
      </c>
      <c r="P32" s="75"/>
      <c r="Q32" s="81" t="s">
        <v>804</v>
      </c>
      <c r="R32" s="81" t="s">
        <v>805</v>
      </c>
      <c r="S32" s="83" t="s">
        <v>892</v>
      </c>
      <c r="T32" s="83" t="s">
        <v>893</v>
      </c>
      <c r="U32" s="82" t="s">
        <v>894</v>
      </c>
      <c r="V32" s="229" t="s">
        <v>895</v>
      </c>
      <c r="W32" s="73"/>
      <c r="X32" s="81" t="s">
        <v>810</v>
      </c>
      <c r="Y32" s="81" t="s">
        <v>896</v>
      </c>
      <c r="Z32" s="81" t="s">
        <v>897</v>
      </c>
      <c r="AA32" s="74" t="s">
        <v>781</v>
      </c>
    </row>
    <row r="33" spans="1:27" s="33" customFormat="1" ht="91.5">
      <c r="A33" s="27"/>
      <c r="B33" s="81" t="s">
        <v>675</v>
      </c>
      <c r="C33" s="81" t="s">
        <v>812</v>
      </c>
      <c r="D33" s="81" t="s">
        <v>676</v>
      </c>
      <c r="E33" s="127">
        <v>2</v>
      </c>
      <c r="F33" s="73" t="s">
        <v>841</v>
      </c>
      <c r="G33" s="73" t="s">
        <v>842</v>
      </c>
      <c r="H33" s="73" t="s">
        <v>756</v>
      </c>
      <c r="I33" s="74">
        <v>2</v>
      </c>
      <c r="J33" s="75" t="s">
        <v>732</v>
      </c>
      <c r="K33" s="74">
        <v>30</v>
      </c>
      <c r="L33" s="74"/>
      <c r="M33" s="81" t="s">
        <v>843</v>
      </c>
      <c r="N33" s="82" t="s">
        <v>844</v>
      </c>
      <c r="O33" s="74" t="s">
        <v>735</v>
      </c>
      <c r="P33" s="75"/>
      <c r="Q33" s="82" t="s">
        <v>746</v>
      </c>
      <c r="R33" s="82" t="s">
        <v>747</v>
      </c>
      <c r="S33" s="82" t="s">
        <v>864</v>
      </c>
      <c r="T33" s="82" t="s">
        <v>865</v>
      </c>
      <c r="U33" s="82" t="s">
        <v>866</v>
      </c>
      <c r="V33" s="229" t="s">
        <v>898</v>
      </c>
      <c r="W33" s="73"/>
      <c r="X33" s="81" t="s">
        <v>773</v>
      </c>
      <c r="Y33" s="82" t="s">
        <v>868</v>
      </c>
      <c r="Z33" s="82" t="s">
        <v>869</v>
      </c>
      <c r="AA33" s="127" t="s">
        <v>753</v>
      </c>
    </row>
    <row r="34" spans="1:27" s="33" customFormat="1" ht="259.5">
      <c r="A34" s="27"/>
      <c r="B34" s="81" t="s">
        <v>678</v>
      </c>
      <c r="C34" s="81" t="s">
        <v>814</v>
      </c>
      <c r="D34" s="81" t="s">
        <v>679</v>
      </c>
      <c r="E34" s="127">
        <v>2</v>
      </c>
      <c r="F34" s="81" t="s">
        <v>841</v>
      </c>
      <c r="G34" s="81" t="s">
        <v>842</v>
      </c>
      <c r="H34" s="73" t="s">
        <v>756</v>
      </c>
      <c r="I34" s="74">
        <v>2</v>
      </c>
      <c r="J34" s="73" t="s">
        <v>732</v>
      </c>
      <c r="K34" s="74">
        <v>30</v>
      </c>
      <c r="L34" s="74"/>
      <c r="M34" s="81" t="s">
        <v>843</v>
      </c>
      <c r="N34" s="82" t="s">
        <v>844</v>
      </c>
      <c r="O34" s="74" t="s">
        <v>735</v>
      </c>
      <c r="P34" s="75"/>
      <c r="Q34" s="126" t="s">
        <v>815</v>
      </c>
      <c r="R34" s="129" t="s">
        <v>816</v>
      </c>
      <c r="S34" s="81" t="s">
        <v>899</v>
      </c>
      <c r="T34" s="81" t="s">
        <v>900</v>
      </c>
      <c r="U34" s="81" t="s">
        <v>901</v>
      </c>
      <c r="V34" s="171" t="s">
        <v>902</v>
      </c>
      <c r="W34" s="81"/>
      <c r="X34" s="81" t="s">
        <v>903</v>
      </c>
      <c r="Y34" s="81" t="s">
        <v>904</v>
      </c>
      <c r="Z34" s="81" t="s">
        <v>905</v>
      </c>
      <c r="AA34" s="127" t="s">
        <v>906</v>
      </c>
    </row>
    <row r="35" spans="1:27" s="33" customFormat="1" ht="91.5">
      <c r="A35" s="27"/>
      <c r="B35" s="82" t="s">
        <v>681</v>
      </c>
      <c r="C35" s="82" t="s">
        <v>822</v>
      </c>
      <c r="D35" s="82" t="s">
        <v>682</v>
      </c>
      <c r="E35" s="74">
        <v>2</v>
      </c>
      <c r="F35" s="73" t="s">
        <v>841</v>
      </c>
      <c r="G35" s="73" t="s">
        <v>842</v>
      </c>
      <c r="H35" s="73" t="s">
        <v>756</v>
      </c>
      <c r="I35" s="74">
        <v>2</v>
      </c>
      <c r="J35" s="75" t="s">
        <v>732</v>
      </c>
      <c r="K35" s="74">
        <v>30</v>
      </c>
      <c r="L35" s="74"/>
      <c r="M35" s="81" t="s">
        <v>843</v>
      </c>
      <c r="N35" s="82" t="s">
        <v>844</v>
      </c>
      <c r="O35" s="74" t="s">
        <v>735</v>
      </c>
      <c r="P35" s="75"/>
      <c r="Q35" s="82" t="s">
        <v>746</v>
      </c>
      <c r="R35" s="82" t="s">
        <v>747</v>
      </c>
      <c r="S35" s="82" t="s">
        <v>864</v>
      </c>
      <c r="T35" s="82" t="s">
        <v>865</v>
      </c>
      <c r="U35" s="82" t="s">
        <v>866</v>
      </c>
      <c r="V35" s="229" t="s">
        <v>907</v>
      </c>
      <c r="W35" s="73"/>
      <c r="X35" s="81" t="s">
        <v>773</v>
      </c>
      <c r="Y35" s="82" t="s">
        <v>868</v>
      </c>
      <c r="Z35" s="82" t="s">
        <v>869</v>
      </c>
      <c r="AA35" s="127" t="s">
        <v>753</v>
      </c>
    </row>
    <row r="36" spans="1:27" s="33" customFormat="1" ht="60.75">
      <c r="A36" s="27"/>
      <c r="B36" s="81" t="s">
        <v>684</v>
      </c>
      <c r="C36" s="81" t="s">
        <v>824</v>
      </c>
      <c r="D36" s="81" t="s">
        <v>685</v>
      </c>
      <c r="E36" s="127">
        <v>2</v>
      </c>
      <c r="F36" s="81" t="s">
        <v>841</v>
      </c>
      <c r="G36" s="81" t="s">
        <v>842</v>
      </c>
      <c r="H36" s="73" t="s">
        <v>756</v>
      </c>
      <c r="I36" s="74">
        <v>2</v>
      </c>
      <c r="J36" s="75" t="s">
        <v>732</v>
      </c>
      <c r="K36" s="74">
        <v>15</v>
      </c>
      <c r="L36" s="74"/>
      <c r="M36" s="81" t="s">
        <v>843</v>
      </c>
      <c r="N36" s="82" t="s">
        <v>844</v>
      </c>
      <c r="O36" s="74" t="s">
        <v>735</v>
      </c>
      <c r="P36" s="75"/>
      <c r="Q36" s="126" t="s">
        <v>757</v>
      </c>
      <c r="R36" s="129" t="s">
        <v>758</v>
      </c>
      <c r="S36" s="82" t="s">
        <v>870</v>
      </c>
      <c r="T36" s="82" t="s">
        <v>871</v>
      </c>
      <c r="U36" s="82" t="s">
        <v>872</v>
      </c>
      <c r="V36" s="229" t="s">
        <v>908</v>
      </c>
      <c r="W36" s="73"/>
      <c r="X36" s="83" t="s">
        <v>780</v>
      </c>
      <c r="Y36" s="81" t="s">
        <v>874</v>
      </c>
      <c r="Z36" s="81" t="s">
        <v>909</v>
      </c>
      <c r="AA36" s="127" t="s">
        <v>781</v>
      </c>
    </row>
    <row r="37" spans="1:27" s="33" customFormat="1" ht="45.75">
      <c r="A37" s="27"/>
      <c r="B37" s="75" t="s">
        <v>687</v>
      </c>
      <c r="C37" s="81" t="s">
        <v>826</v>
      </c>
      <c r="D37" s="81" t="s">
        <v>688</v>
      </c>
      <c r="E37" s="74">
        <v>2</v>
      </c>
      <c r="F37" s="73" t="s">
        <v>841</v>
      </c>
      <c r="G37" s="73" t="s">
        <v>842</v>
      </c>
      <c r="H37" s="73" t="s">
        <v>756</v>
      </c>
      <c r="I37" s="74">
        <v>2</v>
      </c>
      <c r="J37" s="75" t="s">
        <v>732</v>
      </c>
      <c r="K37" s="74">
        <v>30</v>
      </c>
      <c r="L37" s="74"/>
      <c r="M37" s="81" t="s">
        <v>843</v>
      </c>
      <c r="N37" s="82" t="s">
        <v>844</v>
      </c>
      <c r="O37" s="74" t="s">
        <v>735</v>
      </c>
      <c r="P37" s="75"/>
      <c r="Q37" s="82" t="s">
        <v>827</v>
      </c>
      <c r="R37" s="82" t="s">
        <v>828</v>
      </c>
      <c r="S37" s="82" t="s">
        <v>910</v>
      </c>
      <c r="T37" s="82" t="s">
        <v>911</v>
      </c>
      <c r="U37" s="82" t="s">
        <v>912</v>
      </c>
      <c r="V37" s="229" t="s">
        <v>913</v>
      </c>
      <c r="W37" s="73" t="s">
        <v>6</v>
      </c>
      <c r="X37" s="82" t="s">
        <v>832</v>
      </c>
      <c r="Y37" s="82" t="s">
        <v>914</v>
      </c>
      <c r="Z37" s="82" t="s">
        <v>915</v>
      </c>
      <c r="AA37" s="127" t="s">
        <v>781</v>
      </c>
    </row>
    <row r="38" spans="1:27" s="33" customFormat="1" ht="396.75">
      <c r="A38" s="27"/>
      <c r="B38" s="81" t="s">
        <v>690</v>
      </c>
      <c r="C38" s="81" t="s">
        <v>833</v>
      </c>
      <c r="D38" s="81" t="s">
        <v>691</v>
      </c>
      <c r="E38" s="127">
        <v>2</v>
      </c>
      <c r="F38" s="81" t="s">
        <v>841</v>
      </c>
      <c r="G38" s="81" t="s">
        <v>842</v>
      </c>
      <c r="H38" s="73" t="s">
        <v>756</v>
      </c>
      <c r="I38" s="74">
        <v>2</v>
      </c>
      <c r="J38" s="73" t="s">
        <v>732</v>
      </c>
      <c r="K38" s="74">
        <v>30</v>
      </c>
      <c r="L38" s="74"/>
      <c r="M38" s="81" t="s">
        <v>843</v>
      </c>
      <c r="N38" s="82" t="s">
        <v>844</v>
      </c>
      <c r="O38" s="74" t="s">
        <v>735</v>
      </c>
      <c r="P38" s="75"/>
      <c r="Q38" s="126" t="s">
        <v>746</v>
      </c>
      <c r="R38" s="129" t="s">
        <v>747</v>
      </c>
      <c r="S38" s="82" t="s">
        <v>916</v>
      </c>
      <c r="T38" s="82" t="s">
        <v>917</v>
      </c>
      <c r="U38" s="82" t="s">
        <v>918</v>
      </c>
      <c r="V38" s="229" t="s">
        <v>919</v>
      </c>
      <c r="W38" s="73"/>
      <c r="X38" s="192" t="s">
        <v>838</v>
      </c>
      <c r="Y38" s="81" t="s">
        <v>920</v>
      </c>
      <c r="Z38" s="81" t="s">
        <v>921</v>
      </c>
      <c r="AA38" s="127" t="s">
        <v>839</v>
      </c>
    </row>
    <row r="39" spans="1:27" s="33" customFormat="1" ht="198">
      <c r="A39" s="27"/>
      <c r="B39" s="81" t="s">
        <v>648</v>
      </c>
      <c r="C39" s="81" t="s">
        <v>728</v>
      </c>
      <c r="D39" s="81" t="s">
        <v>649</v>
      </c>
      <c r="E39" s="127">
        <v>2</v>
      </c>
      <c r="F39" s="81" t="s">
        <v>922</v>
      </c>
      <c r="G39" s="81" t="s">
        <v>923</v>
      </c>
      <c r="H39" s="73" t="s">
        <v>924</v>
      </c>
      <c r="I39" s="74">
        <v>3</v>
      </c>
      <c r="J39" s="73" t="s">
        <v>925</v>
      </c>
      <c r="K39" s="74"/>
      <c r="L39" s="74"/>
      <c r="M39" s="81" t="s">
        <v>926</v>
      </c>
      <c r="N39" s="82" t="s">
        <v>927</v>
      </c>
      <c r="O39" s="74" t="s">
        <v>735</v>
      </c>
      <c r="P39" s="75"/>
      <c r="Q39" s="126" t="s">
        <v>804</v>
      </c>
      <c r="R39" s="129" t="s">
        <v>928</v>
      </c>
      <c r="S39" s="83" t="s">
        <v>929</v>
      </c>
      <c r="T39" s="83" t="s">
        <v>930</v>
      </c>
      <c r="U39" s="83" t="s">
        <v>931</v>
      </c>
      <c r="V39" s="171" t="s">
        <v>932</v>
      </c>
      <c r="W39" s="73"/>
      <c r="X39" s="83" t="s">
        <v>742</v>
      </c>
      <c r="Y39" s="81" t="s">
        <v>933</v>
      </c>
      <c r="Z39" s="81" t="s">
        <v>934</v>
      </c>
      <c r="AA39" s="127" t="s">
        <v>743</v>
      </c>
    </row>
    <row r="40" spans="1:27" s="33" customFormat="1" ht="91.5">
      <c r="A40" s="27"/>
      <c r="B40" s="81" t="s">
        <v>651</v>
      </c>
      <c r="C40" s="81" t="s">
        <v>745</v>
      </c>
      <c r="D40" s="81" t="s">
        <v>652</v>
      </c>
      <c r="E40" s="127">
        <v>2</v>
      </c>
      <c r="F40" s="81" t="s">
        <v>922</v>
      </c>
      <c r="G40" s="81" t="s">
        <v>923</v>
      </c>
      <c r="H40" s="73" t="s">
        <v>924</v>
      </c>
      <c r="I40" s="74">
        <v>3</v>
      </c>
      <c r="J40" s="73" t="s">
        <v>925</v>
      </c>
      <c r="K40" s="74"/>
      <c r="L40" s="74"/>
      <c r="M40" s="81" t="s">
        <v>935</v>
      </c>
      <c r="N40" s="82" t="s">
        <v>936</v>
      </c>
      <c r="O40" s="74" t="s">
        <v>735</v>
      </c>
      <c r="P40" s="75"/>
      <c r="Q40" s="126" t="s">
        <v>804</v>
      </c>
      <c r="R40" s="81" t="s">
        <v>928</v>
      </c>
      <c r="S40" s="82" t="s">
        <v>852</v>
      </c>
      <c r="T40" s="82" t="s">
        <v>853</v>
      </c>
      <c r="U40" s="81" t="s">
        <v>937</v>
      </c>
      <c r="V40" s="229" t="s">
        <v>938</v>
      </c>
      <c r="W40" s="73"/>
      <c r="X40" s="81" t="s">
        <v>752</v>
      </c>
      <c r="Y40" s="81" t="s">
        <v>856</v>
      </c>
      <c r="Z40" s="81" t="s">
        <v>939</v>
      </c>
      <c r="AA40" s="127" t="s">
        <v>753</v>
      </c>
    </row>
    <row r="41" spans="1:27" s="33" customFormat="1" ht="244.5">
      <c r="A41" s="27"/>
      <c r="B41" s="81" t="s">
        <v>654</v>
      </c>
      <c r="C41" s="155" t="s">
        <v>755</v>
      </c>
      <c r="D41" s="81" t="s">
        <v>655</v>
      </c>
      <c r="E41" s="127">
        <v>2</v>
      </c>
      <c r="F41" s="81" t="s">
        <v>922</v>
      </c>
      <c r="G41" s="81" t="s">
        <v>923</v>
      </c>
      <c r="H41" s="73" t="s">
        <v>940</v>
      </c>
      <c r="I41" s="74">
        <v>3</v>
      </c>
      <c r="J41" s="73" t="s">
        <v>925</v>
      </c>
      <c r="K41" s="74"/>
      <c r="L41" s="74"/>
      <c r="M41" s="81" t="s">
        <v>941</v>
      </c>
      <c r="N41" s="82" t="s">
        <v>942</v>
      </c>
      <c r="O41" s="74" t="s">
        <v>735</v>
      </c>
      <c r="P41" s="75"/>
      <c r="Q41" s="126" t="s">
        <v>943</v>
      </c>
      <c r="R41" s="129" t="s">
        <v>928</v>
      </c>
      <c r="S41" s="82" t="s">
        <v>858</v>
      </c>
      <c r="T41" s="82" t="s">
        <v>859</v>
      </c>
      <c r="U41" s="82" t="s">
        <v>944</v>
      </c>
      <c r="V41" s="229" t="s">
        <v>945</v>
      </c>
      <c r="W41" s="73"/>
      <c r="X41" s="83" t="s">
        <v>763</v>
      </c>
      <c r="Y41" s="82" t="s">
        <v>946</v>
      </c>
      <c r="Z41" s="81" t="s">
        <v>947</v>
      </c>
      <c r="AA41" s="127" t="s">
        <v>764</v>
      </c>
    </row>
    <row r="42" spans="1:27" s="33" customFormat="1" ht="127.5" customHeight="1">
      <c r="A42" s="27"/>
      <c r="B42" s="73" t="s">
        <v>657</v>
      </c>
      <c r="C42" s="73" t="s">
        <v>766</v>
      </c>
      <c r="D42" s="73" t="s">
        <v>658</v>
      </c>
      <c r="E42" s="74">
        <v>2</v>
      </c>
      <c r="F42" s="190" t="s">
        <v>948</v>
      </c>
      <c r="G42" s="190" t="s">
        <v>949</v>
      </c>
      <c r="H42" s="73" t="s">
        <v>756</v>
      </c>
      <c r="I42" s="74">
        <v>3</v>
      </c>
      <c r="J42" s="73" t="s">
        <v>732</v>
      </c>
      <c r="K42" s="74">
        <v>15</v>
      </c>
      <c r="L42" s="74"/>
      <c r="M42" s="81" t="s">
        <v>950</v>
      </c>
      <c r="N42" s="81" t="s">
        <v>950</v>
      </c>
      <c r="O42" s="74" t="s">
        <v>735</v>
      </c>
      <c r="P42" s="75"/>
      <c r="Q42" s="189"/>
      <c r="R42" s="189"/>
      <c r="S42" s="82" t="s">
        <v>864</v>
      </c>
      <c r="T42" s="82" t="s">
        <v>865</v>
      </c>
      <c r="U42" s="82" t="s">
        <v>951</v>
      </c>
      <c r="V42" s="229" t="s">
        <v>952</v>
      </c>
      <c r="W42" s="73"/>
      <c r="X42" s="81" t="s">
        <v>773</v>
      </c>
      <c r="Y42" s="82" t="s">
        <v>868</v>
      </c>
      <c r="Z42" s="190" t="s">
        <v>953</v>
      </c>
      <c r="AA42" s="191" t="s">
        <v>954</v>
      </c>
    </row>
    <row r="43" spans="1:27" s="33" customFormat="1" ht="91.5">
      <c r="A43" s="27"/>
      <c r="B43" s="73" t="s">
        <v>657</v>
      </c>
      <c r="C43" s="73" t="s">
        <v>766</v>
      </c>
      <c r="D43" s="73" t="s">
        <v>658</v>
      </c>
      <c r="E43" s="127">
        <v>2</v>
      </c>
      <c r="F43" s="81" t="s">
        <v>922</v>
      </c>
      <c r="G43" s="81" t="s">
        <v>923</v>
      </c>
      <c r="H43" s="73" t="s">
        <v>955</v>
      </c>
      <c r="I43" s="74">
        <v>4</v>
      </c>
      <c r="J43" s="73" t="s">
        <v>925</v>
      </c>
      <c r="K43" s="74"/>
      <c r="L43" s="74"/>
      <c r="M43" s="81" t="s">
        <v>956</v>
      </c>
      <c r="N43" s="82" t="s">
        <v>957</v>
      </c>
      <c r="O43" s="74" t="s">
        <v>735</v>
      </c>
      <c r="P43" s="75"/>
      <c r="Q43" s="126" t="s">
        <v>958</v>
      </c>
      <c r="R43" s="129" t="s">
        <v>959</v>
      </c>
      <c r="S43" s="82" t="s">
        <v>864</v>
      </c>
      <c r="T43" s="82" t="s">
        <v>865</v>
      </c>
      <c r="U43" s="82" t="s">
        <v>960</v>
      </c>
      <c r="V43" s="229" t="s">
        <v>961</v>
      </c>
      <c r="W43" s="73"/>
      <c r="X43" s="81" t="s">
        <v>773</v>
      </c>
      <c r="Y43" s="82" t="s">
        <v>868</v>
      </c>
      <c r="Z43" s="81" t="s">
        <v>939</v>
      </c>
      <c r="AA43" s="127" t="s">
        <v>753</v>
      </c>
    </row>
    <row r="44" spans="1:27" s="33" customFormat="1" ht="76.5">
      <c r="A44" s="27"/>
      <c r="B44" s="153" t="s">
        <v>660</v>
      </c>
      <c r="C44" s="154" t="s">
        <v>775</v>
      </c>
      <c r="D44" s="154" t="s">
        <v>661</v>
      </c>
      <c r="E44" s="156">
        <v>2</v>
      </c>
      <c r="F44" s="81" t="s">
        <v>922</v>
      </c>
      <c r="G44" s="81" t="s">
        <v>923</v>
      </c>
      <c r="H44" s="73" t="s">
        <v>940</v>
      </c>
      <c r="I44" s="74">
        <v>3</v>
      </c>
      <c r="J44" s="73" t="s">
        <v>925</v>
      </c>
      <c r="K44" s="74"/>
      <c r="L44" s="74"/>
      <c r="M44" s="81" t="s">
        <v>941</v>
      </c>
      <c r="N44" s="82" t="s">
        <v>962</v>
      </c>
      <c r="O44" s="74" t="s">
        <v>735</v>
      </c>
      <c r="P44" s="75"/>
      <c r="Q44" s="126" t="s">
        <v>943</v>
      </c>
      <c r="R44" s="129" t="s">
        <v>928</v>
      </c>
      <c r="S44" s="82" t="s">
        <v>870</v>
      </c>
      <c r="T44" s="82" t="s">
        <v>871</v>
      </c>
      <c r="U44" s="82" t="s">
        <v>963</v>
      </c>
      <c r="V44" s="229" t="s">
        <v>964</v>
      </c>
      <c r="W44" s="73" t="s">
        <v>6</v>
      </c>
      <c r="X44" s="83" t="s">
        <v>780</v>
      </c>
      <c r="Y44" s="157" t="s">
        <v>965</v>
      </c>
      <c r="Z44" s="81" t="s">
        <v>966</v>
      </c>
      <c r="AA44" s="127" t="s">
        <v>781</v>
      </c>
    </row>
    <row r="45" spans="1:27" s="33" customFormat="1" ht="183">
      <c r="A45" s="27"/>
      <c r="B45" s="81" t="s">
        <v>663</v>
      </c>
      <c r="C45" s="81" t="s">
        <v>783</v>
      </c>
      <c r="D45" s="81" t="s">
        <v>664</v>
      </c>
      <c r="E45" s="127">
        <v>2</v>
      </c>
      <c r="F45" s="81" t="s">
        <v>922</v>
      </c>
      <c r="G45" s="81" t="s">
        <v>923</v>
      </c>
      <c r="H45" s="73" t="s">
        <v>955</v>
      </c>
      <c r="I45" s="74">
        <v>3</v>
      </c>
      <c r="J45" s="73" t="s">
        <v>925</v>
      </c>
      <c r="K45" s="74"/>
      <c r="L45" s="74"/>
      <c r="M45" s="81" t="s">
        <v>967</v>
      </c>
      <c r="N45" s="82" t="s">
        <v>968</v>
      </c>
      <c r="O45" s="74" t="s">
        <v>735</v>
      </c>
      <c r="P45" s="75"/>
      <c r="Q45" s="126" t="s">
        <v>804</v>
      </c>
      <c r="R45" s="129" t="s">
        <v>928</v>
      </c>
      <c r="S45" s="82" t="s">
        <v>876</v>
      </c>
      <c r="T45" s="82" t="s">
        <v>877</v>
      </c>
      <c r="U45" s="82" t="s">
        <v>969</v>
      </c>
      <c r="V45" s="229" t="s">
        <v>970</v>
      </c>
      <c r="W45" s="73"/>
      <c r="X45" s="81" t="s">
        <v>789</v>
      </c>
      <c r="Y45" s="81" t="s">
        <v>971</v>
      </c>
      <c r="Z45" s="81" t="s">
        <v>972</v>
      </c>
      <c r="AA45" s="127" t="s">
        <v>743</v>
      </c>
    </row>
    <row r="46" spans="1:27" s="33" customFormat="1" ht="76.5">
      <c r="A46" s="27"/>
      <c r="B46" s="81" t="s">
        <v>666</v>
      </c>
      <c r="C46" s="81" t="s">
        <v>792</v>
      </c>
      <c r="D46" s="81" t="s">
        <v>667</v>
      </c>
      <c r="E46" s="127">
        <v>2</v>
      </c>
      <c r="F46" s="81" t="s">
        <v>922</v>
      </c>
      <c r="G46" s="81" t="s">
        <v>923</v>
      </c>
      <c r="H46" s="73" t="s">
        <v>955</v>
      </c>
      <c r="I46" s="74">
        <v>3</v>
      </c>
      <c r="J46" s="73" t="s">
        <v>925</v>
      </c>
      <c r="K46" s="74"/>
      <c r="L46" s="74"/>
      <c r="M46" s="81" t="s">
        <v>956</v>
      </c>
      <c r="N46" s="82" t="s">
        <v>957</v>
      </c>
      <c r="O46" s="74" t="s">
        <v>735</v>
      </c>
      <c r="P46" s="75"/>
      <c r="Q46" s="126" t="s">
        <v>804</v>
      </c>
      <c r="R46" s="129" t="s">
        <v>928</v>
      </c>
      <c r="S46" s="82" t="s">
        <v>883</v>
      </c>
      <c r="T46" s="82" t="s">
        <v>884</v>
      </c>
      <c r="U46" s="82" t="s">
        <v>973</v>
      </c>
      <c r="V46" s="229" t="s">
        <v>974</v>
      </c>
      <c r="W46" s="73"/>
      <c r="X46" s="81" t="s">
        <v>797</v>
      </c>
      <c r="Y46" s="81" t="s">
        <v>887</v>
      </c>
      <c r="Z46" s="81" t="s">
        <v>975</v>
      </c>
      <c r="AA46" s="127" t="s">
        <v>781</v>
      </c>
    </row>
    <row r="47" spans="1:27" s="33" customFormat="1" ht="76.5">
      <c r="A47" s="27"/>
      <c r="B47" s="190" t="s">
        <v>669</v>
      </c>
      <c r="C47" s="190" t="s">
        <v>798</v>
      </c>
      <c r="D47" s="190" t="s">
        <v>670</v>
      </c>
      <c r="E47" s="127">
        <v>2</v>
      </c>
      <c r="F47" s="81" t="s">
        <v>922</v>
      </c>
      <c r="G47" s="81" t="s">
        <v>923</v>
      </c>
      <c r="H47" s="73" t="s">
        <v>955</v>
      </c>
      <c r="I47" s="74">
        <v>3</v>
      </c>
      <c r="J47" s="73" t="s">
        <v>925</v>
      </c>
      <c r="K47" s="74"/>
      <c r="L47" s="74"/>
      <c r="M47" s="81" t="s">
        <v>956</v>
      </c>
      <c r="N47" s="82" t="s">
        <v>957</v>
      </c>
      <c r="O47" s="74" t="s">
        <v>735</v>
      </c>
      <c r="P47" s="75"/>
      <c r="Q47" s="126" t="s">
        <v>804</v>
      </c>
      <c r="R47" s="129" t="s">
        <v>928</v>
      </c>
      <c r="S47" s="82" t="s">
        <v>793</v>
      </c>
      <c r="T47" s="82" t="s">
        <v>889</v>
      </c>
      <c r="U47" s="82" t="s">
        <v>976</v>
      </c>
      <c r="V47" s="229" t="s">
        <v>977</v>
      </c>
      <c r="W47" s="73"/>
      <c r="X47" s="81" t="s">
        <v>797</v>
      </c>
      <c r="Y47" s="81" t="s">
        <v>887</v>
      </c>
      <c r="Z47" s="81" t="s">
        <v>975</v>
      </c>
      <c r="AA47" s="127" t="s">
        <v>781</v>
      </c>
    </row>
    <row r="48" spans="1:27" s="33" customFormat="1" ht="60.75">
      <c r="A48" s="27"/>
      <c r="B48" s="81" t="s">
        <v>672</v>
      </c>
      <c r="C48" s="81" t="s">
        <v>803</v>
      </c>
      <c r="D48" s="155" t="s">
        <v>673</v>
      </c>
      <c r="E48" s="127">
        <v>2</v>
      </c>
      <c r="F48" s="81" t="s">
        <v>922</v>
      </c>
      <c r="G48" s="81" t="s">
        <v>923</v>
      </c>
      <c r="H48" s="73" t="s">
        <v>955</v>
      </c>
      <c r="I48" s="74">
        <v>3</v>
      </c>
      <c r="J48" s="73" t="s">
        <v>925</v>
      </c>
      <c r="K48" s="74"/>
      <c r="L48" s="74"/>
      <c r="M48" s="81" t="s">
        <v>978</v>
      </c>
      <c r="N48" s="82" t="s">
        <v>979</v>
      </c>
      <c r="O48" s="74" t="s">
        <v>735</v>
      </c>
      <c r="P48" s="75"/>
      <c r="Q48" s="81" t="s">
        <v>980</v>
      </c>
      <c r="R48" s="81" t="s">
        <v>981</v>
      </c>
      <c r="S48" s="83" t="s">
        <v>892</v>
      </c>
      <c r="T48" s="83" t="s">
        <v>893</v>
      </c>
      <c r="U48" s="82" t="s">
        <v>982</v>
      </c>
      <c r="V48" s="229" t="s">
        <v>983</v>
      </c>
      <c r="W48" s="73"/>
      <c r="X48" s="81" t="s">
        <v>810</v>
      </c>
      <c r="Y48" s="81" t="s">
        <v>984</v>
      </c>
      <c r="Z48" s="81" t="s">
        <v>985</v>
      </c>
      <c r="AA48" s="74" t="s">
        <v>781</v>
      </c>
    </row>
    <row r="49" spans="1:27" s="33" customFormat="1" ht="91.5">
      <c r="A49" s="27"/>
      <c r="B49" s="81" t="s">
        <v>675</v>
      </c>
      <c r="C49" s="81" t="s">
        <v>812</v>
      </c>
      <c r="D49" s="81" t="s">
        <v>676</v>
      </c>
      <c r="E49" s="127">
        <v>2</v>
      </c>
      <c r="F49" s="81" t="s">
        <v>922</v>
      </c>
      <c r="G49" s="81" t="s">
        <v>923</v>
      </c>
      <c r="H49" s="73" t="s">
        <v>955</v>
      </c>
      <c r="I49" s="74">
        <v>3</v>
      </c>
      <c r="J49" s="73" t="s">
        <v>925</v>
      </c>
      <c r="K49" s="74"/>
      <c r="L49" s="74"/>
      <c r="M49" s="81" t="s">
        <v>956</v>
      </c>
      <c r="N49" s="82" t="s">
        <v>957</v>
      </c>
      <c r="O49" s="74" t="s">
        <v>735</v>
      </c>
      <c r="P49" s="75"/>
      <c r="Q49" s="126" t="s">
        <v>804</v>
      </c>
      <c r="R49" s="129" t="s">
        <v>928</v>
      </c>
      <c r="S49" s="82" t="s">
        <v>864</v>
      </c>
      <c r="T49" s="82" t="s">
        <v>865</v>
      </c>
      <c r="U49" s="82" t="s">
        <v>960</v>
      </c>
      <c r="V49" s="229" t="s">
        <v>986</v>
      </c>
      <c r="W49" s="73"/>
      <c r="X49" s="81" t="s">
        <v>773</v>
      </c>
      <c r="Y49" s="81" t="s">
        <v>868</v>
      </c>
      <c r="Z49" s="81" t="s">
        <v>939</v>
      </c>
      <c r="AA49" s="127" t="s">
        <v>753</v>
      </c>
    </row>
    <row r="50" spans="1:27" s="33" customFormat="1" ht="259.5">
      <c r="A50" s="27"/>
      <c r="B50" s="81" t="s">
        <v>678</v>
      </c>
      <c r="C50" s="81" t="s">
        <v>814</v>
      </c>
      <c r="D50" s="81" t="s">
        <v>679</v>
      </c>
      <c r="E50" s="127">
        <v>2</v>
      </c>
      <c r="F50" s="81" t="s">
        <v>922</v>
      </c>
      <c r="G50" s="81" t="s">
        <v>923</v>
      </c>
      <c r="H50" s="73" t="s">
        <v>955</v>
      </c>
      <c r="I50" s="74">
        <v>3</v>
      </c>
      <c r="J50" s="73" t="s">
        <v>925</v>
      </c>
      <c r="K50" s="74"/>
      <c r="L50" s="74"/>
      <c r="M50" s="81" t="s">
        <v>978</v>
      </c>
      <c r="N50" s="82" t="s">
        <v>987</v>
      </c>
      <c r="O50" s="74" t="s">
        <v>735</v>
      </c>
      <c r="P50" s="75"/>
      <c r="Q50" s="126" t="s">
        <v>784</v>
      </c>
      <c r="R50" s="129"/>
      <c r="S50" s="81" t="s">
        <v>988</v>
      </c>
      <c r="T50" s="81" t="s">
        <v>989</v>
      </c>
      <c r="U50" s="81" t="s">
        <v>990</v>
      </c>
      <c r="V50" s="250" t="s">
        <v>991</v>
      </c>
      <c r="W50" s="81"/>
      <c r="X50" s="81" t="s">
        <v>821</v>
      </c>
      <c r="Y50" s="81" t="s">
        <v>992</v>
      </c>
      <c r="Z50" s="81" t="s">
        <v>993</v>
      </c>
      <c r="AA50" s="127" t="s">
        <v>743</v>
      </c>
    </row>
    <row r="51" spans="1:27" s="33" customFormat="1" ht="91.5">
      <c r="A51" s="27"/>
      <c r="B51" s="82" t="s">
        <v>681</v>
      </c>
      <c r="C51" s="82" t="s">
        <v>822</v>
      </c>
      <c r="D51" s="82" t="s">
        <v>682</v>
      </c>
      <c r="E51" s="127">
        <v>2</v>
      </c>
      <c r="F51" s="81" t="s">
        <v>922</v>
      </c>
      <c r="G51" s="81" t="s">
        <v>923</v>
      </c>
      <c r="H51" s="73" t="s">
        <v>955</v>
      </c>
      <c r="I51" s="74">
        <v>3</v>
      </c>
      <c r="J51" s="73" t="s">
        <v>925</v>
      </c>
      <c r="K51" s="74"/>
      <c r="L51" s="74"/>
      <c r="M51" s="81" t="s">
        <v>956</v>
      </c>
      <c r="N51" s="82" t="s">
        <v>957</v>
      </c>
      <c r="O51" s="74" t="s">
        <v>735</v>
      </c>
      <c r="P51" s="75"/>
      <c r="Q51" s="126" t="s">
        <v>804</v>
      </c>
      <c r="R51" s="129" t="s">
        <v>928</v>
      </c>
      <c r="S51" s="82" t="s">
        <v>864</v>
      </c>
      <c r="T51" s="82" t="s">
        <v>865</v>
      </c>
      <c r="U51" s="82" t="s">
        <v>960</v>
      </c>
      <c r="V51" s="229" t="s">
        <v>994</v>
      </c>
      <c r="W51" s="73"/>
      <c r="X51" s="81" t="s">
        <v>773</v>
      </c>
      <c r="Y51" s="81" t="s">
        <v>868</v>
      </c>
      <c r="Z51" s="81" t="s">
        <v>939</v>
      </c>
      <c r="AA51" s="127" t="s">
        <v>753</v>
      </c>
    </row>
    <row r="52" spans="1:27" s="33" customFormat="1" ht="76.5">
      <c r="A52" s="27"/>
      <c r="B52" s="81" t="s">
        <v>684</v>
      </c>
      <c r="C52" s="81" t="s">
        <v>824</v>
      </c>
      <c r="D52" s="81" t="s">
        <v>685</v>
      </c>
      <c r="E52" s="156">
        <v>2</v>
      </c>
      <c r="F52" s="81" t="s">
        <v>922</v>
      </c>
      <c r="G52" s="81" t="s">
        <v>923</v>
      </c>
      <c r="H52" s="73" t="s">
        <v>940</v>
      </c>
      <c r="I52" s="74">
        <v>3</v>
      </c>
      <c r="J52" s="73" t="s">
        <v>925</v>
      </c>
      <c r="K52" s="74"/>
      <c r="L52" s="74"/>
      <c r="M52" s="81" t="s">
        <v>941</v>
      </c>
      <c r="N52" s="82" t="s">
        <v>962</v>
      </c>
      <c r="O52" s="74" t="s">
        <v>735</v>
      </c>
      <c r="P52" s="75"/>
      <c r="Q52" s="126" t="s">
        <v>943</v>
      </c>
      <c r="R52" s="129" t="s">
        <v>928</v>
      </c>
      <c r="S52" s="82" t="s">
        <v>870</v>
      </c>
      <c r="T52" s="82" t="s">
        <v>871</v>
      </c>
      <c r="U52" s="82" t="s">
        <v>963</v>
      </c>
      <c r="V52" s="229" t="s">
        <v>995</v>
      </c>
      <c r="W52" s="73"/>
      <c r="X52" s="83" t="s">
        <v>780</v>
      </c>
      <c r="Y52" s="157" t="s">
        <v>965</v>
      </c>
      <c r="Z52" s="81" t="s">
        <v>966</v>
      </c>
      <c r="AA52" s="127" t="s">
        <v>781</v>
      </c>
    </row>
    <row r="53" spans="1:27" s="33" customFormat="1" ht="30.75">
      <c r="A53" s="27"/>
      <c r="B53" s="75" t="s">
        <v>687</v>
      </c>
      <c r="C53" s="81" t="s">
        <v>826</v>
      </c>
      <c r="D53" s="81" t="s">
        <v>688</v>
      </c>
      <c r="E53" s="74">
        <v>2</v>
      </c>
      <c r="F53" s="190" t="s">
        <v>996</v>
      </c>
      <c r="G53" s="190" t="s">
        <v>997</v>
      </c>
      <c r="H53" s="73" t="s">
        <v>998</v>
      </c>
      <c r="I53" s="74">
        <v>3</v>
      </c>
      <c r="J53" s="73" t="s">
        <v>732</v>
      </c>
      <c r="K53" s="74">
        <v>10</v>
      </c>
      <c r="L53" s="74"/>
      <c r="M53" s="73" t="s">
        <v>999</v>
      </c>
      <c r="N53" s="73" t="s">
        <v>1000</v>
      </c>
      <c r="O53" s="207" t="s">
        <v>1001</v>
      </c>
      <c r="P53" s="75"/>
      <c r="Q53" s="189"/>
      <c r="R53" s="189"/>
      <c r="S53" s="82" t="s">
        <v>910</v>
      </c>
      <c r="T53" s="82" t="s">
        <v>911</v>
      </c>
      <c r="U53" s="82" t="s">
        <v>1002</v>
      </c>
      <c r="V53" s="229" t="s">
        <v>1003</v>
      </c>
      <c r="W53" s="73"/>
      <c r="X53" s="82" t="s">
        <v>832</v>
      </c>
      <c r="Y53" s="82" t="s">
        <v>914</v>
      </c>
      <c r="Z53" s="190" t="s">
        <v>1004</v>
      </c>
      <c r="AA53" s="127" t="s">
        <v>781</v>
      </c>
    </row>
    <row r="54" spans="1:27" s="33" customFormat="1" ht="381.75">
      <c r="A54" s="27"/>
      <c r="B54" s="81" t="s">
        <v>690</v>
      </c>
      <c r="C54" s="81" t="s">
        <v>833</v>
      </c>
      <c r="D54" s="81" t="s">
        <v>691</v>
      </c>
      <c r="E54" s="127">
        <v>2</v>
      </c>
      <c r="F54" s="81" t="s">
        <v>922</v>
      </c>
      <c r="G54" s="81" t="s">
        <v>923</v>
      </c>
      <c r="H54" s="73" t="s">
        <v>955</v>
      </c>
      <c r="I54" s="74">
        <v>3</v>
      </c>
      <c r="J54" s="73" t="s">
        <v>925</v>
      </c>
      <c r="K54" s="74"/>
      <c r="L54" s="74"/>
      <c r="M54" s="81" t="s">
        <v>1005</v>
      </c>
      <c r="N54" s="82" t="s">
        <v>1006</v>
      </c>
      <c r="O54" s="74" t="s">
        <v>735</v>
      </c>
      <c r="P54" s="75"/>
      <c r="Q54" s="129" t="s">
        <v>804</v>
      </c>
      <c r="R54" s="129" t="s">
        <v>928</v>
      </c>
      <c r="S54" s="82" t="s">
        <v>1007</v>
      </c>
      <c r="T54" s="82" t="s">
        <v>917</v>
      </c>
      <c r="U54" s="82" t="s">
        <v>1008</v>
      </c>
      <c r="V54" s="229" t="s">
        <v>1009</v>
      </c>
      <c r="W54" s="73"/>
      <c r="X54" s="192" t="s">
        <v>838</v>
      </c>
      <c r="Y54" s="81" t="s">
        <v>920</v>
      </c>
      <c r="Z54" s="81" t="s">
        <v>1010</v>
      </c>
      <c r="AA54" s="127" t="s">
        <v>839</v>
      </c>
    </row>
    <row r="55" spans="1:27" s="33" customFormat="1" ht="198">
      <c r="A55" s="27"/>
      <c r="B55" s="81" t="s">
        <v>648</v>
      </c>
      <c r="C55" s="81" t="s">
        <v>728</v>
      </c>
      <c r="D55" s="81" t="s">
        <v>649</v>
      </c>
      <c r="E55" s="127">
        <v>2</v>
      </c>
      <c r="F55" s="81" t="s">
        <v>1011</v>
      </c>
      <c r="G55" s="81" t="s">
        <v>1012</v>
      </c>
      <c r="H55" s="73" t="s">
        <v>924</v>
      </c>
      <c r="I55" s="74">
        <v>4</v>
      </c>
      <c r="J55" s="73" t="s">
        <v>925</v>
      </c>
      <c r="K55" s="74"/>
      <c r="L55" s="74"/>
      <c r="M55" s="81" t="s">
        <v>1013</v>
      </c>
      <c r="N55" s="82" t="s">
        <v>1014</v>
      </c>
      <c r="O55" s="74" t="s">
        <v>735</v>
      </c>
      <c r="P55" s="75"/>
      <c r="Q55" s="126" t="s">
        <v>804</v>
      </c>
      <c r="R55" s="129" t="s">
        <v>928</v>
      </c>
      <c r="S55" s="83" t="s">
        <v>929</v>
      </c>
      <c r="T55" s="83" t="s">
        <v>930</v>
      </c>
      <c r="U55" s="83" t="s">
        <v>1015</v>
      </c>
      <c r="V55" s="171" t="s">
        <v>1016</v>
      </c>
      <c r="W55" s="73"/>
      <c r="X55" s="83" t="s">
        <v>742</v>
      </c>
      <c r="Y55" s="155" t="s">
        <v>1017</v>
      </c>
      <c r="Z55" s="155" t="s">
        <v>1018</v>
      </c>
      <c r="AA55" s="127" t="s">
        <v>1019</v>
      </c>
    </row>
    <row r="56" spans="1:27" s="33" customFormat="1" ht="91.5">
      <c r="A56" s="27"/>
      <c r="B56" s="81" t="s">
        <v>651</v>
      </c>
      <c r="C56" s="81" t="s">
        <v>745</v>
      </c>
      <c r="D56" s="81" t="s">
        <v>652</v>
      </c>
      <c r="E56" s="127">
        <v>2</v>
      </c>
      <c r="F56" s="81" t="s">
        <v>1011</v>
      </c>
      <c r="G56" s="81" t="s">
        <v>1012</v>
      </c>
      <c r="H56" s="73" t="s">
        <v>924</v>
      </c>
      <c r="I56" s="74">
        <v>4</v>
      </c>
      <c r="J56" s="73" t="s">
        <v>925</v>
      </c>
      <c r="K56" s="74"/>
      <c r="L56" s="74"/>
      <c r="M56" s="81" t="s">
        <v>1013</v>
      </c>
      <c r="N56" s="82" t="s">
        <v>1014</v>
      </c>
      <c r="O56" s="74" t="s">
        <v>735</v>
      </c>
      <c r="P56" s="75"/>
      <c r="Q56" s="126" t="s">
        <v>804</v>
      </c>
      <c r="R56" s="81" t="s">
        <v>928</v>
      </c>
      <c r="S56" s="82" t="s">
        <v>852</v>
      </c>
      <c r="T56" s="82" t="s">
        <v>853</v>
      </c>
      <c r="U56" s="81" t="s">
        <v>1020</v>
      </c>
      <c r="V56" s="229" t="s">
        <v>1021</v>
      </c>
      <c r="W56" s="73"/>
      <c r="X56" s="81" t="s">
        <v>752</v>
      </c>
      <c r="Y56" s="81" t="s">
        <v>856</v>
      </c>
      <c r="Z56" s="81" t="s">
        <v>1022</v>
      </c>
      <c r="AA56" s="127" t="s">
        <v>753</v>
      </c>
    </row>
    <row r="57" spans="1:27" s="33" customFormat="1" ht="229.5">
      <c r="A57" s="27"/>
      <c r="B57" s="81" t="s">
        <v>654</v>
      </c>
      <c r="C57" s="155" t="s">
        <v>755</v>
      </c>
      <c r="D57" s="81" t="s">
        <v>655</v>
      </c>
      <c r="E57" s="127">
        <v>2</v>
      </c>
      <c r="F57" s="81" t="s">
        <v>1011</v>
      </c>
      <c r="G57" s="81" t="s">
        <v>1012</v>
      </c>
      <c r="H57" s="73" t="s">
        <v>955</v>
      </c>
      <c r="I57" s="74">
        <v>4</v>
      </c>
      <c r="J57" s="73" t="s">
        <v>925</v>
      </c>
      <c r="K57" s="74"/>
      <c r="L57" s="74"/>
      <c r="M57" s="81" t="s">
        <v>1023</v>
      </c>
      <c r="N57" s="82" t="s">
        <v>1024</v>
      </c>
      <c r="O57" s="74" t="s">
        <v>735</v>
      </c>
      <c r="P57" s="75"/>
      <c r="Q57" s="126" t="s">
        <v>943</v>
      </c>
      <c r="R57" s="129" t="s">
        <v>928</v>
      </c>
      <c r="S57" s="82" t="s">
        <v>858</v>
      </c>
      <c r="T57" s="82" t="s">
        <v>859</v>
      </c>
      <c r="U57" s="82" t="s">
        <v>1025</v>
      </c>
      <c r="V57" s="229" t="s">
        <v>1026</v>
      </c>
      <c r="W57" s="73"/>
      <c r="X57" s="83" t="s">
        <v>763</v>
      </c>
      <c r="Y57" s="82" t="s">
        <v>946</v>
      </c>
      <c r="Z57" s="81" t="s">
        <v>1027</v>
      </c>
      <c r="AA57" s="127" t="s">
        <v>764</v>
      </c>
    </row>
    <row r="58" spans="1:27" s="33" customFormat="1" ht="91.5">
      <c r="A58" s="27"/>
      <c r="B58" s="73" t="s">
        <v>657</v>
      </c>
      <c r="C58" s="73" t="s">
        <v>766</v>
      </c>
      <c r="D58" s="73" t="s">
        <v>658</v>
      </c>
      <c r="E58" s="127">
        <v>2</v>
      </c>
      <c r="F58" s="81" t="s">
        <v>1011</v>
      </c>
      <c r="G58" s="81" t="s">
        <v>1012</v>
      </c>
      <c r="H58" s="73" t="s">
        <v>955</v>
      </c>
      <c r="I58" s="74">
        <v>5</v>
      </c>
      <c r="J58" s="73" t="s">
        <v>925</v>
      </c>
      <c r="K58" s="74"/>
      <c r="L58" s="74"/>
      <c r="M58" s="81" t="s">
        <v>1013</v>
      </c>
      <c r="N58" s="82" t="s">
        <v>1028</v>
      </c>
      <c r="O58" s="74" t="s">
        <v>735</v>
      </c>
      <c r="P58" s="75"/>
      <c r="Q58" s="189"/>
      <c r="R58" s="189"/>
      <c r="S58" s="82" t="s">
        <v>864</v>
      </c>
      <c r="T58" s="82" t="s">
        <v>865</v>
      </c>
      <c r="U58" s="82" t="s">
        <v>1029</v>
      </c>
      <c r="V58" s="229" t="s">
        <v>1030</v>
      </c>
      <c r="W58" s="73"/>
      <c r="X58" s="81" t="s">
        <v>773</v>
      </c>
      <c r="Y58" s="82" t="s">
        <v>868</v>
      </c>
      <c r="Z58" s="190" t="s">
        <v>1031</v>
      </c>
      <c r="AA58" s="191" t="s">
        <v>1032</v>
      </c>
    </row>
    <row r="59" spans="1:27" s="33" customFormat="1" ht="60.75">
      <c r="A59" s="27"/>
      <c r="B59" s="153" t="s">
        <v>660</v>
      </c>
      <c r="C59" s="154" t="s">
        <v>775</v>
      </c>
      <c r="D59" s="154" t="s">
        <v>661</v>
      </c>
      <c r="E59" s="156">
        <v>2</v>
      </c>
      <c r="F59" s="81" t="s">
        <v>1011</v>
      </c>
      <c r="G59" s="81" t="s">
        <v>1012</v>
      </c>
      <c r="H59" s="73" t="s">
        <v>955</v>
      </c>
      <c r="I59" s="74">
        <v>4</v>
      </c>
      <c r="J59" s="73" t="s">
        <v>925</v>
      </c>
      <c r="K59" s="74"/>
      <c r="L59" s="74"/>
      <c r="M59" s="81" t="s">
        <v>1023</v>
      </c>
      <c r="N59" s="82" t="s">
        <v>1033</v>
      </c>
      <c r="O59" s="74" t="s">
        <v>735</v>
      </c>
      <c r="P59" s="75"/>
      <c r="Q59" s="126" t="s">
        <v>943</v>
      </c>
      <c r="R59" s="129" t="s">
        <v>928</v>
      </c>
      <c r="S59" s="82" t="s">
        <v>870</v>
      </c>
      <c r="T59" s="82" t="s">
        <v>871</v>
      </c>
      <c r="U59" s="82" t="s">
        <v>1034</v>
      </c>
      <c r="V59" s="229" t="s">
        <v>1035</v>
      </c>
      <c r="W59" s="73"/>
      <c r="X59" s="83" t="s">
        <v>780</v>
      </c>
      <c r="Y59" s="157" t="s">
        <v>965</v>
      </c>
      <c r="Z59" s="81" t="s">
        <v>1036</v>
      </c>
      <c r="AA59" s="127" t="s">
        <v>781</v>
      </c>
    </row>
    <row r="60" spans="1:27" s="33" customFormat="1" ht="183">
      <c r="A60" s="27"/>
      <c r="B60" s="81" t="s">
        <v>663</v>
      </c>
      <c r="C60" s="81" t="s">
        <v>783</v>
      </c>
      <c r="D60" s="81" t="s">
        <v>664</v>
      </c>
      <c r="E60" s="127">
        <v>2</v>
      </c>
      <c r="F60" s="81" t="s">
        <v>1011</v>
      </c>
      <c r="G60" s="81" t="s">
        <v>1012</v>
      </c>
      <c r="H60" s="73" t="s">
        <v>955</v>
      </c>
      <c r="I60" s="74">
        <v>4</v>
      </c>
      <c r="J60" s="73" t="s">
        <v>925</v>
      </c>
      <c r="K60" s="74"/>
      <c r="L60" s="74"/>
      <c r="M60" s="81" t="s">
        <v>1037</v>
      </c>
      <c r="N60" s="82" t="s">
        <v>1014</v>
      </c>
      <c r="O60" s="74" t="s">
        <v>735</v>
      </c>
      <c r="P60" s="75"/>
      <c r="Q60" s="126" t="s">
        <v>804</v>
      </c>
      <c r="R60" s="129" t="s">
        <v>928</v>
      </c>
      <c r="S60" s="82" t="s">
        <v>876</v>
      </c>
      <c r="T60" s="82" t="s">
        <v>877</v>
      </c>
      <c r="U60" s="82" t="s">
        <v>1038</v>
      </c>
      <c r="V60" s="229" t="s">
        <v>1039</v>
      </c>
      <c r="W60" s="73"/>
      <c r="X60" s="81" t="s">
        <v>789</v>
      </c>
      <c r="Y60" s="155" t="s">
        <v>1017</v>
      </c>
      <c r="Z60" s="155" t="s">
        <v>1018</v>
      </c>
      <c r="AA60" s="127" t="s">
        <v>1019</v>
      </c>
    </row>
    <row r="61" spans="1:27" s="33" customFormat="1" ht="30.75">
      <c r="A61" s="27"/>
      <c r="B61" s="81" t="s">
        <v>666</v>
      </c>
      <c r="C61" s="81" t="s">
        <v>792</v>
      </c>
      <c r="D61" s="81" t="s">
        <v>667</v>
      </c>
      <c r="E61" s="74">
        <v>2</v>
      </c>
      <c r="F61" s="81" t="s">
        <v>1011</v>
      </c>
      <c r="G61" s="81" t="s">
        <v>1012</v>
      </c>
      <c r="H61" s="73" t="s">
        <v>955</v>
      </c>
      <c r="I61" s="74">
        <v>4</v>
      </c>
      <c r="J61" s="73" t="s">
        <v>925</v>
      </c>
      <c r="K61" s="74"/>
      <c r="L61" s="74"/>
      <c r="M61" s="81" t="s">
        <v>1013</v>
      </c>
      <c r="N61" s="82" t="s">
        <v>1014</v>
      </c>
      <c r="O61" s="74" t="s">
        <v>735</v>
      </c>
      <c r="P61" s="75"/>
      <c r="Q61" s="189"/>
      <c r="R61" s="189"/>
      <c r="S61" s="82" t="s">
        <v>883</v>
      </c>
      <c r="T61" s="82" t="s">
        <v>884</v>
      </c>
      <c r="U61" s="82" t="s">
        <v>753</v>
      </c>
      <c r="V61" s="229" t="s">
        <v>1040</v>
      </c>
      <c r="W61" s="73"/>
      <c r="X61" s="81" t="s">
        <v>797</v>
      </c>
      <c r="Y61" s="81" t="s">
        <v>887</v>
      </c>
      <c r="Z61" s="190" t="s">
        <v>781</v>
      </c>
      <c r="AA61" s="191" t="s">
        <v>1041</v>
      </c>
    </row>
    <row r="62" spans="1:27" s="33" customFormat="1" ht="45.75">
      <c r="A62" s="27"/>
      <c r="B62" s="190" t="s">
        <v>669</v>
      </c>
      <c r="C62" s="190" t="s">
        <v>798</v>
      </c>
      <c r="D62" s="190" t="s">
        <v>670</v>
      </c>
      <c r="E62" s="74">
        <v>2</v>
      </c>
      <c r="F62" s="81" t="s">
        <v>1011</v>
      </c>
      <c r="G62" s="81" t="s">
        <v>1012</v>
      </c>
      <c r="H62" s="73" t="s">
        <v>955</v>
      </c>
      <c r="I62" s="74">
        <v>4</v>
      </c>
      <c r="J62" s="73" t="s">
        <v>925</v>
      </c>
      <c r="K62" s="74"/>
      <c r="L62" s="74"/>
      <c r="M62" s="81" t="s">
        <v>1013</v>
      </c>
      <c r="N62" s="82" t="s">
        <v>1014</v>
      </c>
      <c r="O62" s="74" t="s">
        <v>735</v>
      </c>
      <c r="P62" s="75"/>
      <c r="Q62" s="189"/>
      <c r="R62" s="189"/>
      <c r="S62" s="169" t="s">
        <v>793</v>
      </c>
      <c r="T62" s="169" t="s">
        <v>889</v>
      </c>
      <c r="U62" s="169" t="s">
        <v>743</v>
      </c>
      <c r="V62" s="229" t="s">
        <v>1042</v>
      </c>
      <c r="W62" s="73"/>
      <c r="X62" s="81" t="s">
        <v>797</v>
      </c>
      <c r="Y62" s="81" t="s">
        <v>887</v>
      </c>
      <c r="Z62" s="190" t="s">
        <v>781</v>
      </c>
      <c r="AA62" s="191" t="s">
        <v>1041</v>
      </c>
    </row>
    <row r="63" spans="1:27" s="33" customFormat="1" ht="60.75">
      <c r="A63" s="27"/>
      <c r="B63" s="81" t="s">
        <v>672</v>
      </c>
      <c r="C63" s="81" t="s">
        <v>803</v>
      </c>
      <c r="D63" s="155" t="s">
        <v>673</v>
      </c>
      <c r="E63" s="127">
        <v>2</v>
      </c>
      <c r="F63" s="81" t="s">
        <v>1011</v>
      </c>
      <c r="G63" s="81" t="s">
        <v>1012</v>
      </c>
      <c r="H63" s="73" t="s">
        <v>955</v>
      </c>
      <c r="I63" s="74">
        <v>4</v>
      </c>
      <c r="J63" s="73" t="s">
        <v>925</v>
      </c>
      <c r="K63" s="74"/>
      <c r="L63" s="74"/>
      <c r="M63" s="81" t="s">
        <v>1013</v>
      </c>
      <c r="N63" s="82" t="s">
        <v>1014</v>
      </c>
      <c r="O63" s="74" t="s">
        <v>735</v>
      </c>
      <c r="P63" s="75"/>
      <c r="Q63" s="189"/>
      <c r="R63" s="189"/>
      <c r="S63" s="83" t="s">
        <v>892</v>
      </c>
      <c r="T63" s="83" t="s">
        <v>893</v>
      </c>
      <c r="U63" s="82" t="s">
        <v>1043</v>
      </c>
      <c r="V63" s="229" t="s">
        <v>1044</v>
      </c>
      <c r="W63" s="73"/>
      <c r="X63" s="81" t="s">
        <v>810</v>
      </c>
      <c r="Y63" s="81" t="s">
        <v>984</v>
      </c>
      <c r="Z63" s="190" t="s">
        <v>1043</v>
      </c>
      <c r="AA63" s="252" t="s">
        <v>781</v>
      </c>
    </row>
    <row r="64" spans="1:27" s="33" customFormat="1" ht="91.5">
      <c r="A64" s="27"/>
      <c r="B64" s="81" t="s">
        <v>675</v>
      </c>
      <c r="C64" s="81" t="s">
        <v>812</v>
      </c>
      <c r="D64" s="81" t="s">
        <v>676</v>
      </c>
      <c r="E64" s="74">
        <v>2</v>
      </c>
      <c r="F64" s="81" t="s">
        <v>1011</v>
      </c>
      <c r="G64" s="81" t="s">
        <v>1012</v>
      </c>
      <c r="H64" s="73" t="s">
        <v>955</v>
      </c>
      <c r="I64" s="74">
        <v>4</v>
      </c>
      <c r="J64" s="73" t="s">
        <v>925</v>
      </c>
      <c r="K64" s="74"/>
      <c r="L64" s="74"/>
      <c r="M64" s="81" t="s">
        <v>1045</v>
      </c>
      <c r="N64" s="82" t="s">
        <v>1014</v>
      </c>
      <c r="O64" s="74" t="s">
        <v>735</v>
      </c>
      <c r="P64" s="75"/>
      <c r="Q64" s="82" t="s">
        <v>804</v>
      </c>
      <c r="R64" s="82" t="s">
        <v>928</v>
      </c>
      <c r="S64" s="82" t="s">
        <v>864</v>
      </c>
      <c r="T64" s="82" t="s">
        <v>865</v>
      </c>
      <c r="U64" s="82" t="s">
        <v>1029</v>
      </c>
      <c r="V64" s="229" t="s">
        <v>1046</v>
      </c>
      <c r="W64" s="73"/>
      <c r="X64" s="81" t="s">
        <v>773</v>
      </c>
      <c r="Y64" s="81" t="s">
        <v>1047</v>
      </c>
      <c r="Z64" s="82" t="s">
        <v>1031</v>
      </c>
      <c r="AA64" s="127" t="s">
        <v>1032</v>
      </c>
    </row>
    <row r="65" spans="1:27" s="33" customFormat="1" ht="244.5">
      <c r="A65" s="27"/>
      <c r="B65" s="81" t="s">
        <v>678</v>
      </c>
      <c r="C65" s="81" t="s">
        <v>814</v>
      </c>
      <c r="D65" s="81" t="s">
        <v>679</v>
      </c>
      <c r="E65" s="127">
        <v>2</v>
      </c>
      <c r="F65" s="81" t="s">
        <v>1011</v>
      </c>
      <c r="G65" s="81" t="s">
        <v>1012</v>
      </c>
      <c r="H65" s="73" t="s">
        <v>955</v>
      </c>
      <c r="I65" s="74">
        <v>4</v>
      </c>
      <c r="J65" s="73" t="s">
        <v>925</v>
      </c>
      <c r="K65" s="74"/>
      <c r="L65" s="74"/>
      <c r="M65" s="81" t="s">
        <v>1013</v>
      </c>
      <c r="N65" s="82" t="s">
        <v>1014</v>
      </c>
      <c r="O65" s="74" t="s">
        <v>735</v>
      </c>
      <c r="P65" s="75"/>
      <c r="Q65" s="126" t="s">
        <v>784</v>
      </c>
      <c r="R65" s="129" t="s">
        <v>1048</v>
      </c>
      <c r="S65" s="81" t="s">
        <v>988</v>
      </c>
      <c r="T65" s="81" t="s">
        <v>989</v>
      </c>
      <c r="U65" s="81" t="s">
        <v>1049</v>
      </c>
      <c r="V65" s="171" t="s">
        <v>1050</v>
      </c>
      <c r="W65" s="73"/>
      <c r="X65" s="81" t="s">
        <v>821</v>
      </c>
      <c r="Y65" s="155" t="s">
        <v>1051</v>
      </c>
      <c r="Z65" s="155" t="s">
        <v>1052</v>
      </c>
      <c r="AA65" s="127" t="s">
        <v>1053</v>
      </c>
    </row>
    <row r="66" spans="1:27" s="33" customFormat="1" ht="91.5">
      <c r="A66" s="27"/>
      <c r="B66" s="82" t="s">
        <v>681</v>
      </c>
      <c r="C66" s="82" t="s">
        <v>822</v>
      </c>
      <c r="D66" s="82" t="s">
        <v>682</v>
      </c>
      <c r="E66" s="74">
        <v>2</v>
      </c>
      <c r="F66" s="81" t="s">
        <v>1011</v>
      </c>
      <c r="G66" s="81" t="s">
        <v>1012</v>
      </c>
      <c r="H66" s="73" t="s">
        <v>955</v>
      </c>
      <c r="I66" s="74">
        <v>4</v>
      </c>
      <c r="J66" s="73" t="s">
        <v>925</v>
      </c>
      <c r="K66" s="74"/>
      <c r="L66" s="74"/>
      <c r="M66" s="81" t="s">
        <v>1045</v>
      </c>
      <c r="N66" s="82" t="s">
        <v>1014</v>
      </c>
      <c r="O66" s="74" t="s">
        <v>735</v>
      </c>
      <c r="P66" s="75"/>
      <c r="Q66" s="126" t="s">
        <v>804</v>
      </c>
      <c r="R66" s="82" t="s">
        <v>928</v>
      </c>
      <c r="S66" s="82" t="s">
        <v>864</v>
      </c>
      <c r="T66" s="82" t="s">
        <v>865</v>
      </c>
      <c r="U66" s="82" t="s">
        <v>1029</v>
      </c>
      <c r="V66" s="229" t="s">
        <v>1054</v>
      </c>
      <c r="W66" s="73"/>
      <c r="X66" s="81" t="s">
        <v>773</v>
      </c>
      <c r="Y66" s="81" t="s">
        <v>1047</v>
      </c>
      <c r="Z66" s="82" t="s">
        <v>1031</v>
      </c>
      <c r="AA66" s="127" t="s">
        <v>1032</v>
      </c>
    </row>
    <row r="67" spans="1:27" s="33" customFormat="1" ht="45.75">
      <c r="A67" s="27"/>
      <c r="B67" s="81" t="s">
        <v>684</v>
      </c>
      <c r="C67" s="81" t="s">
        <v>824</v>
      </c>
      <c r="D67" s="81" t="s">
        <v>685</v>
      </c>
      <c r="E67" s="156">
        <v>2</v>
      </c>
      <c r="F67" s="81" t="s">
        <v>1011</v>
      </c>
      <c r="G67" s="81" t="s">
        <v>1012</v>
      </c>
      <c r="H67" s="73" t="s">
        <v>955</v>
      </c>
      <c r="I67" s="74">
        <v>4</v>
      </c>
      <c r="J67" s="73" t="s">
        <v>925</v>
      </c>
      <c r="K67" s="74"/>
      <c r="L67" s="74"/>
      <c r="M67" s="81" t="s">
        <v>1023</v>
      </c>
      <c r="N67" s="82" t="s">
        <v>1033</v>
      </c>
      <c r="O67" s="74" t="s">
        <v>735</v>
      </c>
      <c r="P67" s="75"/>
      <c r="Q67" s="126" t="s">
        <v>943</v>
      </c>
      <c r="R67" s="129" t="s">
        <v>928</v>
      </c>
      <c r="S67" s="82" t="s">
        <v>870</v>
      </c>
      <c r="T67" s="82" t="s">
        <v>871</v>
      </c>
      <c r="U67" s="82" t="s">
        <v>1034</v>
      </c>
      <c r="V67" s="229" t="s">
        <v>1055</v>
      </c>
      <c r="W67" s="73"/>
      <c r="X67" s="83" t="s">
        <v>780</v>
      </c>
      <c r="Y67" s="157" t="s">
        <v>965</v>
      </c>
      <c r="Z67" s="81" t="s">
        <v>1036</v>
      </c>
      <c r="AA67" s="127" t="s">
        <v>781</v>
      </c>
    </row>
    <row r="68" spans="1:27" s="33" customFormat="1" ht="76.5">
      <c r="A68" s="27"/>
      <c r="B68" s="75" t="s">
        <v>687</v>
      </c>
      <c r="C68" s="81" t="s">
        <v>826</v>
      </c>
      <c r="D68" s="81" t="s">
        <v>688</v>
      </c>
      <c r="E68" s="127">
        <v>2</v>
      </c>
      <c r="F68" s="81" t="s">
        <v>922</v>
      </c>
      <c r="G68" s="81" t="s">
        <v>923</v>
      </c>
      <c r="H68" s="73" t="s">
        <v>955</v>
      </c>
      <c r="I68" s="74">
        <v>4</v>
      </c>
      <c r="J68" s="73" t="s">
        <v>925</v>
      </c>
      <c r="K68" s="74"/>
      <c r="L68" s="74"/>
      <c r="M68" s="81" t="s">
        <v>956</v>
      </c>
      <c r="N68" s="82" t="s">
        <v>1056</v>
      </c>
      <c r="O68" s="74" t="s">
        <v>735</v>
      </c>
      <c r="P68" s="75"/>
      <c r="Q68" s="126" t="s">
        <v>980</v>
      </c>
      <c r="R68" s="129" t="s">
        <v>981</v>
      </c>
      <c r="S68" s="82" t="s">
        <v>910</v>
      </c>
      <c r="T68" s="82" t="s">
        <v>911</v>
      </c>
      <c r="U68" s="82" t="s">
        <v>1057</v>
      </c>
      <c r="V68" s="229" t="s">
        <v>1058</v>
      </c>
      <c r="W68" s="73"/>
      <c r="X68" s="82" t="s">
        <v>832</v>
      </c>
      <c r="Y68" s="82" t="s">
        <v>914</v>
      </c>
      <c r="Z68" s="81" t="s">
        <v>1059</v>
      </c>
      <c r="AA68" s="127" t="s">
        <v>781</v>
      </c>
    </row>
    <row r="69" spans="1:27" s="33" customFormat="1" ht="381.75">
      <c r="A69" s="27"/>
      <c r="B69" s="81" t="s">
        <v>690</v>
      </c>
      <c r="C69" s="81" t="s">
        <v>833</v>
      </c>
      <c r="D69" s="81" t="s">
        <v>691</v>
      </c>
      <c r="E69" s="127">
        <v>2</v>
      </c>
      <c r="F69" s="81" t="s">
        <v>1011</v>
      </c>
      <c r="G69" s="81" t="s">
        <v>1012</v>
      </c>
      <c r="H69" s="73" t="s">
        <v>955</v>
      </c>
      <c r="I69" s="74">
        <v>4</v>
      </c>
      <c r="J69" s="73" t="s">
        <v>925</v>
      </c>
      <c r="K69" s="74"/>
      <c r="L69" s="74"/>
      <c r="M69" s="81" t="s">
        <v>1060</v>
      </c>
      <c r="N69" s="82" t="s">
        <v>1014</v>
      </c>
      <c r="O69" s="74" t="s">
        <v>735</v>
      </c>
      <c r="P69" s="75"/>
      <c r="Q69" s="129" t="s">
        <v>804</v>
      </c>
      <c r="R69" s="129" t="s">
        <v>928</v>
      </c>
      <c r="S69" s="82" t="s">
        <v>916</v>
      </c>
      <c r="T69" s="82" t="s">
        <v>917</v>
      </c>
      <c r="U69" s="82" t="s">
        <v>1061</v>
      </c>
      <c r="V69" s="229" t="s">
        <v>1062</v>
      </c>
      <c r="W69" s="73"/>
      <c r="X69" s="192" t="s">
        <v>838</v>
      </c>
      <c r="Y69" s="81" t="s">
        <v>920</v>
      </c>
      <c r="Z69" s="81" t="s">
        <v>1063</v>
      </c>
      <c r="AA69" s="127" t="s">
        <v>1064</v>
      </c>
    </row>
    <row r="70" spans="1:27" s="33" customFormat="1" ht="198">
      <c r="A70" s="27"/>
      <c r="B70" s="81" t="s">
        <v>648</v>
      </c>
      <c r="C70" s="81" t="s">
        <v>728</v>
      </c>
      <c r="D70" s="81" t="s">
        <v>649</v>
      </c>
      <c r="E70" s="127">
        <v>2</v>
      </c>
      <c r="F70" s="190" t="s">
        <v>1065</v>
      </c>
      <c r="G70" s="190" t="s">
        <v>1066</v>
      </c>
      <c r="H70" s="73" t="s">
        <v>1067</v>
      </c>
      <c r="I70" s="74">
        <v>5</v>
      </c>
      <c r="J70" s="73" t="s">
        <v>732</v>
      </c>
      <c r="K70" s="74">
        <v>4</v>
      </c>
      <c r="L70" s="74"/>
      <c r="M70" s="155" t="s">
        <v>1068</v>
      </c>
      <c r="N70" s="82" t="s">
        <v>1069</v>
      </c>
      <c r="O70" s="74" t="s">
        <v>735</v>
      </c>
      <c r="P70" s="83" t="s">
        <v>1070</v>
      </c>
      <c r="Q70" s="189"/>
      <c r="R70" s="189"/>
      <c r="S70" s="126" t="s">
        <v>1071</v>
      </c>
      <c r="T70" s="126" t="s">
        <v>1072</v>
      </c>
      <c r="U70" s="126" t="s">
        <v>1073</v>
      </c>
      <c r="V70" s="250" t="s">
        <v>1074</v>
      </c>
      <c r="W70" s="73"/>
      <c r="X70" s="83" t="s">
        <v>742</v>
      </c>
      <c r="Y70" s="190" t="s">
        <v>1075</v>
      </c>
      <c r="Z70" s="190" t="s">
        <v>1076</v>
      </c>
      <c r="AA70" s="191" t="s">
        <v>1077</v>
      </c>
    </row>
    <row r="71" spans="1:27" s="33" customFormat="1" ht="198">
      <c r="A71" s="27"/>
      <c r="B71" s="81" t="s">
        <v>651</v>
      </c>
      <c r="C71" s="81" t="s">
        <v>745</v>
      </c>
      <c r="D71" s="81" t="s">
        <v>652</v>
      </c>
      <c r="E71" s="127">
        <v>2</v>
      </c>
      <c r="F71" s="155" t="s">
        <v>1078</v>
      </c>
      <c r="G71" s="155" t="s">
        <v>1079</v>
      </c>
      <c r="H71" s="73" t="s">
        <v>1080</v>
      </c>
      <c r="I71" s="74">
        <v>5</v>
      </c>
      <c r="J71" s="73" t="s">
        <v>732</v>
      </c>
      <c r="K71" s="74">
        <v>4</v>
      </c>
      <c r="L71" s="74"/>
      <c r="M71" s="155" t="s">
        <v>1081</v>
      </c>
      <c r="N71" s="82" t="s">
        <v>1082</v>
      </c>
      <c r="O71" s="74" t="s">
        <v>735</v>
      </c>
      <c r="P71" s="83" t="s">
        <v>1083</v>
      </c>
      <c r="Q71" s="126" t="s">
        <v>1084</v>
      </c>
      <c r="R71" s="129" t="s">
        <v>1085</v>
      </c>
      <c r="S71" s="82" t="s">
        <v>748</v>
      </c>
      <c r="T71" s="82" t="s">
        <v>749</v>
      </c>
      <c r="U71" s="82" t="s">
        <v>750</v>
      </c>
      <c r="V71" s="229" t="s">
        <v>1086</v>
      </c>
      <c r="W71" s="73"/>
      <c r="X71" s="81" t="s">
        <v>752</v>
      </c>
      <c r="Y71" s="81" t="s">
        <v>856</v>
      </c>
      <c r="Z71" s="82" t="s">
        <v>1087</v>
      </c>
      <c r="AA71" s="127" t="s">
        <v>753</v>
      </c>
    </row>
    <row r="72" spans="1:27" s="33" customFormat="1" ht="409.6">
      <c r="A72" s="27"/>
      <c r="B72" s="81" t="s">
        <v>654</v>
      </c>
      <c r="C72" s="155" t="s">
        <v>755</v>
      </c>
      <c r="D72" s="81" t="s">
        <v>655</v>
      </c>
      <c r="E72" s="127">
        <v>2</v>
      </c>
      <c r="F72" s="155" t="s">
        <v>1078</v>
      </c>
      <c r="G72" s="155" t="s">
        <v>1079</v>
      </c>
      <c r="H72" s="73" t="s">
        <v>1080</v>
      </c>
      <c r="I72" s="74">
        <v>5</v>
      </c>
      <c r="J72" s="73" t="s">
        <v>732</v>
      </c>
      <c r="K72" s="74">
        <v>4</v>
      </c>
      <c r="L72" s="74"/>
      <c r="M72" s="155" t="s">
        <v>1081</v>
      </c>
      <c r="N72" s="82" t="s">
        <v>1082</v>
      </c>
      <c r="O72" s="74"/>
      <c r="P72" s="83" t="s">
        <v>1088</v>
      </c>
      <c r="Q72" s="126" t="s">
        <v>1084</v>
      </c>
      <c r="R72" s="129" t="s">
        <v>1085</v>
      </c>
      <c r="S72" s="82" t="s">
        <v>1089</v>
      </c>
      <c r="T72" s="82" t="s">
        <v>1090</v>
      </c>
      <c r="U72" s="83" t="s">
        <v>1091</v>
      </c>
      <c r="V72" s="229" t="s">
        <v>1092</v>
      </c>
      <c r="W72" s="73"/>
      <c r="X72" s="83" t="s">
        <v>763</v>
      </c>
      <c r="Y72" s="82" t="s">
        <v>946</v>
      </c>
      <c r="Z72" s="81" t="s">
        <v>1093</v>
      </c>
      <c r="AA72" s="127" t="s">
        <v>1094</v>
      </c>
    </row>
    <row r="73" spans="1:27" s="33" customFormat="1" ht="121.5">
      <c r="A73" s="27"/>
      <c r="B73" s="153" t="s">
        <v>660</v>
      </c>
      <c r="C73" s="154" t="s">
        <v>775</v>
      </c>
      <c r="D73" s="154" t="s">
        <v>661</v>
      </c>
      <c r="E73" s="156">
        <v>2</v>
      </c>
      <c r="F73" s="208" t="s">
        <v>1078</v>
      </c>
      <c r="G73" s="155" t="s">
        <v>1079</v>
      </c>
      <c r="H73" s="73" t="s">
        <v>1080</v>
      </c>
      <c r="I73" s="74">
        <v>5</v>
      </c>
      <c r="J73" s="73" t="s">
        <v>732</v>
      </c>
      <c r="K73" s="74">
        <v>4</v>
      </c>
      <c r="L73" s="74"/>
      <c r="M73" s="155" t="s">
        <v>1081</v>
      </c>
      <c r="N73" s="82" t="s">
        <v>1082</v>
      </c>
      <c r="O73" s="74"/>
      <c r="P73" s="83" t="s">
        <v>1095</v>
      </c>
      <c r="Q73" s="126" t="s">
        <v>1084</v>
      </c>
      <c r="R73" s="129" t="s">
        <v>1085</v>
      </c>
      <c r="S73" s="82" t="s">
        <v>1096</v>
      </c>
      <c r="T73" s="82" t="s">
        <v>1097</v>
      </c>
      <c r="U73" s="82" t="s">
        <v>771</v>
      </c>
      <c r="V73" s="229" t="s">
        <v>1098</v>
      </c>
      <c r="W73" s="73"/>
      <c r="X73" s="83" t="s">
        <v>780</v>
      </c>
      <c r="Y73" s="157" t="s">
        <v>965</v>
      </c>
      <c r="Z73" s="81" t="s">
        <v>1099</v>
      </c>
      <c r="AA73" s="127" t="s">
        <v>781</v>
      </c>
    </row>
    <row r="74" spans="1:27" s="33" customFormat="1" ht="167.25">
      <c r="A74" s="27"/>
      <c r="B74" s="81" t="s">
        <v>666</v>
      </c>
      <c r="C74" s="81" t="s">
        <v>792</v>
      </c>
      <c r="D74" s="81" t="s">
        <v>667</v>
      </c>
      <c r="E74" s="74">
        <v>2</v>
      </c>
      <c r="F74" s="155" t="s">
        <v>1078</v>
      </c>
      <c r="G74" s="155" t="s">
        <v>1079</v>
      </c>
      <c r="H74" s="73" t="s">
        <v>1080</v>
      </c>
      <c r="I74" s="74">
        <v>5</v>
      </c>
      <c r="J74" s="73" t="s">
        <v>732</v>
      </c>
      <c r="K74" s="74">
        <v>4</v>
      </c>
      <c r="L74" s="74"/>
      <c r="M74" s="155" t="s">
        <v>1081</v>
      </c>
      <c r="N74" s="82" t="s">
        <v>1082</v>
      </c>
      <c r="O74" s="74"/>
      <c r="P74" s="83" t="s">
        <v>1100</v>
      </c>
      <c r="Q74" s="126" t="s">
        <v>1084</v>
      </c>
      <c r="R74" s="129" t="s">
        <v>1085</v>
      </c>
      <c r="S74" s="82" t="s">
        <v>799</v>
      </c>
      <c r="T74" s="82" t="s">
        <v>1101</v>
      </c>
      <c r="U74" s="82" t="s">
        <v>778</v>
      </c>
      <c r="V74" s="229" t="s">
        <v>1102</v>
      </c>
      <c r="W74" s="73"/>
      <c r="X74" s="81" t="s">
        <v>797</v>
      </c>
      <c r="Y74" s="81" t="s">
        <v>1103</v>
      </c>
      <c r="Z74" s="157" t="s">
        <v>1104</v>
      </c>
      <c r="AA74" s="127" t="s">
        <v>1105</v>
      </c>
    </row>
    <row r="75" spans="1:27" s="33" customFormat="1" ht="76.5">
      <c r="A75" s="27"/>
      <c r="B75" s="81" t="s">
        <v>672</v>
      </c>
      <c r="C75" s="81" t="s">
        <v>803</v>
      </c>
      <c r="D75" s="155" t="s">
        <v>673</v>
      </c>
      <c r="E75" s="127">
        <v>2</v>
      </c>
      <c r="F75" s="190" t="s">
        <v>1106</v>
      </c>
      <c r="G75" s="190" t="s">
        <v>1107</v>
      </c>
      <c r="H75" s="73" t="s">
        <v>1067</v>
      </c>
      <c r="I75" s="74">
        <v>5</v>
      </c>
      <c r="J75" s="73" t="s">
        <v>732</v>
      </c>
      <c r="K75" s="74">
        <v>4</v>
      </c>
      <c r="L75" s="74"/>
      <c r="M75" s="81" t="s">
        <v>1108</v>
      </c>
      <c r="N75" s="82" t="s">
        <v>1109</v>
      </c>
      <c r="O75" s="74" t="s">
        <v>735</v>
      </c>
      <c r="P75" s="75"/>
      <c r="Q75" s="81"/>
      <c r="R75" s="189"/>
      <c r="S75" s="73" t="s">
        <v>892</v>
      </c>
      <c r="T75" s="73" t="s">
        <v>893</v>
      </c>
      <c r="U75" s="73" t="s">
        <v>1110</v>
      </c>
      <c r="V75" s="229" t="s">
        <v>1111</v>
      </c>
      <c r="W75" s="73"/>
      <c r="X75" s="81" t="s">
        <v>810</v>
      </c>
      <c r="Y75" s="81" t="s">
        <v>984</v>
      </c>
      <c r="Z75" s="190" t="s">
        <v>1110</v>
      </c>
      <c r="AA75" s="191" t="s">
        <v>781</v>
      </c>
    </row>
    <row r="76" spans="1:27" s="33" customFormat="1" ht="290.25">
      <c r="A76" s="27"/>
      <c r="B76" s="81" t="s">
        <v>675</v>
      </c>
      <c r="C76" s="81" t="s">
        <v>812</v>
      </c>
      <c r="D76" s="81" t="s">
        <v>676</v>
      </c>
      <c r="E76" s="127">
        <v>2</v>
      </c>
      <c r="F76" s="155" t="s">
        <v>1078</v>
      </c>
      <c r="G76" s="155" t="s">
        <v>1079</v>
      </c>
      <c r="H76" s="73" t="s">
        <v>1080</v>
      </c>
      <c r="I76" s="74">
        <v>5</v>
      </c>
      <c r="J76" s="73" t="s">
        <v>732</v>
      </c>
      <c r="K76" s="74">
        <v>4</v>
      </c>
      <c r="L76" s="74"/>
      <c r="M76" s="155" t="s">
        <v>1081</v>
      </c>
      <c r="N76" s="82" t="s">
        <v>1082</v>
      </c>
      <c r="O76" s="74"/>
      <c r="P76" s="83" t="s">
        <v>1112</v>
      </c>
      <c r="Q76" s="126" t="s">
        <v>1084</v>
      </c>
      <c r="R76" s="129" t="s">
        <v>1085</v>
      </c>
      <c r="S76" s="82" t="s">
        <v>1113</v>
      </c>
      <c r="T76" s="82" t="s">
        <v>1114</v>
      </c>
      <c r="U76" s="82" t="s">
        <v>1115</v>
      </c>
      <c r="V76" s="229" t="s">
        <v>1116</v>
      </c>
      <c r="W76" s="73"/>
      <c r="X76" s="81" t="s">
        <v>773</v>
      </c>
      <c r="Y76" s="81" t="s">
        <v>868</v>
      </c>
      <c r="Z76" s="157" t="s">
        <v>1117</v>
      </c>
      <c r="AA76" s="127" t="s">
        <v>1118</v>
      </c>
    </row>
    <row r="77" spans="1:27" s="33" customFormat="1" ht="91.5">
      <c r="A77" s="27"/>
      <c r="B77" s="73" t="s">
        <v>657</v>
      </c>
      <c r="C77" s="73" t="s">
        <v>766</v>
      </c>
      <c r="D77" s="73" t="s">
        <v>658</v>
      </c>
      <c r="E77" s="191">
        <v>2</v>
      </c>
      <c r="F77" s="190" t="s">
        <v>1119</v>
      </c>
      <c r="G77" s="190" t="s">
        <v>1120</v>
      </c>
      <c r="H77" s="73" t="s">
        <v>1121</v>
      </c>
      <c r="I77" s="74">
        <v>6</v>
      </c>
      <c r="J77" s="73" t="s">
        <v>732</v>
      </c>
      <c r="K77" s="74"/>
      <c r="L77" s="74"/>
      <c r="M77" s="82" t="s">
        <v>1122</v>
      </c>
      <c r="N77" s="82" t="s">
        <v>1123</v>
      </c>
      <c r="O77" s="74" t="s">
        <v>735</v>
      </c>
      <c r="P77" s="75"/>
      <c r="Q77" s="189"/>
      <c r="R77" s="189"/>
      <c r="S77" s="82" t="s">
        <v>864</v>
      </c>
      <c r="T77" s="82" t="s">
        <v>865</v>
      </c>
      <c r="U77" s="82" t="s">
        <v>1124</v>
      </c>
      <c r="V77" s="229" t="s">
        <v>1125</v>
      </c>
      <c r="W77" s="73"/>
      <c r="X77" s="81" t="s">
        <v>773</v>
      </c>
      <c r="Y77" s="82" t="s">
        <v>1126</v>
      </c>
      <c r="Z77" s="190" t="s">
        <v>1127</v>
      </c>
      <c r="AA77" s="127" t="s">
        <v>1128</v>
      </c>
    </row>
    <row r="78" spans="1:27" s="33" customFormat="1" ht="290.25">
      <c r="A78" s="27"/>
      <c r="B78" s="82" t="s">
        <v>681</v>
      </c>
      <c r="C78" s="82" t="s">
        <v>822</v>
      </c>
      <c r="D78" s="82" t="s">
        <v>682</v>
      </c>
      <c r="E78" s="74">
        <v>2</v>
      </c>
      <c r="F78" s="155" t="s">
        <v>1078</v>
      </c>
      <c r="G78" s="155" t="s">
        <v>1079</v>
      </c>
      <c r="H78" s="73" t="s">
        <v>1080</v>
      </c>
      <c r="I78" s="74">
        <v>5</v>
      </c>
      <c r="J78" s="73" t="s">
        <v>732</v>
      </c>
      <c r="K78" s="74">
        <v>4</v>
      </c>
      <c r="L78" s="74"/>
      <c r="M78" s="155" t="s">
        <v>1081</v>
      </c>
      <c r="N78" s="82" t="s">
        <v>1082</v>
      </c>
      <c r="O78" s="74"/>
      <c r="P78" s="83" t="s">
        <v>1129</v>
      </c>
      <c r="Q78" s="126" t="s">
        <v>1084</v>
      </c>
      <c r="R78" s="129" t="s">
        <v>1085</v>
      </c>
      <c r="S78" s="82" t="s">
        <v>1113</v>
      </c>
      <c r="T78" s="82" t="s">
        <v>1114</v>
      </c>
      <c r="U78" s="82" t="s">
        <v>1115</v>
      </c>
      <c r="V78" s="229" t="s">
        <v>1130</v>
      </c>
      <c r="W78" s="73"/>
      <c r="X78" s="81" t="s">
        <v>773</v>
      </c>
      <c r="Y78" s="81" t="s">
        <v>1131</v>
      </c>
      <c r="Z78" s="157" t="s">
        <v>1132</v>
      </c>
      <c r="AA78" s="127" t="s">
        <v>1118</v>
      </c>
    </row>
    <row r="79" spans="1:27" s="33" customFormat="1" ht="106.5">
      <c r="A79" s="27"/>
      <c r="B79" s="81" t="s">
        <v>684</v>
      </c>
      <c r="C79" s="81" t="s">
        <v>824</v>
      </c>
      <c r="D79" s="81" t="s">
        <v>685</v>
      </c>
      <c r="E79" s="156">
        <v>2</v>
      </c>
      <c r="F79" s="208" t="s">
        <v>1078</v>
      </c>
      <c r="G79" s="155" t="s">
        <v>1079</v>
      </c>
      <c r="H79" s="73" t="s">
        <v>1080</v>
      </c>
      <c r="I79" s="74">
        <v>5</v>
      </c>
      <c r="J79" s="73" t="s">
        <v>732</v>
      </c>
      <c r="K79" s="74">
        <v>4</v>
      </c>
      <c r="L79" s="74"/>
      <c r="M79" s="155" t="s">
        <v>1081</v>
      </c>
      <c r="N79" s="82" t="s">
        <v>1082</v>
      </c>
      <c r="O79" s="74"/>
      <c r="P79" s="83" t="s">
        <v>1095</v>
      </c>
      <c r="Q79" s="126" t="s">
        <v>1084</v>
      </c>
      <c r="R79" s="129" t="s">
        <v>1085</v>
      </c>
      <c r="S79" s="82" t="s">
        <v>1096</v>
      </c>
      <c r="T79" s="82" t="s">
        <v>1097</v>
      </c>
      <c r="U79" s="82" t="s">
        <v>771</v>
      </c>
      <c r="V79" s="229" t="s">
        <v>1133</v>
      </c>
      <c r="W79" s="73"/>
      <c r="X79" s="83" t="s">
        <v>780</v>
      </c>
      <c r="Y79" s="157" t="s">
        <v>965</v>
      </c>
      <c r="Z79" s="81" t="s">
        <v>1099</v>
      </c>
      <c r="AA79" s="127" t="s">
        <v>781</v>
      </c>
    </row>
    <row r="80" spans="1:27" s="33" customFormat="1" ht="409.6">
      <c r="A80" s="27"/>
      <c r="B80" s="81" t="s">
        <v>690</v>
      </c>
      <c r="C80" s="81" t="s">
        <v>833</v>
      </c>
      <c r="D80" s="81" t="s">
        <v>691</v>
      </c>
      <c r="E80" s="127">
        <v>2</v>
      </c>
      <c r="F80" s="155" t="s">
        <v>1078</v>
      </c>
      <c r="G80" s="155" t="s">
        <v>1079</v>
      </c>
      <c r="H80" s="73" t="s">
        <v>1080</v>
      </c>
      <c r="I80" s="74">
        <v>5</v>
      </c>
      <c r="J80" s="73" t="s">
        <v>732</v>
      </c>
      <c r="K80" s="74">
        <v>20</v>
      </c>
      <c r="L80" s="74"/>
      <c r="M80" s="155" t="s">
        <v>1081</v>
      </c>
      <c r="N80" s="82" t="s">
        <v>1082</v>
      </c>
      <c r="O80" s="74"/>
      <c r="P80" s="83" t="s">
        <v>1134</v>
      </c>
      <c r="Q80" s="126" t="s">
        <v>1084</v>
      </c>
      <c r="R80" s="129" t="s">
        <v>1085</v>
      </c>
      <c r="S80" s="82" t="s">
        <v>1135</v>
      </c>
      <c r="T80" s="82" t="s">
        <v>1136</v>
      </c>
      <c r="U80" s="126" t="s">
        <v>1137</v>
      </c>
      <c r="V80" s="171" t="s">
        <v>1138</v>
      </c>
      <c r="W80" s="73"/>
      <c r="X80" s="192" t="s">
        <v>838</v>
      </c>
      <c r="Y80" s="81" t="s">
        <v>920</v>
      </c>
      <c r="Z80" s="192" t="s">
        <v>1139</v>
      </c>
      <c r="AA80" s="127" t="s">
        <v>839</v>
      </c>
    </row>
    <row r="81" spans="1:27" s="33" customFormat="1" ht="198">
      <c r="A81" s="27"/>
      <c r="B81" s="81" t="s">
        <v>663</v>
      </c>
      <c r="C81" s="81" t="s">
        <v>783</v>
      </c>
      <c r="D81" s="81" t="s">
        <v>664</v>
      </c>
      <c r="E81" s="127">
        <v>2</v>
      </c>
      <c r="F81" s="75" t="s">
        <v>1140</v>
      </c>
      <c r="G81" s="75" t="s">
        <v>1141</v>
      </c>
      <c r="H81" s="73" t="s">
        <v>756</v>
      </c>
      <c r="I81" s="74">
        <v>5</v>
      </c>
      <c r="J81" s="75" t="s">
        <v>732</v>
      </c>
      <c r="K81" s="74">
        <v>4</v>
      </c>
      <c r="L81" s="74"/>
      <c r="M81" s="82" t="s">
        <v>1142</v>
      </c>
      <c r="N81" s="82" t="s">
        <v>1143</v>
      </c>
      <c r="O81" s="74"/>
      <c r="P81" s="75"/>
      <c r="Q81" s="83"/>
      <c r="R81" s="83" t="s">
        <v>1144</v>
      </c>
      <c r="S81" s="82" t="s">
        <v>786</v>
      </c>
      <c r="T81" s="82" t="s">
        <v>787</v>
      </c>
      <c r="U81" s="82" t="s">
        <v>761</v>
      </c>
      <c r="V81" s="229" t="s">
        <v>1145</v>
      </c>
      <c r="W81" s="74"/>
      <c r="X81" s="81" t="s">
        <v>789</v>
      </c>
      <c r="Y81" s="81" t="s">
        <v>1146</v>
      </c>
      <c r="Z81" s="81" t="s">
        <v>743</v>
      </c>
      <c r="AA81" s="127" t="s">
        <v>1147</v>
      </c>
    </row>
    <row r="82" spans="1:27" s="33" customFormat="1" ht="45.75">
      <c r="A82" s="27"/>
      <c r="B82" s="190" t="s">
        <v>669</v>
      </c>
      <c r="C82" s="190" t="s">
        <v>798</v>
      </c>
      <c r="D82" s="190" t="s">
        <v>670</v>
      </c>
      <c r="E82" s="191">
        <v>2</v>
      </c>
      <c r="F82" s="190" t="s">
        <v>1148</v>
      </c>
      <c r="G82" s="190" t="s">
        <v>1149</v>
      </c>
      <c r="H82" s="73" t="s">
        <v>1150</v>
      </c>
      <c r="I82" s="74">
        <v>5</v>
      </c>
      <c r="J82" s="73" t="s">
        <v>1151</v>
      </c>
      <c r="K82" s="74">
        <v>23</v>
      </c>
      <c r="L82" s="74"/>
      <c r="M82" s="81" t="s">
        <v>1152</v>
      </c>
      <c r="N82" s="73" t="s">
        <v>1153</v>
      </c>
      <c r="O82" s="74" t="s">
        <v>735</v>
      </c>
      <c r="P82" s="75"/>
      <c r="Q82" s="189"/>
      <c r="R82" s="189"/>
      <c r="S82" s="82" t="s">
        <v>793</v>
      </c>
      <c r="T82" s="82" t="s">
        <v>889</v>
      </c>
      <c r="U82" s="82" t="s">
        <v>1154</v>
      </c>
      <c r="V82" s="229" t="s">
        <v>1155</v>
      </c>
      <c r="W82" s="73"/>
      <c r="X82" s="81" t="s">
        <v>797</v>
      </c>
      <c r="Y82" s="81" t="s">
        <v>887</v>
      </c>
      <c r="Z82" s="190" t="s">
        <v>1156</v>
      </c>
      <c r="AA82" s="191" t="s">
        <v>781</v>
      </c>
    </row>
    <row r="83" spans="1:27" s="33" customFormat="1" ht="244.5">
      <c r="A83" s="27"/>
      <c r="B83" s="81" t="s">
        <v>678</v>
      </c>
      <c r="C83" s="81" t="s">
        <v>814</v>
      </c>
      <c r="D83" s="81" t="s">
        <v>679</v>
      </c>
      <c r="E83" s="127">
        <v>2</v>
      </c>
      <c r="F83" s="190" t="s">
        <v>1157</v>
      </c>
      <c r="G83" s="190" t="s">
        <v>1158</v>
      </c>
      <c r="H83" s="73" t="s">
        <v>1159</v>
      </c>
      <c r="I83" s="74">
        <v>5</v>
      </c>
      <c r="J83" s="73" t="s">
        <v>732</v>
      </c>
      <c r="K83" s="74">
        <v>10</v>
      </c>
      <c r="L83" s="74"/>
      <c r="M83" s="81" t="s">
        <v>1160</v>
      </c>
      <c r="N83" s="82" t="s">
        <v>1161</v>
      </c>
      <c r="O83" s="74" t="s">
        <v>735</v>
      </c>
      <c r="P83" s="75"/>
      <c r="Q83" s="189"/>
      <c r="R83" s="189"/>
      <c r="S83" s="81" t="s">
        <v>988</v>
      </c>
      <c r="T83" s="81" t="s">
        <v>1162</v>
      </c>
      <c r="U83" s="81" t="s">
        <v>1163</v>
      </c>
      <c r="V83" s="187" t="s">
        <v>1164</v>
      </c>
      <c r="W83" s="154"/>
      <c r="X83" s="81" t="s">
        <v>821</v>
      </c>
      <c r="Y83" s="81" t="s">
        <v>1165</v>
      </c>
      <c r="Z83" s="190" t="s">
        <v>1166</v>
      </c>
      <c r="AA83" s="191" t="s">
        <v>1077</v>
      </c>
    </row>
    <row r="84" spans="1:27" s="33" customFormat="1" ht="30.75">
      <c r="A84" s="27"/>
      <c r="B84" s="75" t="s">
        <v>687</v>
      </c>
      <c r="C84" s="81" t="s">
        <v>826</v>
      </c>
      <c r="D84" s="81" t="s">
        <v>688</v>
      </c>
      <c r="E84" s="127">
        <v>2</v>
      </c>
      <c r="F84" s="81" t="s">
        <v>1011</v>
      </c>
      <c r="G84" s="81" t="s">
        <v>1012</v>
      </c>
      <c r="H84" s="73" t="s">
        <v>924</v>
      </c>
      <c r="I84" s="74">
        <v>5</v>
      </c>
      <c r="J84" s="73" t="s">
        <v>925</v>
      </c>
      <c r="K84" s="74"/>
      <c r="L84" s="74"/>
      <c r="M84" s="81" t="s">
        <v>1013</v>
      </c>
      <c r="N84" s="82" t="s">
        <v>1014</v>
      </c>
      <c r="O84" s="74" t="s">
        <v>735</v>
      </c>
      <c r="P84" s="75"/>
      <c r="Q84" s="126" t="s">
        <v>804</v>
      </c>
      <c r="R84" s="129" t="s">
        <v>928</v>
      </c>
      <c r="S84" s="82" t="s">
        <v>910</v>
      </c>
      <c r="T84" s="82" t="s">
        <v>911</v>
      </c>
      <c r="U84" s="82" t="s">
        <v>753</v>
      </c>
      <c r="V84" s="229" t="s">
        <v>1167</v>
      </c>
      <c r="W84" s="73"/>
      <c r="X84" s="82" t="s">
        <v>832</v>
      </c>
      <c r="Y84" s="82" t="s">
        <v>914</v>
      </c>
      <c r="Z84" s="155" t="s">
        <v>781</v>
      </c>
      <c r="AA84" s="127" t="s">
        <v>1041</v>
      </c>
    </row>
    <row r="85" spans="1:27" s="33" customFormat="1" ht="137.25">
      <c r="A85" s="27"/>
      <c r="B85" s="190" t="s">
        <v>651</v>
      </c>
      <c r="C85" s="190" t="s">
        <v>745</v>
      </c>
      <c r="D85" s="190" t="s">
        <v>652</v>
      </c>
      <c r="E85" s="191">
        <v>2</v>
      </c>
      <c r="F85" s="190" t="s">
        <v>1168</v>
      </c>
      <c r="G85" s="190" t="s">
        <v>1169</v>
      </c>
      <c r="H85" s="73" t="s">
        <v>1170</v>
      </c>
      <c r="I85" s="74">
        <v>6</v>
      </c>
      <c r="J85" s="73" t="s">
        <v>732</v>
      </c>
      <c r="K85" s="74">
        <v>4</v>
      </c>
      <c r="L85" s="74"/>
      <c r="M85" s="155" t="s">
        <v>1171</v>
      </c>
      <c r="N85" s="82" t="s">
        <v>1172</v>
      </c>
      <c r="O85" s="74"/>
      <c r="P85" s="75"/>
      <c r="Q85" s="189"/>
      <c r="R85" s="189"/>
      <c r="S85" s="82" t="s">
        <v>1173</v>
      </c>
      <c r="T85" s="82" t="s">
        <v>1174</v>
      </c>
      <c r="U85" s="82" t="s">
        <v>1175</v>
      </c>
      <c r="V85" s="250" t="s">
        <v>1176</v>
      </c>
      <c r="W85" s="73"/>
      <c r="X85" s="81" t="s">
        <v>752</v>
      </c>
      <c r="Y85" s="81" t="s">
        <v>856</v>
      </c>
      <c r="Z85" s="82" t="s">
        <v>1087</v>
      </c>
      <c r="AA85" s="127" t="s">
        <v>753</v>
      </c>
    </row>
    <row r="86" spans="1:27" s="33" customFormat="1" ht="229.5">
      <c r="A86" s="27"/>
      <c r="B86" s="81" t="s">
        <v>654</v>
      </c>
      <c r="C86" s="155" t="s">
        <v>755</v>
      </c>
      <c r="D86" s="81" t="s">
        <v>655</v>
      </c>
      <c r="E86" s="74">
        <v>2</v>
      </c>
      <c r="F86" s="190" t="s">
        <v>1177</v>
      </c>
      <c r="G86" s="190" t="s">
        <v>1178</v>
      </c>
      <c r="H86" s="73" t="s">
        <v>1067</v>
      </c>
      <c r="I86" s="74">
        <v>6</v>
      </c>
      <c r="J86" s="73" t="s">
        <v>732</v>
      </c>
      <c r="K86" s="74">
        <v>4</v>
      </c>
      <c r="L86" s="74"/>
      <c r="M86" s="81" t="s">
        <v>1179</v>
      </c>
      <c r="N86" s="82" t="s">
        <v>1180</v>
      </c>
      <c r="O86" s="207"/>
      <c r="P86" s="83" t="s">
        <v>1181</v>
      </c>
      <c r="Q86" s="189"/>
      <c r="R86" s="189"/>
      <c r="S86" s="82" t="s">
        <v>858</v>
      </c>
      <c r="T86" s="82" t="s">
        <v>859</v>
      </c>
      <c r="U86" s="82" t="s">
        <v>1182</v>
      </c>
      <c r="V86" s="229" t="s">
        <v>1183</v>
      </c>
      <c r="W86" s="73"/>
      <c r="X86" s="83" t="s">
        <v>763</v>
      </c>
      <c r="Y86" s="82" t="s">
        <v>946</v>
      </c>
      <c r="Z86" s="157" t="s">
        <v>1184</v>
      </c>
      <c r="AA86" s="127" t="s">
        <v>1185</v>
      </c>
    </row>
    <row r="87" spans="1:27" s="33" customFormat="1" ht="91.5">
      <c r="A87" s="27"/>
      <c r="B87" s="73" t="s">
        <v>657</v>
      </c>
      <c r="C87" s="73" t="s">
        <v>766</v>
      </c>
      <c r="D87" s="73" t="s">
        <v>658</v>
      </c>
      <c r="E87" s="191">
        <v>2</v>
      </c>
      <c r="F87" s="190" t="s">
        <v>1186</v>
      </c>
      <c r="G87" s="190" t="s">
        <v>1187</v>
      </c>
      <c r="H87" s="73" t="s">
        <v>1121</v>
      </c>
      <c r="I87" s="74">
        <v>7</v>
      </c>
      <c r="J87" s="73" t="s">
        <v>732</v>
      </c>
      <c r="K87" s="74"/>
      <c r="L87" s="74"/>
      <c r="M87" s="81" t="s">
        <v>1188</v>
      </c>
      <c r="N87" s="82" t="s">
        <v>1189</v>
      </c>
      <c r="O87" s="207" t="s">
        <v>735</v>
      </c>
      <c r="P87" s="75"/>
      <c r="Q87" s="189"/>
      <c r="R87" s="189"/>
      <c r="S87" s="82" t="s">
        <v>864</v>
      </c>
      <c r="T87" s="82" t="s">
        <v>865</v>
      </c>
      <c r="U87" s="82" t="s">
        <v>1190</v>
      </c>
      <c r="V87" s="229" t="s">
        <v>1191</v>
      </c>
      <c r="W87" s="73"/>
      <c r="X87" s="81" t="s">
        <v>773</v>
      </c>
      <c r="Y87" s="82" t="s">
        <v>868</v>
      </c>
      <c r="Z87" s="190" t="s">
        <v>1192</v>
      </c>
      <c r="AA87" s="127" t="s">
        <v>753</v>
      </c>
    </row>
    <row r="88" spans="1:27" s="33" customFormat="1" ht="409.6">
      <c r="A88" s="27"/>
      <c r="B88" s="81" t="s">
        <v>648</v>
      </c>
      <c r="C88" s="81" t="s">
        <v>728</v>
      </c>
      <c r="D88" s="81" t="s">
        <v>649</v>
      </c>
      <c r="E88" s="127">
        <v>2</v>
      </c>
      <c r="F88" s="155" t="s">
        <v>1078</v>
      </c>
      <c r="G88" s="155" t="s">
        <v>1079</v>
      </c>
      <c r="H88" s="73" t="s">
        <v>1193</v>
      </c>
      <c r="I88" s="74">
        <v>6</v>
      </c>
      <c r="J88" s="73" t="s">
        <v>732</v>
      </c>
      <c r="K88" s="74">
        <v>4</v>
      </c>
      <c r="L88" s="74"/>
      <c r="M88" s="155" t="s">
        <v>1081</v>
      </c>
      <c r="N88" s="82" t="s">
        <v>1082</v>
      </c>
      <c r="O88" s="74"/>
      <c r="P88" s="83" t="s">
        <v>1194</v>
      </c>
      <c r="Q88" s="126" t="s">
        <v>1195</v>
      </c>
      <c r="R88" s="129" t="s">
        <v>1196</v>
      </c>
      <c r="S88" s="83" t="s">
        <v>929</v>
      </c>
      <c r="T88" s="83" t="s">
        <v>930</v>
      </c>
      <c r="U88" s="126" t="s">
        <v>1197</v>
      </c>
      <c r="V88" s="250" t="s">
        <v>1198</v>
      </c>
      <c r="W88" s="73"/>
      <c r="X88" s="83" t="s">
        <v>742</v>
      </c>
      <c r="Y88" s="81" t="s">
        <v>1199</v>
      </c>
      <c r="Z88" s="82" t="s">
        <v>1200</v>
      </c>
      <c r="AA88" s="127" t="s">
        <v>1201</v>
      </c>
    </row>
    <row r="89" spans="1:27" s="33" customFormat="1" ht="60.75">
      <c r="A89" s="27"/>
      <c r="B89" s="153" t="s">
        <v>660</v>
      </c>
      <c r="C89" s="154" t="s">
        <v>775</v>
      </c>
      <c r="D89" s="154" t="s">
        <v>661</v>
      </c>
      <c r="E89" s="74">
        <v>2</v>
      </c>
      <c r="F89" s="190" t="s">
        <v>1106</v>
      </c>
      <c r="G89" s="190" t="s">
        <v>1107</v>
      </c>
      <c r="H89" s="73" t="s">
        <v>1067</v>
      </c>
      <c r="I89" s="74">
        <v>6</v>
      </c>
      <c r="J89" s="73" t="s">
        <v>732</v>
      </c>
      <c r="K89" s="74">
        <v>4</v>
      </c>
      <c r="L89" s="74"/>
      <c r="M89" s="81" t="s">
        <v>1202</v>
      </c>
      <c r="N89" s="82" t="s">
        <v>1203</v>
      </c>
      <c r="O89" s="74"/>
      <c r="P89" s="75"/>
      <c r="Q89" s="189"/>
      <c r="R89" s="189"/>
      <c r="S89" s="82" t="s">
        <v>870</v>
      </c>
      <c r="T89" s="82" t="s">
        <v>871</v>
      </c>
      <c r="U89" s="82" t="s">
        <v>1204</v>
      </c>
      <c r="V89" s="229" t="s">
        <v>1205</v>
      </c>
      <c r="W89" s="73"/>
      <c r="X89" s="83" t="s">
        <v>780</v>
      </c>
      <c r="Y89" s="157" t="s">
        <v>965</v>
      </c>
      <c r="Z89" s="190" t="s">
        <v>1206</v>
      </c>
      <c r="AA89" s="127" t="s">
        <v>781</v>
      </c>
    </row>
    <row r="90" spans="1:27" s="33" customFormat="1" ht="183">
      <c r="A90" s="27"/>
      <c r="B90" s="81" t="s">
        <v>663</v>
      </c>
      <c r="C90" s="81" t="s">
        <v>783</v>
      </c>
      <c r="D90" s="81" t="s">
        <v>664</v>
      </c>
      <c r="E90" s="127">
        <v>2</v>
      </c>
      <c r="F90" s="75" t="s">
        <v>1207</v>
      </c>
      <c r="G90" s="75" t="s">
        <v>1208</v>
      </c>
      <c r="H90" s="75" t="s">
        <v>756</v>
      </c>
      <c r="I90" s="74">
        <v>6</v>
      </c>
      <c r="J90" s="75" t="s">
        <v>732</v>
      </c>
      <c r="K90" s="74">
        <v>15</v>
      </c>
      <c r="L90" s="74"/>
      <c r="M90" s="82" t="s">
        <v>1209</v>
      </c>
      <c r="N90" s="82" t="s">
        <v>1210</v>
      </c>
      <c r="O90" s="74"/>
      <c r="P90" s="75"/>
      <c r="Q90" s="83"/>
      <c r="R90" s="75"/>
      <c r="S90" s="82" t="s">
        <v>876</v>
      </c>
      <c r="T90" s="82" t="s">
        <v>877</v>
      </c>
      <c r="U90" s="83" t="s">
        <v>1211</v>
      </c>
      <c r="V90" s="171" t="s">
        <v>1212</v>
      </c>
      <c r="W90" s="74"/>
      <c r="X90" s="81" t="s">
        <v>789</v>
      </c>
      <c r="Y90" s="81" t="s">
        <v>1146</v>
      </c>
      <c r="Z90" s="82" t="s">
        <v>1213</v>
      </c>
      <c r="AA90" s="127" t="s">
        <v>1214</v>
      </c>
    </row>
    <row r="91" spans="1:27" s="33" customFormat="1" ht="183">
      <c r="A91" s="27"/>
      <c r="B91" s="190" t="s">
        <v>669</v>
      </c>
      <c r="C91" s="190" t="s">
        <v>798</v>
      </c>
      <c r="D91" s="190" t="s">
        <v>670</v>
      </c>
      <c r="E91" s="74">
        <v>2</v>
      </c>
      <c r="F91" s="155" t="s">
        <v>1078</v>
      </c>
      <c r="G91" s="155" t="s">
        <v>1079</v>
      </c>
      <c r="H91" s="73" t="s">
        <v>1080</v>
      </c>
      <c r="I91" s="74">
        <v>6</v>
      </c>
      <c r="J91" s="73" t="s">
        <v>732</v>
      </c>
      <c r="K91" s="74">
        <v>4</v>
      </c>
      <c r="L91" s="74"/>
      <c r="M91" s="155" t="s">
        <v>1081</v>
      </c>
      <c r="N91" s="82" t="s">
        <v>1082</v>
      </c>
      <c r="O91" s="74"/>
      <c r="P91" s="83" t="s">
        <v>1100</v>
      </c>
      <c r="Q91" s="126" t="s">
        <v>1084</v>
      </c>
      <c r="R91" s="129" t="s">
        <v>1085</v>
      </c>
      <c r="S91" s="82" t="s">
        <v>1215</v>
      </c>
      <c r="T91" s="82" t="s">
        <v>1216</v>
      </c>
      <c r="U91" s="82" t="s">
        <v>1217</v>
      </c>
      <c r="V91" s="229" t="s">
        <v>1218</v>
      </c>
      <c r="W91" s="73"/>
      <c r="X91" s="81" t="s">
        <v>797</v>
      </c>
      <c r="Y91" s="81" t="s">
        <v>1103</v>
      </c>
      <c r="Z91" s="157" t="s">
        <v>1104</v>
      </c>
      <c r="AA91" s="127" t="s">
        <v>1105</v>
      </c>
    </row>
    <row r="92" spans="1:27" s="33" customFormat="1" ht="45.75">
      <c r="A92" s="27"/>
      <c r="B92" s="81" t="s">
        <v>684</v>
      </c>
      <c r="C92" s="81" t="s">
        <v>824</v>
      </c>
      <c r="D92" s="81" t="s">
        <v>685</v>
      </c>
      <c r="E92" s="74">
        <v>2</v>
      </c>
      <c r="F92" s="190" t="s">
        <v>1106</v>
      </c>
      <c r="G92" s="190" t="s">
        <v>1107</v>
      </c>
      <c r="H92" s="73" t="s">
        <v>1067</v>
      </c>
      <c r="I92" s="74">
        <v>6</v>
      </c>
      <c r="J92" s="73" t="s">
        <v>732</v>
      </c>
      <c r="K92" s="74">
        <v>4</v>
      </c>
      <c r="L92" s="74"/>
      <c r="M92" s="81" t="s">
        <v>1202</v>
      </c>
      <c r="N92" s="82" t="s">
        <v>1203</v>
      </c>
      <c r="O92" s="74"/>
      <c r="P92" s="75"/>
      <c r="Q92" s="189"/>
      <c r="R92" s="189"/>
      <c r="S92" s="82" t="s">
        <v>870</v>
      </c>
      <c r="T92" s="82" t="s">
        <v>871</v>
      </c>
      <c r="U92" s="82" t="s">
        <v>1204</v>
      </c>
      <c r="V92" s="229" t="s">
        <v>1219</v>
      </c>
      <c r="W92" s="73"/>
      <c r="X92" s="83" t="s">
        <v>780</v>
      </c>
      <c r="Y92" s="157" t="s">
        <v>965</v>
      </c>
      <c r="Z92" s="190" t="s">
        <v>1206</v>
      </c>
      <c r="AA92" s="127" t="s">
        <v>781</v>
      </c>
    </row>
    <row r="93" spans="1:27" s="33" customFormat="1" ht="76.5">
      <c r="A93" s="27"/>
      <c r="B93" s="81" t="s">
        <v>666</v>
      </c>
      <c r="C93" s="81" t="s">
        <v>792</v>
      </c>
      <c r="D93" s="81" t="s">
        <v>667</v>
      </c>
      <c r="E93" s="74">
        <v>2</v>
      </c>
      <c r="F93" s="190" t="s">
        <v>1177</v>
      </c>
      <c r="G93" s="190" t="s">
        <v>1178</v>
      </c>
      <c r="H93" s="73" t="s">
        <v>1067</v>
      </c>
      <c r="I93" s="74">
        <v>6</v>
      </c>
      <c r="J93" s="73" t="s">
        <v>732</v>
      </c>
      <c r="K93" s="74">
        <v>4</v>
      </c>
      <c r="L93" s="74"/>
      <c r="M93" s="81" t="s">
        <v>1179</v>
      </c>
      <c r="N93" s="82" t="s">
        <v>1180</v>
      </c>
      <c r="O93" s="207"/>
      <c r="P93" s="83" t="s">
        <v>1181</v>
      </c>
      <c r="Q93" s="189"/>
      <c r="R93" s="189"/>
      <c r="S93" s="82" t="s">
        <v>883</v>
      </c>
      <c r="T93" s="82" t="s">
        <v>884</v>
      </c>
      <c r="U93" s="82" t="s">
        <v>1220</v>
      </c>
      <c r="V93" s="229" t="s">
        <v>1221</v>
      </c>
      <c r="W93" s="73"/>
      <c r="X93" s="81" t="s">
        <v>797</v>
      </c>
      <c r="Y93" s="82" t="s">
        <v>887</v>
      </c>
      <c r="Z93" s="157" t="s">
        <v>1222</v>
      </c>
      <c r="AA93" s="127" t="s">
        <v>781</v>
      </c>
    </row>
    <row r="94" spans="1:27" s="33" customFormat="1" ht="76.5">
      <c r="A94" s="27"/>
      <c r="B94" s="81" t="s">
        <v>672</v>
      </c>
      <c r="C94" s="81" t="s">
        <v>803</v>
      </c>
      <c r="D94" s="155" t="s">
        <v>673</v>
      </c>
      <c r="E94" s="127">
        <v>2</v>
      </c>
      <c r="F94" s="81" t="s">
        <v>1223</v>
      </c>
      <c r="G94" s="81" t="s">
        <v>1224</v>
      </c>
      <c r="H94" s="73" t="s">
        <v>1159</v>
      </c>
      <c r="I94" s="74">
        <v>6</v>
      </c>
      <c r="J94" s="73" t="s">
        <v>732</v>
      </c>
      <c r="K94" s="74">
        <v>10</v>
      </c>
      <c r="L94" s="74"/>
      <c r="M94" s="81" t="s">
        <v>1225</v>
      </c>
      <c r="N94" s="73" t="s">
        <v>1226</v>
      </c>
      <c r="O94" s="74" t="s">
        <v>735</v>
      </c>
      <c r="P94" s="75"/>
      <c r="Q94" s="81" t="s">
        <v>980</v>
      </c>
      <c r="R94" s="81" t="s">
        <v>1227</v>
      </c>
      <c r="S94" s="83" t="s">
        <v>892</v>
      </c>
      <c r="T94" s="83" t="s">
        <v>893</v>
      </c>
      <c r="U94" s="82" t="s">
        <v>1228</v>
      </c>
      <c r="V94" s="229" t="s">
        <v>1229</v>
      </c>
      <c r="W94" s="73"/>
      <c r="X94" s="81" t="s">
        <v>810</v>
      </c>
      <c r="Y94" s="81" t="s">
        <v>1230</v>
      </c>
      <c r="Z94" s="81" t="s">
        <v>1228</v>
      </c>
      <c r="AA94" s="74" t="s">
        <v>781</v>
      </c>
    </row>
    <row r="95" spans="1:27" s="33" customFormat="1" ht="137.25">
      <c r="A95" s="27"/>
      <c r="B95" s="81" t="s">
        <v>675</v>
      </c>
      <c r="C95" s="81" t="s">
        <v>812</v>
      </c>
      <c r="D95" s="81" t="s">
        <v>676</v>
      </c>
      <c r="E95" s="74">
        <v>2</v>
      </c>
      <c r="F95" s="190" t="s">
        <v>1177</v>
      </c>
      <c r="G95" s="190" t="s">
        <v>1178</v>
      </c>
      <c r="H95" s="73" t="s">
        <v>1067</v>
      </c>
      <c r="I95" s="74">
        <v>6</v>
      </c>
      <c r="J95" s="73" t="s">
        <v>732</v>
      </c>
      <c r="K95" s="74">
        <v>4</v>
      </c>
      <c r="L95" s="74"/>
      <c r="M95" s="81" t="s">
        <v>1179</v>
      </c>
      <c r="N95" s="82" t="s">
        <v>1180</v>
      </c>
      <c r="O95" s="207"/>
      <c r="P95" s="83" t="s">
        <v>1181</v>
      </c>
      <c r="Q95" s="189"/>
      <c r="R95" s="189"/>
      <c r="S95" s="82" t="s">
        <v>864</v>
      </c>
      <c r="T95" s="82" t="s">
        <v>865</v>
      </c>
      <c r="U95" s="82" t="s">
        <v>1231</v>
      </c>
      <c r="V95" s="229" t="s">
        <v>1232</v>
      </c>
      <c r="W95" s="73"/>
      <c r="X95" s="81" t="s">
        <v>773</v>
      </c>
      <c r="Y95" s="82" t="s">
        <v>868</v>
      </c>
      <c r="Z95" s="157" t="s">
        <v>1087</v>
      </c>
      <c r="AA95" s="127" t="s">
        <v>753</v>
      </c>
    </row>
    <row r="96" spans="1:27" s="33" customFormat="1" ht="244.5">
      <c r="A96" s="27"/>
      <c r="B96" s="81" t="s">
        <v>678</v>
      </c>
      <c r="C96" s="81" t="s">
        <v>814</v>
      </c>
      <c r="D96" s="81" t="s">
        <v>679</v>
      </c>
      <c r="E96" s="191">
        <v>2</v>
      </c>
      <c r="F96" s="190" t="s">
        <v>1065</v>
      </c>
      <c r="G96" s="190" t="s">
        <v>1066</v>
      </c>
      <c r="H96" s="73" t="s">
        <v>1080</v>
      </c>
      <c r="I96" s="74">
        <v>6</v>
      </c>
      <c r="J96" s="73" t="s">
        <v>732</v>
      </c>
      <c r="K96" s="74">
        <v>6</v>
      </c>
      <c r="L96" s="74"/>
      <c r="M96" s="155" t="s">
        <v>1068</v>
      </c>
      <c r="N96" s="82" t="s">
        <v>1069</v>
      </c>
      <c r="O96" s="74" t="s">
        <v>735</v>
      </c>
      <c r="P96" s="83" t="s">
        <v>1070</v>
      </c>
      <c r="Q96" s="189"/>
      <c r="R96" s="189"/>
      <c r="S96" s="81" t="s">
        <v>988</v>
      </c>
      <c r="T96" s="81" t="s">
        <v>1162</v>
      </c>
      <c r="U96" s="82" t="s">
        <v>1233</v>
      </c>
      <c r="V96" s="187" t="s">
        <v>1234</v>
      </c>
      <c r="W96" s="154"/>
      <c r="X96" s="81" t="s">
        <v>821</v>
      </c>
      <c r="Y96" s="81" t="s">
        <v>992</v>
      </c>
      <c r="Z96" s="190" t="s">
        <v>1235</v>
      </c>
      <c r="AA96" s="191" t="s">
        <v>1236</v>
      </c>
    </row>
    <row r="97" spans="1:27" s="33" customFormat="1" ht="137.25">
      <c r="A97" s="27"/>
      <c r="B97" s="82" t="s">
        <v>681</v>
      </c>
      <c r="C97" s="82" t="s">
        <v>822</v>
      </c>
      <c r="D97" s="82" t="s">
        <v>682</v>
      </c>
      <c r="E97" s="74">
        <v>2</v>
      </c>
      <c r="F97" s="190" t="s">
        <v>1177</v>
      </c>
      <c r="G97" s="190" t="s">
        <v>1178</v>
      </c>
      <c r="H97" s="73" t="s">
        <v>1067</v>
      </c>
      <c r="I97" s="74">
        <v>6</v>
      </c>
      <c r="J97" s="73" t="s">
        <v>732</v>
      </c>
      <c r="K97" s="74">
        <v>4</v>
      </c>
      <c r="L97" s="74"/>
      <c r="M97" s="81" t="s">
        <v>1179</v>
      </c>
      <c r="N97" s="82" t="s">
        <v>1180</v>
      </c>
      <c r="O97" s="207"/>
      <c r="P97" s="83" t="s">
        <v>1181</v>
      </c>
      <c r="Q97" s="189"/>
      <c r="R97" s="189"/>
      <c r="S97" s="82" t="s">
        <v>864</v>
      </c>
      <c r="T97" s="82" t="s">
        <v>865</v>
      </c>
      <c r="U97" s="82" t="s">
        <v>1231</v>
      </c>
      <c r="V97" s="229" t="s">
        <v>1237</v>
      </c>
      <c r="W97" s="73"/>
      <c r="X97" s="81" t="s">
        <v>773</v>
      </c>
      <c r="Y97" s="82" t="s">
        <v>868</v>
      </c>
      <c r="Z97" s="157" t="s">
        <v>1087</v>
      </c>
      <c r="AA97" s="127" t="s">
        <v>753</v>
      </c>
    </row>
    <row r="98" spans="1:27" s="33" customFormat="1" ht="45.75">
      <c r="A98" s="27"/>
      <c r="B98" s="75" t="s">
        <v>687</v>
      </c>
      <c r="C98" s="81" t="s">
        <v>826</v>
      </c>
      <c r="D98" s="81" t="s">
        <v>688</v>
      </c>
      <c r="E98" s="191">
        <v>2</v>
      </c>
      <c r="F98" s="190" t="s">
        <v>1238</v>
      </c>
      <c r="G98" s="190" t="s">
        <v>1239</v>
      </c>
      <c r="H98" s="73" t="s">
        <v>1080</v>
      </c>
      <c r="I98" s="74">
        <v>6</v>
      </c>
      <c r="J98" s="73" t="s">
        <v>732</v>
      </c>
      <c r="K98" s="74">
        <v>4</v>
      </c>
      <c r="L98" s="74"/>
      <c r="M98" s="155" t="s">
        <v>1240</v>
      </c>
      <c r="N98" s="82" t="s">
        <v>1241</v>
      </c>
      <c r="O98" s="74" t="s">
        <v>735</v>
      </c>
      <c r="P98" s="83" t="s">
        <v>1242</v>
      </c>
      <c r="Q98" s="189"/>
      <c r="R98" s="189"/>
      <c r="S98" s="82" t="s">
        <v>910</v>
      </c>
      <c r="T98" s="82" t="s">
        <v>911</v>
      </c>
      <c r="U98" s="82" t="s">
        <v>1243</v>
      </c>
      <c r="V98" s="229" t="s">
        <v>1244</v>
      </c>
      <c r="W98" s="154"/>
      <c r="X98" s="82" t="s">
        <v>832</v>
      </c>
      <c r="Y98" s="82" t="s">
        <v>914</v>
      </c>
      <c r="Z98" s="190" t="s">
        <v>1245</v>
      </c>
      <c r="AA98" s="191" t="s">
        <v>781</v>
      </c>
    </row>
    <row r="99" spans="1:27" s="33" customFormat="1" ht="409.6">
      <c r="A99" s="27"/>
      <c r="B99" s="81" t="s">
        <v>690</v>
      </c>
      <c r="C99" s="81" t="s">
        <v>833</v>
      </c>
      <c r="D99" s="81" t="s">
        <v>691</v>
      </c>
      <c r="E99" s="127">
        <v>2</v>
      </c>
      <c r="F99" s="190" t="s">
        <v>1168</v>
      </c>
      <c r="G99" s="190" t="s">
        <v>1169</v>
      </c>
      <c r="H99" s="73" t="s">
        <v>1170</v>
      </c>
      <c r="I99" s="74">
        <v>6</v>
      </c>
      <c r="J99" s="73" t="s">
        <v>732</v>
      </c>
      <c r="K99" s="74">
        <v>4</v>
      </c>
      <c r="L99" s="74"/>
      <c r="M99" s="155" t="s">
        <v>1171</v>
      </c>
      <c r="N99" s="82" t="s">
        <v>1172</v>
      </c>
      <c r="O99" s="74"/>
      <c r="P99" s="75"/>
      <c r="Q99" s="189"/>
      <c r="R99" s="189"/>
      <c r="S99" s="82" t="s">
        <v>1246</v>
      </c>
      <c r="T99" s="82" t="s">
        <v>1247</v>
      </c>
      <c r="U99" s="126" t="s">
        <v>836</v>
      </c>
      <c r="V99" s="250" t="s">
        <v>1248</v>
      </c>
      <c r="W99" s="73"/>
      <c r="X99" s="192" t="s">
        <v>838</v>
      </c>
      <c r="Y99" s="81" t="s">
        <v>920</v>
      </c>
      <c r="Z99" s="192" t="s">
        <v>1139</v>
      </c>
      <c r="AA99" s="127" t="s">
        <v>839</v>
      </c>
    </row>
    <row r="100" spans="1:27" s="33" customFormat="1" ht="275.25">
      <c r="A100" s="27"/>
      <c r="B100" s="81" t="s">
        <v>648</v>
      </c>
      <c r="C100" s="81" t="s">
        <v>728</v>
      </c>
      <c r="D100" s="81" t="s">
        <v>649</v>
      </c>
      <c r="E100" s="127">
        <v>2</v>
      </c>
      <c r="F100" s="190" t="s">
        <v>1168</v>
      </c>
      <c r="G100" s="190" t="s">
        <v>1169</v>
      </c>
      <c r="H100" s="73" t="s">
        <v>1170</v>
      </c>
      <c r="I100" s="74">
        <v>7</v>
      </c>
      <c r="J100" s="73" t="s">
        <v>732</v>
      </c>
      <c r="K100" s="74">
        <v>4</v>
      </c>
      <c r="L100" s="74"/>
      <c r="M100" s="155" t="s">
        <v>1171</v>
      </c>
      <c r="N100" s="82" t="s">
        <v>1172</v>
      </c>
      <c r="O100" s="74"/>
      <c r="P100" s="75"/>
      <c r="Q100" s="189"/>
      <c r="R100" s="189"/>
      <c r="S100" s="126" t="s">
        <v>1249</v>
      </c>
      <c r="T100" s="126" t="s">
        <v>1250</v>
      </c>
      <c r="U100" s="126" t="s">
        <v>1251</v>
      </c>
      <c r="V100" s="250" t="s">
        <v>1252</v>
      </c>
      <c r="W100" s="73"/>
      <c r="X100" s="83" t="s">
        <v>742</v>
      </c>
      <c r="Y100" s="190" t="s">
        <v>1075</v>
      </c>
      <c r="Z100" s="190" t="s">
        <v>1253</v>
      </c>
      <c r="AA100" s="191" t="s">
        <v>1053</v>
      </c>
    </row>
    <row r="101" spans="1:27" s="33" customFormat="1" ht="91.5">
      <c r="A101" s="27"/>
      <c r="B101" s="81" t="s">
        <v>651</v>
      </c>
      <c r="C101" s="81" t="s">
        <v>745</v>
      </c>
      <c r="D101" s="81" t="s">
        <v>652</v>
      </c>
      <c r="E101" s="127">
        <v>2</v>
      </c>
      <c r="F101" s="155" t="s">
        <v>1254</v>
      </c>
      <c r="G101" s="155" t="s">
        <v>1255</v>
      </c>
      <c r="H101" s="73" t="s">
        <v>1080</v>
      </c>
      <c r="I101" s="74">
        <v>7</v>
      </c>
      <c r="J101" s="73" t="s">
        <v>732</v>
      </c>
      <c r="K101" s="74">
        <v>4</v>
      </c>
      <c r="L101" s="74"/>
      <c r="M101" s="81" t="s">
        <v>1256</v>
      </c>
      <c r="N101" s="82" t="s">
        <v>1257</v>
      </c>
      <c r="O101" s="74"/>
      <c r="P101" s="82" t="s">
        <v>1258</v>
      </c>
      <c r="Q101" s="126" t="s">
        <v>980</v>
      </c>
      <c r="R101" s="129" t="s">
        <v>1259</v>
      </c>
      <c r="S101" s="82" t="s">
        <v>852</v>
      </c>
      <c r="T101" s="82" t="s">
        <v>853</v>
      </c>
      <c r="U101" s="81" t="s">
        <v>1260</v>
      </c>
      <c r="V101" s="229" t="s">
        <v>1261</v>
      </c>
      <c r="W101" s="73"/>
      <c r="X101" s="81" t="s">
        <v>752</v>
      </c>
      <c r="Y101" s="81" t="s">
        <v>856</v>
      </c>
      <c r="Z101" s="81" t="s">
        <v>1262</v>
      </c>
      <c r="AA101" s="127" t="s">
        <v>753</v>
      </c>
    </row>
    <row r="102" spans="1:27" s="33" customFormat="1" ht="229.5">
      <c r="A102" s="27"/>
      <c r="B102" s="81" t="s">
        <v>654</v>
      </c>
      <c r="C102" s="155" t="s">
        <v>755</v>
      </c>
      <c r="D102" s="81" t="s">
        <v>655</v>
      </c>
      <c r="E102" s="74">
        <v>2</v>
      </c>
      <c r="F102" s="190" t="s">
        <v>1263</v>
      </c>
      <c r="G102" s="190" t="s">
        <v>1264</v>
      </c>
      <c r="H102" s="73" t="s">
        <v>1067</v>
      </c>
      <c r="I102" s="74">
        <v>7</v>
      </c>
      <c r="J102" s="73" t="s">
        <v>732</v>
      </c>
      <c r="K102" s="74">
        <v>4</v>
      </c>
      <c r="L102" s="74"/>
      <c r="M102" s="81" t="s">
        <v>1265</v>
      </c>
      <c r="N102" s="82" t="s">
        <v>1266</v>
      </c>
      <c r="O102" s="207"/>
      <c r="P102" s="83" t="s">
        <v>1267</v>
      </c>
      <c r="Q102" s="189"/>
      <c r="R102" s="189"/>
      <c r="S102" s="82" t="s">
        <v>858</v>
      </c>
      <c r="T102" s="82" t="s">
        <v>859</v>
      </c>
      <c r="U102" s="82" t="s">
        <v>1268</v>
      </c>
      <c r="V102" s="229" t="s">
        <v>1269</v>
      </c>
      <c r="W102" s="73"/>
      <c r="X102" s="83" t="s">
        <v>763</v>
      </c>
      <c r="Y102" s="82" t="s">
        <v>946</v>
      </c>
      <c r="Z102" s="190" t="s">
        <v>1270</v>
      </c>
      <c r="AA102" s="127" t="s">
        <v>1185</v>
      </c>
    </row>
    <row r="103" spans="1:27" s="33" customFormat="1" ht="91.5">
      <c r="A103" s="27"/>
      <c r="B103" s="153" t="s">
        <v>660</v>
      </c>
      <c r="C103" s="154" t="s">
        <v>775</v>
      </c>
      <c r="D103" s="154" t="s">
        <v>661</v>
      </c>
      <c r="E103" s="156">
        <v>2</v>
      </c>
      <c r="F103" s="81" t="s">
        <v>1271</v>
      </c>
      <c r="G103" s="81" t="s">
        <v>1272</v>
      </c>
      <c r="H103" s="73" t="s">
        <v>1170</v>
      </c>
      <c r="I103" s="74">
        <v>7</v>
      </c>
      <c r="J103" s="73" t="s">
        <v>732</v>
      </c>
      <c r="K103" s="74">
        <v>4</v>
      </c>
      <c r="L103" s="74"/>
      <c r="M103" s="81" t="s">
        <v>1273</v>
      </c>
      <c r="N103" s="82" t="s">
        <v>1274</v>
      </c>
      <c r="O103" s="74"/>
      <c r="P103" s="75"/>
      <c r="Q103" s="126" t="s">
        <v>980</v>
      </c>
      <c r="R103" s="129" t="s">
        <v>1275</v>
      </c>
      <c r="S103" s="82" t="s">
        <v>870</v>
      </c>
      <c r="T103" s="82" t="s">
        <v>871</v>
      </c>
      <c r="U103" s="82" t="s">
        <v>1276</v>
      </c>
      <c r="V103" s="229" t="s">
        <v>1277</v>
      </c>
      <c r="W103" s="73"/>
      <c r="X103" s="83" t="s">
        <v>780</v>
      </c>
      <c r="Y103" s="157" t="s">
        <v>965</v>
      </c>
      <c r="Z103" s="81" t="s">
        <v>1278</v>
      </c>
      <c r="AA103" s="127" t="s">
        <v>781</v>
      </c>
    </row>
    <row r="104" spans="1:27" s="33" customFormat="1" ht="76.5">
      <c r="A104" s="27"/>
      <c r="B104" s="81" t="s">
        <v>666</v>
      </c>
      <c r="C104" s="81" t="s">
        <v>792</v>
      </c>
      <c r="D104" s="81" t="s">
        <v>667</v>
      </c>
      <c r="E104" s="74">
        <v>2</v>
      </c>
      <c r="F104" s="190" t="s">
        <v>1263</v>
      </c>
      <c r="G104" s="190" t="s">
        <v>1264</v>
      </c>
      <c r="H104" s="73" t="s">
        <v>1067</v>
      </c>
      <c r="I104" s="74">
        <v>7</v>
      </c>
      <c r="J104" s="73" t="s">
        <v>732</v>
      </c>
      <c r="K104" s="74">
        <v>4</v>
      </c>
      <c r="L104" s="74"/>
      <c r="M104" s="81" t="s">
        <v>1265</v>
      </c>
      <c r="N104" s="82" t="s">
        <v>1266</v>
      </c>
      <c r="O104" s="207"/>
      <c r="P104" s="83" t="s">
        <v>1267</v>
      </c>
      <c r="Q104" s="189"/>
      <c r="R104" s="189"/>
      <c r="S104" s="82" t="s">
        <v>883</v>
      </c>
      <c r="T104" s="82" t="s">
        <v>884</v>
      </c>
      <c r="U104" s="82" t="s">
        <v>1279</v>
      </c>
      <c r="V104" s="229" t="s">
        <v>1280</v>
      </c>
      <c r="W104" s="73"/>
      <c r="X104" s="81" t="s">
        <v>797</v>
      </c>
      <c r="Y104" s="82" t="s">
        <v>887</v>
      </c>
      <c r="Z104" s="190" t="s">
        <v>1281</v>
      </c>
      <c r="AA104" s="127" t="s">
        <v>781</v>
      </c>
    </row>
    <row r="105" spans="1:27" s="33" customFormat="1" ht="290.25">
      <c r="A105" s="27"/>
      <c r="B105" s="75" t="s">
        <v>657</v>
      </c>
      <c r="C105" s="73" t="s">
        <v>766</v>
      </c>
      <c r="D105" s="73" t="s">
        <v>658</v>
      </c>
      <c r="E105" s="74">
        <v>2</v>
      </c>
      <c r="F105" s="155" t="s">
        <v>1078</v>
      </c>
      <c r="G105" s="155" t="s">
        <v>1079</v>
      </c>
      <c r="H105" s="73" t="s">
        <v>1080</v>
      </c>
      <c r="I105" s="74">
        <v>8</v>
      </c>
      <c r="J105" s="73" t="s">
        <v>732</v>
      </c>
      <c r="K105" s="74">
        <v>4</v>
      </c>
      <c r="L105" s="74"/>
      <c r="M105" s="155" t="s">
        <v>1081</v>
      </c>
      <c r="N105" s="82" t="s">
        <v>1082</v>
      </c>
      <c r="O105" s="74"/>
      <c r="P105" s="83" t="s">
        <v>1282</v>
      </c>
      <c r="Q105" s="126" t="s">
        <v>1084</v>
      </c>
      <c r="R105" s="129" t="s">
        <v>1085</v>
      </c>
      <c r="S105" s="82" t="s">
        <v>1113</v>
      </c>
      <c r="T105" s="82" t="s">
        <v>1114</v>
      </c>
      <c r="U105" s="82" t="s">
        <v>1115</v>
      </c>
      <c r="V105" s="229" t="s">
        <v>1283</v>
      </c>
      <c r="W105" s="73"/>
      <c r="X105" s="81" t="s">
        <v>773</v>
      </c>
      <c r="Y105" s="81" t="s">
        <v>1131</v>
      </c>
      <c r="Z105" s="157" t="s">
        <v>1132</v>
      </c>
      <c r="AA105" s="127" t="s">
        <v>1118</v>
      </c>
    </row>
    <row r="106" spans="1:27" s="33" customFormat="1" ht="91.5">
      <c r="A106" s="27"/>
      <c r="B106" s="190" t="s">
        <v>669</v>
      </c>
      <c r="C106" s="190" t="s">
        <v>798</v>
      </c>
      <c r="D106" s="190" t="s">
        <v>670</v>
      </c>
      <c r="E106" s="74">
        <v>2</v>
      </c>
      <c r="F106" s="190" t="s">
        <v>1177</v>
      </c>
      <c r="G106" s="190" t="s">
        <v>1178</v>
      </c>
      <c r="H106" s="73" t="s">
        <v>1067</v>
      </c>
      <c r="I106" s="74">
        <v>7</v>
      </c>
      <c r="J106" s="73" t="s">
        <v>732</v>
      </c>
      <c r="K106" s="74">
        <v>4</v>
      </c>
      <c r="L106" s="74"/>
      <c r="M106" s="81" t="s">
        <v>1179</v>
      </c>
      <c r="N106" s="82" t="s">
        <v>1180</v>
      </c>
      <c r="O106" s="207"/>
      <c r="P106" s="83" t="s">
        <v>1181</v>
      </c>
      <c r="Q106" s="189"/>
      <c r="R106" s="189"/>
      <c r="S106" s="82" t="s">
        <v>793</v>
      </c>
      <c r="T106" s="82" t="s">
        <v>889</v>
      </c>
      <c r="U106" s="82" t="s">
        <v>1284</v>
      </c>
      <c r="V106" s="229" t="s">
        <v>1285</v>
      </c>
      <c r="W106" s="73"/>
      <c r="X106" s="81" t="s">
        <v>797</v>
      </c>
      <c r="Y106" s="82" t="s">
        <v>887</v>
      </c>
      <c r="Z106" s="157" t="s">
        <v>1222</v>
      </c>
      <c r="AA106" s="127" t="s">
        <v>781</v>
      </c>
    </row>
    <row r="107" spans="1:27" s="33" customFormat="1" ht="409.6">
      <c r="A107" s="27"/>
      <c r="B107" s="81" t="s">
        <v>663</v>
      </c>
      <c r="C107" s="81" t="s">
        <v>783</v>
      </c>
      <c r="D107" s="81" t="s">
        <v>664</v>
      </c>
      <c r="E107" s="127">
        <v>2</v>
      </c>
      <c r="F107" s="208" t="s">
        <v>1078</v>
      </c>
      <c r="G107" s="155" t="s">
        <v>1079</v>
      </c>
      <c r="H107" s="73" t="s">
        <v>1080</v>
      </c>
      <c r="I107" s="74">
        <v>7</v>
      </c>
      <c r="J107" s="73" t="s">
        <v>732</v>
      </c>
      <c r="K107" s="74">
        <v>4</v>
      </c>
      <c r="L107" s="74"/>
      <c r="M107" s="155" t="s">
        <v>1081</v>
      </c>
      <c r="N107" s="82" t="s">
        <v>1082</v>
      </c>
      <c r="O107" s="74"/>
      <c r="P107" s="83" t="s">
        <v>1286</v>
      </c>
      <c r="Q107" s="126" t="s">
        <v>1084</v>
      </c>
      <c r="R107" s="210" t="s">
        <v>1085</v>
      </c>
      <c r="S107" s="82" t="s">
        <v>1287</v>
      </c>
      <c r="T107" s="82" t="s">
        <v>1288</v>
      </c>
      <c r="U107" s="82" t="s">
        <v>1289</v>
      </c>
      <c r="V107" s="229" t="s">
        <v>1290</v>
      </c>
      <c r="W107" s="73"/>
      <c r="X107" s="81" t="s">
        <v>789</v>
      </c>
      <c r="Y107" s="81" t="s">
        <v>1291</v>
      </c>
      <c r="Z107" s="81" t="s">
        <v>1292</v>
      </c>
      <c r="AA107" s="127" t="s">
        <v>1201</v>
      </c>
    </row>
    <row r="108" spans="1:27" s="33" customFormat="1" ht="121.5">
      <c r="A108" s="27"/>
      <c r="B108" s="81" t="s">
        <v>672</v>
      </c>
      <c r="C108" s="81" t="s">
        <v>803</v>
      </c>
      <c r="D108" s="155" t="s">
        <v>673</v>
      </c>
      <c r="E108" s="127">
        <v>2</v>
      </c>
      <c r="F108" s="155" t="s">
        <v>1078</v>
      </c>
      <c r="G108" s="155" t="s">
        <v>1079</v>
      </c>
      <c r="H108" s="73" t="s">
        <v>1080</v>
      </c>
      <c r="I108" s="74">
        <v>7</v>
      </c>
      <c r="J108" s="73" t="s">
        <v>732</v>
      </c>
      <c r="K108" s="74">
        <v>4</v>
      </c>
      <c r="L108" s="74"/>
      <c r="M108" s="155" t="s">
        <v>1081</v>
      </c>
      <c r="N108" s="82" t="s">
        <v>1082</v>
      </c>
      <c r="O108" s="74"/>
      <c r="P108" s="83" t="s">
        <v>1293</v>
      </c>
      <c r="Q108" s="81" t="s">
        <v>1084</v>
      </c>
      <c r="R108" s="81" t="s">
        <v>1085</v>
      </c>
      <c r="S108" s="82" t="s">
        <v>1294</v>
      </c>
      <c r="T108" s="82" t="s">
        <v>1295</v>
      </c>
      <c r="U108" s="82" t="s">
        <v>1296</v>
      </c>
      <c r="V108" s="171" t="s">
        <v>1297</v>
      </c>
      <c r="W108" s="73"/>
      <c r="X108" s="81" t="s">
        <v>810</v>
      </c>
      <c r="Y108" s="81" t="s">
        <v>984</v>
      </c>
      <c r="Z108" s="73" t="s">
        <v>1110</v>
      </c>
      <c r="AA108" s="74" t="s">
        <v>781</v>
      </c>
    </row>
    <row r="109" spans="1:27" s="33" customFormat="1" ht="290.25">
      <c r="A109" s="27"/>
      <c r="B109" s="81" t="s">
        <v>678</v>
      </c>
      <c r="C109" s="81" t="s">
        <v>814</v>
      </c>
      <c r="D109" s="81" t="s">
        <v>679</v>
      </c>
      <c r="E109" s="191">
        <v>2</v>
      </c>
      <c r="F109" s="190" t="s">
        <v>1298</v>
      </c>
      <c r="G109" s="190" t="s">
        <v>1299</v>
      </c>
      <c r="H109" s="73" t="s">
        <v>1080</v>
      </c>
      <c r="I109" s="74">
        <v>7</v>
      </c>
      <c r="J109" s="73" t="s">
        <v>732</v>
      </c>
      <c r="K109" s="74">
        <v>4</v>
      </c>
      <c r="L109" s="74"/>
      <c r="M109" s="155" t="s">
        <v>1300</v>
      </c>
      <c r="N109" s="82" t="s">
        <v>1301</v>
      </c>
      <c r="O109" s="74" t="s">
        <v>735</v>
      </c>
      <c r="P109" s="83" t="s">
        <v>1302</v>
      </c>
      <c r="Q109" s="189"/>
      <c r="R109" s="189"/>
      <c r="S109" s="81" t="s">
        <v>1303</v>
      </c>
      <c r="T109" s="81" t="s">
        <v>1304</v>
      </c>
      <c r="U109" s="82" t="s">
        <v>1305</v>
      </c>
      <c r="V109" s="187" t="s">
        <v>1306</v>
      </c>
      <c r="W109" s="154"/>
      <c r="X109" s="81" t="s">
        <v>821</v>
      </c>
      <c r="Y109" s="81" t="s">
        <v>1307</v>
      </c>
      <c r="Z109" s="190" t="s">
        <v>1308</v>
      </c>
      <c r="AA109" s="191" t="s">
        <v>1309</v>
      </c>
    </row>
    <row r="110" spans="1:27" s="33" customFormat="1" ht="137.25">
      <c r="A110" s="27"/>
      <c r="B110" s="81" t="s">
        <v>675</v>
      </c>
      <c r="C110" s="81" t="s">
        <v>812</v>
      </c>
      <c r="D110" s="81" t="s">
        <v>676</v>
      </c>
      <c r="E110" s="74">
        <v>2</v>
      </c>
      <c r="F110" s="190" t="s">
        <v>1263</v>
      </c>
      <c r="G110" s="190" t="s">
        <v>1264</v>
      </c>
      <c r="H110" s="73" t="s">
        <v>1067</v>
      </c>
      <c r="I110" s="74">
        <v>7</v>
      </c>
      <c r="J110" s="73" t="s">
        <v>732</v>
      </c>
      <c r="K110" s="74">
        <v>4</v>
      </c>
      <c r="L110" s="74"/>
      <c r="M110" s="81" t="s">
        <v>1265</v>
      </c>
      <c r="N110" s="82" t="s">
        <v>1266</v>
      </c>
      <c r="O110" s="207"/>
      <c r="P110" s="83" t="s">
        <v>1267</v>
      </c>
      <c r="Q110" s="189"/>
      <c r="R110" s="189"/>
      <c r="S110" s="82" t="s">
        <v>864</v>
      </c>
      <c r="T110" s="82" t="s">
        <v>865</v>
      </c>
      <c r="U110" s="82" t="s">
        <v>1310</v>
      </c>
      <c r="V110" s="229" t="s">
        <v>1311</v>
      </c>
      <c r="W110" s="73"/>
      <c r="X110" s="81" t="s">
        <v>773</v>
      </c>
      <c r="Y110" s="82" t="s">
        <v>868</v>
      </c>
      <c r="Z110" s="190" t="s">
        <v>1312</v>
      </c>
      <c r="AA110" s="127" t="s">
        <v>753</v>
      </c>
    </row>
    <row r="111" spans="1:27" s="33" customFormat="1" ht="76.5">
      <c r="A111" s="27"/>
      <c r="B111" s="75" t="s">
        <v>687</v>
      </c>
      <c r="C111" s="81" t="s">
        <v>826</v>
      </c>
      <c r="D111" s="81" t="s">
        <v>688</v>
      </c>
      <c r="E111" s="74">
        <v>2</v>
      </c>
      <c r="F111" s="236" t="s">
        <v>1078</v>
      </c>
      <c r="G111" s="155" t="s">
        <v>1079</v>
      </c>
      <c r="H111" s="73" t="s">
        <v>1080</v>
      </c>
      <c r="I111" s="74">
        <v>7</v>
      </c>
      <c r="J111" s="73" t="s">
        <v>732</v>
      </c>
      <c r="K111" s="74">
        <v>4</v>
      </c>
      <c r="L111" s="74"/>
      <c r="M111" s="155" t="s">
        <v>1081</v>
      </c>
      <c r="N111" s="82" t="s">
        <v>1082</v>
      </c>
      <c r="O111" s="74"/>
      <c r="P111" s="83" t="s">
        <v>1313</v>
      </c>
      <c r="Q111" s="126" t="s">
        <v>1084</v>
      </c>
      <c r="R111" s="82" t="s">
        <v>1085</v>
      </c>
      <c r="S111" s="82" t="s">
        <v>1314</v>
      </c>
      <c r="T111" s="82" t="s">
        <v>1315</v>
      </c>
      <c r="U111" s="82" t="s">
        <v>771</v>
      </c>
      <c r="V111" s="229" t="s">
        <v>1316</v>
      </c>
      <c r="W111" s="73"/>
      <c r="X111" s="82" t="s">
        <v>832</v>
      </c>
      <c r="Y111" s="82" t="s">
        <v>914</v>
      </c>
      <c r="Z111" s="190" t="s">
        <v>1317</v>
      </c>
      <c r="AA111" s="127" t="s">
        <v>781</v>
      </c>
    </row>
    <row r="112" spans="1:27" s="33" customFormat="1" ht="137.25">
      <c r="A112" s="27"/>
      <c r="B112" s="82" t="s">
        <v>681</v>
      </c>
      <c r="C112" s="82" t="s">
        <v>822</v>
      </c>
      <c r="D112" s="82" t="s">
        <v>682</v>
      </c>
      <c r="E112" s="74">
        <v>2</v>
      </c>
      <c r="F112" s="190" t="s">
        <v>1263</v>
      </c>
      <c r="G112" s="190" t="s">
        <v>1264</v>
      </c>
      <c r="H112" s="73" t="s">
        <v>1067</v>
      </c>
      <c r="I112" s="74">
        <v>7</v>
      </c>
      <c r="J112" s="73" t="s">
        <v>732</v>
      </c>
      <c r="K112" s="74">
        <v>4</v>
      </c>
      <c r="L112" s="74"/>
      <c r="M112" s="81" t="s">
        <v>1265</v>
      </c>
      <c r="N112" s="82" t="s">
        <v>1266</v>
      </c>
      <c r="O112" s="207"/>
      <c r="P112" s="83" t="s">
        <v>1267</v>
      </c>
      <c r="Q112" s="189"/>
      <c r="R112" s="189"/>
      <c r="S112" s="82" t="s">
        <v>864</v>
      </c>
      <c r="T112" s="82" t="s">
        <v>865</v>
      </c>
      <c r="U112" s="82" t="s">
        <v>1310</v>
      </c>
      <c r="V112" s="229" t="s">
        <v>1318</v>
      </c>
      <c r="W112" s="73"/>
      <c r="X112" s="81" t="s">
        <v>773</v>
      </c>
      <c r="Y112" s="82" t="s">
        <v>868</v>
      </c>
      <c r="Z112" s="190" t="s">
        <v>1312</v>
      </c>
      <c r="AA112" s="127" t="s">
        <v>753</v>
      </c>
    </row>
    <row r="113" spans="1:27" s="33" customFormat="1" ht="76.5">
      <c r="A113" s="27"/>
      <c r="B113" s="81" t="s">
        <v>684</v>
      </c>
      <c r="C113" s="81" t="s">
        <v>824</v>
      </c>
      <c r="D113" s="81" t="s">
        <v>685</v>
      </c>
      <c r="E113" s="127">
        <v>2</v>
      </c>
      <c r="F113" s="81" t="s">
        <v>1271</v>
      </c>
      <c r="G113" s="81" t="s">
        <v>1272</v>
      </c>
      <c r="H113" s="73" t="s">
        <v>1170</v>
      </c>
      <c r="I113" s="74">
        <v>7</v>
      </c>
      <c r="J113" s="73" t="s">
        <v>732</v>
      </c>
      <c r="K113" s="74">
        <v>4</v>
      </c>
      <c r="L113" s="74"/>
      <c r="M113" s="81" t="s">
        <v>1273</v>
      </c>
      <c r="N113" s="82" t="s">
        <v>1274</v>
      </c>
      <c r="O113" s="74"/>
      <c r="P113" s="75"/>
      <c r="Q113" s="126" t="s">
        <v>980</v>
      </c>
      <c r="R113" s="129" t="s">
        <v>1275</v>
      </c>
      <c r="S113" s="82" t="s">
        <v>870</v>
      </c>
      <c r="T113" s="82" t="s">
        <v>871</v>
      </c>
      <c r="U113" s="82" t="s">
        <v>1276</v>
      </c>
      <c r="V113" s="249" t="s">
        <v>1319</v>
      </c>
      <c r="W113" s="73"/>
      <c r="X113" s="83" t="s">
        <v>780</v>
      </c>
      <c r="Y113" s="157" t="s">
        <v>965</v>
      </c>
      <c r="Z113" s="81" t="s">
        <v>1278</v>
      </c>
      <c r="AA113" s="127" t="s">
        <v>781</v>
      </c>
    </row>
    <row r="114" spans="1:27" s="33" customFormat="1" ht="409.6">
      <c r="A114" s="27"/>
      <c r="B114" s="81" t="s">
        <v>690</v>
      </c>
      <c r="C114" s="81" t="s">
        <v>833</v>
      </c>
      <c r="D114" s="81" t="s">
        <v>691</v>
      </c>
      <c r="E114" s="127">
        <v>2</v>
      </c>
      <c r="F114" s="81" t="s">
        <v>1254</v>
      </c>
      <c r="G114" s="155" t="s">
        <v>1255</v>
      </c>
      <c r="H114" s="73" t="s">
        <v>1080</v>
      </c>
      <c r="I114" s="74">
        <v>7</v>
      </c>
      <c r="J114" s="73" t="s">
        <v>732</v>
      </c>
      <c r="K114" s="74">
        <v>3</v>
      </c>
      <c r="L114" s="74"/>
      <c r="M114" s="81" t="s">
        <v>1256</v>
      </c>
      <c r="N114" s="82" t="s">
        <v>1257</v>
      </c>
      <c r="O114" s="74"/>
      <c r="P114" s="83" t="s">
        <v>1320</v>
      </c>
      <c r="Q114" s="126" t="s">
        <v>980</v>
      </c>
      <c r="R114" s="129" t="s">
        <v>1259</v>
      </c>
      <c r="S114" s="82" t="s">
        <v>916</v>
      </c>
      <c r="T114" s="82" t="s">
        <v>917</v>
      </c>
      <c r="U114" s="82" t="s">
        <v>1321</v>
      </c>
      <c r="V114" s="229" t="s">
        <v>1322</v>
      </c>
      <c r="W114" s="73"/>
      <c r="X114" s="192" t="s">
        <v>838</v>
      </c>
      <c r="Y114" s="192" t="s">
        <v>1323</v>
      </c>
      <c r="Z114" s="192" t="s">
        <v>1324</v>
      </c>
      <c r="AA114" s="127" t="s">
        <v>839</v>
      </c>
    </row>
    <row r="115" spans="1:27" s="33" customFormat="1" ht="198">
      <c r="A115" s="27"/>
      <c r="B115" s="81" t="s">
        <v>648</v>
      </c>
      <c r="C115" s="81" t="s">
        <v>728</v>
      </c>
      <c r="D115" s="81" t="s">
        <v>649</v>
      </c>
      <c r="E115" s="127">
        <v>2</v>
      </c>
      <c r="F115" s="155" t="s">
        <v>1254</v>
      </c>
      <c r="G115" s="155" t="s">
        <v>1255</v>
      </c>
      <c r="H115" s="73" t="s">
        <v>1080</v>
      </c>
      <c r="I115" s="74">
        <v>8</v>
      </c>
      <c r="J115" s="73" t="s">
        <v>732</v>
      </c>
      <c r="K115" s="74">
        <v>4</v>
      </c>
      <c r="L115" s="74"/>
      <c r="M115" s="81" t="s">
        <v>1256</v>
      </c>
      <c r="N115" s="82" t="s">
        <v>1257</v>
      </c>
      <c r="O115" s="74"/>
      <c r="P115" s="83" t="s">
        <v>1325</v>
      </c>
      <c r="Q115" s="126" t="s">
        <v>980</v>
      </c>
      <c r="R115" s="129" t="s">
        <v>1259</v>
      </c>
      <c r="S115" s="83" t="s">
        <v>1326</v>
      </c>
      <c r="T115" s="83" t="s">
        <v>1327</v>
      </c>
      <c r="U115" s="83" t="s">
        <v>1328</v>
      </c>
      <c r="V115" s="171" t="s">
        <v>1329</v>
      </c>
      <c r="W115" s="73"/>
      <c r="X115" s="83" t="s">
        <v>849</v>
      </c>
      <c r="Y115" s="81" t="s">
        <v>1330</v>
      </c>
      <c r="Z115" s="81" t="s">
        <v>1331</v>
      </c>
      <c r="AA115" s="127" t="s">
        <v>1332</v>
      </c>
    </row>
    <row r="116" spans="1:27" s="33" customFormat="1" ht="91.5">
      <c r="A116" s="27"/>
      <c r="B116" s="81" t="s">
        <v>651</v>
      </c>
      <c r="C116" s="81" t="s">
        <v>745</v>
      </c>
      <c r="D116" s="81" t="s">
        <v>652</v>
      </c>
      <c r="E116" s="127">
        <v>2</v>
      </c>
      <c r="F116" s="81" t="s">
        <v>1333</v>
      </c>
      <c r="G116" s="81" t="s">
        <v>1334</v>
      </c>
      <c r="H116" s="73" t="s">
        <v>1159</v>
      </c>
      <c r="I116" s="74">
        <v>8</v>
      </c>
      <c r="J116" s="73" t="s">
        <v>732</v>
      </c>
      <c r="K116" s="74">
        <v>10</v>
      </c>
      <c r="L116" s="74"/>
      <c r="M116" s="81" t="s">
        <v>1335</v>
      </c>
      <c r="N116" s="82" t="s">
        <v>1336</v>
      </c>
      <c r="O116" s="74"/>
      <c r="P116" s="75"/>
      <c r="Q116" s="126" t="s">
        <v>980</v>
      </c>
      <c r="R116" s="129" t="s">
        <v>1337</v>
      </c>
      <c r="S116" s="82" t="s">
        <v>852</v>
      </c>
      <c r="T116" s="82" t="s">
        <v>853</v>
      </c>
      <c r="U116" s="81" t="s">
        <v>1338</v>
      </c>
      <c r="V116" s="229" t="s">
        <v>1339</v>
      </c>
      <c r="W116" s="73"/>
      <c r="X116" s="81" t="s">
        <v>752</v>
      </c>
      <c r="Y116" s="81" t="s">
        <v>856</v>
      </c>
      <c r="Z116" s="81" t="s">
        <v>1340</v>
      </c>
      <c r="AA116" s="127" t="s">
        <v>753</v>
      </c>
    </row>
    <row r="117" spans="1:27" s="33" customFormat="1" ht="137.25">
      <c r="A117" s="27"/>
      <c r="B117" s="73" t="s">
        <v>657</v>
      </c>
      <c r="C117" s="73" t="s">
        <v>766</v>
      </c>
      <c r="D117" s="73" t="s">
        <v>658</v>
      </c>
      <c r="E117" s="74">
        <v>2</v>
      </c>
      <c r="F117" s="190" t="s">
        <v>1177</v>
      </c>
      <c r="G117" s="190" t="s">
        <v>1178</v>
      </c>
      <c r="H117" s="73" t="s">
        <v>1067</v>
      </c>
      <c r="I117" s="74">
        <v>9</v>
      </c>
      <c r="J117" s="73" t="s">
        <v>732</v>
      </c>
      <c r="K117" s="74">
        <v>4</v>
      </c>
      <c r="L117" s="74"/>
      <c r="M117" s="81" t="s">
        <v>1179</v>
      </c>
      <c r="N117" s="82" t="s">
        <v>1180</v>
      </c>
      <c r="O117" s="207"/>
      <c r="P117" s="83" t="s">
        <v>1181</v>
      </c>
      <c r="Q117" s="189"/>
      <c r="R117" s="189"/>
      <c r="S117" s="82" t="s">
        <v>864</v>
      </c>
      <c r="T117" s="82" t="s">
        <v>865</v>
      </c>
      <c r="U117" s="82" t="s">
        <v>1231</v>
      </c>
      <c r="V117" s="229" t="s">
        <v>1341</v>
      </c>
      <c r="W117" s="73"/>
      <c r="X117" s="81" t="s">
        <v>773</v>
      </c>
      <c r="Y117" s="82" t="s">
        <v>1342</v>
      </c>
      <c r="Z117" s="157" t="s">
        <v>1343</v>
      </c>
      <c r="AA117" s="127" t="s">
        <v>1118</v>
      </c>
    </row>
    <row r="118" spans="1:27" s="33" customFormat="1" ht="137.25">
      <c r="A118" s="27"/>
      <c r="B118" s="153" t="s">
        <v>660</v>
      </c>
      <c r="C118" s="154" t="s">
        <v>775</v>
      </c>
      <c r="D118" s="154" t="s">
        <v>661</v>
      </c>
      <c r="E118" s="127">
        <v>2</v>
      </c>
      <c r="F118" s="190" t="s">
        <v>1168</v>
      </c>
      <c r="G118" s="190" t="s">
        <v>1169</v>
      </c>
      <c r="H118" s="73" t="s">
        <v>1170</v>
      </c>
      <c r="I118" s="74">
        <v>8</v>
      </c>
      <c r="J118" s="73" t="s">
        <v>732</v>
      </c>
      <c r="K118" s="74">
        <v>4</v>
      </c>
      <c r="L118" s="74"/>
      <c r="M118" s="155" t="s">
        <v>1171</v>
      </c>
      <c r="N118" s="82" t="s">
        <v>1172</v>
      </c>
      <c r="O118" s="74"/>
      <c r="P118" s="75"/>
      <c r="Q118" s="189" t="s">
        <v>1344</v>
      </c>
      <c r="R118" s="189" t="s">
        <v>1345</v>
      </c>
      <c r="S118" s="82" t="s">
        <v>870</v>
      </c>
      <c r="T118" s="82" t="s">
        <v>871</v>
      </c>
      <c r="U118" s="82" t="s">
        <v>743</v>
      </c>
      <c r="V118" s="229" t="s">
        <v>1346</v>
      </c>
      <c r="W118" s="73"/>
      <c r="X118" s="83" t="s">
        <v>780</v>
      </c>
      <c r="Y118" s="82" t="s">
        <v>781</v>
      </c>
      <c r="Z118" s="190" t="s">
        <v>781</v>
      </c>
      <c r="AA118" s="191" t="s">
        <v>1041</v>
      </c>
    </row>
    <row r="119" spans="1:27" s="33" customFormat="1" ht="244.5">
      <c r="A119" s="27"/>
      <c r="B119" s="81" t="s">
        <v>663</v>
      </c>
      <c r="C119" s="81" t="s">
        <v>783</v>
      </c>
      <c r="D119" s="81" t="s">
        <v>664</v>
      </c>
      <c r="E119" s="191">
        <v>2</v>
      </c>
      <c r="F119" s="190" t="s">
        <v>1168</v>
      </c>
      <c r="G119" s="190" t="s">
        <v>1169</v>
      </c>
      <c r="H119" s="73" t="s">
        <v>1170</v>
      </c>
      <c r="I119" s="74">
        <v>8</v>
      </c>
      <c r="J119" s="73" t="s">
        <v>732</v>
      </c>
      <c r="K119" s="74">
        <v>4</v>
      </c>
      <c r="L119" s="74"/>
      <c r="M119" s="155" t="s">
        <v>1171</v>
      </c>
      <c r="N119" s="82" t="s">
        <v>1172</v>
      </c>
      <c r="O119" s="74"/>
      <c r="P119" s="75"/>
      <c r="Q119" s="189"/>
      <c r="R119" s="189"/>
      <c r="S119" s="82" t="s">
        <v>1287</v>
      </c>
      <c r="T119" s="82" t="s">
        <v>1347</v>
      </c>
      <c r="U119" s="238" t="s">
        <v>1348</v>
      </c>
      <c r="V119" s="250" t="s">
        <v>1349</v>
      </c>
      <c r="W119" s="73"/>
      <c r="X119" s="81" t="s">
        <v>789</v>
      </c>
      <c r="Y119" s="81" t="s">
        <v>1350</v>
      </c>
      <c r="Z119" s="83" t="s">
        <v>1351</v>
      </c>
      <c r="AA119" s="127" t="s">
        <v>1352</v>
      </c>
    </row>
    <row r="120" spans="1:27" s="33" customFormat="1" ht="45.75">
      <c r="A120" s="27"/>
      <c r="B120" s="81" t="s">
        <v>666</v>
      </c>
      <c r="C120" s="81" t="s">
        <v>792</v>
      </c>
      <c r="D120" s="81" t="s">
        <v>667</v>
      </c>
      <c r="E120" s="74">
        <v>2</v>
      </c>
      <c r="F120" s="190" t="s">
        <v>1065</v>
      </c>
      <c r="G120" s="190" t="s">
        <v>1066</v>
      </c>
      <c r="H120" s="73" t="s">
        <v>1067</v>
      </c>
      <c r="I120" s="74">
        <v>8</v>
      </c>
      <c r="J120" s="73" t="s">
        <v>732</v>
      </c>
      <c r="K120" s="74">
        <v>4</v>
      </c>
      <c r="L120" s="74"/>
      <c r="M120" s="155" t="s">
        <v>1068</v>
      </c>
      <c r="N120" s="82" t="s">
        <v>1069</v>
      </c>
      <c r="O120" s="207"/>
      <c r="P120" s="83" t="s">
        <v>1070</v>
      </c>
      <c r="Q120" s="189"/>
      <c r="R120" s="189"/>
      <c r="S120" s="82" t="s">
        <v>883</v>
      </c>
      <c r="T120" s="82" t="s">
        <v>884</v>
      </c>
      <c r="U120" s="82" t="s">
        <v>1353</v>
      </c>
      <c r="V120" s="229" t="s">
        <v>1354</v>
      </c>
      <c r="W120" s="73"/>
      <c r="X120" s="81" t="s">
        <v>797</v>
      </c>
      <c r="Y120" s="82" t="s">
        <v>887</v>
      </c>
      <c r="Z120" s="157" t="s">
        <v>1317</v>
      </c>
      <c r="AA120" s="127" t="s">
        <v>781</v>
      </c>
    </row>
    <row r="121" spans="1:27" s="33" customFormat="1" ht="91.5">
      <c r="A121" s="27"/>
      <c r="B121" s="190" t="s">
        <v>669</v>
      </c>
      <c r="C121" s="190" t="s">
        <v>798</v>
      </c>
      <c r="D121" s="190" t="s">
        <v>670</v>
      </c>
      <c r="E121" s="74">
        <v>2</v>
      </c>
      <c r="F121" s="190" t="s">
        <v>1263</v>
      </c>
      <c r="G121" s="190" t="s">
        <v>1264</v>
      </c>
      <c r="H121" s="73" t="s">
        <v>1067</v>
      </c>
      <c r="I121" s="74">
        <v>8</v>
      </c>
      <c r="J121" s="73" t="s">
        <v>732</v>
      </c>
      <c r="K121" s="74">
        <v>4</v>
      </c>
      <c r="L121" s="74"/>
      <c r="M121" s="81" t="s">
        <v>1265</v>
      </c>
      <c r="N121" s="82" t="s">
        <v>1266</v>
      </c>
      <c r="O121" s="207"/>
      <c r="P121" s="83" t="s">
        <v>1267</v>
      </c>
      <c r="Q121" s="189"/>
      <c r="R121" s="189"/>
      <c r="S121" s="82" t="s">
        <v>793</v>
      </c>
      <c r="T121" s="82" t="s">
        <v>889</v>
      </c>
      <c r="U121" s="82" t="s">
        <v>1355</v>
      </c>
      <c r="V121" s="229" t="s">
        <v>1356</v>
      </c>
      <c r="W121" s="73"/>
      <c r="X121" s="81" t="s">
        <v>797</v>
      </c>
      <c r="Y121" s="82" t="s">
        <v>887</v>
      </c>
      <c r="Z121" s="190" t="s">
        <v>1281</v>
      </c>
      <c r="AA121" s="127" t="s">
        <v>781</v>
      </c>
    </row>
    <row r="122" spans="1:27" s="33" customFormat="1" ht="152.25">
      <c r="A122" s="27"/>
      <c r="B122" s="81" t="s">
        <v>672</v>
      </c>
      <c r="C122" s="81" t="s">
        <v>803</v>
      </c>
      <c r="D122" s="155" t="s">
        <v>673</v>
      </c>
      <c r="E122" s="127">
        <v>2</v>
      </c>
      <c r="F122" s="190" t="s">
        <v>1168</v>
      </c>
      <c r="G122" s="190" t="s">
        <v>1169</v>
      </c>
      <c r="H122" s="73" t="s">
        <v>1170</v>
      </c>
      <c r="I122" s="74">
        <v>8</v>
      </c>
      <c r="J122" s="73" t="s">
        <v>732</v>
      </c>
      <c r="K122" s="74">
        <v>4</v>
      </c>
      <c r="L122" s="74"/>
      <c r="M122" s="155" t="s">
        <v>1171</v>
      </c>
      <c r="N122" s="82" t="s">
        <v>1172</v>
      </c>
      <c r="O122" s="74"/>
      <c r="P122" s="75"/>
      <c r="Q122" s="81" t="s">
        <v>980</v>
      </c>
      <c r="R122" s="189" t="s">
        <v>1345</v>
      </c>
      <c r="S122" s="83" t="s">
        <v>892</v>
      </c>
      <c r="T122" s="83" t="s">
        <v>893</v>
      </c>
      <c r="U122" s="82" t="s">
        <v>1357</v>
      </c>
      <c r="V122" s="229" t="s">
        <v>1358</v>
      </c>
      <c r="W122" s="73"/>
      <c r="X122" s="81" t="s">
        <v>810</v>
      </c>
      <c r="Y122" s="81" t="s">
        <v>811</v>
      </c>
      <c r="Z122" s="190" t="s">
        <v>1359</v>
      </c>
      <c r="AA122" s="74" t="s">
        <v>781</v>
      </c>
    </row>
    <row r="123" spans="1:27" s="33" customFormat="1" ht="106.5">
      <c r="A123" s="27"/>
      <c r="B123" s="81" t="s">
        <v>675</v>
      </c>
      <c r="C123" s="81" t="s">
        <v>812</v>
      </c>
      <c r="D123" s="81" t="s">
        <v>676</v>
      </c>
      <c r="E123" s="74">
        <v>2</v>
      </c>
      <c r="F123" s="190" t="s">
        <v>1065</v>
      </c>
      <c r="G123" s="190" t="s">
        <v>1066</v>
      </c>
      <c r="H123" s="73" t="s">
        <v>1067</v>
      </c>
      <c r="I123" s="74">
        <v>8</v>
      </c>
      <c r="J123" s="73" t="s">
        <v>732</v>
      </c>
      <c r="K123" s="74">
        <v>4</v>
      </c>
      <c r="L123" s="74"/>
      <c r="M123" s="155" t="s">
        <v>1068</v>
      </c>
      <c r="N123" s="82" t="s">
        <v>1069</v>
      </c>
      <c r="O123" s="207"/>
      <c r="P123" s="83" t="s">
        <v>1070</v>
      </c>
      <c r="Q123" s="189"/>
      <c r="R123" s="189"/>
      <c r="S123" s="82" t="s">
        <v>864</v>
      </c>
      <c r="T123" s="82" t="s">
        <v>865</v>
      </c>
      <c r="U123" s="82" t="s">
        <v>1360</v>
      </c>
      <c r="V123" s="229" t="s">
        <v>1361</v>
      </c>
      <c r="W123" s="73"/>
      <c r="X123" s="81" t="s">
        <v>773</v>
      </c>
      <c r="Y123" s="82" t="s">
        <v>868</v>
      </c>
      <c r="Z123" s="157" t="s">
        <v>1362</v>
      </c>
      <c r="AA123" s="191" t="s">
        <v>1128</v>
      </c>
    </row>
    <row r="124" spans="1:27" s="33" customFormat="1" ht="290.25">
      <c r="A124" s="27"/>
      <c r="B124" s="81" t="s">
        <v>678</v>
      </c>
      <c r="C124" s="81" t="s">
        <v>814</v>
      </c>
      <c r="D124" s="81" t="s">
        <v>679</v>
      </c>
      <c r="E124" s="191">
        <v>2</v>
      </c>
      <c r="F124" s="190" t="s">
        <v>1238</v>
      </c>
      <c r="G124" s="190" t="s">
        <v>1239</v>
      </c>
      <c r="H124" s="73" t="s">
        <v>1080</v>
      </c>
      <c r="I124" s="74">
        <v>8</v>
      </c>
      <c r="J124" s="73" t="s">
        <v>732</v>
      </c>
      <c r="K124" s="74">
        <v>4</v>
      </c>
      <c r="L124" s="74"/>
      <c r="M124" s="155" t="s">
        <v>1240</v>
      </c>
      <c r="N124" s="82" t="s">
        <v>1241</v>
      </c>
      <c r="O124" s="74" t="s">
        <v>735</v>
      </c>
      <c r="P124" s="83" t="s">
        <v>1242</v>
      </c>
      <c r="Q124" s="189"/>
      <c r="R124" s="189"/>
      <c r="S124" s="81" t="s">
        <v>1363</v>
      </c>
      <c r="T124" s="81" t="s">
        <v>1304</v>
      </c>
      <c r="U124" s="82" t="s">
        <v>1364</v>
      </c>
      <c r="V124" s="187" t="s">
        <v>1365</v>
      </c>
      <c r="W124" s="154"/>
      <c r="X124" s="81" t="s">
        <v>821</v>
      </c>
      <c r="Y124" s="81" t="s">
        <v>1307</v>
      </c>
      <c r="Z124" s="190" t="s">
        <v>1366</v>
      </c>
      <c r="AA124" s="191" t="s">
        <v>1309</v>
      </c>
    </row>
    <row r="125" spans="1:27" s="33" customFormat="1" ht="259.5">
      <c r="A125" s="27"/>
      <c r="B125" s="81" t="s">
        <v>654</v>
      </c>
      <c r="C125" s="155" t="s">
        <v>755</v>
      </c>
      <c r="D125" s="81" t="s">
        <v>655</v>
      </c>
      <c r="E125" s="74">
        <v>2</v>
      </c>
      <c r="F125" s="190" t="s">
        <v>1106</v>
      </c>
      <c r="G125" s="190" t="s">
        <v>1107</v>
      </c>
      <c r="H125" s="73" t="s">
        <v>1067</v>
      </c>
      <c r="I125" s="74">
        <v>8</v>
      </c>
      <c r="J125" s="73" t="s">
        <v>732</v>
      </c>
      <c r="K125" s="74">
        <v>4</v>
      </c>
      <c r="L125" s="74"/>
      <c r="M125" s="81" t="s">
        <v>1202</v>
      </c>
      <c r="N125" s="82" t="s">
        <v>1203</v>
      </c>
      <c r="O125" s="74"/>
      <c r="P125" s="75"/>
      <c r="Q125" s="189"/>
      <c r="R125" s="189"/>
      <c r="S125" s="82" t="s">
        <v>858</v>
      </c>
      <c r="T125" s="82" t="s">
        <v>859</v>
      </c>
      <c r="U125" s="82" t="s">
        <v>1367</v>
      </c>
      <c r="V125" s="229" t="s">
        <v>1368</v>
      </c>
      <c r="W125" s="73"/>
      <c r="X125" s="83" t="s">
        <v>763</v>
      </c>
      <c r="Y125" s="82" t="s">
        <v>946</v>
      </c>
      <c r="Z125" s="190" t="s">
        <v>1369</v>
      </c>
      <c r="AA125" s="127" t="s">
        <v>1370</v>
      </c>
    </row>
    <row r="126" spans="1:27" s="61" customFormat="1" ht="106.5">
      <c r="A126" s="60"/>
      <c r="B126" s="82" t="s">
        <v>681</v>
      </c>
      <c r="C126" s="82" t="s">
        <v>822</v>
      </c>
      <c r="D126" s="82" t="s">
        <v>682</v>
      </c>
      <c r="E126" s="74">
        <v>2</v>
      </c>
      <c r="F126" s="190" t="s">
        <v>1065</v>
      </c>
      <c r="G126" s="190" t="s">
        <v>1066</v>
      </c>
      <c r="H126" s="73" t="s">
        <v>1067</v>
      </c>
      <c r="I126" s="74">
        <v>8</v>
      </c>
      <c r="J126" s="73" t="s">
        <v>732</v>
      </c>
      <c r="K126" s="74">
        <v>4</v>
      </c>
      <c r="L126" s="74"/>
      <c r="M126" s="155" t="s">
        <v>1068</v>
      </c>
      <c r="N126" s="82" t="s">
        <v>1069</v>
      </c>
      <c r="O126" s="207"/>
      <c r="P126" s="83" t="s">
        <v>1070</v>
      </c>
      <c r="Q126" s="189"/>
      <c r="R126" s="189"/>
      <c r="S126" s="82" t="s">
        <v>864</v>
      </c>
      <c r="T126" s="82" t="s">
        <v>865</v>
      </c>
      <c r="U126" s="82" t="s">
        <v>1371</v>
      </c>
      <c r="V126" s="229" t="s">
        <v>1372</v>
      </c>
      <c r="W126" s="73"/>
      <c r="X126" s="81" t="s">
        <v>773</v>
      </c>
      <c r="Y126" s="82" t="s">
        <v>868</v>
      </c>
      <c r="Z126" s="157" t="s">
        <v>1362</v>
      </c>
      <c r="AA126" s="191" t="s">
        <v>1128</v>
      </c>
    </row>
    <row r="127" spans="1:27" s="61" customFormat="1" ht="137.25">
      <c r="A127" s="60"/>
      <c r="B127" s="81" t="s">
        <v>684</v>
      </c>
      <c r="C127" s="81" t="s">
        <v>824</v>
      </c>
      <c r="D127" s="81" t="s">
        <v>685</v>
      </c>
      <c r="E127" s="127">
        <v>2</v>
      </c>
      <c r="F127" s="190" t="s">
        <v>1168</v>
      </c>
      <c r="G127" s="190" t="s">
        <v>1169</v>
      </c>
      <c r="H127" s="73" t="s">
        <v>1170</v>
      </c>
      <c r="I127" s="74">
        <v>8</v>
      </c>
      <c r="J127" s="73" t="s">
        <v>732</v>
      </c>
      <c r="K127" s="74">
        <v>4</v>
      </c>
      <c r="L127" s="74"/>
      <c r="M127" s="155" t="s">
        <v>1171</v>
      </c>
      <c r="N127" s="82" t="s">
        <v>1172</v>
      </c>
      <c r="O127" s="74"/>
      <c r="P127" s="75"/>
      <c r="Q127" s="189"/>
      <c r="R127" s="189"/>
      <c r="S127" s="82" t="s">
        <v>870</v>
      </c>
      <c r="T127" s="82" t="s">
        <v>871</v>
      </c>
      <c r="U127" s="82" t="s">
        <v>963</v>
      </c>
      <c r="V127" s="250" t="s">
        <v>1373</v>
      </c>
      <c r="W127" s="73"/>
      <c r="X127" s="83" t="s">
        <v>780</v>
      </c>
      <c r="Y127" s="82" t="s">
        <v>781</v>
      </c>
      <c r="Z127" s="190" t="s">
        <v>781</v>
      </c>
      <c r="AA127" s="191" t="s">
        <v>1041</v>
      </c>
    </row>
    <row r="128" spans="1:27" s="61" customFormat="1" ht="45.75">
      <c r="A128" s="60"/>
      <c r="B128" s="75" t="s">
        <v>687</v>
      </c>
      <c r="C128" s="81" t="s">
        <v>826</v>
      </c>
      <c r="D128" s="81" t="s">
        <v>688</v>
      </c>
      <c r="E128" s="191">
        <v>2</v>
      </c>
      <c r="F128" s="190" t="s">
        <v>1065</v>
      </c>
      <c r="G128" s="190" t="s">
        <v>1066</v>
      </c>
      <c r="H128" s="73" t="s">
        <v>1080</v>
      </c>
      <c r="I128" s="74">
        <v>8</v>
      </c>
      <c r="J128" s="73" t="s">
        <v>732</v>
      </c>
      <c r="K128" s="74">
        <v>6</v>
      </c>
      <c r="L128" s="74"/>
      <c r="M128" s="155" t="s">
        <v>1068</v>
      </c>
      <c r="N128" s="82" t="s">
        <v>1069</v>
      </c>
      <c r="O128" s="74"/>
      <c r="P128" s="83" t="s">
        <v>1070</v>
      </c>
      <c r="Q128" s="189"/>
      <c r="R128" s="189"/>
      <c r="S128" s="82" t="s">
        <v>910</v>
      </c>
      <c r="T128" s="82" t="s">
        <v>911</v>
      </c>
      <c r="U128" s="82" t="s">
        <v>1374</v>
      </c>
      <c r="V128" s="229" t="s">
        <v>1375</v>
      </c>
      <c r="W128" s="154"/>
      <c r="X128" s="82" t="s">
        <v>832</v>
      </c>
      <c r="Y128" s="82" t="s">
        <v>914</v>
      </c>
      <c r="Z128" s="190" t="s">
        <v>1376</v>
      </c>
      <c r="AA128" s="191" t="s">
        <v>781</v>
      </c>
    </row>
    <row r="129" spans="1:27" s="61" customFormat="1" ht="381.75">
      <c r="A129" s="60"/>
      <c r="B129" s="81" t="s">
        <v>690</v>
      </c>
      <c r="C129" s="81" t="s">
        <v>833</v>
      </c>
      <c r="D129" s="81" t="s">
        <v>691</v>
      </c>
      <c r="E129" s="127">
        <v>2</v>
      </c>
      <c r="F129" s="81" t="s">
        <v>1223</v>
      </c>
      <c r="G129" s="81" t="s">
        <v>1224</v>
      </c>
      <c r="H129" s="73" t="s">
        <v>1159</v>
      </c>
      <c r="I129" s="74">
        <v>8</v>
      </c>
      <c r="J129" s="73" t="s">
        <v>732</v>
      </c>
      <c r="K129" s="74">
        <v>10</v>
      </c>
      <c r="L129" s="74"/>
      <c r="M129" s="81" t="s">
        <v>1225</v>
      </c>
      <c r="N129" s="73" t="s">
        <v>1226</v>
      </c>
      <c r="O129" s="74"/>
      <c r="P129" s="75"/>
      <c r="Q129" s="73" t="s">
        <v>980</v>
      </c>
      <c r="R129" s="73" t="s">
        <v>1227</v>
      </c>
      <c r="S129" s="82" t="s">
        <v>916</v>
      </c>
      <c r="T129" s="82" t="s">
        <v>917</v>
      </c>
      <c r="U129" s="246" t="s">
        <v>1377</v>
      </c>
      <c r="V129" s="268" t="s">
        <v>1378</v>
      </c>
      <c r="W129" s="73"/>
      <c r="X129" s="192" t="s">
        <v>838</v>
      </c>
      <c r="Y129" s="192" t="s">
        <v>1323</v>
      </c>
      <c r="Z129" s="81" t="s">
        <v>1379</v>
      </c>
      <c r="AA129" s="127" t="s">
        <v>839</v>
      </c>
    </row>
    <row r="130" spans="1:27" s="61" customFormat="1" ht="198">
      <c r="A130" s="60"/>
      <c r="B130" s="81" t="s">
        <v>648</v>
      </c>
      <c r="C130" s="81" t="s">
        <v>728</v>
      </c>
      <c r="D130" s="81" t="s">
        <v>649</v>
      </c>
      <c r="E130" s="127">
        <v>2</v>
      </c>
      <c r="F130" s="81" t="s">
        <v>1333</v>
      </c>
      <c r="G130" s="81" t="s">
        <v>1334</v>
      </c>
      <c r="H130" s="73" t="s">
        <v>1159</v>
      </c>
      <c r="I130" s="74">
        <v>9</v>
      </c>
      <c r="J130" s="73" t="s">
        <v>732</v>
      </c>
      <c r="K130" s="74">
        <v>10</v>
      </c>
      <c r="L130" s="74"/>
      <c r="M130" s="81" t="s">
        <v>1335</v>
      </c>
      <c r="N130" s="82" t="s">
        <v>1336</v>
      </c>
      <c r="O130" s="74" t="s">
        <v>735</v>
      </c>
      <c r="P130" s="75"/>
      <c r="Q130" s="126" t="s">
        <v>980</v>
      </c>
      <c r="R130" s="129" t="s">
        <v>1337</v>
      </c>
      <c r="S130" s="83" t="s">
        <v>929</v>
      </c>
      <c r="T130" s="83" t="s">
        <v>930</v>
      </c>
      <c r="U130" s="83" t="s">
        <v>1380</v>
      </c>
      <c r="V130" s="171" t="s">
        <v>1381</v>
      </c>
      <c r="W130" s="73"/>
      <c r="X130" s="83" t="s">
        <v>742</v>
      </c>
      <c r="Y130" s="81" t="s">
        <v>933</v>
      </c>
      <c r="Z130" s="81" t="s">
        <v>1382</v>
      </c>
      <c r="AA130" s="127" t="s">
        <v>743</v>
      </c>
    </row>
    <row r="131" spans="1:27" s="33" customFormat="1" ht="91.5">
      <c r="A131" s="27"/>
      <c r="B131" s="81" t="s">
        <v>651</v>
      </c>
      <c r="C131" s="81" t="s">
        <v>745</v>
      </c>
      <c r="D131" s="81" t="s">
        <v>652</v>
      </c>
      <c r="E131" s="127">
        <v>2</v>
      </c>
      <c r="F131" s="81" t="s">
        <v>1223</v>
      </c>
      <c r="G131" s="81" t="s">
        <v>1224</v>
      </c>
      <c r="H131" s="73" t="s">
        <v>1159</v>
      </c>
      <c r="I131" s="74">
        <v>9</v>
      </c>
      <c r="J131" s="73" t="s">
        <v>732</v>
      </c>
      <c r="K131" s="74">
        <v>10</v>
      </c>
      <c r="L131" s="74"/>
      <c r="M131" s="81" t="s">
        <v>1225</v>
      </c>
      <c r="N131" s="73" t="s">
        <v>1226</v>
      </c>
      <c r="O131" s="74"/>
      <c r="P131" s="75"/>
      <c r="Q131" s="126" t="s">
        <v>980</v>
      </c>
      <c r="R131" s="129" t="s">
        <v>1227</v>
      </c>
      <c r="S131" s="82" t="s">
        <v>852</v>
      </c>
      <c r="T131" s="82" t="s">
        <v>853</v>
      </c>
      <c r="U131" s="187" t="s">
        <v>1383</v>
      </c>
      <c r="V131" s="229" t="s">
        <v>1384</v>
      </c>
      <c r="W131" s="73"/>
      <c r="X131" s="81" t="s">
        <v>752</v>
      </c>
      <c r="Y131" s="81" t="s">
        <v>856</v>
      </c>
      <c r="Z131" s="187" t="s">
        <v>1385</v>
      </c>
      <c r="AA131" s="127" t="s">
        <v>753</v>
      </c>
    </row>
    <row r="132" spans="1:27" s="33" customFormat="1" ht="229.5">
      <c r="A132" s="27"/>
      <c r="B132" s="81" t="s">
        <v>654</v>
      </c>
      <c r="C132" s="155" t="s">
        <v>755</v>
      </c>
      <c r="D132" s="81" t="s">
        <v>655</v>
      </c>
      <c r="E132" s="127">
        <v>2</v>
      </c>
      <c r="F132" s="81" t="s">
        <v>1271</v>
      </c>
      <c r="G132" s="81" t="s">
        <v>1272</v>
      </c>
      <c r="H132" s="73" t="s">
        <v>1170</v>
      </c>
      <c r="I132" s="74">
        <v>9</v>
      </c>
      <c r="J132" s="73" t="s">
        <v>732</v>
      </c>
      <c r="K132" s="74">
        <v>4</v>
      </c>
      <c r="L132" s="74"/>
      <c r="M132" s="81" t="s">
        <v>1273</v>
      </c>
      <c r="N132" s="82" t="s">
        <v>1274</v>
      </c>
      <c r="O132" s="74"/>
      <c r="P132" s="75"/>
      <c r="Q132" s="126" t="s">
        <v>980</v>
      </c>
      <c r="R132" s="129" t="s">
        <v>1275</v>
      </c>
      <c r="S132" s="82" t="s">
        <v>858</v>
      </c>
      <c r="T132" s="82" t="s">
        <v>859</v>
      </c>
      <c r="U132" s="82" t="s">
        <v>1386</v>
      </c>
      <c r="V132" s="229" t="s">
        <v>1387</v>
      </c>
      <c r="W132" s="73"/>
      <c r="X132" s="83" t="s">
        <v>763</v>
      </c>
      <c r="Y132" s="82" t="s">
        <v>1388</v>
      </c>
      <c r="Z132" s="81" t="s">
        <v>1389</v>
      </c>
      <c r="AA132" s="127" t="s">
        <v>1390</v>
      </c>
    </row>
    <row r="133" spans="1:27" s="33" customFormat="1" ht="137.25">
      <c r="A133" s="27"/>
      <c r="B133" s="73" t="s">
        <v>657</v>
      </c>
      <c r="C133" s="73" t="s">
        <v>766</v>
      </c>
      <c r="D133" s="73" t="s">
        <v>658</v>
      </c>
      <c r="E133" s="74">
        <v>2</v>
      </c>
      <c r="F133" s="190" t="s">
        <v>1263</v>
      </c>
      <c r="G133" s="190" t="s">
        <v>1264</v>
      </c>
      <c r="H133" s="73" t="s">
        <v>1067</v>
      </c>
      <c r="I133" s="74">
        <v>10</v>
      </c>
      <c r="J133" s="73" t="s">
        <v>732</v>
      </c>
      <c r="K133" s="74">
        <v>4</v>
      </c>
      <c r="L133" s="74"/>
      <c r="M133" s="81" t="s">
        <v>1265</v>
      </c>
      <c r="N133" s="82" t="s">
        <v>1266</v>
      </c>
      <c r="O133" s="207"/>
      <c r="P133" s="83" t="s">
        <v>1267</v>
      </c>
      <c r="Q133" s="189"/>
      <c r="R133" s="189"/>
      <c r="S133" s="82" t="s">
        <v>864</v>
      </c>
      <c r="T133" s="82" t="s">
        <v>865</v>
      </c>
      <c r="U133" s="82" t="s">
        <v>1310</v>
      </c>
      <c r="V133" s="229" t="s">
        <v>1391</v>
      </c>
      <c r="W133" s="73"/>
      <c r="X133" s="81" t="s">
        <v>773</v>
      </c>
      <c r="Y133" s="82" t="s">
        <v>1342</v>
      </c>
      <c r="Z133" s="190" t="s">
        <v>1392</v>
      </c>
      <c r="AA133" s="127" t="s">
        <v>1118</v>
      </c>
    </row>
    <row r="134" spans="1:27" s="33" customFormat="1" ht="60.75">
      <c r="A134" s="27"/>
      <c r="B134" s="153" t="s">
        <v>660</v>
      </c>
      <c r="C134" s="154" t="s">
        <v>775</v>
      </c>
      <c r="D134" s="154" t="s">
        <v>661</v>
      </c>
      <c r="E134" s="156">
        <v>2</v>
      </c>
      <c r="F134" s="81" t="s">
        <v>1393</v>
      </c>
      <c r="G134" s="81" t="s">
        <v>1394</v>
      </c>
      <c r="H134" s="73" t="s">
        <v>1395</v>
      </c>
      <c r="I134" s="74">
        <v>9</v>
      </c>
      <c r="J134" s="73" t="s">
        <v>732</v>
      </c>
      <c r="K134" s="74">
        <v>16</v>
      </c>
      <c r="L134" s="74"/>
      <c r="M134" s="81" t="s">
        <v>1396</v>
      </c>
      <c r="N134" s="73" t="s">
        <v>1397</v>
      </c>
      <c r="O134" s="74"/>
      <c r="P134" s="75"/>
      <c r="Q134" s="126" t="s">
        <v>1398</v>
      </c>
      <c r="R134" s="129" t="s">
        <v>1393</v>
      </c>
      <c r="S134" s="82" t="s">
        <v>870</v>
      </c>
      <c r="T134" s="82" t="s">
        <v>871</v>
      </c>
      <c r="U134" s="82" t="s">
        <v>1399</v>
      </c>
      <c r="V134" s="229" t="s">
        <v>1400</v>
      </c>
      <c r="W134" s="73"/>
      <c r="X134" s="83" t="s">
        <v>780</v>
      </c>
      <c r="Y134" s="157" t="s">
        <v>965</v>
      </c>
      <c r="Z134" s="81" t="s">
        <v>1401</v>
      </c>
      <c r="AA134" s="127" t="s">
        <v>781</v>
      </c>
    </row>
    <row r="135" spans="1:27" s="33" customFormat="1" ht="213">
      <c r="A135" s="27"/>
      <c r="B135" s="81" t="s">
        <v>663</v>
      </c>
      <c r="C135" s="81" t="s">
        <v>783</v>
      </c>
      <c r="D135" s="81" t="s">
        <v>664</v>
      </c>
      <c r="E135" s="127">
        <v>2</v>
      </c>
      <c r="F135" s="81" t="s">
        <v>1271</v>
      </c>
      <c r="G135" s="81" t="s">
        <v>1272</v>
      </c>
      <c r="H135" s="73" t="s">
        <v>1170</v>
      </c>
      <c r="I135" s="74">
        <v>9</v>
      </c>
      <c r="J135" s="73" t="s">
        <v>732</v>
      </c>
      <c r="K135" s="74">
        <v>4</v>
      </c>
      <c r="L135" s="74"/>
      <c r="M135" s="81" t="s">
        <v>1273</v>
      </c>
      <c r="N135" s="82" t="s">
        <v>1274</v>
      </c>
      <c r="O135" s="74"/>
      <c r="P135" s="75"/>
      <c r="Q135" s="126" t="s">
        <v>980</v>
      </c>
      <c r="R135" s="129" t="s">
        <v>1275</v>
      </c>
      <c r="S135" s="82" t="s">
        <v>876</v>
      </c>
      <c r="T135" s="82" t="s">
        <v>877</v>
      </c>
      <c r="U135" s="82" t="s">
        <v>1402</v>
      </c>
      <c r="V135" s="229" t="s">
        <v>1403</v>
      </c>
      <c r="W135" s="73"/>
      <c r="X135" s="81" t="s">
        <v>789</v>
      </c>
      <c r="Y135" s="81" t="s">
        <v>1146</v>
      </c>
      <c r="Z135" s="81" t="s">
        <v>1404</v>
      </c>
      <c r="AA135" s="127" t="s">
        <v>1405</v>
      </c>
    </row>
    <row r="136" spans="1:27" s="33" customFormat="1" ht="137.25">
      <c r="A136" s="27"/>
      <c r="B136" s="81" t="s">
        <v>666</v>
      </c>
      <c r="C136" s="81" t="s">
        <v>792</v>
      </c>
      <c r="D136" s="81" t="s">
        <v>667</v>
      </c>
      <c r="E136" s="127">
        <v>2</v>
      </c>
      <c r="F136" s="190" t="s">
        <v>1168</v>
      </c>
      <c r="G136" s="190" t="s">
        <v>1169</v>
      </c>
      <c r="H136" s="73" t="s">
        <v>1170</v>
      </c>
      <c r="I136" s="74">
        <v>9</v>
      </c>
      <c r="J136" s="73" t="s">
        <v>732</v>
      </c>
      <c r="K136" s="74">
        <v>4</v>
      </c>
      <c r="L136" s="74"/>
      <c r="M136" s="155" t="s">
        <v>1171</v>
      </c>
      <c r="N136" s="82" t="s">
        <v>1172</v>
      </c>
      <c r="O136" s="74"/>
      <c r="P136" s="75"/>
      <c r="Q136" s="189"/>
      <c r="R136" s="189"/>
      <c r="S136" s="82" t="s">
        <v>883</v>
      </c>
      <c r="T136" s="82" t="s">
        <v>884</v>
      </c>
      <c r="U136" s="126" t="s">
        <v>753</v>
      </c>
      <c r="V136" s="250" t="s">
        <v>1406</v>
      </c>
      <c r="W136" s="73"/>
      <c r="X136" s="81" t="s">
        <v>797</v>
      </c>
      <c r="Y136" s="190" t="s">
        <v>781</v>
      </c>
      <c r="Z136" s="190" t="s">
        <v>781</v>
      </c>
      <c r="AA136" s="191" t="s">
        <v>1041</v>
      </c>
    </row>
    <row r="137" spans="1:27" s="33" customFormat="1" ht="60.75">
      <c r="A137" s="27"/>
      <c r="B137" s="190" t="s">
        <v>669</v>
      </c>
      <c r="C137" s="190" t="s">
        <v>798</v>
      </c>
      <c r="D137" s="190" t="s">
        <v>670</v>
      </c>
      <c r="E137" s="74">
        <v>2</v>
      </c>
      <c r="F137" s="190" t="s">
        <v>1065</v>
      </c>
      <c r="G137" s="190" t="s">
        <v>1066</v>
      </c>
      <c r="H137" s="73" t="s">
        <v>1067</v>
      </c>
      <c r="I137" s="74">
        <v>9</v>
      </c>
      <c r="J137" s="73" t="s">
        <v>732</v>
      </c>
      <c r="K137" s="74">
        <v>4</v>
      </c>
      <c r="L137" s="74"/>
      <c r="M137" s="155" t="s">
        <v>1068</v>
      </c>
      <c r="N137" s="82" t="s">
        <v>1069</v>
      </c>
      <c r="O137" s="207"/>
      <c r="P137" s="83" t="s">
        <v>1070</v>
      </c>
      <c r="Q137" s="189"/>
      <c r="R137" s="189"/>
      <c r="S137" s="82" t="s">
        <v>793</v>
      </c>
      <c r="T137" s="82" t="s">
        <v>889</v>
      </c>
      <c r="U137" s="82" t="s">
        <v>1407</v>
      </c>
      <c r="V137" s="229" t="s">
        <v>1408</v>
      </c>
      <c r="W137" s="73"/>
      <c r="X137" s="81" t="s">
        <v>797</v>
      </c>
      <c r="Y137" s="82" t="s">
        <v>887</v>
      </c>
      <c r="Z137" s="157" t="s">
        <v>1317</v>
      </c>
      <c r="AA137" s="127" t="s">
        <v>781</v>
      </c>
    </row>
    <row r="138" spans="1:27" s="33" customFormat="1" ht="152.25">
      <c r="A138" s="27"/>
      <c r="B138" s="81" t="s">
        <v>672</v>
      </c>
      <c r="C138" s="81" t="s">
        <v>803</v>
      </c>
      <c r="D138" s="155" t="s">
        <v>673</v>
      </c>
      <c r="E138" s="127">
        <v>2</v>
      </c>
      <c r="F138" s="81" t="s">
        <v>1409</v>
      </c>
      <c r="G138" s="81" t="s">
        <v>1410</v>
      </c>
      <c r="H138" s="73" t="s">
        <v>1170</v>
      </c>
      <c r="I138" s="74">
        <v>9</v>
      </c>
      <c r="J138" s="73" t="s">
        <v>732</v>
      </c>
      <c r="K138" s="74">
        <v>4</v>
      </c>
      <c r="L138" s="74"/>
      <c r="M138" s="81" t="s">
        <v>1411</v>
      </c>
      <c r="N138" s="82" t="s">
        <v>1412</v>
      </c>
      <c r="O138" s="74"/>
      <c r="P138" s="75"/>
      <c r="Q138" s="81" t="s">
        <v>980</v>
      </c>
      <c r="R138" s="81" t="s">
        <v>1413</v>
      </c>
      <c r="S138" s="83" t="s">
        <v>892</v>
      </c>
      <c r="T138" s="83" t="s">
        <v>893</v>
      </c>
      <c r="U138" s="82" t="s">
        <v>1414</v>
      </c>
      <c r="V138" s="229" t="s">
        <v>1415</v>
      </c>
      <c r="W138" s="73"/>
      <c r="X138" s="81" t="s">
        <v>810</v>
      </c>
      <c r="Y138" s="81" t="s">
        <v>984</v>
      </c>
      <c r="Z138" s="81" t="s">
        <v>1414</v>
      </c>
      <c r="AA138" s="74" t="s">
        <v>781</v>
      </c>
    </row>
    <row r="139" spans="1:27" s="33" customFormat="1" ht="137.25">
      <c r="A139" s="27"/>
      <c r="B139" s="81" t="s">
        <v>675</v>
      </c>
      <c r="C139" s="81" t="s">
        <v>812</v>
      </c>
      <c r="D139" s="190" t="s">
        <v>676</v>
      </c>
      <c r="E139" s="191">
        <v>2</v>
      </c>
      <c r="F139" s="190" t="s">
        <v>1168</v>
      </c>
      <c r="G139" s="190" t="s">
        <v>1169</v>
      </c>
      <c r="H139" s="73"/>
      <c r="I139" s="74">
        <v>9</v>
      </c>
      <c r="J139" s="73" t="s">
        <v>732</v>
      </c>
      <c r="K139" s="74">
        <v>4</v>
      </c>
      <c r="L139" s="74"/>
      <c r="M139" s="155" t="s">
        <v>1171</v>
      </c>
      <c r="N139" s="82" t="s">
        <v>1172</v>
      </c>
      <c r="O139" s="74"/>
      <c r="P139" s="75"/>
      <c r="Q139" s="189"/>
      <c r="R139" s="189"/>
      <c r="S139" s="126" t="s">
        <v>793</v>
      </c>
      <c r="T139" s="126" t="s">
        <v>1416</v>
      </c>
      <c r="U139" s="126" t="s">
        <v>795</v>
      </c>
      <c r="V139" s="250" t="s">
        <v>1417</v>
      </c>
      <c r="W139" s="73"/>
      <c r="X139" s="81" t="s">
        <v>773</v>
      </c>
      <c r="Y139" s="81" t="s">
        <v>868</v>
      </c>
      <c r="Z139" s="157" t="s">
        <v>1418</v>
      </c>
      <c r="AA139" s="127" t="s">
        <v>1032</v>
      </c>
    </row>
    <row r="140" spans="1:27" s="33" customFormat="1" ht="244.5">
      <c r="A140" s="27"/>
      <c r="B140" s="81" t="s">
        <v>678</v>
      </c>
      <c r="C140" s="81" t="s">
        <v>814</v>
      </c>
      <c r="D140" s="81" t="s">
        <v>679</v>
      </c>
      <c r="E140" s="74">
        <v>2</v>
      </c>
      <c r="F140" s="190" t="s">
        <v>1177</v>
      </c>
      <c r="G140" s="190" t="s">
        <v>1178</v>
      </c>
      <c r="H140" s="73" t="s">
        <v>1067</v>
      </c>
      <c r="I140" s="74">
        <v>9</v>
      </c>
      <c r="J140" s="73" t="s">
        <v>732</v>
      </c>
      <c r="K140" s="74">
        <v>4</v>
      </c>
      <c r="L140" s="74"/>
      <c r="M140" s="81" t="s">
        <v>1179</v>
      </c>
      <c r="N140" s="82" t="s">
        <v>1180</v>
      </c>
      <c r="O140" s="74"/>
      <c r="P140" s="83" t="s">
        <v>1181</v>
      </c>
      <c r="Q140" s="189"/>
      <c r="R140" s="189"/>
      <c r="S140" s="81" t="s">
        <v>988</v>
      </c>
      <c r="T140" s="81" t="s">
        <v>1162</v>
      </c>
      <c r="U140" s="82" t="s">
        <v>1419</v>
      </c>
      <c r="V140" s="187" t="s">
        <v>1420</v>
      </c>
      <c r="W140" s="73"/>
      <c r="X140" s="81" t="s">
        <v>821</v>
      </c>
      <c r="Y140" s="81" t="s">
        <v>992</v>
      </c>
      <c r="Z140" s="157" t="s">
        <v>1421</v>
      </c>
      <c r="AA140" s="127" t="s">
        <v>1422</v>
      </c>
    </row>
    <row r="141" spans="1:27" s="33" customFormat="1" ht="137.25">
      <c r="A141" s="27"/>
      <c r="B141" s="82" t="s">
        <v>681</v>
      </c>
      <c r="C141" s="82" t="s">
        <v>822</v>
      </c>
      <c r="D141" s="82" t="s">
        <v>682</v>
      </c>
      <c r="E141" s="74">
        <v>2</v>
      </c>
      <c r="F141" s="187" t="s">
        <v>1168</v>
      </c>
      <c r="G141" s="187" t="s">
        <v>1169</v>
      </c>
      <c r="H141" s="208" t="s">
        <v>1423</v>
      </c>
      <c r="I141" s="74">
        <v>9</v>
      </c>
      <c r="J141" s="208" t="s">
        <v>732</v>
      </c>
      <c r="K141" s="239">
        <v>4</v>
      </c>
      <c r="L141" s="226" t="s">
        <v>1423</v>
      </c>
      <c r="M141" s="155" t="s">
        <v>1171</v>
      </c>
      <c r="N141" s="82" t="s">
        <v>1172</v>
      </c>
      <c r="O141" s="208"/>
      <c r="P141" s="208" t="s">
        <v>1423</v>
      </c>
      <c r="Q141" s="227" t="s">
        <v>1344</v>
      </c>
      <c r="R141" s="227" t="s">
        <v>1345</v>
      </c>
      <c r="S141" s="126" t="s">
        <v>793</v>
      </c>
      <c r="T141" s="126" t="s">
        <v>1416</v>
      </c>
      <c r="U141" s="126" t="s">
        <v>795</v>
      </c>
      <c r="V141" s="250" t="s">
        <v>1424</v>
      </c>
      <c r="W141" s="73"/>
      <c r="X141" s="81" t="s">
        <v>773</v>
      </c>
      <c r="Y141" s="190" t="s">
        <v>1047</v>
      </c>
      <c r="Z141" s="190" t="s">
        <v>1425</v>
      </c>
      <c r="AA141" s="191" t="s">
        <v>1032</v>
      </c>
    </row>
    <row r="142" spans="1:27" s="33" customFormat="1" ht="45.75">
      <c r="A142" s="27"/>
      <c r="B142" s="81" t="s">
        <v>684</v>
      </c>
      <c r="C142" s="81" t="s">
        <v>824</v>
      </c>
      <c r="D142" s="81" t="s">
        <v>685</v>
      </c>
      <c r="E142" s="127">
        <v>2</v>
      </c>
      <c r="F142" s="81" t="s">
        <v>1393</v>
      </c>
      <c r="G142" s="81" t="s">
        <v>1394</v>
      </c>
      <c r="H142" s="73" t="s">
        <v>1395</v>
      </c>
      <c r="I142" s="74">
        <v>9</v>
      </c>
      <c r="J142" s="73" t="s">
        <v>732</v>
      </c>
      <c r="K142" s="74">
        <v>16</v>
      </c>
      <c r="L142" s="74"/>
      <c r="M142" s="81" t="s">
        <v>1396</v>
      </c>
      <c r="N142" s="73" t="s">
        <v>1397</v>
      </c>
      <c r="O142" s="74"/>
      <c r="P142" s="75"/>
      <c r="Q142" s="126" t="s">
        <v>1398</v>
      </c>
      <c r="R142" s="129" t="s">
        <v>1393</v>
      </c>
      <c r="S142" s="82" t="s">
        <v>870</v>
      </c>
      <c r="T142" s="82" t="s">
        <v>871</v>
      </c>
      <c r="U142" s="82" t="s">
        <v>1399</v>
      </c>
      <c r="V142" s="229" t="s">
        <v>1426</v>
      </c>
      <c r="W142" s="73"/>
      <c r="X142" s="83" t="s">
        <v>780</v>
      </c>
      <c r="Y142" s="157" t="s">
        <v>965</v>
      </c>
      <c r="Z142" s="81" t="s">
        <v>1401</v>
      </c>
      <c r="AA142" s="127" t="s">
        <v>781</v>
      </c>
    </row>
    <row r="143" spans="1:27" s="33" customFormat="1" ht="137.25">
      <c r="A143" s="27"/>
      <c r="B143" s="75" t="s">
        <v>687</v>
      </c>
      <c r="C143" s="81" t="s">
        <v>826</v>
      </c>
      <c r="D143" s="81" t="s">
        <v>688</v>
      </c>
      <c r="E143" s="74">
        <v>2</v>
      </c>
      <c r="F143" s="190" t="s">
        <v>1168</v>
      </c>
      <c r="G143" s="190" t="s">
        <v>1169</v>
      </c>
      <c r="H143" s="73"/>
      <c r="I143" s="74">
        <v>9</v>
      </c>
      <c r="J143" s="73" t="s">
        <v>732</v>
      </c>
      <c r="K143" s="74">
        <v>4</v>
      </c>
      <c r="L143" s="74"/>
      <c r="M143" s="155" t="s">
        <v>1171</v>
      </c>
      <c r="N143" s="82" t="s">
        <v>1172</v>
      </c>
      <c r="O143" s="74"/>
      <c r="P143" s="75"/>
      <c r="Q143" s="189" t="s">
        <v>1344</v>
      </c>
      <c r="R143" s="189" t="s">
        <v>1345</v>
      </c>
      <c r="S143" s="82" t="s">
        <v>829</v>
      </c>
      <c r="T143" s="82" t="s">
        <v>1427</v>
      </c>
      <c r="U143" s="82" t="s">
        <v>778</v>
      </c>
      <c r="V143" s="229" t="s">
        <v>1428</v>
      </c>
      <c r="W143" s="73"/>
      <c r="X143" s="82" t="s">
        <v>832</v>
      </c>
      <c r="Y143" s="82" t="s">
        <v>914</v>
      </c>
      <c r="Z143" s="190" t="s">
        <v>1317</v>
      </c>
      <c r="AA143" s="127" t="s">
        <v>781</v>
      </c>
    </row>
    <row r="144" spans="1:27" s="33" customFormat="1" ht="409.6">
      <c r="A144" s="27"/>
      <c r="B144" s="81" t="s">
        <v>690</v>
      </c>
      <c r="C144" s="81" t="s">
        <v>833</v>
      </c>
      <c r="D144" s="81" t="s">
        <v>691</v>
      </c>
      <c r="E144" s="127">
        <v>2</v>
      </c>
      <c r="F144" s="81" t="s">
        <v>1429</v>
      </c>
      <c r="G144" s="81" t="s">
        <v>1430</v>
      </c>
      <c r="H144" s="73" t="s">
        <v>1159</v>
      </c>
      <c r="I144" s="74">
        <v>9</v>
      </c>
      <c r="J144" s="73" t="s">
        <v>732</v>
      </c>
      <c r="K144" s="74">
        <v>10</v>
      </c>
      <c r="L144" s="74"/>
      <c r="M144" s="81" t="s">
        <v>1431</v>
      </c>
      <c r="N144" s="82" t="s">
        <v>1432</v>
      </c>
      <c r="O144" s="74"/>
      <c r="P144" s="75"/>
      <c r="Q144" s="73" t="s">
        <v>980</v>
      </c>
      <c r="R144" s="73" t="s">
        <v>1337</v>
      </c>
      <c r="S144" s="82" t="s">
        <v>916</v>
      </c>
      <c r="T144" s="82" t="s">
        <v>917</v>
      </c>
      <c r="U144" s="82" t="s">
        <v>1433</v>
      </c>
      <c r="V144" s="229" t="s">
        <v>1434</v>
      </c>
      <c r="W144" s="73"/>
      <c r="X144" s="192" t="s">
        <v>838</v>
      </c>
      <c r="Y144" s="192" t="s">
        <v>1323</v>
      </c>
      <c r="Z144" s="157" t="s">
        <v>1435</v>
      </c>
      <c r="AA144" s="127" t="s">
        <v>839</v>
      </c>
    </row>
    <row r="145" spans="1:27" s="33" customFormat="1" ht="198">
      <c r="A145" s="27"/>
      <c r="B145" s="81" t="s">
        <v>648</v>
      </c>
      <c r="C145" s="81" t="s">
        <v>728</v>
      </c>
      <c r="D145" s="81" t="s">
        <v>649</v>
      </c>
      <c r="E145" s="127">
        <v>2</v>
      </c>
      <c r="F145" s="81" t="s">
        <v>1223</v>
      </c>
      <c r="G145" s="81" t="s">
        <v>1224</v>
      </c>
      <c r="H145" s="73" t="s">
        <v>1159</v>
      </c>
      <c r="I145" s="74">
        <v>10</v>
      </c>
      <c r="J145" s="73" t="s">
        <v>732</v>
      </c>
      <c r="K145" s="74">
        <v>10</v>
      </c>
      <c r="L145" s="74"/>
      <c r="M145" s="81" t="s">
        <v>1225</v>
      </c>
      <c r="N145" s="73" t="s">
        <v>1226</v>
      </c>
      <c r="O145" s="74" t="s">
        <v>735</v>
      </c>
      <c r="P145" s="75"/>
      <c r="Q145" s="126" t="s">
        <v>980</v>
      </c>
      <c r="R145" s="129" t="s">
        <v>1227</v>
      </c>
      <c r="S145" s="83" t="s">
        <v>929</v>
      </c>
      <c r="T145" s="83" t="s">
        <v>930</v>
      </c>
      <c r="U145" s="83" t="s">
        <v>1436</v>
      </c>
      <c r="V145" s="171" t="s">
        <v>1437</v>
      </c>
      <c r="W145" s="73"/>
      <c r="X145" s="83" t="s">
        <v>742</v>
      </c>
      <c r="Y145" s="81" t="s">
        <v>933</v>
      </c>
      <c r="Z145" s="81" t="s">
        <v>1438</v>
      </c>
      <c r="AA145" s="127" t="s">
        <v>743</v>
      </c>
    </row>
    <row r="146" spans="1:27" s="33" customFormat="1" ht="91.5">
      <c r="A146" s="27"/>
      <c r="B146" s="81" t="s">
        <v>651</v>
      </c>
      <c r="C146" s="81" t="s">
        <v>745</v>
      </c>
      <c r="D146" s="81" t="s">
        <v>652</v>
      </c>
      <c r="E146" s="127">
        <v>2</v>
      </c>
      <c r="F146" s="81" t="s">
        <v>1439</v>
      </c>
      <c r="G146" s="81" t="s">
        <v>1440</v>
      </c>
      <c r="H146" s="73" t="s">
        <v>940</v>
      </c>
      <c r="I146" s="74">
        <v>10</v>
      </c>
      <c r="J146" s="73" t="s">
        <v>1441</v>
      </c>
      <c r="K146" s="74">
        <v>23</v>
      </c>
      <c r="L146" s="74">
        <v>6</v>
      </c>
      <c r="M146" s="81" t="s">
        <v>1442</v>
      </c>
      <c r="N146" s="82" t="s">
        <v>1443</v>
      </c>
      <c r="O146" s="74"/>
      <c r="P146" s="75"/>
      <c r="Q146" s="126" t="s">
        <v>980</v>
      </c>
      <c r="R146" s="129" t="s">
        <v>1444</v>
      </c>
      <c r="S146" s="82" t="s">
        <v>852</v>
      </c>
      <c r="T146" s="82" t="s">
        <v>853</v>
      </c>
      <c r="U146" s="81" t="s">
        <v>1445</v>
      </c>
      <c r="V146" s="229" t="s">
        <v>1446</v>
      </c>
      <c r="W146" s="73"/>
      <c r="X146" s="81" t="s">
        <v>752</v>
      </c>
      <c r="Y146" s="81" t="s">
        <v>856</v>
      </c>
      <c r="Z146" s="81" t="s">
        <v>1447</v>
      </c>
      <c r="AA146" s="127" t="s">
        <v>753</v>
      </c>
    </row>
    <row r="147" spans="1:27" s="33" customFormat="1" ht="290.25">
      <c r="A147" s="27"/>
      <c r="B147" s="81" t="s">
        <v>654</v>
      </c>
      <c r="C147" s="155" t="s">
        <v>755</v>
      </c>
      <c r="D147" s="81" t="s">
        <v>655</v>
      </c>
      <c r="E147" s="127">
        <v>2</v>
      </c>
      <c r="F147" s="190" t="s">
        <v>1168</v>
      </c>
      <c r="G147" s="190" t="s">
        <v>1169</v>
      </c>
      <c r="H147" s="73" t="s">
        <v>1170</v>
      </c>
      <c r="I147" s="74">
        <v>10</v>
      </c>
      <c r="J147" s="73" t="s">
        <v>732</v>
      </c>
      <c r="K147" s="74">
        <v>4</v>
      </c>
      <c r="L147" s="74"/>
      <c r="M147" s="155" t="s">
        <v>1171</v>
      </c>
      <c r="N147" s="82" t="s">
        <v>1172</v>
      </c>
      <c r="O147" s="74"/>
      <c r="P147" s="75"/>
      <c r="Q147" s="189"/>
      <c r="R147" s="189"/>
      <c r="S147" s="82" t="s">
        <v>1089</v>
      </c>
      <c r="T147" s="82" t="s">
        <v>1448</v>
      </c>
      <c r="U147" s="83" t="s">
        <v>1289</v>
      </c>
      <c r="V147" s="229" t="s">
        <v>1449</v>
      </c>
      <c r="W147" s="73"/>
      <c r="X147" s="83" t="s">
        <v>763</v>
      </c>
      <c r="Y147" s="82" t="s">
        <v>1450</v>
      </c>
      <c r="Z147" s="190" t="s">
        <v>1451</v>
      </c>
      <c r="AA147" s="191" t="s">
        <v>1452</v>
      </c>
    </row>
    <row r="148" spans="1:27" s="33" customFormat="1" ht="106.5">
      <c r="A148" s="27"/>
      <c r="B148" s="73" t="s">
        <v>657</v>
      </c>
      <c r="C148" s="73" t="s">
        <v>766</v>
      </c>
      <c r="D148" s="73" t="s">
        <v>658</v>
      </c>
      <c r="E148" s="74">
        <v>2</v>
      </c>
      <c r="F148" s="190" t="s">
        <v>1065</v>
      </c>
      <c r="G148" s="190" t="s">
        <v>1066</v>
      </c>
      <c r="H148" s="73" t="s">
        <v>1067</v>
      </c>
      <c r="I148" s="74">
        <v>11</v>
      </c>
      <c r="J148" s="73" t="s">
        <v>732</v>
      </c>
      <c r="K148" s="74">
        <v>4</v>
      </c>
      <c r="L148" s="74"/>
      <c r="M148" s="155" t="s">
        <v>1068</v>
      </c>
      <c r="N148" s="82" t="s">
        <v>1069</v>
      </c>
      <c r="O148" s="207"/>
      <c r="P148" s="83" t="s">
        <v>1070</v>
      </c>
      <c r="Q148" s="189"/>
      <c r="R148" s="189"/>
      <c r="S148" s="82" t="s">
        <v>864</v>
      </c>
      <c r="T148" s="82" t="s">
        <v>865</v>
      </c>
      <c r="U148" s="82" t="s">
        <v>1360</v>
      </c>
      <c r="V148" s="229" t="s">
        <v>1453</v>
      </c>
      <c r="W148" s="73"/>
      <c r="X148" s="81" t="s">
        <v>773</v>
      </c>
      <c r="Y148" s="82" t="s">
        <v>868</v>
      </c>
      <c r="Z148" s="157" t="s">
        <v>1362</v>
      </c>
      <c r="AA148" s="191" t="s">
        <v>1128</v>
      </c>
    </row>
    <row r="149" spans="1:27" s="33" customFormat="1" ht="121.5">
      <c r="A149" s="27"/>
      <c r="B149" s="153" t="s">
        <v>660</v>
      </c>
      <c r="C149" s="154" t="s">
        <v>775</v>
      </c>
      <c r="D149" s="154" t="s">
        <v>661</v>
      </c>
      <c r="E149" s="156">
        <v>2</v>
      </c>
      <c r="F149" s="81" t="s">
        <v>1409</v>
      </c>
      <c r="G149" s="81" t="s">
        <v>1410</v>
      </c>
      <c r="H149" s="73" t="s">
        <v>1170</v>
      </c>
      <c r="I149" s="74">
        <v>10</v>
      </c>
      <c r="J149" s="73" t="s">
        <v>732</v>
      </c>
      <c r="K149" s="74">
        <v>4</v>
      </c>
      <c r="L149" s="74"/>
      <c r="M149" s="81" t="s">
        <v>1411</v>
      </c>
      <c r="N149" s="82" t="s">
        <v>1412</v>
      </c>
      <c r="O149" s="74"/>
      <c r="P149" s="75"/>
      <c r="Q149" s="81" t="s">
        <v>980</v>
      </c>
      <c r="R149" s="81" t="s">
        <v>1413</v>
      </c>
      <c r="S149" s="82" t="s">
        <v>870</v>
      </c>
      <c r="T149" s="82" t="s">
        <v>871</v>
      </c>
      <c r="U149" s="82" t="s">
        <v>1454</v>
      </c>
      <c r="V149" s="229" t="s">
        <v>1455</v>
      </c>
      <c r="W149" s="73"/>
      <c r="X149" s="83" t="s">
        <v>780</v>
      </c>
      <c r="Y149" s="82" t="s">
        <v>1456</v>
      </c>
      <c r="Z149" s="81" t="s">
        <v>1457</v>
      </c>
      <c r="AA149" s="127" t="s">
        <v>781</v>
      </c>
    </row>
    <row r="150" spans="1:27" s="33" customFormat="1" ht="213">
      <c r="A150" s="27"/>
      <c r="B150" s="81" t="s">
        <v>663</v>
      </c>
      <c r="C150" s="81" t="s">
        <v>783</v>
      </c>
      <c r="D150" s="81" t="s">
        <v>664</v>
      </c>
      <c r="E150" s="127">
        <v>2</v>
      </c>
      <c r="F150" s="208" t="s">
        <v>1458</v>
      </c>
      <c r="G150" s="208" t="s">
        <v>1459</v>
      </c>
      <c r="H150" s="73" t="s">
        <v>1170</v>
      </c>
      <c r="I150" s="74">
        <v>10</v>
      </c>
      <c r="J150" s="73" t="s">
        <v>732</v>
      </c>
      <c r="K150" s="74">
        <v>4</v>
      </c>
      <c r="L150" s="74"/>
      <c r="M150" s="209" t="s">
        <v>1460</v>
      </c>
      <c r="N150" s="82" t="s">
        <v>1461</v>
      </c>
      <c r="O150" s="74"/>
      <c r="P150" s="75"/>
      <c r="Q150" s="126" t="s">
        <v>980</v>
      </c>
      <c r="R150" s="129" t="s">
        <v>1462</v>
      </c>
      <c r="S150" s="82" t="s">
        <v>876</v>
      </c>
      <c r="T150" s="82" t="s">
        <v>877</v>
      </c>
      <c r="U150" s="82" t="s">
        <v>1463</v>
      </c>
      <c r="V150" s="229" t="s">
        <v>1464</v>
      </c>
      <c r="W150" s="73"/>
      <c r="X150" s="81" t="s">
        <v>789</v>
      </c>
      <c r="Y150" s="81" t="s">
        <v>1146</v>
      </c>
      <c r="Z150" s="205" t="s">
        <v>1465</v>
      </c>
      <c r="AA150" s="127" t="s">
        <v>1214</v>
      </c>
    </row>
    <row r="151" spans="1:27" s="33" customFormat="1" ht="45.75">
      <c r="A151" s="27"/>
      <c r="B151" s="81" t="s">
        <v>666</v>
      </c>
      <c r="C151" s="81" t="s">
        <v>792</v>
      </c>
      <c r="D151" s="81" t="s">
        <v>667</v>
      </c>
      <c r="E151" s="74">
        <v>2</v>
      </c>
      <c r="F151" s="73" t="s">
        <v>1254</v>
      </c>
      <c r="G151" s="155" t="s">
        <v>1255</v>
      </c>
      <c r="H151" s="73" t="s">
        <v>1080</v>
      </c>
      <c r="I151" s="74">
        <v>10</v>
      </c>
      <c r="J151" s="73" t="s">
        <v>732</v>
      </c>
      <c r="K151" s="74">
        <v>4</v>
      </c>
      <c r="L151" s="74"/>
      <c r="M151" s="81" t="s">
        <v>1256</v>
      </c>
      <c r="N151" s="82" t="s">
        <v>1257</v>
      </c>
      <c r="O151" s="74"/>
      <c r="P151" s="83" t="s">
        <v>1466</v>
      </c>
      <c r="Q151" s="82" t="s">
        <v>980</v>
      </c>
      <c r="R151" s="82" t="s">
        <v>1259</v>
      </c>
      <c r="S151" s="82" t="s">
        <v>883</v>
      </c>
      <c r="T151" s="82" t="s">
        <v>884</v>
      </c>
      <c r="U151" s="82" t="s">
        <v>1467</v>
      </c>
      <c r="V151" s="229" t="s">
        <v>1468</v>
      </c>
      <c r="W151" s="73"/>
      <c r="X151" s="81" t="s">
        <v>797</v>
      </c>
      <c r="Y151" s="82" t="s">
        <v>887</v>
      </c>
      <c r="Z151" s="82" t="s">
        <v>331</v>
      </c>
      <c r="AA151" s="127" t="s">
        <v>781</v>
      </c>
    </row>
    <row r="152" spans="1:27" s="33" customFormat="1" ht="137.25">
      <c r="A152" s="27"/>
      <c r="B152" s="190" t="s">
        <v>669</v>
      </c>
      <c r="C152" s="190" t="s">
        <v>798</v>
      </c>
      <c r="D152" s="190" t="s">
        <v>670</v>
      </c>
      <c r="E152" s="127">
        <v>2</v>
      </c>
      <c r="F152" s="190" t="s">
        <v>1168</v>
      </c>
      <c r="G152" s="190" t="s">
        <v>1169</v>
      </c>
      <c r="H152" s="73" t="s">
        <v>1170</v>
      </c>
      <c r="I152" s="74">
        <v>10</v>
      </c>
      <c r="J152" s="73" t="s">
        <v>732</v>
      </c>
      <c r="K152" s="74">
        <v>4</v>
      </c>
      <c r="L152" s="74"/>
      <c r="M152" s="155" t="s">
        <v>1171</v>
      </c>
      <c r="N152" s="82" t="s">
        <v>1172</v>
      </c>
      <c r="O152" s="74"/>
      <c r="P152" s="75"/>
      <c r="Q152" s="189"/>
      <c r="R152" s="189"/>
      <c r="S152" s="82" t="s">
        <v>793</v>
      </c>
      <c r="T152" s="82" t="s">
        <v>889</v>
      </c>
      <c r="U152" s="126" t="s">
        <v>743</v>
      </c>
      <c r="V152" s="250" t="s">
        <v>1469</v>
      </c>
      <c r="W152" s="73"/>
      <c r="X152" s="81" t="s">
        <v>797</v>
      </c>
      <c r="Y152" s="190" t="s">
        <v>781</v>
      </c>
      <c r="Z152" s="190" t="s">
        <v>781</v>
      </c>
      <c r="AA152" s="191" t="s">
        <v>1041</v>
      </c>
    </row>
    <row r="153" spans="1:27" s="33" customFormat="1" ht="60.75">
      <c r="A153" s="27"/>
      <c r="B153" s="81" t="s">
        <v>672</v>
      </c>
      <c r="C153" s="81" t="s">
        <v>803</v>
      </c>
      <c r="D153" s="155" t="s">
        <v>673</v>
      </c>
      <c r="E153" s="127">
        <v>2</v>
      </c>
      <c r="F153" s="81" t="s">
        <v>1254</v>
      </c>
      <c r="G153" s="155" t="s">
        <v>1255</v>
      </c>
      <c r="H153" s="73" t="s">
        <v>1080</v>
      </c>
      <c r="I153" s="74">
        <v>10</v>
      </c>
      <c r="J153" s="73" t="s">
        <v>732</v>
      </c>
      <c r="K153" s="74">
        <v>4</v>
      </c>
      <c r="L153" s="74"/>
      <c r="M153" s="81" t="s">
        <v>1256</v>
      </c>
      <c r="N153" s="82" t="s">
        <v>1257</v>
      </c>
      <c r="O153" s="74"/>
      <c r="P153" s="83" t="s">
        <v>1470</v>
      </c>
      <c r="Q153" s="81" t="s">
        <v>980</v>
      </c>
      <c r="R153" s="81" t="s">
        <v>1259</v>
      </c>
      <c r="S153" s="83" t="s">
        <v>892</v>
      </c>
      <c r="T153" s="83" t="s">
        <v>893</v>
      </c>
      <c r="U153" s="82" t="s">
        <v>1471</v>
      </c>
      <c r="V153" s="229" t="s">
        <v>1472</v>
      </c>
      <c r="W153" s="73"/>
      <c r="X153" s="81" t="s">
        <v>810</v>
      </c>
      <c r="Y153" s="81" t="s">
        <v>811</v>
      </c>
      <c r="Z153" s="81" t="s">
        <v>1471</v>
      </c>
      <c r="AA153" s="74" t="s">
        <v>781</v>
      </c>
    </row>
    <row r="154" spans="1:27" s="33" customFormat="1" ht="91.5">
      <c r="A154" s="27"/>
      <c r="B154" s="81" t="s">
        <v>675</v>
      </c>
      <c r="C154" s="81" t="s">
        <v>812</v>
      </c>
      <c r="D154" s="81" t="s">
        <v>676</v>
      </c>
      <c r="E154" s="127">
        <v>2</v>
      </c>
      <c r="F154" s="73" t="s">
        <v>1254</v>
      </c>
      <c r="G154" s="155" t="s">
        <v>1255</v>
      </c>
      <c r="H154" s="73" t="s">
        <v>1080</v>
      </c>
      <c r="I154" s="74">
        <v>10</v>
      </c>
      <c r="J154" s="73" t="s">
        <v>732</v>
      </c>
      <c r="K154" s="74">
        <v>4</v>
      </c>
      <c r="L154" s="74"/>
      <c r="M154" s="81" t="s">
        <v>1256</v>
      </c>
      <c r="N154" s="82" t="s">
        <v>1257</v>
      </c>
      <c r="O154" s="74"/>
      <c r="P154" s="83" t="s">
        <v>1473</v>
      </c>
      <c r="Q154" s="82" t="s">
        <v>980</v>
      </c>
      <c r="R154" s="82" t="s">
        <v>1259</v>
      </c>
      <c r="S154" s="82" t="s">
        <v>864</v>
      </c>
      <c r="T154" s="82" t="s">
        <v>865</v>
      </c>
      <c r="U154" s="82" t="s">
        <v>1474</v>
      </c>
      <c r="V154" s="229" t="s">
        <v>1475</v>
      </c>
      <c r="W154" s="73"/>
      <c r="X154" s="81" t="s">
        <v>773</v>
      </c>
      <c r="Y154" s="82" t="s">
        <v>868</v>
      </c>
      <c r="Z154" s="82" t="s">
        <v>1262</v>
      </c>
      <c r="AA154" s="127" t="s">
        <v>753</v>
      </c>
    </row>
    <row r="155" spans="1:27" s="33" customFormat="1" ht="409.6">
      <c r="A155" s="27"/>
      <c r="B155" s="81" t="s">
        <v>678</v>
      </c>
      <c r="C155" s="81" t="s">
        <v>814</v>
      </c>
      <c r="D155" s="81" t="s">
        <v>679</v>
      </c>
      <c r="E155" s="127">
        <v>2</v>
      </c>
      <c r="F155" s="155" t="s">
        <v>1078</v>
      </c>
      <c r="G155" s="155" t="s">
        <v>1079</v>
      </c>
      <c r="H155" s="73" t="s">
        <v>1080</v>
      </c>
      <c r="I155" s="74">
        <v>10</v>
      </c>
      <c r="J155" s="73" t="s">
        <v>732</v>
      </c>
      <c r="K155" s="74">
        <v>4</v>
      </c>
      <c r="L155" s="74"/>
      <c r="M155" s="155" t="s">
        <v>1081</v>
      </c>
      <c r="N155" s="82" t="s">
        <v>1082</v>
      </c>
      <c r="O155" s="74"/>
      <c r="P155" s="83" t="s">
        <v>1476</v>
      </c>
      <c r="Q155" s="126" t="s">
        <v>1084</v>
      </c>
      <c r="R155" s="129" t="s">
        <v>1085</v>
      </c>
      <c r="S155" s="82" t="s">
        <v>1477</v>
      </c>
      <c r="T155" s="82" t="s">
        <v>1478</v>
      </c>
      <c r="U155" s="82" t="s">
        <v>1289</v>
      </c>
      <c r="V155" s="171" t="s">
        <v>1479</v>
      </c>
      <c r="W155" s="81"/>
      <c r="X155" s="81" t="s">
        <v>821</v>
      </c>
      <c r="Y155" s="81" t="s">
        <v>992</v>
      </c>
      <c r="Z155" s="81" t="s">
        <v>1480</v>
      </c>
      <c r="AA155" s="127" t="s">
        <v>743</v>
      </c>
    </row>
    <row r="156" spans="1:27" s="33" customFormat="1" ht="91.5">
      <c r="A156" s="27"/>
      <c r="B156" s="82" t="s">
        <v>681</v>
      </c>
      <c r="C156" s="82" t="s">
        <v>822</v>
      </c>
      <c r="D156" s="82" t="s">
        <v>682</v>
      </c>
      <c r="E156" s="74">
        <v>2</v>
      </c>
      <c r="F156" s="73" t="s">
        <v>1254</v>
      </c>
      <c r="G156" s="155" t="s">
        <v>1255</v>
      </c>
      <c r="H156" s="73" t="s">
        <v>1080</v>
      </c>
      <c r="I156" s="74">
        <v>10</v>
      </c>
      <c r="J156" s="73" t="s">
        <v>732</v>
      </c>
      <c r="K156" s="74">
        <v>4</v>
      </c>
      <c r="L156" s="74"/>
      <c r="M156" s="81" t="s">
        <v>1256</v>
      </c>
      <c r="N156" s="82" t="s">
        <v>1257</v>
      </c>
      <c r="O156" s="207"/>
      <c r="P156" s="83" t="s">
        <v>1481</v>
      </c>
      <c r="Q156" s="82" t="s">
        <v>980</v>
      </c>
      <c r="R156" s="82" t="s">
        <v>1259</v>
      </c>
      <c r="S156" s="82" t="s">
        <v>864</v>
      </c>
      <c r="T156" s="82" t="s">
        <v>865</v>
      </c>
      <c r="U156" s="82" t="s">
        <v>1474</v>
      </c>
      <c r="V156" s="229" t="s">
        <v>1482</v>
      </c>
      <c r="W156" s="73"/>
      <c r="X156" s="81" t="s">
        <v>773</v>
      </c>
      <c r="Y156" s="82" t="s">
        <v>868</v>
      </c>
      <c r="Z156" s="82" t="s">
        <v>1262</v>
      </c>
      <c r="AA156" s="127" t="s">
        <v>753</v>
      </c>
    </row>
    <row r="157" spans="1:27" s="33" customFormat="1" ht="106.5">
      <c r="A157" s="27"/>
      <c r="B157" s="81" t="s">
        <v>684</v>
      </c>
      <c r="C157" s="81" t="s">
        <v>824</v>
      </c>
      <c r="D157" s="81" t="s">
        <v>685</v>
      </c>
      <c r="E157" s="127">
        <v>2</v>
      </c>
      <c r="F157" s="81" t="s">
        <v>1409</v>
      </c>
      <c r="G157" s="81" t="s">
        <v>1410</v>
      </c>
      <c r="H157" s="73" t="s">
        <v>1170</v>
      </c>
      <c r="I157" s="74">
        <v>10</v>
      </c>
      <c r="J157" s="73" t="s">
        <v>732</v>
      </c>
      <c r="K157" s="74">
        <v>4</v>
      </c>
      <c r="L157" s="74"/>
      <c r="M157" s="81" t="s">
        <v>1411</v>
      </c>
      <c r="N157" s="82" t="s">
        <v>1412</v>
      </c>
      <c r="O157" s="74"/>
      <c r="P157" s="75"/>
      <c r="Q157" s="81" t="s">
        <v>980</v>
      </c>
      <c r="R157" s="81" t="s">
        <v>1413</v>
      </c>
      <c r="S157" s="82" t="s">
        <v>870</v>
      </c>
      <c r="T157" s="82" t="s">
        <v>871</v>
      </c>
      <c r="U157" s="82" t="s">
        <v>1454</v>
      </c>
      <c r="V157" s="229" t="s">
        <v>1483</v>
      </c>
      <c r="W157" s="73"/>
      <c r="X157" s="83" t="s">
        <v>780</v>
      </c>
      <c r="Y157" s="82" t="s">
        <v>1456</v>
      </c>
      <c r="Z157" s="81" t="s">
        <v>1457</v>
      </c>
      <c r="AA157" s="127" t="s">
        <v>781</v>
      </c>
    </row>
    <row r="158" spans="1:27" s="33" customFormat="1" ht="45.75">
      <c r="A158" s="27"/>
      <c r="B158" s="75" t="s">
        <v>687</v>
      </c>
      <c r="C158" s="81" t="s">
        <v>826</v>
      </c>
      <c r="D158" s="81" t="s">
        <v>688</v>
      </c>
      <c r="E158" s="74">
        <v>2</v>
      </c>
      <c r="F158" s="73" t="s">
        <v>1254</v>
      </c>
      <c r="G158" s="155" t="s">
        <v>1255</v>
      </c>
      <c r="H158" s="73" t="s">
        <v>1080</v>
      </c>
      <c r="I158" s="219">
        <v>10</v>
      </c>
      <c r="J158" s="73" t="s">
        <v>732</v>
      </c>
      <c r="K158" s="74">
        <v>4</v>
      </c>
      <c r="L158" s="74"/>
      <c r="M158" s="81" t="s">
        <v>1256</v>
      </c>
      <c r="N158" s="82" t="s">
        <v>1257</v>
      </c>
      <c r="O158" s="74"/>
      <c r="P158" s="83" t="s">
        <v>1470</v>
      </c>
      <c r="Q158" s="73" t="s">
        <v>980</v>
      </c>
      <c r="R158" s="73" t="s">
        <v>1259</v>
      </c>
      <c r="S158" s="82" t="s">
        <v>910</v>
      </c>
      <c r="T158" s="82" t="s">
        <v>911</v>
      </c>
      <c r="U158" s="82" t="s">
        <v>1484</v>
      </c>
      <c r="V158" s="229" t="s">
        <v>1485</v>
      </c>
      <c r="W158" s="73"/>
      <c r="X158" s="82" t="s">
        <v>832</v>
      </c>
      <c r="Y158" s="82" t="s">
        <v>914</v>
      </c>
      <c r="Z158" s="82" t="s">
        <v>1486</v>
      </c>
      <c r="AA158" s="127" t="s">
        <v>781</v>
      </c>
    </row>
    <row r="159" spans="1:27" s="33" customFormat="1" ht="381.75">
      <c r="A159" s="27"/>
      <c r="B159" s="81" t="s">
        <v>690</v>
      </c>
      <c r="C159" s="81" t="s">
        <v>833</v>
      </c>
      <c r="D159" s="81" t="s">
        <v>691</v>
      </c>
      <c r="E159" s="127">
        <v>2</v>
      </c>
      <c r="F159" s="81" t="s">
        <v>1487</v>
      </c>
      <c r="G159" s="81" t="s">
        <v>1488</v>
      </c>
      <c r="H159" s="73" t="s">
        <v>1159</v>
      </c>
      <c r="I159" s="74">
        <v>10</v>
      </c>
      <c r="J159" s="73" t="s">
        <v>732</v>
      </c>
      <c r="K159" s="74">
        <v>10</v>
      </c>
      <c r="L159" s="74"/>
      <c r="M159" s="81" t="s">
        <v>1489</v>
      </c>
      <c r="N159" s="82" t="s">
        <v>1490</v>
      </c>
      <c r="O159" s="74"/>
      <c r="P159" s="75"/>
      <c r="Q159" s="73"/>
      <c r="R159" s="73"/>
      <c r="S159" s="82" t="s">
        <v>916</v>
      </c>
      <c r="T159" s="82" t="s">
        <v>917</v>
      </c>
      <c r="U159" s="82" t="s">
        <v>1491</v>
      </c>
      <c r="V159" s="229" t="s">
        <v>1492</v>
      </c>
      <c r="W159" s="73"/>
      <c r="X159" s="192" t="s">
        <v>838</v>
      </c>
      <c r="Y159" s="192" t="s">
        <v>1323</v>
      </c>
      <c r="Z159" s="157" t="s">
        <v>1493</v>
      </c>
      <c r="AA159" s="127" t="s">
        <v>1494</v>
      </c>
    </row>
    <row r="160" spans="1:27" s="33" customFormat="1" ht="244.5">
      <c r="A160" s="27"/>
      <c r="B160" s="81" t="s">
        <v>648</v>
      </c>
      <c r="C160" s="81" t="s">
        <v>728</v>
      </c>
      <c r="D160" s="81" t="s">
        <v>649</v>
      </c>
      <c r="E160" s="127">
        <v>2</v>
      </c>
      <c r="F160" s="81" t="s">
        <v>1439</v>
      </c>
      <c r="G160" s="81" t="s">
        <v>1440</v>
      </c>
      <c r="H160" s="73" t="s">
        <v>940</v>
      </c>
      <c r="I160" s="74">
        <v>11</v>
      </c>
      <c r="J160" s="73" t="s">
        <v>1441</v>
      </c>
      <c r="K160" s="74">
        <v>23</v>
      </c>
      <c r="L160" s="74">
        <v>6</v>
      </c>
      <c r="M160" s="81" t="s">
        <v>1442</v>
      </c>
      <c r="N160" s="82" t="s">
        <v>1443</v>
      </c>
      <c r="O160" s="74" t="s">
        <v>735</v>
      </c>
      <c r="P160" s="75"/>
      <c r="Q160" s="126" t="s">
        <v>980</v>
      </c>
      <c r="R160" s="129" t="s">
        <v>1444</v>
      </c>
      <c r="S160" s="83" t="s">
        <v>929</v>
      </c>
      <c r="T160" s="83" t="s">
        <v>930</v>
      </c>
      <c r="U160" s="83" t="s">
        <v>1495</v>
      </c>
      <c r="V160" s="171" t="s">
        <v>1496</v>
      </c>
      <c r="W160" s="73"/>
      <c r="X160" s="83" t="s">
        <v>742</v>
      </c>
      <c r="Y160" s="81" t="s">
        <v>933</v>
      </c>
      <c r="Z160" s="81" t="s">
        <v>1497</v>
      </c>
      <c r="AA160" s="127" t="s">
        <v>743</v>
      </c>
    </row>
    <row r="161" spans="1:27" s="33" customFormat="1" ht="91.5">
      <c r="A161" s="27"/>
      <c r="B161" s="81" t="s">
        <v>651</v>
      </c>
      <c r="C161" s="81" t="s">
        <v>745</v>
      </c>
      <c r="D161" s="81" t="s">
        <v>652</v>
      </c>
      <c r="E161" s="127">
        <v>2</v>
      </c>
      <c r="F161" s="75" t="s">
        <v>1498</v>
      </c>
      <c r="G161" s="75" t="s">
        <v>1499</v>
      </c>
      <c r="H161" s="75" t="s">
        <v>1500</v>
      </c>
      <c r="I161" s="74">
        <v>11</v>
      </c>
      <c r="J161" s="75" t="s">
        <v>732</v>
      </c>
      <c r="K161" s="74">
        <v>2</v>
      </c>
      <c r="L161" s="74"/>
      <c r="M161" s="82" t="s">
        <v>1501</v>
      </c>
      <c r="N161" s="82" t="s">
        <v>1502</v>
      </c>
      <c r="O161" s="74"/>
      <c r="P161" s="82" t="s">
        <v>1503</v>
      </c>
      <c r="Q161" s="83"/>
      <c r="R161" s="75"/>
      <c r="S161" s="82" t="s">
        <v>852</v>
      </c>
      <c r="T161" s="82" t="s">
        <v>853</v>
      </c>
      <c r="U161" s="83" t="s">
        <v>764</v>
      </c>
      <c r="V161" s="229" t="s">
        <v>1504</v>
      </c>
      <c r="W161" s="74"/>
      <c r="X161" s="81" t="s">
        <v>752</v>
      </c>
      <c r="Y161" s="83" t="s">
        <v>753</v>
      </c>
      <c r="Z161" s="83" t="s">
        <v>753</v>
      </c>
      <c r="AA161" s="197" t="s">
        <v>1505</v>
      </c>
    </row>
    <row r="162" spans="1:27" s="33" customFormat="1" ht="229.5">
      <c r="A162" s="27"/>
      <c r="B162" s="81" t="s">
        <v>654</v>
      </c>
      <c r="C162" s="155" t="s">
        <v>755</v>
      </c>
      <c r="D162" s="81" t="s">
        <v>655</v>
      </c>
      <c r="E162" s="127">
        <v>2</v>
      </c>
      <c r="F162" s="81" t="s">
        <v>1393</v>
      </c>
      <c r="G162" s="81" t="s">
        <v>1394</v>
      </c>
      <c r="H162" s="73" t="s">
        <v>1395</v>
      </c>
      <c r="I162" s="74">
        <v>11</v>
      </c>
      <c r="J162" s="73" t="s">
        <v>732</v>
      </c>
      <c r="K162" s="74">
        <v>16</v>
      </c>
      <c r="L162" s="74"/>
      <c r="M162" s="81" t="s">
        <v>1396</v>
      </c>
      <c r="N162" s="73" t="s">
        <v>1397</v>
      </c>
      <c r="O162" s="74"/>
      <c r="P162" s="75"/>
      <c r="Q162" s="126" t="s">
        <v>1398</v>
      </c>
      <c r="R162" s="129" t="s">
        <v>1393</v>
      </c>
      <c r="S162" s="82" t="s">
        <v>858</v>
      </c>
      <c r="T162" s="82" t="s">
        <v>859</v>
      </c>
      <c r="U162" s="82" t="s">
        <v>1506</v>
      </c>
      <c r="V162" s="229" t="s">
        <v>1507</v>
      </c>
      <c r="W162" s="73"/>
      <c r="X162" s="83" t="s">
        <v>763</v>
      </c>
      <c r="Y162" s="82" t="s">
        <v>1388</v>
      </c>
      <c r="Z162" s="81" t="s">
        <v>1508</v>
      </c>
      <c r="AA162" s="127" t="s">
        <v>1509</v>
      </c>
    </row>
    <row r="163" spans="1:27" s="33" customFormat="1" ht="137.25">
      <c r="A163" s="27"/>
      <c r="B163" s="73" t="s">
        <v>657</v>
      </c>
      <c r="C163" s="73" t="s">
        <v>766</v>
      </c>
      <c r="D163" s="73" t="s">
        <v>658</v>
      </c>
      <c r="E163" s="127">
        <v>2</v>
      </c>
      <c r="F163" s="190" t="s">
        <v>1168</v>
      </c>
      <c r="G163" s="190" t="s">
        <v>1169</v>
      </c>
      <c r="H163" s="73" t="s">
        <v>1170</v>
      </c>
      <c r="I163" s="74">
        <v>12</v>
      </c>
      <c r="J163" s="73" t="s">
        <v>732</v>
      </c>
      <c r="K163" s="74">
        <v>4</v>
      </c>
      <c r="L163" s="74"/>
      <c r="M163" s="155" t="s">
        <v>1171</v>
      </c>
      <c r="N163" s="82" t="s">
        <v>1172</v>
      </c>
      <c r="O163" s="74"/>
      <c r="P163" s="75"/>
      <c r="Q163" s="189"/>
      <c r="R163" s="189"/>
      <c r="S163" s="126" t="s">
        <v>793</v>
      </c>
      <c r="T163" s="126" t="s">
        <v>1416</v>
      </c>
      <c r="U163" s="126" t="s">
        <v>795</v>
      </c>
      <c r="V163" s="250" t="s">
        <v>1510</v>
      </c>
      <c r="W163" s="73"/>
      <c r="X163" s="81" t="s">
        <v>773</v>
      </c>
      <c r="Y163" s="82" t="s">
        <v>868</v>
      </c>
      <c r="Z163" s="157" t="s">
        <v>753</v>
      </c>
      <c r="AA163" s="191" t="s">
        <v>1032</v>
      </c>
    </row>
    <row r="164" spans="1:27" s="33" customFormat="1" ht="121.5">
      <c r="A164" s="27"/>
      <c r="B164" s="153" t="s">
        <v>660</v>
      </c>
      <c r="C164" s="154" t="s">
        <v>775</v>
      </c>
      <c r="D164" s="154" t="s">
        <v>661</v>
      </c>
      <c r="E164" s="156">
        <v>2</v>
      </c>
      <c r="F164" s="81" t="s">
        <v>1511</v>
      </c>
      <c r="G164" s="81" t="s">
        <v>1512</v>
      </c>
      <c r="H164" s="73" t="s">
        <v>1513</v>
      </c>
      <c r="I164" s="74">
        <v>11</v>
      </c>
      <c r="J164" s="73" t="s">
        <v>732</v>
      </c>
      <c r="K164" s="74">
        <v>4</v>
      </c>
      <c r="L164" s="74"/>
      <c r="M164" s="81" t="s">
        <v>1514</v>
      </c>
      <c r="N164" s="82" t="s">
        <v>1515</v>
      </c>
      <c r="O164" s="74"/>
      <c r="P164" s="83" t="s">
        <v>1516</v>
      </c>
      <c r="Q164" s="126" t="s">
        <v>1398</v>
      </c>
      <c r="R164" s="129" t="s">
        <v>1517</v>
      </c>
      <c r="S164" s="82" t="s">
        <v>1518</v>
      </c>
      <c r="T164" s="82" t="s">
        <v>1519</v>
      </c>
      <c r="U164" s="82" t="s">
        <v>1520</v>
      </c>
      <c r="V164" s="229" t="s">
        <v>1521</v>
      </c>
      <c r="W164" s="73"/>
      <c r="X164" s="83" t="s">
        <v>780</v>
      </c>
      <c r="Y164" s="82" t="s">
        <v>1522</v>
      </c>
      <c r="Z164" s="81" t="s">
        <v>1523</v>
      </c>
      <c r="AA164" s="127" t="s">
        <v>781</v>
      </c>
    </row>
    <row r="165" spans="1:27" s="33" customFormat="1" ht="183">
      <c r="A165" s="27"/>
      <c r="B165" s="81" t="s">
        <v>663</v>
      </c>
      <c r="C165" s="81" t="s">
        <v>783</v>
      </c>
      <c r="D165" s="81" t="s">
        <v>664</v>
      </c>
      <c r="E165" s="156">
        <v>2</v>
      </c>
      <c r="F165" s="154" t="s">
        <v>1524</v>
      </c>
      <c r="G165" s="154" t="s">
        <v>1525</v>
      </c>
      <c r="H165" s="73" t="s">
        <v>1526</v>
      </c>
      <c r="I165" s="74">
        <v>11</v>
      </c>
      <c r="J165" s="73" t="s">
        <v>732</v>
      </c>
      <c r="K165" s="74">
        <v>20</v>
      </c>
      <c r="L165" s="74"/>
      <c r="M165" s="82" t="s">
        <v>1527</v>
      </c>
      <c r="N165" s="82" t="s">
        <v>1528</v>
      </c>
      <c r="O165" s="74"/>
      <c r="P165" s="75"/>
      <c r="Q165" s="155" t="s">
        <v>1529</v>
      </c>
      <c r="R165" s="210" t="s">
        <v>1530</v>
      </c>
      <c r="S165" s="82" t="s">
        <v>876</v>
      </c>
      <c r="T165" s="82" t="s">
        <v>877</v>
      </c>
      <c r="U165" s="82" t="s">
        <v>1531</v>
      </c>
      <c r="V165" s="229" t="s">
        <v>1532</v>
      </c>
      <c r="W165" s="73"/>
      <c r="X165" s="81" t="s">
        <v>789</v>
      </c>
      <c r="Y165" s="81" t="s">
        <v>1146</v>
      </c>
      <c r="Z165" s="81" t="s">
        <v>1533</v>
      </c>
      <c r="AA165" s="127" t="s">
        <v>1214</v>
      </c>
    </row>
    <row r="166" spans="1:27" s="33" customFormat="1" ht="45.75">
      <c r="A166" s="27"/>
      <c r="B166" s="81" t="s">
        <v>666</v>
      </c>
      <c r="C166" s="81" t="s">
        <v>792</v>
      </c>
      <c r="D166" s="81" t="s">
        <v>667</v>
      </c>
      <c r="E166" s="74">
        <v>2</v>
      </c>
      <c r="F166" s="81" t="s">
        <v>1333</v>
      </c>
      <c r="G166" s="81" t="s">
        <v>1334</v>
      </c>
      <c r="H166" s="73" t="s">
        <v>1159</v>
      </c>
      <c r="I166" s="74">
        <v>11</v>
      </c>
      <c r="J166" s="73" t="s">
        <v>732</v>
      </c>
      <c r="K166" s="74">
        <v>10</v>
      </c>
      <c r="L166" s="74"/>
      <c r="M166" s="81" t="s">
        <v>1335</v>
      </c>
      <c r="N166" s="82" t="s">
        <v>1336</v>
      </c>
      <c r="O166" s="207"/>
      <c r="P166" s="75"/>
      <c r="Q166" s="82" t="s">
        <v>980</v>
      </c>
      <c r="R166" s="82" t="s">
        <v>1227</v>
      </c>
      <c r="S166" s="82" t="s">
        <v>883</v>
      </c>
      <c r="T166" s="82" t="s">
        <v>884</v>
      </c>
      <c r="U166" s="82" t="s">
        <v>1534</v>
      </c>
      <c r="V166" s="229" t="s">
        <v>1535</v>
      </c>
      <c r="W166" s="73"/>
      <c r="X166" s="81" t="s">
        <v>797</v>
      </c>
      <c r="Y166" s="82" t="s">
        <v>887</v>
      </c>
      <c r="Z166" s="82" t="s">
        <v>1536</v>
      </c>
      <c r="AA166" s="127" t="s">
        <v>781</v>
      </c>
    </row>
    <row r="167" spans="1:27" ht="45.75">
      <c r="B167" s="190" t="s">
        <v>669</v>
      </c>
      <c r="C167" s="190" t="s">
        <v>798</v>
      </c>
      <c r="D167" s="190" t="s">
        <v>670</v>
      </c>
      <c r="E167" s="74">
        <v>2</v>
      </c>
      <c r="F167" s="73" t="s">
        <v>1254</v>
      </c>
      <c r="G167" s="155" t="s">
        <v>1255</v>
      </c>
      <c r="H167" s="73" t="s">
        <v>1080</v>
      </c>
      <c r="I167" s="74">
        <v>11</v>
      </c>
      <c r="J167" s="73" t="s">
        <v>732</v>
      </c>
      <c r="K167" s="74">
        <v>4</v>
      </c>
      <c r="L167" s="74"/>
      <c r="M167" s="81" t="s">
        <v>1256</v>
      </c>
      <c r="N167" s="82" t="s">
        <v>1257</v>
      </c>
      <c r="O167" s="74"/>
      <c r="P167" s="83" t="s">
        <v>1466</v>
      </c>
      <c r="Q167" s="82" t="s">
        <v>980</v>
      </c>
      <c r="R167" s="82" t="s">
        <v>1259</v>
      </c>
      <c r="S167" s="82" t="s">
        <v>793</v>
      </c>
      <c r="T167" s="82" t="s">
        <v>889</v>
      </c>
      <c r="U167" s="82" t="s">
        <v>1537</v>
      </c>
      <c r="V167" s="229" t="s">
        <v>1538</v>
      </c>
      <c r="W167" s="73"/>
      <c r="X167" s="81" t="s">
        <v>797</v>
      </c>
      <c r="Y167" s="82" t="s">
        <v>887</v>
      </c>
      <c r="Z167" s="82" t="s">
        <v>331</v>
      </c>
      <c r="AA167" s="127" t="s">
        <v>781</v>
      </c>
    </row>
    <row r="168" spans="1:27" s="33" customFormat="1" ht="76.5">
      <c r="A168" s="27"/>
      <c r="B168" s="81" t="s">
        <v>672</v>
      </c>
      <c r="C168" s="81" t="s">
        <v>803</v>
      </c>
      <c r="D168" s="155" t="s">
        <v>673</v>
      </c>
      <c r="E168" s="127">
        <v>2</v>
      </c>
      <c r="F168" s="81" t="s">
        <v>1333</v>
      </c>
      <c r="G168" s="81" t="s">
        <v>1334</v>
      </c>
      <c r="H168" s="73" t="s">
        <v>1159</v>
      </c>
      <c r="I168" s="74">
        <v>11</v>
      </c>
      <c r="J168" s="73" t="s">
        <v>732</v>
      </c>
      <c r="K168" s="74">
        <v>10</v>
      </c>
      <c r="L168" s="74"/>
      <c r="M168" s="81" t="s">
        <v>1335</v>
      </c>
      <c r="N168" s="82" t="s">
        <v>1336</v>
      </c>
      <c r="O168" s="74"/>
      <c r="P168" s="75"/>
      <c r="Q168" s="81" t="s">
        <v>980</v>
      </c>
      <c r="R168" s="81" t="s">
        <v>1337</v>
      </c>
      <c r="S168" s="83" t="s">
        <v>892</v>
      </c>
      <c r="T168" s="83" t="s">
        <v>893</v>
      </c>
      <c r="U168" s="82" t="s">
        <v>1539</v>
      </c>
      <c r="V168" s="229" t="s">
        <v>1540</v>
      </c>
      <c r="W168" s="73"/>
      <c r="X168" s="81" t="s">
        <v>810</v>
      </c>
      <c r="Y168" s="81" t="s">
        <v>1230</v>
      </c>
      <c r="Z168" s="81" t="s">
        <v>1541</v>
      </c>
      <c r="AA168" s="74" t="s">
        <v>781</v>
      </c>
    </row>
    <row r="169" spans="1:27" s="33" customFormat="1" ht="91.5">
      <c r="A169" s="27"/>
      <c r="B169" s="81" t="s">
        <v>675</v>
      </c>
      <c r="C169" s="81" t="s">
        <v>812</v>
      </c>
      <c r="D169" s="81" t="s">
        <v>676</v>
      </c>
      <c r="E169" s="127">
        <v>2</v>
      </c>
      <c r="F169" s="81" t="s">
        <v>1333</v>
      </c>
      <c r="G169" s="81" t="s">
        <v>1334</v>
      </c>
      <c r="H169" s="73" t="s">
        <v>1159</v>
      </c>
      <c r="I169" s="74">
        <v>11</v>
      </c>
      <c r="J169" s="73" t="s">
        <v>732</v>
      </c>
      <c r="K169" s="74">
        <v>10</v>
      </c>
      <c r="L169" s="74"/>
      <c r="M169" s="81" t="s">
        <v>1335</v>
      </c>
      <c r="N169" s="82" t="s">
        <v>1336</v>
      </c>
      <c r="O169" s="207"/>
      <c r="P169" s="75"/>
      <c r="Q169" s="82" t="s">
        <v>980</v>
      </c>
      <c r="R169" s="82" t="s">
        <v>1337</v>
      </c>
      <c r="S169" s="82" t="s">
        <v>864</v>
      </c>
      <c r="T169" s="82" t="s">
        <v>865</v>
      </c>
      <c r="U169" s="82" t="s">
        <v>1542</v>
      </c>
      <c r="V169" s="229" t="s">
        <v>1543</v>
      </c>
      <c r="W169" s="73"/>
      <c r="X169" s="81" t="s">
        <v>773</v>
      </c>
      <c r="Y169" s="82" t="s">
        <v>868</v>
      </c>
      <c r="Z169" s="82" t="s">
        <v>1340</v>
      </c>
      <c r="AA169" s="127" t="s">
        <v>753</v>
      </c>
    </row>
    <row r="170" spans="1:27" s="33" customFormat="1" ht="381.75">
      <c r="A170" s="27"/>
      <c r="B170" s="81" t="s">
        <v>678</v>
      </c>
      <c r="C170" s="81" t="s">
        <v>814</v>
      </c>
      <c r="D170" s="81" t="s">
        <v>679</v>
      </c>
      <c r="E170" s="127">
        <v>2</v>
      </c>
      <c r="F170" s="190" t="s">
        <v>1168</v>
      </c>
      <c r="G170" s="190" t="s">
        <v>1169</v>
      </c>
      <c r="H170" s="73" t="s">
        <v>1170</v>
      </c>
      <c r="I170" s="74">
        <v>11</v>
      </c>
      <c r="J170" s="73" t="s">
        <v>732</v>
      </c>
      <c r="K170" s="74">
        <v>4</v>
      </c>
      <c r="L170" s="74"/>
      <c r="M170" s="155" t="s">
        <v>1171</v>
      </c>
      <c r="N170" s="82" t="s">
        <v>1172</v>
      </c>
      <c r="O170" s="74"/>
      <c r="P170" s="75"/>
      <c r="Q170" s="126" t="s">
        <v>1344</v>
      </c>
      <c r="R170" s="129" t="s">
        <v>1345</v>
      </c>
      <c r="S170" s="82" t="s">
        <v>1544</v>
      </c>
      <c r="T170" s="82" t="s">
        <v>1545</v>
      </c>
      <c r="U170" s="82" t="s">
        <v>1546</v>
      </c>
      <c r="V170" s="171" t="s">
        <v>1547</v>
      </c>
      <c r="W170" s="154"/>
      <c r="X170" s="81" t="s">
        <v>821</v>
      </c>
      <c r="Y170" s="81" t="s">
        <v>992</v>
      </c>
      <c r="Z170" s="81" t="s">
        <v>1548</v>
      </c>
      <c r="AA170" s="127" t="s">
        <v>743</v>
      </c>
    </row>
    <row r="171" spans="1:27" s="33" customFormat="1" ht="91.5">
      <c r="A171" s="27"/>
      <c r="B171" s="82" t="s">
        <v>681</v>
      </c>
      <c r="C171" s="82" t="s">
        <v>822</v>
      </c>
      <c r="D171" s="82" t="s">
        <v>682</v>
      </c>
      <c r="E171" s="74">
        <v>2</v>
      </c>
      <c r="F171" s="81" t="s">
        <v>1333</v>
      </c>
      <c r="G171" s="81" t="s">
        <v>1334</v>
      </c>
      <c r="H171" s="73" t="s">
        <v>1159</v>
      </c>
      <c r="I171" s="74">
        <v>11</v>
      </c>
      <c r="J171" s="73" t="s">
        <v>732</v>
      </c>
      <c r="K171" s="74">
        <v>10</v>
      </c>
      <c r="L171" s="74"/>
      <c r="M171" s="81" t="s">
        <v>1335</v>
      </c>
      <c r="N171" s="82" t="s">
        <v>1336</v>
      </c>
      <c r="O171" s="207"/>
      <c r="P171" s="75"/>
      <c r="Q171" s="82" t="s">
        <v>980</v>
      </c>
      <c r="R171" s="82" t="s">
        <v>1337</v>
      </c>
      <c r="S171" s="82" t="s">
        <v>864</v>
      </c>
      <c r="T171" s="82" t="s">
        <v>865</v>
      </c>
      <c r="U171" s="82" t="s">
        <v>1542</v>
      </c>
      <c r="V171" s="229" t="s">
        <v>1549</v>
      </c>
      <c r="W171" s="73"/>
      <c r="X171" s="81" t="s">
        <v>773</v>
      </c>
      <c r="Y171" s="82" t="s">
        <v>868</v>
      </c>
      <c r="Z171" s="82" t="s">
        <v>1340</v>
      </c>
      <c r="AA171" s="127" t="s">
        <v>753</v>
      </c>
    </row>
    <row r="172" spans="1:27" s="33" customFormat="1" ht="106.5">
      <c r="A172" s="27"/>
      <c r="B172" s="81" t="s">
        <v>684</v>
      </c>
      <c r="C172" s="81" t="s">
        <v>824</v>
      </c>
      <c r="D172" s="81" t="s">
        <v>685</v>
      </c>
      <c r="E172" s="127">
        <v>2</v>
      </c>
      <c r="F172" s="81" t="s">
        <v>1511</v>
      </c>
      <c r="G172" s="81" t="s">
        <v>1512</v>
      </c>
      <c r="H172" s="73" t="s">
        <v>1513</v>
      </c>
      <c r="I172" s="74">
        <v>11</v>
      </c>
      <c r="J172" s="73" t="s">
        <v>732</v>
      </c>
      <c r="K172" s="74">
        <v>4</v>
      </c>
      <c r="L172" s="74"/>
      <c r="M172" s="81" t="s">
        <v>1514</v>
      </c>
      <c r="N172" s="82" t="s">
        <v>1515</v>
      </c>
      <c r="O172" s="74"/>
      <c r="P172" s="75"/>
      <c r="Q172" s="126" t="s">
        <v>1398</v>
      </c>
      <c r="R172" s="129" t="s">
        <v>1517</v>
      </c>
      <c r="S172" s="82" t="s">
        <v>1518</v>
      </c>
      <c r="T172" s="82" t="s">
        <v>1519</v>
      </c>
      <c r="U172" s="82" t="s">
        <v>1520</v>
      </c>
      <c r="V172" s="229" t="s">
        <v>1550</v>
      </c>
      <c r="W172" s="73"/>
      <c r="X172" s="83" t="s">
        <v>780</v>
      </c>
      <c r="Y172" s="82" t="s">
        <v>1522</v>
      </c>
      <c r="Z172" s="81" t="s">
        <v>1523</v>
      </c>
      <c r="AA172" s="127" t="s">
        <v>781</v>
      </c>
    </row>
    <row r="173" spans="1:27" s="33" customFormat="1" ht="45.75">
      <c r="A173" s="27"/>
      <c r="B173" s="75" t="s">
        <v>687</v>
      </c>
      <c r="C173" s="81" t="s">
        <v>826</v>
      </c>
      <c r="D173" s="81" t="s">
        <v>688</v>
      </c>
      <c r="E173" s="74">
        <v>2</v>
      </c>
      <c r="F173" s="81" t="s">
        <v>1333</v>
      </c>
      <c r="G173" s="81" t="s">
        <v>1334</v>
      </c>
      <c r="H173" s="73" t="s">
        <v>1159</v>
      </c>
      <c r="I173" s="74">
        <v>11</v>
      </c>
      <c r="J173" s="73" t="s">
        <v>732</v>
      </c>
      <c r="K173" s="74">
        <v>10</v>
      </c>
      <c r="L173" s="74"/>
      <c r="M173" s="81" t="s">
        <v>1335</v>
      </c>
      <c r="N173" s="82" t="s">
        <v>1336</v>
      </c>
      <c r="O173" s="74"/>
      <c r="P173" s="83"/>
      <c r="Q173" s="73" t="s">
        <v>980</v>
      </c>
      <c r="R173" s="73" t="s">
        <v>1337</v>
      </c>
      <c r="S173" s="82" t="s">
        <v>910</v>
      </c>
      <c r="T173" s="82" t="s">
        <v>911</v>
      </c>
      <c r="U173" s="82" t="s">
        <v>1551</v>
      </c>
      <c r="V173" s="229" t="s">
        <v>1552</v>
      </c>
      <c r="W173" s="73"/>
      <c r="X173" s="82" t="s">
        <v>832</v>
      </c>
      <c r="Y173" s="82" t="s">
        <v>914</v>
      </c>
      <c r="Z173" s="82" t="s">
        <v>1553</v>
      </c>
      <c r="AA173" s="127" t="s">
        <v>781</v>
      </c>
    </row>
    <row r="174" spans="1:27" ht="381.75">
      <c r="B174" s="81" t="s">
        <v>690</v>
      </c>
      <c r="C174" s="81" t="s">
        <v>833</v>
      </c>
      <c r="D174" s="81" t="s">
        <v>691</v>
      </c>
      <c r="E174" s="127">
        <v>2</v>
      </c>
      <c r="F174" s="81" t="s">
        <v>1439</v>
      </c>
      <c r="G174" s="81" t="s">
        <v>1440</v>
      </c>
      <c r="H174" s="73" t="s">
        <v>940</v>
      </c>
      <c r="I174" s="74">
        <v>11</v>
      </c>
      <c r="J174" s="73" t="s">
        <v>1441</v>
      </c>
      <c r="K174" s="74">
        <v>23</v>
      </c>
      <c r="L174" s="74">
        <v>6</v>
      </c>
      <c r="M174" s="81" t="s">
        <v>1442</v>
      </c>
      <c r="N174" s="82" t="s">
        <v>1443</v>
      </c>
      <c r="O174" s="74"/>
      <c r="P174" s="75"/>
      <c r="Q174" s="129" t="s">
        <v>980</v>
      </c>
      <c r="R174" s="129" t="s">
        <v>1444</v>
      </c>
      <c r="S174" s="82" t="s">
        <v>916</v>
      </c>
      <c r="T174" s="82" t="s">
        <v>917</v>
      </c>
      <c r="U174" s="82" t="s">
        <v>1554</v>
      </c>
      <c r="V174" s="229" t="s">
        <v>1555</v>
      </c>
      <c r="W174" s="73"/>
      <c r="X174" s="192" t="s">
        <v>838</v>
      </c>
      <c r="Y174" s="192" t="s">
        <v>1323</v>
      </c>
      <c r="Z174" s="192" t="s">
        <v>1556</v>
      </c>
      <c r="AA174" s="127" t="s">
        <v>839</v>
      </c>
    </row>
    <row r="175" spans="1:27" ht="198">
      <c r="B175" s="81" t="s">
        <v>648</v>
      </c>
      <c r="C175" s="81" t="s">
        <v>728</v>
      </c>
      <c r="D175" s="81" t="s">
        <v>649</v>
      </c>
      <c r="E175" s="127">
        <v>2</v>
      </c>
      <c r="F175" s="75" t="s">
        <v>1498</v>
      </c>
      <c r="G175" s="75" t="s">
        <v>1499</v>
      </c>
      <c r="H175" s="75" t="s">
        <v>1500</v>
      </c>
      <c r="I175" s="74">
        <v>12</v>
      </c>
      <c r="J175" s="75" t="s">
        <v>732</v>
      </c>
      <c r="K175" s="74">
        <v>2</v>
      </c>
      <c r="L175" s="74"/>
      <c r="M175" s="82" t="s">
        <v>1501</v>
      </c>
      <c r="N175" s="82" t="s">
        <v>1502</v>
      </c>
      <c r="O175" s="74"/>
      <c r="P175" s="82" t="s">
        <v>1503</v>
      </c>
      <c r="Q175" s="83"/>
      <c r="R175" s="75"/>
      <c r="S175" s="83" t="s">
        <v>929</v>
      </c>
      <c r="T175" s="83" t="s">
        <v>930</v>
      </c>
      <c r="U175" s="83" t="s">
        <v>1557</v>
      </c>
      <c r="V175" s="171" t="s">
        <v>1558</v>
      </c>
      <c r="W175" s="74"/>
      <c r="X175" s="83" t="s">
        <v>742</v>
      </c>
      <c r="Y175" s="81" t="s">
        <v>743</v>
      </c>
      <c r="Z175" s="81" t="s">
        <v>743</v>
      </c>
      <c r="AA175" s="197" t="s">
        <v>1559</v>
      </c>
    </row>
    <row r="176" spans="1:27" ht="91.5">
      <c r="B176" s="81" t="s">
        <v>651</v>
      </c>
      <c r="C176" s="81" t="s">
        <v>745</v>
      </c>
      <c r="D176" s="81" t="s">
        <v>652</v>
      </c>
      <c r="E176" s="127">
        <v>2</v>
      </c>
      <c r="F176" s="81" t="s">
        <v>1560</v>
      </c>
      <c r="G176" s="81" t="s">
        <v>1561</v>
      </c>
      <c r="H176" s="73" t="s">
        <v>1562</v>
      </c>
      <c r="I176" s="74">
        <v>12</v>
      </c>
      <c r="J176" s="73" t="s">
        <v>732</v>
      </c>
      <c r="K176" s="74">
        <v>10</v>
      </c>
      <c r="L176" s="74"/>
      <c r="M176" s="82" t="s">
        <v>1563</v>
      </c>
      <c r="N176" s="73" t="s">
        <v>1564</v>
      </c>
      <c r="O176" s="74" t="s">
        <v>735</v>
      </c>
      <c r="P176" s="75"/>
      <c r="Q176" s="126"/>
      <c r="R176" s="129"/>
      <c r="S176" s="82" t="s">
        <v>852</v>
      </c>
      <c r="T176" s="82" t="s">
        <v>853</v>
      </c>
      <c r="U176" s="83" t="s">
        <v>1565</v>
      </c>
      <c r="V176" s="229" t="s">
        <v>1566</v>
      </c>
      <c r="W176" s="73"/>
      <c r="X176" s="83" t="s">
        <v>753</v>
      </c>
      <c r="Y176" s="83" t="s">
        <v>753</v>
      </c>
      <c r="Z176" s="83" t="s">
        <v>753</v>
      </c>
      <c r="AA176" s="127" t="s">
        <v>753</v>
      </c>
    </row>
    <row r="177" spans="2:27" ht="351">
      <c r="B177" s="81" t="s">
        <v>654</v>
      </c>
      <c r="C177" s="155" t="s">
        <v>755</v>
      </c>
      <c r="D177" s="81" t="s">
        <v>655</v>
      </c>
      <c r="E177" s="127">
        <v>2</v>
      </c>
      <c r="F177" s="81" t="s">
        <v>1409</v>
      </c>
      <c r="G177" s="81" t="s">
        <v>1410</v>
      </c>
      <c r="H177" s="73" t="s">
        <v>1170</v>
      </c>
      <c r="I177" s="74">
        <v>12</v>
      </c>
      <c r="J177" s="73" t="s">
        <v>732</v>
      </c>
      <c r="K177" s="74">
        <v>4</v>
      </c>
      <c r="L177" s="74"/>
      <c r="M177" s="81" t="s">
        <v>1411</v>
      </c>
      <c r="N177" s="82" t="s">
        <v>1412</v>
      </c>
      <c r="O177" s="74"/>
      <c r="P177" s="75"/>
      <c r="Q177" s="81" t="s">
        <v>980</v>
      </c>
      <c r="R177" s="81" t="s">
        <v>1413</v>
      </c>
      <c r="S177" s="82" t="s">
        <v>858</v>
      </c>
      <c r="T177" s="82" t="s">
        <v>859</v>
      </c>
      <c r="U177" s="82" t="s">
        <v>1567</v>
      </c>
      <c r="V177" s="229" t="s">
        <v>1568</v>
      </c>
      <c r="W177" s="73"/>
      <c r="X177" s="83" t="s">
        <v>763</v>
      </c>
      <c r="Y177" s="82" t="s">
        <v>1388</v>
      </c>
      <c r="Z177" s="81" t="s">
        <v>1569</v>
      </c>
      <c r="AA177" s="127" t="s">
        <v>1570</v>
      </c>
    </row>
    <row r="178" spans="2:27" ht="91.5">
      <c r="B178" s="73" t="s">
        <v>657</v>
      </c>
      <c r="C178" s="73" t="s">
        <v>766</v>
      </c>
      <c r="D178" s="73" t="s">
        <v>658</v>
      </c>
      <c r="E178" s="74">
        <v>2</v>
      </c>
      <c r="F178" s="73" t="s">
        <v>1254</v>
      </c>
      <c r="G178" s="155" t="s">
        <v>1255</v>
      </c>
      <c r="H178" s="73" t="s">
        <v>1080</v>
      </c>
      <c r="I178" s="74">
        <v>13</v>
      </c>
      <c r="J178" s="73" t="s">
        <v>732</v>
      </c>
      <c r="K178" s="74">
        <v>4</v>
      </c>
      <c r="L178" s="74"/>
      <c r="M178" s="81" t="s">
        <v>1256</v>
      </c>
      <c r="N178" s="82" t="s">
        <v>1257</v>
      </c>
      <c r="O178" s="74"/>
      <c r="P178" s="83" t="s">
        <v>1258</v>
      </c>
      <c r="Q178" s="82" t="s">
        <v>980</v>
      </c>
      <c r="R178" s="82" t="s">
        <v>1259</v>
      </c>
      <c r="S178" s="82" t="s">
        <v>864</v>
      </c>
      <c r="T178" s="82" t="s">
        <v>865</v>
      </c>
      <c r="U178" s="82" t="s">
        <v>1474</v>
      </c>
      <c r="V178" s="229" t="s">
        <v>1571</v>
      </c>
      <c r="W178" s="73"/>
      <c r="X178" s="81" t="s">
        <v>773</v>
      </c>
      <c r="Y178" s="82" t="s">
        <v>868</v>
      </c>
      <c r="Z178" s="82" t="s">
        <v>1262</v>
      </c>
      <c r="AA178" s="127" t="s">
        <v>753</v>
      </c>
    </row>
    <row r="179" spans="2:27" ht="183">
      <c r="B179" s="81" t="s">
        <v>663</v>
      </c>
      <c r="C179" s="81" t="s">
        <v>783</v>
      </c>
      <c r="D179" s="81" t="s">
        <v>664</v>
      </c>
      <c r="E179" s="127">
        <v>2</v>
      </c>
      <c r="F179" s="81" t="s">
        <v>1254</v>
      </c>
      <c r="G179" s="155" t="s">
        <v>1255</v>
      </c>
      <c r="H179" s="73" t="s">
        <v>1080</v>
      </c>
      <c r="I179" s="74">
        <v>12</v>
      </c>
      <c r="J179" s="73" t="s">
        <v>732</v>
      </c>
      <c r="K179" s="74">
        <v>4</v>
      </c>
      <c r="L179" s="74"/>
      <c r="M179" s="81" t="s">
        <v>1256</v>
      </c>
      <c r="N179" s="82" t="s">
        <v>1257</v>
      </c>
      <c r="O179" s="74"/>
      <c r="P179" s="83" t="s">
        <v>1572</v>
      </c>
      <c r="Q179" s="126" t="s">
        <v>980</v>
      </c>
      <c r="R179" s="129" t="s">
        <v>1259</v>
      </c>
      <c r="S179" s="82" t="s">
        <v>876</v>
      </c>
      <c r="T179" s="82" t="s">
        <v>877</v>
      </c>
      <c r="U179" s="82" t="s">
        <v>1573</v>
      </c>
      <c r="V179" s="229" t="s">
        <v>1574</v>
      </c>
      <c r="W179" s="73"/>
      <c r="X179" s="81" t="s">
        <v>789</v>
      </c>
      <c r="Y179" s="81" t="s">
        <v>1575</v>
      </c>
      <c r="Z179" s="192" t="s">
        <v>1576</v>
      </c>
      <c r="AA179" s="127" t="s">
        <v>743</v>
      </c>
    </row>
    <row r="180" spans="2:27" ht="45.75">
      <c r="B180" s="81" t="s">
        <v>666</v>
      </c>
      <c r="C180" s="81" t="s">
        <v>792</v>
      </c>
      <c r="D180" s="81" t="s">
        <v>667</v>
      </c>
      <c r="E180" s="74">
        <v>2</v>
      </c>
      <c r="F180" s="81" t="s">
        <v>1223</v>
      </c>
      <c r="G180" s="81" t="s">
        <v>1224</v>
      </c>
      <c r="H180" s="73" t="s">
        <v>1159</v>
      </c>
      <c r="I180" s="74">
        <v>12</v>
      </c>
      <c r="J180" s="73" t="s">
        <v>732</v>
      </c>
      <c r="K180" s="74">
        <v>10</v>
      </c>
      <c r="L180" s="74"/>
      <c r="M180" s="81" t="s">
        <v>1225</v>
      </c>
      <c r="N180" s="73" t="s">
        <v>1226</v>
      </c>
      <c r="O180" s="74"/>
      <c r="P180" s="75"/>
      <c r="Q180" s="82" t="s">
        <v>980</v>
      </c>
      <c r="R180" s="82" t="s">
        <v>1337</v>
      </c>
      <c r="S180" s="82" t="s">
        <v>883</v>
      </c>
      <c r="T180" s="82" t="s">
        <v>884</v>
      </c>
      <c r="U180" s="82" t="s">
        <v>1577</v>
      </c>
      <c r="V180" s="229" t="s">
        <v>1578</v>
      </c>
      <c r="W180" s="73"/>
      <c r="X180" s="81" t="s">
        <v>797</v>
      </c>
      <c r="Y180" s="82" t="s">
        <v>887</v>
      </c>
      <c r="Z180" s="82" t="s">
        <v>1579</v>
      </c>
      <c r="AA180" s="127" t="s">
        <v>781</v>
      </c>
    </row>
    <row r="181" spans="2:27" ht="45.75">
      <c r="B181" s="190" t="s">
        <v>669</v>
      </c>
      <c r="C181" s="190" t="s">
        <v>798</v>
      </c>
      <c r="D181" s="190" t="s">
        <v>670</v>
      </c>
      <c r="E181" s="74">
        <v>2</v>
      </c>
      <c r="F181" s="81" t="s">
        <v>1333</v>
      </c>
      <c r="G181" s="81" t="s">
        <v>1334</v>
      </c>
      <c r="H181" s="73" t="s">
        <v>1159</v>
      </c>
      <c r="I181" s="74">
        <v>12</v>
      </c>
      <c r="J181" s="73" t="s">
        <v>732</v>
      </c>
      <c r="K181" s="74">
        <v>10</v>
      </c>
      <c r="L181" s="74"/>
      <c r="M181" s="81" t="s">
        <v>1335</v>
      </c>
      <c r="N181" s="82" t="s">
        <v>1336</v>
      </c>
      <c r="O181" s="207"/>
      <c r="P181" s="75"/>
      <c r="Q181" s="82" t="s">
        <v>980</v>
      </c>
      <c r="R181" s="82" t="s">
        <v>1227</v>
      </c>
      <c r="S181" s="82" t="s">
        <v>793</v>
      </c>
      <c r="T181" s="82" t="s">
        <v>889</v>
      </c>
      <c r="U181" s="82" t="s">
        <v>1580</v>
      </c>
      <c r="V181" s="229" t="s">
        <v>1581</v>
      </c>
      <c r="W181" s="73"/>
      <c r="X181" s="81" t="s">
        <v>797</v>
      </c>
      <c r="Y181" s="82" t="s">
        <v>887</v>
      </c>
      <c r="Z181" s="82" t="s">
        <v>1536</v>
      </c>
      <c r="AA181" s="127" t="s">
        <v>781</v>
      </c>
    </row>
    <row r="182" spans="2:27" ht="60.75">
      <c r="B182" s="81" t="s">
        <v>672</v>
      </c>
      <c r="C182" s="81" t="s">
        <v>803</v>
      </c>
      <c r="D182" s="155" t="s">
        <v>673</v>
      </c>
      <c r="E182" s="127">
        <v>2</v>
      </c>
      <c r="F182" s="81" t="s">
        <v>1439</v>
      </c>
      <c r="G182" s="81" t="s">
        <v>1440</v>
      </c>
      <c r="H182" s="73" t="s">
        <v>940</v>
      </c>
      <c r="I182" s="74">
        <v>12</v>
      </c>
      <c r="J182" s="73" t="s">
        <v>1441</v>
      </c>
      <c r="K182" s="74">
        <v>23</v>
      </c>
      <c r="L182" s="74">
        <v>6</v>
      </c>
      <c r="M182" s="81" t="s">
        <v>1442</v>
      </c>
      <c r="N182" s="82" t="s">
        <v>1443</v>
      </c>
      <c r="O182" s="74"/>
      <c r="P182" s="75"/>
      <c r="Q182" s="81" t="s">
        <v>980</v>
      </c>
      <c r="R182" s="81" t="s">
        <v>1444</v>
      </c>
      <c r="S182" s="83" t="s">
        <v>892</v>
      </c>
      <c r="T182" s="83" t="s">
        <v>893</v>
      </c>
      <c r="U182" s="82" t="s">
        <v>1582</v>
      </c>
      <c r="V182" s="229" t="s">
        <v>1583</v>
      </c>
      <c r="W182" s="73"/>
      <c r="X182" s="81" t="s">
        <v>810</v>
      </c>
      <c r="Y182" s="81" t="s">
        <v>1230</v>
      </c>
      <c r="Z182" s="81" t="s">
        <v>1584</v>
      </c>
      <c r="AA182" s="74" t="s">
        <v>781</v>
      </c>
    </row>
    <row r="183" spans="2:27" ht="91.5">
      <c r="B183" s="81" t="s">
        <v>675</v>
      </c>
      <c r="C183" s="81" t="s">
        <v>812</v>
      </c>
      <c r="D183" s="81" t="s">
        <v>676</v>
      </c>
      <c r="E183" s="127">
        <v>2</v>
      </c>
      <c r="F183" s="81" t="s">
        <v>1223</v>
      </c>
      <c r="G183" s="81" t="s">
        <v>1224</v>
      </c>
      <c r="H183" s="73" t="s">
        <v>1159</v>
      </c>
      <c r="I183" s="74">
        <v>12</v>
      </c>
      <c r="J183" s="73" t="s">
        <v>732</v>
      </c>
      <c r="K183" s="74">
        <v>10</v>
      </c>
      <c r="L183" s="74"/>
      <c r="M183" s="81" t="s">
        <v>1225</v>
      </c>
      <c r="N183" s="73" t="s">
        <v>1226</v>
      </c>
      <c r="O183" s="74"/>
      <c r="P183" s="75"/>
      <c r="Q183" s="82" t="s">
        <v>804</v>
      </c>
      <c r="R183" s="82" t="s">
        <v>1585</v>
      </c>
      <c r="S183" s="82" t="s">
        <v>864</v>
      </c>
      <c r="T183" s="82" t="s">
        <v>865</v>
      </c>
      <c r="U183" s="82" t="s">
        <v>1586</v>
      </c>
      <c r="V183" s="229" t="s">
        <v>1587</v>
      </c>
      <c r="W183" s="73"/>
      <c r="X183" s="81" t="s">
        <v>773</v>
      </c>
      <c r="Y183" s="82" t="s">
        <v>1588</v>
      </c>
      <c r="Z183" s="82" t="s">
        <v>1385</v>
      </c>
      <c r="AA183" s="127" t="s">
        <v>753</v>
      </c>
    </row>
    <row r="184" spans="2:27" ht="396.75">
      <c r="B184" s="81" t="s">
        <v>678</v>
      </c>
      <c r="C184" s="81" t="s">
        <v>814</v>
      </c>
      <c r="D184" s="81" t="s">
        <v>679</v>
      </c>
      <c r="E184" s="127">
        <v>2</v>
      </c>
      <c r="F184" s="81" t="s">
        <v>1271</v>
      </c>
      <c r="G184" s="81" t="s">
        <v>1272</v>
      </c>
      <c r="H184" s="73" t="s">
        <v>1170</v>
      </c>
      <c r="I184" s="74">
        <v>12</v>
      </c>
      <c r="J184" s="73" t="s">
        <v>732</v>
      </c>
      <c r="K184" s="74">
        <v>4</v>
      </c>
      <c r="L184" s="74"/>
      <c r="M184" s="81" t="s">
        <v>1273</v>
      </c>
      <c r="N184" s="82" t="s">
        <v>1274</v>
      </c>
      <c r="O184" s="74" t="s">
        <v>735</v>
      </c>
      <c r="P184" s="75"/>
      <c r="Q184" s="126" t="s">
        <v>980</v>
      </c>
      <c r="R184" s="129" t="s">
        <v>1275</v>
      </c>
      <c r="S184" s="81" t="s">
        <v>1589</v>
      </c>
      <c r="T184" s="81" t="s">
        <v>1162</v>
      </c>
      <c r="U184" s="81" t="s">
        <v>1590</v>
      </c>
      <c r="V184" s="229" t="s">
        <v>1591</v>
      </c>
      <c r="W184" s="81"/>
      <c r="X184" s="81" t="s">
        <v>821</v>
      </c>
      <c r="Y184" s="81" t="s">
        <v>1592</v>
      </c>
      <c r="Z184" s="81" t="s">
        <v>1593</v>
      </c>
      <c r="AA184" s="127" t="s">
        <v>1594</v>
      </c>
    </row>
    <row r="185" spans="2:27" ht="91.5">
      <c r="B185" s="82" t="s">
        <v>681</v>
      </c>
      <c r="C185" s="82" t="s">
        <v>822</v>
      </c>
      <c r="D185" s="82" t="s">
        <v>682</v>
      </c>
      <c r="E185" s="74">
        <v>2</v>
      </c>
      <c r="F185" s="81" t="s">
        <v>1223</v>
      </c>
      <c r="G185" s="81" t="s">
        <v>1224</v>
      </c>
      <c r="H185" s="73" t="s">
        <v>1159</v>
      </c>
      <c r="I185" s="74">
        <v>12</v>
      </c>
      <c r="J185" s="73" t="s">
        <v>732</v>
      </c>
      <c r="K185" s="74">
        <v>10</v>
      </c>
      <c r="L185" s="74"/>
      <c r="M185" s="81" t="s">
        <v>1225</v>
      </c>
      <c r="N185" s="73" t="s">
        <v>1226</v>
      </c>
      <c r="O185" s="74"/>
      <c r="P185" s="75"/>
      <c r="Q185" s="82" t="s">
        <v>804</v>
      </c>
      <c r="R185" s="82" t="s">
        <v>1585</v>
      </c>
      <c r="S185" s="82" t="s">
        <v>864</v>
      </c>
      <c r="T185" s="82" t="s">
        <v>865</v>
      </c>
      <c r="U185" s="82" t="s">
        <v>1586</v>
      </c>
      <c r="V185" s="229" t="s">
        <v>1595</v>
      </c>
      <c r="W185" s="73"/>
      <c r="X185" s="81" t="s">
        <v>773</v>
      </c>
      <c r="Y185" s="82" t="s">
        <v>868</v>
      </c>
      <c r="Z185" s="82" t="s">
        <v>1385</v>
      </c>
      <c r="AA185" s="127" t="s">
        <v>753</v>
      </c>
    </row>
    <row r="186" spans="2:27" ht="60.75">
      <c r="B186" s="153" t="s">
        <v>660</v>
      </c>
      <c r="C186" s="154" t="s">
        <v>775</v>
      </c>
      <c r="D186" s="154" t="s">
        <v>661</v>
      </c>
      <c r="E186" s="156">
        <v>2</v>
      </c>
      <c r="F186" s="81" t="s">
        <v>1596</v>
      </c>
      <c r="G186" s="81" t="s">
        <v>1597</v>
      </c>
      <c r="H186" s="73" t="s">
        <v>1598</v>
      </c>
      <c r="I186" s="74">
        <v>12</v>
      </c>
      <c r="J186" s="73" t="s">
        <v>732</v>
      </c>
      <c r="K186" s="74">
        <v>4</v>
      </c>
      <c r="L186" s="74"/>
      <c r="M186" s="81" t="s">
        <v>1599</v>
      </c>
      <c r="N186" s="82" t="s">
        <v>1600</v>
      </c>
      <c r="O186" s="74"/>
      <c r="P186" s="83" t="s">
        <v>1516</v>
      </c>
      <c r="Q186" s="126" t="s">
        <v>1398</v>
      </c>
      <c r="R186" s="129" t="s">
        <v>1601</v>
      </c>
      <c r="S186" s="82" t="s">
        <v>1518</v>
      </c>
      <c r="T186" s="82" t="s">
        <v>1519</v>
      </c>
      <c r="U186" s="82" t="s">
        <v>1520</v>
      </c>
      <c r="V186" s="229" t="s">
        <v>1602</v>
      </c>
      <c r="W186" s="73"/>
      <c r="X186" s="83" t="s">
        <v>780</v>
      </c>
      <c r="Y186" s="82" t="s">
        <v>1603</v>
      </c>
      <c r="Z186" s="81" t="s">
        <v>1604</v>
      </c>
      <c r="AA186" s="127" t="s">
        <v>781</v>
      </c>
    </row>
    <row r="187" spans="2:27" ht="60.75">
      <c r="B187" s="81" t="s">
        <v>684</v>
      </c>
      <c r="C187" s="81" t="s">
        <v>824</v>
      </c>
      <c r="D187" s="81" t="s">
        <v>685</v>
      </c>
      <c r="E187" s="127">
        <v>2</v>
      </c>
      <c r="F187" s="81" t="s">
        <v>1596</v>
      </c>
      <c r="G187" s="81" t="s">
        <v>1597</v>
      </c>
      <c r="H187" s="73" t="s">
        <v>1598</v>
      </c>
      <c r="I187" s="74">
        <v>12</v>
      </c>
      <c r="J187" s="73" t="s">
        <v>732</v>
      </c>
      <c r="K187" s="74">
        <v>4</v>
      </c>
      <c r="L187" s="74"/>
      <c r="M187" s="81" t="s">
        <v>1599</v>
      </c>
      <c r="N187" s="82" t="s">
        <v>1600</v>
      </c>
      <c r="O187" s="74"/>
      <c r="P187" s="83" t="s">
        <v>1516</v>
      </c>
      <c r="Q187" s="126" t="s">
        <v>1398</v>
      </c>
      <c r="R187" s="129" t="s">
        <v>1601</v>
      </c>
      <c r="S187" s="82" t="s">
        <v>1518</v>
      </c>
      <c r="T187" s="82" t="s">
        <v>1519</v>
      </c>
      <c r="U187" s="82" t="s">
        <v>1520</v>
      </c>
      <c r="V187" s="229" t="s">
        <v>1605</v>
      </c>
      <c r="W187" s="73"/>
      <c r="X187" s="83" t="s">
        <v>780</v>
      </c>
      <c r="Y187" s="82" t="s">
        <v>1522</v>
      </c>
      <c r="Z187" s="81" t="s">
        <v>1604</v>
      </c>
      <c r="AA187" s="127" t="s">
        <v>781</v>
      </c>
    </row>
    <row r="188" spans="2:27" ht="45.75">
      <c r="B188" s="75" t="s">
        <v>687</v>
      </c>
      <c r="C188" s="81" t="s">
        <v>826</v>
      </c>
      <c r="D188" s="81" t="s">
        <v>688</v>
      </c>
      <c r="E188" s="74">
        <v>2</v>
      </c>
      <c r="F188" s="81" t="s">
        <v>1223</v>
      </c>
      <c r="G188" s="81" t="s">
        <v>1224</v>
      </c>
      <c r="H188" s="73" t="s">
        <v>1159</v>
      </c>
      <c r="I188" s="219">
        <v>12</v>
      </c>
      <c r="J188" s="73" t="s">
        <v>732</v>
      </c>
      <c r="K188" s="74">
        <v>10</v>
      </c>
      <c r="L188" s="74"/>
      <c r="M188" s="81" t="s">
        <v>1225</v>
      </c>
      <c r="N188" s="73" t="s">
        <v>1226</v>
      </c>
      <c r="O188" s="74"/>
      <c r="P188" s="75"/>
      <c r="Q188" s="73" t="s">
        <v>980</v>
      </c>
      <c r="R188" s="73" t="s">
        <v>1227</v>
      </c>
      <c r="S188" s="82" t="s">
        <v>910</v>
      </c>
      <c r="T188" s="82" t="s">
        <v>911</v>
      </c>
      <c r="U188" s="82" t="s">
        <v>1606</v>
      </c>
      <c r="V188" s="229" t="s">
        <v>1607</v>
      </c>
      <c r="W188" s="73"/>
      <c r="X188" s="82" t="s">
        <v>832</v>
      </c>
      <c r="Y188" s="82" t="s">
        <v>914</v>
      </c>
      <c r="Z188" s="82" t="s">
        <v>1579</v>
      </c>
      <c r="AA188" s="127" t="s">
        <v>781</v>
      </c>
    </row>
    <row r="189" spans="2:27" ht="381.75">
      <c r="B189" s="81" t="s">
        <v>690</v>
      </c>
      <c r="C189" s="81" t="s">
        <v>833</v>
      </c>
      <c r="D189" s="81" t="s">
        <v>691</v>
      </c>
      <c r="E189" s="127">
        <v>2</v>
      </c>
      <c r="F189" s="75" t="s">
        <v>1498</v>
      </c>
      <c r="G189" s="75" t="s">
        <v>1499</v>
      </c>
      <c r="H189" s="73" t="s">
        <v>1500</v>
      </c>
      <c r="I189" s="74">
        <v>12</v>
      </c>
      <c r="J189" s="73" t="s">
        <v>732</v>
      </c>
      <c r="K189" s="74">
        <v>20</v>
      </c>
      <c r="L189" s="74"/>
      <c r="M189" s="82" t="s">
        <v>1501</v>
      </c>
      <c r="N189" s="82" t="s">
        <v>1502</v>
      </c>
      <c r="O189" s="74"/>
      <c r="P189" s="83" t="s">
        <v>1608</v>
      </c>
      <c r="Q189" s="129"/>
      <c r="R189" s="129"/>
      <c r="S189" s="82" t="s">
        <v>916</v>
      </c>
      <c r="T189" s="82" t="s">
        <v>917</v>
      </c>
      <c r="U189" s="82" t="s">
        <v>1061</v>
      </c>
      <c r="V189" s="229" t="s">
        <v>1609</v>
      </c>
      <c r="W189" s="73"/>
      <c r="X189" s="192" t="s">
        <v>838</v>
      </c>
      <c r="Y189" s="192" t="s">
        <v>1323</v>
      </c>
      <c r="Z189" s="81" t="s">
        <v>839</v>
      </c>
      <c r="AA189" s="127" t="s">
        <v>1610</v>
      </c>
    </row>
    <row r="190" spans="2:27" ht="198">
      <c r="B190" s="81" t="s">
        <v>648</v>
      </c>
      <c r="C190" s="81" t="s">
        <v>728</v>
      </c>
      <c r="D190" s="81" t="s">
        <v>649</v>
      </c>
      <c r="E190" s="127">
        <v>2</v>
      </c>
      <c r="F190" s="81" t="s">
        <v>1560</v>
      </c>
      <c r="G190" s="81" t="s">
        <v>1561</v>
      </c>
      <c r="H190" s="73" t="s">
        <v>1562</v>
      </c>
      <c r="I190" s="74">
        <v>13</v>
      </c>
      <c r="J190" s="73" t="s">
        <v>732</v>
      </c>
      <c r="K190" s="74">
        <v>10</v>
      </c>
      <c r="L190" s="74"/>
      <c r="M190" s="82" t="s">
        <v>1563</v>
      </c>
      <c r="N190" s="73" t="s">
        <v>1564</v>
      </c>
      <c r="O190" s="74" t="s">
        <v>735</v>
      </c>
      <c r="P190" s="75"/>
      <c r="Q190" s="81"/>
      <c r="R190" s="81"/>
      <c r="S190" s="83" t="s">
        <v>929</v>
      </c>
      <c r="T190" s="83" t="s">
        <v>930</v>
      </c>
      <c r="U190" s="83" t="s">
        <v>1611</v>
      </c>
      <c r="V190" s="171" t="s">
        <v>1612</v>
      </c>
      <c r="W190" s="73"/>
      <c r="X190" s="81" t="s">
        <v>753</v>
      </c>
      <c r="Y190" s="81" t="s">
        <v>743</v>
      </c>
      <c r="Z190" s="81" t="s">
        <v>743</v>
      </c>
      <c r="AA190" s="127" t="s">
        <v>743</v>
      </c>
    </row>
    <row r="191" spans="2:27" ht="91.5">
      <c r="B191" s="81" t="s">
        <v>651</v>
      </c>
      <c r="C191" s="81" t="s">
        <v>745</v>
      </c>
      <c r="D191" s="81" t="s">
        <v>652</v>
      </c>
      <c r="E191" s="127">
        <v>2</v>
      </c>
      <c r="F191" s="81" t="s">
        <v>1613</v>
      </c>
      <c r="G191" s="81" t="s">
        <v>1614</v>
      </c>
      <c r="H191" s="73" t="s">
        <v>1615</v>
      </c>
      <c r="I191" s="74">
        <v>13</v>
      </c>
      <c r="J191" s="73" t="s">
        <v>1151</v>
      </c>
      <c r="K191" s="74">
        <v>23</v>
      </c>
      <c r="L191" s="74"/>
      <c r="M191" s="82" t="s">
        <v>1616</v>
      </c>
      <c r="N191" s="255" t="s">
        <v>1617</v>
      </c>
      <c r="O191" s="74"/>
      <c r="P191" s="75"/>
      <c r="Q191" s="81"/>
      <c r="R191" s="81"/>
      <c r="S191" s="82" t="s">
        <v>852</v>
      </c>
      <c r="T191" s="82" t="s">
        <v>853</v>
      </c>
      <c r="U191" s="83" t="s">
        <v>764</v>
      </c>
      <c r="V191" s="229" t="s">
        <v>1618</v>
      </c>
      <c r="W191" s="73"/>
      <c r="X191" s="83" t="s">
        <v>753</v>
      </c>
      <c r="Y191" s="83" t="s">
        <v>753</v>
      </c>
      <c r="Z191" s="83" t="s">
        <v>753</v>
      </c>
      <c r="AA191" s="127" t="s">
        <v>753</v>
      </c>
    </row>
    <row r="192" spans="2:27" ht="351">
      <c r="B192" s="81" t="s">
        <v>654</v>
      </c>
      <c r="C192" s="155" t="s">
        <v>755</v>
      </c>
      <c r="D192" s="81" t="s">
        <v>655</v>
      </c>
      <c r="E192" s="127">
        <v>2</v>
      </c>
      <c r="F192" s="81" t="s">
        <v>1511</v>
      </c>
      <c r="G192" s="81" t="s">
        <v>1512</v>
      </c>
      <c r="H192" s="73" t="s">
        <v>1513</v>
      </c>
      <c r="I192" s="74">
        <v>13</v>
      </c>
      <c r="J192" s="73" t="s">
        <v>732</v>
      </c>
      <c r="K192" s="74">
        <v>4</v>
      </c>
      <c r="L192" s="74"/>
      <c r="M192" s="81" t="s">
        <v>1514</v>
      </c>
      <c r="N192" s="82" t="s">
        <v>1515</v>
      </c>
      <c r="O192" s="74"/>
      <c r="P192" s="75"/>
      <c r="Q192" s="126" t="s">
        <v>1398</v>
      </c>
      <c r="R192" s="129" t="s">
        <v>1517</v>
      </c>
      <c r="S192" s="82" t="s">
        <v>858</v>
      </c>
      <c r="T192" s="82" t="s">
        <v>1619</v>
      </c>
      <c r="U192" s="82" t="s">
        <v>1620</v>
      </c>
      <c r="V192" s="229" t="s">
        <v>1621</v>
      </c>
      <c r="W192" s="73"/>
      <c r="X192" s="83" t="s">
        <v>763</v>
      </c>
      <c r="Y192" s="82" t="s">
        <v>1622</v>
      </c>
      <c r="Z192" s="81" t="s">
        <v>1623</v>
      </c>
      <c r="AA192" s="127" t="s">
        <v>1509</v>
      </c>
    </row>
    <row r="193" spans="2:27" ht="91.5">
      <c r="B193" s="73" t="s">
        <v>657</v>
      </c>
      <c r="C193" s="73" t="s">
        <v>766</v>
      </c>
      <c r="D193" s="73" t="s">
        <v>658</v>
      </c>
      <c r="E193" s="74">
        <v>2</v>
      </c>
      <c r="F193" s="81" t="s">
        <v>1333</v>
      </c>
      <c r="G193" s="81" t="s">
        <v>1334</v>
      </c>
      <c r="H193" s="73" t="s">
        <v>1159</v>
      </c>
      <c r="I193" s="74">
        <v>14</v>
      </c>
      <c r="J193" s="73" t="s">
        <v>732</v>
      </c>
      <c r="K193" s="74">
        <v>10</v>
      </c>
      <c r="L193" s="74"/>
      <c r="M193" s="81" t="s">
        <v>1335</v>
      </c>
      <c r="N193" s="82" t="s">
        <v>1336</v>
      </c>
      <c r="O193" s="207"/>
      <c r="P193" s="75"/>
      <c r="Q193" s="82" t="s">
        <v>980</v>
      </c>
      <c r="R193" s="82" t="s">
        <v>1337</v>
      </c>
      <c r="S193" s="82" t="s">
        <v>864</v>
      </c>
      <c r="T193" s="82" t="s">
        <v>865</v>
      </c>
      <c r="U193" s="82" t="s">
        <v>1542</v>
      </c>
      <c r="V193" s="229" t="s">
        <v>1624</v>
      </c>
      <c r="W193" s="73"/>
      <c r="X193" s="81" t="s">
        <v>773</v>
      </c>
      <c r="Y193" s="82" t="s">
        <v>868</v>
      </c>
      <c r="Z193" s="82" t="s">
        <v>1340</v>
      </c>
      <c r="AA193" s="127" t="s">
        <v>753</v>
      </c>
    </row>
    <row r="194" spans="2:27" ht="60.75">
      <c r="B194" s="153" t="s">
        <v>660</v>
      </c>
      <c r="C194" s="154" t="s">
        <v>775</v>
      </c>
      <c r="D194" s="154" t="s">
        <v>661</v>
      </c>
      <c r="E194" s="127">
        <v>2</v>
      </c>
      <c r="F194" s="154" t="s">
        <v>1625</v>
      </c>
      <c r="G194" s="154" t="s">
        <v>1626</v>
      </c>
      <c r="H194" s="73" t="s">
        <v>1080</v>
      </c>
      <c r="I194" s="74">
        <v>13</v>
      </c>
      <c r="J194" s="73" t="s">
        <v>732</v>
      </c>
      <c r="K194" s="74">
        <v>4</v>
      </c>
      <c r="L194" s="74"/>
      <c r="M194" s="81" t="s">
        <v>1627</v>
      </c>
      <c r="N194" s="82" t="s">
        <v>1628</v>
      </c>
      <c r="O194" s="74"/>
      <c r="P194" s="83" t="s">
        <v>1470</v>
      </c>
      <c r="Q194" s="126" t="s">
        <v>980</v>
      </c>
      <c r="R194" s="196" t="s">
        <v>1629</v>
      </c>
      <c r="S194" s="82" t="s">
        <v>870</v>
      </c>
      <c r="T194" s="82" t="s">
        <v>871</v>
      </c>
      <c r="U194" s="82" t="s">
        <v>1630</v>
      </c>
      <c r="V194" s="229" t="s">
        <v>1631</v>
      </c>
      <c r="W194" s="73"/>
      <c r="X194" s="83" t="s">
        <v>780</v>
      </c>
      <c r="Y194" s="157" t="s">
        <v>965</v>
      </c>
      <c r="Z194" s="81" t="s">
        <v>1632</v>
      </c>
      <c r="AA194" s="127" t="s">
        <v>781</v>
      </c>
    </row>
    <row r="195" spans="2:27" ht="183">
      <c r="B195" s="81" t="s">
        <v>663</v>
      </c>
      <c r="C195" s="81" t="s">
        <v>783</v>
      </c>
      <c r="D195" s="81" t="s">
        <v>664</v>
      </c>
      <c r="E195" s="127">
        <v>2</v>
      </c>
      <c r="F195" s="81" t="s">
        <v>1333</v>
      </c>
      <c r="G195" s="81" t="s">
        <v>1334</v>
      </c>
      <c r="H195" s="73" t="s">
        <v>1159</v>
      </c>
      <c r="I195" s="74">
        <v>13</v>
      </c>
      <c r="J195" s="73" t="s">
        <v>732</v>
      </c>
      <c r="K195" s="74">
        <v>10</v>
      </c>
      <c r="L195" s="74"/>
      <c r="M195" s="81" t="s">
        <v>1335</v>
      </c>
      <c r="N195" s="82" t="s">
        <v>1336</v>
      </c>
      <c r="O195" s="74"/>
      <c r="P195" s="75"/>
      <c r="Q195" s="126" t="s">
        <v>980</v>
      </c>
      <c r="R195" s="129" t="s">
        <v>1337</v>
      </c>
      <c r="S195" s="82" t="s">
        <v>876</v>
      </c>
      <c r="T195" s="82" t="s">
        <v>877</v>
      </c>
      <c r="U195" s="82" t="s">
        <v>1633</v>
      </c>
      <c r="V195" s="229" t="s">
        <v>1634</v>
      </c>
      <c r="W195" s="73"/>
      <c r="X195" s="81" t="s">
        <v>789</v>
      </c>
      <c r="Y195" s="81" t="s">
        <v>971</v>
      </c>
      <c r="Z195" s="81" t="s">
        <v>1635</v>
      </c>
      <c r="AA195" s="127" t="s">
        <v>743</v>
      </c>
    </row>
    <row r="196" spans="2:27" ht="76.5">
      <c r="B196" s="81" t="s">
        <v>666</v>
      </c>
      <c r="C196" s="81" t="s">
        <v>792</v>
      </c>
      <c r="D196" s="81" t="s">
        <v>667</v>
      </c>
      <c r="E196" s="74">
        <v>2</v>
      </c>
      <c r="F196" s="73" t="s">
        <v>1439</v>
      </c>
      <c r="G196" s="81" t="s">
        <v>1440</v>
      </c>
      <c r="H196" s="73" t="s">
        <v>940</v>
      </c>
      <c r="I196" s="74">
        <v>13</v>
      </c>
      <c r="J196" s="73" t="s">
        <v>1441</v>
      </c>
      <c r="K196" s="74">
        <v>23</v>
      </c>
      <c r="L196" s="74">
        <v>6</v>
      </c>
      <c r="M196" s="81" t="s">
        <v>1442</v>
      </c>
      <c r="N196" s="82" t="s">
        <v>1443</v>
      </c>
      <c r="O196" s="74"/>
      <c r="P196" s="75"/>
      <c r="Q196" s="73" t="s">
        <v>980</v>
      </c>
      <c r="R196" s="82" t="s">
        <v>1444</v>
      </c>
      <c r="S196" s="82" t="s">
        <v>883</v>
      </c>
      <c r="T196" s="82" t="s">
        <v>884</v>
      </c>
      <c r="U196" s="82" t="s">
        <v>1636</v>
      </c>
      <c r="V196" s="229" t="s">
        <v>1637</v>
      </c>
      <c r="W196" s="73"/>
      <c r="X196" s="81" t="s">
        <v>797</v>
      </c>
      <c r="Y196" s="82" t="s">
        <v>887</v>
      </c>
      <c r="Z196" s="157" t="s">
        <v>1638</v>
      </c>
      <c r="AA196" s="127" t="s">
        <v>781</v>
      </c>
    </row>
    <row r="197" spans="2:27" ht="45.75">
      <c r="B197" s="190" t="s">
        <v>669</v>
      </c>
      <c r="C197" s="190" t="s">
        <v>798</v>
      </c>
      <c r="D197" s="190" t="s">
        <v>670</v>
      </c>
      <c r="E197" s="74">
        <v>2</v>
      </c>
      <c r="F197" s="81" t="s">
        <v>1223</v>
      </c>
      <c r="G197" s="81" t="s">
        <v>1224</v>
      </c>
      <c r="H197" s="73" t="s">
        <v>1159</v>
      </c>
      <c r="I197" s="74">
        <v>13</v>
      </c>
      <c r="J197" s="73" t="s">
        <v>732</v>
      </c>
      <c r="K197" s="74">
        <v>10</v>
      </c>
      <c r="L197" s="74"/>
      <c r="M197" s="81" t="s">
        <v>1225</v>
      </c>
      <c r="N197" s="73" t="s">
        <v>1226</v>
      </c>
      <c r="O197" s="74"/>
      <c r="P197" s="75"/>
      <c r="Q197" s="82" t="s">
        <v>980</v>
      </c>
      <c r="R197" s="82" t="s">
        <v>1337</v>
      </c>
      <c r="S197" s="82" t="s">
        <v>793</v>
      </c>
      <c r="T197" s="82" t="s">
        <v>889</v>
      </c>
      <c r="U197" s="82" t="s">
        <v>1639</v>
      </c>
      <c r="V197" s="229" t="s">
        <v>1640</v>
      </c>
      <c r="W197" s="73"/>
      <c r="X197" s="81" t="s">
        <v>797</v>
      </c>
      <c r="Y197" s="82" t="s">
        <v>887</v>
      </c>
      <c r="Z197" s="82" t="s">
        <v>1579</v>
      </c>
      <c r="AA197" s="127" t="s">
        <v>781</v>
      </c>
    </row>
    <row r="198" spans="2:27" ht="60.75">
      <c r="B198" s="81" t="s">
        <v>672</v>
      </c>
      <c r="C198" s="81" t="s">
        <v>803</v>
      </c>
      <c r="D198" s="155" t="s">
        <v>673</v>
      </c>
      <c r="E198" s="127">
        <v>2</v>
      </c>
      <c r="F198" s="190" t="s">
        <v>1641</v>
      </c>
      <c r="G198" s="190" t="s">
        <v>1642</v>
      </c>
      <c r="H198" s="73" t="s">
        <v>940</v>
      </c>
      <c r="I198" s="74">
        <v>13</v>
      </c>
      <c r="J198" s="73" t="s">
        <v>732</v>
      </c>
      <c r="K198" s="74"/>
      <c r="L198" s="74"/>
      <c r="M198" s="81" t="s">
        <v>1643</v>
      </c>
      <c r="N198" s="82" t="s">
        <v>1644</v>
      </c>
      <c r="O198" s="74"/>
      <c r="P198" s="75"/>
      <c r="Q198" s="189"/>
      <c r="R198" s="189"/>
      <c r="S198" s="83" t="s">
        <v>892</v>
      </c>
      <c r="T198" s="83" t="s">
        <v>893</v>
      </c>
      <c r="U198" s="82" t="s">
        <v>1645</v>
      </c>
      <c r="V198" s="229" t="s">
        <v>1646</v>
      </c>
      <c r="W198" s="73"/>
      <c r="X198" s="81" t="s">
        <v>810</v>
      </c>
      <c r="Y198" s="81" t="s">
        <v>1230</v>
      </c>
      <c r="Z198" s="190" t="s">
        <v>1645</v>
      </c>
      <c r="AA198" s="74" t="s">
        <v>781</v>
      </c>
    </row>
    <row r="199" spans="2:27" ht="137.25">
      <c r="B199" s="81" t="s">
        <v>675</v>
      </c>
      <c r="C199" s="81" t="s">
        <v>812</v>
      </c>
      <c r="D199" s="81" t="s">
        <v>676</v>
      </c>
      <c r="E199" s="127">
        <v>2</v>
      </c>
      <c r="F199" s="73" t="s">
        <v>1439</v>
      </c>
      <c r="G199" s="81" t="s">
        <v>1440</v>
      </c>
      <c r="H199" s="73" t="s">
        <v>940</v>
      </c>
      <c r="I199" s="74">
        <v>13</v>
      </c>
      <c r="J199" s="73" t="s">
        <v>1441</v>
      </c>
      <c r="K199" s="74">
        <v>23</v>
      </c>
      <c r="L199" s="74">
        <v>6</v>
      </c>
      <c r="M199" s="81" t="s">
        <v>1442</v>
      </c>
      <c r="N199" s="82" t="s">
        <v>1443</v>
      </c>
      <c r="O199" s="74"/>
      <c r="P199" s="75"/>
      <c r="Q199" s="73" t="s">
        <v>980</v>
      </c>
      <c r="R199" s="82" t="s">
        <v>1444</v>
      </c>
      <c r="S199" s="82" t="s">
        <v>864</v>
      </c>
      <c r="T199" s="82" t="s">
        <v>865</v>
      </c>
      <c r="U199" s="82" t="s">
        <v>1647</v>
      </c>
      <c r="V199" s="229" t="s">
        <v>1648</v>
      </c>
      <c r="W199" s="73"/>
      <c r="X199" s="81" t="s">
        <v>773</v>
      </c>
      <c r="Y199" s="82" t="s">
        <v>868</v>
      </c>
      <c r="Z199" s="157" t="s">
        <v>1447</v>
      </c>
      <c r="AA199" s="127" t="s">
        <v>753</v>
      </c>
    </row>
    <row r="200" spans="2:27" ht="409.6">
      <c r="B200" s="81" t="s">
        <v>678</v>
      </c>
      <c r="C200" s="81" t="s">
        <v>814</v>
      </c>
      <c r="D200" s="81" t="s">
        <v>679</v>
      </c>
      <c r="E200" s="127">
        <v>2</v>
      </c>
      <c r="F200" s="81" t="s">
        <v>1649</v>
      </c>
      <c r="G200" s="81" t="s">
        <v>1650</v>
      </c>
      <c r="H200" s="73" t="s">
        <v>1651</v>
      </c>
      <c r="I200" s="74">
        <v>13</v>
      </c>
      <c r="J200" s="73" t="s">
        <v>732</v>
      </c>
      <c r="K200" s="74">
        <v>10</v>
      </c>
      <c r="L200" s="74"/>
      <c r="M200" s="82" t="s">
        <v>1652</v>
      </c>
      <c r="N200" s="82" t="s">
        <v>1653</v>
      </c>
      <c r="O200" s="74"/>
      <c r="P200" s="75"/>
      <c r="Q200" s="126" t="s">
        <v>980</v>
      </c>
      <c r="R200" s="129" t="s">
        <v>1654</v>
      </c>
      <c r="S200" s="81" t="s">
        <v>1589</v>
      </c>
      <c r="T200" s="81" t="s">
        <v>1162</v>
      </c>
      <c r="U200" s="81" t="s">
        <v>1655</v>
      </c>
      <c r="V200" s="187" t="s">
        <v>1656</v>
      </c>
      <c r="W200" s="81"/>
      <c r="X200" s="81" t="s">
        <v>821</v>
      </c>
      <c r="Y200" s="81" t="s">
        <v>1592</v>
      </c>
      <c r="Z200" s="81" t="s">
        <v>1657</v>
      </c>
      <c r="AA200" s="127" t="s">
        <v>1594</v>
      </c>
    </row>
    <row r="201" spans="2:27" ht="137.25">
      <c r="B201" s="82" t="s">
        <v>681</v>
      </c>
      <c r="C201" s="82" t="s">
        <v>822</v>
      </c>
      <c r="D201" s="82" t="s">
        <v>682</v>
      </c>
      <c r="E201" s="74">
        <v>2</v>
      </c>
      <c r="F201" s="73" t="s">
        <v>1439</v>
      </c>
      <c r="G201" s="81" t="s">
        <v>1440</v>
      </c>
      <c r="H201" s="73" t="s">
        <v>940</v>
      </c>
      <c r="I201" s="74">
        <v>13</v>
      </c>
      <c r="J201" s="73" t="s">
        <v>1441</v>
      </c>
      <c r="K201" s="74">
        <v>23</v>
      </c>
      <c r="L201" s="74">
        <v>6</v>
      </c>
      <c r="M201" s="81" t="s">
        <v>1442</v>
      </c>
      <c r="N201" s="82" t="s">
        <v>1443</v>
      </c>
      <c r="O201" s="74"/>
      <c r="P201" s="75"/>
      <c r="Q201" s="73" t="s">
        <v>980</v>
      </c>
      <c r="R201" s="82" t="s">
        <v>1444</v>
      </c>
      <c r="S201" s="82" t="s">
        <v>864</v>
      </c>
      <c r="T201" s="82" t="s">
        <v>865</v>
      </c>
      <c r="U201" s="82" t="s">
        <v>1647</v>
      </c>
      <c r="V201" s="229" t="s">
        <v>1658</v>
      </c>
      <c r="W201" s="73"/>
      <c r="X201" s="81" t="s">
        <v>773</v>
      </c>
      <c r="Y201" s="82" t="s">
        <v>868</v>
      </c>
      <c r="Z201" s="157" t="s">
        <v>1447</v>
      </c>
      <c r="AA201" s="127" t="s">
        <v>753</v>
      </c>
    </row>
    <row r="202" spans="2:27" ht="45.75">
      <c r="B202" s="81" t="s">
        <v>684</v>
      </c>
      <c r="C202" s="81" t="s">
        <v>824</v>
      </c>
      <c r="D202" s="81" t="s">
        <v>685</v>
      </c>
      <c r="E202" s="127">
        <v>2</v>
      </c>
      <c r="F202" s="154" t="s">
        <v>1625</v>
      </c>
      <c r="G202" s="154" t="s">
        <v>1626</v>
      </c>
      <c r="H202" s="73" t="s">
        <v>1080</v>
      </c>
      <c r="I202" s="74">
        <v>13</v>
      </c>
      <c r="J202" s="73" t="s">
        <v>732</v>
      </c>
      <c r="K202" s="74">
        <v>4</v>
      </c>
      <c r="L202" s="74"/>
      <c r="M202" s="81" t="s">
        <v>1627</v>
      </c>
      <c r="N202" s="82" t="s">
        <v>1628</v>
      </c>
      <c r="O202" s="74"/>
      <c r="P202" s="83" t="s">
        <v>1470</v>
      </c>
      <c r="Q202" s="126" t="s">
        <v>980</v>
      </c>
      <c r="R202" s="196" t="s">
        <v>1629</v>
      </c>
      <c r="S202" s="82" t="s">
        <v>870</v>
      </c>
      <c r="T202" s="82" t="s">
        <v>871</v>
      </c>
      <c r="U202" s="82" t="s">
        <v>1630</v>
      </c>
      <c r="V202" s="229" t="s">
        <v>1659</v>
      </c>
      <c r="W202" s="73"/>
      <c r="X202" s="83" t="s">
        <v>780</v>
      </c>
      <c r="Y202" s="157" t="s">
        <v>965</v>
      </c>
      <c r="Z202" s="81" t="s">
        <v>1632</v>
      </c>
      <c r="AA202" s="127" t="s">
        <v>781</v>
      </c>
    </row>
    <row r="203" spans="2:27" ht="45.75">
      <c r="B203" s="75" t="s">
        <v>687</v>
      </c>
      <c r="C203" s="81" t="s">
        <v>826</v>
      </c>
      <c r="D203" s="81" t="s">
        <v>688</v>
      </c>
      <c r="E203" s="74">
        <v>2</v>
      </c>
      <c r="F203" s="73" t="s">
        <v>1439</v>
      </c>
      <c r="G203" s="81" t="s">
        <v>1440</v>
      </c>
      <c r="H203" s="73" t="s">
        <v>940</v>
      </c>
      <c r="I203" s="219">
        <v>13</v>
      </c>
      <c r="J203" s="73" t="s">
        <v>1441</v>
      </c>
      <c r="K203" s="74">
        <v>23</v>
      </c>
      <c r="L203" s="74">
        <v>6</v>
      </c>
      <c r="M203" s="81" t="s">
        <v>1442</v>
      </c>
      <c r="N203" s="82" t="s">
        <v>1443</v>
      </c>
      <c r="O203" s="74"/>
      <c r="P203" s="75"/>
      <c r="Q203" s="73" t="s">
        <v>980</v>
      </c>
      <c r="R203" s="73" t="s">
        <v>1444</v>
      </c>
      <c r="S203" s="82" t="s">
        <v>910</v>
      </c>
      <c r="T203" s="82" t="s">
        <v>911</v>
      </c>
      <c r="U203" s="82" t="s">
        <v>1660</v>
      </c>
      <c r="V203" s="229" t="s">
        <v>1661</v>
      </c>
      <c r="W203" s="73"/>
      <c r="X203" s="82" t="s">
        <v>832</v>
      </c>
      <c r="Y203" s="82" t="s">
        <v>914</v>
      </c>
      <c r="Z203" s="82" t="s">
        <v>1638</v>
      </c>
      <c r="AA203" s="127" t="s">
        <v>781</v>
      </c>
    </row>
    <row r="204" spans="2:27" ht="381.75">
      <c r="B204" s="81" t="s">
        <v>690</v>
      </c>
      <c r="C204" s="81" t="s">
        <v>833</v>
      </c>
      <c r="D204" s="81" t="s">
        <v>691</v>
      </c>
      <c r="E204" s="127">
        <v>2</v>
      </c>
      <c r="F204" s="81" t="s">
        <v>1560</v>
      </c>
      <c r="G204" s="81" t="s">
        <v>1561</v>
      </c>
      <c r="H204" s="73" t="s">
        <v>1562</v>
      </c>
      <c r="I204" s="74">
        <v>13</v>
      </c>
      <c r="J204" s="73" t="s">
        <v>732</v>
      </c>
      <c r="K204" s="74">
        <v>10</v>
      </c>
      <c r="L204" s="74"/>
      <c r="M204" s="82" t="s">
        <v>1563</v>
      </c>
      <c r="N204" s="73" t="s">
        <v>1564</v>
      </c>
      <c r="O204" s="74" t="s">
        <v>735</v>
      </c>
      <c r="P204" s="75"/>
      <c r="Q204" s="129"/>
      <c r="R204" s="129"/>
      <c r="S204" s="82" t="s">
        <v>916</v>
      </c>
      <c r="T204" s="82" t="s">
        <v>917</v>
      </c>
      <c r="U204" s="82" t="s">
        <v>1662</v>
      </c>
      <c r="V204" s="229" t="s">
        <v>1663</v>
      </c>
      <c r="W204" s="73"/>
      <c r="X204" s="192" t="s">
        <v>839</v>
      </c>
      <c r="Y204" s="192" t="s">
        <v>839</v>
      </c>
      <c r="Z204" s="192" t="s">
        <v>839</v>
      </c>
      <c r="AA204" s="127" t="s">
        <v>839</v>
      </c>
    </row>
    <row r="205" spans="2:27" ht="198">
      <c r="B205" s="81" t="s">
        <v>648</v>
      </c>
      <c r="C205" s="81" t="s">
        <v>728</v>
      </c>
      <c r="D205" s="81" t="s">
        <v>649</v>
      </c>
      <c r="E205" s="127">
        <v>2</v>
      </c>
      <c r="F205" s="81" t="s">
        <v>1613</v>
      </c>
      <c r="G205" s="81" t="s">
        <v>1614</v>
      </c>
      <c r="H205" s="73" t="s">
        <v>1615</v>
      </c>
      <c r="I205" s="74">
        <v>14</v>
      </c>
      <c r="J205" s="73" t="s">
        <v>1151</v>
      </c>
      <c r="K205" s="74">
        <v>23</v>
      </c>
      <c r="L205" s="74"/>
      <c r="M205" s="82" t="s">
        <v>1616</v>
      </c>
      <c r="N205" s="255" t="s">
        <v>1617</v>
      </c>
      <c r="O205" s="74"/>
      <c r="P205" s="75"/>
      <c r="Q205" s="81"/>
      <c r="R205" s="81"/>
      <c r="S205" s="83" t="s">
        <v>929</v>
      </c>
      <c r="T205" s="83" t="s">
        <v>930</v>
      </c>
      <c r="U205" s="83" t="s">
        <v>1557</v>
      </c>
      <c r="V205" s="171" t="s">
        <v>1664</v>
      </c>
      <c r="W205" s="73"/>
      <c r="X205" s="81" t="s">
        <v>753</v>
      </c>
      <c r="Y205" s="81" t="s">
        <v>743</v>
      </c>
      <c r="Z205" s="81" t="s">
        <v>743</v>
      </c>
      <c r="AA205" s="127" t="s">
        <v>764</v>
      </c>
    </row>
    <row r="206" spans="2:27" ht="91.5">
      <c r="B206" s="73" t="s">
        <v>657</v>
      </c>
      <c r="C206" s="73" t="s">
        <v>766</v>
      </c>
      <c r="D206" s="73" t="s">
        <v>658</v>
      </c>
      <c r="E206" s="74">
        <v>2</v>
      </c>
      <c r="F206" s="81" t="s">
        <v>1223</v>
      </c>
      <c r="G206" s="81" t="s">
        <v>1224</v>
      </c>
      <c r="H206" s="73" t="s">
        <v>1159</v>
      </c>
      <c r="I206" s="74">
        <v>15</v>
      </c>
      <c r="J206" s="73" t="s">
        <v>732</v>
      </c>
      <c r="K206" s="74">
        <v>10</v>
      </c>
      <c r="L206" s="74"/>
      <c r="M206" s="81" t="s">
        <v>1225</v>
      </c>
      <c r="N206" s="73" t="s">
        <v>1226</v>
      </c>
      <c r="O206" s="74"/>
      <c r="P206" s="75"/>
      <c r="Q206" s="206" t="s">
        <v>958</v>
      </c>
      <c r="R206" s="206" t="s">
        <v>1665</v>
      </c>
      <c r="S206" s="82" t="s">
        <v>864</v>
      </c>
      <c r="T206" s="82" t="s">
        <v>865</v>
      </c>
      <c r="U206" s="82" t="s">
        <v>1586</v>
      </c>
      <c r="V206" s="229" t="s">
        <v>1666</v>
      </c>
      <c r="W206" s="73"/>
      <c r="X206" s="81" t="s">
        <v>773</v>
      </c>
      <c r="Y206" s="82" t="s">
        <v>868</v>
      </c>
      <c r="Z206" s="82" t="s">
        <v>1385</v>
      </c>
      <c r="AA206" s="127" t="s">
        <v>753</v>
      </c>
    </row>
    <row r="207" spans="2:27" ht="60.75">
      <c r="B207" s="153" t="s">
        <v>660</v>
      </c>
      <c r="C207" s="154" t="s">
        <v>775</v>
      </c>
      <c r="D207" s="154" t="s">
        <v>661</v>
      </c>
      <c r="E207" s="127">
        <v>2</v>
      </c>
      <c r="F207" s="155" t="s">
        <v>1254</v>
      </c>
      <c r="G207" s="155" t="s">
        <v>1255</v>
      </c>
      <c r="H207" s="73" t="s">
        <v>1080</v>
      </c>
      <c r="I207" s="74">
        <v>14</v>
      </c>
      <c r="J207" s="73" t="s">
        <v>732</v>
      </c>
      <c r="K207" s="74">
        <v>4</v>
      </c>
      <c r="L207" s="74"/>
      <c r="M207" s="81" t="s">
        <v>1256</v>
      </c>
      <c r="N207" s="82" t="s">
        <v>1257</v>
      </c>
      <c r="O207" s="74"/>
      <c r="P207" s="83" t="s">
        <v>1470</v>
      </c>
      <c r="Q207" s="126" t="s">
        <v>980</v>
      </c>
      <c r="R207" s="129" t="s">
        <v>1259</v>
      </c>
      <c r="S207" s="82" t="s">
        <v>870</v>
      </c>
      <c r="T207" s="82" t="s">
        <v>871</v>
      </c>
      <c r="U207" s="82" t="s">
        <v>1667</v>
      </c>
      <c r="V207" s="229" t="s">
        <v>1668</v>
      </c>
      <c r="W207" s="73"/>
      <c r="X207" s="83" t="s">
        <v>780</v>
      </c>
      <c r="Y207" s="157" t="s">
        <v>965</v>
      </c>
      <c r="Z207" s="81" t="s">
        <v>1669</v>
      </c>
      <c r="AA207" s="127" t="s">
        <v>781</v>
      </c>
    </row>
    <row r="208" spans="2:27" ht="183">
      <c r="B208" s="81" t="s">
        <v>663</v>
      </c>
      <c r="C208" s="81" t="s">
        <v>783</v>
      </c>
      <c r="D208" s="81" t="s">
        <v>664</v>
      </c>
      <c r="E208" s="127">
        <v>2</v>
      </c>
      <c r="F208" s="81" t="s">
        <v>1223</v>
      </c>
      <c r="G208" s="81" t="s">
        <v>1224</v>
      </c>
      <c r="H208" s="73" t="s">
        <v>1159</v>
      </c>
      <c r="I208" s="74">
        <v>14</v>
      </c>
      <c r="J208" s="73" t="s">
        <v>732</v>
      </c>
      <c r="K208" s="74">
        <v>10</v>
      </c>
      <c r="L208" s="74"/>
      <c r="M208" s="81" t="s">
        <v>1225</v>
      </c>
      <c r="N208" s="73" t="s">
        <v>1226</v>
      </c>
      <c r="O208" s="74"/>
      <c r="P208" s="75"/>
      <c r="Q208" s="126" t="s">
        <v>980</v>
      </c>
      <c r="R208" s="129" t="s">
        <v>1227</v>
      </c>
      <c r="S208" s="82" t="s">
        <v>876</v>
      </c>
      <c r="T208" s="82" t="s">
        <v>877</v>
      </c>
      <c r="U208" s="82" t="s">
        <v>1670</v>
      </c>
      <c r="V208" s="229" t="s">
        <v>1671</v>
      </c>
      <c r="W208" s="73"/>
      <c r="X208" s="81" t="s">
        <v>789</v>
      </c>
      <c r="Y208" s="81" t="s">
        <v>971</v>
      </c>
      <c r="Z208" s="171" t="s">
        <v>1672</v>
      </c>
      <c r="AA208" s="127" t="s">
        <v>743</v>
      </c>
    </row>
    <row r="209" spans="2:27" ht="30.75">
      <c r="B209" s="81" t="s">
        <v>666</v>
      </c>
      <c r="C209" s="81" t="s">
        <v>792</v>
      </c>
      <c r="D209" s="81" t="s">
        <v>667</v>
      </c>
      <c r="E209" s="74">
        <v>2</v>
      </c>
      <c r="F209" s="190" t="s">
        <v>1673</v>
      </c>
      <c r="G209" s="190" t="s">
        <v>1674</v>
      </c>
      <c r="H209" s="73" t="s">
        <v>1121</v>
      </c>
      <c r="I209" s="74">
        <v>14</v>
      </c>
      <c r="J209" s="73" t="s">
        <v>732</v>
      </c>
      <c r="K209" s="74">
        <v>10</v>
      </c>
      <c r="L209" s="74"/>
      <c r="M209" s="81" t="s">
        <v>1675</v>
      </c>
      <c r="N209" s="82" t="s">
        <v>1676</v>
      </c>
      <c r="O209" s="207"/>
      <c r="P209" s="75"/>
      <c r="Q209" s="189"/>
      <c r="R209" s="189"/>
      <c r="S209" s="82" t="s">
        <v>883</v>
      </c>
      <c r="T209" s="82" t="s">
        <v>884</v>
      </c>
      <c r="U209" s="82" t="s">
        <v>1677</v>
      </c>
      <c r="V209" s="229" t="s">
        <v>1678</v>
      </c>
      <c r="W209" s="73"/>
      <c r="X209" s="81" t="s">
        <v>797</v>
      </c>
      <c r="Y209" s="82" t="s">
        <v>887</v>
      </c>
      <c r="Z209" s="190" t="s">
        <v>1679</v>
      </c>
      <c r="AA209" s="127" t="s">
        <v>781</v>
      </c>
    </row>
    <row r="210" spans="2:27" ht="91.5">
      <c r="B210" s="190" t="s">
        <v>669</v>
      </c>
      <c r="C210" s="190" t="s">
        <v>798</v>
      </c>
      <c r="D210" s="190" t="s">
        <v>670</v>
      </c>
      <c r="E210" s="74">
        <v>2</v>
      </c>
      <c r="F210" s="73" t="s">
        <v>1439</v>
      </c>
      <c r="G210" s="81" t="s">
        <v>1440</v>
      </c>
      <c r="H210" s="73" t="s">
        <v>940</v>
      </c>
      <c r="I210" s="74">
        <v>14</v>
      </c>
      <c r="J210" s="73" t="s">
        <v>1441</v>
      </c>
      <c r="K210" s="74">
        <v>23</v>
      </c>
      <c r="L210" s="74">
        <v>6</v>
      </c>
      <c r="M210" s="81" t="s">
        <v>1442</v>
      </c>
      <c r="N210" s="82" t="s">
        <v>1443</v>
      </c>
      <c r="O210" s="74"/>
      <c r="P210" s="75"/>
      <c r="Q210" s="73" t="s">
        <v>980</v>
      </c>
      <c r="R210" s="82" t="s">
        <v>1444</v>
      </c>
      <c r="S210" s="82" t="s">
        <v>793</v>
      </c>
      <c r="T210" s="82" t="s">
        <v>889</v>
      </c>
      <c r="U210" s="82" t="s">
        <v>1680</v>
      </c>
      <c r="V210" s="229" t="s">
        <v>1681</v>
      </c>
      <c r="W210" s="73"/>
      <c r="X210" s="81" t="s">
        <v>797</v>
      </c>
      <c r="Y210" s="82" t="s">
        <v>887</v>
      </c>
      <c r="Z210" s="157" t="s">
        <v>1638</v>
      </c>
      <c r="AA210" s="127" t="s">
        <v>781</v>
      </c>
    </row>
    <row r="211" spans="2:27" ht="60.75">
      <c r="B211" s="81" t="s">
        <v>672</v>
      </c>
      <c r="C211" s="81" t="s">
        <v>803</v>
      </c>
      <c r="D211" s="155" t="s">
        <v>673</v>
      </c>
      <c r="E211" s="127">
        <v>2</v>
      </c>
      <c r="F211" s="75" t="s">
        <v>1498</v>
      </c>
      <c r="G211" s="75" t="s">
        <v>1499</v>
      </c>
      <c r="H211" s="75" t="s">
        <v>1500</v>
      </c>
      <c r="I211" s="74">
        <v>14</v>
      </c>
      <c r="J211" s="75" t="s">
        <v>732</v>
      </c>
      <c r="K211" s="74">
        <v>2</v>
      </c>
      <c r="L211" s="74"/>
      <c r="M211" s="82" t="s">
        <v>1501</v>
      </c>
      <c r="N211" s="82" t="s">
        <v>1502</v>
      </c>
      <c r="O211" s="74"/>
      <c r="P211" s="82" t="s">
        <v>1682</v>
      </c>
      <c r="Q211" s="83"/>
      <c r="R211" s="75"/>
      <c r="S211" s="83" t="s">
        <v>892</v>
      </c>
      <c r="T211" s="83" t="s">
        <v>893</v>
      </c>
      <c r="U211" s="82" t="s">
        <v>1645</v>
      </c>
      <c r="V211" s="250" t="s">
        <v>1683</v>
      </c>
      <c r="W211" s="74"/>
      <c r="X211" s="81" t="s">
        <v>821</v>
      </c>
      <c r="Y211" s="81" t="s">
        <v>743</v>
      </c>
      <c r="Z211" s="81" t="s">
        <v>743</v>
      </c>
      <c r="AA211" s="197" t="s">
        <v>1684</v>
      </c>
    </row>
    <row r="212" spans="2:27" ht="91.5">
      <c r="B212" s="81" t="s">
        <v>675</v>
      </c>
      <c r="C212" s="81" t="s">
        <v>812</v>
      </c>
      <c r="D212" s="81" t="s">
        <v>676</v>
      </c>
      <c r="E212" s="74">
        <v>2</v>
      </c>
      <c r="F212" s="190" t="s">
        <v>1673</v>
      </c>
      <c r="G212" s="190" t="s">
        <v>1674</v>
      </c>
      <c r="H212" s="73" t="s">
        <v>1121</v>
      </c>
      <c r="I212" s="74">
        <v>14</v>
      </c>
      <c r="J212" s="73" t="s">
        <v>732</v>
      </c>
      <c r="K212" s="74">
        <v>10</v>
      </c>
      <c r="L212" s="74"/>
      <c r="M212" s="81" t="s">
        <v>1675</v>
      </c>
      <c r="N212" s="82" t="s">
        <v>1676</v>
      </c>
      <c r="O212" s="207"/>
      <c r="P212" s="75"/>
      <c r="Q212" s="189"/>
      <c r="R212" s="189"/>
      <c r="S212" s="82" t="s">
        <v>864</v>
      </c>
      <c r="T212" s="82" t="s">
        <v>865</v>
      </c>
      <c r="U212" s="82" t="s">
        <v>1685</v>
      </c>
      <c r="V212" s="229" t="s">
        <v>1686</v>
      </c>
      <c r="W212" s="73"/>
      <c r="X212" s="81" t="s">
        <v>773</v>
      </c>
      <c r="Y212" s="82" t="s">
        <v>1126</v>
      </c>
      <c r="Z212" s="190" t="s">
        <v>1687</v>
      </c>
      <c r="AA212" s="127" t="s">
        <v>1688</v>
      </c>
    </row>
    <row r="213" spans="2:27" ht="275.25">
      <c r="B213" s="81" t="s">
        <v>678</v>
      </c>
      <c r="C213" s="81" t="s">
        <v>814</v>
      </c>
      <c r="D213" s="81" t="s">
        <v>679</v>
      </c>
      <c r="E213" s="127">
        <v>2</v>
      </c>
      <c r="F213" s="75" t="s">
        <v>1689</v>
      </c>
      <c r="G213" s="75" t="s">
        <v>1690</v>
      </c>
      <c r="H213" s="73" t="s">
        <v>1080</v>
      </c>
      <c r="I213" s="74">
        <v>14</v>
      </c>
      <c r="J213" s="75" t="s">
        <v>732</v>
      </c>
      <c r="K213" s="74"/>
      <c r="L213" s="74"/>
      <c r="M213" s="82" t="s">
        <v>1691</v>
      </c>
      <c r="N213" s="82" t="s">
        <v>1692</v>
      </c>
      <c r="O213" s="74"/>
      <c r="P213" s="73"/>
      <c r="Q213" s="192"/>
      <c r="R213" s="73"/>
      <c r="S213" s="81" t="s">
        <v>1363</v>
      </c>
      <c r="T213" s="81" t="s">
        <v>1693</v>
      </c>
      <c r="U213" s="81" t="s">
        <v>1694</v>
      </c>
      <c r="V213" s="187" t="s">
        <v>1695</v>
      </c>
      <c r="W213" s="211"/>
      <c r="X213" s="81" t="s">
        <v>821</v>
      </c>
      <c r="Y213" s="82" t="s">
        <v>1696</v>
      </c>
      <c r="Z213" s="82" t="s">
        <v>1697</v>
      </c>
      <c r="AA213" s="127" t="s">
        <v>1698</v>
      </c>
    </row>
    <row r="214" spans="2:27" ht="91.5">
      <c r="B214" s="82" t="s">
        <v>681</v>
      </c>
      <c r="C214" s="82" t="s">
        <v>822</v>
      </c>
      <c r="D214" s="82" t="s">
        <v>682</v>
      </c>
      <c r="E214" s="74">
        <v>2</v>
      </c>
      <c r="F214" s="190" t="s">
        <v>1673</v>
      </c>
      <c r="G214" s="190" t="s">
        <v>1674</v>
      </c>
      <c r="H214" s="73" t="s">
        <v>1121</v>
      </c>
      <c r="I214" s="74">
        <v>14</v>
      </c>
      <c r="J214" s="73" t="s">
        <v>732</v>
      </c>
      <c r="K214" s="74">
        <v>10</v>
      </c>
      <c r="L214" s="74"/>
      <c r="M214" s="81" t="s">
        <v>1675</v>
      </c>
      <c r="N214" s="82" t="s">
        <v>1676</v>
      </c>
      <c r="O214" s="207"/>
      <c r="P214" s="75"/>
      <c r="Q214" s="189"/>
      <c r="R214" s="189"/>
      <c r="S214" s="82" t="s">
        <v>864</v>
      </c>
      <c r="T214" s="82" t="s">
        <v>865</v>
      </c>
      <c r="U214" s="82" t="s">
        <v>1685</v>
      </c>
      <c r="V214" s="229" t="s">
        <v>1699</v>
      </c>
      <c r="W214" s="73"/>
      <c r="X214" s="81" t="s">
        <v>773</v>
      </c>
      <c r="Y214" s="82" t="s">
        <v>1126</v>
      </c>
      <c r="Z214" s="190" t="s">
        <v>1687</v>
      </c>
      <c r="AA214" s="127" t="s">
        <v>1688</v>
      </c>
    </row>
    <row r="215" spans="2:27" ht="244.5">
      <c r="B215" s="81" t="s">
        <v>654</v>
      </c>
      <c r="C215" s="155" t="s">
        <v>755</v>
      </c>
      <c r="D215" s="81" t="s">
        <v>655</v>
      </c>
      <c r="E215" s="127">
        <v>2</v>
      </c>
      <c r="F215" s="81" t="s">
        <v>1596</v>
      </c>
      <c r="G215" s="81" t="s">
        <v>1597</v>
      </c>
      <c r="H215" s="73" t="s">
        <v>1598</v>
      </c>
      <c r="I215" s="74">
        <v>14</v>
      </c>
      <c r="J215" s="73" t="s">
        <v>732</v>
      </c>
      <c r="K215" s="74">
        <v>4</v>
      </c>
      <c r="L215" s="74"/>
      <c r="M215" s="81" t="s">
        <v>1599</v>
      </c>
      <c r="N215" s="82" t="s">
        <v>1600</v>
      </c>
      <c r="O215" s="74"/>
      <c r="P215" s="83" t="s">
        <v>1700</v>
      </c>
      <c r="Q215" s="126" t="s">
        <v>1398</v>
      </c>
      <c r="R215" s="129" t="s">
        <v>1601</v>
      </c>
      <c r="S215" s="82" t="s">
        <v>858</v>
      </c>
      <c r="T215" s="82" t="s">
        <v>1619</v>
      </c>
      <c r="U215" s="82" t="s">
        <v>1620</v>
      </c>
      <c r="V215" s="229" t="s">
        <v>1701</v>
      </c>
      <c r="W215" s="73"/>
      <c r="X215" s="83" t="s">
        <v>763</v>
      </c>
      <c r="Y215" s="82" t="s">
        <v>1622</v>
      </c>
      <c r="Z215" s="81" t="s">
        <v>1623</v>
      </c>
      <c r="AA215" s="127" t="s">
        <v>1509</v>
      </c>
    </row>
    <row r="216" spans="2:27" ht="45.75">
      <c r="B216" s="81" t="s">
        <v>684</v>
      </c>
      <c r="C216" s="81" t="s">
        <v>824</v>
      </c>
      <c r="D216" s="81" t="s">
        <v>685</v>
      </c>
      <c r="E216" s="127">
        <v>2</v>
      </c>
      <c r="F216" s="155" t="s">
        <v>1254</v>
      </c>
      <c r="G216" s="155" t="s">
        <v>1255</v>
      </c>
      <c r="H216" s="73" t="s">
        <v>1080</v>
      </c>
      <c r="I216" s="74">
        <v>14</v>
      </c>
      <c r="J216" s="73" t="s">
        <v>732</v>
      </c>
      <c r="K216" s="74">
        <v>4</v>
      </c>
      <c r="L216" s="74"/>
      <c r="M216" s="81" t="s">
        <v>1256</v>
      </c>
      <c r="N216" s="82" t="s">
        <v>1257</v>
      </c>
      <c r="O216" s="74"/>
      <c r="P216" s="83" t="s">
        <v>1470</v>
      </c>
      <c r="Q216" s="126" t="s">
        <v>980</v>
      </c>
      <c r="R216" s="129" t="s">
        <v>1259</v>
      </c>
      <c r="S216" s="82" t="s">
        <v>870</v>
      </c>
      <c r="T216" s="82" t="s">
        <v>871</v>
      </c>
      <c r="U216" s="82" t="s">
        <v>1667</v>
      </c>
      <c r="V216" s="229" t="s">
        <v>1702</v>
      </c>
      <c r="W216" s="73"/>
      <c r="X216" s="83" t="s">
        <v>780</v>
      </c>
      <c r="Y216" s="157" t="s">
        <v>965</v>
      </c>
      <c r="Z216" s="81" t="s">
        <v>1669</v>
      </c>
      <c r="AA216" s="127" t="s">
        <v>781</v>
      </c>
    </row>
    <row r="217" spans="2:27" ht="30.75">
      <c r="B217" s="75" t="s">
        <v>687</v>
      </c>
      <c r="C217" s="81" t="s">
        <v>826</v>
      </c>
      <c r="D217" s="81" t="s">
        <v>688</v>
      </c>
      <c r="E217" s="74">
        <v>2</v>
      </c>
      <c r="F217" s="75" t="s">
        <v>1498</v>
      </c>
      <c r="G217" s="75" t="s">
        <v>1499</v>
      </c>
      <c r="H217" s="75" t="s">
        <v>1500</v>
      </c>
      <c r="I217" s="219">
        <v>14</v>
      </c>
      <c r="J217" s="75" t="s">
        <v>732</v>
      </c>
      <c r="K217" s="74">
        <v>2</v>
      </c>
      <c r="L217" s="74"/>
      <c r="M217" s="82" t="s">
        <v>1501</v>
      </c>
      <c r="N217" s="82" t="s">
        <v>1502</v>
      </c>
      <c r="O217" s="74"/>
      <c r="P217" s="82" t="s">
        <v>1682</v>
      </c>
      <c r="Q217" s="83"/>
      <c r="R217" s="75"/>
      <c r="S217" s="82" t="s">
        <v>910</v>
      </c>
      <c r="T217" s="82" t="s">
        <v>911</v>
      </c>
      <c r="U217" s="82" t="s">
        <v>753</v>
      </c>
      <c r="V217" s="229" t="s">
        <v>1703</v>
      </c>
      <c r="W217" s="74"/>
      <c r="X217" s="82" t="s">
        <v>832</v>
      </c>
      <c r="Y217" s="82" t="s">
        <v>781</v>
      </c>
      <c r="Z217" s="82" t="s">
        <v>781</v>
      </c>
      <c r="AA217" s="197" t="s">
        <v>1704</v>
      </c>
    </row>
    <row r="218" spans="2:27" ht="381.75">
      <c r="B218" s="81" t="s">
        <v>690</v>
      </c>
      <c r="C218" s="81" t="s">
        <v>833</v>
      </c>
      <c r="D218" s="81" t="s">
        <v>691</v>
      </c>
      <c r="E218" s="127">
        <v>2</v>
      </c>
      <c r="F218" s="81" t="s">
        <v>1613</v>
      </c>
      <c r="G218" s="81" t="s">
        <v>1614</v>
      </c>
      <c r="H218" s="73" t="s">
        <v>1615</v>
      </c>
      <c r="I218" s="74">
        <v>14</v>
      </c>
      <c r="J218" s="73" t="s">
        <v>1151</v>
      </c>
      <c r="K218" s="74">
        <v>23</v>
      </c>
      <c r="L218" s="74"/>
      <c r="M218" s="82" t="s">
        <v>1616</v>
      </c>
      <c r="N218" s="255" t="s">
        <v>1617</v>
      </c>
      <c r="O218" s="74"/>
      <c r="P218" s="75"/>
      <c r="Q218" s="129"/>
      <c r="R218" s="129"/>
      <c r="S218" s="82" t="s">
        <v>916</v>
      </c>
      <c r="T218" s="82" t="s">
        <v>917</v>
      </c>
      <c r="U218" s="82" t="s">
        <v>1061</v>
      </c>
      <c r="V218" s="229" t="s">
        <v>1705</v>
      </c>
      <c r="W218" s="73"/>
      <c r="X218" s="192" t="s">
        <v>839</v>
      </c>
      <c r="Y218" s="192" t="s">
        <v>839</v>
      </c>
      <c r="Z218" s="192" t="s">
        <v>839</v>
      </c>
      <c r="AA218" s="127" t="s">
        <v>839</v>
      </c>
    </row>
    <row r="219" spans="2:27" ht="244.5">
      <c r="B219" s="81" t="s">
        <v>654</v>
      </c>
      <c r="C219" s="155" t="s">
        <v>755</v>
      </c>
      <c r="D219" s="81" t="s">
        <v>655</v>
      </c>
      <c r="E219" s="127">
        <v>2</v>
      </c>
      <c r="F219" s="154" t="s">
        <v>1625</v>
      </c>
      <c r="G219" s="154" t="s">
        <v>1626</v>
      </c>
      <c r="H219" s="73" t="s">
        <v>1080</v>
      </c>
      <c r="I219" s="74">
        <v>15</v>
      </c>
      <c r="J219" s="73" t="s">
        <v>732</v>
      </c>
      <c r="K219" s="74">
        <v>4</v>
      </c>
      <c r="L219" s="74"/>
      <c r="M219" s="81" t="s">
        <v>1627</v>
      </c>
      <c r="N219" s="82" t="s">
        <v>1706</v>
      </c>
      <c r="O219" s="74"/>
      <c r="P219" s="83" t="s">
        <v>1707</v>
      </c>
      <c r="Q219" s="126" t="s">
        <v>980</v>
      </c>
      <c r="R219" s="196" t="s">
        <v>1629</v>
      </c>
      <c r="S219" s="82" t="s">
        <v>858</v>
      </c>
      <c r="T219" s="82" t="s">
        <v>859</v>
      </c>
      <c r="U219" s="82" t="s">
        <v>1708</v>
      </c>
      <c r="V219" s="229" t="s">
        <v>1709</v>
      </c>
      <c r="W219" s="73"/>
      <c r="X219" s="83" t="s">
        <v>763</v>
      </c>
      <c r="Y219" s="82" t="s">
        <v>1388</v>
      </c>
      <c r="Z219" s="81" t="s">
        <v>1710</v>
      </c>
      <c r="AA219" s="127" t="s">
        <v>1509</v>
      </c>
    </row>
    <row r="220" spans="2:27" ht="137.25">
      <c r="B220" s="73" t="s">
        <v>657</v>
      </c>
      <c r="C220" s="73" t="s">
        <v>766</v>
      </c>
      <c r="D220" s="73" t="s">
        <v>658</v>
      </c>
      <c r="E220" s="74">
        <v>2</v>
      </c>
      <c r="F220" s="73" t="s">
        <v>1439</v>
      </c>
      <c r="G220" s="81" t="s">
        <v>1440</v>
      </c>
      <c r="H220" s="73" t="s">
        <v>940</v>
      </c>
      <c r="I220" s="74">
        <v>16</v>
      </c>
      <c r="J220" s="73" t="s">
        <v>1441</v>
      </c>
      <c r="K220" s="74">
        <v>23</v>
      </c>
      <c r="L220" s="74">
        <v>6</v>
      </c>
      <c r="M220" s="81" t="s">
        <v>1442</v>
      </c>
      <c r="N220" s="82" t="s">
        <v>1443</v>
      </c>
      <c r="O220" s="74"/>
      <c r="P220" s="75"/>
      <c r="Q220" s="73" t="s">
        <v>980</v>
      </c>
      <c r="R220" s="82" t="s">
        <v>1444</v>
      </c>
      <c r="S220" s="82" t="s">
        <v>864</v>
      </c>
      <c r="T220" s="82" t="s">
        <v>865</v>
      </c>
      <c r="U220" s="82" t="s">
        <v>1647</v>
      </c>
      <c r="V220" s="229" t="s">
        <v>1711</v>
      </c>
      <c r="W220" s="73"/>
      <c r="X220" s="81" t="s">
        <v>773</v>
      </c>
      <c r="Y220" s="82" t="s">
        <v>868</v>
      </c>
      <c r="Z220" s="157" t="s">
        <v>1447</v>
      </c>
      <c r="AA220" s="127" t="s">
        <v>753</v>
      </c>
    </row>
    <row r="221" spans="2:27" ht="137.25">
      <c r="B221" s="153" t="s">
        <v>660</v>
      </c>
      <c r="C221" s="154" t="s">
        <v>775</v>
      </c>
      <c r="D221" s="154" t="s">
        <v>661</v>
      </c>
      <c r="E221" s="156">
        <v>2</v>
      </c>
      <c r="F221" s="81" t="s">
        <v>1333</v>
      </c>
      <c r="G221" s="81" t="s">
        <v>1334</v>
      </c>
      <c r="H221" s="73" t="s">
        <v>1159</v>
      </c>
      <c r="I221" s="74">
        <v>15</v>
      </c>
      <c r="J221" s="73" t="s">
        <v>732</v>
      </c>
      <c r="K221" s="74">
        <v>10</v>
      </c>
      <c r="L221" s="74"/>
      <c r="M221" s="81" t="s">
        <v>1335</v>
      </c>
      <c r="N221" s="82" t="s">
        <v>1336</v>
      </c>
      <c r="O221" s="74"/>
      <c r="P221" s="75"/>
      <c r="Q221" s="126" t="s">
        <v>980</v>
      </c>
      <c r="R221" s="129" t="s">
        <v>1337</v>
      </c>
      <c r="S221" s="82" t="s">
        <v>870</v>
      </c>
      <c r="T221" s="82" t="s">
        <v>871</v>
      </c>
      <c r="U221" s="82" t="s">
        <v>1712</v>
      </c>
      <c r="V221" s="229" t="s">
        <v>1713</v>
      </c>
      <c r="W221" s="73"/>
      <c r="X221" s="83" t="s">
        <v>780</v>
      </c>
      <c r="Y221" s="157" t="s">
        <v>965</v>
      </c>
      <c r="Z221" s="81" t="s">
        <v>1714</v>
      </c>
      <c r="AA221" s="127" t="s">
        <v>781</v>
      </c>
    </row>
    <row r="222" spans="2:27" ht="229.5">
      <c r="B222" s="81" t="s">
        <v>663</v>
      </c>
      <c r="C222" s="81" t="s">
        <v>783</v>
      </c>
      <c r="D222" s="81" t="s">
        <v>664</v>
      </c>
      <c r="E222" s="127">
        <v>2</v>
      </c>
      <c r="F222" s="81" t="s">
        <v>1439</v>
      </c>
      <c r="G222" s="81" t="s">
        <v>1440</v>
      </c>
      <c r="H222" s="73" t="s">
        <v>940</v>
      </c>
      <c r="I222" s="74">
        <v>15</v>
      </c>
      <c r="J222" s="73" t="s">
        <v>1441</v>
      </c>
      <c r="K222" s="74">
        <v>23</v>
      </c>
      <c r="L222" s="74">
        <v>6</v>
      </c>
      <c r="M222" s="81" t="s">
        <v>1442</v>
      </c>
      <c r="N222" s="82" t="s">
        <v>1443</v>
      </c>
      <c r="O222" s="74"/>
      <c r="P222" s="75"/>
      <c r="Q222" s="126" t="s">
        <v>980</v>
      </c>
      <c r="R222" s="129" t="s">
        <v>1444</v>
      </c>
      <c r="S222" s="82" t="s">
        <v>876</v>
      </c>
      <c r="T222" s="82" t="s">
        <v>877</v>
      </c>
      <c r="U222" s="82" t="s">
        <v>1715</v>
      </c>
      <c r="V222" s="229" t="s">
        <v>1716</v>
      </c>
      <c r="W222" s="73"/>
      <c r="X222" s="81" t="s">
        <v>789</v>
      </c>
      <c r="Y222" s="81" t="s">
        <v>971</v>
      </c>
      <c r="Z222" s="192" t="s">
        <v>1717</v>
      </c>
      <c r="AA222" s="127" t="s">
        <v>743</v>
      </c>
    </row>
    <row r="223" spans="2:27" ht="30.75">
      <c r="B223" s="81" t="s">
        <v>666</v>
      </c>
      <c r="C223" s="81" t="s">
        <v>792</v>
      </c>
      <c r="D223" s="81" t="s">
        <v>667</v>
      </c>
      <c r="E223" s="191">
        <v>2</v>
      </c>
      <c r="F223" s="190" t="s">
        <v>1186</v>
      </c>
      <c r="G223" s="190" t="s">
        <v>1187</v>
      </c>
      <c r="H223" s="73" t="s">
        <v>1121</v>
      </c>
      <c r="I223" s="74">
        <v>15</v>
      </c>
      <c r="J223" s="73" t="s">
        <v>732</v>
      </c>
      <c r="K223" s="74"/>
      <c r="L223" s="74"/>
      <c r="M223" s="81" t="s">
        <v>1188</v>
      </c>
      <c r="N223" s="82" t="s">
        <v>1189</v>
      </c>
      <c r="O223" s="207"/>
      <c r="P223" s="75"/>
      <c r="Q223" s="189"/>
      <c r="R223" s="189"/>
      <c r="S223" s="82" t="s">
        <v>883</v>
      </c>
      <c r="T223" s="82" t="s">
        <v>884</v>
      </c>
      <c r="U223" s="82" t="s">
        <v>1718</v>
      </c>
      <c r="V223" s="229" t="s">
        <v>1719</v>
      </c>
      <c r="W223" s="73"/>
      <c r="X223" s="81" t="s">
        <v>797</v>
      </c>
      <c r="Y223" s="82" t="s">
        <v>887</v>
      </c>
      <c r="Z223" s="190" t="s">
        <v>1720</v>
      </c>
      <c r="AA223" s="127" t="s">
        <v>781</v>
      </c>
    </row>
    <row r="224" spans="2:27" ht="45.75">
      <c r="B224" s="190" t="s">
        <v>669</v>
      </c>
      <c r="C224" s="190" t="s">
        <v>798</v>
      </c>
      <c r="D224" s="190" t="s">
        <v>670</v>
      </c>
      <c r="E224" s="74">
        <v>2</v>
      </c>
      <c r="F224" s="190" t="s">
        <v>1673</v>
      </c>
      <c r="G224" s="190" t="s">
        <v>1674</v>
      </c>
      <c r="H224" s="73" t="s">
        <v>1121</v>
      </c>
      <c r="I224" s="74">
        <v>15</v>
      </c>
      <c r="J224" s="73" t="s">
        <v>732</v>
      </c>
      <c r="K224" s="74">
        <v>10</v>
      </c>
      <c r="L224" s="74"/>
      <c r="M224" s="81" t="s">
        <v>1675</v>
      </c>
      <c r="N224" s="82" t="s">
        <v>1676</v>
      </c>
      <c r="O224" s="207"/>
      <c r="P224" s="75"/>
      <c r="Q224" s="189"/>
      <c r="R224" s="189"/>
      <c r="S224" s="82" t="s">
        <v>793</v>
      </c>
      <c r="T224" s="82" t="s">
        <v>889</v>
      </c>
      <c r="U224" s="82" t="s">
        <v>1721</v>
      </c>
      <c r="V224" s="249" t="s">
        <v>1722</v>
      </c>
      <c r="W224" s="73"/>
      <c r="X224" s="81" t="s">
        <v>797</v>
      </c>
      <c r="Y224" s="82" t="s">
        <v>887</v>
      </c>
      <c r="Z224" s="190" t="s">
        <v>1679</v>
      </c>
      <c r="AA224" s="127" t="s">
        <v>781</v>
      </c>
    </row>
    <row r="225" spans="2:27" ht="60.75">
      <c r="B225" s="81" t="s">
        <v>672</v>
      </c>
      <c r="C225" s="81" t="s">
        <v>803</v>
      </c>
      <c r="D225" s="155" t="s">
        <v>673</v>
      </c>
      <c r="E225" s="127">
        <v>2</v>
      </c>
      <c r="F225" s="81" t="s">
        <v>1560</v>
      </c>
      <c r="G225" s="81" t="s">
        <v>1561</v>
      </c>
      <c r="H225" s="73" t="s">
        <v>1562</v>
      </c>
      <c r="I225" s="74">
        <v>15</v>
      </c>
      <c r="J225" s="73" t="s">
        <v>732</v>
      </c>
      <c r="K225" s="74">
        <v>10</v>
      </c>
      <c r="L225" s="74"/>
      <c r="M225" s="82" t="s">
        <v>1563</v>
      </c>
      <c r="N225" s="73" t="s">
        <v>1564</v>
      </c>
      <c r="O225" s="74" t="s">
        <v>735</v>
      </c>
      <c r="P225" s="75"/>
      <c r="Q225" s="81"/>
      <c r="R225" s="81"/>
      <c r="S225" s="83" t="s">
        <v>892</v>
      </c>
      <c r="T225" s="83" t="s">
        <v>893</v>
      </c>
      <c r="U225" s="82" t="s">
        <v>1723</v>
      </c>
      <c r="V225" s="229" t="s">
        <v>1724</v>
      </c>
      <c r="W225" s="73"/>
      <c r="X225" s="81" t="s">
        <v>781</v>
      </c>
      <c r="Y225" s="81" t="s">
        <v>781</v>
      </c>
      <c r="Z225" s="81" t="s">
        <v>781</v>
      </c>
      <c r="AA225" s="74" t="s">
        <v>781</v>
      </c>
    </row>
    <row r="226" spans="2:27" ht="91.5">
      <c r="B226" s="81" t="s">
        <v>675</v>
      </c>
      <c r="C226" s="81" t="s">
        <v>812</v>
      </c>
      <c r="D226" s="81" t="s">
        <v>676</v>
      </c>
      <c r="E226" s="191">
        <v>2</v>
      </c>
      <c r="F226" s="190" t="s">
        <v>1186</v>
      </c>
      <c r="G226" s="190" t="s">
        <v>1187</v>
      </c>
      <c r="H226" s="73" t="s">
        <v>1121</v>
      </c>
      <c r="I226" s="74">
        <v>15</v>
      </c>
      <c r="J226" s="73" t="s">
        <v>732</v>
      </c>
      <c r="K226" s="74"/>
      <c r="L226" s="74"/>
      <c r="M226" s="81" t="s">
        <v>1188</v>
      </c>
      <c r="N226" s="82" t="s">
        <v>1189</v>
      </c>
      <c r="O226" s="207"/>
      <c r="P226" s="75"/>
      <c r="Q226" s="189"/>
      <c r="R226" s="189"/>
      <c r="S226" s="82" t="s">
        <v>883</v>
      </c>
      <c r="T226" s="82" t="s">
        <v>884</v>
      </c>
      <c r="U226" s="82" t="s">
        <v>1718</v>
      </c>
      <c r="V226" s="229" t="s">
        <v>1725</v>
      </c>
      <c r="W226" s="73"/>
      <c r="X226" s="81" t="s">
        <v>773</v>
      </c>
      <c r="Y226" s="82" t="s">
        <v>1126</v>
      </c>
      <c r="Z226" s="190" t="s">
        <v>1726</v>
      </c>
      <c r="AA226" s="127" t="s">
        <v>1688</v>
      </c>
    </row>
    <row r="227" spans="2:27" ht="259.5">
      <c r="B227" s="81" t="s">
        <v>678</v>
      </c>
      <c r="C227" s="81" t="s">
        <v>814</v>
      </c>
      <c r="D227" s="81" t="s">
        <v>679</v>
      </c>
      <c r="E227" s="127">
        <v>2</v>
      </c>
      <c r="F227" s="81" t="s">
        <v>1254</v>
      </c>
      <c r="G227" s="155" t="s">
        <v>1255</v>
      </c>
      <c r="H227" s="73" t="s">
        <v>1080</v>
      </c>
      <c r="I227" s="74">
        <v>15</v>
      </c>
      <c r="J227" s="73" t="s">
        <v>732</v>
      </c>
      <c r="K227" s="74">
        <v>4</v>
      </c>
      <c r="L227" s="74"/>
      <c r="M227" s="81" t="s">
        <v>1256</v>
      </c>
      <c r="N227" s="82" t="s">
        <v>1257</v>
      </c>
      <c r="O227" s="74"/>
      <c r="P227" s="83" t="s">
        <v>1727</v>
      </c>
      <c r="Q227" s="126" t="s">
        <v>980</v>
      </c>
      <c r="R227" s="129" t="s">
        <v>1259</v>
      </c>
      <c r="S227" s="81" t="s">
        <v>1728</v>
      </c>
      <c r="T227" s="81" t="s">
        <v>1729</v>
      </c>
      <c r="U227" s="81" t="s">
        <v>1730</v>
      </c>
      <c r="V227" s="187" t="s">
        <v>1731</v>
      </c>
      <c r="W227" s="81"/>
      <c r="X227" s="81" t="s">
        <v>903</v>
      </c>
      <c r="Y227" s="81" t="s">
        <v>1732</v>
      </c>
      <c r="Z227" s="81" t="s">
        <v>1733</v>
      </c>
      <c r="AA227" s="127" t="s">
        <v>1734</v>
      </c>
    </row>
    <row r="228" spans="2:27" ht="91.5">
      <c r="B228" s="82" t="s">
        <v>681</v>
      </c>
      <c r="C228" s="82" t="s">
        <v>822</v>
      </c>
      <c r="D228" s="82" t="s">
        <v>682</v>
      </c>
      <c r="E228" s="191">
        <v>2</v>
      </c>
      <c r="F228" s="190" t="s">
        <v>1186</v>
      </c>
      <c r="G228" s="190" t="s">
        <v>1187</v>
      </c>
      <c r="H228" s="73" t="s">
        <v>1121</v>
      </c>
      <c r="I228" s="74">
        <v>15</v>
      </c>
      <c r="J228" s="73" t="s">
        <v>732</v>
      </c>
      <c r="K228" s="74"/>
      <c r="L228" s="74"/>
      <c r="M228" s="81" t="s">
        <v>1188</v>
      </c>
      <c r="N228" s="82" t="s">
        <v>1189</v>
      </c>
      <c r="O228" s="207"/>
      <c r="P228" s="75"/>
      <c r="Q228" s="189"/>
      <c r="R228" s="189"/>
      <c r="S228" s="82" t="s">
        <v>883</v>
      </c>
      <c r="T228" s="82" t="s">
        <v>884</v>
      </c>
      <c r="U228" s="82" t="s">
        <v>1718</v>
      </c>
      <c r="V228" s="229" t="s">
        <v>1735</v>
      </c>
      <c r="W228" s="73"/>
      <c r="X228" s="81" t="s">
        <v>773</v>
      </c>
      <c r="Y228" s="82" t="s">
        <v>1126</v>
      </c>
      <c r="Z228" s="190" t="s">
        <v>1726</v>
      </c>
      <c r="AA228" s="127" t="s">
        <v>1688</v>
      </c>
    </row>
    <row r="229" spans="2:27" ht="121.5">
      <c r="B229" s="81" t="s">
        <v>684</v>
      </c>
      <c r="C229" s="81" t="s">
        <v>824</v>
      </c>
      <c r="D229" s="81" t="s">
        <v>685</v>
      </c>
      <c r="E229" s="127">
        <v>2</v>
      </c>
      <c r="F229" s="81" t="s">
        <v>1333</v>
      </c>
      <c r="G229" s="81" t="s">
        <v>1334</v>
      </c>
      <c r="H229" s="73" t="s">
        <v>1159</v>
      </c>
      <c r="I229" s="74">
        <v>15</v>
      </c>
      <c r="J229" s="73" t="s">
        <v>732</v>
      </c>
      <c r="K229" s="74">
        <v>10</v>
      </c>
      <c r="L229" s="74"/>
      <c r="M229" s="81" t="s">
        <v>1335</v>
      </c>
      <c r="N229" s="82" t="s">
        <v>1336</v>
      </c>
      <c r="O229" s="74"/>
      <c r="P229" s="75"/>
      <c r="Q229" s="126" t="s">
        <v>980</v>
      </c>
      <c r="R229" s="129" t="s">
        <v>1337</v>
      </c>
      <c r="S229" s="82" t="s">
        <v>870</v>
      </c>
      <c r="T229" s="82" t="s">
        <v>871</v>
      </c>
      <c r="U229" s="82" t="s">
        <v>1712</v>
      </c>
      <c r="V229" s="229" t="s">
        <v>1736</v>
      </c>
      <c r="W229" s="73"/>
      <c r="X229" s="83" t="s">
        <v>780</v>
      </c>
      <c r="Y229" s="157" t="s">
        <v>965</v>
      </c>
      <c r="Z229" s="81" t="s">
        <v>1714</v>
      </c>
      <c r="AA229" s="127" t="s">
        <v>781</v>
      </c>
    </row>
    <row r="230" spans="2:27" ht="30.75">
      <c r="B230" s="75" t="s">
        <v>687</v>
      </c>
      <c r="C230" s="81" t="s">
        <v>826</v>
      </c>
      <c r="D230" s="81" t="s">
        <v>688</v>
      </c>
      <c r="E230" s="74">
        <v>2</v>
      </c>
      <c r="F230" s="81" t="s">
        <v>1560</v>
      </c>
      <c r="G230" s="73" t="s">
        <v>1561</v>
      </c>
      <c r="H230" s="73" t="s">
        <v>1562</v>
      </c>
      <c r="I230" s="219">
        <v>15</v>
      </c>
      <c r="J230" s="73" t="s">
        <v>732</v>
      </c>
      <c r="K230" s="74">
        <v>10</v>
      </c>
      <c r="L230" s="74"/>
      <c r="M230" s="82" t="s">
        <v>1563</v>
      </c>
      <c r="N230" s="73" t="s">
        <v>1564</v>
      </c>
      <c r="O230" s="74" t="s">
        <v>735</v>
      </c>
      <c r="P230" s="75"/>
      <c r="Q230" s="73"/>
      <c r="R230" s="73"/>
      <c r="S230" s="82" t="s">
        <v>910</v>
      </c>
      <c r="T230" s="82" t="s">
        <v>911</v>
      </c>
      <c r="U230" s="82" t="s">
        <v>1737</v>
      </c>
      <c r="V230" s="229" t="s">
        <v>1738</v>
      </c>
      <c r="W230" s="73"/>
      <c r="X230" s="82" t="s">
        <v>781</v>
      </c>
      <c r="Y230" s="82" t="s">
        <v>781</v>
      </c>
      <c r="Z230" s="82" t="s">
        <v>781</v>
      </c>
      <c r="AA230" s="127" t="s">
        <v>781</v>
      </c>
    </row>
    <row r="231" spans="2:27" ht="244.5">
      <c r="B231" s="81" t="s">
        <v>654</v>
      </c>
      <c r="C231" s="155" t="s">
        <v>755</v>
      </c>
      <c r="D231" s="81" t="s">
        <v>655</v>
      </c>
      <c r="E231" s="127">
        <v>2</v>
      </c>
      <c r="F231" s="155" t="s">
        <v>1254</v>
      </c>
      <c r="G231" s="155" t="s">
        <v>1255</v>
      </c>
      <c r="H231" s="73" t="s">
        <v>1080</v>
      </c>
      <c r="I231" s="74">
        <v>16</v>
      </c>
      <c r="J231" s="73" t="s">
        <v>732</v>
      </c>
      <c r="K231" s="74">
        <v>4</v>
      </c>
      <c r="L231" s="74"/>
      <c r="M231" s="81" t="s">
        <v>1256</v>
      </c>
      <c r="N231" s="82" t="s">
        <v>1257</v>
      </c>
      <c r="O231" s="74"/>
      <c r="P231" s="83" t="s">
        <v>1739</v>
      </c>
      <c r="Q231" s="126" t="s">
        <v>980</v>
      </c>
      <c r="R231" s="129" t="s">
        <v>1259</v>
      </c>
      <c r="S231" s="82" t="s">
        <v>858</v>
      </c>
      <c r="T231" s="82" t="s">
        <v>859</v>
      </c>
      <c r="U231" s="82" t="s">
        <v>1740</v>
      </c>
      <c r="V231" s="229" t="s">
        <v>1741</v>
      </c>
      <c r="W231" s="73"/>
      <c r="X231" s="83" t="s">
        <v>763</v>
      </c>
      <c r="Y231" s="82" t="s">
        <v>946</v>
      </c>
      <c r="Z231" s="81" t="s">
        <v>1742</v>
      </c>
      <c r="AA231" s="127" t="s">
        <v>764</v>
      </c>
    </row>
    <row r="232" spans="2:27" ht="91.5">
      <c r="B232" s="73" t="s">
        <v>657</v>
      </c>
      <c r="C232" s="73" t="s">
        <v>766</v>
      </c>
      <c r="D232" s="73" t="s">
        <v>658</v>
      </c>
      <c r="E232" s="74">
        <v>2</v>
      </c>
      <c r="F232" s="190" t="s">
        <v>1673</v>
      </c>
      <c r="G232" s="190" t="s">
        <v>1674</v>
      </c>
      <c r="H232" s="73" t="s">
        <v>1121</v>
      </c>
      <c r="I232" s="74">
        <v>17</v>
      </c>
      <c r="J232" s="73" t="s">
        <v>732</v>
      </c>
      <c r="K232" s="74">
        <v>10</v>
      </c>
      <c r="L232" s="74"/>
      <c r="M232" s="81" t="s">
        <v>1675</v>
      </c>
      <c r="N232" s="82" t="s">
        <v>1676</v>
      </c>
      <c r="O232" s="207"/>
      <c r="P232" s="75"/>
      <c r="Q232" s="189"/>
      <c r="R232" s="189"/>
      <c r="S232" s="82" t="s">
        <v>864</v>
      </c>
      <c r="T232" s="82" t="s">
        <v>865</v>
      </c>
      <c r="U232" s="82" t="s">
        <v>1685</v>
      </c>
      <c r="V232" s="229" t="s">
        <v>1743</v>
      </c>
      <c r="W232" s="73"/>
      <c r="X232" s="81" t="s">
        <v>773</v>
      </c>
      <c r="Y232" s="82" t="s">
        <v>1126</v>
      </c>
      <c r="Z232" s="190" t="s">
        <v>1687</v>
      </c>
      <c r="AA232" s="127" t="s">
        <v>1688</v>
      </c>
    </row>
    <row r="233" spans="2:27" ht="137.25">
      <c r="B233" s="153" t="s">
        <v>660</v>
      </c>
      <c r="C233" s="154" t="s">
        <v>775</v>
      </c>
      <c r="D233" s="154" t="s">
        <v>661</v>
      </c>
      <c r="E233" s="156">
        <v>2</v>
      </c>
      <c r="F233" s="81" t="s">
        <v>1223</v>
      </c>
      <c r="G233" s="81" t="s">
        <v>1224</v>
      </c>
      <c r="H233" s="73" t="s">
        <v>1159</v>
      </c>
      <c r="I233" s="74">
        <v>16</v>
      </c>
      <c r="J233" s="73" t="s">
        <v>732</v>
      </c>
      <c r="K233" s="74">
        <v>10</v>
      </c>
      <c r="L233" s="74"/>
      <c r="M233" s="81" t="s">
        <v>1225</v>
      </c>
      <c r="N233" s="73" t="s">
        <v>1226</v>
      </c>
      <c r="O233" s="74"/>
      <c r="P233" s="75"/>
      <c r="Q233" s="126" t="s">
        <v>980</v>
      </c>
      <c r="R233" s="129" t="s">
        <v>1227</v>
      </c>
      <c r="S233" s="82" t="s">
        <v>870</v>
      </c>
      <c r="T233" s="82" t="s">
        <v>871</v>
      </c>
      <c r="U233" s="82" t="s">
        <v>1744</v>
      </c>
      <c r="V233" s="229" t="s">
        <v>1745</v>
      </c>
      <c r="W233" s="73"/>
      <c r="X233" s="83" t="s">
        <v>780</v>
      </c>
      <c r="Y233" s="157" t="s">
        <v>965</v>
      </c>
      <c r="Z233" s="81" t="s">
        <v>1746</v>
      </c>
      <c r="AA233" s="127" t="s">
        <v>781</v>
      </c>
    </row>
    <row r="234" spans="2:27" ht="183">
      <c r="B234" s="81" t="s">
        <v>663</v>
      </c>
      <c r="C234" s="81" t="s">
        <v>783</v>
      </c>
      <c r="D234" s="81" t="s">
        <v>664</v>
      </c>
      <c r="E234" s="127">
        <v>2</v>
      </c>
      <c r="F234" s="81" t="s">
        <v>1747</v>
      </c>
      <c r="G234" s="81" t="s">
        <v>1748</v>
      </c>
      <c r="H234" s="73" t="s">
        <v>1749</v>
      </c>
      <c r="I234" s="74">
        <v>16</v>
      </c>
      <c r="J234" s="73" t="s">
        <v>732</v>
      </c>
      <c r="K234" s="74">
        <v>10</v>
      </c>
      <c r="L234" s="74"/>
      <c r="M234" s="81" t="s">
        <v>1750</v>
      </c>
      <c r="N234" s="82" t="s">
        <v>1751</v>
      </c>
      <c r="O234" s="74"/>
      <c r="P234" s="75"/>
      <c r="Q234" s="126" t="s">
        <v>980</v>
      </c>
      <c r="R234" s="129" t="s">
        <v>1747</v>
      </c>
      <c r="S234" s="82" t="s">
        <v>876</v>
      </c>
      <c r="T234" s="82" t="s">
        <v>877</v>
      </c>
      <c r="U234" s="82" t="s">
        <v>1752</v>
      </c>
      <c r="V234" s="229" t="s">
        <v>1753</v>
      </c>
      <c r="W234" s="73"/>
      <c r="X234" s="81" t="s">
        <v>789</v>
      </c>
      <c r="Y234" s="192" t="s">
        <v>1754</v>
      </c>
      <c r="Z234" s="81" t="s">
        <v>1755</v>
      </c>
      <c r="AA234" s="127" t="s">
        <v>1756</v>
      </c>
    </row>
    <row r="235" spans="2:27" ht="30.75">
      <c r="B235" s="81" t="s">
        <v>666</v>
      </c>
      <c r="C235" s="81" t="s">
        <v>792</v>
      </c>
      <c r="D235" s="81" t="s">
        <v>667</v>
      </c>
      <c r="E235" s="74">
        <v>2</v>
      </c>
      <c r="F235" s="73" t="s">
        <v>1641</v>
      </c>
      <c r="G235" s="73" t="s">
        <v>1642</v>
      </c>
      <c r="H235" s="73" t="s">
        <v>1121</v>
      </c>
      <c r="I235" s="74">
        <v>16</v>
      </c>
      <c r="J235" s="73" t="s">
        <v>732</v>
      </c>
      <c r="K235" s="74"/>
      <c r="L235" s="74"/>
      <c r="M235" s="82" t="s">
        <v>1757</v>
      </c>
      <c r="N235" s="82" t="s">
        <v>1758</v>
      </c>
      <c r="O235" s="74"/>
      <c r="P235" s="75"/>
      <c r="Q235" s="73"/>
      <c r="R235" s="73"/>
      <c r="S235" s="82" t="s">
        <v>883</v>
      </c>
      <c r="T235" s="82" t="s">
        <v>884</v>
      </c>
      <c r="U235" s="82" t="s">
        <v>1759</v>
      </c>
      <c r="V235" s="229" t="s">
        <v>1760</v>
      </c>
      <c r="W235" s="73"/>
      <c r="X235" s="81" t="s">
        <v>797</v>
      </c>
      <c r="Y235" s="82" t="s">
        <v>887</v>
      </c>
      <c r="Z235" s="82" t="s">
        <v>1761</v>
      </c>
      <c r="AA235" s="127" t="s">
        <v>781</v>
      </c>
    </row>
    <row r="236" spans="2:27" ht="45.75">
      <c r="B236" s="190" t="s">
        <v>669</v>
      </c>
      <c r="C236" s="190" t="s">
        <v>798</v>
      </c>
      <c r="D236" s="190" t="s">
        <v>670</v>
      </c>
      <c r="E236" s="191">
        <v>2</v>
      </c>
      <c r="F236" s="190" t="s">
        <v>1186</v>
      </c>
      <c r="G236" s="190" t="s">
        <v>1187</v>
      </c>
      <c r="H236" s="73" t="s">
        <v>1121</v>
      </c>
      <c r="I236" s="74">
        <v>16</v>
      </c>
      <c r="J236" s="73" t="s">
        <v>732</v>
      </c>
      <c r="K236" s="74"/>
      <c r="L236" s="74"/>
      <c r="M236" s="81" t="s">
        <v>1188</v>
      </c>
      <c r="N236" s="82" t="s">
        <v>1189</v>
      </c>
      <c r="O236" s="74"/>
      <c r="P236" s="75"/>
      <c r="Q236" s="189"/>
      <c r="R236" s="189"/>
      <c r="S236" s="82" t="s">
        <v>793</v>
      </c>
      <c r="T236" s="82" t="s">
        <v>889</v>
      </c>
      <c r="U236" s="82" t="s">
        <v>1762</v>
      </c>
      <c r="V236" s="229" t="s">
        <v>1763</v>
      </c>
      <c r="W236" s="73"/>
      <c r="X236" s="81" t="s">
        <v>797</v>
      </c>
      <c r="Y236" s="82" t="s">
        <v>887</v>
      </c>
      <c r="Z236" s="190" t="s">
        <v>1720</v>
      </c>
      <c r="AA236" s="127" t="s">
        <v>781</v>
      </c>
    </row>
    <row r="237" spans="2:27" ht="60.75">
      <c r="B237" s="81" t="s">
        <v>672</v>
      </c>
      <c r="C237" s="81" t="s">
        <v>803</v>
      </c>
      <c r="D237" s="155" t="s">
        <v>673</v>
      </c>
      <c r="E237" s="127">
        <v>2</v>
      </c>
      <c r="F237" s="81" t="s">
        <v>1613</v>
      </c>
      <c r="G237" s="81" t="s">
        <v>1614</v>
      </c>
      <c r="H237" s="73" t="s">
        <v>1615</v>
      </c>
      <c r="I237" s="74">
        <v>16</v>
      </c>
      <c r="J237" s="73" t="s">
        <v>1151</v>
      </c>
      <c r="K237" s="74">
        <v>23</v>
      </c>
      <c r="L237" s="74"/>
      <c r="M237" s="82" t="s">
        <v>1616</v>
      </c>
      <c r="N237" s="255" t="s">
        <v>1617</v>
      </c>
      <c r="O237" s="74"/>
      <c r="P237" s="75"/>
      <c r="Q237" s="81"/>
      <c r="R237" s="81"/>
      <c r="S237" s="83" t="s">
        <v>892</v>
      </c>
      <c r="T237" s="83" t="s">
        <v>893</v>
      </c>
      <c r="U237" s="82" t="s">
        <v>781</v>
      </c>
      <c r="V237" s="229" t="s">
        <v>1764</v>
      </c>
      <c r="W237" s="73"/>
      <c r="X237" s="81" t="s">
        <v>781</v>
      </c>
      <c r="Y237" s="81" t="s">
        <v>781</v>
      </c>
      <c r="Z237" s="81" t="s">
        <v>781</v>
      </c>
      <c r="AA237" s="74" t="s">
        <v>781</v>
      </c>
    </row>
    <row r="238" spans="2:27" ht="91.5">
      <c r="B238" s="81" t="s">
        <v>675</v>
      </c>
      <c r="C238" s="81" t="s">
        <v>812</v>
      </c>
      <c r="D238" s="81" t="s">
        <v>676</v>
      </c>
      <c r="E238" s="74">
        <v>2</v>
      </c>
      <c r="F238" s="73" t="s">
        <v>1641</v>
      </c>
      <c r="G238" s="73" t="s">
        <v>1642</v>
      </c>
      <c r="H238" s="73" t="s">
        <v>1121</v>
      </c>
      <c r="I238" s="74">
        <v>16</v>
      </c>
      <c r="J238" s="73" t="s">
        <v>732</v>
      </c>
      <c r="K238" s="74"/>
      <c r="L238" s="74"/>
      <c r="M238" s="82" t="s">
        <v>1757</v>
      </c>
      <c r="N238" s="82" t="s">
        <v>1758</v>
      </c>
      <c r="O238" s="74"/>
      <c r="P238" s="75"/>
      <c r="Q238" s="73"/>
      <c r="R238" s="73"/>
      <c r="S238" s="82" t="s">
        <v>883</v>
      </c>
      <c r="T238" s="82" t="s">
        <v>884</v>
      </c>
      <c r="U238" s="82" t="s">
        <v>1759</v>
      </c>
      <c r="V238" s="229" t="s">
        <v>1765</v>
      </c>
      <c r="W238" s="73"/>
      <c r="X238" s="81" t="s">
        <v>773</v>
      </c>
      <c r="Y238" s="82" t="s">
        <v>1126</v>
      </c>
      <c r="Z238" s="82" t="s">
        <v>1766</v>
      </c>
      <c r="AA238" s="127" t="s">
        <v>1767</v>
      </c>
    </row>
    <row r="239" spans="2:27" ht="259.5">
      <c r="B239" s="81" t="s">
        <v>678</v>
      </c>
      <c r="C239" s="81" t="s">
        <v>814</v>
      </c>
      <c r="D239" s="81" t="s">
        <v>679</v>
      </c>
      <c r="E239" s="127">
        <v>2</v>
      </c>
      <c r="F239" s="81" t="s">
        <v>1333</v>
      </c>
      <c r="G239" s="81" t="s">
        <v>1334</v>
      </c>
      <c r="H239" s="73" t="s">
        <v>1159</v>
      </c>
      <c r="I239" s="74">
        <v>16</v>
      </c>
      <c r="J239" s="73" t="s">
        <v>732</v>
      </c>
      <c r="K239" s="74">
        <v>10</v>
      </c>
      <c r="L239" s="74"/>
      <c r="M239" s="81" t="s">
        <v>1335</v>
      </c>
      <c r="N239" s="82" t="s">
        <v>1336</v>
      </c>
      <c r="O239" s="74"/>
      <c r="P239" s="75"/>
      <c r="Q239" s="81" t="s">
        <v>980</v>
      </c>
      <c r="R239" s="81" t="s">
        <v>1337</v>
      </c>
      <c r="S239" s="81" t="s">
        <v>1589</v>
      </c>
      <c r="T239" s="81" t="s">
        <v>1162</v>
      </c>
      <c r="U239" s="81" t="s">
        <v>1768</v>
      </c>
      <c r="V239" s="187" t="s">
        <v>1769</v>
      </c>
      <c r="W239" s="81"/>
      <c r="X239" s="81" t="s">
        <v>821</v>
      </c>
      <c r="Y239" s="81" t="s">
        <v>992</v>
      </c>
      <c r="Z239" s="81" t="s">
        <v>1770</v>
      </c>
      <c r="AA239" s="127" t="s">
        <v>743</v>
      </c>
    </row>
    <row r="240" spans="2:27" ht="91.5">
      <c r="B240" s="82" t="s">
        <v>681</v>
      </c>
      <c r="C240" s="82" t="s">
        <v>822</v>
      </c>
      <c r="D240" s="82" t="s">
        <v>682</v>
      </c>
      <c r="E240" s="74">
        <v>2</v>
      </c>
      <c r="F240" s="73" t="s">
        <v>1641</v>
      </c>
      <c r="G240" s="73" t="s">
        <v>1642</v>
      </c>
      <c r="H240" s="73" t="s">
        <v>1121</v>
      </c>
      <c r="I240" s="74">
        <v>16</v>
      </c>
      <c r="J240" s="73" t="s">
        <v>732</v>
      </c>
      <c r="K240" s="74"/>
      <c r="L240" s="74"/>
      <c r="M240" s="82" t="s">
        <v>1757</v>
      </c>
      <c r="N240" s="82" t="s">
        <v>1758</v>
      </c>
      <c r="O240" s="74"/>
      <c r="P240" s="75"/>
      <c r="Q240" s="73"/>
      <c r="R240" s="73"/>
      <c r="S240" s="82" t="s">
        <v>883</v>
      </c>
      <c r="T240" s="82" t="s">
        <v>884</v>
      </c>
      <c r="U240" s="82" t="s">
        <v>1759</v>
      </c>
      <c r="V240" s="229" t="s">
        <v>1771</v>
      </c>
      <c r="W240" s="73"/>
      <c r="X240" s="81" t="s">
        <v>773</v>
      </c>
      <c r="Y240" s="82" t="s">
        <v>1126</v>
      </c>
      <c r="Z240" s="82" t="s">
        <v>1766</v>
      </c>
      <c r="AA240" s="127" t="s">
        <v>1767</v>
      </c>
    </row>
    <row r="241" spans="2:27" ht="121.5">
      <c r="B241" s="81" t="s">
        <v>684</v>
      </c>
      <c r="C241" s="81" t="s">
        <v>824</v>
      </c>
      <c r="D241" s="81" t="s">
        <v>685</v>
      </c>
      <c r="E241" s="156">
        <v>2</v>
      </c>
      <c r="F241" s="81" t="s">
        <v>1223</v>
      </c>
      <c r="G241" s="81" t="s">
        <v>1224</v>
      </c>
      <c r="H241" s="73" t="s">
        <v>1159</v>
      </c>
      <c r="I241" s="74">
        <v>16</v>
      </c>
      <c r="J241" s="73" t="s">
        <v>732</v>
      </c>
      <c r="K241" s="74">
        <v>10</v>
      </c>
      <c r="L241" s="74"/>
      <c r="M241" s="81" t="s">
        <v>1225</v>
      </c>
      <c r="N241" s="73" t="s">
        <v>1226</v>
      </c>
      <c r="O241" s="74"/>
      <c r="P241" s="75"/>
      <c r="Q241" s="73" t="s">
        <v>980</v>
      </c>
      <c r="R241" s="73" t="s">
        <v>1227</v>
      </c>
      <c r="S241" s="82" t="s">
        <v>870</v>
      </c>
      <c r="T241" s="82" t="s">
        <v>871</v>
      </c>
      <c r="U241" s="82" t="s">
        <v>1744</v>
      </c>
      <c r="V241" s="229" t="s">
        <v>1772</v>
      </c>
      <c r="W241" s="73"/>
      <c r="X241" s="83" t="s">
        <v>780</v>
      </c>
      <c r="Y241" s="157" t="s">
        <v>965</v>
      </c>
      <c r="Z241" s="187" t="s">
        <v>1746</v>
      </c>
      <c r="AA241" s="127" t="s">
        <v>781</v>
      </c>
    </row>
    <row r="242" spans="2:27" ht="30.75">
      <c r="B242" s="75" t="s">
        <v>687</v>
      </c>
      <c r="C242" s="81" t="s">
        <v>826</v>
      </c>
      <c r="D242" s="81" t="s">
        <v>688</v>
      </c>
      <c r="E242" s="74">
        <v>2</v>
      </c>
      <c r="F242" s="81" t="s">
        <v>1613</v>
      </c>
      <c r="G242" s="73" t="s">
        <v>1614</v>
      </c>
      <c r="H242" s="73" t="s">
        <v>1615</v>
      </c>
      <c r="I242" s="219">
        <v>16</v>
      </c>
      <c r="J242" s="73" t="s">
        <v>1151</v>
      </c>
      <c r="K242" s="74">
        <v>23</v>
      </c>
      <c r="L242" s="74"/>
      <c r="M242" s="82" t="s">
        <v>1616</v>
      </c>
      <c r="N242" s="255" t="s">
        <v>1617</v>
      </c>
      <c r="O242" s="74"/>
      <c r="P242" s="75"/>
      <c r="Q242" s="73"/>
      <c r="R242" s="73"/>
      <c r="S242" s="82" t="s">
        <v>910</v>
      </c>
      <c r="T242" s="82" t="s">
        <v>911</v>
      </c>
      <c r="U242" s="82" t="s">
        <v>753</v>
      </c>
      <c r="V242" s="229" t="s">
        <v>1773</v>
      </c>
      <c r="W242" s="73"/>
      <c r="X242" s="82" t="s">
        <v>781</v>
      </c>
      <c r="Y242" s="82" t="s">
        <v>781</v>
      </c>
      <c r="Z242" s="82" t="s">
        <v>781</v>
      </c>
      <c r="AA242" s="127" t="s">
        <v>781</v>
      </c>
    </row>
    <row r="243" spans="2:27" ht="381.75">
      <c r="B243" s="81" t="s">
        <v>654</v>
      </c>
      <c r="C243" s="155" t="s">
        <v>755</v>
      </c>
      <c r="D243" s="81" t="s">
        <v>655</v>
      </c>
      <c r="E243" s="127">
        <v>2</v>
      </c>
      <c r="F243" s="81" t="s">
        <v>1333</v>
      </c>
      <c r="G243" s="81" t="s">
        <v>1334</v>
      </c>
      <c r="H243" s="73" t="s">
        <v>1159</v>
      </c>
      <c r="I243" s="74">
        <v>17</v>
      </c>
      <c r="J243" s="73" t="s">
        <v>732</v>
      </c>
      <c r="K243" s="74">
        <v>10</v>
      </c>
      <c r="L243" s="74"/>
      <c r="M243" s="81" t="s">
        <v>1335</v>
      </c>
      <c r="N243" s="82" t="s">
        <v>1336</v>
      </c>
      <c r="O243" s="74"/>
      <c r="P243" s="75"/>
      <c r="Q243" s="126" t="s">
        <v>980</v>
      </c>
      <c r="R243" s="129" t="s">
        <v>1337</v>
      </c>
      <c r="S243" s="82" t="s">
        <v>858</v>
      </c>
      <c r="T243" s="82" t="s">
        <v>859</v>
      </c>
      <c r="U243" s="82" t="s">
        <v>1774</v>
      </c>
      <c r="V243" s="229" t="s">
        <v>1775</v>
      </c>
      <c r="W243" s="73"/>
      <c r="X243" s="83" t="s">
        <v>763</v>
      </c>
      <c r="Y243" s="82" t="s">
        <v>946</v>
      </c>
      <c r="Z243" s="81" t="s">
        <v>1776</v>
      </c>
      <c r="AA243" s="127" t="s">
        <v>764</v>
      </c>
    </row>
    <row r="244" spans="2:27" ht="91.5">
      <c r="B244" s="73" t="s">
        <v>657</v>
      </c>
      <c r="C244" s="73" t="s">
        <v>766</v>
      </c>
      <c r="D244" s="73" t="s">
        <v>658</v>
      </c>
      <c r="E244" s="74">
        <v>2</v>
      </c>
      <c r="F244" s="73" t="s">
        <v>1641</v>
      </c>
      <c r="G244" s="73" t="s">
        <v>1642</v>
      </c>
      <c r="H244" s="73" t="s">
        <v>1121</v>
      </c>
      <c r="I244" s="74">
        <v>18</v>
      </c>
      <c r="J244" s="73" t="s">
        <v>732</v>
      </c>
      <c r="K244" s="74">
        <v>30</v>
      </c>
      <c r="L244" s="74"/>
      <c r="M244" s="82" t="s">
        <v>1757</v>
      </c>
      <c r="N244" s="82" t="s">
        <v>1758</v>
      </c>
      <c r="O244" s="74" t="s">
        <v>735</v>
      </c>
      <c r="P244" s="75"/>
      <c r="Q244" s="73"/>
      <c r="R244" s="73"/>
      <c r="S244" s="82" t="s">
        <v>864</v>
      </c>
      <c r="T244" s="82" t="s">
        <v>865</v>
      </c>
      <c r="U244" s="82" t="s">
        <v>1777</v>
      </c>
      <c r="V244" s="229" t="s">
        <v>1778</v>
      </c>
      <c r="W244" s="73"/>
      <c r="X244" s="81" t="s">
        <v>773</v>
      </c>
      <c r="Y244" s="82" t="s">
        <v>1126</v>
      </c>
      <c r="Z244" s="82" t="s">
        <v>1766</v>
      </c>
      <c r="AA244" s="127" t="s">
        <v>1767</v>
      </c>
    </row>
    <row r="245" spans="2:27" ht="76.5">
      <c r="B245" s="153" t="s">
        <v>660</v>
      </c>
      <c r="C245" s="154" t="s">
        <v>775</v>
      </c>
      <c r="D245" s="154" t="s">
        <v>661</v>
      </c>
      <c r="E245" s="127">
        <v>2</v>
      </c>
      <c r="F245" s="154" t="s">
        <v>1779</v>
      </c>
      <c r="G245" s="154" t="s">
        <v>1780</v>
      </c>
      <c r="H245" s="73" t="s">
        <v>940</v>
      </c>
      <c r="I245" s="74">
        <v>17</v>
      </c>
      <c r="J245" s="73" t="s">
        <v>1441</v>
      </c>
      <c r="K245" s="74">
        <v>23</v>
      </c>
      <c r="L245" s="74">
        <v>6</v>
      </c>
      <c r="M245" s="81" t="s">
        <v>1781</v>
      </c>
      <c r="N245" s="82" t="s">
        <v>1782</v>
      </c>
      <c r="O245" s="74"/>
      <c r="P245" s="75"/>
      <c r="Q245" s="126" t="s">
        <v>980</v>
      </c>
      <c r="R245" s="196" t="s">
        <v>1783</v>
      </c>
      <c r="S245" s="82" t="s">
        <v>1518</v>
      </c>
      <c r="T245" s="82" t="s">
        <v>1784</v>
      </c>
      <c r="U245" s="229" t="s">
        <v>1785</v>
      </c>
      <c r="V245" s="229" t="s">
        <v>1786</v>
      </c>
      <c r="W245" s="73" t="s">
        <v>6</v>
      </c>
      <c r="X245" s="83" t="s">
        <v>780</v>
      </c>
      <c r="Y245" s="82" t="s">
        <v>1787</v>
      </c>
      <c r="Z245" s="81" t="s">
        <v>1788</v>
      </c>
      <c r="AA245" s="127" t="s">
        <v>1105</v>
      </c>
    </row>
    <row r="246" spans="2:27" ht="213">
      <c r="B246" s="81" t="s">
        <v>663</v>
      </c>
      <c r="C246" s="81" t="s">
        <v>783</v>
      </c>
      <c r="D246" s="81" t="s">
        <v>664</v>
      </c>
      <c r="E246" s="127">
        <v>2</v>
      </c>
      <c r="F246" s="75" t="s">
        <v>1789</v>
      </c>
      <c r="G246" s="75" t="s">
        <v>1790</v>
      </c>
      <c r="H246" s="73" t="s">
        <v>756</v>
      </c>
      <c r="I246" s="74">
        <v>17</v>
      </c>
      <c r="J246" s="75" t="s">
        <v>732</v>
      </c>
      <c r="K246" s="74">
        <v>4</v>
      </c>
      <c r="L246" s="74"/>
      <c r="M246" s="198" t="s">
        <v>1791</v>
      </c>
      <c r="N246" s="82" t="s">
        <v>1792</v>
      </c>
      <c r="O246" s="74"/>
      <c r="P246" s="73"/>
      <c r="Q246" s="83"/>
      <c r="R246" s="75"/>
      <c r="S246" s="82" t="s">
        <v>786</v>
      </c>
      <c r="T246" s="82" t="s">
        <v>787</v>
      </c>
      <c r="U246" s="82" t="s">
        <v>761</v>
      </c>
      <c r="V246" s="229" t="s">
        <v>1793</v>
      </c>
      <c r="W246" s="74"/>
      <c r="X246" s="81" t="s">
        <v>789</v>
      </c>
      <c r="Y246" s="81" t="s">
        <v>743</v>
      </c>
      <c r="Z246" s="81" t="s">
        <v>743</v>
      </c>
      <c r="AA246" s="127" t="s">
        <v>1794</v>
      </c>
    </row>
    <row r="247" spans="2:27" ht="30.75">
      <c r="B247" s="81" t="s">
        <v>666</v>
      </c>
      <c r="C247" s="81" t="s">
        <v>792</v>
      </c>
      <c r="D247" s="81" t="s">
        <v>667</v>
      </c>
      <c r="E247" s="74">
        <v>2</v>
      </c>
      <c r="F247" s="190" t="s">
        <v>1795</v>
      </c>
      <c r="G247" s="190" t="s">
        <v>1796</v>
      </c>
      <c r="H247" s="73" t="s">
        <v>1121</v>
      </c>
      <c r="I247" s="74">
        <v>17</v>
      </c>
      <c r="J247" s="73" t="s">
        <v>732</v>
      </c>
      <c r="K247" s="74"/>
      <c r="L247" s="74"/>
      <c r="M247" s="82" t="s">
        <v>1797</v>
      </c>
      <c r="N247" s="82" t="s">
        <v>1798</v>
      </c>
      <c r="O247" s="74"/>
      <c r="P247" s="75"/>
      <c r="Q247" s="189"/>
      <c r="R247" s="189"/>
      <c r="S247" s="82" t="s">
        <v>883</v>
      </c>
      <c r="T247" s="82" t="s">
        <v>884</v>
      </c>
      <c r="U247" s="82" t="s">
        <v>1799</v>
      </c>
      <c r="V247" s="229" t="s">
        <v>1800</v>
      </c>
      <c r="W247" s="73"/>
      <c r="X247" s="81" t="s">
        <v>797</v>
      </c>
      <c r="Y247" s="82" t="s">
        <v>887</v>
      </c>
      <c r="Z247" s="190" t="s">
        <v>1801</v>
      </c>
      <c r="AA247" s="127" t="s">
        <v>781</v>
      </c>
    </row>
    <row r="248" spans="2:27" ht="45.75">
      <c r="B248" s="190" t="s">
        <v>669</v>
      </c>
      <c r="C248" s="190" t="s">
        <v>798</v>
      </c>
      <c r="D248" s="190" t="s">
        <v>670</v>
      </c>
      <c r="E248" s="74">
        <v>2</v>
      </c>
      <c r="F248" s="73" t="s">
        <v>1641</v>
      </c>
      <c r="G248" s="73" t="s">
        <v>1642</v>
      </c>
      <c r="H248" s="73" t="s">
        <v>1121</v>
      </c>
      <c r="I248" s="74">
        <v>17</v>
      </c>
      <c r="J248" s="73" t="s">
        <v>732</v>
      </c>
      <c r="K248" s="74"/>
      <c r="L248" s="74"/>
      <c r="M248" s="82" t="s">
        <v>1757</v>
      </c>
      <c r="N248" s="82" t="s">
        <v>1758</v>
      </c>
      <c r="O248" s="74" t="s">
        <v>735</v>
      </c>
      <c r="P248" s="75"/>
      <c r="Q248" s="73"/>
      <c r="R248" s="73"/>
      <c r="S248" s="82" t="s">
        <v>793</v>
      </c>
      <c r="T248" s="82" t="s">
        <v>889</v>
      </c>
      <c r="U248" s="82" t="s">
        <v>1802</v>
      </c>
      <c r="V248" s="229" t="s">
        <v>1803</v>
      </c>
      <c r="W248" s="73"/>
      <c r="X248" s="81" t="s">
        <v>797</v>
      </c>
      <c r="Y248" s="82" t="s">
        <v>887</v>
      </c>
      <c r="Z248" s="82" t="s">
        <v>1761</v>
      </c>
      <c r="AA248" s="127" t="s">
        <v>781</v>
      </c>
    </row>
    <row r="249" spans="2:27" ht="91.5">
      <c r="B249" s="81" t="s">
        <v>675</v>
      </c>
      <c r="C249" s="81" t="s">
        <v>812</v>
      </c>
      <c r="D249" s="81" t="s">
        <v>676</v>
      </c>
      <c r="E249" s="74">
        <v>2</v>
      </c>
      <c r="F249" s="190" t="s">
        <v>1795</v>
      </c>
      <c r="G249" s="190" t="s">
        <v>1796</v>
      </c>
      <c r="H249" s="73" t="s">
        <v>1121</v>
      </c>
      <c r="I249" s="74">
        <v>17</v>
      </c>
      <c r="J249" s="73" t="s">
        <v>732</v>
      </c>
      <c r="K249" s="74"/>
      <c r="L249" s="74"/>
      <c r="M249" s="82" t="s">
        <v>1797</v>
      </c>
      <c r="N249" s="82" t="s">
        <v>1798</v>
      </c>
      <c r="O249" s="74"/>
      <c r="P249" s="75"/>
      <c r="Q249" s="189"/>
      <c r="R249" s="189"/>
      <c r="S249" s="82" t="s">
        <v>864</v>
      </c>
      <c r="T249" s="82" t="s">
        <v>865</v>
      </c>
      <c r="U249" s="82" t="s">
        <v>1804</v>
      </c>
      <c r="V249" s="229" t="s">
        <v>1805</v>
      </c>
      <c r="W249" s="73"/>
      <c r="X249" s="81" t="s">
        <v>773</v>
      </c>
      <c r="Y249" s="82" t="s">
        <v>1126</v>
      </c>
      <c r="Z249" s="190" t="s">
        <v>1806</v>
      </c>
      <c r="AA249" s="127" t="s">
        <v>1767</v>
      </c>
    </row>
    <row r="250" spans="2:27" ht="259.5">
      <c r="B250" s="81" t="s">
        <v>678</v>
      </c>
      <c r="C250" s="81" t="s">
        <v>814</v>
      </c>
      <c r="D250" s="81" t="s">
        <v>679</v>
      </c>
      <c r="E250" s="127">
        <v>2</v>
      </c>
      <c r="F250" s="81" t="s">
        <v>1223</v>
      </c>
      <c r="G250" s="81" t="s">
        <v>1224</v>
      </c>
      <c r="H250" s="73" t="s">
        <v>1159</v>
      </c>
      <c r="I250" s="74">
        <v>17</v>
      </c>
      <c r="J250" s="73" t="s">
        <v>732</v>
      </c>
      <c r="K250" s="74">
        <v>10</v>
      </c>
      <c r="L250" s="74"/>
      <c r="M250" s="81" t="s">
        <v>1225</v>
      </c>
      <c r="N250" s="73" t="s">
        <v>1226</v>
      </c>
      <c r="O250" s="74"/>
      <c r="P250" s="75"/>
      <c r="Q250" s="126" t="s">
        <v>980</v>
      </c>
      <c r="R250" s="129" t="s">
        <v>1227</v>
      </c>
      <c r="S250" s="81" t="s">
        <v>1589</v>
      </c>
      <c r="T250" s="81" t="s">
        <v>1162</v>
      </c>
      <c r="U250" s="81" t="s">
        <v>1807</v>
      </c>
      <c r="V250" s="250" t="s">
        <v>1808</v>
      </c>
      <c r="W250" s="81"/>
      <c r="X250" s="81" t="s">
        <v>821</v>
      </c>
      <c r="Y250" s="81" t="s">
        <v>992</v>
      </c>
      <c r="Z250" s="81" t="s">
        <v>1809</v>
      </c>
      <c r="AA250" s="127" t="s">
        <v>743</v>
      </c>
    </row>
    <row r="251" spans="2:27" ht="91.5">
      <c r="B251" s="82" t="s">
        <v>681</v>
      </c>
      <c r="C251" s="82" t="s">
        <v>822</v>
      </c>
      <c r="D251" s="82" t="s">
        <v>682</v>
      </c>
      <c r="E251" s="74">
        <v>2</v>
      </c>
      <c r="F251" s="190" t="s">
        <v>1795</v>
      </c>
      <c r="G251" s="190" t="s">
        <v>1796</v>
      </c>
      <c r="H251" s="73" t="s">
        <v>1121</v>
      </c>
      <c r="I251" s="74">
        <v>17</v>
      </c>
      <c r="J251" s="73" t="s">
        <v>732</v>
      </c>
      <c r="K251" s="74"/>
      <c r="L251" s="74"/>
      <c r="M251" s="82" t="s">
        <v>1797</v>
      </c>
      <c r="N251" s="82" t="s">
        <v>1798</v>
      </c>
      <c r="O251" s="74"/>
      <c r="P251" s="75"/>
      <c r="Q251" s="189"/>
      <c r="R251" s="189"/>
      <c r="S251" s="82" t="s">
        <v>864</v>
      </c>
      <c r="T251" s="82" t="s">
        <v>865</v>
      </c>
      <c r="U251" s="82" t="s">
        <v>1804</v>
      </c>
      <c r="V251" s="229" t="s">
        <v>1810</v>
      </c>
      <c r="W251" s="73"/>
      <c r="X251" s="81" t="s">
        <v>773</v>
      </c>
      <c r="Y251" s="82" t="s">
        <v>1126</v>
      </c>
      <c r="Z251" s="190" t="s">
        <v>1806</v>
      </c>
      <c r="AA251" s="127" t="s">
        <v>1767</v>
      </c>
    </row>
    <row r="252" spans="2:27" ht="60.75">
      <c r="B252" s="81" t="s">
        <v>684</v>
      </c>
      <c r="C252" s="81" t="s">
        <v>824</v>
      </c>
      <c r="D252" s="81" t="s">
        <v>685</v>
      </c>
      <c r="E252" s="127">
        <v>2</v>
      </c>
      <c r="F252" s="154" t="s">
        <v>1779</v>
      </c>
      <c r="G252" s="154" t="s">
        <v>1780</v>
      </c>
      <c r="H252" s="73" t="s">
        <v>940</v>
      </c>
      <c r="I252" s="74">
        <v>17</v>
      </c>
      <c r="J252" s="73" t="s">
        <v>1441</v>
      </c>
      <c r="K252" s="74">
        <v>23</v>
      </c>
      <c r="L252" s="74">
        <v>6</v>
      </c>
      <c r="M252" s="81" t="s">
        <v>1781</v>
      </c>
      <c r="N252" s="82" t="s">
        <v>1782</v>
      </c>
      <c r="O252" s="74"/>
      <c r="P252" s="75"/>
      <c r="Q252" s="126" t="s">
        <v>980</v>
      </c>
      <c r="R252" s="196" t="s">
        <v>1783</v>
      </c>
      <c r="S252" s="82" t="s">
        <v>1518</v>
      </c>
      <c r="T252" s="82" t="s">
        <v>1784</v>
      </c>
      <c r="U252" s="229" t="s">
        <v>1785</v>
      </c>
      <c r="V252" s="229" t="s">
        <v>1811</v>
      </c>
      <c r="W252" s="73"/>
      <c r="X252" s="83" t="s">
        <v>780</v>
      </c>
      <c r="Y252" s="82" t="s">
        <v>1787</v>
      </c>
      <c r="Z252" s="81" t="s">
        <v>1812</v>
      </c>
      <c r="AA252" s="127" t="s">
        <v>1105</v>
      </c>
    </row>
    <row r="253" spans="2:27" ht="381.75">
      <c r="B253" s="81" t="s">
        <v>654</v>
      </c>
      <c r="C253" s="155" t="s">
        <v>755</v>
      </c>
      <c r="D253" s="81" t="s">
        <v>655</v>
      </c>
      <c r="E253" s="127">
        <v>2</v>
      </c>
      <c r="F253" s="81" t="s">
        <v>1223</v>
      </c>
      <c r="G253" s="81" t="s">
        <v>1224</v>
      </c>
      <c r="H253" s="73" t="s">
        <v>1159</v>
      </c>
      <c r="I253" s="74">
        <v>18</v>
      </c>
      <c r="J253" s="73" t="s">
        <v>732</v>
      </c>
      <c r="K253" s="74">
        <v>10</v>
      </c>
      <c r="L253" s="74"/>
      <c r="M253" s="81" t="s">
        <v>1225</v>
      </c>
      <c r="N253" s="73" t="s">
        <v>1226</v>
      </c>
      <c r="O253" s="74"/>
      <c r="P253" s="75"/>
      <c r="Q253" s="126" t="s">
        <v>980</v>
      </c>
      <c r="R253" s="129" t="s">
        <v>1227</v>
      </c>
      <c r="S253" s="82" t="s">
        <v>858</v>
      </c>
      <c r="T253" s="82" t="s">
        <v>859</v>
      </c>
      <c r="U253" s="82" t="s">
        <v>1813</v>
      </c>
      <c r="V253" s="229" t="s">
        <v>1814</v>
      </c>
      <c r="W253" s="73"/>
      <c r="X253" s="83" t="s">
        <v>763</v>
      </c>
      <c r="Y253" s="82" t="s">
        <v>946</v>
      </c>
      <c r="Z253" s="81" t="s">
        <v>1815</v>
      </c>
      <c r="AA253" s="127" t="s">
        <v>764</v>
      </c>
    </row>
    <row r="254" spans="2:27" ht="91.5">
      <c r="B254" s="73" t="s">
        <v>657</v>
      </c>
      <c r="C254" s="73" t="s">
        <v>766</v>
      </c>
      <c r="D254" s="73" t="s">
        <v>658</v>
      </c>
      <c r="E254" s="74">
        <v>2</v>
      </c>
      <c r="F254" s="190" t="s">
        <v>1795</v>
      </c>
      <c r="G254" s="190" t="s">
        <v>1796</v>
      </c>
      <c r="H254" s="73" t="s">
        <v>1121</v>
      </c>
      <c r="I254" s="74">
        <v>19</v>
      </c>
      <c r="J254" s="73" t="s">
        <v>732</v>
      </c>
      <c r="K254" s="74"/>
      <c r="L254" s="74"/>
      <c r="M254" s="82" t="s">
        <v>1797</v>
      </c>
      <c r="N254" s="82" t="s">
        <v>1798</v>
      </c>
      <c r="O254" s="74"/>
      <c r="P254" s="75"/>
      <c r="Q254" s="189"/>
      <c r="R254" s="189"/>
      <c r="S254" s="82" t="s">
        <v>864</v>
      </c>
      <c r="T254" s="82" t="s">
        <v>865</v>
      </c>
      <c r="U254" s="82" t="s">
        <v>1804</v>
      </c>
      <c r="V254" s="229" t="s">
        <v>1816</v>
      </c>
      <c r="W254" s="73"/>
      <c r="X254" s="81" t="s">
        <v>773</v>
      </c>
      <c r="Y254" s="82" t="s">
        <v>1126</v>
      </c>
      <c r="Z254" s="190" t="s">
        <v>1806</v>
      </c>
      <c r="AA254" s="127" t="s">
        <v>1767</v>
      </c>
    </row>
    <row r="255" spans="2:27" ht="76.5">
      <c r="B255" s="153" t="s">
        <v>660</v>
      </c>
      <c r="C255" s="154" t="s">
        <v>775</v>
      </c>
      <c r="D255" s="154" t="s">
        <v>661</v>
      </c>
      <c r="E255" s="127">
        <v>2</v>
      </c>
      <c r="F255" s="81" t="s">
        <v>1439</v>
      </c>
      <c r="G255" s="81" t="s">
        <v>1440</v>
      </c>
      <c r="H255" s="73" t="s">
        <v>940</v>
      </c>
      <c r="I255" s="74">
        <v>18</v>
      </c>
      <c r="J255" s="73" t="s">
        <v>1441</v>
      </c>
      <c r="K255" s="74">
        <v>23</v>
      </c>
      <c r="L255" s="74">
        <v>6</v>
      </c>
      <c r="M255" s="81" t="s">
        <v>1442</v>
      </c>
      <c r="N255" s="82" t="s">
        <v>1443</v>
      </c>
      <c r="O255" s="74"/>
      <c r="P255" s="75"/>
      <c r="Q255" s="126" t="s">
        <v>980</v>
      </c>
      <c r="R255" s="129" t="s">
        <v>1444</v>
      </c>
      <c r="S255" s="82" t="s">
        <v>1518</v>
      </c>
      <c r="T255" s="82" t="s">
        <v>1784</v>
      </c>
      <c r="U255" s="229" t="s">
        <v>1817</v>
      </c>
      <c r="V255" s="229" t="s">
        <v>1818</v>
      </c>
      <c r="W255" s="73"/>
      <c r="X255" s="83" t="s">
        <v>780</v>
      </c>
      <c r="Y255" s="157" t="s">
        <v>1819</v>
      </c>
      <c r="Z255" s="81" t="s">
        <v>1820</v>
      </c>
      <c r="AA255" s="127" t="s">
        <v>781</v>
      </c>
    </row>
    <row r="256" spans="2:27" ht="183">
      <c r="B256" s="81" t="s">
        <v>663</v>
      </c>
      <c r="C256" s="81" t="s">
        <v>783</v>
      </c>
      <c r="D256" s="81" t="s">
        <v>664</v>
      </c>
      <c r="E256" s="127">
        <v>2</v>
      </c>
      <c r="F256" s="75" t="s">
        <v>1821</v>
      </c>
      <c r="G256" s="75" t="s">
        <v>1822</v>
      </c>
      <c r="H256" s="73" t="s">
        <v>756</v>
      </c>
      <c r="I256" s="74">
        <v>18</v>
      </c>
      <c r="J256" s="75" t="s">
        <v>732</v>
      </c>
      <c r="K256" s="74">
        <v>30</v>
      </c>
      <c r="L256" s="74"/>
      <c r="M256" s="198" t="s">
        <v>1823</v>
      </c>
      <c r="N256" s="82" t="s">
        <v>1824</v>
      </c>
      <c r="O256" s="74"/>
      <c r="P256" s="73"/>
      <c r="Q256" s="83" t="s">
        <v>1529</v>
      </c>
      <c r="R256" s="75" t="s">
        <v>1825</v>
      </c>
      <c r="S256" s="82" t="s">
        <v>876</v>
      </c>
      <c r="T256" s="82" t="s">
        <v>877</v>
      </c>
      <c r="U256" s="82" t="s">
        <v>1826</v>
      </c>
      <c r="V256" s="229" t="s">
        <v>1827</v>
      </c>
      <c r="W256" s="74"/>
      <c r="X256" s="81" t="s">
        <v>789</v>
      </c>
      <c r="Y256" s="81" t="s">
        <v>1828</v>
      </c>
      <c r="Z256" s="205" t="s">
        <v>1829</v>
      </c>
      <c r="AA256" s="127" t="s">
        <v>1405</v>
      </c>
    </row>
    <row r="257" spans="2:27" ht="30.75">
      <c r="B257" s="81" t="s">
        <v>666</v>
      </c>
      <c r="C257" s="81" t="s">
        <v>792</v>
      </c>
      <c r="D257" s="81" t="s">
        <v>667</v>
      </c>
      <c r="E257" s="191">
        <v>2</v>
      </c>
      <c r="F257" s="190" t="s">
        <v>1830</v>
      </c>
      <c r="G257" s="190" t="s">
        <v>1831</v>
      </c>
      <c r="H257" s="73" t="s">
        <v>1121</v>
      </c>
      <c r="I257" s="74">
        <v>18</v>
      </c>
      <c r="J257" s="73" t="s">
        <v>732</v>
      </c>
      <c r="K257" s="74"/>
      <c r="L257" s="74"/>
      <c r="M257" s="81" t="s">
        <v>1643</v>
      </c>
      <c r="N257" s="82" t="s">
        <v>1644</v>
      </c>
      <c r="O257" s="74"/>
      <c r="P257" s="75"/>
      <c r="Q257" s="189"/>
      <c r="R257" s="189"/>
      <c r="S257" s="82" t="s">
        <v>883</v>
      </c>
      <c r="T257" s="82" t="s">
        <v>884</v>
      </c>
      <c r="U257" s="82" t="s">
        <v>1832</v>
      </c>
      <c r="V257" s="229" t="s">
        <v>1833</v>
      </c>
      <c r="W257" s="73"/>
      <c r="X257" s="81" t="s">
        <v>797</v>
      </c>
      <c r="Y257" s="82" t="s">
        <v>887</v>
      </c>
      <c r="Z257" s="190" t="s">
        <v>1834</v>
      </c>
      <c r="AA257" s="127" t="s">
        <v>781</v>
      </c>
    </row>
    <row r="258" spans="2:27" ht="45.75">
      <c r="B258" s="190" t="s">
        <v>669</v>
      </c>
      <c r="C258" s="190" t="s">
        <v>798</v>
      </c>
      <c r="D258" s="190" t="s">
        <v>670</v>
      </c>
      <c r="E258" s="74">
        <v>2</v>
      </c>
      <c r="F258" s="190" t="s">
        <v>1795</v>
      </c>
      <c r="G258" s="190" t="s">
        <v>1796</v>
      </c>
      <c r="H258" s="73" t="s">
        <v>1121</v>
      </c>
      <c r="I258" s="74">
        <v>18</v>
      </c>
      <c r="J258" s="73" t="s">
        <v>732</v>
      </c>
      <c r="K258" s="74"/>
      <c r="L258" s="74"/>
      <c r="M258" s="82" t="s">
        <v>1797</v>
      </c>
      <c r="N258" s="82" t="s">
        <v>1798</v>
      </c>
      <c r="O258" s="74"/>
      <c r="P258" s="75"/>
      <c r="Q258" s="189"/>
      <c r="R258" s="189"/>
      <c r="S258" s="82" t="s">
        <v>793</v>
      </c>
      <c r="T258" s="82" t="s">
        <v>889</v>
      </c>
      <c r="U258" s="82" t="s">
        <v>1835</v>
      </c>
      <c r="V258" s="229" t="s">
        <v>1836</v>
      </c>
      <c r="W258" s="73"/>
      <c r="X258" s="81" t="s">
        <v>797</v>
      </c>
      <c r="Y258" s="82" t="s">
        <v>887</v>
      </c>
      <c r="Z258" s="190" t="s">
        <v>1801</v>
      </c>
      <c r="AA258" s="127" t="s">
        <v>781</v>
      </c>
    </row>
    <row r="259" spans="2:27" ht="91.5">
      <c r="B259" s="81" t="s">
        <v>675</v>
      </c>
      <c r="C259" s="81" t="s">
        <v>812</v>
      </c>
      <c r="D259" s="81" t="s">
        <v>676</v>
      </c>
      <c r="E259" s="191">
        <v>2</v>
      </c>
      <c r="F259" s="190" t="s">
        <v>1830</v>
      </c>
      <c r="G259" s="190" t="s">
        <v>1831</v>
      </c>
      <c r="H259" s="73" t="s">
        <v>1121</v>
      </c>
      <c r="I259" s="74">
        <v>18</v>
      </c>
      <c r="J259" s="73" t="s">
        <v>732</v>
      </c>
      <c r="K259" s="74"/>
      <c r="L259" s="74"/>
      <c r="M259" s="81" t="s">
        <v>1643</v>
      </c>
      <c r="N259" s="82" t="s">
        <v>1644</v>
      </c>
      <c r="O259" s="74"/>
      <c r="P259" s="75"/>
      <c r="Q259" s="189"/>
      <c r="R259" s="189"/>
      <c r="S259" s="82" t="s">
        <v>883</v>
      </c>
      <c r="T259" s="82" t="s">
        <v>884</v>
      </c>
      <c r="U259" s="82" t="s">
        <v>1832</v>
      </c>
      <c r="V259" s="229" t="s">
        <v>1837</v>
      </c>
      <c r="W259" s="73"/>
      <c r="X259" s="81" t="s">
        <v>773</v>
      </c>
      <c r="Y259" s="82" t="s">
        <v>1126</v>
      </c>
      <c r="Z259" s="190" t="s">
        <v>1838</v>
      </c>
      <c r="AA259" s="127" t="s">
        <v>1767</v>
      </c>
    </row>
    <row r="260" spans="2:27" ht="351">
      <c r="B260" s="81" t="s">
        <v>678</v>
      </c>
      <c r="C260" s="81" t="s">
        <v>814</v>
      </c>
      <c r="D260" s="81" t="s">
        <v>679</v>
      </c>
      <c r="E260" s="127">
        <v>2</v>
      </c>
      <c r="F260" s="81" t="s">
        <v>1439</v>
      </c>
      <c r="G260" s="81" t="s">
        <v>1440</v>
      </c>
      <c r="H260" s="73" t="s">
        <v>940</v>
      </c>
      <c r="I260" s="74">
        <v>18</v>
      </c>
      <c r="J260" s="73" t="s">
        <v>1441</v>
      </c>
      <c r="K260" s="74">
        <v>23</v>
      </c>
      <c r="L260" s="74">
        <v>6</v>
      </c>
      <c r="M260" s="81" t="s">
        <v>1442</v>
      </c>
      <c r="N260" s="82" t="s">
        <v>1443</v>
      </c>
      <c r="O260" s="74"/>
      <c r="P260" s="75"/>
      <c r="Q260" s="126" t="s">
        <v>980</v>
      </c>
      <c r="R260" s="212" t="s">
        <v>1444</v>
      </c>
      <c r="S260" s="81" t="s">
        <v>1363</v>
      </c>
      <c r="T260" s="81" t="s">
        <v>1304</v>
      </c>
      <c r="U260" s="81" t="s">
        <v>1839</v>
      </c>
      <c r="V260" s="250" t="s">
        <v>1840</v>
      </c>
      <c r="W260" s="81"/>
      <c r="X260" s="81" t="s">
        <v>821</v>
      </c>
      <c r="Y260" s="81" t="s">
        <v>1307</v>
      </c>
      <c r="Z260" s="81" t="s">
        <v>1841</v>
      </c>
      <c r="AA260" s="127" t="s">
        <v>1201</v>
      </c>
    </row>
    <row r="261" spans="2:27" ht="91.5">
      <c r="B261" s="82" t="s">
        <v>681</v>
      </c>
      <c r="C261" s="82" t="s">
        <v>822</v>
      </c>
      <c r="D261" s="82" t="s">
        <v>682</v>
      </c>
      <c r="E261" s="191">
        <v>2</v>
      </c>
      <c r="F261" s="190" t="s">
        <v>1830</v>
      </c>
      <c r="G261" s="190" t="s">
        <v>1831</v>
      </c>
      <c r="H261" s="73" t="s">
        <v>1121</v>
      </c>
      <c r="I261" s="74">
        <v>18</v>
      </c>
      <c r="J261" s="73" t="s">
        <v>732</v>
      </c>
      <c r="K261" s="74"/>
      <c r="L261" s="74"/>
      <c r="M261" s="81" t="s">
        <v>1643</v>
      </c>
      <c r="N261" s="82" t="s">
        <v>1644</v>
      </c>
      <c r="O261" s="74"/>
      <c r="P261" s="75"/>
      <c r="Q261" s="189"/>
      <c r="R261" s="189"/>
      <c r="S261" s="82" t="s">
        <v>883</v>
      </c>
      <c r="T261" s="82" t="s">
        <v>884</v>
      </c>
      <c r="U261" s="82" t="s">
        <v>1832</v>
      </c>
      <c r="V261" s="229" t="s">
        <v>1842</v>
      </c>
      <c r="W261" s="73"/>
      <c r="X261" s="81" t="s">
        <v>773</v>
      </c>
      <c r="Y261" s="82" t="s">
        <v>1126</v>
      </c>
      <c r="Z261" s="190" t="s">
        <v>1838</v>
      </c>
      <c r="AA261" s="127" t="s">
        <v>1767</v>
      </c>
    </row>
    <row r="262" spans="2:27" ht="60.75">
      <c r="B262" s="81" t="s">
        <v>684</v>
      </c>
      <c r="C262" s="81" t="s">
        <v>824</v>
      </c>
      <c r="D262" s="81" t="s">
        <v>685</v>
      </c>
      <c r="E262" s="127">
        <v>2</v>
      </c>
      <c r="F262" s="81" t="s">
        <v>1439</v>
      </c>
      <c r="G262" s="81" t="s">
        <v>1440</v>
      </c>
      <c r="H262" s="73" t="s">
        <v>940</v>
      </c>
      <c r="I262" s="74">
        <v>18</v>
      </c>
      <c r="J262" s="73" t="s">
        <v>1441</v>
      </c>
      <c r="K262" s="74">
        <v>23</v>
      </c>
      <c r="L262" s="74">
        <v>6</v>
      </c>
      <c r="M262" s="81" t="s">
        <v>1442</v>
      </c>
      <c r="N262" s="82" t="s">
        <v>1443</v>
      </c>
      <c r="O262" s="74"/>
      <c r="P262" s="75"/>
      <c r="Q262" s="126" t="s">
        <v>980</v>
      </c>
      <c r="R262" s="129" t="s">
        <v>1444</v>
      </c>
      <c r="S262" s="82" t="s">
        <v>1518</v>
      </c>
      <c r="T262" s="82" t="s">
        <v>1784</v>
      </c>
      <c r="U262" s="229" t="s">
        <v>1817</v>
      </c>
      <c r="V262" s="229" t="s">
        <v>1843</v>
      </c>
      <c r="W262" s="73"/>
      <c r="X262" s="83" t="s">
        <v>780</v>
      </c>
      <c r="Y262" s="157" t="s">
        <v>1819</v>
      </c>
      <c r="Z262" s="81" t="s">
        <v>1820</v>
      </c>
      <c r="AA262" s="127" t="s">
        <v>781</v>
      </c>
    </row>
    <row r="263" spans="2:27" ht="275.25">
      <c r="B263" s="81" t="s">
        <v>654</v>
      </c>
      <c r="C263" s="155" t="s">
        <v>755</v>
      </c>
      <c r="D263" s="81" t="s">
        <v>655</v>
      </c>
      <c r="E263" s="127">
        <v>2</v>
      </c>
      <c r="F263" s="154" t="s">
        <v>1779</v>
      </c>
      <c r="G263" s="154" t="s">
        <v>1780</v>
      </c>
      <c r="H263" s="73" t="s">
        <v>940</v>
      </c>
      <c r="I263" s="74">
        <v>19</v>
      </c>
      <c r="J263" s="73" t="s">
        <v>732</v>
      </c>
      <c r="K263" s="74"/>
      <c r="L263" s="74"/>
      <c r="M263" s="81" t="s">
        <v>1781</v>
      </c>
      <c r="N263" s="82" t="s">
        <v>1782</v>
      </c>
      <c r="O263" s="74"/>
      <c r="P263" s="75"/>
      <c r="Q263" s="126" t="s">
        <v>980</v>
      </c>
      <c r="R263" s="196" t="s">
        <v>1783</v>
      </c>
      <c r="S263" s="82" t="s">
        <v>1844</v>
      </c>
      <c r="T263" s="82" t="s">
        <v>1845</v>
      </c>
      <c r="U263" s="82" t="s">
        <v>1846</v>
      </c>
      <c r="V263" s="229" t="s">
        <v>1847</v>
      </c>
      <c r="W263" s="73"/>
      <c r="X263" s="83" t="s">
        <v>763</v>
      </c>
      <c r="Y263" s="82" t="s">
        <v>1848</v>
      </c>
      <c r="Z263" s="81" t="s">
        <v>1849</v>
      </c>
      <c r="AA263" s="127" t="s">
        <v>1850</v>
      </c>
    </row>
    <row r="264" spans="2:27" ht="91.5">
      <c r="B264" s="73" t="s">
        <v>657</v>
      </c>
      <c r="C264" s="73" t="s">
        <v>766</v>
      </c>
      <c r="D264" s="73" t="s">
        <v>658</v>
      </c>
      <c r="E264" s="191">
        <v>2</v>
      </c>
      <c r="F264" s="190" t="s">
        <v>1830</v>
      </c>
      <c r="G264" s="190" t="s">
        <v>1831</v>
      </c>
      <c r="H264" s="73" t="s">
        <v>1121</v>
      </c>
      <c r="I264" s="74">
        <v>20</v>
      </c>
      <c r="J264" s="73" t="s">
        <v>732</v>
      </c>
      <c r="K264" s="74"/>
      <c r="L264" s="74"/>
      <c r="M264" s="81" t="s">
        <v>1643</v>
      </c>
      <c r="N264" s="82" t="s">
        <v>1644</v>
      </c>
      <c r="O264" s="74"/>
      <c r="P264" s="75"/>
      <c r="Q264" s="189"/>
      <c r="R264" s="189"/>
      <c r="S264" s="82" t="s">
        <v>864</v>
      </c>
      <c r="T264" s="82" t="s">
        <v>865</v>
      </c>
      <c r="U264" s="82" t="s">
        <v>1851</v>
      </c>
      <c r="V264" s="229" t="s">
        <v>1852</v>
      </c>
      <c r="W264" s="73"/>
      <c r="X264" s="81" t="s">
        <v>773</v>
      </c>
      <c r="Y264" s="82" t="s">
        <v>1126</v>
      </c>
      <c r="Z264" s="190" t="s">
        <v>1838</v>
      </c>
      <c r="AA264" s="127" t="s">
        <v>1767</v>
      </c>
    </row>
    <row r="265" spans="2:27" ht="60.75">
      <c r="B265" s="153" t="s">
        <v>660</v>
      </c>
      <c r="C265" s="154" t="s">
        <v>775</v>
      </c>
      <c r="D265" s="154" t="s">
        <v>661</v>
      </c>
      <c r="E265" s="127">
        <v>2</v>
      </c>
      <c r="F265" s="154" t="s">
        <v>1853</v>
      </c>
      <c r="G265" s="154" t="s">
        <v>1854</v>
      </c>
      <c r="H265" s="73" t="s">
        <v>1855</v>
      </c>
      <c r="I265" s="74">
        <v>19</v>
      </c>
      <c r="J265" s="73" t="s">
        <v>732</v>
      </c>
      <c r="K265" s="74">
        <v>4</v>
      </c>
      <c r="L265" s="74"/>
      <c r="M265" s="81" t="s">
        <v>1856</v>
      </c>
      <c r="N265" s="73" t="s">
        <v>1857</v>
      </c>
      <c r="O265" s="74"/>
      <c r="P265" s="83" t="s">
        <v>1858</v>
      </c>
      <c r="Q265" s="73" t="s">
        <v>1398</v>
      </c>
      <c r="R265" s="73" t="s">
        <v>1859</v>
      </c>
      <c r="S265" s="82" t="s">
        <v>870</v>
      </c>
      <c r="T265" s="82" t="s">
        <v>871</v>
      </c>
      <c r="U265" s="82" t="s">
        <v>1860</v>
      </c>
      <c r="V265" s="229" t="s">
        <v>1861</v>
      </c>
      <c r="W265" s="73"/>
      <c r="X265" s="83" t="s">
        <v>780</v>
      </c>
      <c r="Y265" s="157" t="s">
        <v>965</v>
      </c>
      <c r="Z265" s="82" t="s">
        <v>1862</v>
      </c>
      <c r="AA265" s="127" t="s">
        <v>781</v>
      </c>
    </row>
    <row r="266" spans="2:27" ht="183">
      <c r="B266" s="81" t="s">
        <v>663</v>
      </c>
      <c r="C266" s="81" t="s">
        <v>783</v>
      </c>
      <c r="D266" s="81" t="s">
        <v>664</v>
      </c>
      <c r="E266" s="127">
        <v>2</v>
      </c>
      <c r="F266" s="75" t="s">
        <v>1863</v>
      </c>
      <c r="G266" s="75" t="s">
        <v>1864</v>
      </c>
      <c r="H266" s="73" t="s">
        <v>756</v>
      </c>
      <c r="I266" s="74">
        <v>19</v>
      </c>
      <c r="J266" s="75" t="s">
        <v>732</v>
      </c>
      <c r="K266" s="74">
        <v>34</v>
      </c>
      <c r="L266" s="74"/>
      <c r="M266" s="198" t="s">
        <v>1865</v>
      </c>
      <c r="N266" s="82" t="s">
        <v>1866</v>
      </c>
      <c r="O266" s="74"/>
      <c r="P266" s="73"/>
      <c r="Q266" s="82"/>
      <c r="R266" s="73"/>
      <c r="S266" s="82" t="s">
        <v>876</v>
      </c>
      <c r="T266" s="82" t="s">
        <v>877</v>
      </c>
      <c r="U266" s="82" t="s">
        <v>1826</v>
      </c>
      <c r="V266" s="229" t="s">
        <v>1867</v>
      </c>
      <c r="W266" s="74"/>
      <c r="X266" s="81" t="s">
        <v>789</v>
      </c>
      <c r="Y266" s="81" t="s">
        <v>1828</v>
      </c>
      <c r="Z266" s="82" t="s">
        <v>1868</v>
      </c>
      <c r="AA266" s="127" t="s">
        <v>1405</v>
      </c>
    </row>
    <row r="267" spans="2:27" ht="30.75">
      <c r="B267" s="81" t="s">
        <v>666</v>
      </c>
      <c r="C267" s="81" t="s">
        <v>792</v>
      </c>
      <c r="D267" s="81" t="s">
        <v>667</v>
      </c>
      <c r="E267" s="191">
        <v>2</v>
      </c>
      <c r="F267" s="190" t="s">
        <v>1869</v>
      </c>
      <c r="G267" s="190" t="s">
        <v>1870</v>
      </c>
      <c r="H267" s="73" t="s">
        <v>1121</v>
      </c>
      <c r="I267" s="74">
        <v>19</v>
      </c>
      <c r="J267" s="73" t="s">
        <v>732</v>
      </c>
      <c r="K267" s="74">
        <v>4</v>
      </c>
      <c r="L267" s="74"/>
      <c r="M267" s="82" t="s">
        <v>1871</v>
      </c>
      <c r="N267" s="73" t="s">
        <v>1872</v>
      </c>
      <c r="O267" s="74"/>
      <c r="P267" s="75"/>
      <c r="Q267" s="189"/>
      <c r="R267" s="189"/>
      <c r="S267" s="82" t="s">
        <v>883</v>
      </c>
      <c r="T267" s="82" t="s">
        <v>884</v>
      </c>
      <c r="U267" s="82" t="s">
        <v>1873</v>
      </c>
      <c r="V267" s="229" t="s">
        <v>1874</v>
      </c>
      <c r="W267" s="73"/>
      <c r="X267" s="81" t="s">
        <v>797</v>
      </c>
      <c r="Y267" s="82" t="s">
        <v>887</v>
      </c>
      <c r="Z267" s="190" t="s">
        <v>518</v>
      </c>
      <c r="AA267" s="127" t="s">
        <v>781</v>
      </c>
    </row>
    <row r="268" spans="2:27" ht="45.75">
      <c r="B268" s="269" t="s">
        <v>669</v>
      </c>
      <c r="C268" s="269" t="s">
        <v>798</v>
      </c>
      <c r="D268" s="269" t="s">
        <v>670</v>
      </c>
      <c r="E268" s="270">
        <v>2</v>
      </c>
      <c r="F268" s="269" t="s">
        <v>1830</v>
      </c>
      <c r="G268" s="269" t="s">
        <v>1831</v>
      </c>
      <c r="H268" s="168" t="s">
        <v>1121</v>
      </c>
      <c r="I268" s="252">
        <v>19</v>
      </c>
      <c r="J268" s="168" t="s">
        <v>732</v>
      </c>
      <c r="K268" s="252"/>
      <c r="L268" s="252"/>
      <c r="M268" s="251" t="s">
        <v>1643</v>
      </c>
      <c r="N268" s="82" t="s">
        <v>1644</v>
      </c>
      <c r="O268" s="272"/>
      <c r="P268" s="253"/>
      <c r="Q268" s="273"/>
      <c r="R268" s="273"/>
      <c r="S268" s="169" t="s">
        <v>793</v>
      </c>
      <c r="T268" s="169" t="s">
        <v>889</v>
      </c>
      <c r="U268" s="169" t="s">
        <v>1875</v>
      </c>
      <c r="V268" s="249" t="s">
        <v>1876</v>
      </c>
      <c r="W268" s="168"/>
      <c r="X268" s="251" t="s">
        <v>797</v>
      </c>
      <c r="Y268" s="169" t="s">
        <v>887</v>
      </c>
      <c r="Z268" s="269" t="s">
        <v>1834</v>
      </c>
      <c r="AA268" s="235" t="s">
        <v>781</v>
      </c>
    </row>
    <row r="269" spans="2:27" ht="91.5">
      <c r="B269" s="81" t="s">
        <v>675</v>
      </c>
      <c r="C269" s="81" t="s">
        <v>812</v>
      </c>
      <c r="D269" s="81" t="s">
        <v>676</v>
      </c>
      <c r="E269" s="191">
        <v>2</v>
      </c>
      <c r="F269" s="190" t="s">
        <v>1869</v>
      </c>
      <c r="G269" s="190" t="s">
        <v>1870</v>
      </c>
      <c r="H269" s="73" t="s">
        <v>1121</v>
      </c>
      <c r="I269" s="74">
        <v>19</v>
      </c>
      <c r="J269" s="73" t="s">
        <v>732</v>
      </c>
      <c r="K269" s="74">
        <v>4</v>
      </c>
      <c r="L269" s="74"/>
      <c r="M269" s="82" t="s">
        <v>1871</v>
      </c>
      <c r="N269" s="73" t="s">
        <v>1872</v>
      </c>
      <c r="O269" s="74"/>
      <c r="P269" s="75"/>
      <c r="Q269" s="189"/>
      <c r="R269" s="189"/>
      <c r="S269" s="82" t="s">
        <v>864</v>
      </c>
      <c r="T269" s="82" t="s">
        <v>865</v>
      </c>
      <c r="U269" s="82" t="s">
        <v>1877</v>
      </c>
      <c r="V269" s="229" t="s">
        <v>1878</v>
      </c>
      <c r="W269" s="73"/>
      <c r="X269" s="81" t="s">
        <v>773</v>
      </c>
      <c r="Y269" s="82" t="s">
        <v>868</v>
      </c>
      <c r="Z269" s="190" t="s">
        <v>1879</v>
      </c>
      <c r="AA269" s="127" t="s">
        <v>753</v>
      </c>
    </row>
    <row r="270" spans="2:27" ht="275.25">
      <c r="B270" s="81" t="s">
        <v>678</v>
      </c>
      <c r="C270" s="81" t="s">
        <v>814</v>
      </c>
      <c r="D270" s="81" t="s">
        <v>679</v>
      </c>
      <c r="E270" s="127">
        <v>2</v>
      </c>
      <c r="F270" s="81" t="s">
        <v>1880</v>
      </c>
      <c r="G270" s="81" t="s">
        <v>1881</v>
      </c>
      <c r="H270" s="73" t="s">
        <v>940</v>
      </c>
      <c r="I270" s="74">
        <v>19</v>
      </c>
      <c r="J270" s="73" t="s">
        <v>1441</v>
      </c>
      <c r="K270" s="74">
        <v>23</v>
      </c>
      <c r="L270" s="74">
        <v>6</v>
      </c>
      <c r="M270" s="81" t="s">
        <v>1882</v>
      </c>
      <c r="N270" s="82" t="s">
        <v>1883</v>
      </c>
      <c r="O270" s="74"/>
      <c r="P270" s="75"/>
      <c r="Q270" s="126" t="s">
        <v>980</v>
      </c>
      <c r="R270" s="212" t="s">
        <v>1444</v>
      </c>
      <c r="S270" s="81" t="s">
        <v>1363</v>
      </c>
      <c r="T270" s="81" t="s">
        <v>1304</v>
      </c>
      <c r="U270" s="81" t="s">
        <v>1884</v>
      </c>
      <c r="V270" s="250" t="s">
        <v>1885</v>
      </c>
      <c r="W270" s="81"/>
      <c r="X270" s="81" t="s">
        <v>821</v>
      </c>
      <c r="Y270" s="81" t="s">
        <v>1307</v>
      </c>
      <c r="Z270" s="81" t="s">
        <v>1886</v>
      </c>
      <c r="AA270" s="127" t="s">
        <v>1887</v>
      </c>
    </row>
    <row r="271" spans="2:27" ht="91.5">
      <c r="B271" s="82" t="s">
        <v>681</v>
      </c>
      <c r="C271" s="82" t="s">
        <v>822</v>
      </c>
      <c r="D271" s="82" t="s">
        <v>682</v>
      </c>
      <c r="E271" s="191">
        <v>2</v>
      </c>
      <c r="F271" s="190" t="s">
        <v>1869</v>
      </c>
      <c r="G271" s="190" t="s">
        <v>1870</v>
      </c>
      <c r="H271" s="73" t="s">
        <v>1121</v>
      </c>
      <c r="I271" s="74">
        <v>19</v>
      </c>
      <c r="J271" s="73" t="s">
        <v>732</v>
      </c>
      <c r="K271" s="74">
        <v>4</v>
      </c>
      <c r="L271" s="74"/>
      <c r="M271" s="82" t="s">
        <v>1871</v>
      </c>
      <c r="N271" s="73" t="s">
        <v>1872</v>
      </c>
      <c r="O271" s="74"/>
      <c r="P271" s="75"/>
      <c r="Q271" s="189"/>
      <c r="R271" s="189"/>
      <c r="S271" s="82" t="s">
        <v>864</v>
      </c>
      <c r="T271" s="82" t="s">
        <v>865</v>
      </c>
      <c r="U271" s="82" t="s">
        <v>1877</v>
      </c>
      <c r="V271" s="229" t="s">
        <v>1888</v>
      </c>
      <c r="W271" s="73"/>
      <c r="X271" s="81" t="s">
        <v>773</v>
      </c>
      <c r="Y271" s="82" t="s">
        <v>868</v>
      </c>
      <c r="Z271" s="190" t="s">
        <v>1879</v>
      </c>
      <c r="AA271" s="127" t="s">
        <v>753</v>
      </c>
    </row>
    <row r="272" spans="2:27" ht="45.75">
      <c r="B272" s="81" t="s">
        <v>684</v>
      </c>
      <c r="C272" s="81" t="s">
        <v>824</v>
      </c>
      <c r="D272" s="81" t="s">
        <v>685</v>
      </c>
      <c r="E272" s="127">
        <v>2</v>
      </c>
      <c r="F272" s="154" t="s">
        <v>1853</v>
      </c>
      <c r="G272" s="154" t="s">
        <v>1854</v>
      </c>
      <c r="H272" s="73" t="s">
        <v>1855</v>
      </c>
      <c r="I272" s="74">
        <v>19</v>
      </c>
      <c r="J272" s="73" t="s">
        <v>732</v>
      </c>
      <c r="K272" s="74">
        <v>4</v>
      </c>
      <c r="L272" s="74"/>
      <c r="M272" s="81" t="s">
        <v>1856</v>
      </c>
      <c r="N272" s="73" t="s">
        <v>1857</v>
      </c>
      <c r="O272" s="74"/>
      <c r="P272" s="83" t="s">
        <v>1858</v>
      </c>
      <c r="Q272" s="73" t="s">
        <v>1398</v>
      </c>
      <c r="R272" s="73" t="s">
        <v>1859</v>
      </c>
      <c r="S272" s="82" t="s">
        <v>870</v>
      </c>
      <c r="T272" s="82" t="s">
        <v>871</v>
      </c>
      <c r="U272" s="82" t="s">
        <v>1860</v>
      </c>
      <c r="V272" s="229" t="s">
        <v>1889</v>
      </c>
      <c r="W272" s="73"/>
      <c r="X272" s="83" t="s">
        <v>780</v>
      </c>
      <c r="Y272" s="157" t="s">
        <v>965</v>
      </c>
      <c r="Z272" s="82" t="s">
        <v>1862</v>
      </c>
      <c r="AA272" s="127" t="s">
        <v>781</v>
      </c>
    </row>
    <row r="273" spans="2:27" ht="259.5">
      <c r="B273" s="81" t="s">
        <v>654</v>
      </c>
      <c r="C273" s="155" t="s">
        <v>755</v>
      </c>
      <c r="D273" s="81" t="s">
        <v>655</v>
      </c>
      <c r="E273" s="127">
        <v>2</v>
      </c>
      <c r="F273" s="81" t="s">
        <v>1439</v>
      </c>
      <c r="G273" s="81" t="s">
        <v>1440</v>
      </c>
      <c r="H273" s="73" t="s">
        <v>940</v>
      </c>
      <c r="I273" s="74">
        <v>20</v>
      </c>
      <c r="J273" s="73" t="s">
        <v>1441</v>
      </c>
      <c r="K273" s="74">
        <v>23</v>
      </c>
      <c r="L273" s="74">
        <v>6</v>
      </c>
      <c r="M273" s="81" t="s">
        <v>1442</v>
      </c>
      <c r="N273" s="82" t="s">
        <v>1443</v>
      </c>
      <c r="O273" s="74"/>
      <c r="P273" s="75"/>
      <c r="Q273" s="126" t="s">
        <v>980</v>
      </c>
      <c r="R273" s="129" t="s">
        <v>1444</v>
      </c>
      <c r="S273" s="82" t="s">
        <v>1844</v>
      </c>
      <c r="T273" s="82" t="s">
        <v>1845</v>
      </c>
      <c r="U273" s="82" t="s">
        <v>1890</v>
      </c>
      <c r="V273" s="229" t="s">
        <v>1891</v>
      </c>
      <c r="W273" s="73"/>
      <c r="X273" s="83" t="s">
        <v>763</v>
      </c>
      <c r="Y273" s="82" t="s">
        <v>1892</v>
      </c>
      <c r="Z273" s="81" t="s">
        <v>1893</v>
      </c>
      <c r="AA273" s="127" t="s">
        <v>764</v>
      </c>
    </row>
    <row r="274" spans="2:27" ht="91.5">
      <c r="B274" s="73" t="s">
        <v>657</v>
      </c>
      <c r="C274" s="73" t="s">
        <v>766</v>
      </c>
      <c r="D274" s="73" t="s">
        <v>658</v>
      </c>
      <c r="E274" s="191">
        <v>2</v>
      </c>
      <c r="F274" s="190" t="s">
        <v>1869</v>
      </c>
      <c r="G274" s="190" t="s">
        <v>1870</v>
      </c>
      <c r="H274" s="73" t="s">
        <v>1121</v>
      </c>
      <c r="I274" s="74">
        <v>21</v>
      </c>
      <c r="J274" s="73" t="s">
        <v>732</v>
      </c>
      <c r="K274" s="74">
        <v>4</v>
      </c>
      <c r="L274" s="74"/>
      <c r="M274" s="82" t="s">
        <v>1871</v>
      </c>
      <c r="N274" s="73" t="s">
        <v>1872</v>
      </c>
      <c r="O274" s="74"/>
      <c r="P274" s="75"/>
      <c r="Q274" s="189"/>
      <c r="R274" s="189"/>
      <c r="S274" s="82" t="s">
        <v>864</v>
      </c>
      <c r="T274" s="82" t="s">
        <v>865</v>
      </c>
      <c r="U274" s="82" t="s">
        <v>1877</v>
      </c>
      <c r="V274" s="229" t="s">
        <v>1894</v>
      </c>
      <c r="W274" s="73"/>
      <c r="X274" s="81" t="s">
        <v>773</v>
      </c>
      <c r="Y274" s="82" t="s">
        <v>868</v>
      </c>
      <c r="Z274" s="190" t="s">
        <v>1879</v>
      </c>
      <c r="AA274" s="127" t="s">
        <v>753</v>
      </c>
    </row>
    <row r="275" spans="2:27" ht="60.75">
      <c r="B275" s="153" t="s">
        <v>660</v>
      </c>
      <c r="C275" s="154" t="s">
        <v>775</v>
      </c>
      <c r="D275" s="154" t="s">
        <v>661</v>
      </c>
      <c r="E275" s="191">
        <v>2</v>
      </c>
      <c r="F275" s="190" t="s">
        <v>1895</v>
      </c>
      <c r="G275" s="190" t="s">
        <v>1896</v>
      </c>
      <c r="H275" s="73" t="s">
        <v>1897</v>
      </c>
      <c r="I275" s="74">
        <v>20</v>
      </c>
      <c r="J275" s="73" t="s">
        <v>732</v>
      </c>
      <c r="K275" s="74">
        <v>4</v>
      </c>
      <c r="L275" s="74"/>
      <c r="M275" s="81" t="s">
        <v>1898</v>
      </c>
      <c r="N275" s="73" t="s">
        <v>1899</v>
      </c>
      <c r="O275" s="74"/>
      <c r="P275" s="75"/>
      <c r="Q275" s="73" t="s">
        <v>1398</v>
      </c>
      <c r="R275" s="189" t="s">
        <v>1900</v>
      </c>
      <c r="S275" s="82" t="s">
        <v>870</v>
      </c>
      <c r="T275" s="82" t="s">
        <v>871</v>
      </c>
      <c r="U275" s="82" t="s">
        <v>1901</v>
      </c>
      <c r="V275" s="229" t="s">
        <v>1902</v>
      </c>
      <c r="W275" s="73"/>
      <c r="X275" s="83" t="s">
        <v>780</v>
      </c>
      <c r="Y275" s="157" t="s">
        <v>965</v>
      </c>
      <c r="Z275" s="190" t="s">
        <v>1903</v>
      </c>
      <c r="AA275" s="127" t="s">
        <v>781</v>
      </c>
    </row>
    <row r="276" spans="2:27" ht="183">
      <c r="B276" s="251" t="s">
        <v>663</v>
      </c>
      <c r="C276" s="251" t="s">
        <v>783</v>
      </c>
      <c r="D276" s="251" t="s">
        <v>664</v>
      </c>
      <c r="E276" s="271">
        <v>2</v>
      </c>
      <c r="F276" s="253" t="s">
        <v>1498</v>
      </c>
      <c r="G276" s="253" t="s">
        <v>1499</v>
      </c>
      <c r="H276" s="253" t="s">
        <v>1500</v>
      </c>
      <c r="I276" s="252">
        <v>20</v>
      </c>
      <c r="J276" s="253" t="s">
        <v>732</v>
      </c>
      <c r="K276" s="252">
        <v>2</v>
      </c>
      <c r="L276" s="252"/>
      <c r="M276" s="82" t="s">
        <v>1501</v>
      </c>
      <c r="N276" s="82" t="s">
        <v>1502</v>
      </c>
      <c r="O276" s="252"/>
      <c r="P276" s="169" t="s">
        <v>1503</v>
      </c>
      <c r="Q276" s="138"/>
      <c r="R276" s="253"/>
      <c r="S276" s="169" t="s">
        <v>876</v>
      </c>
      <c r="T276" s="169" t="s">
        <v>877</v>
      </c>
      <c r="U276" s="169" t="s">
        <v>1904</v>
      </c>
      <c r="V276" s="249" t="s">
        <v>1905</v>
      </c>
      <c r="W276" s="252"/>
      <c r="X276" s="251" t="s">
        <v>789</v>
      </c>
      <c r="Y276" s="138" t="s">
        <v>743</v>
      </c>
      <c r="Z276" s="138" t="s">
        <v>743</v>
      </c>
      <c r="AA276" s="257" t="s">
        <v>1906</v>
      </c>
    </row>
    <row r="277" spans="2:27" ht="45.75">
      <c r="B277" s="81" t="s">
        <v>666</v>
      </c>
      <c r="C277" s="81" t="s">
        <v>792</v>
      </c>
      <c r="D277" s="81" t="s">
        <v>667</v>
      </c>
      <c r="E277" s="191">
        <v>2</v>
      </c>
      <c r="F277" s="190" t="s">
        <v>1119</v>
      </c>
      <c r="G277" s="190" t="s">
        <v>1120</v>
      </c>
      <c r="H277" s="73" t="s">
        <v>1121</v>
      </c>
      <c r="I277" s="74">
        <v>20</v>
      </c>
      <c r="J277" s="73" t="s">
        <v>732</v>
      </c>
      <c r="K277" s="74"/>
      <c r="L277" s="74"/>
      <c r="M277" s="82" t="s">
        <v>1122</v>
      </c>
      <c r="N277" s="82" t="s">
        <v>1123</v>
      </c>
      <c r="O277" s="74"/>
      <c r="P277" s="75"/>
      <c r="Q277" s="189"/>
      <c r="R277" s="189"/>
      <c r="S277" s="82" t="s">
        <v>883</v>
      </c>
      <c r="T277" s="82" t="s">
        <v>884</v>
      </c>
      <c r="U277" s="82" t="s">
        <v>1907</v>
      </c>
      <c r="V277" s="229" t="s">
        <v>1908</v>
      </c>
      <c r="W277" s="73"/>
      <c r="X277" s="81" t="s">
        <v>797</v>
      </c>
      <c r="Y277" s="82" t="s">
        <v>887</v>
      </c>
      <c r="Z277" s="190" t="s">
        <v>1909</v>
      </c>
      <c r="AA277" s="127" t="s">
        <v>781</v>
      </c>
    </row>
    <row r="278" spans="2:27" ht="45.75">
      <c r="B278" s="190" t="s">
        <v>669</v>
      </c>
      <c r="C278" s="190" t="s">
        <v>798</v>
      </c>
      <c r="D278" s="190" t="s">
        <v>670</v>
      </c>
      <c r="E278" s="191">
        <v>2</v>
      </c>
      <c r="F278" s="190" t="s">
        <v>1869</v>
      </c>
      <c r="G278" s="190" t="s">
        <v>1870</v>
      </c>
      <c r="H278" s="73" t="s">
        <v>1121</v>
      </c>
      <c r="I278" s="74">
        <v>20</v>
      </c>
      <c r="J278" s="73" t="s">
        <v>732</v>
      </c>
      <c r="K278" s="74">
        <v>4</v>
      </c>
      <c r="L278" s="74"/>
      <c r="M278" s="82" t="s">
        <v>1871</v>
      </c>
      <c r="N278" s="73" t="s">
        <v>1872</v>
      </c>
      <c r="O278" s="74"/>
      <c r="P278" s="75"/>
      <c r="Q278" s="189"/>
      <c r="R278" s="189"/>
      <c r="S278" s="82" t="s">
        <v>793</v>
      </c>
      <c r="T278" s="82" t="s">
        <v>889</v>
      </c>
      <c r="U278" s="82" t="s">
        <v>1910</v>
      </c>
      <c r="V278" s="229" t="s">
        <v>1911</v>
      </c>
      <c r="W278" s="73"/>
      <c r="X278" s="81" t="s">
        <v>797</v>
      </c>
      <c r="Y278" s="82" t="s">
        <v>887</v>
      </c>
      <c r="Z278" s="190" t="s">
        <v>518</v>
      </c>
      <c r="AA278" s="127" t="s">
        <v>781</v>
      </c>
    </row>
    <row r="279" spans="2:27" ht="91.5">
      <c r="B279" s="81" t="s">
        <v>675</v>
      </c>
      <c r="C279" s="81" t="s">
        <v>812</v>
      </c>
      <c r="D279" s="81" t="s">
        <v>676</v>
      </c>
      <c r="E279" s="191">
        <v>2</v>
      </c>
      <c r="F279" s="190" t="s">
        <v>1119</v>
      </c>
      <c r="G279" s="190" t="s">
        <v>1120</v>
      </c>
      <c r="H279" s="73" t="s">
        <v>1121</v>
      </c>
      <c r="I279" s="74">
        <v>20</v>
      </c>
      <c r="J279" s="73" t="s">
        <v>732</v>
      </c>
      <c r="K279" s="74"/>
      <c r="L279" s="74"/>
      <c r="M279" s="82" t="s">
        <v>1122</v>
      </c>
      <c r="N279" s="82" t="s">
        <v>1123</v>
      </c>
      <c r="O279" s="74"/>
      <c r="P279" s="75"/>
      <c r="Q279" s="189"/>
      <c r="R279" s="189"/>
      <c r="S279" s="82" t="s">
        <v>864</v>
      </c>
      <c r="T279" s="82" t="s">
        <v>865</v>
      </c>
      <c r="U279" s="82" t="s">
        <v>1124</v>
      </c>
      <c r="V279" s="229" t="s">
        <v>1912</v>
      </c>
      <c r="W279" s="73"/>
      <c r="X279" s="81" t="s">
        <v>773</v>
      </c>
      <c r="Y279" s="82" t="s">
        <v>1126</v>
      </c>
      <c r="Z279" s="190" t="s">
        <v>1127</v>
      </c>
      <c r="AA279" s="127" t="s">
        <v>1128</v>
      </c>
    </row>
    <row r="280" spans="2:27" ht="259.5">
      <c r="B280" s="81" t="s">
        <v>678</v>
      </c>
      <c r="C280" s="81" t="s">
        <v>814</v>
      </c>
      <c r="D280" s="81" t="s">
        <v>679</v>
      </c>
      <c r="E280" s="127">
        <v>2</v>
      </c>
      <c r="F280" s="75" t="s">
        <v>1498</v>
      </c>
      <c r="G280" s="75" t="s">
        <v>1499</v>
      </c>
      <c r="H280" s="75" t="s">
        <v>1500</v>
      </c>
      <c r="I280" s="74">
        <v>20</v>
      </c>
      <c r="J280" s="75" t="s">
        <v>732</v>
      </c>
      <c r="K280" s="74">
        <v>2</v>
      </c>
      <c r="L280" s="74"/>
      <c r="M280" s="82" t="s">
        <v>1501</v>
      </c>
      <c r="N280" s="82" t="s">
        <v>1502</v>
      </c>
      <c r="O280" s="74"/>
      <c r="P280" s="82" t="s">
        <v>1913</v>
      </c>
      <c r="Q280" s="83"/>
      <c r="R280" s="75"/>
      <c r="S280" s="81" t="s">
        <v>1589</v>
      </c>
      <c r="T280" s="81" t="s">
        <v>1162</v>
      </c>
      <c r="U280" s="83" t="s">
        <v>1904</v>
      </c>
      <c r="V280" s="250" t="s">
        <v>1914</v>
      </c>
      <c r="W280" s="74"/>
      <c r="X280" s="81" t="s">
        <v>821</v>
      </c>
      <c r="Y280" s="81" t="s">
        <v>743</v>
      </c>
      <c r="Z280" s="81" t="s">
        <v>743</v>
      </c>
      <c r="AA280" s="197" t="s">
        <v>1684</v>
      </c>
    </row>
    <row r="281" spans="2:27" ht="91.5">
      <c r="B281" s="82" t="s">
        <v>681</v>
      </c>
      <c r="C281" s="82" t="s">
        <v>822</v>
      </c>
      <c r="D281" s="82" t="s">
        <v>682</v>
      </c>
      <c r="E281" s="191">
        <v>2</v>
      </c>
      <c r="F281" s="190" t="s">
        <v>1119</v>
      </c>
      <c r="G281" s="190" t="s">
        <v>1120</v>
      </c>
      <c r="H281" s="73" t="s">
        <v>1121</v>
      </c>
      <c r="I281" s="74">
        <v>20</v>
      </c>
      <c r="J281" s="73" t="s">
        <v>732</v>
      </c>
      <c r="K281" s="74"/>
      <c r="L281" s="74"/>
      <c r="M281" s="82" t="s">
        <v>1122</v>
      </c>
      <c r="N281" s="82" t="s">
        <v>1123</v>
      </c>
      <c r="O281" s="74"/>
      <c r="P281" s="75"/>
      <c r="Q281" s="189"/>
      <c r="R281" s="189"/>
      <c r="S281" s="82" t="s">
        <v>864</v>
      </c>
      <c r="T281" s="82" t="s">
        <v>865</v>
      </c>
      <c r="U281" s="82" t="s">
        <v>1124</v>
      </c>
      <c r="V281" s="229" t="s">
        <v>1915</v>
      </c>
      <c r="W281" s="73"/>
      <c r="X281" s="81" t="s">
        <v>773</v>
      </c>
      <c r="Y281" s="82" t="s">
        <v>1126</v>
      </c>
      <c r="Z281" s="190" t="s">
        <v>1127</v>
      </c>
      <c r="AA281" s="127" t="s">
        <v>1128</v>
      </c>
    </row>
    <row r="282" spans="2:27" ht="45.75">
      <c r="B282" s="81" t="s">
        <v>684</v>
      </c>
      <c r="C282" s="81" t="s">
        <v>824</v>
      </c>
      <c r="D282" s="81" t="s">
        <v>685</v>
      </c>
      <c r="E282" s="191">
        <v>2</v>
      </c>
      <c r="F282" s="190" t="s">
        <v>1895</v>
      </c>
      <c r="G282" s="190" t="s">
        <v>1896</v>
      </c>
      <c r="H282" s="73" t="s">
        <v>1897</v>
      </c>
      <c r="I282" s="74">
        <v>20</v>
      </c>
      <c r="J282" s="73" t="s">
        <v>732</v>
      </c>
      <c r="K282" s="74">
        <v>4</v>
      </c>
      <c r="L282" s="74"/>
      <c r="M282" s="81" t="s">
        <v>1898</v>
      </c>
      <c r="N282" s="73" t="s">
        <v>1899</v>
      </c>
      <c r="O282" s="74"/>
      <c r="P282" s="75"/>
      <c r="Q282" s="189"/>
      <c r="R282" s="189"/>
      <c r="S282" s="82" t="s">
        <v>870</v>
      </c>
      <c r="T282" s="82" t="s">
        <v>871</v>
      </c>
      <c r="U282" s="82" t="s">
        <v>1901</v>
      </c>
      <c r="V282" s="229" t="s">
        <v>1916</v>
      </c>
      <c r="W282" s="73"/>
      <c r="X282" s="83" t="s">
        <v>780</v>
      </c>
      <c r="Y282" s="157" t="s">
        <v>965</v>
      </c>
      <c r="Z282" s="190" t="s">
        <v>1903</v>
      </c>
      <c r="AA282" s="127" t="s">
        <v>781</v>
      </c>
    </row>
    <row r="283" spans="2:27" ht="244.5">
      <c r="B283" s="81" t="s">
        <v>654</v>
      </c>
      <c r="C283" s="155" t="s">
        <v>755</v>
      </c>
      <c r="D283" s="81" t="s">
        <v>655</v>
      </c>
      <c r="E283" s="127">
        <v>2</v>
      </c>
      <c r="F283" s="154" t="s">
        <v>1853</v>
      </c>
      <c r="G283" s="154" t="s">
        <v>1854</v>
      </c>
      <c r="H283" s="73" t="s">
        <v>1855</v>
      </c>
      <c r="I283" s="74">
        <v>21</v>
      </c>
      <c r="J283" s="73" t="s">
        <v>732</v>
      </c>
      <c r="K283" s="74">
        <v>4</v>
      </c>
      <c r="L283" s="74"/>
      <c r="M283" s="81" t="s">
        <v>1856</v>
      </c>
      <c r="N283" s="73" t="s">
        <v>1857</v>
      </c>
      <c r="O283" s="74"/>
      <c r="P283" s="83" t="s">
        <v>1917</v>
      </c>
      <c r="Q283" s="73" t="s">
        <v>1398</v>
      </c>
      <c r="R283" s="73" t="s">
        <v>1859</v>
      </c>
      <c r="S283" s="82" t="s">
        <v>858</v>
      </c>
      <c r="T283" s="82" t="s">
        <v>859</v>
      </c>
      <c r="U283" s="82" t="s">
        <v>1918</v>
      </c>
      <c r="V283" s="229" t="s">
        <v>1919</v>
      </c>
      <c r="W283" s="73"/>
      <c r="X283" s="83" t="s">
        <v>763</v>
      </c>
      <c r="Y283" s="82" t="s">
        <v>1388</v>
      </c>
      <c r="Z283" s="82" t="s">
        <v>1920</v>
      </c>
      <c r="AA283" s="127" t="s">
        <v>1921</v>
      </c>
    </row>
    <row r="284" spans="2:27" ht="91.5">
      <c r="B284" s="73" t="s">
        <v>657</v>
      </c>
      <c r="C284" s="73" t="s">
        <v>766</v>
      </c>
      <c r="D284" s="73" t="s">
        <v>658</v>
      </c>
      <c r="E284" s="74">
        <v>2</v>
      </c>
      <c r="F284" s="75" t="s">
        <v>1498</v>
      </c>
      <c r="G284" s="75" t="s">
        <v>1499</v>
      </c>
      <c r="H284" s="75" t="s">
        <v>1500</v>
      </c>
      <c r="I284" s="74">
        <v>22</v>
      </c>
      <c r="J284" s="75" t="s">
        <v>732</v>
      </c>
      <c r="K284" s="74">
        <v>2</v>
      </c>
      <c r="L284" s="74"/>
      <c r="M284" s="82" t="s">
        <v>1501</v>
      </c>
      <c r="N284" s="82" t="s">
        <v>1502</v>
      </c>
      <c r="O284" s="74"/>
      <c r="P284" s="82" t="s">
        <v>1503</v>
      </c>
      <c r="Q284" s="83"/>
      <c r="R284" s="75"/>
      <c r="S284" s="82" t="s">
        <v>864</v>
      </c>
      <c r="T284" s="82" t="s">
        <v>865</v>
      </c>
      <c r="U284" s="83" t="s">
        <v>764</v>
      </c>
      <c r="V284" s="171" t="s">
        <v>1922</v>
      </c>
      <c r="W284" s="74"/>
      <c r="X284" s="81" t="s">
        <v>773</v>
      </c>
      <c r="Y284" s="82" t="s">
        <v>753</v>
      </c>
      <c r="Z284" s="82" t="s">
        <v>753</v>
      </c>
      <c r="AA284" s="197" t="s">
        <v>1923</v>
      </c>
    </row>
    <row r="285" spans="2:27" ht="60.75">
      <c r="B285" s="153" t="s">
        <v>660</v>
      </c>
      <c r="C285" s="154" t="s">
        <v>775</v>
      </c>
      <c r="D285" s="154" t="s">
        <v>661</v>
      </c>
      <c r="E285" s="127">
        <v>2</v>
      </c>
      <c r="F285" s="154" t="s">
        <v>1924</v>
      </c>
      <c r="G285" s="154" t="s">
        <v>1925</v>
      </c>
      <c r="H285" s="73" t="s">
        <v>1926</v>
      </c>
      <c r="I285" s="74">
        <v>21</v>
      </c>
      <c r="J285" s="73" t="s">
        <v>732</v>
      </c>
      <c r="K285" s="74"/>
      <c r="L285" s="74"/>
      <c r="M285" s="81" t="s">
        <v>1927</v>
      </c>
      <c r="N285" s="82" t="s">
        <v>1928</v>
      </c>
      <c r="O285" s="74"/>
      <c r="P285" s="75"/>
      <c r="Q285" s="82" t="s">
        <v>943</v>
      </c>
      <c r="R285" s="82" t="s">
        <v>1929</v>
      </c>
      <c r="S285" s="82" t="s">
        <v>870</v>
      </c>
      <c r="T285" s="82" t="s">
        <v>871</v>
      </c>
      <c r="U285" s="82" t="s">
        <v>1930</v>
      </c>
      <c r="V285" s="229" t="s">
        <v>1931</v>
      </c>
      <c r="W285" s="73"/>
      <c r="X285" s="83" t="s">
        <v>780</v>
      </c>
      <c r="Y285" s="157" t="s">
        <v>965</v>
      </c>
      <c r="Z285" s="82" t="s">
        <v>1932</v>
      </c>
      <c r="AA285" s="127" t="s">
        <v>781</v>
      </c>
    </row>
    <row r="286" spans="2:27" ht="183">
      <c r="B286" s="81" t="s">
        <v>663</v>
      </c>
      <c r="C286" s="81" t="s">
        <v>783</v>
      </c>
      <c r="D286" s="81" t="s">
        <v>664</v>
      </c>
      <c r="E286" s="127">
        <v>2</v>
      </c>
      <c r="F286" s="81" t="s">
        <v>1560</v>
      </c>
      <c r="G286" s="81" t="s">
        <v>1561</v>
      </c>
      <c r="H286" s="73" t="s">
        <v>1562</v>
      </c>
      <c r="I286" s="74">
        <v>21</v>
      </c>
      <c r="J286" s="73" t="s">
        <v>732</v>
      </c>
      <c r="K286" s="74">
        <v>10</v>
      </c>
      <c r="L286" s="74"/>
      <c r="M286" s="82" t="s">
        <v>1563</v>
      </c>
      <c r="N286" s="73" t="s">
        <v>1564</v>
      </c>
      <c r="O286" s="74" t="s">
        <v>735</v>
      </c>
      <c r="P286" s="75"/>
      <c r="Q286" s="81"/>
      <c r="R286" s="81"/>
      <c r="S286" s="82" t="s">
        <v>876</v>
      </c>
      <c r="T286" s="82" t="s">
        <v>877</v>
      </c>
      <c r="U286" s="82" t="s">
        <v>1933</v>
      </c>
      <c r="V286" s="229" t="s">
        <v>1934</v>
      </c>
      <c r="W286" s="73"/>
      <c r="X286" s="83" t="s">
        <v>743</v>
      </c>
      <c r="Y286" s="83" t="s">
        <v>743</v>
      </c>
      <c r="Z286" s="83" t="s">
        <v>743</v>
      </c>
      <c r="AA286" s="127" t="s">
        <v>743</v>
      </c>
    </row>
    <row r="287" spans="2:27" ht="30.75">
      <c r="B287" s="81" t="s">
        <v>666</v>
      </c>
      <c r="C287" s="81" t="s">
        <v>792</v>
      </c>
      <c r="D287" s="81" t="s">
        <v>667</v>
      </c>
      <c r="E287" s="74">
        <v>2</v>
      </c>
      <c r="F287" s="75" t="s">
        <v>1498</v>
      </c>
      <c r="G287" s="75" t="s">
        <v>1499</v>
      </c>
      <c r="H287" s="75" t="s">
        <v>1500</v>
      </c>
      <c r="I287" s="74">
        <v>21</v>
      </c>
      <c r="J287" s="75" t="s">
        <v>732</v>
      </c>
      <c r="K287" s="74">
        <v>2</v>
      </c>
      <c r="L287" s="74"/>
      <c r="M287" s="82" t="s">
        <v>1501</v>
      </c>
      <c r="N287" s="82" t="s">
        <v>1502</v>
      </c>
      <c r="O287" s="74"/>
      <c r="P287" s="82" t="s">
        <v>1682</v>
      </c>
      <c r="Q287" s="83"/>
      <c r="R287" s="75"/>
      <c r="S287" s="82" t="s">
        <v>883</v>
      </c>
      <c r="T287" s="82" t="s">
        <v>884</v>
      </c>
      <c r="U287" s="126" t="s">
        <v>753</v>
      </c>
      <c r="V287" s="171" t="s">
        <v>1935</v>
      </c>
      <c r="W287" s="74"/>
      <c r="X287" s="81" t="s">
        <v>797</v>
      </c>
      <c r="Y287" s="82" t="s">
        <v>781</v>
      </c>
      <c r="Z287" s="82" t="s">
        <v>781</v>
      </c>
      <c r="AA287" s="197" t="s">
        <v>1936</v>
      </c>
    </row>
    <row r="288" spans="2:27" ht="45.75">
      <c r="B288" s="190" t="s">
        <v>669</v>
      </c>
      <c r="C288" s="190" t="s">
        <v>798</v>
      </c>
      <c r="D288" s="190" t="s">
        <v>670</v>
      </c>
      <c r="E288" s="191">
        <v>2</v>
      </c>
      <c r="F288" s="190" t="s">
        <v>1119</v>
      </c>
      <c r="G288" s="190" t="s">
        <v>1120</v>
      </c>
      <c r="H288" s="73" t="s">
        <v>1121</v>
      </c>
      <c r="I288" s="74">
        <v>21</v>
      </c>
      <c r="J288" s="73" t="s">
        <v>732</v>
      </c>
      <c r="K288" s="74"/>
      <c r="L288" s="74"/>
      <c r="M288" s="82" t="s">
        <v>1122</v>
      </c>
      <c r="N288" s="82" t="s">
        <v>1123</v>
      </c>
      <c r="O288" s="74" t="s">
        <v>735</v>
      </c>
      <c r="P288" s="75"/>
      <c r="Q288" s="189"/>
      <c r="R288" s="189"/>
      <c r="S288" s="82" t="s">
        <v>793</v>
      </c>
      <c r="T288" s="82" t="s">
        <v>889</v>
      </c>
      <c r="U288" s="82" t="s">
        <v>1937</v>
      </c>
      <c r="V288" s="229" t="s">
        <v>1938</v>
      </c>
      <c r="W288" s="73"/>
      <c r="X288" s="81" t="s">
        <v>797</v>
      </c>
      <c r="Y288" s="82" t="s">
        <v>887</v>
      </c>
      <c r="Z288" s="190" t="s">
        <v>1909</v>
      </c>
      <c r="AA288" s="127" t="s">
        <v>781</v>
      </c>
    </row>
    <row r="289" spans="2:27" ht="91.5">
      <c r="B289" s="81" t="s">
        <v>675</v>
      </c>
      <c r="C289" s="81" t="s">
        <v>812</v>
      </c>
      <c r="D289" s="81" t="s">
        <v>676</v>
      </c>
      <c r="E289" s="127">
        <v>2</v>
      </c>
      <c r="F289" s="75" t="s">
        <v>1498</v>
      </c>
      <c r="G289" s="75" t="s">
        <v>1499</v>
      </c>
      <c r="H289" s="75" t="s">
        <v>1500</v>
      </c>
      <c r="I289" s="74">
        <v>21</v>
      </c>
      <c r="J289" s="75" t="s">
        <v>732</v>
      </c>
      <c r="K289" s="74">
        <v>2</v>
      </c>
      <c r="L289" s="74"/>
      <c r="M289" s="82" t="s">
        <v>1501</v>
      </c>
      <c r="N289" s="82" t="s">
        <v>1502</v>
      </c>
      <c r="O289" s="74"/>
      <c r="P289" s="82" t="s">
        <v>1503</v>
      </c>
      <c r="Q289" s="83"/>
      <c r="R289" s="75"/>
      <c r="S289" s="82" t="s">
        <v>864</v>
      </c>
      <c r="T289" s="82" t="s">
        <v>865</v>
      </c>
      <c r="U289" s="83" t="s">
        <v>764</v>
      </c>
      <c r="V289" s="171" t="s">
        <v>1939</v>
      </c>
      <c r="W289" s="74"/>
      <c r="X289" s="81" t="s">
        <v>773</v>
      </c>
      <c r="Y289" s="82" t="s">
        <v>753</v>
      </c>
      <c r="Z289" s="82" t="s">
        <v>753</v>
      </c>
      <c r="AA289" s="197" t="s">
        <v>1923</v>
      </c>
    </row>
    <row r="290" spans="2:27" ht="259.5">
      <c r="B290" s="81" t="s">
        <v>678</v>
      </c>
      <c r="C290" s="81" t="s">
        <v>814</v>
      </c>
      <c r="D290" s="81" t="s">
        <v>679</v>
      </c>
      <c r="E290" s="127">
        <v>2</v>
      </c>
      <c r="F290" s="81" t="s">
        <v>1560</v>
      </c>
      <c r="G290" s="81" t="s">
        <v>1561</v>
      </c>
      <c r="H290" s="73" t="s">
        <v>1562</v>
      </c>
      <c r="I290" s="74">
        <v>21</v>
      </c>
      <c r="J290" s="73" t="s">
        <v>732</v>
      </c>
      <c r="K290" s="74">
        <v>10</v>
      </c>
      <c r="L290" s="74"/>
      <c r="M290" s="82" t="s">
        <v>1563</v>
      </c>
      <c r="N290" s="73" t="s">
        <v>1564</v>
      </c>
      <c r="O290" s="74" t="s">
        <v>735</v>
      </c>
      <c r="P290" s="75"/>
      <c r="Q290" s="81"/>
      <c r="R290" s="81"/>
      <c r="S290" s="81" t="s">
        <v>1589</v>
      </c>
      <c r="T290" s="81" t="s">
        <v>1162</v>
      </c>
      <c r="U290" s="83" t="s">
        <v>1940</v>
      </c>
      <c r="V290" s="250" t="s">
        <v>1941</v>
      </c>
      <c r="W290" s="81"/>
      <c r="X290" s="81" t="s">
        <v>743</v>
      </c>
      <c r="Y290" s="81" t="s">
        <v>743</v>
      </c>
      <c r="Z290" s="81" t="s">
        <v>743</v>
      </c>
      <c r="AA290" s="127" t="s">
        <v>743</v>
      </c>
    </row>
    <row r="291" spans="2:27" ht="91.5">
      <c r="B291" s="82" t="s">
        <v>681</v>
      </c>
      <c r="C291" s="82" t="s">
        <v>822</v>
      </c>
      <c r="D291" s="82" t="s">
        <v>682</v>
      </c>
      <c r="E291" s="74">
        <v>2</v>
      </c>
      <c r="F291" s="75" t="s">
        <v>1498</v>
      </c>
      <c r="G291" s="75" t="s">
        <v>1499</v>
      </c>
      <c r="H291" s="75" t="s">
        <v>1500</v>
      </c>
      <c r="I291" s="74">
        <v>21</v>
      </c>
      <c r="J291" s="75" t="s">
        <v>732</v>
      </c>
      <c r="K291" s="74">
        <v>2</v>
      </c>
      <c r="L291" s="74"/>
      <c r="M291" s="82" t="s">
        <v>1501</v>
      </c>
      <c r="N291" s="82" t="s">
        <v>1502</v>
      </c>
      <c r="O291" s="74"/>
      <c r="P291" s="82" t="s">
        <v>1503</v>
      </c>
      <c r="Q291" s="83"/>
      <c r="R291" s="75"/>
      <c r="S291" s="82" t="s">
        <v>864</v>
      </c>
      <c r="T291" s="82" t="s">
        <v>865</v>
      </c>
      <c r="U291" s="83" t="s">
        <v>764</v>
      </c>
      <c r="V291" s="171" t="s">
        <v>1942</v>
      </c>
      <c r="W291" s="74"/>
      <c r="X291" s="81" t="s">
        <v>773</v>
      </c>
      <c r="Y291" s="82" t="s">
        <v>753</v>
      </c>
      <c r="Z291" s="82" t="s">
        <v>753</v>
      </c>
      <c r="AA291" s="197" t="s">
        <v>1923</v>
      </c>
    </row>
    <row r="292" spans="2:27" ht="45.75">
      <c r="B292" s="81" t="s">
        <v>684</v>
      </c>
      <c r="C292" s="81" t="s">
        <v>824</v>
      </c>
      <c r="D292" s="81" t="s">
        <v>685</v>
      </c>
      <c r="E292" s="127">
        <v>2</v>
      </c>
      <c r="F292" s="154" t="s">
        <v>1924</v>
      </c>
      <c r="G292" s="154" t="s">
        <v>1925</v>
      </c>
      <c r="H292" s="73" t="s">
        <v>1926</v>
      </c>
      <c r="I292" s="74">
        <v>21</v>
      </c>
      <c r="J292" s="73" t="s">
        <v>732</v>
      </c>
      <c r="K292" s="74"/>
      <c r="L292" s="74"/>
      <c r="M292" s="81" t="s">
        <v>1927</v>
      </c>
      <c r="N292" s="82" t="s">
        <v>1928</v>
      </c>
      <c r="O292" s="74"/>
      <c r="P292" s="75"/>
      <c r="Q292" s="82" t="s">
        <v>943</v>
      </c>
      <c r="R292" s="82" t="s">
        <v>1929</v>
      </c>
      <c r="S292" s="82" t="s">
        <v>870</v>
      </c>
      <c r="T292" s="82" t="s">
        <v>871</v>
      </c>
      <c r="U292" s="82" t="s">
        <v>1930</v>
      </c>
      <c r="V292" s="229" t="s">
        <v>1943</v>
      </c>
      <c r="W292" s="73"/>
      <c r="X292" s="83" t="s">
        <v>780</v>
      </c>
      <c r="Y292" s="157" t="s">
        <v>965</v>
      </c>
      <c r="Z292" s="82" t="s">
        <v>1932</v>
      </c>
      <c r="AA292" s="127" t="s">
        <v>781</v>
      </c>
    </row>
    <row r="293" spans="2:27" ht="229.5">
      <c r="B293" s="81" t="s">
        <v>654</v>
      </c>
      <c r="C293" s="155" t="s">
        <v>755</v>
      </c>
      <c r="D293" s="81" t="s">
        <v>655</v>
      </c>
      <c r="E293" s="127">
        <v>2</v>
      </c>
      <c r="F293" s="190" t="s">
        <v>1895</v>
      </c>
      <c r="G293" s="190" t="s">
        <v>1896</v>
      </c>
      <c r="H293" s="73" t="s">
        <v>1897</v>
      </c>
      <c r="I293" s="74">
        <v>22</v>
      </c>
      <c r="J293" s="73" t="s">
        <v>732</v>
      </c>
      <c r="K293" s="74">
        <v>4</v>
      </c>
      <c r="L293" s="74"/>
      <c r="M293" s="81" t="s">
        <v>1898</v>
      </c>
      <c r="N293" s="73" t="s">
        <v>1899</v>
      </c>
      <c r="O293" s="74"/>
      <c r="P293" s="83" t="s">
        <v>1944</v>
      </c>
      <c r="Q293" s="73" t="s">
        <v>1398</v>
      </c>
      <c r="R293" s="189" t="s">
        <v>1900</v>
      </c>
      <c r="S293" s="82" t="s">
        <v>858</v>
      </c>
      <c r="T293" s="82" t="s">
        <v>859</v>
      </c>
      <c r="U293" s="82" t="s">
        <v>1945</v>
      </c>
      <c r="V293" s="229" t="s">
        <v>1946</v>
      </c>
      <c r="W293" s="73"/>
      <c r="X293" s="83" t="s">
        <v>763</v>
      </c>
      <c r="Y293" s="82" t="s">
        <v>1388</v>
      </c>
      <c r="Z293" s="190" t="s">
        <v>1947</v>
      </c>
      <c r="AA293" s="127" t="s">
        <v>1921</v>
      </c>
    </row>
    <row r="294" spans="2:27" ht="91.5">
      <c r="B294" s="73" t="s">
        <v>657</v>
      </c>
      <c r="C294" s="73" t="s">
        <v>766</v>
      </c>
      <c r="D294" s="73" t="s">
        <v>658</v>
      </c>
      <c r="E294" s="74">
        <v>2</v>
      </c>
      <c r="F294" s="81" t="s">
        <v>1560</v>
      </c>
      <c r="G294" s="73" t="s">
        <v>1561</v>
      </c>
      <c r="H294" s="73" t="s">
        <v>1562</v>
      </c>
      <c r="I294" s="74">
        <v>23</v>
      </c>
      <c r="J294" s="73" t="s">
        <v>732</v>
      </c>
      <c r="K294" s="74">
        <v>10</v>
      </c>
      <c r="L294" s="74"/>
      <c r="M294" s="82" t="s">
        <v>1563</v>
      </c>
      <c r="N294" s="73" t="s">
        <v>1564</v>
      </c>
      <c r="O294" s="74" t="s">
        <v>735</v>
      </c>
      <c r="P294" s="75"/>
      <c r="Q294" s="73"/>
      <c r="R294" s="73"/>
      <c r="S294" s="82" t="s">
        <v>864</v>
      </c>
      <c r="T294" s="82" t="s">
        <v>865</v>
      </c>
      <c r="U294" s="82" t="s">
        <v>1565</v>
      </c>
      <c r="V294" s="171" t="s">
        <v>1948</v>
      </c>
      <c r="W294" s="73"/>
      <c r="X294" s="82" t="s">
        <v>753</v>
      </c>
      <c r="Y294" s="82" t="s">
        <v>753</v>
      </c>
      <c r="Z294" s="82" t="s">
        <v>753</v>
      </c>
      <c r="AA294" s="127" t="s">
        <v>753</v>
      </c>
    </row>
    <row r="295" spans="2:27" ht="121.5">
      <c r="B295" s="153" t="s">
        <v>660</v>
      </c>
      <c r="C295" s="154" t="s">
        <v>775</v>
      </c>
      <c r="D295" s="154" t="s">
        <v>661</v>
      </c>
      <c r="E295" s="127">
        <v>2</v>
      </c>
      <c r="F295" s="81" t="s">
        <v>1949</v>
      </c>
      <c r="G295" s="81" t="s">
        <v>1950</v>
      </c>
      <c r="H295" s="73" t="s">
        <v>1855</v>
      </c>
      <c r="I295" s="74">
        <v>22</v>
      </c>
      <c r="J295" s="73" t="s">
        <v>732</v>
      </c>
      <c r="K295" s="74">
        <v>10</v>
      </c>
      <c r="L295" s="74"/>
      <c r="M295" s="81" t="s">
        <v>1951</v>
      </c>
      <c r="N295" s="82" t="s">
        <v>1952</v>
      </c>
      <c r="O295" s="74"/>
      <c r="P295" s="83" t="s">
        <v>1953</v>
      </c>
      <c r="Q295" s="126" t="s">
        <v>1398</v>
      </c>
      <c r="R295" s="129" t="s">
        <v>1949</v>
      </c>
      <c r="S295" s="82" t="s">
        <v>870</v>
      </c>
      <c r="T295" s="82" t="s">
        <v>871</v>
      </c>
      <c r="U295" s="82" t="s">
        <v>1954</v>
      </c>
      <c r="V295" s="229" t="s">
        <v>1955</v>
      </c>
      <c r="W295" s="73"/>
      <c r="X295" s="83" t="s">
        <v>780</v>
      </c>
      <c r="Y295" s="157" t="s">
        <v>1956</v>
      </c>
      <c r="Z295" s="81" t="s">
        <v>1957</v>
      </c>
      <c r="AA295" s="127" t="s">
        <v>1958</v>
      </c>
    </row>
    <row r="296" spans="2:27" ht="183">
      <c r="B296" s="81" t="s">
        <v>663</v>
      </c>
      <c r="C296" s="81" t="s">
        <v>783</v>
      </c>
      <c r="D296" s="81" t="s">
        <v>664</v>
      </c>
      <c r="E296" s="127">
        <v>2</v>
      </c>
      <c r="F296" s="81" t="s">
        <v>1613</v>
      </c>
      <c r="G296" s="81" t="s">
        <v>1614</v>
      </c>
      <c r="H296" s="73" t="s">
        <v>1615</v>
      </c>
      <c r="I296" s="74">
        <v>22</v>
      </c>
      <c r="J296" s="73" t="s">
        <v>1151</v>
      </c>
      <c r="K296" s="74">
        <v>23</v>
      </c>
      <c r="L296" s="74"/>
      <c r="M296" s="82" t="s">
        <v>1616</v>
      </c>
      <c r="N296" s="255" t="s">
        <v>1617</v>
      </c>
      <c r="O296" s="74"/>
      <c r="P296" s="75"/>
      <c r="Q296" s="81"/>
      <c r="R296" s="81"/>
      <c r="S296" s="82" t="s">
        <v>876</v>
      </c>
      <c r="T296" s="82" t="s">
        <v>877</v>
      </c>
      <c r="U296" s="82" t="s">
        <v>1904</v>
      </c>
      <c r="V296" s="229" t="s">
        <v>1959</v>
      </c>
      <c r="W296" s="73"/>
      <c r="X296" s="83" t="s">
        <v>743</v>
      </c>
      <c r="Y296" s="83" t="s">
        <v>743</v>
      </c>
      <c r="Z296" s="83" t="s">
        <v>743</v>
      </c>
      <c r="AA296" s="127" t="s">
        <v>743</v>
      </c>
    </row>
    <row r="297" spans="2:27" ht="30.75">
      <c r="B297" s="81" t="s">
        <v>666</v>
      </c>
      <c r="C297" s="81" t="s">
        <v>792</v>
      </c>
      <c r="D297" s="81" t="s">
        <v>667</v>
      </c>
      <c r="E297" s="74">
        <v>2</v>
      </c>
      <c r="F297" s="81" t="s">
        <v>1560</v>
      </c>
      <c r="G297" s="73" t="s">
        <v>1561</v>
      </c>
      <c r="H297" s="73" t="s">
        <v>1562</v>
      </c>
      <c r="I297" s="74">
        <v>22</v>
      </c>
      <c r="J297" s="73" t="s">
        <v>732</v>
      </c>
      <c r="K297" s="74">
        <v>10</v>
      </c>
      <c r="L297" s="74"/>
      <c r="M297" s="82" t="s">
        <v>1563</v>
      </c>
      <c r="N297" s="73" t="s">
        <v>1564</v>
      </c>
      <c r="O297" s="74" t="s">
        <v>735</v>
      </c>
      <c r="P297" s="75"/>
      <c r="Q297" s="73"/>
      <c r="R297" s="73"/>
      <c r="S297" s="82" t="s">
        <v>883</v>
      </c>
      <c r="T297" s="82" t="s">
        <v>884</v>
      </c>
      <c r="U297" s="82" t="s">
        <v>1960</v>
      </c>
      <c r="V297" s="229" t="s">
        <v>1961</v>
      </c>
      <c r="W297" s="73"/>
      <c r="X297" s="82" t="s">
        <v>781</v>
      </c>
      <c r="Y297" s="82" t="s">
        <v>781</v>
      </c>
      <c r="Z297" s="82" t="s">
        <v>781</v>
      </c>
      <c r="AA297" s="127" t="s">
        <v>781</v>
      </c>
    </row>
    <row r="298" spans="2:27" ht="45.75">
      <c r="B298" s="190" t="s">
        <v>669</v>
      </c>
      <c r="C298" s="190" t="s">
        <v>798</v>
      </c>
      <c r="D298" s="190" t="s">
        <v>670</v>
      </c>
      <c r="E298" s="74">
        <v>2</v>
      </c>
      <c r="F298" s="75" t="s">
        <v>1498</v>
      </c>
      <c r="G298" s="75" t="s">
        <v>1499</v>
      </c>
      <c r="H298" s="75" t="s">
        <v>1500</v>
      </c>
      <c r="I298" s="74">
        <v>22</v>
      </c>
      <c r="J298" s="75" t="s">
        <v>732</v>
      </c>
      <c r="K298" s="74">
        <v>2</v>
      </c>
      <c r="L298" s="74"/>
      <c r="M298" s="82" t="s">
        <v>1501</v>
      </c>
      <c r="N298" s="82" t="s">
        <v>1502</v>
      </c>
      <c r="O298" s="74"/>
      <c r="P298" s="82" t="s">
        <v>1682</v>
      </c>
      <c r="Q298" s="83"/>
      <c r="R298" s="75"/>
      <c r="S298" s="82" t="s">
        <v>793</v>
      </c>
      <c r="T298" s="82" t="s">
        <v>889</v>
      </c>
      <c r="U298" s="126" t="s">
        <v>743</v>
      </c>
      <c r="V298" s="171" t="s">
        <v>1962</v>
      </c>
      <c r="W298" s="74"/>
      <c r="X298" s="81" t="s">
        <v>797</v>
      </c>
      <c r="Y298" s="82" t="s">
        <v>781</v>
      </c>
      <c r="Z298" s="82" t="s">
        <v>781</v>
      </c>
      <c r="AA298" s="197" t="s">
        <v>1936</v>
      </c>
    </row>
    <row r="299" spans="2:27" ht="91.5">
      <c r="B299" s="81" t="s">
        <v>675</v>
      </c>
      <c r="C299" s="81" t="s">
        <v>812</v>
      </c>
      <c r="D299" s="81" t="s">
        <v>676</v>
      </c>
      <c r="E299" s="127">
        <v>2</v>
      </c>
      <c r="F299" s="81" t="s">
        <v>1560</v>
      </c>
      <c r="G299" s="73" t="s">
        <v>1561</v>
      </c>
      <c r="H299" s="73" t="s">
        <v>1562</v>
      </c>
      <c r="I299" s="74">
        <v>22</v>
      </c>
      <c r="J299" s="73" t="s">
        <v>732</v>
      </c>
      <c r="K299" s="74">
        <v>10</v>
      </c>
      <c r="L299" s="74"/>
      <c r="M299" s="82" t="s">
        <v>1563</v>
      </c>
      <c r="N299" s="73" t="s">
        <v>1564</v>
      </c>
      <c r="O299" s="74" t="s">
        <v>735</v>
      </c>
      <c r="P299" s="75"/>
      <c r="Q299" s="73"/>
      <c r="R299" s="73"/>
      <c r="S299" s="82" t="s">
        <v>864</v>
      </c>
      <c r="T299" s="82" t="s">
        <v>865</v>
      </c>
      <c r="U299" s="82" t="s">
        <v>1565</v>
      </c>
      <c r="V299" s="171" t="s">
        <v>1963</v>
      </c>
      <c r="W299" s="73"/>
      <c r="X299" s="82" t="s">
        <v>753</v>
      </c>
      <c r="Y299" s="82" t="s">
        <v>753</v>
      </c>
      <c r="Z299" s="82" t="s">
        <v>753</v>
      </c>
      <c r="AA299" s="127" t="s">
        <v>753</v>
      </c>
    </row>
    <row r="300" spans="2:27" ht="259.5">
      <c r="B300" s="81" t="s">
        <v>678</v>
      </c>
      <c r="C300" s="81" t="s">
        <v>814</v>
      </c>
      <c r="D300" s="81" t="s">
        <v>679</v>
      </c>
      <c r="E300" s="127">
        <v>2</v>
      </c>
      <c r="F300" s="81" t="s">
        <v>1613</v>
      </c>
      <c r="G300" s="81" t="s">
        <v>1614</v>
      </c>
      <c r="H300" s="73" t="s">
        <v>1615</v>
      </c>
      <c r="I300" s="74">
        <v>22</v>
      </c>
      <c r="J300" s="73" t="s">
        <v>1151</v>
      </c>
      <c r="K300" s="74">
        <v>23</v>
      </c>
      <c r="L300" s="74"/>
      <c r="M300" s="82" t="s">
        <v>1616</v>
      </c>
      <c r="N300" s="255" t="s">
        <v>1617</v>
      </c>
      <c r="O300" s="74"/>
      <c r="P300" s="75"/>
      <c r="Q300" s="81"/>
      <c r="R300" s="81"/>
      <c r="S300" s="81" t="s">
        <v>1589</v>
      </c>
      <c r="T300" s="81" t="s">
        <v>1162</v>
      </c>
      <c r="U300" s="83" t="s">
        <v>1904</v>
      </c>
      <c r="V300" s="250" t="s">
        <v>1964</v>
      </c>
      <c r="W300" s="81"/>
      <c r="X300" s="81" t="s">
        <v>743</v>
      </c>
      <c r="Y300" s="81" t="s">
        <v>743</v>
      </c>
      <c r="Z300" s="81" t="s">
        <v>743</v>
      </c>
      <c r="AA300" s="127" t="s">
        <v>743</v>
      </c>
    </row>
    <row r="301" spans="2:27" ht="91.5">
      <c r="B301" s="82" t="s">
        <v>681</v>
      </c>
      <c r="C301" s="82" t="s">
        <v>822</v>
      </c>
      <c r="D301" s="82" t="s">
        <v>682</v>
      </c>
      <c r="E301" s="74">
        <v>2</v>
      </c>
      <c r="F301" s="81" t="s">
        <v>1560</v>
      </c>
      <c r="G301" s="73" t="s">
        <v>1561</v>
      </c>
      <c r="H301" s="73" t="s">
        <v>1562</v>
      </c>
      <c r="I301" s="74">
        <v>22</v>
      </c>
      <c r="J301" s="73" t="s">
        <v>732</v>
      </c>
      <c r="K301" s="74">
        <v>10</v>
      </c>
      <c r="L301" s="74"/>
      <c r="M301" s="82" t="s">
        <v>1563</v>
      </c>
      <c r="N301" s="73" t="s">
        <v>1564</v>
      </c>
      <c r="O301" s="74" t="s">
        <v>735</v>
      </c>
      <c r="P301" s="75"/>
      <c r="Q301" s="73"/>
      <c r="R301" s="73"/>
      <c r="S301" s="82" t="s">
        <v>864</v>
      </c>
      <c r="T301" s="82" t="s">
        <v>865</v>
      </c>
      <c r="U301" s="82" t="s">
        <v>1565</v>
      </c>
      <c r="V301" s="256" t="s">
        <v>1965</v>
      </c>
      <c r="W301" s="73"/>
      <c r="X301" s="82" t="s">
        <v>753</v>
      </c>
      <c r="Y301" s="82" t="s">
        <v>753</v>
      </c>
      <c r="Z301" s="82" t="s">
        <v>753</v>
      </c>
      <c r="AA301" s="127" t="s">
        <v>753</v>
      </c>
    </row>
    <row r="302" spans="2:27" ht="106.5">
      <c r="B302" s="81" t="s">
        <v>684</v>
      </c>
      <c r="C302" s="81" t="s">
        <v>824</v>
      </c>
      <c r="D302" s="81" t="s">
        <v>685</v>
      </c>
      <c r="E302" s="127">
        <v>2</v>
      </c>
      <c r="F302" s="81" t="s">
        <v>1949</v>
      </c>
      <c r="G302" s="81" t="s">
        <v>1950</v>
      </c>
      <c r="H302" s="73" t="s">
        <v>1855</v>
      </c>
      <c r="I302" s="74">
        <v>22</v>
      </c>
      <c r="J302" s="73" t="s">
        <v>732</v>
      </c>
      <c r="K302" s="74">
        <v>10</v>
      </c>
      <c r="L302" s="74"/>
      <c r="M302" s="81" t="s">
        <v>1951</v>
      </c>
      <c r="N302" s="82" t="s">
        <v>1952</v>
      </c>
      <c r="O302" s="74"/>
      <c r="P302" s="83" t="s">
        <v>1953</v>
      </c>
      <c r="Q302" s="126" t="s">
        <v>1398</v>
      </c>
      <c r="R302" s="129" t="s">
        <v>1949</v>
      </c>
      <c r="S302" s="82" t="s">
        <v>870</v>
      </c>
      <c r="T302" s="82" t="s">
        <v>871</v>
      </c>
      <c r="U302" s="82" t="s">
        <v>1954</v>
      </c>
      <c r="V302" s="229" t="s">
        <v>1966</v>
      </c>
      <c r="W302" s="73"/>
      <c r="X302" s="83" t="s">
        <v>780</v>
      </c>
      <c r="Y302" s="157" t="s">
        <v>1956</v>
      </c>
      <c r="Z302" s="81" t="s">
        <v>1957</v>
      </c>
      <c r="AA302" s="127" t="s">
        <v>1958</v>
      </c>
    </row>
    <row r="303" spans="2:27" ht="244.5">
      <c r="B303" s="81" t="s">
        <v>654</v>
      </c>
      <c r="C303" s="155" t="s">
        <v>755</v>
      </c>
      <c r="D303" s="81" t="s">
        <v>655</v>
      </c>
      <c r="E303" s="127">
        <v>2</v>
      </c>
      <c r="F303" s="154" t="s">
        <v>1924</v>
      </c>
      <c r="G303" s="154" t="s">
        <v>1925</v>
      </c>
      <c r="H303" s="73" t="s">
        <v>1926</v>
      </c>
      <c r="I303" s="74">
        <v>23</v>
      </c>
      <c r="J303" s="73" t="s">
        <v>732</v>
      </c>
      <c r="K303" s="74"/>
      <c r="L303" s="74"/>
      <c r="M303" s="81" t="s">
        <v>1927</v>
      </c>
      <c r="N303" s="82" t="s">
        <v>1928</v>
      </c>
      <c r="O303" s="74"/>
      <c r="P303" s="75"/>
      <c r="Q303" s="82" t="s">
        <v>943</v>
      </c>
      <c r="R303" s="82" t="s">
        <v>1929</v>
      </c>
      <c r="S303" s="82" t="s">
        <v>858</v>
      </c>
      <c r="T303" s="82" t="s">
        <v>859</v>
      </c>
      <c r="U303" s="82" t="s">
        <v>1967</v>
      </c>
      <c r="V303" s="229" t="s">
        <v>1968</v>
      </c>
      <c r="W303" s="73"/>
      <c r="X303" s="83" t="s">
        <v>763</v>
      </c>
      <c r="Y303" s="82" t="s">
        <v>1969</v>
      </c>
      <c r="Z303" s="82" t="s">
        <v>1970</v>
      </c>
      <c r="AA303" s="127" t="s">
        <v>1971</v>
      </c>
    </row>
    <row r="304" spans="2:27" ht="91.5">
      <c r="B304" s="73" t="s">
        <v>657</v>
      </c>
      <c r="C304" s="73" t="s">
        <v>766</v>
      </c>
      <c r="D304" s="73" t="s">
        <v>658</v>
      </c>
      <c r="E304" s="74">
        <v>2</v>
      </c>
      <c r="F304" s="81" t="s">
        <v>1613</v>
      </c>
      <c r="G304" s="73" t="s">
        <v>1614</v>
      </c>
      <c r="H304" s="73" t="s">
        <v>1615</v>
      </c>
      <c r="I304" s="74">
        <v>24</v>
      </c>
      <c r="J304" s="73" t="s">
        <v>1151</v>
      </c>
      <c r="K304" s="74">
        <v>23</v>
      </c>
      <c r="L304" s="74"/>
      <c r="M304" s="82" t="s">
        <v>1616</v>
      </c>
      <c r="N304" s="255" t="s">
        <v>1617</v>
      </c>
      <c r="O304" s="74"/>
      <c r="P304" s="75"/>
      <c r="Q304" s="73"/>
      <c r="R304" s="73"/>
      <c r="S304" s="82" t="s">
        <v>864</v>
      </c>
      <c r="T304" s="82" t="s">
        <v>865</v>
      </c>
      <c r="U304" s="83" t="s">
        <v>764</v>
      </c>
      <c r="V304" s="171" t="s">
        <v>1972</v>
      </c>
      <c r="W304" s="73"/>
      <c r="X304" s="82" t="s">
        <v>753</v>
      </c>
      <c r="Y304" s="82" t="s">
        <v>753</v>
      </c>
      <c r="Z304" s="82" t="s">
        <v>753</v>
      </c>
      <c r="AA304" s="127" t="s">
        <v>753</v>
      </c>
    </row>
    <row r="305" spans="2:27" ht="121.5">
      <c r="B305" s="153" t="s">
        <v>660</v>
      </c>
      <c r="C305" s="154" t="s">
        <v>775</v>
      </c>
      <c r="D305" s="154" t="s">
        <v>661</v>
      </c>
      <c r="E305" s="127">
        <v>2</v>
      </c>
      <c r="F305" s="81" t="s">
        <v>1973</v>
      </c>
      <c r="G305" s="81" t="s">
        <v>1974</v>
      </c>
      <c r="H305" s="73" t="s">
        <v>1975</v>
      </c>
      <c r="I305" s="74">
        <v>23</v>
      </c>
      <c r="J305" s="73" t="s">
        <v>732</v>
      </c>
      <c r="K305" s="74">
        <v>10</v>
      </c>
      <c r="L305" s="74"/>
      <c r="M305" s="81" t="s">
        <v>1976</v>
      </c>
      <c r="N305" s="73" t="s">
        <v>1977</v>
      </c>
      <c r="O305" s="74"/>
      <c r="P305" s="83" t="s">
        <v>1978</v>
      </c>
      <c r="Q305" s="126" t="s">
        <v>1398</v>
      </c>
      <c r="R305" s="129" t="s">
        <v>1973</v>
      </c>
      <c r="S305" s="82" t="s">
        <v>870</v>
      </c>
      <c r="T305" s="82" t="s">
        <v>871</v>
      </c>
      <c r="U305" s="82" t="s">
        <v>1954</v>
      </c>
      <c r="V305" s="229" t="s">
        <v>1979</v>
      </c>
      <c r="W305" s="73"/>
      <c r="X305" s="83" t="s">
        <v>780</v>
      </c>
      <c r="Y305" s="157" t="s">
        <v>1956</v>
      </c>
      <c r="Z305" s="81" t="s">
        <v>1957</v>
      </c>
      <c r="AA305" s="127" t="s">
        <v>1958</v>
      </c>
    </row>
    <row r="306" spans="2:27" ht="30.75">
      <c r="B306" s="81" t="s">
        <v>666</v>
      </c>
      <c r="C306" s="81" t="s">
        <v>792</v>
      </c>
      <c r="D306" s="81" t="s">
        <v>667</v>
      </c>
      <c r="E306" s="74">
        <v>2</v>
      </c>
      <c r="F306" s="81" t="s">
        <v>1613</v>
      </c>
      <c r="G306" s="73" t="s">
        <v>1614</v>
      </c>
      <c r="H306" s="73" t="s">
        <v>1615</v>
      </c>
      <c r="I306" s="74">
        <v>23</v>
      </c>
      <c r="J306" s="73" t="s">
        <v>1151</v>
      </c>
      <c r="K306" s="74">
        <v>23</v>
      </c>
      <c r="L306" s="74"/>
      <c r="M306" s="82" t="s">
        <v>1616</v>
      </c>
      <c r="N306" s="255" t="s">
        <v>1617</v>
      </c>
      <c r="O306" s="74"/>
      <c r="P306" s="75"/>
      <c r="Q306" s="73"/>
      <c r="R306" s="73"/>
      <c r="S306" s="82" t="s">
        <v>883</v>
      </c>
      <c r="T306" s="82" t="s">
        <v>884</v>
      </c>
      <c r="U306" s="126" t="s">
        <v>753</v>
      </c>
      <c r="V306" s="171" t="s">
        <v>1980</v>
      </c>
      <c r="W306" s="73"/>
      <c r="X306" s="82" t="s">
        <v>781</v>
      </c>
      <c r="Y306" s="82" t="s">
        <v>781</v>
      </c>
      <c r="Z306" s="82" t="s">
        <v>781</v>
      </c>
      <c r="AA306" s="127" t="s">
        <v>781</v>
      </c>
    </row>
    <row r="307" spans="2:27" ht="45.75">
      <c r="B307" s="190" t="s">
        <v>669</v>
      </c>
      <c r="C307" s="190" t="s">
        <v>798</v>
      </c>
      <c r="D307" s="190" t="s">
        <v>670</v>
      </c>
      <c r="E307" s="74">
        <v>2</v>
      </c>
      <c r="F307" s="81" t="s">
        <v>1560</v>
      </c>
      <c r="G307" s="73" t="s">
        <v>1561</v>
      </c>
      <c r="H307" s="73" t="s">
        <v>1562</v>
      </c>
      <c r="I307" s="74">
        <v>23</v>
      </c>
      <c r="J307" s="73" t="s">
        <v>732</v>
      </c>
      <c r="K307" s="74">
        <v>10</v>
      </c>
      <c r="L307" s="74"/>
      <c r="M307" s="82" t="s">
        <v>1563</v>
      </c>
      <c r="N307" s="73" t="s">
        <v>1564</v>
      </c>
      <c r="O307" s="74" t="s">
        <v>735</v>
      </c>
      <c r="P307" s="75"/>
      <c r="Q307" s="73"/>
      <c r="R307" s="73"/>
      <c r="S307" s="82" t="s">
        <v>793</v>
      </c>
      <c r="T307" s="82" t="s">
        <v>889</v>
      </c>
      <c r="U307" s="82" t="s">
        <v>1981</v>
      </c>
      <c r="V307" s="229" t="s">
        <v>1982</v>
      </c>
      <c r="W307" s="73"/>
      <c r="X307" s="82" t="s">
        <v>781</v>
      </c>
      <c r="Y307" s="82" t="s">
        <v>781</v>
      </c>
      <c r="Z307" s="82" t="s">
        <v>781</v>
      </c>
      <c r="AA307" s="127" t="s">
        <v>781</v>
      </c>
    </row>
    <row r="308" spans="2:27" ht="91.5">
      <c r="B308" s="81" t="s">
        <v>675</v>
      </c>
      <c r="C308" s="81" t="s">
        <v>812</v>
      </c>
      <c r="D308" s="81" t="s">
        <v>676</v>
      </c>
      <c r="E308" s="127">
        <v>2</v>
      </c>
      <c r="F308" s="81" t="s">
        <v>1613</v>
      </c>
      <c r="G308" s="73" t="s">
        <v>1614</v>
      </c>
      <c r="H308" s="73" t="s">
        <v>1615</v>
      </c>
      <c r="I308" s="74">
        <v>23</v>
      </c>
      <c r="J308" s="73" t="s">
        <v>1151</v>
      </c>
      <c r="K308" s="74">
        <v>23</v>
      </c>
      <c r="L308" s="74"/>
      <c r="M308" s="82" t="s">
        <v>1616</v>
      </c>
      <c r="N308" s="255" t="s">
        <v>1617</v>
      </c>
      <c r="O308" s="74"/>
      <c r="P308" s="75"/>
      <c r="Q308" s="73"/>
      <c r="R308" s="73"/>
      <c r="S308" s="82" t="s">
        <v>864</v>
      </c>
      <c r="T308" s="82" t="s">
        <v>865</v>
      </c>
      <c r="U308" s="83" t="s">
        <v>764</v>
      </c>
      <c r="V308" s="171" t="s">
        <v>1983</v>
      </c>
      <c r="W308" s="73"/>
      <c r="X308" s="82" t="s">
        <v>753</v>
      </c>
      <c r="Y308" s="82" t="s">
        <v>753</v>
      </c>
      <c r="Z308" s="82" t="s">
        <v>753</v>
      </c>
      <c r="AA308" s="127" t="s">
        <v>753</v>
      </c>
    </row>
    <row r="309" spans="2:27" ht="91.5">
      <c r="B309" s="82" t="s">
        <v>681</v>
      </c>
      <c r="C309" s="82" t="s">
        <v>822</v>
      </c>
      <c r="D309" s="82" t="s">
        <v>682</v>
      </c>
      <c r="E309" s="74">
        <v>2</v>
      </c>
      <c r="F309" s="81" t="s">
        <v>1613</v>
      </c>
      <c r="G309" s="73" t="s">
        <v>1614</v>
      </c>
      <c r="H309" s="73" t="s">
        <v>1615</v>
      </c>
      <c r="I309" s="207">
        <v>23</v>
      </c>
      <c r="J309" s="73" t="s">
        <v>1151</v>
      </c>
      <c r="K309" s="74">
        <v>23</v>
      </c>
      <c r="L309" s="74"/>
      <c r="M309" s="82" t="s">
        <v>1616</v>
      </c>
      <c r="N309" s="255" t="s">
        <v>1617</v>
      </c>
      <c r="O309" s="74"/>
      <c r="P309" s="75"/>
      <c r="Q309" s="73"/>
      <c r="R309" s="73"/>
      <c r="S309" s="82" t="s">
        <v>864</v>
      </c>
      <c r="T309" s="82" t="s">
        <v>865</v>
      </c>
      <c r="U309" s="83" t="s">
        <v>764</v>
      </c>
      <c r="V309" s="171" t="s">
        <v>1984</v>
      </c>
      <c r="W309" s="73"/>
      <c r="X309" s="82" t="s">
        <v>753</v>
      </c>
      <c r="Y309" s="82" t="s">
        <v>753</v>
      </c>
      <c r="Z309" s="82" t="s">
        <v>753</v>
      </c>
      <c r="AA309" s="127" t="s">
        <v>753</v>
      </c>
    </row>
    <row r="310" spans="2:27" ht="106.5">
      <c r="B310" s="81" t="s">
        <v>684</v>
      </c>
      <c r="C310" s="81" t="s">
        <v>824</v>
      </c>
      <c r="D310" s="81" t="s">
        <v>685</v>
      </c>
      <c r="E310" s="127">
        <v>2</v>
      </c>
      <c r="F310" s="81" t="s">
        <v>1973</v>
      </c>
      <c r="G310" s="81" t="s">
        <v>1974</v>
      </c>
      <c r="H310" s="73" t="s">
        <v>1975</v>
      </c>
      <c r="I310" s="74">
        <v>23</v>
      </c>
      <c r="J310" s="73" t="s">
        <v>732</v>
      </c>
      <c r="K310" s="74">
        <v>10</v>
      </c>
      <c r="L310" s="74"/>
      <c r="M310" s="81" t="s">
        <v>1976</v>
      </c>
      <c r="N310" s="73" t="s">
        <v>1977</v>
      </c>
      <c r="O310" s="74"/>
      <c r="P310" s="83" t="s">
        <v>1978</v>
      </c>
      <c r="Q310" s="126" t="s">
        <v>1398</v>
      </c>
      <c r="R310" s="129" t="s">
        <v>1973</v>
      </c>
      <c r="S310" s="82" t="s">
        <v>870</v>
      </c>
      <c r="T310" s="82" t="s">
        <v>871</v>
      </c>
      <c r="U310" s="82" t="s">
        <v>1954</v>
      </c>
      <c r="V310" s="229" t="s">
        <v>1985</v>
      </c>
      <c r="W310" s="73"/>
      <c r="X310" s="83" t="s">
        <v>780</v>
      </c>
      <c r="Y310" s="157" t="s">
        <v>1956</v>
      </c>
      <c r="Z310" s="81" t="s">
        <v>1957</v>
      </c>
      <c r="AA310" s="127" t="s">
        <v>1958</v>
      </c>
    </row>
    <row r="311" spans="2:27" ht="351">
      <c r="B311" s="81" t="s">
        <v>654</v>
      </c>
      <c r="C311" s="155" t="s">
        <v>755</v>
      </c>
      <c r="D311" s="81" t="s">
        <v>655</v>
      </c>
      <c r="E311" s="127">
        <v>2</v>
      </c>
      <c r="F311" s="81" t="s">
        <v>1949</v>
      </c>
      <c r="G311" s="81" t="s">
        <v>1950</v>
      </c>
      <c r="H311" s="73" t="s">
        <v>1855</v>
      </c>
      <c r="I311" s="74">
        <v>24</v>
      </c>
      <c r="J311" s="73" t="s">
        <v>732</v>
      </c>
      <c r="K311" s="74">
        <v>10</v>
      </c>
      <c r="L311" s="74"/>
      <c r="M311" s="81" t="s">
        <v>1951</v>
      </c>
      <c r="N311" s="82" t="s">
        <v>1952</v>
      </c>
      <c r="O311" s="74"/>
      <c r="P311" s="83" t="s">
        <v>1986</v>
      </c>
      <c r="Q311" s="126" t="s">
        <v>1398</v>
      </c>
      <c r="R311" s="129" t="s">
        <v>1949</v>
      </c>
      <c r="S311" s="82" t="s">
        <v>858</v>
      </c>
      <c r="T311" s="82" t="s">
        <v>859</v>
      </c>
      <c r="U311" s="82" t="s">
        <v>1987</v>
      </c>
      <c r="V311" s="229" t="s">
        <v>1988</v>
      </c>
      <c r="W311" s="73"/>
      <c r="X311" s="83" t="s">
        <v>763</v>
      </c>
      <c r="Y311" s="82" t="s">
        <v>1989</v>
      </c>
      <c r="Z311" s="81" t="s">
        <v>1990</v>
      </c>
      <c r="AA311" s="127" t="s">
        <v>1991</v>
      </c>
    </row>
    <row r="312" spans="2:27" ht="91.5">
      <c r="B312" s="153" t="s">
        <v>660</v>
      </c>
      <c r="C312" s="154" t="s">
        <v>775</v>
      </c>
      <c r="D312" s="154" t="s">
        <v>661</v>
      </c>
      <c r="E312" s="156">
        <v>2</v>
      </c>
      <c r="F312" s="81" t="s">
        <v>1992</v>
      </c>
      <c r="G312" s="81" t="s">
        <v>1993</v>
      </c>
      <c r="H312" s="73" t="s">
        <v>1994</v>
      </c>
      <c r="I312" s="74">
        <v>24</v>
      </c>
      <c r="J312" s="73" t="s">
        <v>732</v>
      </c>
      <c r="K312" s="74">
        <v>20</v>
      </c>
      <c r="L312" s="74"/>
      <c r="M312" s="81" t="s">
        <v>1995</v>
      </c>
      <c r="N312" s="73" t="s">
        <v>1996</v>
      </c>
      <c r="O312" s="74"/>
      <c r="P312" s="83"/>
      <c r="Q312" s="126" t="s">
        <v>1398</v>
      </c>
      <c r="R312" s="129" t="s">
        <v>1992</v>
      </c>
      <c r="S312" s="82" t="s">
        <v>1518</v>
      </c>
      <c r="T312" s="82" t="s">
        <v>1997</v>
      </c>
      <c r="U312" s="82" t="s">
        <v>1998</v>
      </c>
      <c r="V312" s="229" t="s">
        <v>1999</v>
      </c>
      <c r="W312" s="73"/>
      <c r="X312" s="83" t="s">
        <v>780</v>
      </c>
      <c r="Y312" s="81" t="s">
        <v>2000</v>
      </c>
      <c r="Z312" s="81" t="s">
        <v>2001</v>
      </c>
      <c r="AA312" s="127" t="s">
        <v>781</v>
      </c>
    </row>
    <row r="313" spans="2:27" ht="45.75">
      <c r="B313" s="190" t="s">
        <v>669</v>
      </c>
      <c r="C313" s="190" t="s">
        <v>798</v>
      </c>
      <c r="D313" s="190" t="s">
        <v>670</v>
      </c>
      <c r="E313" s="74">
        <v>2</v>
      </c>
      <c r="F313" s="81" t="s">
        <v>1613</v>
      </c>
      <c r="G313" s="73" t="s">
        <v>1614</v>
      </c>
      <c r="H313" s="73" t="s">
        <v>1615</v>
      </c>
      <c r="I313" s="74">
        <v>24</v>
      </c>
      <c r="J313" s="73" t="s">
        <v>1151</v>
      </c>
      <c r="K313" s="74">
        <v>23</v>
      </c>
      <c r="L313" s="74"/>
      <c r="M313" s="82" t="s">
        <v>1616</v>
      </c>
      <c r="N313" s="255" t="s">
        <v>1617</v>
      </c>
      <c r="O313" s="74"/>
      <c r="P313" s="75"/>
      <c r="Q313" s="73"/>
      <c r="R313" s="73"/>
      <c r="S313" s="82" t="s">
        <v>793</v>
      </c>
      <c r="T313" s="82" t="s">
        <v>889</v>
      </c>
      <c r="U313" s="126" t="s">
        <v>743</v>
      </c>
      <c r="V313" s="171" t="s">
        <v>2002</v>
      </c>
      <c r="W313" s="73"/>
      <c r="X313" s="82" t="s">
        <v>781</v>
      </c>
      <c r="Y313" s="82" t="s">
        <v>781</v>
      </c>
      <c r="Z313" s="82" t="s">
        <v>781</v>
      </c>
      <c r="AA313" s="127" t="s">
        <v>781</v>
      </c>
    </row>
    <row r="314" spans="2:27" ht="76.5">
      <c r="B314" s="81" t="s">
        <v>684</v>
      </c>
      <c r="C314" s="81" t="s">
        <v>824</v>
      </c>
      <c r="D314" s="81" t="s">
        <v>685</v>
      </c>
      <c r="E314" s="127">
        <v>2</v>
      </c>
      <c r="F314" s="81" t="s">
        <v>1992</v>
      </c>
      <c r="G314" s="81" t="s">
        <v>1993</v>
      </c>
      <c r="H314" s="73" t="s">
        <v>1994</v>
      </c>
      <c r="I314" s="74">
        <v>24</v>
      </c>
      <c r="J314" s="73" t="s">
        <v>732</v>
      </c>
      <c r="K314" s="74">
        <v>20</v>
      </c>
      <c r="L314" s="74"/>
      <c r="M314" s="81" t="s">
        <v>1995</v>
      </c>
      <c r="N314" s="73" t="s">
        <v>1996</v>
      </c>
      <c r="O314" s="74"/>
      <c r="P314" s="83"/>
      <c r="Q314" s="126" t="s">
        <v>1398</v>
      </c>
      <c r="R314" s="129" t="s">
        <v>1992</v>
      </c>
      <c r="S314" s="82" t="s">
        <v>1518</v>
      </c>
      <c r="T314" s="82" t="s">
        <v>1997</v>
      </c>
      <c r="U314" s="82" t="s">
        <v>1998</v>
      </c>
      <c r="V314" s="229" t="s">
        <v>2003</v>
      </c>
      <c r="W314" s="73"/>
      <c r="X314" s="83" t="s">
        <v>780</v>
      </c>
      <c r="Y314" s="81" t="s">
        <v>2000</v>
      </c>
      <c r="Z314" s="81" t="s">
        <v>2001</v>
      </c>
      <c r="AA314" s="127" t="s">
        <v>781</v>
      </c>
    </row>
    <row r="315" spans="2:27" ht="366">
      <c r="B315" s="81" t="s">
        <v>654</v>
      </c>
      <c r="C315" s="155" t="s">
        <v>755</v>
      </c>
      <c r="D315" s="81" t="s">
        <v>655</v>
      </c>
      <c r="E315" s="127">
        <v>2</v>
      </c>
      <c r="F315" s="81" t="s">
        <v>1973</v>
      </c>
      <c r="G315" s="81" t="s">
        <v>1974</v>
      </c>
      <c r="H315" s="73" t="s">
        <v>1975</v>
      </c>
      <c r="I315" s="74">
        <v>25</v>
      </c>
      <c r="J315" s="73" t="s">
        <v>732</v>
      </c>
      <c r="K315" s="74">
        <v>10</v>
      </c>
      <c r="L315" s="74"/>
      <c r="M315" s="81" t="s">
        <v>1976</v>
      </c>
      <c r="N315" s="73" t="s">
        <v>1977</v>
      </c>
      <c r="O315" s="74"/>
      <c r="P315" s="83" t="s">
        <v>2004</v>
      </c>
      <c r="Q315" s="126" t="s">
        <v>1398</v>
      </c>
      <c r="R315" s="129" t="s">
        <v>1973</v>
      </c>
      <c r="S315" s="82" t="s">
        <v>858</v>
      </c>
      <c r="T315" s="82" t="s">
        <v>859</v>
      </c>
      <c r="U315" s="82" t="s">
        <v>1987</v>
      </c>
      <c r="V315" s="229" t="s">
        <v>2005</v>
      </c>
      <c r="W315" s="73"/>
      <c r="X315" s="83" t="s">
        <v>763</v>
      </c>
      <c r="Y315" s="82" t="s">
        <v>1969</v>
      </c>
      <c r="Z315" s="81" t="s">
        <v>1990</v>
      </c>
      <c r="AA315" s="127" t="s">
        <v>1991</v>
      </c>
    </row>
    <row r="316" spans="2:27" ht="60.75">
      <c r="B316" s="153" t="s">
        <v>660</v>
      </c>
      <c r="C316" s="154" t="s">
        <v>775</v>
      </c>
      <c r="D316" s="154" t="s">
        <v>661</v>
      </c>
      <c r="E316" s="156">
        <v>2</v>
      </c>
      <c r="F316" s="81" t="s">
        <v>2006</v>
      </c>
      <c r="G316" s="81" t="s">
        <v>2007</v>
      </c>
      <c r="H316" s="73" t="s">
        <v>2008</v>
      </c>
      <c r="I316" s="74">
        <v>25</v>
      </c>
      <c r="J316" s="73" t="s">
        <v>732</v>
      </c>
      <c r="K316" s="74">
        <v>4</v>
      </c>
      <c r="L316" s="74"/>
      <c r="M316" s="81" t="s">
        <v>2009</v>
      </c>
      <c r="N316" s="73" t="s">
        <v>2010</v>
      </c>
      <c r="O316" s="74"/>
      <c r="P316" s="83" t="s">
        <v>2011</v>
      </c>
      <c r="Q316" s="126" t="s">
        <v>1398</v>
      </c>
      <c r="R316" s="129" t="s">
        <v>2012</v>
      </c>
      <c r="S316" s="82" t="s">
        <v>870</v>
      </c>
      <c r="T316" s="82" t="s">
        <v>871</v>
      </c>
      <c r="U316" s="82" t="s">
        <v>2013</v>
      </c>
      <c r="V316" s="229" t="s">
        <v>2014</v>
      </c>
      <c r="W316" s="73"/>
      <c r="X316" s="83" t="s">
        <v>780</v>
      </c>
      <c r="Y316" s="157" t="s">
        <v>965</v>
      </c>
      <c r="Z316" s="81" t="s">
        <v>2015</v>
      </c>
      <c r="AA316" s="127" t="s">
        <v>781</v>
      </c>
    </row>
    <row r="317" spans="2:27" ht="45.75">
      <c r="B317" s="81" t="s">
        <v>684</v>
      </c>
      <c r="C317" s="81" t="s">
        <v>824</v>
      </c>
      <c r="D317" s="81" t="s">
        <v>685</v>
      </c>
      <c r="E317" s="127">
        <v>2</v>
      </c>
      <c r="F317" s="81" t="s">
        <v>2006</v>
      </c>
      <c r="G317" s="81" t="s">
        <v>2007</v>
      </c>
      <c r="H317" s="73" t="s">
        <v>2008</v>
      </c>
      <c r="I317" s="74">
        <v>25</v>
      </c>
      <c r="J317" s="73" t="s">
        <v>732</v>
      </c>
      <c r="K317" s="74">
        <v>4</v>
      </c>
      <c r="L317" s="74"/>
      <c r="M317" s="81" t="s">
        <v>2009</v>
      </c>
      <c r="N317" s="73" t="s">
        <v>2010</v>
      </c>
      <c r="O317" s="74"/>
      <c r="P317" s="83" t="s">
        <v>2011</v>
      </c>
      <c r="Q317" s="126" t="s">
        <v>1398</v>
      </c>
      <c r="R317" s="129" t="s">
        <v>2012</v>
      </c>
      <c r="S317" s="82" t="s">
        <v>870</v>
      </c>
      <c r="T317" s="82" t="s">
        <v>871</v>
      </c>
      <c r="U317" s="82" t="s">
        <v>2013</v>
      </c>
      <c r="V317" s="229" t="s">
        <v>2016</v>
      </c>
      <c r="W317" s="73"/>
      <c r="X317" s="83" t="s">
        <v>780</v>
      </c>
      <c r="Y317" s="157" t="s">
        <v>965</v>
      </c>
      <c r="Z317" s="81" t="s">
        <v>2015</v>
      </c>
      <c r="AA317" s="127" t="s">
        <v>781</v>
      </c>
    </row>
    <row r="318" spans="2:27" ht="290.25">
      <c r="B318" s="81" t="s">
        <v>654</v>
      </c>
      <c r="C318" s="155" t="s">
        <v>755</v>
      </c>
      <c r="D318" s="81" t="s">
        <v>655</v>
      </c>
      <c r="E318" s="127">
        <v>2</v>
      </c>
      <c r="F318" s="81" t="s">
        <v>1992</v>
      </c>
      <c r="G318" s="81" t="s">
        <v>1993</v>
      </c>
      <c r="H318" s="73" t="s">
        <v>1994</v>
      </c>
      <c r="I318" s="74">
        <v>26</v>
      </c>
      <c r="J318" s="73" t="s">
        <v>732</v>
      </c>
      <c r="K318" s="74">
        <v>20</v>
      </c>
      <c r="L318" s="74"/>
      <c r="M318" s="81" t="s">
        <v>1995</v>
      </c>
      <c r="N318" s="73" t="s">
        <v>1996</v>
      </c>
      <c r="O318" s="74"/>
      <c r="P318" s="83"/>
      <c r="Q318" s="126" t="s">
        <v>1398</v>
      </c>
      <c r="R318" s="129" t="s">
        <v>1992</v>
      </c>
      <c r="S318" s="82" t="s">
        <v>1844</v>
      </c>
      <c r="T318" s="82" t="s">
        <v>2017</v>
      </c>
      <c r="U318" s="82" t="s">
        <v>2018</v>
      </c>
      <c r="V318" s="229" t="s">
        <v>2019</v>
      </c>
      <c r="W318" s="73"/>
      <c r="X318" s="83" t="s">
        <v>763</v>
      </c>
      <c r="Y318" s="81" t="s">
        <v>2020</v>
      </c>
      <c r="Z318" s="81" t="s">
        <v>2021</v>
      </c>
      <c r="AA318" s="127" t="s">
        <v>1971</v>
      </c>
    </row>
    <row r="319" spans="2:27" ht="60.75">
      <c r="B319" s="153" t="s">
        <v>660</v>
      </c>
      <c r="C319" s="154" t="s">
        <v>775</v>
      </c>
      <c r="D319" s="154" t="s">
        <v>661</v>
      </c>
      <c r="E319" s="156">
        <v>2</v>
      </c>
      <c r="F319" s="75" t="s">
        <v>1498</v>
      </c>
      <c r="G319" s="75" t="s">
        <v>1499</v>
      </c>
      <c r="H319" s="75" t="s">
        <v>1500</v>
      </c>
      <c r="I319" s="74">
        <v>26</v>
      </c>
      <c r="J319" s="75" t="s">
        <v>732</v>
      </c>
      <c r="K319" s="74">
        <v>2</v>
      </c>
      <c r="L319" s="74"/>
      <c r="M319" s="82" t="s">
        <v>1501</v>
      </c>
      <c r="N319" s="82" t="s">
        <v>1502</v>
      </c>
      <c r="O319" s="74"/>
      <c r="P319" s="82" t="s">
        <v>1682</v>
      </c>
      <c r="Q319" s="83"/>
      <c r="R319" s="75"/>
      <c r="S319" s="82" t="s">
        <v>870</v>
      </c>
      <c r="T319" s="82" t="s">
        <v>871</v>
      </c>
      <c r="U319" s="82" t="s">
        <v>743</v>
      </c>
      <c r="V319" s="229" t="s">
        <v>2022</v>
      </c>
      <c r="W319" s="74"/>
      <c r="X319" s="83" t="s">
        <v>780</v>
      </c>
      <c r="Y319" s="83" t="s">
        <v>781</v>
      </c>
      <c r="Z319" s="83" t="s">
        <v>781</v>
      </c>
      <c r="AA319" s="197" t="s">
        <v>2023</v>
      </c>
    </row>
    <row r="320" spans="2:27" ht="45.75">
      <c r="B320" s="81" t="s">
        <v>684</v>
      </c>
      <c r="C320" s="81" t="s">
        <v>824</v>
      </c>
      <c r="D320" s="81" t="s">
        <v>685</v>
      </c>
      <c r="E320" s="127">
        <v>2</v>
      </c>
      <c r="F320" s="75" t="s">
        <v>1498</v>
      </c>
      <c r="G320" s="75" t="s">
        <v>1499</v>
      </c>
      <c r="H320" s="75" t="s">
        <v>1500</v>
      </c>
      <c r="I320" s="74">
        <v>26</v>
      </c>
      <c r="J320" s="75" t="s">
        <v>732</v>
      </c>
      <c r="K320" s="74">
        <v>20</v>
      </c>
      <c r="L320" s="74"/>
      <c r="M320" s="82" t="s">
        <v>1501</v>
      </c>
      <c r="N320" s="82" t="s">
        <v>1502</v>
      </c>
      <c r="O320" s="74"/>
      <c r="P320" s="82" t="s">
        <v>1682</v>
      </c>
      <c r="Q320" s="83"/>
      <c r="R320" s="75"/>
      <c r="S320" s="82" t="s">
        <v>870</v>
      </c>
      <c r="T320" s="82" t="s">
        <v>871</v>
      </c>
      <c r="U320" s="82" t="s">
        <v>743</v>
      </c>
      <c r="V320" s="229" t="s">
        <v>2024</v>
      </c>
      <c r="W320" s="74"/>
      <c r="X320" s="83" t="s">
        <v>780</v>
      </c>
      <c r="Y320" s="83" t="s">
        <v>781</v>
      </c>
      <c r="Z320" s="83" t="s">
        <v>781</v>
      </c>
      <c r="AA320" s="197" t="s">
        <v>2023</v>
      </c>
    </row>
    <row r="321" spans="2:27" ht="60.75">
      <c r="B321" s="153" t="s">
        <v>660</v>
      </c>
      <c r="C321" s="154" t="s">
        <v>775</v>
      </c>
      <c r="D321" s="154" t="s">
        <v>661</v>
      </c>
      <c r="E321" s="156">
        <v>2</v>
      </c>
      <c r="F321" s="81" t="s">
        <v>1560</v>
      </c>
      <c r="G321" s="81" t="s">
        <v>1561</v>
      </c>
      <c r="H321" s="73" t="s">
        <v>1562</v>
      </c>
      <c r="I321" s="74">
        <v>27</v>
      </c>
      <c r="J321" s="73" t="s">
        <v>732</v>
      </c>
      <c r="K321" s="74">
        <v>10</v>
      </c>
      <c r="L321" s="74"/>
      <c r="M321" s="82" t="s">
        <v>1563</v>
      </c>
      <c r="N321" s="73" t="s">
        <v>1564</v>
      </c>
      <c r="O321" s="74" t="s">
        <v>735</v>
      </c>
      <c r="P321" s="75"/>
      <c r="Q321" s="81"/>
      <c r="R321" s="81"/>
      <c r="S321" s="82" t="s">
        <v>870</v>
      </c>
      <c r="T321" s="82" t="s">
        <v>871</v>
      </c>
      <c r="U321" s="82" t="s">
        <v>2025</v>
      </c>
      <c r="V321" s="229" t="s">
        <v>2026</v>
      </c>
      <c r="W321" s="73"/>
      <c r="X321" s="83" t="s">
        <v>781</v>
      </c>
      <c r="Y321" s="83" t="s">
        <v>781</v>
      </c>
      <c r="Z321" s="83" t="s">
        <v>781</v>
      </c>
      <c r="AA321" s="127" t="s">
        <v>781</v>
      </c>
    </row>
    <row r="322" spans="2:27" ht="45.75">
      <c r="B322" s="81" t="s">
        <v>684</v>
      </c>
      <c r="C322" s="81" t="s">
        <v>824</v>
      </c>
      <c r="D322" s="81" t="s">
        <v>685</v>
      </c>
      <c r="E322" s="127">
        <v>2</v>
      </c>
      <c r="F322" s="81" t="s">
        <v>1560</v>
      </c>
      <c r="G322" s="81" t="s">
        <v>1561</v>
      </c>
      <c r="H322" s="73" t="s">
        <v>1562</v>
      </c>
      <c r="I322" s="74">
        <v>27</v>
      </c>
      <c r="J322" s="73" t="s">
        <v>732</v>
      </c>
      <c r="K322" s="74">
        <v>10</v>
      </c>
      <c r="L322" s="74"/>
      <c r="M322" s="82" t="s">
        <v>1563</v>
      </c>
      <c r="N322" s="73" t="s">
        <v>1564</v>
      </c>
      <c r="O322" s="74" t="s">
        <v>735</v>
      </c>
      <c r="P322" s="75"/>
      <c r="Q322" s="81"/>
      <c r="R322" s="81"/>
      <c r="S322" s="82" t="s">
        <v>870</v>
      </c>
      <c r="T322" s="82" t="s">
        <v>871</v>
      </c>
      <c r="U322" s="82" t="s">
        <v>2025</v>
      </c>
      <c r="V322" s="229" t="s">
        <v>2027</v>
      </c>
      <c r="W322" s="73"/>
      <c r="X322" s="83" t="s">
        <v>781</v>
      </c>
      <c r="Y322" s="83" t="s">
        <v>781</v>
      </c>
      <c r="Z322" s="83" t="s">
        <v>2028</v>
      </c>
      <c r="AA322" s="127" t="s">
        <v>781</v>
      </c>
    </row>
    <row r="323" spans="2:27" ht="244.5">
      <c r="B323" s="81" t="s">
        <v>654</v>
      </c>
      <c r="C323" s="155" t="s">
        <v>755</v>
      </c>
      <c r="D323" s="81" t="s">
        <v>655</v>
      </c>
      <c r="E323" s="127">
        <v>2</v>
      </c>
      <c r="F323" s="81" t="s">
        <v>2006</v>
      </c>
      <c r="G323" s="81" t="s">
        <v>2007</v>
      </c>
      <c r="H323" s="73" t="s">
        <v>2008</v>
      </c>
      <c r="I323" s="74">
        <v>27</v>
      </c>
      <c r="J323" s="73" t="s">
        <v>732</v>
      </c>
      <c r="K323" s="74">
        <v>4</v>
      </c>
      <c r="L323" s="74"/>
      <c r="M323" s="81" t="s">
        <v>2009</v>
      </c>
      <c r="N323" s="73" t="s">
        <v>2010</v>
      </c>
      <c r="O323" s="74"/>
      <c r="P323" s="83" t="s">
        <v>2029</v>
      </c>
      <c r="Q323" s="126" t="s">
        <v>1398</v>
      </c>
      <c r="R323" s="129" t="s">
        <v>2012</v>
      </c>
      <c r="S323" s="82" t="s">
        <v>858</v>
      </c>
      <c r="T323" s="82" t="s">
        <v>859</v>
      </c>
      <c r="U323" s="82" t="s">
        <v>2030</v>
      </c>
      <c r="V323" s="229" t="s">
        <v>2031</v>
      </c>
      <c r="W323" s="73"/>
      <c r="X323" s="83" t="s">
        <v>763</v>
      </c>
      <c r="Y323" s="82" t="s">
        <v>1969</v>
      </c>
      <c r="Z323" s="81" t="s">
        <v>2032</v>
      </c>
      <c r="AA323" s="127" t="s">
        <v>1971</v>
      </c>
    </row>
    <row r="324" spans="2:27" ht="244.5">
      <c r="B324" s="81" t="s">
        <v>654</v>
      </c>
      <c r="C324" s="155" t="s">
        <v>755</v>
      </c>
      <c r="D324" s="81" t="s">
        <v>655</v>
      </c>
      <c r="E324" s="127">
        <v>2</v>
      </c>
      <c r="F324" s="75" t="s">
        <v>1498</v>
      </c>
      <c r="G324" s="75" t="s">
        <v>1499</v>
      </c>
      <c r="H324" s="75" t="s">
        <v>1500</v>
      </c>
      <c r="I324" s="74">
        <v>28</v>
      </c>
      <c r="J324" s="75" t="s">
        <v>732</v>
      </c>
      <c r="K324" s="74">
        <v>2</v>
      </c>
      <c r="L324" s="74"/>
      <c r="M324" s="82" t="s">
        <v>1501</v>
      </c>
      <c r="N324" s="82" t="s">
        <v>1502</v>
      </c>
      <c r="O324" s="74"/>
      <c r="P324" s="82" t="s">
        <v>2033</v>
      </c>
      <c r="Q324" s="83"/>
      <c r="R324" s="75"/>
      <c r="S324" s="82" t="s">
        <v>858</v>
      </c>
      <c r="T324" s="82" t="s">
        <v>859</v>
      </c>
      <c r="U324" s="82" t="s">
        <v>1904</v>
      </c>
      <c r="V324" s="229" t="s">
        <v>2034</v>
      </c>
      <c r="W324" s="74"/>
      <c r="X324" s="83" t="s">
        <v>763</v>
      </c>
      <c r="Y324" s="83" t="s">
        <v>764</v>
      </c>
      <c r="Z324" s="83" t="s">
        <v>764</v>
      </c>
      <c r="AA324" s="197" t="s">
        <v>2035</v>
      </c>
    </row>
    <row r="325" spans="2:27" ht="60.75">
      <c r="B325" s="153" t="s">
        <v>660</v>
      </c>
      <c r="C325" s="154" t="s">
        <v>775</v>
      </c>
      <c r="D325" s="154" t="s">
        <v>661</v>
      </c>
      <c r="E325" s="156">
        <v>2</v>
      </c>
      <c r="F325" s="81" t="s">
        <v>1613</v>
      </c>
      <c r="G325" s="81" t="s">
        <v>1614</v>
      </c>
      <c r="H325" s="73" t="s">
        <v>1615</v>
      </c>
      <c r="I325" s="74">
        <v>28</v>
      </c>
      <c r="J325" s="73" t="s">
        <v>1151</v>
      </c>
      <c r="K325" s="74">
        <v>23</v>
      </c>
      <c r="L325" s="74"/>
      <c r="M325" s="82" t="s">
        <v>1616</v>
      </c>
      <c r="N325" s="255" t="s">
        <v>1617</v>
      </c>
      <c r="O325" s="74"/>
      <c r="P325" s="75"/>
      <c r="Q325" s="81"/>
      <c r="R325" s="81"/>
      <c r="S325" s="82" t="s">
        <v>870</v>
      </c>
      <c r="T325" s="82" t="s">
        <v>871</v>
      </c>
      <c r="U325" s="82" t="s">
        <v>743</v>
      </c>
      <c r="V325" s="229" t="s">
        <v>2036</v>
      </c>
      <c r="W325" s="73"/>
      <c r="X325" s="83" t="s">
        <v>781</v>
      </c>
      <c r="Y325" s="83" t="s">
        <v>781</v>
      </c>
      <c r="Z325" s="83" t="s">
        <v>781</v>
      </c>
      <c r="AA325" s="127" t="s">
        <v>781</v>
      </c>
    </row>
    <row r="326" spans="2:27" ht="45.75">
      <c r="B326" s="81" t="s">
        <v>684</v>
      </c>
      <c r="C326" s="81" t="s">
        <v>824</v>
      </c>
      <c r="D326" s="81" t="s">
        <v>685</v>
      </c>
      <c r="E326" s="127">
        <v>2</v>
      </c>
      <c r="F326" s="81" t="s">
        <v>1613</v>
      </c>
      <c r="G326" s="81" t="s">
        <v>1614</v>
      </c>
      <c r="H326" s="73" t="s">
        <v>1615</v>
      </c>
      <c r="I326" s="74">
        <v>28</v>
      </c>
      <c r="J326" s="73" t="s">
        <v>1151</v>
      </c>
      <c r="K326" s="74">
        <v>23</v>
      </c>
      <c r="L326" s="74"/>
      <c r="M326" s="82" t="s">
        <v>1616</v>
      </c>
      <c r="N326" s="255" t="s">
        <v>1617</v>
      </c>
      <c r="O326" s="74"/>
      <c r="P326" s="75"/>
      <c r="Q326" s="81"/>
      <c r="R326" s="81"/>
      <c r="S326" s="82" t="s">
        <v>870</v>
      </c>
      <c r="T326" s="82" t="s">
        <v>871</v>
      </c>
      <c r="U326" s="82" t="s">
        <v>743</v>
      </c>
      <c r="V326" s="229" t="s">
        <v>2037</v>
      </c>
      <c r="W326" s="73"/>
      <c r="X326" s="83" t="s">
        <v>781</v>
      </c>
      <c r="Y326" s="83" t="s">
        <v>781</v>
      </c>
      <c r="Z326" s="83" t="s">
        <v>781</v>
      </c>
      <c r="AA326" s="127" t="s">
        <v>781</v>
      </c>
    </row>
    <row r="327" spans="2:27" ht="244.5">
      <c r="B327" s="81" t="s">
        <v>654</v>
      </c>
      <c r="C327" s="155" t="s">
        <v>755</v>
      </c>
      <c r="D327" s="81" t="s">
        <v>655</v>
      </c>
      <c r="E327" s="127">
        <v>2</v>
      </c>
      <c r="F327" s="81" t="s">
        <v>1560</v>
      </c>
      <c r="G327" s="81" t="s">
        <v>1561</v>
      </c>
      <c r="H327" s="73" t="s">
        <v>1562</v>
      </c>
      <c r="I327" s="74">
        <v>29</v>
      </c>
      <c r="J327" s="73" t="s">
        <v>732</v>
      </c>
      <c r="K327" s="74">
        <v>10</v>
      </c>
      <c r="L327" s="74"/>
      <c r="M327" s="82" t="s">
        <v>1563</v>
      </c>
      <c r="N327" s="73" t="s">
        <v>1564</v>
      </c>
      <c r="O327" s="74" t="s">
        <v>735</v>
      </c>
      <c r="P327" s="75"/>
      <c r="Q327" s="81"/>
      <c r="R327" s="81"/>
      <c r="S327" s="82" t="s">
        <v>858</v>
      </c>
      <c r="T327" s="82" t="s">
        <v>859</v>
      </c>
      <c r="U327" s="82" t="s">
        <v>2038</v>
      </c>
      <c r="V327" s="229" t="s">
        <v>2039</v>
      </c>
      <c r="W327" s="73"/>
      <c r="X327" s="83" t="s">
        <v>763</v>
      </c>
      <c r="Y327" s="83" t="s">
        <v>764</v>
      </c>
      <c r="Z327" s="83" t="s">
        <v>764</v>
      </c>
      <c r="AA327" s="127" t="s">
        <v>764</v>
      </c>
    </row>
    <row r="328" spans="2:27" ht="244.5">
      <c r="B328" s="81" t="s">
        <v>654</v>
      </c>
      <c r="C328" s="155" t="s">
        <v>755</v>
      </c>
      <c r="D328" s="81" t="s">
        <v>655</v>
      </c>
      <c r="E328" s="127">
        <v>2</v>
      </c>
      <c r="F328" s="81" t="s">
        <v>1613</v>
      </c>
      <c r="G328" s="81" t="s">
        <v>1614</v>
      </c>
      <c r="H328" s="73" t="s">
        <v>1615</v>
      </c>
      <c r="I328" s="74">
        <v>30</v>
      </c>
      <c r="J328" s="73" t="s">
        <v>1151</v>
      </c>
      <c r="K328" s="74">
        <v>23</v>
      </c>
      <c r="L328" s="74"/>
      <c r="M328" s="82" t="s">
        <v>1616</v>
      </c>
      <c r="N328" s="255" t="s">
        <v>1617</v>
      </c>
      <c r="O328" s="74"/>
      <c r="P328" s="75"/>
      <c r="Q328" s="81"/>
      <c r="R328" s="81"/>
      <c r="S328" s="82" t="s">
        <v>858</v>
      </c>
      <c r="T328" s="82" t="s">
        <v>859</v>
      </c>
      <c r="U328" s="82" t="s">
        <v>1904</v>
      </c>
      <c r="V328" s="229" t="s">
        <v>2040</v>
      </c>
      <c r="W328" s="73"/>
      <c r="X328" s="83" t="s">
        <v>763</v>
      </c>
      <c r="Y328" s="83" t="s">
        <v>764</v>
      </c>
      <c r="Z328" s="83" t="s">
        <v>764</v>
      </c>
      <c r="AA328" s="127" t="s">
        <v>764</v>
      </c>
    </row>
  </sheetData>
  <sortState xmlns:xlrd2="http://schemas.microsoft.com/office/spreadsheetml/2017/richdata2" ref="B9:AA145">
    <sortCondition ref="C9:C145"/>
    <sortCondition ref="G9:G145"/>
  </sortState>
  <mergeCells count="8">
    <mergeCell ref="X7:AA7"/>
    <mergeCell ref="B6:P6"/>
    <mergeCell ref="B7:P7"/>
    <mergeCell ref="Q6:R6"/>
    <mergeCell ref="Q7:R7"/>
    <mergeCell ref="S6:W6"/>
    <mergeCell ref="S7:V7"/>
    <mergeCell ref="X6:AA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56"/>
  <sheetViews>
    <sheetView showGridLines="0" topLeftCell="F1" workbookViewId="0">
      <selection activeCell="H50" sqref="H50"/>
    </sheetView>
  </sheetViews>
  <sheetFormatPr defaultRowHeight="15"/>
  <cols>
    <col min="2" max="2" width="39.28515625" style="84" bestFit="1" customWidth="1"/>
    <col min="3" max="4" width="43.7109375" style="65" customWidth="1"/>
    <col min="5" max="5" width="50.5703125" style="65" customWidth="1"/>
    <col min="6" max="6" width="50.42578125" style="65" customWidth="1"/>
    <col min="7" max="7" width="55.7109375" customWidth="1"/>
    <col min="8" max="8" width="121.42578125" style="24" customWidth="1"/>
    <col min="9" max="9" width="32.5703125" customWidth="1"/>
  </cols>
  <sheetData>
    <row r="1" spans="2:9" ht="40.5" customHeight="1"/>
    <row r="2" spans="2:9">
      <c r="B2" s="85" t="s">
        <v>2041</v>
      </c>
      <c r="C2" s="85" t="s">
        <v>704</v>
      </c>
      <c r="D2" s="85" t="s">
        <v>2042</v>
      </c>
      <c r="E2" s="85" t="s">
        <v>2043</v>
      </c>
      <c r="F2" s="85" t="s">
        <v>2044</v>
      </c>
      <c r="G2" s="85" t="s">
        <v>2045</v>
      </c>
      <c r="H2" s="86" t="s">
        <v>2046</v>
      </c>
      <c r="I2" s="232" t="s">
        <v>2047</v>
      </c>
    </row>
    <row r="3" spans="2:9" ht="30" hidden="1" customHeight="1">
      <c r="B3" s="75" t="s">
        <v>648</v>
      </c>
      <c r="C3" s="75" t="s">
        <v>649</v>
      </c>
      <c r="D3" s="75" t="s">
        <v>2048</v>
      </c>
      <c r="E3" s="75" t="s">
        <v>2049</v>
      </c>
      <c r="F3" s="75" t="s">
        <v>2048</v>
      </c>
      <c r="G3" s="75" t="s">
        <v>2050</v>
      </c>
      <c r="H3" s="83" t="s">
        <v>2051</v>
      </c>
      <c r="I3" s="83" t="s">
        <v>2052</v>
      </c>
    </row>
    <row r="4" spans="2:9" ht="30" hidden="1" customHeight="1">
      <c r="B4" s="75" t="s">
        <v>648</v>
      </c>
      <c r="C4" s="75" t="s">
        <v>649</v>
      </c>
      <c r="D4" s="75" t="s">
        <v>2048</v>
      </c>
      <c r="E4" s="75" t="s">
        <v>2049</v>
      </c>
      <c r="F4" s="75" t="s">
        <v>2053</v>
      </c>
      <c r="G4" s="75" t="s">
        <v>2054</v>
      </c>
      <c r="H4" s="83" t="s">
        <v>2055</v>
      </c>
      <c r="I4" s="83" t="s">
        <v>2056</v>
      </c>
    </row>
    <row r="5" spans="2:9" ht="30" hidden="1" customHeight="1">
      <c r="B5" s="75" t="s">
        <v>648</v>
      </c>
      <c r="C5" s="75" t="s">
        <v>649</v>
      </c>
      <c r="D5" s="75" t="s">
        <v>2057</v>
      </c>
      <c r="E5" s="75" t="s">
        <v>2058</v>
      </c>
      <c r="F5" s="128" t="s">
        <v>2057</v>
      </c>
      <c r="G5" s="75" t="s">
        <v>2059</v>
      </c>
      <c r="H5" s="83" t="s">
        <v>2060</v>
      </c>
      <c r="I5" s="83" t="s">
        <v>2052</v>
      </c>
    </row>
    <row r="6" spans="2:9" ht="30" hidden="1" customHeight="1">
      <c r="B6" s="75" t="s">
        <v>648</v>
      </c>
      <c r="C6" s="75" t="s">
        <v>649</v>
      </c>
      <c r="D6" s="75" t="s">
        <v>2048</v>
      </c>
      <c r="E6" s="75" t="s">
        <v>2049</v>
      </c>
      <c r="F6" s="75" t="s">
        <v>2053</v>
      </c>
      <c r="G6" s="75" t="s">
        <v>2061</v>
      </c>
      <c r="H6" s="83" t="s">
        <v>2062</v>
      </c>
      <c r="I6" s="83" t="s">
        <v>2056</v>
      </c>
    </row>
    <row r="7" spans="2:9" ht="30" hidden="1" customHeight="1">
      <c r="B7" s="80" t="s">
        <v>648</v>
      </c>
      <c r="C7" s="75" t="s">
        <v>649</v>
      </c>
      <c r="D7" s="80" t="s">
        <v>2063</v>
      </c>
      <c r="E7" s="80" t="s">
        <v>2064</v>
      </c>
      <c r="F7" s="80" t="s">
        <v>2063</v>
      </c>
      <c r="G7" s="80" t="s">
        <v>2065</v>
      </c>
      <c r="H7" s="87" t="s">
        <v>2066</v>
      </c>
      <c r="I7" s="83" t="s">
        <v>2052</v>
      </c>
    </row>
    <row r="8" spans="2:9" ht="30" hidden="1" customHeight="1">
      <c r="B8" s="80" t="s">
        <v>651</v>
      </c>
      <c r="C8" s="80" t="s">
        <v>652</v>
      </c>
      <c r="D8" s="80" t="s">
        <v>2063</v>
      </c>
      <c r="E8" s="75" t="s">
        <v>2064</v>
      </c>
      <c r="F8" s="75" t="s">
        <v>2063</v>
      </c>
      <c r="G8" s="75" t="s">
        <v>2067</v>
      </c>
      <c r="H8" s="83" t="s">
        <v>2068</v>
      </c>
      <c r="I8" s="83" t="s">
        <v>2052</v>
      </c>
    </row>
    <row r="9" spans="2:9" ht="30" hidden="1" customHeight="1">
      <c r="B9" s="80" t="s">
        <v>651</v>
      </c>
      <c r="C9" s="80" t="s">
        <v>652</v>
      </c>
      <c r="D9" s="80" t="s">
        <v>2063</v>
      </c>
      <c r="E9" s="80" t="s">
        <v>2065</v>
      </c>
      <c r="F9" s="80" t="s">
        <v>2069</v>
      </c>
      <c r="G9" s="80" t="s">
        <v>2070</v>
      </c>
      <c r="H9" s="87" t="s">
        <v>2071</v>
      </c>
      <c r="I9" s="83" t="s">
        <v>2052</v>
      </c>
    </row>
    <row r="10" spans="2:9" ht="30" hidden="1" customHeight="1">
      <c r="B10" s="80" t="s">
        <v>651</v>
      </c>
      <c r="C10" s="80" t="s">
        <v>652</v>
      </c>
      <c r="D10" s="80" t="s">
        <v>2069</v>
      </c>
      <c r="E10" s="80" t="s">
        <v>2072</v>
      </c>
      <c r="F10" s="75" t="s">
        <v>2069</v>
      </c>
      <c r="G10" s="75" t="s">
        <v>2070</v>
      </c>
      <c r="H10" s="87" t="s">
        <v>2073</v>
      </c>
      <c r="I10" s="83" t="s">
        <v>2052</v>
      </c>
    </row>
    <row r="11" spans="2:9" ht="30" hidden="1" customHeight="1">
      <c r="B11" s="80" t="s">
        <v>654</v>
      </c>
      <c r="C11" s="263" t="s">
        <v>2074</v>
      </c>
      <c r="D11" s="80" t="s">
        <v>2075</v>
      </c>
      <c r="E11" s="80" t="s">
        <v>2076</v>
      </c>
      <c r="F11" s="80" t="s">
        <v>2053</v>
      </c>
      <c r="G11" s="80" t="s">
        <v>2077</v>
      </c>
      <c r="H11" s="87" t="s">
        <v>2078</v>
      </c>
      <c r="I11" s="87" t="s">
        <v>2052</v>
      </c>
    </row>
    <row r="12" spans="2:9" ht="30" hidden="1" customHeight="1">
      <c r="B12" s="80" t="s">
        <v>654</v>
      </c>
      <c r="C12" s="263" t="s">
        <v>2074</v>
      </c>
      <c r="D12" s="80" t="s">
        <v>2075</v>
      </c>
      <c r="E12" s="80" t="s">
        <v>2079</v>
      </c>
      <c r="F12" s="80" t="s">
        <v>2075</v>
      </c>
      <c r="G12" s="80" t="s">
        <v>2076</v>
      </c>
      <c r="H12" s="78" t="s">
        <v>2080</v>
      </c>
      <c r="I12" s="83" t="s">
        <v>2052</v>
      </c>
    </row>
    <row r="13" spans="2:9" ht="30" hidden="1" customHeight="1">
      <c r="B13" s="80" t="s">
        <v>654</v>
      </c>
      <c r="C13" s="263" t="s">
        <v>2074</v>
      </c>
      <c r="D13" s="80" t="s">
        <v>2075</v>
      </c>
      <c r="E13" s="80" t="s">
        <v>2079</v>
      </c>
      <c r="F13" s="80" t="s">
        <v>2075</v>
      </c>
      <c r="G13" s="80" t="s">
        <v>2081</v>
      </c>
      <c r="H13" s="78" t="s">
        <v>2082</v>
      </c>
      <c r="I13" s="83" t="s">
        <v>2056</v>
      </c>
    </row>
    <row r="14" spans="2:9" ht="30" hidden="1" customHeight="1">
      <c r="B14" s="80" t="s">
        <v>654</v>
      </c>
      <c r="C14" s="263" t="s">
        <v>2074</v>
      </c>
      <c r="D14" s="80" t="s">
        <v>2075</v>
      </c>
      <c r="E14" s="80" t="s">
        <v>2079</v>
      </c>
      <c r="F14" s="80" t="s">
        <v>2075</v>
      </c>
      <c r="G14" s="80" t="s">
        <v>2083</v>
      </c>
      <c r="H14" s="78" t="s">
        <v>2084</v>
      </c>
      <c r="I14" s="83" t="s">
        <v>2056</v>
      </c>
    </row>
    <row r="15" spans="2:9" ht="30" hidden="1" customHeight="1">
      <c r="B15" s="80" t="s">
        <v>654</v>
      </c>
      <c r="C15" s="263" t="s">
        <v>2074</v>
      </c>
      <c r="D15" s="80" t="s">
        <v>2075</v>
      </c>
      <c r="E15" s="80" t="s">
        <v>2079</v>
      </c>
      <c r="F15" s="80" t="s">
        <v>2075</v>
      </c>
      <c r="G15" s="80" t="s">
        <v>2085</v>
      </c>
      <c r="H15" s="78" t="s">
        <v>2086</v>
      </c>
      <c r="I15" s="83" t="s">
        <v>2056</v>
      </c>
    </row>
    <row r="16" spans="2:9" ht="30" hidden="1" customHeight="1">
      <c r="B16" s="80" t="s">
        <v>654</v>
      </c>
      <c r="C16" s="263" t="s">
        <v>2074</v>
      </c>
      <c r="D16" s="80" t="s">
        <v>2075</v>
      </c>
      <c r="E16" s="80" t="s">
        <v>2079</v>
      </c>
      <c r="F16" s="80" t="s">
        <v>2075</v>
      </c>
      <c r="G16" s="80" t="s">
        <v>2087</v>
      </c>
      <c r="H16" s="78" t="s">
        <v>2088</v>
      </c>
      <c r="I16" s="83" t="s">
        <v>2056</v>
      </c>
    </row>
    <row r="17" spans="2:9" ht="30" hidden="1" customHeight="1">
      <c r="B17" s="75" t="s">
        <v>654</v>
      </c>
      <c r="C17" s="261" t="s">
        <v>2074</v>
      </c>
      <c r="D17" s="75" t="s">
        <v>2075</v>
      </c>
      <c r="E17" s="75" t="s">
        <v>2089</v>
      </c>
      <c r="F17" s="75" t="s">
        <v>2075</v>
      </c>
      <c r="G17" s="75" t="s">
        <v>2076</v>
      </c>
      <c r="H17" s="195" t="s">
        <v>2090</v>
      </c>
      <c r="I17" s="83" t="s">
        <v>2052</v>
      </c>
    </row>
    <row r="18" spans="2:9" ht="30" hidden="1" customHeight="1">
      <c r="B18" s="75" t="s">
        <v>654</v>
      </c>
      <c r="C18" s="261" t="s">
        <v>2074</v>
      </c>
      <c r="D18" s="75" t="s">
        <v>2075</v>
      </c>
      <c r="E18" s="75" t="s">
        <v>2089</v>
      </c>
      <c r="F18" s="75" t="s">
        <v>2075</v>
      </c>
      <c r="G18" s="75" t="s">
        <v>2081</v>
      </c>
      <c r="H18" s="83" t="s">
        <v>2091</v>
      </c>
      <c r="I18" s="83" t="s">
        <v>2056</v>
      </c>
    </row>
    <row r="19" spans="2:9" ht="30" hidden="1" customHeight="1">
      <c r="B19" s="75" t="s">
        <v>654</v>
      </c>
      <c r="C19" s="261" t="s">
        <v>2074</v>
      </c>
      <c r="D19" s="75" t="s">
        <v>2075</v>
      </c>
      <c r="E19" s="75" t="s">
        <v>2089</v>
      </c>
      <c r="F19" s="75" t="s">
        <v>2075</v>
      </c>
      <c r="G19" s="75" t="s">
        <v>2083</v>
      </c>
      <c r="H19" s="83" t="s">
        <v>2092</v>
      </c>
      <c r="I19" s="83" t="s">
        <v>2056</v>
      </c>
    </row>
    <row r="20" spans="2:9" ht="30" hidden="1" customHeight="1">
      <c r="B20" s="75" t="s">
        <v>654</v>
      </c>
      <c r="C20" s="261" t="s">
        <v>2074</v>
      </c>
      <c r="D20" s="75" t="s">
        <v>2075</v>
      </c>
      <c r="E20" s="75" t="s">
        <v>2089</v>
      </c>
      <c r="F20" s="75" t="s">
        <v>2075</v>
      </c>
      <c r="G20" s="75" t="s">
        <v>2085</v>
      </c>
      <c r="H20" s="83" t="s">
        <v>2093</v>
      </c>
      <c r="I20" s="83" t="s">
        <v>2056</v>
      </c>
    </row>
    <row r="21" spans="2:9" ht="30" hidden="1" customHeight="1">
      <c r="B21" s="75" t="s">
        <v>654</v>
      </c>
      <c r="C21" s="261" t="s">
        <v>2074</v>
      </c>
      <c r="D21" s="75" t="s">
        <v>2075</v>
      </c>
      <c r="E21" s="75" t="s">
        <v>2089</v>
      </c>
      <c r="F21" s="75" t="s">
        <v>2075</v>
      </c>
      <c r="G21" s="75" t="s">
        <v>2087</v>
      </c>
      <c r="H21" s="83" t="s">
        <v>2094</v>
      </c>
      <c r="I21" s="83" t="s">
        <v>2056</v>
      </c>
    </row>
    <row r="22" spans="2:9" ht="30" hidden="1" customHeight="1">
      <c r="B22" s="75" t="s">
        <v>654</v>
      </c>
      <c r="C22" s="261" t="s">
        <v>2074</v>
      </c>
      <c r="D22" s="75" t="s">
        <v>2057</v>
      </c>
      <c r="E22" s="75" t="s">
        <v>2095</v>
      </c>
      <c r="F22" s="75" t="s">
        <v>2096</v>
      </c>
      <c r="G22" s="75" t="s">
        <v>2097</v>
      </c>
      <c r="H22" s="83" t="s">
        <v>2098</v>
      </c>
      <c r="I22" s="83" t="s">
        <v>2056</v>
      </c>
    </row>
    <row r="23" spans="2:9" ht="30" hidden="1" customHeight="1">
      <c r="B23" s="80" t="s">
        <v>654</v>
      </c>
      <c r="C23" s="151" t="s">
        <v>2074</v>
      </c>
      <c r="D23" s="80" t="s">
        <v>2057</v>
      </c>
      <c r="E23" s="80" t="s">
        <v>2058</v>
      </c>
      <c r="F23" s="80" t="s">
        <v>2057</v>
      </c>
      <c r="G23" s="80" t="s">
        <v>2095</v>
      </c>
      <c r="H23" s="87" t="s">
        <v>2099</v>
      </c>
      <c r="I23" s="87" t="s">
        <v>2052</v>
      </c>
    </row>
    <row r="24" spans="2:9" ht="30" hidden="1" customHeight="1">
      <c r="B24" s="80" t="s">
        <v>654</v>
      </c>
      <c r="C24" s="261" t="s">
        <v>2074</v>
      </c>
      <c r="D24" s="75" t="s">
        <v>2063</v>
      </c>
      <c r="E24" s="75" t="s">
        <v>2067</v>
      </c>
      <c r="F24" s="75" t="s">
        <v>2096</v>
      </c>
      <c r="G24" s="75" t="s">
        <v>2097</v>
      </c>
      <c r="H24" s="195" t="s">
        <v>2100</v>
      </c>
      <c r="I24" s="83" t="s">
        <v>2056</v>
      </c>
    </row>
    <row r="25" spans="2:9" ht="30" hidden="1" customHeight="1">
      <c r="B25" s="80" t="s">
        <v>654</v>
      </c>
      <c r="C25" s="261" t="s">
        <v>2074</v>
      </c>
      <c r="D25" s="75" t="s">
        <v>2063</v>
      </c>
      <c r="E25" s="75" t="s">
        <v>2064</v>
      </c>
      <c r="F25" s="75" t="s">
        <v>2063</v>
      </c>
      <c r="G25" s="75" t="s">
        <v>2067</v>
      </c>
      <c r="H25" s="83" t="s">
        <v>2101</v>
      </c>
      <c r="I25" s="83" t="s">
        <v>2052</v>
      </c>
    </row>
    <row r="26" spans="2:9" ht="30" hidden="1" customHeight="1">
      <c r="B26" s="80" t="s">
        <v>654</v>
      </c>
      <c r="C26" s="261" t="s">
        <v>2074</v>
      </c>
      <c r="D26" s="75" t="s">
        <v>2063</v>
      </c>
      <c r="E26" s="75" t="s">
        <v>2064</v>
      </c>
      <c r="F26" s="75" t="s">
        <v>2075</v>
      </c>
      <c r="G26" s="75" t="s">
        <v>2076</v>
      </c>
      <c r="H26" s="83" t="s">
        <v>2102</v>
      </c>
      <c r="I26" s="83" t="s">
        <v>2056</v>
      </c>
    </row>
    <row r="27" spans="2:9" ht="30" hidden="1" customHeight="1">
      <c r="B27" s="80" t="s">
        <v>657</v>
      </c>
      <c r="C27" s="75" t="s">
        <v>658</v>
      </c>
      <c r="D27" s="75" t="s">
        <v>2057</v>
      </c>
      <c r="E27" s="75" t="s">
        <v>2058</v>
      </c>
      <c r="F27" s="128" t="s">
        <v>2057</v>
      </c>
      <c r="G27" s="75" t="s">
        <v>2059</v>
      </c>
      <c r="H27" s="83" t="s">
        <v>2060</v>
      </c>
      <c r="I27" s="83" t="s">
        <v>2052</v>
      </c>
    </row>
    <row r="28" spans="2:9" ht="30" hidden="1" customHeight="1">
      <c r="B28" s="80" t="s">
        <v>657</v>
      </c>
      <c r="C28" s="75" t="s">
        <v>658</v>
      </c>
      <c r="D28" s="75" t="s">
        <v>2063</v>
      </c>
      <c r="E28" s="75" t="s">
        <v>2064</v>
      </c>
      <c r="F28" s="75" t="s">
        <v>2063</v>
      </c>
      <c r="G28" s="75" t="s">
        <v>2065</v>
      </c>
      <c r="H28" s="83" t="s">
        <v>2103</v>
      </c>
      <c r="I28" s="83" t="s">
        <v>2052</v>
      </c>
    </row>
    <row r="29" spans="2:9" ht="30" hidden="1" customHeight="1">
      <c r="B29" s="80" t="s">
        <v>657</v>
      </c>
      <c r="C29" s="75" t="s">
        <v>658</v>
      </c>
      <c r="D29" s="75" t="s">
        <v>2063</v>
      </c>
      <c r="E29" s="75" t="s">
        <v>2065</v>
      </c>
      <c r="F29" s="128" t="s">
        <v>2057</v>
      </c>
      <c r="G29" s="75" t="s">
        <v>2059</v>
      </c>
      <c r="H29" s="83" t="s">
        <v>2104</v>
      </c>
      <c r="I29" s="83" t="s">
        <v>2052</v>
      </c>
    </row>
    <row r="30" spans="2:9" ht="30" hidden="1" customHeight="1">
      <c r="B30" s="80" t="s">
        <v>660</v>
      </c>
      <c r="C30" s="154" t="s">
        <v>661</v>
      </c>
      <c r="D30" s="80" t="s">
        <v>2075</v>
      </c>
      <c r="E30" s="80" t="s">
        <v>2089</v>
      </c>
      <c r="F30" s="80" t="s">
        <v>2075</v>
      </c>
      <c r="G30" s="80" t="s">
        <v>2105</v>
      </c>
      <c r="H30" s="87" t="s">
        <v>2090</v>
      </c>
      <c r="I30" s="87" t="s">
        <v>2052</v>
      </c>
    </row>
    <row r="31" spans="2:9" ht="30" hidden="1" customHeight="1">
      <c r="B31" s="80" t="s">
        <v>660</v>
      </c>
      <c r="C31" s="233" t="s">
        <v>661</v>
      </c>
      <c r="D31" s="80" t="s">
        <v>2075</v>
      </c>
      <c r="E31" s="80" t="s">
        <v>2076</v>
      </c>
      <c r="F31" s="80" t="s">
        <v>2053</v>
      </c>
      <c r="G31" s="80" t="s">
        <v>2077</v>
      </c>
      <c r="H31" s="87" t="s">
        <v>2106</v>
      </c>
      <c r="I31" s="75" t="s">
        <v>2052</v>
      </c>
    </row>
    <row r="32" spans="2:9" ht="30" hidden="1" customHeight="1">
      <c r="B32" s="80" t="s">
        <v>660</v>
      </c>
      <c r="C32" s="233" t="s">
        <v>661</v>
      </c>
      <c r="D32" s="80" t="s">
        <v>2075</v>
      </c>
      <c r="E32" s="80" t="s">
        <v>2089</v>
      </c>
      <c r="F32" s="80" t="s">
        <v>2075</v>
      </c>
      <c r="G32" s="80" t="s">
        <v>2083</v>
      </c>
      <c r="H32" s="87" t="s">
        <v>2092</v>
      </c>
      <c r="I32" s="83" t="s">
        <v>2056</v>
      </c>
    </row>
    <row r="33" spans="2:9" ht="30" hidden="1" customHeight="1">
      <c r="B33" s="80" t="s">
        <v>660</v>
      </c>
      <c r="C33" s="233" t="s">
        <v>661</v>
      </c>
      <c r="D33" s="80" t="s">
        <v>2075</v>
      </c>
      <c r="E33" s="80" t="s">
        <v>2089</v>
      </c>
      <c r="F33" s="80" t="s">
        <v>2075</v>
      </c>
      <c r="G33" s="80" t="s">
        <v>2085</v>
      </c>
      <c r="H33" s="87" t="s">
        <v>2107</v>
      </c>
      <c r="I33" s="87" t="s">
        <v>2056</v>
      </c>
    </row>
    <row r="34" spans="2:9" ht="30" hidden="1" customHeight="1">
      <c r="B34" s="80" t="s">
        <v>660</v>
      </c>
      <c r="C34" s="233" t="s">
        <v>661</v>
      </c>
      <c r="D34" s="80" t="s">
        <v>2075</v>
      </c>
      <c r="E34" s="80" t="s">
        <v>2089</v>
      </c>
      <c r="F34" s="80" t="s">
        <v>2075</v>
      </c>
      <c r="G34" s="80" t="s">
        <v>2087</v>
      </c>
      <c r="H34" s="87" t="s">
        <v>2094</v>
      </c>
      <c r="I34" s="87" t="s">
        <v>2056</v>
      </c>
    </row>
    <row r="35" spans="2:9" ht="30" hidden="1" customHeight="1">
      <c r="B35" s="80" t="s">
        <v>660</v>
      </c>
      <c r="C35" s="233" t="s">
        <v>661</v>
      </c>
      <c r="D35" s="80" t="s">
        <v>2075</v>
      </c>
      <c r="E35" s="80" t="s">
        <v>2089</v>
      </c>
      <c r="F35" s="87" t="s">
        <v>2096</v>
      </c>
      <c r="G35" s="80" t="s">
        <v>2108</v>
      </c>
      <c r="H35" s="87" t="s">
        <v>2109</v>
      </c>
      <c r="I35" s="87" t="s">
        <v>2056</v>
      </c>
    </row>
    <row r="36" spans="2:9" ht="30" hidden="1" customHeight="1">
      <c r="B36" s="80" t="s">
        <v>660</v>
      </c>
      <c r="C36" s="233" t="s">
        <v>661</v>
      </c>
      <c r="D36" s="80" t="s">
        <v>2075</v>
      </c>
      <c r="E36" s="80" t="s">
        <v>2089</v>
      </c>
      <c r="F36" s="80" t="s">
        <v>2075</v>
      </c>
      <c r="G36" s="80" t="s">
        <v>2081</v>
      </c>
      <c r="H36" s="87" t="s">
        <v>2110</v>
      </c>
      <c r="I36" s="87" t="s">
        <v>2056</v>
      </c>
    </row>
    <row r="37" spans="2:9" ht="30" hidden="1" customHeight="1">
      <c r="B37" s="80" t="s">
        <v>663</v>
      </c>
      <c r="C37" s="230" t="s">
        <v>664</v>
      </c>
      <c r="D37" s="80" t="s">
        <v>2111</v>
      </c>
      <c r="E37" s="80" t="s">
        <v>2112</v>
      </c>
      <c r="F37" s="80" t="s">
        <v>2111</v>
      </c>
      <c r="G37" s="80" t="s">
        <v>2113</v>
      </c>
      <c r="H37" s="87" t="s">
        <v>2114</v>
      </c>
      <c r="I37" s="83" t="s">
        <v>2056</v>
      </c>
    </row>
    <row r="38" spans="2:9" ht="30" hidden="1" customHeight="1">
      <c r="B38" s="80" t="s">
        <v>663</v>
      </c>
      <c r="C38" s="230" t="s">
        <v>664</v>
      </c>
      <c r="D38" s="80" t="s">
        <v>2111</v>
      </c>
      <c r="E38" s="80" t="s">
        <v>2112</v>
      </c>
      <c r="F38" s="80" t="s">
        <v>2111</v>
      </c>
      <c r="G38" s="80" t="s">
        <v>2115</v>
      </c>
      <c r="H38" s="87" t="s">
        <v>2116</v>
      </c>
      <c r="I38" s="87" t="s">
        <v>2056</v>
      </c>
    </row>
    <row r="39" spans="2:9" ht="30" hidden="1" customHeight="1">
      <c r="B39" s="80" t="s">
        <v>663</v>
      </c>
      <c r="C39" s="230" t="s">
        <v>664</v>
      </c>
      <c r="D39" s="80" t="s">
        <v>2111</v>
      </c>
      <c r="E39" s="80" t="s">
        <v>2112</v>
      </c>
      <c r="F39" s="80" t="s">
        <v>2111</v>
      </c>
      <c r="G39" s="80" t="s">
        <v>2117</v>
      </c>
      <c r="H39" s="87" t="s">
        <v>2118</v>
      </c>
      <c r="I39" s="87" t="s">
        <v>2056</v>
      </c>
    </row>
    <row r="40" spans="2:9" ht="30" hidden="1" customHeight="1">
      <c r="B40" s="80" t="s">
        <v>663</v>
      </c>
      <c r="C40" s="230" t="s">
        <v>664</v>
      </c>
      <c r="D40" s="80" t="s">
        <v>2111</v>
      </c>
      <c r="E40" s="80" t="s">
        <v>2117</v>
      </c>
      <c r="F40" s="80" t="s">
        <v>2111</v>
      </c>
      <c r="G40" s="80" t="s">
        <v>2119</v>
      </c>
      <c r="H40" s="87" t="s">
        <v>2120</v>
      </c>
      <c r="I40" s="87" t="s">
        <v>2056</v>
      </c>
    </row>
    <row r="41" spans="2:9" ht="30" hidden="1" customHeight="1">
      <c r="B41" s="80" t="s">
        <v>663</v>
      </c>
      <c r="C41" s="264" t="s">
        <v>664</v>
      </c>
      <c r="D41" s="80" t="s">
        <v>2111</v>
      </c>
      <c r="E41" s="80" t="s">
        <v>2117</v>
      </c>
      <c r="F41" s="75" t="s">
        <v>2053</v>
      </c>
      <c r="G41" s="75" t="s">
        <v>2121</v>
      </c>
      <c r="H41" s="83" t="s">
        <v>2122</v>
      </c>
      <c r="I41" s="75" t="s">
        <v>2056</v>
      </c>
    </row>
    <row r="42" spans="2:9" ht="30" hidden="1" customHeight="1">
      <c r="B42" s="81" t="s">
        <v>666</v>
      </c>
      <c r="C42" s="80" t="s">
        <v>667</v>
      </c>
      <c r="D42" s="80" t="s">
        <v>2057</v>
      </c>
      <c r="E42" s="80" t="s">
        <v>2058</v>
      </c>
      <c r="F42" s="128" t="s">
        <v>2057</v>
      </c>
      <c r="G42" s="75" t="s">
        <v>2059</v>
      </c>
      <c r="H42" s="83" t="s">
        <v>2060</v>
      </c>
      <c r="I42" s="83" t="s">
        <v>2052</v>
      </c>
    </row>
    <row r="43" spans="2:9" ht="30" hidden="1" customHeight="1">
      <c r="B43" s="80" t="s">
        <v>669</v>
      </c>
      <c r="C43" s="80" t="s">
        <v>670</v>
      </c>
      <c r="D43" s="80" t="s">
        <v>2057</v>
      </c>
      <c r="E43" s="80" t="s">
        <v>2058</v>
      </c>
      <c r="F43" s="231" t="s">
        <v>2057</v>
      </c>
      <c r="G43" s="80" t="s">
        <v>2059</v>
      </c>
      <c r="H43" s="87" t="s">
        <v>2060</v>
      </c>
      <c r="I43" s="87" t="s">
        <v>2052</v>
      </c>
    </row>
    <row r="44" spans="2:9" ht="30" hidden="1" customHeight="1">
      <c r="B44" s="80" t="s">
        <v>675</v>
      </c>
      <c r="C44" s="81" t="s">
        <v>676</v>
      </c>
      <c r="D44" s="80" t="s">
        <v>2057</v>
      </c>
      <c r="E44" s="80" t="s">
        <v>2058</v>
      </c>
      <c r="F44" s="231" t="s">
        <v>2057</v>
      </c>
      <c r="G44" s="80" t="s">
        <v>2059</v>
      </c>
      <c r="H44" s="87" t="s">
        <v>2060</v>
      </c>
      <c r="I44" s="83" t="s">
        <v>2052</v>
      </c>
    </row>
    <row r="45" spans="2:9" ht="30" hidden="1" customHeight="1">
      <c r="B45" s="80" t="s">
        <v>675</v>
      </c>
      <c r="C45" s="81" t="s">
        <v>676</v>
      </c>
      <c r="D45" s="80" t="s">
        <v>2063</v>
      </c>
      <c r="E45" s="80" t="s">
        <v>2064</v>
      </c>
      <c r="F45" s="80" t="s">
        <v>2063</v>
      </c>
      <c r="G45" s="80" t="s">
        <v>2065</v>
      </c>
      <c r="H45" s="87" t="s">
        <v>2103</v>
      </c>
      <c r="I45" s="87" t="s">
        <v>2052</v>
      </c>
    </row>
    <row r="46" spans="2:9" ht="30" hidden="1" customHeight="1">
      <c r="B46" s="80" t="s">
        <v>675</v>
      </c>
      <c r="C46" s="230" t="s">
        <v>676</v>
      </c>
      <c r="D46" s="80" t="s">
        <v>2063</v>
      </c>
      <c r="E46" s="80" t="s">
        <v>2065</v>
      </c>
      <c r="F46" s="231" t="s">
        <v>2057</v>
      </c>
      <c r="G46" s="80" t="s">
        <v>2059</v>
      </c>
      <c r="H46" s="87" t="s">
        <v>2104</v>
      </c>
      <c r="I46" s="87" t="s">
        <v>2052</v>
      </c>
    </row>
    <row r="47" spans="2:9" ht="30" customHeight="1">
      <c r="B47" s="80" t="s">
        <v>678</v>
      </c>
      <c r="C47" s="233" t="s">
        <v>679</v>
      </c>
      <c r="D47" s="80" t="s">
        <v>2053</v>
      </c>
      <c r="E47" s="80" t="s">
        <v>2054</v>
      </c>
      <c r="F47" s="80" t="s">
        <v>2123</v>
      </c>
      <c r="G47" s="80" t="s">
        <v>2124</v>
      </c>
      <c r="H47" s="87" t="s">
        <v>2125</v>
      </c>
      <c r="I47" s="87" t="s">
        <v>2056</v>
      </c>
    </row>
    <row r="48" spans="2:9" ht="30" customHeight="1">
      <c r="B48" s="80" t="s">
        <v>678</v>
      </c>
      <c r="C48" s="233" t="s">
        <v>679</v>
      </c>
      <c r="D48" s="80" t="s">
        <v>2123</v>
      </c>
      <c r="E48" s="80" t="s">
        <v>2126</v>
      </c>
      <c r="F48" s="80" t="s">
        <v>2123</v>
      </c>
      <c r="G48" s="80" t="s">
        <v>2054</v>
      </c>
      <c r="H48" s="87" t="s">
        <v>2127</v>
      </c>
      <c r="I48" s="87" t="s">
        <v>2052</v>
      </c>
    </row>
    <row r="49" spans="2:9" ht="30" customHeight="1">
      <c r="B49" s="80" t="s">
        <v>678</v>
      </c>
      <c r="C49" s="233" t="s">
        <v>679</v>
      </c>
      <c r="D49" s="80" t="s">
        <v>2123</v>
      </c>
      <c r="E49" s="75" t="s">
        <v>2128</v>
      </c>
      <c r="F49" s="80" t="s">
        <v>2123</v>
      </c>
      <c r="G49" s="75" t="s">
        <v>2126</v>
      </c>
      <c r="H49" s="83" t="s">
        <v>2129</v>
      </c>
      <c r="I49" s="83" t="s">
        <v>2052</v>
      </c>
    </row>
    <row r="50" spans="2:9" ht="30" customHeight="1">
      <c r="B50" s="80" t="s">
        <v>678</v>
      </c>
      <c r="C50" s="233" t="s">
        <v>679</v>
      </c>
      <c r="D50" s="80" t="s">
        <v>2123</v>
      </c>
      <c r="E50" s="75" t="s">
        <v>2128</v>
      </c>
      <c r="F50" s="80" t="s">
        <v>2123</v>
      </c>
      <c r="G50" s="75" t="s">
        <v>2130</v>
      </c>
      <c r="H50" s="83" t="s">
        <v>2131</v>
      </c>
      <c r="I50" s="83" t="s">
        <v>2052</v>
      </c>
    </row>
    <row r="51" spans="2:9" ht="30" customHeight="1">
      <c r="B51" s="80" t="s">
        <v>678</v>
      </c>
      <c r="C51" s="233" t="s">
        <v>679</v>
      </c>
      <c r="D51" s="80" t="s">
        <v>2123</v>
      </c>
      <c r="E51" s="75" t="s">
        <v>2128</v>
      </c>
      <c r="F51" s="80" t="s">
        <v>2123</v>
      </c>
      <c r="G51" s="75" t="s">
        <v>2124</v>
      </c>
      <c r="H51" s="83" t="s">
        <v>2132</v>
      </c>
      <c r="I51" s="83" t="s">
        <v>2056</v>
      </c>
    </row>
    <row r="52" spans="2:9" ht="30" customHeight="1">
      <c r="B52" s="80" t="s">
        <v>678</v>
      </c>
      <c r="C52" s="233" t="s">
        <v>679</v>
      </c>
      <c r="D52" s="80" t="s">
        <v>2123</v>
      </c>
      <c r="E52" s="75" t="s">
        <v>2133</v>
      </c>
      <c r="F52" s="80" t="s">
        <v>2123</v>
      </c>
      <c r="G52" s="75" t="s">
        <v>2126</v>
      </c>
      <c r="H52" s="83" t="s">
        <v>2134</v>
      </c>
      <c r="I52" s="83" t="s">
        <v>2052</v>
      </c>
    </row>
    <row r="53" spans="2:9" ht="30" customHeight="1">
      <c r="B53" s="80" t="s">
        <v>678</v>
      </c>
      <c r="C53" s="233" t="s">
        <v>679</v>
      </c>
      <c r="D53" s="80" t="s">
        <v>2123</v>
      </c>
      <c r="E53" s="75" t="s">
        <v>2133</v>
      </c>
      <c r="F53" s="80" t="s">
        <v>2053</v>
      </c>
      <c r="G53" s="75" t="s">
        <v>2121</v>
      </c>
      <c r="H53" s="83" t="s">
        <v>2135</v>
      </c>
      <c r="I53" s="83" t="s">
        <v>2056</v>
      </c>
    </row>
    <row r="54" spans="2:9" ht="30" customHeight="1">
      <c r="B54" s="80" t="s">
        <v>678</v>
      </c>
      <c r="C54" s="233" t="s">
        <v>679</v>
      </c>
      <c r="D54" s="80" t="s">
        <v>2123</v>
      </c>
      <c r="E54" s="75" t="s">
        <v>2133</v>
      </c>
      <c r="F54" s="80" t="s">
        <v>2123</v>
      </c>
      <c r="G54" s="75" t="s">
        <v>2130</v>
      </c>
      <c r="H54" s="83" t="s">
        <v>2136</v>
      </c>
      <c r="I54" s="83" t="s">
        <v>2056</v>
      </c>
    </row>
    <row r="55" spans="2:9" ht="30" customHeight="1">
      <c r="B55" s="80" t="s">
        <v>678</v>
      </c>
      <c r="C55" s="233" t="s">
        <v>679</v>
      </c>
      <c r="D55" s="80" t="s">
        <v>2123</v>
      </c>
      <c r="E55" s="75" t="s">
        <v>2133</v>
      </c>
      <c r="F55" s="80" t="s">
        <v>2053</v>
      </c>
      <c r="G55" s="75" t="s">
        <v>2121</v>
      </c>
      <c r="H55" s="83" t="s">
        <v>2137</v>
      </c>
      <c r="I55" s="83" t="s">
        <v>2056</v>
      </c>
    </row>
    <row r="56" spans="2:9" ht="30" customHeight="1">
      <c r="B56" s="80" t="s">
        <v>678</v>
      </c>
      <c r="C56" s="233" t="s">
        <v>679</v>
      </c>
      <c r="D56" s="80" t="s">
        <v>2123</v>
      </c>
      <c r="E56" s="80" t="s">
        <v>2133</v>
      </c>
      <c r="F56" s="80" t="s">
        <v>2123</v>
      </c>
      <c r="G56" s="80" t="s">
        <v>2138</v>
      </c>
      <c r="H56" s="87" t="s">
        <v>2139</v>
      </c>
      <c r="I56" s="87" t="s">
        <v>2056</v>
      </c>
    </row>
    <row r="57" spans="2:9" ht="30" customHeight="1">
      <c r="B57" s="80" t="s">
        <v>678</v>
      </c>
      <c r="C57" s="233" t="s">
        <v>679</v>
      </c>
      <c r="D57" s="80" t="s">
        <v>2123</v>
      </c>
      <c r="E57" s="80" t="s">
        <v>2130</v>
      </c>
      <c r="F57" s="80" t="s">
        <v>2123</v>
      </c>
      <c r="G57" s="80" t="s">
        <v>2133</v>
      </c>
      <c r="H57" s="87" t="s">
        <v>2140</v>
      </c>
      <c r="I57" s="83" t="s">
        <v>2056</v>
      </c>
    </row>
    <row r="58" spans="2:9" ht="30" customHeight="1">
      <c r="B58" s="80" t="s">
        <v>678</v>
      </c>
      <c r="C58" s="230" t="s">
        <v>679</v>
      </c>
      <c r="D58" s="80" t="s">
        <v>2123</v>
      </c>
      <c r="E58" s="80" t="s">
        <v>2141</v>
      </c>
      <c r="F58" s="80" t="s">
        <v>2123</v>
      </c>
      <c r="G58" s="80" t="s">
        <v>2142</v>
      </c>
      <c r="H58" s="87" t="s">
        <v>2143</v>
      </c>
      <c r="I58" s="87" t="s">
        <v>2052</v>
      </c>
    </row>
    <row r="59" spans="2:9" ht="30" customHeight="1">
      <c r="B59" s="80" t="s">
        <v>678</v>
      </c>
      <c r="C59" s="233" t="s">
        <v>679</v>
      </c>
      <c r="D59" s="80" t="s">
        <v>2063</v>
      </c>
      <c r="E59" s="80" t="s">
        <v>2064</v>
      </c>
      <c r="F59" s="80" t="s">
        <v>2063</v>
      </c>
      <c r="G59" s="80" t="s">
        <v>2067</v>
      </c>
      <c r="H59" s="87" t="s">
        <v>2101</v>
      </c>
      <c r="I59" s="87" t="s">
        <v>2052</v>
      </c>
    </row>
    <row r="60" spans="2:9" ht="30" customHeight="1">
      <c r="B60" s="80" t="s">
        <v>678</v>
      </c>
      <c r="C60" s="154" t="s">
        <v>679</v>
      </c>
      <c r="D60" s="80" t="s">
        <v>2063</v>
      </c>
      <c r="E60" s="75" t="s">
        <v>2064</v>
      </c>
      <c r="F60" s="75" t="s">
        <v>2123</v>
      </c>
      <c r="G60" s="75" t="s">
        <v>2142</v>
      </c>
      <c r="H60" s="83" t="s">
        <v>2144</v>
      </c>
      <c r="I60" s="83" t="s">
        <v>2052</v>
      </c>
    </row>
    <row r="61" spans="2:9" ht="30" customHeight="1">
      <c r="B61" s="80" t="s">
        <v>678</v>
      </c>
      <c r="C61" s="154" t="s">
        <v>679</v>
      </c>
      <c r="D61" s="80" t="s">
        <v>2063</v>
      </c>
      <c r="E61" s="80" t="s">
        <v>2064</v>
      </c>
      <c r="F61" s="80" t="s">
        <v>2053</v>
      </c>
      <c r="G61" s="80" t="s">
        <v>2054</v>
      </c>
      <c r="H61" s="87" t="s">
        <v>2145</v>
      </c>
      <c r="I61" s="83" t="s">
        <v>2052</v>
      </c>
    </row>
    <row r="62" spans="2:9" ht="30" hidden="1" customHeight="1">
      <c r="B62" s="80" t="s">
        <v>681</v>
      </c>
      <c r="C62" s="82" t="s">
        <v>682</v>
      </c>
      <c r="D62" s="80" t="s">
        <v>2057</v>
      </c>
      <c r="E62" s="80" t="s">
        <v>2058</v>
      </c>
      <c r="F62" s="231" t="s">
        <v>2057</v>
      </c>
      <c r="G62" s="80" t="s">
        <v>2059</v>
      </c>
      <c r="H62" s="87" t="s">
        <v>2060</v>
      </c>
      <c r="I62" s="87" t="s">
        <v>2052</v>
      </c>
    </row>
    <row r="63" spans="2:9" ht="30" hidden="1" customHeight="1">
      <c r="B63" s="80" t="s">
        <v>681</v>
      </c>
      <c r="C63" s="262" t="s">
        <v>682</v>
      </c>
      <c r="D63" s="80" t="s">
        <v>2063</v>
      </c>
      <c r="E63" s="80" t="s">
        <v>2064</v>
      </c>
      <c r="F63" s="80" t="s">
        <v>2063</v>
      </c>
      <c r="G63" s="80" t="s">
        <v>2065</v>
      </c>
      <c r="H63" s="78" t="s">
        <v>2103</v>
      </c>
      <c r="I63" s="83" t="s">
        <v>2052</v>
      </c>
    </row>
    <row r="64" spans="2:9" ht="30" hidden="1" customHeight="1">
      <c r="B64" s="80" t="s">
        <v>681</v>
      </c>
      <c r="C64" s="154" t="s">
        <v>682</v>
      </c>
      <c r="D64" s="80" t="s">
        <v>2063</v>
      </c>
      <c r="E64" s="75" t="s">
        <v>2065</v>
      </c>
      <c r="F64" s="128" t="s">
        <v>2057</v>
      </c>
      <c r="G64" s="75" t="s">
        <v>2059</v>
      </c>
      <c r="H64" s="83" t="s">
        <v>2104</v>
      </c>
      <c r="I64" s="83" t="s">
        <v>2052</v>
      </c>
    </row>
    <row r="65" spans="2:9" ht="30" hidden="1" customHeight="1">
      <c r="B65" s="80" t="s">
        <v>684</v>
      </c>
      <c r="C65" s="230" t="s">
        <v>685</v>
      </c>
      <c r="D65" s="80" t="s">
        <v>2075</v>
      </c>
      <c r="E65" s="80" t="s">
        <v>2089</v>
      </c>
      <c r="F65" s="80" t="s">
        <v>2075</v>
      </c>
      <c r="G65" s="80" t="s">
        <v>2105</v>
      </c>
      <c r="H65" s="87" t="s">
        <v>2090</v>
      </c>
      <c r="I65" s="83" t="s">
        <v>2052</v>
      </c>
    </row>
    <row r="66" spans="2:9" ht="30" hidden="1" customHeight="1">
      <c r="B66" s="80" t="s">
        <v>684</v>
      </c>
      <c r="C66" s="230" t="s">
        <v>685</v>
      </c>
      <c r="D66" s="80" t="s">
        <v>2075</v>
      </c>
      <c r="E66" s="80" t="s">
        <v>2076</v>
      </c>
      <c r="F66" s="75" t="s">
        <v>2053</v>
      </c>
      <c r="G66" s="75" t="s">
        <v>2077</v>
      </c>
      <c r="H66" s="87" t="s">
        <v>2106</v>
      </c>
      <c r="I66" s="75" t="s">
        <v>2052</v>
      </c>
    </row>
    <row r="67" spans="2:9" ht="30" hidden="1" customHeight="1">
      <c r="B67" s="80" t="s">
        <v>684</v>
      </c>
      <c r="C67" s="81" t="s">
        <v>685</v>
      </c>
      <c r="D67" s="80" t="s">
        <v>2075</v>
      </c>
      <c r="E67" s="80" t="s">
        <v>2089</v>
      </c>
      <c r="F67" s="80" t="s">
        <v>2075</v>
      </c>
      <c r="G67" s="80" t="s">
        <v>2083</v>
      </c>
      <c r="H67" s="87" t="s">
        <v>2092</v>
      </c>
      <c r="I67" s="83" t="s">
        <v>2056</v>
      </c>
    </row>
    <row r="68" spans="2:9" ht="30" hidden="1" customHeight="1">
      <c r="B68" s="80" t="s">
        <v>684</v>
      </c>
      <c r="C68" s="81" t="s">
        <v>685</v>
      </c>
      <c r="D68" s="80" t="s">
        <v>2075</v>
      </c>
      <c r="E68" s="80" t="s">
        <v>2089</v>
      </c>
      <c r="F68" s="80" t="s">
        <v>2075</v>
      </c>
      <c r="G68" s="80" t="s">
        <v>2085</v>
      </c>
      <c r="H68" s="87" t="s">
        <v>2107</v>
      </c>
      <c r="I68" s="83" t="s">
        <v>2056</v>
      </c>
    </row>
    <row r="69" spans="2:9" ht="30" hidden="1" customHeight="1">
      <c r="B69" s="80" t="s">
        <v>684</v>
      </c>
      <c r="C69" s="230" t="s">
        <v>685</v>
      </c>
      <c r="D69" s="80" t="s">
        <v>2075</v>
      </c>
      <c r="E69" s="80" t="s">
        <v>2089</v>
      </c>
      <c r="F69" s="80" t="s">
        <v>2075</v>
      </c>
      <c r="G69" s="80" t="s">
        <v>2087</v>
      </c>
      <c r="H69" s="87" t="s">
        <v>2094</v>
      </c>
      <c r="I69" s="83" t="s">
        <v>2056</v>
      </c>
    </row>
    <row r="70" spans="2:9" ht="30" hidden="1" customHeight="1">
      <c r="B70" s="80" t="s">
        <v>684</v>
      </c>
      <c r="C70" s="230" t="s">
        <v>685</v>
      </c>
      <c r="D70" s="80" t="s">
        <v>2075</v>
      </c>
      <c r="E70" s="80" t="s">
        <v>2089</v>
      </c>
      <c r="F70" s="87" t="s">
        <v>2096</v>
      </c>
      <c r="G70" s="80" t="s">
        <v>2108</v>
      </c>
      <c r="H70" s="87" t="s">
        <v>2109</v>
      </c>
      <c r="I70" s="83" t="s">
        <v>2056</v>
      </c>
    </row>
    <row r="71" spans="2:9" ht="30" hidden="1" customHeight="1">
      <c r="B71" s="80" t="s">
        <v>684</v>
      </c>
      <c r="C71" s="230" t="s">
        <v>685</v>
      </c>
      <c r="D71" s="80" t="s">
        <v>2075</v>
      </c>
      <c r="E71" s="80" t="s">
        <v>2089</v>
      </c>
      <c r="F71" s="80" t="s">
        <v>2075</v>
      </c>
      <c r="G71" s="80" t="s">
        <v>2081</v>
      </c>
      <c r="H71" s="87" t="s">
        <v>2110</v>
      </c>
      <c r="I71" s="83" t="s">
        <v>2056</v>
      </c>
    </row>
    <row r="72" spans="2:9" ht="30" hidden="1" customHeight="1">
      <c r="B72" s="80" t="s">
        <v>687</v>
      </c>
      <c r="C72" s="230" t="s">
        <v>688</v>
      </c>
      <c r="D72" s="80" t="s">
        <v>2146</v>
      </c>
      <c r="E72" s="80" t="s">
        <v>2147</v>
      </c>
      <c r="F72" s="80" t="s">
        <v>2146</v>
      </c>
      <c r="G72" s="80" t="s">
        <v>2148</v>
      </c>
      <c r="H72" s="87" t="s">
        <v>2149</v>
      </c>
      <c r="I72" s="83" t="s">
        <v>2052</v>
      </c>
    </row>
    <row r="73" spans="2:9" ht="30" hidden="1" customHeight="1">
      <c r="B73" s="80" t="s">
        <v>690</v>
      </c>
      <c r="C73" s="230" t="s">
        <v>691</v>
      </c>
      <c r="D73" s="80" t="s">
        <v>2150</v>
      </c>
      <c r="E73" s="80" t="s">
        <v>2151</v>
      </c>
      <c r="F73" s="80" t="s">
        <v>2150</v>
      </c>
      <c r="G73" s="80" t="s">
        <v>2152</v>
      </c>
      <c r="H73" s="87" t="s">
        <v>2153</v>
      </c>
      <c r="I73" s="83" t="s">
        <v>2056</v>
      </c>
    </row>
    <row r="74" spans="2:9" ht="30" hidden="1" customHeight="1">
      <c r="B74" s="80" t="s">
        <v>690</v>
      </c>
      <c r="C74" s="230" t="s">
        <v>691</v>
      </c>
      <c r="D74" s="80" t="s">
        <v>2150</v>
      </c>
      <c r="E74" s="80" t="s">
        <v>2152</v>
      </c>
      <c r="F74" s="75" t="s">
        <v>2154</v>
      </c>
      <c r="G74" s="75" t="s">
        <v>2155</v>
      </c>
      <c r="H74" s="83" t="s">
        <v>2156</v>
      </c>
      <c r="I74" s="83" t="s">
        <v>2056</v>
      </c>
    </row>
    <row r="75" spans="2:9" ht="30" hidden="1" customHeight="1">
      <c r="B75" s="80" t="s">
        <v>690</v>
      </c>
      <c r="C75" s="233" t="s">
        <v>691</v>
      </c>
      <c r="D75" s="75" t="s">
        <v>2150</v>
      </c>
      <c r="E75" s="75" t="s">
        <v>2157</v>
      </c>
      <c r="F75" s="80" t="s">
        <v>781</v>
      </c>
      <c r="G75" s="80" t="s">
        <v>2158</v>
      </c>
      <c r="H75" s="87" t="s">
        <v>2159</v>
      </c>
      <c r="I75" s="87" t="s">
        <v>2056</v>
      </c>
    </row>
    <row r="76" spans="2:9" ht="30" hidden="1" customHeight="1">
      <c r="B76" s="80" t="s">
        <v>690</v>
      </c>
      <c r="C76" s="233" t="s">
        <v>691</v>
      </c>
      <c r="D76" s="80" t="s">
        <v>2150</v>
      </c>
      <c r="E76" s="80" t="s">
        <v>2160</v>
      </c>
      <c r="F76" s="80" t="s">
        <v>2150</v>
      </c>
      <c r="G76" s="80" t="s">
        <v>2161</v>
      </c>
      <c r="H76" s="83" t="s">
        <v>2162</v>
      </c>
      <c r="I76" s="83" t="s">
        <v>2056</v>
      </c>
    </row>
    <row r="77" spans="2:9" ht="30" hidden="1" customHeight="1">
      <c r="B77" s="80" t="s">
        <v>690</v>
      </c>
      <c r="C77" s="233" t="s">
        <v>691</v>
      </c>
      <c r="D77" s="80" t="s">
        <v>781</v>
      </c>
      <c r="E77" s="80" t="s">
        <v>2158</v>
      </c>
      <c r="F77" s="75" t="s">
        <v>2154</v>
      </c>
      <c r="G77" s="75" t="s">
        <v>2155</v>
      </c>
      <c r="H77" s="83" t="s">
        <v>2163</v>
      </c>
      <c r="I77" s="83" t="s">
        <v>2056</v>
      </c>
    </row>
    <row r="78" spans="2:9" ht="30" hidden="1" customHeight="1">
      <c r="B78" s="80" t="s">
        <v>690</v>
      </c>
      <c r="C78" s="233" t="s">
        <v>691</v>
      </c>
      <c r="D78" s="80" t="s">
        <v>2150</v>
      </c>
      <c r="E78" s="75" t="s">
        <v>2164</v>
      </c>
      <c r="F78" s="80" t="s">
        <v>2150</v>
      </c>
      <c r="G78" s="80" t="s">
        <v>2165</v>
      </c>
      <c r="H78" s="87" t="s">
        <v>2166</v>
      </c>
      <c r="I78" s="87" t="s">
        <v>2052</v>
      </c>
    </row>
    <row r="79" spans="2:9" ht="30" hidden="1" customHeight="1">
      <c r="B79" s="80" t="s">
        <v>690</v>
      </c>
      <c r="C79" s="233" t="s">
        <v>691</v>
      </c>
      <c r="D79" s="80" t="s">
        <v>2150</v>
      </c>
      <c r="E79" s="80" t="s">
        <v>2165</v>
      </c>
      <c r="F79" s="75" t="s">
        <v>2154</v>
      </c>
      <c r="G79" s="75" t="s">
        <v>2155</v>
      </c>
      <c r="H79" s="83" t="s">
        <v>2167</v>
      </c>
      <c r="I79" s="83" t="s">
        <v>2056</v>
      </c>
    </row>
    <row r="80" spans="2:9" ht="30" hidden="1" customHeight="1">
      <c r="B80" s="80" t="s">
        <v>690</v>
      </c>
      <c r="C80" s="233" t="s">
        <v>691</v>
      </c>
      <c r="D80" s="80" t="s">
        <v>2150</v>
      </c>
      <c r="E80" s="80" t="s">
        <v>2168</v>
      </c>
      <c r="F80" s="80" t="s">
        <v>2150</v>
      </c>
      <c r="G80" s="80" t="s">
        <v>2169</v>
      </c>
      <c r="H80" s="87" t="s">
        <v>2170</v>
      </c>
      <c r="I80" s="87" t="s">
        <v>2056</v>
      </c>
    </row>
    <row r="81" spans="2:9" ht="30" hidden="1" customHeight="1">
      <c r="B81" s="80" t="s">
        <v>690</v>
      </c>
      <c r="C81" s="233" t="s">
        <v>691</v>
      </c>
      <c r="D81" s="80" t="s">
        <v>2150</v>
      </c>
      <c r="E81" s="80" t="s">
        <v>2169</v>
      </c>
      <c r="F81" s="75" t="s">
        <v>2154</v>
      </c>
      <c r="G81" s="75" t="s">
        <v>2155</v>
      </c>
      <c r="H81" s="83" t="s">
        <v>2171</v>
      </c>
      <c r="I81" s="83" t="s">
        <v>2056</v>
      </c>
    </row>
    <row r="82" spans="2:9" ht="30" hidden="1" customHeight="1">
      <c r="B82" s="80" t="s">
        <v>690</v>
      </c>
      <c r="C82" s="233" t="s">
        <v>691</v>
      </c>
      <c r="D82" s="80" t="s">
        <v>2057</v>
      </c>
      <c r="E82" s="80" t="s">
        <v>2058</v>
      </c>
      <c r="F82" s="80" t="s">
        <v>2057</v>
      </c>
      <c r="G82" s="80" t="s">
        <v>2095</v>
      </c>
      <c r="H82" s="87" t="s">
        <v>2099</v>
      </c>
      <c r="I82" s="87" t="s">
        <v>2052</v>
      </c>
    </row>
    <row r="83" spans="2:9" ht="30" hidden="1" customHeight="1">
      <c r="B83" s="80" t="s">
        <v>690</v>
      </c>
      <c r="C83" s="233" t="s">
        <v>691</v>
      </c>
      <c r="D83" s="80" t="s">
        <v>2063</v>
      </c>
      <c r="E83" s="80" t="s">
        <v>2064</v>
      </c>
      <c r="F83" s="80" t="s">
        <v>2063</v>
      </c>
      <c r="G83" s="80" t="s">
        <v>2067</v>
      </c>
      <c r="H83" s="87" t="s">
        <v>2172</v>
      </c>
      <c r="I83" s="87" t="s">
        <v>2052</v>
      </c>
    </row>
    <row r="84" spans="2:9" ht="30.75">
      <c r="B84" s="75" t="s">
        <v>663</v>
      </c>
      <c r="C84" s="190" t="s">
        <v>664</v>
      </c>
      <c r="D84" s="80" t="s">
        <v>2063</v>
      </c>
      <c r="E84" s="80" t="s">
        <v>2064</v>
      </c>
      <c r="F84" s="80" t="s">
        <v>2063</v>
      </c>
      <c r="G84" s="80" t="s">
        <v>2065</v>
      </c>
      <c r="H84" s="87" t="s">
        <v>2066</v>
      </c>
      <c r="I84" s="83" t="s">
        <v>2052</v>
      </c>
    </row>
    <row r="85" spans="2:9" ht="30.75">
      <c r="B85" s="75" t="s">
        <v>663</v>
      </c>
      <c r="C85" s="190" t="s">
        <v>664</v>
      </c>
      <c r="D85" s="75" t="s">
        <v>2057</v>
      </c>
      <c r="E85" s="75" t="s">
        <v>2058</v>
      </c>
      <c r="F85" s="128" t="s">
        <v>2057</v>
      </c>
      <c r="G85" s="75" t="s">
        <v>2059</v>
      </c>
      <c r="H85" s="83" t="s">
        <v>2060</v>
      </c>
      <c r="I85" s="83" t="s">
        <v>2052</v>
      </c>
    </row>
    <row r="86" spans="2:9">
      <c r="B86"/>
      <c r="C86"/>
      <c r="D86"/>
      <c r="E86"/>
      <c r="F86"/>
    </row>
    <row r="87" spans="2:9">
      <c r="B87"/>
      <c r="C87"/>
      <c r="D87"/>
      <c r="E87"/>
      <c r="F87"/>
    </row>
    <row r="88" spans="2:9">
      <c r="B88"/>
      <c r="C88"/>
      <c r="D88"/>
      <c r="E88"/>
      <c r="F88"/>
    </row>
    <row r="89" spans="2:9">
      <c r="B89"/>
      <c r="C89"/>
      <c r="D89"/>
      <c r="E89"/>
      <c r="F89"/>
    </row>
    <row r="90" spans="2:9">
      <c r="B90"/>
      <c r="C90"/>
      <c r="D90"/>
      <c r="E90"/>
      <c r="F90"/>
    </row>
    <row r="91" spans="2:9">
      <c r="B91"/>
      <c r="C91"/>
      <c r="D91"/>
      <c r="E91"/>
      <c r="F91"/>
    </row>
    <row r="92" spans="2:9">
      <c r="B92"/>
      <c r="C92"/>
      <c r="D92"/>
      <c r="E92"/>
      <c r="F92"/>
    </row>
    <row r="93" spans="2:9">
      <c r="B93"/>
      <c r="C93"/>
      <c r="D93"/>
      <c r="E93"/>
      <c r="F93"/>
    </row>
    <row r="94" spans="2:9">
      <c r="B94"/>
      <c r="C94"/>
      <c r="D94"/>
      <c r="E94"/>
      <c r="F94"/>
    </row>
    <row r="95" spans="2:9">
      <c r="B95"/>
      <c r="C95"/>
      <c r="D95"/>
      <c r="E95"/>
      <c r="F95"/>
    </row>
    <row r="96" spans="2:9">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36"/>
  <sheetViews>
    <sheetView showGridLines="0" topLeftCell="C8" workbookViewId="0">
      <selection activeCell="E22" sqref="E22"/>
    </sheetView>
  </sheetViews>
  <sheetFormatPr defaultRowHeight="15"/>
  <cols>
    <col min="2" max="2" width="44.7109375" customWidth="1"/>
    <col min="3" max="4" width="39.28515625" customWidth="1"/>
    <col min="5" max="5" width="74.5703125" customWidth="1"/>
    <col min="6" max="6" width="136" customWidth="1"/>
    <col min="7" max="7" width="44.42578125" customWidth="1"/>
    <col min="8" max="8" width="59.140625" customWidth="1"/>
  </cols>
  <sheetData>
    <row r="1" spans="2:8" ht="37.5" customHeight="1"/>
    <row r="2" spans="2:8" ht="39.75">
      <c r="B2" s="99" t="s">
        <v>702</v>
      </c>
      <c r="C2" s="99" t="s">
        <v>704</v>
      </c>
      <c r="D2" s="99" t="s">
        <v>2173</v>
      </c>
      <c r="E2" s="99" t="s">
        <v>2174</v>
      </c>
      <c r="F2" s="99" t="s">
        <v>2175</v>
      </c>
      <c r="G2" s="99" t="s">
        <v>2176</v>
      </c>
      <c r="H2" s="265" t="s">
        <v>2177</v>
      </c>
    </row>
    <row r="3" spans="2:8" ht="30" customHeight="1">
      <c r="B3" s="75" t="s">
        <v>648</v>
      </c>
      <c r="C3" s="75" t="s">
        <v>649</v>
      </c>
      <c r="D3" s="75" t="s">
        <v>2048</v>
      </c>
      <c r="E3" s="75" t="s">
        <v>2049</v>
      </c>
      <c r="F3" s="83" t="s">
        <v>2178</v>
      </c>
      <c r="G3" s="83" t="s">
        <v>2179</v>
      </c>
      <c r="H3" s="266" t="s">
        <v>781</v>
      </c>
    </row>
    <row r="4" spans="2:8" ht="30" customHeight="1">
      <c r="B4" s="80" t="s">
        <v>648</v>
      </c>
      <c r="C4" s="75" t="s">
        <v>649</v>
      </c>
      <c r="D4" s="80" t="s">
        <v>2057</v>
      </c>
      <c r="E4" s="80" t="s">
        <v>2058</v>
      </c>
      <c r="F4" s="87" t="s">
        <v>2180</v>
      </c>
      <c r="G4" s="83" t="s">
        <v>2181</v>
      </c>
      <c r="H4" s="80" t="s">
        <v>781</v>
      </c>
    </row>
    <row r="5" spans="2:8" ht="30" customHeight="1">
      <c r="B5" s="80" t="s">
        <v>648</v>
      </c>
      <c r="C5" s="75" t="s">
        <v>649</v>
      </c>
      <c r="D5" s="80" t="s">
        <v>2063</v>
      </c>
      <c r="E5" s="80" t="s">
        <v>2064</v>
      </c>
      <c r="F5" s="87" t="s">
        <v>2182</v>
      </c>
      <c r="G5" s="83" t="s">
        <v>2183</v>
      </c>
      <c r="H5" s="80" t="s">
        <v>781</v>
      </c>
    </row>
    <row r="6" spans="2:8" ht="30" customHeight="1">
      <c r="B6" s="80" t="s">
        <v>651</v>
      </c>
      <c r="C6" s="80" t="s">
        <v>652</v>
      </c>
      <c r="D6" s="80" t="s">
        <v>2069</v>
      </c>
      <c r="E6" s="80" t="s">
        <v>2072</v>
      </c>
      <c r="F6" s="87" t="s">
        <v>2184</v>
      </c>
      <c r="G6" s="83" t="s">
        <v>2185</v>
      </c>
      <c r="H6" s="80" t="s">
        <v>781</v>
      </c>
    </row>
    <row r="7" spans="2:8" ht="30" customHeight="1">
      <c r="B7" s="80" t="s">
        <v>651</v>
      </c>
      <c r="C7" s="80" t="s">
        <v>652</v>
      </c>
      <c r="D7" s="80" t="s">
        <v>2063</v>
      </c>
      <c r="E7" s="80" t="s">
        <v>2064</v>
      </c>
      <c r="F7" s="87" t="s">
        <v>2186</v>
      </c>
      <c r="G7" s="83" t="s">
        <v>2187</v>
      </c>
      <c r="H7" s="80" t="s">
        <v>781</v>
      </c>
    </row>
    <row r="8" spans="2:8" ht="30" customHeight="1">
      <c r="B8" s="80" t="s">
        <v>654</v>
      </c>
      <c r="C8" s="151" t="s">
        <v>2074</v>
      </c>
      <c r="D8" s="80" t="s">
        <v>2075</v>
      </c>
      <c r="E8" s="75" t="s">
        <v>2079</v>
      </c>
      <c r="F8" s="87" t="s">
        <v>2188</v>
      </c>
      <c r="G8" s="87" t="s">
        <v>2189</v>
      </c>
      <c r="H8" s="80" t="s">
        <v>781</v>
      </c>
    </row>
    <row r="9" spans="2:8" ht="30" customHeight="1">
      <c r="B9" s="80" t="s">
        <v>654</v>
      </c>
      <c r="C9" s="151" t="s">
        <v>2074</v>
      </c>
      <c r="D9" s="80" t="s">
        <v>2075</v>
      </c>
      <c r="E9" s="75" t="s">
        <v>2089</v>
      </c>
      <c r="F9" s="87" t="s">
        <v>2190</v>
      </c>
      <c r="G9" s="87" t="s">
        <v>2189</v>
      </c>
      <c r="H9" s="80" t="s">
        <v>781</v>
      </c>
    </row>
    <row r="10" spans="2:8" ht="30" customHeight="1">
      <c r="B10" s="80" t="s">
        <v>654</v>
      </c>
      <c r="C10" s="151" t="s">
        <v>2074</v>
      </c>
      <c r="D10" s="80" t="s">
        <v>2057</v>
      </c>
      <c r="E10" s="80" t="s">
        <v>2058</v>
      </c>
      <c r="F10" s="87" t="s">
        <v>2191</v>
      </c>
      <c r="G10" s="87" t="s">
        <v>2192</v>
      </c>
      <c r="H10" s="80" t="s">
        <v>781</v>
      </c>
    </row>
    <row r="11" spans="2:8" ht="30" customHeight="1">
      <c r="B11" s="80" t="s">
        <v>654</v>
      </c>
      <c r="C11" s="261" t="s">
        <v>2074</v>
      </c>
      <c r="D11" s="80" t="s">
        <v>2063</v>
      </c>
      <c r="E11" s="80" t="s">
        <v>2064</v>
      </c>
      <c r="F11" s="87" t="s">
        <v>2193</v>
      </c>
      <c r="G11" s="87" t="s">
        <v>2183</v>
      </c>
      <c r="H11" s="80" t="s">
        <v>781</v>
      </c>
    </row>
    <row r="12" spans="2:8" ht="30" customHeight="1">
      <c r="B12" s="80" t="s">
        <v>654</v>
      </c>
      <c r="C12" s="151" t="s">
        <v>2074</v>
      </c>
      <c r="D12" s="80" t="s">
        <v>2063</v>
      </c>
      <c r="E12" s="80" t="s">
        <v>2064</v>
      </c>
      <c r="F12" s="87" t="s">
        <v>2194</v>
      </c>
      <c r="G12" s="83" t="s">
        <v>2183</v>
      </c>
      <c r="H12" s="80" t="s">
        <v>781</v>
      </c>
    </row>
    <row r="13" spans="2:8" ht="30" customHeight="1">
      <c r="B13" s="80" t="s">
        <v>657</v>
      </c>
      <c r="C13" s="80" t="s">
        <v>658</v>
      </c>
      <c r="D13" s="80" t="s">
        <v>2057</v>
      </c>
      <c r="E13" s="80" t="s">
        <v>2058</v>
      </c>
      <c r="F13" s="87" t="s">
        <v>2195</v>
      </c>
      <c r="G13" s="171" t="s">
        <v>2196</v>
      </c>
      <c r="H13" s="83" t="s">
        <v>2197</v>
      </c>
    </row>
    <row r="14" spans="2:8" ht="30" customHeight="1">
      <c r="B14" s="80" t="s">
        <v>657</v>
      </c>
      <c r="C14" s="80" t="s">
        <v>658</v>
      </c>
      <c r="D14" s="75" t="s">
        <v>2063</v>
      </c>
      <c r="E14" s="75" t="s">
        <v>2064</v>
      </c>
      <c r="F14" s="83" t="s">
        <v>2198</v>
      </c>
      <c r="G14" s="137" t="s">
        <v>2199</v>
      </c>
      <c r="H14" s="87" t="s">
        <v>2197</v>
      </c>
    </row>
    <row r="15" spans="2:8" ht="30" customHeight="1">
      <c r="B15" s="80" t="s">
        <v>660</v>
      </c>
      <c r="C15" s="233" t="s">
        <v>661</v>
      </c>
      <c r="D15" s="80" t="s">
        <v>2075</v>
      </c>
      <c r="E15" s="80" t="s">
        <v>2089</v>
      </c>
      <c r="F15" s="87" t="s">
        <v>2200</v>
      </c>
      <c r="G15" s="83" t="s">
        <v>2189</v>
      </c>
      <c r="H15" s="75" t="s">
        <v>781</v>
      </c>
    </row>
    <row r="16" spans="2:8" ht="30" customHeight="1">
      <c r="B16" s="80" t="s">
        <v>663</v>
      </c>
      <c r="C16" s="151" t="s">
        <v>664</v>
      </c>
      <c r="D16" s="75" t="s">
        <v>2111</v>
      </c>
      <c r="E16" s="80" t="s">
        <v>2112</v>
      </c>
      <c r="F16" s="213" t="s">
        <v>2201</v>
      </c>
      <c r="G16" s="83" t="s">
        <v>2202</v>
      </c>
      <c r="H16" s="80" t="s">
        <v>781</v>
      </c>
    </row>
    <row r="17" spans="2:8" ht="30" customHeight="1">
      <c r="B17" s="80" t="s">
        <v>663</v>
      </c>
      <c r="C17" s="199" t="s">
        <v>664</v>
      </c>
      <c r="D17" s="80" t="s">
        <v>2057</v>
      </c>
      <c r="E17" s="80" t="s">
        <v>2058</v>
      </c>
      <c r="F17" s="87" t="s">
        <v>2203</v>
      </c>
      <c r="G17" s="83" t="s">
        <v>2181</v>
      </c>
      <c r="H17" s="80" t="s">
        <v>781</v>
      </c>
    </row>
    <row r="18" spans="2:8" ht="30" customHeight="1">
      <c r="B18" s="80" t="s">
        <v>663</v>
      </c>
      <c r="C18" s="199" t="s">
        <v>664</v>
      </c>
      <c r="D18" s="80" t="s">
        <v>2063</v>
      </c>
      <c r="E18" s="75" t="s">
        <v>2064</v>
      </c>
      <c r="F18" s="213" t="s">
        <v>2204</v>
      </c>
      <c r="G18" s="83" t="s">
        <v>2187</v>
      </c>
      <c r="H18" s="80" t="s">
        <v>781</v>
      </c>
    </row>
    <row r="19" spans="2:8" ht="30" customHeight="1">
      <c r="B19" s="81" t="s">
        <v>666</v>
      </c>
      <c r="C19" s="80" t="s">
        <v>667</v>
      </c>
      <c r="D19" s="80" t="s">
        <v>2057</v>
      </c>
      <c r="E19" s="75" t="s">
        <v>2058</v>
      </c>
      <c r="F19" s="87" t="s">
        <v>2205</v>
      </c>
      <c r="G19" s="83" t="s">
        <v>2206</v>
      </c>
      <c r="H19" s="83" t="s">
        <v>2207</v>
      </c>
    </row>
    <row r="20" spans="2:8" ht="30" customHeight="1">
      <c r="B20" s="80" t="s">
        <v>669</v>
      </c>
      <c r="C20" s="80" t="s">
        <v>670</v>
      </c>
      <c r="D20" s="80" t="s">
        <v>2057</v>
      </c>
      <c r="E20" s="80" t="s">
        <v>2058</v>
      </c>
      <c r="F20" s="87" t="s">
        <v>2208</v>
      </c>
      <c r="G20" s="83" t="s">
        <v>2209</v>
      </c>
      <c r="H20" s="83" t="s">
        <v>2210</v>
      </c>
    </row>
    <row r="21" spans="2:8" ht="30" customHeight="1">
      <c r="B21" s="80" t="s">
        <v>672</v>
      </c>
      <c r="C21" s="242" t="s">
        <v>673</v>
      </c>
      <c r="D21" s="80" t="s">
        <v>2211</v>
      </c>
      <c r="E21" s="80" t="s">
        <v>2212</v>
      </c>
      <c r="F21" s="87" t="s">
        <v>2213</v>
      </c>
      <c r="G21" s="83" t="s">
        <v>2214</v>
      </c>
      <c r="H21" s="80" t="s">
        <v>781</v>
      </c>
    </row>
    <row r="22" spans="2:8" ht="30" customHeight="1">
      <c r="B22" s="80" t="s">
        <v>675</v>
      </c>
      <c r="C22" s="151" t="s">
        <v>676</v>
      </c>
      <c r="D22" s="80" t="s">
        <v>2057</v>
      </c>
      <c r="E22" s="80" t="s">
        <v>2058</v>
      </c>
      <c r="F22" s="87" t="s">
        <v>2215</v>
      </c>
      <c r="G22" s="137" t="s">
        <v>2216</v>
      </c>
      <c r="H22" s="87" t="s">
        <v>2217</v>
      </c>
    </row>
    <row r="23" spans="2:8" ht="30" customHeight="1">
      <c r="B23" s="80" t="s">
        <v>675</v>
      </c>
      <c r="C23" s="151" t="s">
        <v>676</v>
      </c>
      <c r="D23" s="80" t="s">
        <v>2063</v>
      </c>
      <c r="E23" s="80" t="s">
        <v>2064</v>
      </c>
      <c r="F23" s="87" t="s">
        <v>2218</v>
      </c>
      <c r="G23" s="171" t="s">
        <v>2219</v>
      </c>
      <c r="H23" s="83" t="s">
        <v>2217</v>
      </c>
    </row>
    <row r="24" spans="2:8" ht="30" customHeight="1">
      <c r="B24" s="80" t="s">
        <v>678</v>
      </c>
      <c r="C24" s="151" t="s">
        <v>679</v>
      </c>
      <c r="D24" s="80" t="s">
        <v>2123</v>
      </c>
      <c r="E24" s="75" t="s">
        <v>2141</v>
      </c>
      <c r="F24" s="87" t="s">
        <v>2220</v>
      </c>
      <c r="G24" s="137" t="s">
        <v>2221</v>
      </c>
      <c r="H24" s="80" t="s">
        <v>781</v>
      </c>
    </row>
    <row r="25" spans="2:8" ht="30" customHeight="1">
      <c r="B25" s="80" t="s">
        <v>678</v>
      </c>
      <c r="C25" s="151" t="s">
        <v>679</v>
      </c>
      <c r="D25" s="80" t="s">
        <v>2123</v>
      </c>
      <c r="E25" s="80" t="s">
        <v>2133</v>
      </c>
      <c r="F25" s="87" t="s">
        <v>2222</v>
      </c>
      <c r="G25" s="87" t="s">
        <v>2223</v>
      </c>
      <c r="H25" s="80" t="s">
        <v>781</v>
      </c>
    </row>
    <row r="26" spans="2:8" ht="30" customHeight="1">
      <c r="B26" s="80" t="s">
        <v>678</v>
      </c>
      <c r="C26" s="151" t="s">
        <v>679</v>
      </c>
      <c r="D26" s="80" t="s">
        <v>2063</v>
      </c>
      <c r="E26" s="80" t="s">
        <v>2064</v>
      </c>
      <c r="F26" s="87" t="s">
        <v>2224</v>
      </c>
      <c r="G26" s="137" t="s">
        <v>2225</v>
      </c>
      <c r="H26" s="87" t="s">
        <v>2197</v>
      </c>
    </row>
    <row r="27" spans="2:8" ht="30" customHeight="1">
      <c r="B27" s="80" t="s">
        <v>681</v>
      </c>
      <c r="C27" s="151" t="s">
        <v>682</v>
      </c>
      <c r="D27" s="80" t="s">
        <v>2057</v>
      </c>
      <c r="E27" s="80" t="s">
        <v>2058</v>
      </c>
      <c r="F27" s="87" t="s">
        <v>2226</v>
      </c>
      <c r="G27" s="171" t="s">
        <v>2227</v>
      </c>
      <c r="H27" s="87" t="s">
        <v>2228</v>
      </c>
    </row>
    <row r="28" spans="2:8" ht="30" customHeight="1">
      <c r="B28" s="80" t="s">
        <v>681</v>
      </c>
      <c r="C28" s="151" t="s">
        <v>682</v>
      </c>
      <c r="D28" s="80" t="s">
        <v>2063</v>
      </c>
      <c r="E28" s="80" t="s">
        <v>2064</v>
      </c>
      <c r="F28" s="87" t="s">
        <v>2229</v>
      </c>
      <c r="G28" s="267" t="s">
        <v>2230</v>
      </c>
      <c r="H28" s="87" t="s">
        <v>2228</v>
      </c>
    </row>
    <row r="29" spans="2:8" ht="30" customHeight="1">
      <c r="B29" s="80" t="s">
        <v>684</v>
      </c>
      <c r="C29" s="230" t="s">
        <v>685</v>
      </c>
      <c r="D29" s="80" t="s">
        <v>2075</v>
      </c>
      <c r="E29" s="80" t="s">
        <v>2089</v>
      </c>
      <c r="F29" s="87" t="s">
        <v>2231</v>
      </c>
      <c r="G29" s="78" t="s">
        <v>2189</v>
      </c>
      <c r="H29" s="75" t="s">
        <v>781</v>
      </c>
    </row>
    <row r="30" spans="2:8" ht="30" customHeight="1">
      <c r="B30" s="80" t="s">
        <v>687</v>
      </c>
      <c r="C30" s="151" t="s">
        <v>688</v>
      </c>
      <c r="D30" s="80" t="s">
        <v>2146</v>
      </c>
      <c r="E30" s="80" t="s">
        <v>2147</v>
      </c>
      <c r="F30" s="87" t="s">
        <v>2232</v>
      </c>
      <c r="G30" s="83" t="s">
        <v>2233</v>
      </c>
      <c r="H30" s="138" t="s">
        <v>781</v>
      </c>
    </row>
    <row r="31" spans="2:8" ht="30" customHeight="1">
      <c r="B31" s="80" t="s">
        <v>690</v>
      </c>
      <c r="C31" s="151" t="s">
        <v>691</v>
      </c>
      <c r="D31" s="80" t="s">
        <v>2150</v>
      </c>
      <c r="E31" s="80" t="s">
        <v>2151</v>
      </c>
      <c r="F31" s="87" t="s">
        <v>781</v>
      </c>
      <c r="G31" s="80" t="s">
        <v>781</v>
      </c>
      <c r="H31" s="80" t="s">
        <v>781</v>
      </c>
    </row>
    <row r="32" spans="2:8" ht="30" customHeight="1">
      <c r="B32" s="80" t="s">
        <v>690</v>
      </c>
      <c r="C32" s="151" t="s">
        <v>691</v>
      </c>
      <c r="D32" s="80" t="s">
        <v>2150</v>
      </c>
      <c r="E32" s="80" t="s">
        <v>2157</v>
      </c>
      <c r="F32" s="87" t="s">
        <v>781</v>
      </c>
      <c r="G32" s="80" t="s">
        <v>781</v>
      </c>
      <c r="H32" s="80" t="s">
        <v>781</v>
      </c>
    </row>
    <row r="33" spans="2:8" ht="30" customHeight="1">
      <c r="B33" s="80" t="s">
        <v>690</v>
      </c>
      <c r="C33" s="151" t="s">
        <v>691</v>
      </c>
      <c r="D33" s="80" t="s">
        <v>2150</v>
      </c>
      <c r="E33" s="80" t="s">
        <v>2164</v>
      </c>
      <c r="F33" s="87" t="s">
        <v>781</v>
      </c>
      <c r="G33" s="80" t="s">
        <v>781</v>
      </c>
      <c r="H33" s="80" t="s">
        <v>781</v>
      </c>
    </row>
    <row r="34" spans="2:8" ht="30" customHeight="1">
      <c r="B34" s="80" t="s">
        <v>690</v>
      </c>
      <c r="C34" s="151" t="s">
        <v>691</v>
      </c>
      <c r="D34" s="80" t="s">
        <v>2150</v>
      </c>
      <c r="E34" s="80" t="s">
        <v>2168</v>
      </c>
      <c r="F34" s="87" t="s">
        <v>781</v>
      </c>
      <c r="G34" s="80" t="s">
        <v>781</v>
      </c>
      <c r="H34" s="80" t="s">
        <v>781</v>
      </c>
    </row>
    <row r="35" spans="2:8" ht="30" customHeight="1">
      <c r="B35" s="80" t="s">
        <v>690</v>
      </c>
      <c r="C35" s="151" t="s">
        <v>691</v>
      </c>
      <c r="D35" s="75" t="s">
        <v>2057</v>
      </c>
      <c r="E35" s="75" t="s">
        <v>2058</v>
      </c>
      <c r="F35" s="83" t="s">
        <v>2180</v>
      </c>
      <c r="G35" s="83" t="s">
        <v>2181</v>
      </c>
      <c r="H35" s="80" t="s">
        <v>781</v>
      </c>
    </row>
    <row r="36" spans="2:8" ht="30" customHeight="1">
      <c r="B36" s="80" t="s">
        <v>690</v>
      </c>
      <c r="C36" s="151" t="s">
        <v>691</v>
      </c>
      <c r="D36" s="80" t="s">
        <v>2063</v>
      </c>
      <c r="E36" s="80" t="s">
        <v>2064</v>
      </c>
      <c r="F36" s="87" t="s">
        <v>2182</v>
      </c>
      <c r="G36" s="87" t="s">
        <v>2183</v>
      </c>
      <c r="H36" s="80" t="s">
        <v>781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topLeftCell="A9" workbookViewId="0">
      <selection activeCell="Q9" sqref="Q9"/>
    </sheetView>
  </sheetViews>
  <sheetFormatPr defaultRowHeight="15"/>
  <cols>
    <col min="2" max="2" width="14" style="89" customWidth="1"/>
    <col min="3" max="3" width="35.42578125" customWidth="1"/>
    <col min="4" max="4" width="40.140625" style="24" customWidth="1"/>
    <col min="5" max="5" width="73.7109375" customWidth="1"/>
  </cols>
  <sheetData>
    <row r="1" spans="2:5" ht="45.75" customHeight="1"/>
    <row r="2" spans="2:5" ht="39.75" customHeight="1">
      <c r="B2" s="90" t="s">
        <v>2234</v>
      </c>
      <c r="C2" s="91" t="s">
        <v>2235</v>
      </c>
      <c r="D2" s="91" t="s">
        <v>1641</v>
      </c>
      <c r="E2" s="92" t="s">
        <v>2236</v>
      </c>
    </row>
    <row r="3" spans="2:5" ht="39.75" customHeight="1">
      <c r="B3" s="158">
        <v>1</v>
      </c>
      <c r="C3" s="93" t="s">
        <v>2237</v>
      </c>
      <c r="D3" s="94" t="s">
        <v>2238</v>
      </c>
      <c r="E3" s="93"/>
    </row>
    <row r="4" spans="2:5" ht="39.75" customHeight="1">
      <c r="B4" s="158">
        <v>2</v>
      </c>
      <c r="C4" s="93" t="s">
        <v>2239</v>
      </c>
      <c r="D4" s="94" t="s">
        <v>2240</v>
      </c>
      <c r="E4" s="93"/>
    </row>
    <row r="5" spans="2:5" ht="39.75" customHeight="1">
      <c r="B5" s="158">
        <v>3</v>
      </c>
      <c r="C5" s="93" t="s">
        <v>2241</v>
      </c>
      <c r="D5" s="94" t="s">
        <v>2242</v>
      </c>
      <c r="E5" s="93"/>
    </row>
    <row r="6" spans="2:5" ht="39.75" customHeight="1">
      <c r="B6" s="158">
        <v>4</v>
      </c>
      <c r="C6" s="94" t="s">
        <v>2243</v>
      </c>
      <c r="D6" s="94" t="s">
        <v>2244</v>
      </c>
      <c r="E6" s="93"/>
    </row>
    <row r="7" spans="2:5" ht="39.75" customHeight="1">
      <c r="B7" s="159">
        <v>5</v>
      </c>
      <c r="C7" s="94" t="s">
        <v>2245</v>
      </c>
      <c r="D7" s="94" t="s">
        <v>2244</v>
      </c>
      <c r="E7" s="93"/>
    </row>
    <row r="8" spans="2:5" ht="39.75" customHeight="1">
      <c r="B8" s="159">
        <v>6</v>
      </c>
      <c r="C8" s="94" t="s">
        <v>2246</v>
      </c>
      <c r="D8" s="94" t="s">
        <v>2247</v>
      </c>
      <c r="E8" s="166" t="s">
        <v>2248</v>
      </c>
    </row>
    <row r="9" spans="2:5" ht="39.75" customHeight="1">
      <c r="B9" s="159">
        <v>7</v>
      </c>
      <c r="C9" s="93" t="s">
        <v>2249</v>
      </c>
      <c r="D9" s="94" t="s">
        <v>2250</v>
      </c>
      <c r="E9" s="93" t="s">
        <v>2251</v>
      </c>
    </row>
    <row r="10" spans="2:5" ht="39.75" customHeight="1">
      <c r="B10" s="158">
        <v>8</v>
      </c>
      <c r="C10" s="93" t="s">
        <v>2252</v>
      </c>
      <c r="D10" s="94" t="s">
        <v>2253</v>
      </c>
      <c r="E10" s="93"/>
    </row>
    <row r="11" spans="2:5" ht="39.75" customHeight="1">
      <c r="B11" s="159">
        <v>9</v>
      </c>
      <c r="C11" s="93" t="s">
        <v>2254</v>
      </c>
      <c r="D11" s="94" t="s">
        <v>2255</v>
      </c>
      <c r="E11" s="93"/>
    </row>
    <row r="12" spans="2:5" ht="39.75" customHeight="1">
      <c r="B12" s="158">
        <v>10</v>
      </c>
      <c r="C12" s="94" t="s">
        <v>2256</v>
      </c>
      <c r="D12" s="94" t="s">
        <v>2257</v>
      </c>
      <c r="E12" s="93"/>
    </row>
    <row r="13" spans="2:5" ht="39.75" customHeight="1">
      <c r="B13" s="159">
        <v>11</v>
      </c>
      <c r="C13" s="93" t="s">
        <v>2258</v>
      </c>
      <c r="D13" s="94" t="s">
        <v>2259</v>
      </c>
      <c r="E13" s="93"/>
    </row>
    <row r="14" spans="2:5" ht="39.75" customHeight="1">
      <c r="B14" s="159">
        <v>12</v>
      </c>
      <c r="C14" s="93" t="s">
        <v>2260</v>
      </c>
      <c r="D14" s="94" t="s">
        <v>2261</v>
      </c>
      <c r="E14" s="93"/>
    </row>
    <row r="15" spans="2:5" ht="39.75" customHeight="1">
      <c r="B15" s="159">
        <v>13</v>
      </c>
      <c r="C15" s="93" t="s">
        <v>2262</v>
      </c>
      <c r="D15" s="94" t="s">
        <v>2263</v>
      </c>
      <c r="E15" s="93"/>
    </row>
    <row r="16" spans="2:5" ht="39.75" customHeight="1">
      <c r="B16" s="160">
        <v>14</v>
      </c>
      <c r="C16" s="95" t="s">
        <v>2264</v>
      </c>
      <c r="D16" s="94" t="s">
        <v>2265</v>
      </c>
      <c r="E16" s="93"/>
    </row>
    <row r="17" spans="2:5" ht="39.75" customHeight="1">
      <c r="B17" s="159">
        <v>15</v>
      </c>
      <c r="C17" s="93" t="s">
        <v>2266</v>
      </c>
      <c r="D17" s="94" t="s">
        <v>2267</v>
      </c>
      <c r="E17" s="93"/>
    </row>
    <row r="18" spans="2:5" ht="39.75" customHeight="1">
      <c r="B18" s="159">
        <v>16</v>
      </c>
      <c r="C18" s="93" t="s">
        <v>2268</v>
      </c>
      <c r="D18" s="94" t="s">
        <v>2269</v>
      </c>
      <c r="E18" s="93"/>
    </row>
    <row r="19" spans="2:5" ht="39.75" customHeight="1">
      <c r="B19" s="159">
        <v>17</v>
      </c>
      <c r="C19" s="93" t="s">
        <v>2270</v>
      </c>
      <c r="D19" s="94" t="s">
        <v>2271</v>
      </c>
      <c r="E19" s="93"/>
    </row>
    <row r="20" spans="2:5" ht="39.75" customHeight="1">
      <c r="B20" s="160">
        <v>18</v>
      </c>
      <c r="C20" s="95" t="s">
        <v>2272</v>
      </c>
      <c r="D20" s="96" t="s">
        <v>2273</v>
      </c>
      <c r="E20" s="95"/>
    </row>
    <row r="21" spans="2:5" ht="39.75" customHeight="1">
      <c r="B21" s="160">
        <v>19</v>
      </c>
      <c r="C21" s="95" t="s">
        <v>2274</v>
      </c>
      <c r="D21" s="96" t="s">
        <v>2275</v>
      </c>
      <c r="E21" s="95" t="s">
        <v>2276</v>
      </c>
    </row>
    <row r="22" spans="2:5" ht="39.75" customHeight="1">
      <c r="B22" s="159">
        <v>20</v>
      </c>
      <c r="C22" s="93" t="s">
        <v>2277</v>
      </c>
      <c r="D22" s="94" t="s">
        <v>2278</v>
      </c>
      <c r="E22" s="93" t="s">
        <v>2279</v>
      </c>
    </row>
    <row r="23" spans="2:5" ht="39.75" customHeight="1">
      <c r="B23" s="159">
        <v>21</v>
      </c>
      <c r="C23" s="93" t="s">
        <v>2280</v>
      </c>
      <c r="D23" s="94" t="s">
        <v>2281</v>
      </c>
      <c r="E23" s="93" t="s">
        <v>2282</v>
      </c>
    </row>
  </sheetData>
  <conditionalFormatting sqref="D3:D23">
    <cfRule type="cellIs" dxfId="543"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topLeftCell="K1" workbookViewId="0">
      <selection activeCell="A14" sqref="A14:XFD14"/>
    </sheetView>
  </sheetViews>
  <sheetFormatPr defaultRowHeight="1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row r="2" spans="2:30">
      <c r="B2" s="97" t="s">
        <v>2283</v>
      </c>
      <c r="C2" s="97" t="s">
        <v>2284</v>
      </c>
      <c r="D2" s="97" t="s">
        <v>2285</v>
      </c>
      <c r="E2" s="97" t="s">
        <v>2286</v>
      </c>
      <c r="F2" s="97" t="s">
        <v>2287</v>
      </c>
      <c r="G2" s="97" t="s">
        <v>2288</v>
      </c>
      <c r="H2" s="97" t="s">
        <v>2289</v>
      </c>
      <c r="I2" s="147" t="s">
        <v>730</v>
      </c>
      <c r="J2" s="147" t="s">
        <v>842</v>
      </c>
      <c r="K2" s="147" t="s">
        <v>923</v>
      </c>
      <c r="L2" s="147" t="s">
        <v>1012</v>
      </c>
      <c r="M2" s="179" t="s">
        <v>1079</v>
      </c>
      <c r="N2" s="179" t="s">
        <v>1334</v>
      </c>
      <c r="O2" s="179" t="s">
        <v>1440</v>
      </c>
      <c r="P2" s="147" t="s">
        <v>1141</v>
      </c>
      <c r="Q2" s="147" t="s">
        <v>1208</v>
      </c>
      <c r="R2" s="147" t="s">
        <v>1169</v>
      </c>
      <c r="S2" s="147" t="s">
        <v>1748</v>
      </c>
      <c r="T2" s="147" t="s">
        <v>1790</v>
      </c>
      <c r="U2" s="147" t="s">
        <v>1822</v>
      </c>
      <c r="V2" s="147" t="s">
        <v>1864</v>
      </c>
      <c r="W2" s="147" t="s">
        <v>1272</v>
      </c>
      <c r="X2" s="147" t="s">
        <v>1459</v>
      </c>
      <c r="Y2" s="147" t="s">
        <v>1255</v>
      </c>
      <c r="Z2" s="179" t="s">
        <v>1224</v>
      </c>
      <c r="AA2" s="147" t="s">
        <v>1525</v>
      </c>
      <c r="AB2" s="147" t="s">
        <v>1499</v>
      </c>
      <c r="AC2" s="147" t="s">
        <v>1561</v>
      </c>
      <c r="AD2" s="147" t="s">
        <v>1614</v>
      </c>
    </row>
    <row r="3" spans="2:30">
      <c r="B3" s="141" t="s">
        <v>2237</v>
      </c>
      <c r="C3" s="98">
        <v>1</v>
      </c>
      <c r="D3" s="98" t="s">
        <v>2290</v>
      </c>
      <c r="E3" s="116">
        <v>45513</v>
      </c>
      <c r="F3" s="98">
        <v>1</v>
      </c>
      <c r="G3" s="117">
        <v>1</v>
      </c>
      <c r="H3" s="117">
        <v>1538</v>
      </c>
      <c r="I3" s="146" t="s">
        <v>2291</v>
      </c>
      <c r="J3" s="146" t="s">
        <v>2291</v>
      </c>
      <c r="K3" s="146" t="s">
        <v>2291</v>
      </c>
      <c r="L3" s="146" t="s">
        <v>2291</v>
      </c>
      <c r="M3" s="180" t="s">
        <v>2291</v>
      </c>
      <c r="N3" s="180" t="s">
        <v>2291</v>
      </c>
      <c r="O3" s="180" t="s">
        <v>2291</v>
      </c>
      <c r="P3" s="146" t="s">
        <v>2291</v>
      </c>
      <c r="Q3" s="146" t="s">
        <v>2291</v>
      </c>
      <c r="R3" s="146" t="s">
        <v>2291</v>
      </c>
      <c r="S3" s="146" t="s">
        <v>2291</v>
      </c>
      <c r="T3" s="146" t="s">
        <v>2291</v>
      </c>
      <c r="U3" s="146" t="s">
        <v>2291</v>
      </c>
      <c r="V3" s="146" t="s">
        <v>2291</v>
      </c>
      <c r="W3" s="146" t="s">
        <v>2291</v>
      </c>
      <c r="X3" s="146" t="s">
        <v>2291</v>
      </c>
      <c r="Y3" s="146" t="s">
        <v>2291</v>
      </c>
      <c r="Z3" s="180" t="s">
        <v>2291</v>
      </c>
      <c r="AA3" s="146" t="s">
        <v>2291</v>
      </c>
      <c r="AB3" s="146" t="s">
        <v>2291</v>
      </c>
      <c r="AC3" s="146" t="s">
        <v>2291</v>
      </c>
      <c r="AD3" s="146" t="s">
        <v>2291</v>
      </c>
    </row>
    <row r="4" spans="2:30">
      <c r="B4" s="141" t="s">
        <v>2239</v>
      </c>
      <c r="C4" s="98">
        <v>2</v>
      </c>
      <c r="D4" s="98" t="s">
        <v>2292</v>
      </c>
      <c r="E4" s="116">
        <v>45513</v>
      </c>
      <c r="F4" s="98">
        <v>1</v>
      </c>
      <c r="G4" s="117">
        <v>1</v>
      </c>
      <c r="H4" s="98">
        <v>0</v>
      </c>
      <c r="I4" s="146" t="s">
        <v>2291</v>
      </c>
      <c r="J4" s="146" t="s">
        <v>2291</v>
      </c>
      <c r="K4" s="146" t="s">
        <v>2291</v>
      </c>
      <c r="L4" s="146" t="s">
        <v>2291</v>
      </c>
      <c r="M4" s="180" t="s">
        <v>2291</v>
      </c>
      <c r="N4" s="180" t="s">
        <v>2291</v>
      </c>
      <c r="O4" s="180" t="s">
        <v>2291</v>
      </c>
      <c r="P4" s="146" t="s">
        <v>2291</v>
      </c>
      <c r="Q4" s="146" t="s">
        <v>2291</v>
      </c>
      <c r="R4" s="146" t="s">
        <v>2291</v>
      </c>
      <c r="S4" s="146" t="s">
        <v>2291</v>
      </c>
      <c r="T4" s="146" t="s">
        <v>2291</v>
      </c>
      <c r="U4" s="146" t="s">
        <v>2291</v>
      </c>
      <c r="V4" s="146" t="s">
        <v>2291</v>
      </c>
      <c r="W4" s="146" t="s">
        <v>2291</v>
      </c>
      <c r="X4" s="146" t="s">
        <v>2291</v>
      </c>
      <c r="Y4" s="146" t="s">
        <v>2291</v>
      </c>
      <c r="Z4" s="180" t="s">
        <v>2291</v>
      </c>
      <c r="AA4" s="146" t="s">
        <v>2291</v>
      </c>
      <c r="AB4" s="146" t="s">
        <v>2291</v>
      </c>
      <c r="AC4" s="146" t="s">
        <v>2291</v>
      </c>
      <c r="AD4" s="146" t="s">
        <v>2291</v>
      </c>
    </row>
    <row r="5" spans="2:30">
      <c r="B5" s="141" t="s">
        <v>2241</v>
      </c>
      <c r="C5" s="98">
        <v>3</v>
      </c>
      <c r="D5" s="98" t="s">
        <v>2293</v>
      </c>
      <c r="E5" s="116">
        <v>45513</v>
      </c>
      <c r="F5" s="98">
        <v>1</v>
      </c>
      <c r="G5" s="98">
        <v>0.77777799999999997</v>
      </c>
      <c r="H5" s="117">
        <v>1</v>
      </c>
      <c r="I5" s="146" t="s">
        <v>2294</v>
      </c>
      <c r="J5" s="146" t="s">
        <v>2294</v>
      </c>
      <c r="K5" s="146" t="s">
        <v>2295</v>
      </c>
      <c r="L5" s="146" t="s">
        <v>2295</v>
      </c>
      <c r="M5" s="180" t="s">
        <v>2291</v>
      </c>
      <c r="N5" s="180" t="s">
        <v>2295</v>
      </c>
      <c r="O5" s="180" t="s">
        <v>2295</v>
      </c>
      <c r="P5" s="146" t="s">
        <v>2295</v>
      </c>
      <c r="Q5" s="146" t="s">
        <v>2295</v>
      </c>
      <c r="R5" s="146" t="s">
        <v>2291</v>
      </c>
      <c r="S5" s="146" t="s">
        <v>2291</v>
      </c>
      <c r="T5" s="146" t="s">
        <v>2291</v>
      </c>
      <c r="U5" s="146" t="s">
        <v>2291</v>
      </c>
      <c r="V5" s="146" t="s">
        <v>2291</v>
      </c>
      <c r="W5" s="146" t="s">
        <v>2291</v>
      </c>
      <c r="X5" s="146" t="s">
        <v>2291</v>
      </c>
      <c r="Y5" s="146" t="s">
        <v>2291</v>
      </c>
      <c r="Z5" s="180" t="s">
        <v>2291</v>
      </c>
      <c r="AA5" s="146" t="s">
        <v>2291</v>
      </c>
      <c r="AB5" s="146" t="s">
        <v>2291</v>
      </c>
      <c r="AC5" s="146" t="s">
        <v>2295</v>
      </c>
      <c r="AD5" s="146" t="s">
        <v>2291</v>
      </c>
    </row>
    <row r="6" spans="2:30">
      <c r="B6" s="88" t="s">
        <v>2243</v>
      </c>
      <c r="C6" s="98">
        <v>4</v>
      </c>
      <c r="D6" s="98" t="s">
        <v>2296</v>
      </c>
      <c r="E6" s="116" t="s">
        <v>2291</v>
      </c>
      <c r="F6" s="98">
        <v>1</v>
      </c>
      <c r="G6" s="98" t="s">
        <v>2291</v>
      </c>
      <c r="H6" s="98"/>
      <c r="I6" s="146" t="s">
        <v>2291</v>
      </c>
      <c r="J6" s="146" t="s">
        <v>2291</v>
      </c>
      <c r="K6" s="146" t="s">
        <v>2291</v>
      </c>
      <c r="L6" s="146" t="s">
        <v>2291</v>
      </c>
      <c r="M6" s="180" t="s">
        <v>2291</v>
      </c>
      <c r="N6" s="180" t="s">
        <v>2291</v>
      </c>
      <c r="O6" s="180" t="s">
        <v>2291</v>
      </c>
      <c r="P6" s="146" t="s">
        <v>2291</v>
      </c>
      <c r="Q6" s="146" t="s">
        <v>2291</v>
      </c>
      <c r="R6" s="146" t="s">
        <v>2291</v>
      </c>
      <c r="S6" s="146" t="s">
        <v>2291</v>
      </c>
      <c r="T6" s="146" t="s">
        <v>2291</v>
      </c>
      <c r="U6" s="146" t="s">
        <v>2291</v>
      </c>
      <c r="V6" s="146" t="s">
        <v>2291</v>
      </c>
      <c r="W6" s="146" t="s">
        <v>2291</v>
      </c>
      <c r="X6" s="146" t="s">
        <v>2291</v>
      </c>
      <c r="Y6" s="146" t="s">
        <v>2291</v>
      </c>
      <c r="Z6" s="180" t="s">
        <v>2291</v>
      </c>
      <c r="AA6" s="146" t="s">
        <v>2291</v>
      </c>
      <c r="AB6" s="146" t="s">
        <v>2291</v>
      </c>
      <c r="AC6" s="146" t="s">
        <v>2291</v>
      </c>
      <c r="AD6" s="146" t="s">
        <v>2291</v>
      </c>
    </row>
    <row r="7" spans="2:30">
      <c r="B7" s="88" t="s">
        <v>2245</v>
      </c>
      <c r="C7" s="98">
        <v>5</v>
      </c>
      <c r="D7" s="98" t="s">
        <v>2296</v>
      </c>
      <c r="E7" s="116" t="s">
        <v>2291</v>
      </c>
      <c r="F7" s="98">
        <v>1</v>
      </c>
      <c r="G7" s="98" t="s">
        <v>2291</v>
      </c>
      <c r="H7" s="98"/>
      <c r="I7" s="146" t="s">
        <v>2291</v>
      </c>
      <c r="J7" s="146" t="s">
        <v>2291</v>
      </c>
      <c r="K7" s="146" t="s">
        <v>2291</v>
      </c>
      <c r="L7" s="146" t="s">
        <v>2291</v>
      </c>
      <c r="M7" s="180" t="s">
        <v>2291</v>
      </c>
      <c r="N7" s="180" t="s">
        <v>2291</v>
      </c>
      <c r="O7" s="180" t="s">
        <v>2291</v>
      </c>
      <c r="P7" s="146" t="s">
        <v>2291</v>
      </c>
      <c r="Q7" s="146" t="s">
        <v>2291</v>
      </c>
      <c r="R7" s="146" t="s">
        <v>2291</v>
      </c>
      <c r="S7" s="146" t="s">
        <v>2291</v>
      </c>
      <c r="T7" s="146" t="s">
        <v>2291</v>
      </c>
      <c r="U7" s="146" t="s">
        <v>2291</v>
      </c>
      <c r="V7" s="146" t="s">
        <v>2291</v>
      </c>
      <c r="W7" s="146" t="s">
        <v>2291</v>
      </c>
      <c r="X7" s="146" t="s">
        <v>2291</v>
      </c>
      <c r="Y7" s="146" t="s">
        <v>2291</v>
      </c>
      <c r="Z7" s="180" t="s">
        <v>2291</v>
      </c>
      <c r="AA7" s="146" t="s">
        <v>2291</v>
      </c>
      <c r="AB7" s="146" t="s">
        <v>2291</v>
      </c>
      <c r="AC7" s="146" t="s">
        <v>2291</v>
      </c>
      <c r="AD7" s="146" t="s">
        <v>2291</v>
      </c>
    </row>
    <row r="8" spans="2:30">
      <c r="B8" s="172" t="s">
        <v>2246</v>
      </c>
      <c r="C8" s="98">
        <v>6</v>
      </c>
      <c r="D8" s="98" t="s">
        <v>2297</v>
      </c>
      <c r="E8" s="116">
        <v>45513</v>
      </c>
      <c r="F8" s="98">
        <v>1</v>
      </c>
      <c r="G8" s="98" cm="1">
        <f t="array" ref="G8">SUMPRODUCT(--(I8:AD8&gt;0))/COUNTA(I8:AD8)</f>
        <v>1</v>
      </c>
      <c r="H8" s="98">
        <v>0</v>
      </c>
      <c r="I8" s="98">
        <v>2</v>
      </c>
      <c r="J8" s="98">
        <v>30</v>
      </c>
      <c r="K8" s="98">
        <v>13</v>
      </c>
      <c r="L8" s="98">
        <v>1</v>
      </c>
      <c r="M8" s="142" t="s">
        <v>2298</v>
      </c>
      <c r="N8" s="142">
        <v>10</v>
      </c>
      <c r="O8" s="142">
        <v>8</v>
      </c>
      <c r="P8" s="98">
        <v>2</v>
      </c>
      <c r="Q8" s="98">
        <v>15</v>
      </c>
      <c r="R8" s="98">
        <v>1</v>
      </c>
      <c r="S8" s="98">
        <v>10</v>
      </c>
      <c r="T8" s="98">
        <v>2</v>
      </c>
      <c r="U8" s="98">
        <v>30</v>
      </c>
      <c r="V8" s="98">
        <v>34</v>
      </c>
      <c r="W8" s="98">
        <v>1</v>
      </c>
      <c r="X8" s="98">
        <v>1</v>
      </c>
      <c r="Y8" s="98">
        <v>3</v>
      </c>
      <c r="Z8" s="142">
        <v>10</v>
      </c>
      <c r="AA8" s="98">
        <v>1</v>
      </c>
      <c r="AB8" s="98">
        <v>2</v>
      </c>
      <c r="AC8" s="98">
        <v>10</v>
      </c>
      <c r="AD8" s="98">
        <v>23</v>
      </c>
    </row>
    <row r="9" spans="2:30">
      <c r="B9" s="141" t="s">
        <v>2249</v>
      </c>
      <c r="C9" s="98">
        <v>7</v>
      </c>
      <c r="D9" s="98" t="s">
        <v>2299</v>
      </c>
      <c r="E9" s="116">
        <v>45513</v>
      </c>
      <c r="F9" s="98">
        <v>1</v>
      </c>
      <c r="G9" s="161" cm="1">
        <f t="array" aca="1" ref="G9" ca="1">SUMPRODUCT(--(I9:AD9&lt;=I26:AD26))/COUNTA(I9:AD9)</f>
        <v>0.77272727272727271</v>
      </c>
      <c r="H9" s="98">
        <v>0</v>
      </c>
      <c r="I9" s="98">
        <v>2</v>
      </c>
      <c r="J9" s="98">
        <v>30</v>
      </c>
      <c r="K9" s="98">
        <v>13</v>
      </c>
      <c r="L9" s="98">
        <v>1</v>
      </c>
      <c r="M9" s="142" t="s">
        <v>2298</v>
      </c>
      <c r="N9" s="142">
        <v>10</v>
      </c>
      <c r="O9" s="142">
        <v>14</v>
      </c>
      <c r="P9" s="98">
        <v>2</v>
      </c>
      <c r="Q9" s="98">
        <v>15</v>
      </c>
      <c r="R9" s="98">
        <v>1</v>
      </c>
      <c r="S9" s="98">
        <v>10</v>
      </c>
      <c r="T9" s="98">
        <v>2</v>
      </c>
      <c r="U9" s="98">
        <v>30</v>
      </c>
      <c r="V9" s="98">
        <v>34</v>
      </c>
      <c r="W9" s="98">
        <v>1</v>
      </c>
      <c r="X9" s="98">
        <v>1</v>
      </c>
      <c r="Y9" s="98">
        <v>3</v>
      </c>
      <c r="Z9" s="142">
        <v>10</v>
      </c>
      <c r="AA9" s="98">
        <v>13</v>
      </c>
      <c r="AB9" s="98">
        <v>2</v>
      </c>
      <c r="AC9" s="98">
        <v>10</v>
      </c>
      <c r="AD9" s="98">
        <v>23</v>
      </c>
    </row>
    <row r="10" spans="2:30">
      <c r="B10" s="141" t="s">
        <v>2252</v>
      </c>
      <c r="C10" s="98">
        <v>8</v>
      </c>
      <c r="D10" s="98" t="s">
        <v>2300</v>
      </c>
      <c r="E10" s="116">
        <v>45513</v>
      </c>
      <c r="F10" s="98">
        <v>1</v>
      </c>
      <c r="G10" s="146" t="s">
        <v>2291</v>
      </c>
      <c r="H10" s="98">
        <v>0</v>
      </c>
      <c r="I10" s="146" t="s">
        <v>2301</v>
      </c>
      <c r="J10" s="146" t="s">
        <v>2302</v>
      </c>
      <c r="K10" s="146" t="s">
        <v>2303</v>
      </c>
      <c r="L10" s="146" t="s">
        <v>2294</v>
      </c>
      <c r="M10" s="180" t="s">
        <v>2298</v>
      </c>
      <c r="N10" s="183">
        <v>45504</v>
      </c>
      <c r="O10" s="180" t="s">
        <v>2304</v>
      </c>
      <c r="P10" s="146" t="s">
        <v>2301</v>
      </c>
      <c r="Q10" s="146" t="s">
        <v>2305</v>
      </c>
      <c r="R10" s="146" t="s">
        <v>2295</v>
      </c>
      <c r="S10" s="146" t="s">
        <v>2306</v>
      </c>
      <c r="T10" s="146" t="s">
        <v>2307</v>
      </c>
      <c r="U10" s="146" t="s">
        <v>2308</v>
      </c>
      <c r="V10" s="146" t="s">
        <v>2309</v>
      </c>
      <c r="W10" s="98">
        <v>0</v>
      </c>
      <c r="X10" s="146" t="s">
        <v>2295</v>
      </c>
      <c r="Y10" s="146" t="s">
        <v>2310</v>
      </c>
      <c r="Z10" s="180" t="s">
        <v>2311</v>
      </c>
      <c r="AA10" s="146" t="s">
        <v>2295</v>
      </c>
      <c r="AB10" s="146" t="s">
        <v>2312</v>
      </c>
      <c r="AC10" s="146" t="s">
        <v>2313</v>
      </c>
      <c r="AD10" s="146" t="s">
        <v>2314</v>
      </c>
    </row>
    <row r="11" spans="2:30">
      <c r="B11" s="141" t="s">
        <v>2254</v>
      </c>
      <c r="C11" s="98">
        <v>9</v>
      </c>
      <c r="D11" s="98" t="s">
        <v>2315</v>
      </c>
      <c r="E11" s="116">
        <v>45513</v>
      </c>
      <c r="F11" s="98">
        <v>1</v>
      </c>
      <c r="G11" s="98" t="s">
        <v>2291</v>
      </c>
      <c r="H11" s="98">
        <v>0</v>
      </c>
      <c r="I11" s="146" t="s">
        <v>2301</v>
      </c>
      <c r="J11" s="146" t="s">
        <v>2302</v>
      </c>
      <c r="K11" s="146" t="s">
        <v>2303</v>
      </c>
      <c r="L11" s="146" t="s">
        <v>2294</v>
      </c>
      <c r="M11" s="180" t="s">
        <v>2298</v>
      </c>
      <c r="N11" s="183">
        <v>45504</v>
      </c>
      <c r="O11" s="180" t="s">
        <v>2316</v>
      </c>
      <c r="P11" s="146" t="s">
        <v>2307</v>
      </c>
      <c r="Q11" s="146" t="s">
        <v>2305</v>
      </c>
      <c r="R11" s="146" t="s">
        <v>2295</v>
      </c>
      <c r="S11" s="146" t="s">
        <v>2306</v>
      </c>
      <c r="T11" s="146"/>
      <c r="U11" s="146" t="s">
        <v>2317</v>
      </c>
      <c r="V11" s="146" t="s">
        <v>2318</v>
      </c>
      <c r="W11" s="98">
        <v>0</v>
      </c>
      <c r="X11" s="146" t="s">
        <v>2295</v>
      </c>
      <c r="Y11" s="146" t="s">
        <v>2310</v>
      </c>
      <c r="Z11" s="180" t="s">
        <v>2311</v>
      </c>
      <c r="AA11" s="146" t="s">
        <v>2295</v>
      </c>
      <c r="AB11" s="146" t="s">
        <v>2312</v>
      </c>
      <c r="AC11" s="146" t="s">
        <v>2313</v>
      </c>
      <c r="AD11" s="146" t="s">
        <v>2319</v>
      </c>
    </row>
    <row r="12" spans="2:30">
      <c r="B12" s="164" t="s">
        <v>2256</v>
      </c>
      <c r="C12" s="98">
        <v>10</v>
      </c>
      <c r="D12" s="98" t="s">
        <v>2320</v>
      </c>
      <c r="E12" s="116">
        <v>45513</v>
      </c>
      <c r="F12" s="98">
        <v>1</v>
      </c>
      <c r="G12" s="98" t="s">
        <v>2291</v>
      </c>
      <c r="H12" s="98">
        <v>0</v>
      </c>
      <c r="I12" s="146" t="s">
        <v>2301</v>
      </c>
      <c r="J12" s="146" t="s">
        <v>2321</v>
      </c>
      <c r="K12" s="146" t="s">
        <v>2322</v>
      </c>
      <c r="L12" s="146" t="s">
        <v>2294</v>
      </c>
      <c r="M12" s="180" t="s">
        <v>2298</v>
      </c>
      <c r="N12" s="183">
        <v>45513</v>
      </c>
      <c r="O12" s="180" t="s">
        <v>2323</v>
      </c>
      <c r="P12" s="146" t="s">
        <v>2301</v>
      </c>
      <c r="Q12" s="146" t="s">
        <v>2324</v>
      </c>
      <c r="R12" s="146" t="s">
        <v>2294</v>
      </c>
      <c r="S12" s="146" t="s">
        <v>2325</v>
      </c>
      <c r="T12" s="146" t="s">
        <v>2307</v>
      </c>
      <c r="U12" s="146" t="s">
        <v>2326</v>
      </c>
      <c r="V12" s="146" t="s">
        <v>2327</v>
      </c>
      <c r="W12" s="98">
        <v>1</v>
      </c>
      <c r="X12" s="146" t="s">
        <v>2294</v>
      </c>
      <c r="Y12" s="146" t="s">
        <v>2328</v>
      </c>
      <c r="Z12" s="180" t="s">
        <v>2329</v>
      </c>
      <c r="AA12" s="146" t="s">
        <v>2330</v>
      </c>
      <c r="AB12" s="146" t="s">
        <v>2312</v>
      </c>
      <c r="AC12" s="146" t="s">
        <v>2313</v>
      </c>
      <c r="AD12" s="146" t="s">
        <v>2314</v>
      </c>
    </row>
    <row r="13" spans="2:30">
      <c r="B13" s="141" t="s">
        <v>2258</v>
      </c>
      <c r="C13" s="98">
        <v>11</v>
      </c>
      <c r="D13" s="98" t="s">
        <v>2331</v>
      </c>
      <c r="E13" s="116">
        <v>45513</v>
      </c>
      <c r="F13" s="98">
        <v>1</v>
      </c>
      <c r="G13" s="98" t="s">
        <v>2291</v>
      </c>
      <c r="H13" s="98">
        <v>0</v>
      </c>
      <c r="I13" s="146" t="s">
        <v>2301</v>
      </c>
      <c r="J13" s="146" t="s">
        <v>2321</v>
      </c>
      <c r="K13" s="146" t="s">
        <v>2322</v>
      </c>
      <c r="L13" s="146" t="s">
        <v>2294</v>
      </c>
      <c r="M13" s="180" t="s">
        <v>2298</v>
      </c>
      <c r="N13" s="183">
        <v>45513</v>
      </c>
      <c r="O13" s="180" t="s">
        <v>2332</v>
      </c>
      <c r="P13" s="146" t="s">
        <v>2307</v>
      </c>
      <c r="Q13" s="146" t="s">
        <v>2324</v>
      </c>
      <c r="R13" s="146" t="s">
        <v>2294</v>
      </c>
      <c r="S13" s="146" t="s">
        <v>2325</v>
      </c>
      <c r="T13" s="146"/>
      <c r="U13" s="146" t="s">
        <v>2326</v>
      </c>
      <c r="V13" s="146" t="s">
        <v>2327</v>
      </c>
      <c r="W13" s="98">
        <v>1</v>
      </c>
      <c r="X13" s="146" t="s">
        <v>2294</v>
      </c>
      <c r="Y13" s="146" t="s">
        <v>2328</v>
      </c>
      <c r="Z13" s="180" t="s">
        <v>2329</v>
      </c>
      <c r="AA13" s="146" t="s">
        <v>2330</v>
      </c>
      <c r="AB13" s="146" t="s">
        <v>2312</v>
      </c>
      <c r="AC13" s="146" t="s">
        <v>2313</v>
      </c>
      <c r="AD13" s="146" t="s">
        <v>2333</v>
      </c>
    </row>
    <row r="14" spans="2:30">
      <c r="B14" s="141" t="s">
        <v>2260</v>
      </c>
      <c r="C14" s="98">
        <v>12</v>
      </c>
      <c r="D14" s="98" t="s">
        <v>2334</v>
      </c>
      <c r="E14" s="116">
        <v>45513</v>
      </c>
      <c r="F14" s="98">
        <v>1</v>
      </c>
      <c r="G14" s="98">
        <v>0.77272700000000005</v>
      </c>
      <c r="H14" s="98">
        <v>0</v>
      </c>
      <c r="I14" s="146" t="s">
        <v>2294</v>
      </c>
      <c r="J14" s="146" t="s">
        <v>2294</v>
      </c>
      <c r="K14" s="146" t="s">
        <v>2295</v>
      </c>
      <c r="L14" s="146" t="s">
        <v>2295</v>
      </c>
      <c r="M14" s="180" t="s">
        <v>2335</v>
      </c>
      <c r="N14" s="180" t="s">
        <v>2295</v>
      </c>
      <c r="O14" s="180" t="s">
        <v>2295</v>
      </c>
      <c r="P14" s="146" t="s">
        <v>2295</v>
      </c>
      <c r="Q14" s="146" t="s">
        <v>2295</v>
      </c>
      <c r="R14" s="146" t="s">
        <v>2295</v>
      </c>
      <c r="S14" s="146" t="s">
        <v>2295</v>
      </c>
      <c r="T14" s="146" t="s">
        <v>2295</v>
      </c>
      <c r="U14" s="146" t="s">
        <v>2336</v>
      </c>
      <c r="V14" s="146" t="s">
        <v>2336</v>
      </c>
      <c r="W14" s="98">
        <v>0</v>
      </c>
      <c r="X14" s="146" t="s">
        <v>2295</v>
      </c>
      <c r="Y14" s="146" t="s">
        <v>2295</v>
      </c>
      <c r="Z14" s="180" t="s">
        <v>2295</v>
      </c>
      <c r="AA14" s="146" t="s">
        <v>2295</v>
      </c>
      <c r="AB14" s="146" t="s">
        <v>2295</v>
      </c>
      <c r="AC14" s="146" t="s">
        <v>2295</v>
      </c>
      <c r="AD14" s="146" t="s">
        <v>2295</v>
      </c>
    </row>
    <row r="15" spans="2:30">
      <c r="B15" s="141" t="s">
        <v>2262</v>
      </c>
      <c r="C15" s="98">
        <v>13</v>
      </c>
      <c r="D15" s="98" t="s">
        <v>2337</v>
      </c>
      <c r="E15" s="116">
        <v>45513</v>
      </c>
      <c r="F15" s="98">
        <v>1</v>
      </c>
      <c r="G15" s="117">
        <v>1</v>
      </c>
      <c r="H15" s="98">
        <v>0</v>
      </c>
      <c r="I15" s="146" t="s">
        <v>2291</v>
      </c>
      <c r="J15" s="148" t="s">
        <v>2291</v>
      </c>
      <c r="K15" s="146" t="s">
        <v>2291</v>
      </c>
      <c r="L15" s="146" t="s">
        <v>2291</v>
      </c>
      <c r="M15" s="181" t="s">
        <v>2291</v>
      </c>
      <c r="N15" s="181" t="s">
        <v>2295</v>
      </c>
      <c r="O15" s="180" t="s">
        <v>2291</v>
      </c>
      <c r="P15" s="148" t="s">
        <v>2291</v>
      </c>
      <c r="Q15" s="146" t="s">
        <v>2291</v>
      </c>
      <c r="R15" s="148" t="s">
        <v>2291</v>
      </c>
      <c r="S15" s="148" t="s">
        <v>2291</v>
      </c>
      <c r="T15" s="146" t="s">
        <v>2291</v>
      </c>
      <c r="U15" s="146" t="s">
        <v>2291</v>
      </c>
      <c r="V15" s="146" t="s">
        <v>2291</v>
      </c>
      <c r="W15" s="146" t="s">
        <v>2291</v>
      </c>
      <c r="X15" s="146" t="s">
        <v>2291</v>
      </c>
      <c r="Y15" s="146" t="s">
        <v>2291</v>
      </c>
      <c r="Z15" s="181" t="s">
        <v>2295</v>
      </c>
      <c r="AA15" s="146" t="s">
        <v>2291</v>
      </c>
      <c r="AB15" s="146" t="s">
        <v>2291</v>
      </c>
      <c r="AC15" s="146" t="s">
        <v>2291</v>
      </c>
      <c r="AD15" s="146" t="s">
        <v>2291</v>
      </c>
    </row>
    <row r="16" spans="2:30">
      <c r="B16" s="141" t="s">
        <v>2264</v>
      </c>
      <c r="C16" s="98">
        <v>14</v>
      </c>
      <c r="D16" s="98" t="s">
        <v>2338</v>
      </c>
      <c r="E16" s="116">
        <v>45513</v>
      </c>
      <c r="F16" s="98">
        <v>1</v>
      </c>
      <c r="G16" s="117">
        <v>1</v>
      </c>
      <c r="H16" s="98">
        <v>0</v>
      </c>
      <c r="I16" s="146" t="s">
        <v>2295</v>
      </c>
      <c r="J16" s="146" t="s">
        <v>2295</v>
      </c>
      <c r="K16" s="146" t="s">
        <v>2291</v>
      </c>
      <c r="L16" s="146" t="s">
        <v>2291</v>
      </c>
      <c r="M16" s="180" t="s">
        <v>2295</v>
      </c>
      <c r="N16" s="181" t="s">
        <v>2291</v>
      </c>
      <c r="O16" s="180" t="s">
        <v>2291</v>
      </c>
      <c r="P16" s="148" t="s">
        <v>2295</v>
      </c>
      <c r="Q16" s="146" t="s">
        <v>2295</v>
      </c>
      <c r="R16" s="146" t="s">
        <v>2291</v>
      </c>
      <c r="S16" s="148" t="s">
        <v>2295</v>
      </c>
      <c r="T16" s="146" t="s">
        <v>2295</v>
      </c>
      <c r="U16" s="146" t="s">
        <v>2295</v>
      </c>
      <c r="V16" s="146" t="s">
        <v>2295</v>
      </c>
      <c r="W16" s="146" t="s">
        <v>2291</v>
      </c>
      <c r="X16" s="146" t="s">
        <v>2291</v>
      </c>
      <c r="Y16" s="146" t="s">
        <v>2295</v>
      </c>
      <c r="Z16" s="181" t="s">
        <v>2291</v>
      </c>
      <c r="AA16" s="146" t="s">
        <v>2295</v>
      </c>
      <c r="AB16" s="146" t="s">
        <v>2295</v>
      </c>
      <c r="AC16" s="146" t="s">
        <v>2291</v>
      </c>
      <c r="AD16" s="146" t="s">
        <v>2291</v>
      </c>
    </row>
    <row r="17" spans="2:30">
      <c r="B17" s="174" t="s">
        <v>2266</v>
      </c>
      <c r="C17" s="98">
        <v>15</v>
      </c>
      <c r="D17" s="98" t="s">
        <v>2339</v>
      </c>
      <c r="E17" s="116">
        <v>45513</v>
      </c>
      <c r="F17" s="98">
        <v>1</v>
      </c>
      <c r="G17" s="98">
        <v>1</v>
      </c>
      <c r="H17" s="117">
        <v>1538</v>
      </c>
      <c r="I17" s="146" t="s">
        <v>2291</v>
      </c>
      <c r="J17" s="146" t="s">
        <v>2291</v>
      </c>
      <c r="K17" s="146" t="s">
        <v>2291</v>
      </c>
      <c r="L17" s="146" t="s">
        <v>2291</v>
      </c>
      <c r="M17" s="180" t="s">
        <v>2291</v>
      </c>
      <c r="N17" s="180" t="s">
        <v>2291</v>
      </c>
      <c r="O17" s="180" t="s">
        <v>2291</v>
      </c>
      <c r="P17" s="146" t="s">
        <v>2291</v>
      </c>
      <c r="Q17" s="146" t="s">
        <v>2291</v>
      </c>
      <c r="R17" s="146" t="s">
        <v>2291</v>
      </c>
      <c r="S17" s="146" t="s">
        <v>2291</v>
      </c>
      <c r="T17" s="146" t="s">
        <v>2291</v>
      </c>
      <c r="U17" s="146" t="s">
        <v>2291</v>
      </c>
      <c r="V17" s="146" t="s">
        <v>2291</v>
      </c>
      <c r="W17" s="148" t="s">
        <v>2291</v>
      </c>
      <c r="X17" s="148" t="s">
        <v>2291</v>
      </c>
      <c r="Y17" s="146" t="s">
        <v>2291</v>
      </c>
      <c r="Z17" s="180" t="s">
        <v>2291</v>
      </c>
      <c r="AA17" s="146" t="s">
        <v>2291</v>
      </c>
      <c r="AB17" s="146" t="s">
        <v>2291</v>
      </c>
      <c r="AC17" s="146" t="s">
        <v>2291</v>
      </c>
      <c r="AD17" s="146" t="s">
        <v>2291</v>
      </c>
    </row>
    <row r="18" spans="2:30">
      <c r="B18" s="174" t="s">
        <v>2268</v>
      </c>
      <c r="C18" s="98">
        <v>16</v>
      </c>
      <c r="D18" s="98" t="s">
        <v>2339</v>
      </c>
      <c r="E18" s="116">
        <v>45513</v>
      </c>
      <c r="F18" s="98">
        <v>1</v>
      </c>
      <c r="G18" s="98">
        <v>1</v>
      </c>
      <c r="H18" s="117">
        <v>1538</v>
      </c>
      <c r="I18" s="146" t="s">
        <v>2291</v>
      </c>
      <c r="J18" s="146" t="s">
        <v>2291</v>
      </c>
      <c r="K18" s="146" t="s">
        <v>2291</v>
      </c>
      <c r="L18" s="146" t="s">
        <v>2291</v>
      </c>
      <c r="M18" s="180" t="s">
        <v>2291</v>
      </c>
      <c r="N18" s="180" t="s">
        <v>2291</v>
      </c>
      <c r="O18" s="180" t="s">
        <v>2291</v>
      </c>
      <c r="P18" s="146" t="s">
        <v>2291</v>
      </c>
      <c r="Q18" s="146" t="s">
        <v>2291</v>
      </c>
      <c r="R18" s="146" t="s">
        <v>2291</v>
      </c>
      <c r="S18" s="146" t="s">
        <v>2291</v>
      </c>
      <c r="T18" s="146" t="s">
        <v>2291</v>
      </c>
      <c r="U18" s="146" t="s">
        <v>2291</v>
      </c>
      <c r="V18" s="146" t="s">
        <v>2291</v>
      </c>
      <c r="W18" s="148" t="s">
        <v>2291</v>
      </c>
      <c r="X18" s="148" t="s">
        <v>2291</v>
      </c>
      <c r="Y18" s="146" t="s">
        <v>2291</v>
      </c>
      <c r="Z18" s="180" t="s">
        <v>2291</v>
      </c>
      <c r="AA18" s="146" t="s">
        <v>2291</v>
      </c>
      <c r="AB18" s="146" t="s">
        <v>2291</v>
      </c>
      <c r="AC18" s="146" t="s">
        <v>2291</v>
      </c>
      <c r="AD18" s="146" t="s">
        <v>2291</v>
      </c>
    </row>
    <row r="19" spans="2:30">
      <c r="B19" s="141" t="s">
        <v>2274</v>
      </c>
      <c r="C19" s="98">
        <v>19</v>
      </c>
      <c r="D19" s="98" t="s">
        <v>2340</v>
      </c>
      <c r="E19" s="116">
        <v>45513</v>
      </c>
      <c r="F19" s="98">
        <v>1</v>
      </c>
      <c r="G19" s="146" cm="1">
        <f t="array" aca="1" ref="G19" ca="1">SUMPRODUCT(--(ISNUMBER((SEARCH(I25:AD25,I19:AD19)))))/COUNTA(I19:AD19)</f>
        <v>0.90909090909090906</v>
      </c>
      <c r="H19" s="98">
        <v>0</v>
      </c>
      <c r="I19" s="146" t="s">
        <v>2341</v>
      </c>
      <c r="J19" s="146" t="s">
        <v>2341</v>
      </c>
      <c r="K19" s="146" t="s">
        <v>2342</v>
      </c>
      <c r="L19" s="146" t="s">
        <v>2342</v>
      </c>
      <c r="M19" s="180" t="s">
        <v>2341</v>
      </c>
      <c r="N19" s="180" t="s">
        <v>2341</v>
      </c>
      <c r="O19" s="180" t="s">
        <v>2343</v>
      </c>
      <c r="P19" s="146" t="s">
        <v>2341</v>
      </c>
      <c r="Q19" s="146" t="s">
        <v>2341</v>
      </c>
      <c r="R19" s="146" t="s">
        <v>2341</v>
      </c>
      <c r="S19" s="146" t="s">
        <v>2341</v>
      </c>
      <c r="T19" s="146" t="s">
        <v>2341</v>
      </c>
      <c r="U19" s="146" t="s">
        <v>2341</v>
      </c>
      <c r="V19" s="146" t="s">
        <v>2341</v>
      </c>
      <c r="W19" s="146" t="s">
        <v>2341</v>
      </c>
      <c r="X19" s="146" t="s">
        <v>2341</v>
      </c>
      <c r="Y19" s="146" t="s">
        <v>2341</v>
      </c>
      <c r="Z19" s="180" t="s">
        <v>2341</v>
      </c>
      <c r="AA19" s="146" t="s">
        <v>2341</v>
      </c>
      <c r="AB19" s="146" t="s">
        <v>2341</v>
      </c>
      <c r="AC19" s="146" t="s">
        <v>2341</v>
      </c>
      <c r="AD19" s="146" t="s">
        <v>2344</v>
      </c>
    </row>
    <row r="20" spans="2:30">
      <c r="B20" s="141" t="s">
        <v>2277</v>
      </c>
      <c r="C20" s="98">
        <v>20</v>
      </c>
      <c r="D20" s="98" t="s">
        <v>2340</v>
      </c>
      <c r="E20" s="116">
        <v>45513</v>
      </c>
      <c r="F20" s="98">
        <v>1</v>
      </c>
      <c r="G20" s="146" cm="1">
        <f t="array" ref="G20">SUM(IF(I2:AD2 = I24:AD24, 1, 0))/ COUNTA(I2:AD2)</f>
        <v>0.31818181818181818</v>
      </c>
      <c r="H20" s="98"/>
      <c r="I20" s="146"/>
      <c r="J20" s="146"/>
      <c r="K20" s="146"/>
      <c r="L20" s="146"/>
      <c r="M20" s="180"/>
      <c r="N20" s="180"/>
      <c r="O20" s="180"/>
      <c r="P20" s="146"/>
      <c r="Q20" s="146"/>
      <c r="R20" s="146"/>
      <c r="S20" s="146"/>
      <c r="T20" s="146"/>
      <c r="U20" s="146"/>
      <c r="V20" s="146"/>
      <c r="W20" s="146"/>
      <c r="X20" s="146"/>
      <c r="Y20" s="146"/>
      <c r="Z20" s="180"/>
      <c r="AA20" s="146"/>
      <c r="AB20" s="146"/>
      <c r="AC20" s="146"/>
      <c r="AD20" s="146"/>
    </row>
    <row r="21" spans="2:30">
      <c r="B21" s="165" t="s">
        <v>2280</v>
      </c>
      <c r="C21" s="98">
        <v>21</v>
      </c>
      <c r="D21" s="98" t="s">
        <v>2340</v>
      </c>
      <c r="E21" s="116">
        <v>45513</v>
      </c>
      <c r="F21" s="98">
        <v>1</v>
      </c>
      <c r="G21" s="98" cm="1">
        <f t="array" aca="1" ref="G21" ca="1">SUM(IF(IF(G3:G20="null",1,G3:G20)=1,1,0))/COUNT(IF(G3:G20="null",1,1))</f>
        <v>0.72222222222222221</v>
      </c>
      <c r="H21" s="98"/>
      <c r="I21" s="146"/>
      <c r="J21" s="146"/>
      <c r="K21" s="146"/>
      <c r="L21" s="146"/>
      <c r="M21" s="182"/>
      <c r="N21" s="182"/>
      <c r="O21" s="182"/>
      <c r="P21" s="146"/>
      <c r="Q21" s="146"/>
      <c r="R21" s="146"/>
      <c r="S21" s="146"/>
      <c r="T21" s="146"/>
      <c r="U21" s="146"/>
      <c r="V21" s="146"/>
      <c r="W21" s="146"/>
      <c r="X21" s="146"/>
      <c r="Y21" s="146"/>
      <c r="Z21" s="182"/>
      <c r="AA21" s="146"/>
      <c r="AB21" s="146"/>
      <c r="AC21" s="146"/>
      <c r="AD21" s="146"/>
    </row>
    <row r="22" spans="2:30">
      <c r="B22" s="98"/>
      <c r="C22" s="98"/>
      <c r="D22" s="98"/>
      <c r="E22" s="116"/>
      <c r="F22" s="98"/>
      <c r="G22" s="98"/>
      <c r="H22" s="98"/>
      <c r="I22" s="98"/>
      <c r="J22" s="98"/>
      <c r="K22" s="98"/>
      <c r="L22" s="98"/>
      <c r="M22" s="98"/>
      <c r="N22" s="98"/>
      <c r="O22" s="98"/>
      <c r="P22" s="98"/>
      <c r="Q22" s="98"/>
      <c r="R22" s="98"/>
      <c r="S22" s="98"/>
      <c r="T22" s="98"/>
      <c r="U22" s="98"/>
      <c r="V22" s="98"/>
      <c r="W22" s="98"/>
    </row>
    <row r="23" spans="2:30">
      <c r="B23" s="106" t="s">
        <v>2345</v>
      </c>
    </row>
    <row r="24" spans="2:30">
      <c r="B24" s="107" t="s">
        <v>2346</v>
      </c>
      <c r="C24" s="108" t="s">
        <v>2284</v>
      </c>
      <c r="D24" s="108" t="s">
        <v>2285</v>
      </c>
      <c r="E24" s="108" t="s">
        <v>2286</v>
      </c>
      <c r="F24" s="108" t="s">
        <v>2287</v>
      </c>
      <c r="G24" s="108" t="s">
        <v>2288</v>
      </c>
      <c r="H24" s="108" t="s">
        <v>2289</v>
      </c>
      <c r="I24" s="135" t="str" cm="1">
        <f t="array" ref="I24:AD24">TRANSPOSE(_xlfn.SORTBY(_xlfn._xlws.FILTER(Table2[NOME FÍSICO CAMPO],Table2[NOME FÍSICO TABELA]="factoring_transaction"), _xlfn._xlws.FILTER(Table2[ORDEM], Table2[NOME FÍSICO TABELA]="factoring_transaction"), 1))</f>
        <v>bank_id</v>
      </c>
      <c r="J24" s="135" t="str">
        <v>contract_id</v>
      </c>
      <c r="K24" s="135" t="str">
        <v>order_number</v>
      </c>
      <c r="L24" s="135" t="str">
        <v>order_number_stage</v>
      </c>
      <c r="M24" s="135" t="str">
        <v>process_bank_id</v>
      </c>
      <c r="N24" s="135" t="str">
        <v>process_id</v>
      </c>
      <c r="O24" s="135" t="str">
        <v>transaction_type_code</v>
      </c>
      <c r="P24" s="135" t="str">
        <v>financial_flow_indicator</v>
      </c>
      <c r="Q24" s="135" t="str">
        <v>chargeback_indicator</v>
      </c>
      <c r="R24" s="135" t="str">
        <v>billing_indicator</v>
      </c>
      <c r="S24" s="135" t="str">
        <v>billing_document_id</v>
      </c>
      <c r="T24" s="135" t="str">
        <v>currency_code</v>
      </c>
      <c r="U24" s="135" t="str">
        <v>transaction_date</v>
      </c>
      <c r="V24" s="135" t="str">
        <v>transaction_execution_date</v>
      </c>
      <c r="W24" s="136" t="str">
        <v>amount</v>
      </c>
      <c r="X24" s="136" t="str">
        <v>party_id</v>
      </c>
      <c r="Y24" s="136" t="str">
        <v>party_current_account_bank_id</v>
      </c>
      <c r="Z24" s="136" t="str">
        <v>party_cur_account_contract_id</v>
      </c>
      <c r="AA24" s="136" t="str">
        <v>party_current_account_iban</v>
      </c>
      <c r="AB24" s="136" t="str">
        <v>source_code</v>
      </c>
      <c r="AC24" s="136" t="str">
        <v>data_date_part</v>
      </c>
      <c r="AD24" s="149" t="str">
        <v>data_timestamp_part</v>
      </c>
    </row>
    <row r="25" spans="2:30">
      <c r="B25" s="100" t="s">
        <v>2347</v>
      </c>
      <c r="C25" s="113">
        <v>21</v>
      </c>
      <c r="D25" s="102" t="s">
        <v>2348</v>
      </c>
      <c r="E25" s="101" t="s">
        <v>2349</v>
      </c>
      <c r="F25" s="101" t="s">
        <v>781</v>
      </c>
      <c r="G25" s="101" t="s">
        <v>781</v>
      </c>
      <c r="H25" s="101" t="s">
        <v>781</v>
      </c>
      <c r="I25" s="101" t="str" cm="1">
        <f t="array" aca="1" ref="I25:AD26" ca="1">TRANSPOSE(_xlfn.SORTBY(_xlfn._xlws.FILTER(IF(Table2[FORMATO]:Table2[COMP_ CAMPO]&lt;&gt;"",Table2[FORMATO]:Table2[COMP_ CAMPO],9999999),Table2[NOME FÍSICO TABELA]="factoring_transaction"), _xlfn._xlws.FILTER(Table2[ORDEM], Table2[NOME FÍSICO TABELA]="factoring_transaction"),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DECIMAL</v>
      </c>
      <c r="X25" s="101" t="str">
        <f ca="1"/>
        <v>STRING</v>
      </c>
      <c r="Y25" s="101" t="str">
        <f ca="1"/>
        <v>STRING</v>
      </c>
      <c r="Z25" s="144" t="str">
        <f ca="1"/>
        <v>STRING</v>
      </c>
      <c r="AA25" s="101" t="str">
        <f ca="1"/>
        <v>STRING</v>
      </c>
      <c r="AB25" s="101" t="str">
        <f ca="1"/>
        <v>STRING</v>
      </c>
      <c r="AC25" s="101" t="str">
        <f ca="1"/>
        <v>STRING</v>
      </c>
      <c r="AD25" s="112" t="str">
        <f ca="1"/>
        <v>TIMESTAMP</v>
      </c>
    </row>
    <row r="26" spans="2:30">
      <c r="B26" s="100" t="s">
        <v>2350</v>
      </c>
      <c r="C26" s="113">
        <v>7</v>
      </c>
      <c r="D26" s="102" t="s">
        <v>2348</v>
      </c>
      <c r="E26" s="101" t="s">
        <v>2349</v>
      </c>
      <c r="F26" s="101" t="s">
        <v>781</v>
      </c>
      <c r="G26" s="101" t="s">
        <v>781</v>
      </c>
      <c r="H26" s="101" t="s">
        <v>781</v>
      </c>
      <c r="I26" s="113">
        <f ca="1"/>
        <v>4</v>
      </c>
      <c r="J26" s="113">
        <f ca="1"/>
        <v>30</v>
      </c>
      <c r="K26" s="113">
        <f ca="1"/>
        <v>9999999</v>
      </c>
      <c r="L26" s="113">
        <f ca="1"/>
        <v>9999999</v>
      </c>
      <c r="M26" s="113">
        <f ca="1"/>
        <v>4</v>
      </c>
      <c r="N26" s="113">
        <f ca="1"/>
        <v>15</v>
      </c>
      <c r="O26" s="113">
        <f ca="1"/>
        <v>4</v>
      </c>
      <c r="P26" s="113">
        <f ca="1"/>
        <v>4</v>
      </c>
      <c r="Q26" s="113">
        <f ca="1"/>
        <v>4</v>
      </c>
      <c r="R26" s="113">
        <f ca="1"/>
        <v>4</v>
      </c>
      <c r="S26" s="113">
        <f ca="1"/>
        <v>20</v>
      </c>
      <c r="T26" s="113">
        <f ca="1"/>
        <v>4</v>
      </c>
      <c r="U26" s="113">
        <f ca="1"/>
        <v>10</v>
      </c>
      <c r="V26" s="113">
        <f ca="1"/>
        <v>10</v>
      </c>
      <c r="W26" s="113">
        <f ca="1"/>
        <v>23</v>
      </c>
      <c r="X26" s="113">
        <f ca="1"/>
        <v>10</v>
      </c>
      <c r="Y26" s="113">
        <f ca="1"/>
        <v>4</v>
      </c>
      <c r="Z26" s="113">
        <f ca="1"/>
        <v>30</v>
      </c>
      <c r="AA26" s="113">
        <f ca="1"/>
        <v>34</v>
      </c>
      <c r="AB26" s="113">
        <f ca="1"/>
        <v>2</v>
      </c>
      <c r="AC26" s="113">
        <f ca="1"/>
        <v>10</v>
      </c>
      <c r="AD26" s="114">
        <f ca="1"/>
        <v>23</v>
      </c>
    </row>
    <row r="29" spans="2:30">
      <c r="B29" s="123" t="s">
        <v>2351</v>
      </c>
    </row>
    <row r="30" spans="2:30">
      <c r="B30" s="132" t="s">
        <v>2352</v>
      </c>
      <c r="C30" s="132" t="s">
        <v>2353</v>
      </c>
      <c r="D30" s="133" t="s">
        <v>2354</v>
      </c>
      <c r="E30" s="132" t="s">
        <v>2355</v>
      </c>
      <c r="F30" s="132" t="s">
        <v>2356</v>
      </c>
    </row>
    <row r="31" spans="2:30" ht="60.75">
      <c r="B31" s="130" t="s">
        <v>2357</v>
      </c>
      <c r="C31" s="83" t="s">
        <v>1079</v>
      </c>
      <c r="D31" s="83" t="s">
        <v>2358</v>
      </c>
      <c r="E31" s="83" t="s">
        <v>2359</v>
      </c>
      <c r="F31" s="131" t="s">
        <v>2360</v>
      </c>
    </row>
    <row r="32" spans="2:30" ht="69.75" customHeight="1">
      <c r="B32" s="234" t="s">
        <v>2361</v>
      </c>
      <c r="C32" s="162" t="s">
        <v>730</v>
      </c>
      <c r="D32" s="171" t="s">
        <v>2362</v>
      </c>
      <c r="E32" s="162" t="s">
        <v>2363</v>
      </c>
      <c r="F32" s="163" t="s">
        <v>2360</v>
      </c>
    </row>
    <row r="33" spans="2:9" ht="69.75" customHeight="1">
      <c r="B33" s="234" t="s">
        <v>2361</v>
      </c>
      <c r="C33" s="162" t="s">
        <v>842</v>
      </c>
      <c r="D33" s="171" t="s">
        <v>2364</v>
      </c>
      <c r="E33" s="162" t="s">
        <v>2363</v>
      </c>
      <c r="F33" s="163" t="s">
        <v>2360</v>
      </c>
      <c r="H33" s="150"/>
    </row>
    <row r="34" spans="2:9" ht="69.75" customHeight="1">
      <c r="B34" s="134" t="s">
        <v>2365</v>
      </c>
      <c r="C34" s="193" t="s">
        <v>730</v>
      </c>
      <c r="D34" s="171" t="s">
        <v>2362</v>
      </c>
      <c r="E34" s="162" t="s">
        <v>2363</v>
      </c>
      <c r="F34" s="194" t="s">
        <v>2360</v>
      </c>
    </row>
    <row r="35" spans="2:9" ht="76.5">
      <c r="B35" s="134" t="s">
        <v>2365</v>
      </c>
      <c r="C35" s="193" t="s">
        <v>842</v>
      </c>
      <c r="D35" s="171" t="s">
        <v>2364</v>
      </c>
      <c r="E35" s="162" t="s">
        <v>2363</v>
      </c>
      <c r="F35" s="194" t="s">
        <v>2360</v>
      </c>
      <c r="H35" s="150"/>
      <c r="I35" s="150"/>
    </row>
    <row r="36" spans="2:9" ht="60.75">
      <c r="B36" s="134" t="s">
        <v>2365</v>
      </c>
      <c r="C36" s="83" t="s">
        <v>1079</v>
      </c>
      <c r="D36" s="83" t="s">
        <v>2358</v>
      </c>
      <c r="E36" s="83" t="s">
        <v>2366</v>
      </c>
      <c r="F36" s="131" t="s">
        <v>2360</v>
      </c>
      <c r="H36" s="150"/>
      <c r="I36" s="150"/>
    </row>
    <row r="37" spans="2:9" ht="30.75">
      <c r="B37" s="134" t="s">
        <v>2365</v>
      </c>
      <c r="C37" s="87" t="s">
        <v>1822</v>
      </c>
      <c r="D37" s="137" t="s">
        <v>2367</v>
      </c>
      <c r="E37" s="87" t="s">
        <v>2368</v>
      </c>
      <c r="F37" s="78" t="s">
        <v>2369</v>
      </c>
      <c r="H37" s="150"/>
      <c r="I37" s="150"/>
    </row>
    <row r="38" spans="2:9" ht="30.75">
      <c r="B38" s="134" t="s">
        <v>2365</v>
      </c>
      <c r="C38" s="87" t="s">
        <v>1864</v>
      </c>
      <c r="D38" s="137" t="s">
        <v>2367</v>
      </c>
      <c r="E38" s="87" t="s">
        <v>2368</v>
      </c>
      <c r="F38" s="78" t="s">
        <v>2360</v>
      </c>
      <c r="H38" s="150"/>
    </row>
    <row r="51" ht="168" customHeight="1"/>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V55"/>
  <sheetViews>
    <sheetView showGridLines="0" topLeftCell="A14" workbookViewId="0">
      <selection activeCell="A14" sqref="A14"/>
    </sheetView>
  </sheetViews>
  <sheetFormatPr defaultRowHeight="1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row r="2" spans="2:21">
      <c r="B2" s="97" t="s">
        <v>2283</v>
      </c>
      <c r="C2" s="97" t="s">
        <v>2284</v>
      </c>
      <c r="D2" s="97" t="s">
        <v>2285</v>
      </c>
      <c r="E2" s="97" t="s">
        <v>2286</v>
      </c>
      <c r="F2" s="97" t="s">
        <v>2287</v>
      </c>
      <c r="G2" s="97" t="s">
        <v>2288</v>
      </c>
      <c r="H2" s="97" t="s">
        <v>2289</v>
      </c>
      <c r="I2" s="97" t="s">
        <v>730</v>
      </c>
      <c r="J2" s="97" t="s">
        <v>842</v>
      </c>
      <c r="K2" s="97" t="s">
        <v>923</v>
      </c>
      <c r="L2" s="97" t="s">
        <v>1012</v>
      </c>
      <c r="M2" s="97" t="s">
        <v>1334</v>
      </c>
      <c r="N2" s="109" t="s">
        <v>1440</v>
      </c>
      <c r="O2" s="97" t="s">
        <v>1079</v>
      </c>
      <c r="P2" s="97" t="s">
        <v>1169</v>
      </c>
      <c r="Q2" s="97" t="s">
        <v>1255</v>
      </c>
      <c r="R2" s="97" t="s">
        <v>1224</v>
      </c>
      <c r="S2" s="97" t="s">
        <v>1499</v>
      </c>
      <c r="T2" s="97" t="s">
        <v>1561</v>
      </c>
      <c r="U2" s="97" t="s">
        <v>1614</v>
      </c>
    </row>
    <row r="3" spans="2:21">
      <c r="B3" s="141" t="s">
        <v>2237</v>
      </c>
      <c r="C3" s="98">
        <v>1</v>
      </c>
      <c r="D3" s="98" t="s">
        <v>2370</v>
      </c>
      <c r="E3" s="116">
        <v>45438</v>
      </c>
      <c r="F3" s="98">
        <v>4</v>
      </c>
      <c r="G3" s="145">
        <v>1</v>
      </c>
      <c r="H3" s="170">
        <v>298</v>
      </c>
      <c r="I3" s="98" t="s">
        <v>2291</v>
      </c>
      <c r="J3" s="98" t="s">
        <v>2291</v>
      </c>
      <c r="K3" s="98" t="s">
        <v>2291</v>
      </c>
      <c r="L3" s="98" t="s">
        <v>2291</v>
      </c>
      <c r="M3" s="98" t="s">
        <v>2291</v>
      </c>
      <c r="N3" s="98" t="s">
        <v>2291</v>
      </c>
      <c r="O3" s="98" t="s">
        <v>2291</v>
      </c>
      <c r="P3" s="98" t="s">
        <v>2291</v>
      </c>
      <c r="Q3" s="98" t="s">
        <v>2291</v>
      </c>
      <c r="R3" s="98" t="s">
        <v>2291</v>
      </c>
      <c r="S3" s="98" t="s">
        <v>2291</v>
      </c>
      <c r="T3" s="98" t="s">
        <v>2291</v>
      </c>
      <c r="U3" s="98" t="s">
        <v>2291</v>
      </c>
    </row>
    <row r="4" spans="2:21">
      <c r="B4" s="141" t="s">
        <v>2239</v>
      </c>
      <c r="C4" s="98">
        <v>2</v>
      </c>
      <c r="D4" s="98" t="s">
        <v>2371</v>
      </c>
      <c r="E4" s="116">
        <v>45438</v>
      </c>
      <c r="F4" s="98">
        <v>4</v>
      </c>
      <c r="G4" s="145">
        <v>1</v>
      </c>
      <c r="H4" s="117">
        <v>0</v>
      </c>
      <c r="I4" s="98" t="s">
        <v>2291</v>
      </c>
      <c r="J4" s="98" t="s">
        <v>2291</v>
      </c>
      <c r="K4" s="98" t="s">
        <v>2291</v>
      </c>
      <c r="L4" s="98" t="s">
        <v>2291</v>
      </c>
      <c r="M4" s="98" t="s">
        <v>2291</v>
      </c>
      <c r="N4" s="98" t="s">
        <v>2291</v>
      </c>
      <c r="O4" s="98" t="s">
        <v>2291</v>
      </c>
      <c r="P4" s="98" t="s">
        <v>2291</v>
      </c>
      <c r="Q4" s="98" t="s">
        <v>2291</v>
      </c>
      <c r="R4" s="98" t="s">
        <v>2291</v>
      </c>
      <c r="S4" s="98" t="s">
        <v>2291</v>
      </c>
      <c r="T4" s="98" t="s">
        <v>2291</v>
      </c>
      <c r="U4" s="98" t="s">
        <v>2291</v>
      </c>
    </row>
    <row r="5" spans="2:21">
      <c r="B5" s="141" t="s">
        <v>2241</v>
      </c>
      <c r="C5" s="98">
        <v>3</v>
      </c>
      <c r="D5" s="98" t="s">
        <v>2372</v>
      </c>
      <c r="E5" s="116">
        <v>45438</v>
      </c>
      <c r="F5" s="98">
        <v>4</v>
      </c>
      <c r="G5" s="145">
        <v>0.875</v>
      </c>
      <c r="H5" s="170">
        <v>298</v>
      </c>
      <c r="I5" s="98">
        <v>0</v>
      </c>
      <c r="J5" s="98">
        <v>0</v>
      </c>
      <c r="K5" s="98">
        <v>0</v>
      </c>
      <c r="L5" s="98">
        <v>0</v>
      </c>
      <c r="M5" s="98">
        <v>0</v>
      </c>
      <c r="N5" s="98">
        <v>0</v>
      </c>
      <c r="O5" s="98">
        <v>298</v>
      </c>
      <c r="P5" s="98" t="s">
        <v>2291</v>
      </c>
      <c r="Q5" s="98" t="s">
        <v>2291</v>
      </c>
      <c r="R5" s="98" t="s">
        <v>2291</v>
      </c>
      <c r="S5" s="98" t="s">
        <v>2291</v>
      </c>
      <c r="T5" s="98">
        <v>0</v>
      </c>
      <c r="U5" s="98" t="s">
        <v>2291</v>
      </c>
    </row>
    <row r="6" spans="2:21">
      <c r="B6" s="141" t="s">
        <v>2243</v>
      </c>
      <c r="C6" s="142">
        <v>4</v>
      </c>
      <c r="D6" s="98" t="s">
        <v>2296</v>
      </c>
      <c r="E6" s="116" t="s">
        <v>2291</v>
      </c>
      <c r="F6" s="98">
        <v>4</v>
      </c>
      <c r="G6" s="145" t="s">
        <v>2291</v>
      </c>
      <c r="H6" s="98" t="s">
        <v>2291</v>
      </c>
      <c r="I6" s="98" t="s">
        <v>2291</v>
      </c>
      <c r="J6" s="98" t="s">
        <v>2291</v>
      </c>
      <c r="K6" s="98" t="s">
        <v>2291</v>
      </c>
      <c r="L6" s="98" t="s">
        <v>2291</v>
      </c>
      <c r="M6" s="98" t="s">
        <v>2291</v>
      </c>
      <c r="N6" s="98" t="s">
        <v>2291</v>
      </c>
      <c r="O6" s="98" t="s">
        <v>2291</v>
      </c>
      <c r="P6" s="98" t="s">
        <v>2291</v>
      </c>
      <c r="Q6" s="98" t="s">
        <v>2291</v>
      </c>
      <c r="R6" s="98" t="s">
        <v>2291</v>
      </c>
      <c r="S6" s="98" t="s">
        <v>2291</v>
      </c>
      <c r="T6" s="98" t="s">
        <v>2291</v>
      </c>
      <c r="U6" s="98" t="s">
        <v>2291</v>
      </c>
    </row>
    <row r="7" spans="2:21">
      <c r="B7" s="141" t="s">
        <v>2245</v>
      </c>
      <c r="C7" s="142">
        <v>5</v>
      </c>
      <c r="D7" s="98" t="s">
        <v>2296</v>
      </c>
      <c r="E7" s="116" t="s">
        <v>2291</v>
      </c>
      <c r="F7" s="98">
        <v>4</v>
      </c>
      <c r="G7" s="145" t="s">
        <v>2291</v>
      </c>
      <c r="H7" s="98" t="s">
        <v>2291</v>
      </c>
      <c r="I7" s="98" t="s">
        <v>2291</v>
      </c>
      <c r="J7" s="98" t="s">
        <v>2291</v>
      </c>
      <c r="K7" s="98" t="s">
        <v>2291</v>
      </c>
      <c r="L7" s="98" t="s">
        <v>2291</v>
      </c>
      <c r="M7" s="98" t="s">
        <v>2291</v>
      </c>
      <c r="N7" s="98" t="s">
        <v>2291</v>
      </c>
      <c r="O7" s="98" t="s">
        <v>2291</v>
      </c>
      <c r="P7" s="98" t="s">
        <v>2291</v>
      </c>
      <c r="Q7" s="98" t="s">
        <v>2291</v>
      </c>
      <c r="R7" s="98" t="s">
        <v>2291</v>
      </c>
      <c r="S7" s="98" t="s">
        <v>2291</v>
      </c>
      <c r="T7" s="98" t="s">
        <v>2291</v>
      </c>
      <c r="U7" s="98" t="s">
        <v>2291</v>
      </c>
    </row>
    <row r="8" spans="2:21">
      <c r="B8" s="164" t="s">
        <v>2246</v>
      </c>
      <c r="C8" s="98">
        <v>6</v>
      </c>
      <c r="D8" s="98" t="s">
        <v>2373</v>
      </c>
      <c r="E8" s="116">
        <v>45438</v>
      </c>
      <c r="F8" s="98">
        <v>4</v>
      </c>
      <c r="G8" s="145" cm="1">
        <f t="array" ref="G8">SUMPRODUCT(--(I8:U8&gt;0))/COUNTA(I8:U8)</f>
        <v>1</v>
      </c>
      <c r="H8" s="117">
        <v>0</v>
      </c>
      <c r="I8" s="98">
        <v>2</v>
      </c>
      <c r="J8" s="98">
        <v>15</v>
      </c>
      <c r="K8" s="98">
        <v>1</v>
      </c>
      <c r="L8" s="98">
        <v>1</v>
      </c>
      <c r="M8" s="98">
        <v>10</v>
      </c>
      <c r="N8" s="98">
        <v>8</v>
      </c>
      <c r="O8" s="98" t="s">
        <v>2298</v>
      </c>
      <c r="P8" s="98">
        <v>1</v>
      </c>
      <c r="Q8" s="98">
        <v>3</v>
      </c>
      <c r="R8" s="98">
        <v>10</v>
      </c>
      <c r="S8" s="98">
        <v>2</v>
      </c>
      <c r="T8" s="98">
        <v>10</v>
      </c>
      <c r="U8" s="98">
        <v>23</v>
      </c>
    </row>
    <row r="9" spans="2:21">
      <c r="B9" s="141" t="s">
        <v>2249</v>
      </c>
      <c r="C9" s="98">
        <v>7</v>
      </c>
      <c r="D9" s="98" t="s">
        <v>2374</v>
      </c>
      <c r="E9" s="116">
        <v>45438</v>
      </c>
      <c r="F9" s="98">
        <v>4</v>
      </c>
      <c r="G9" s="145" cm="1">
        <f t="array" aca="1" ref="G9" ca="1">SUMPRODUCT(--(I9:U9 &lt;= I26:U26))/COUNTA(I26:U26)</f>
        <v>0.61538461538461542</v>
      </c>
      <c r="H9" s="117">
        <v>0</v>
      </c>
      <c r="I9" s="98">
        <v>2</v>
      </c>
      <c r="J9" s="98">
        <v>30</v>
      </c>
      <c r="K9" s="98">
        <v>5</v>
      </c>
      <c r="L9" s="98">
        <v>1</v>
      </c>
      <c r="M9" s="98">
        <v>10</v>
      </c>
      <c r="N9" s="98">
        <v>15</v>
      </c>
      <c r="O9" s="98" t="s">
        <v>2298</v>
      </c>
      <c r="P9" s="98">
        <v>1</v>
      </c>
      <c r="Q9" s="98">
        <v>3</v>
      </c>
      <c r="R9" s="98">
        <v>10</v>
      </c>
      <c r="S9" s="98">
        <v>2</v>
      </c>
      <c r="T9" s="98">
        <v>10</v>
      </c>
      <c r="U9" s="98">
        <v>23</v>
      </c>
    </row>
    <row r="10" spans="2:21">
      <c r="B10" s="141" t="s">
        <v>2252</v>
      </c>
      <c r="C10" s="98">
        <v>8</v>
      </c>
      <c r="D10" s="98" t="s">
        <v>2375</v>
      </c>
      <c r="E10" s="116">
        <v>45438</v>
      </c>
      <c r="F10" s="98">
        <v>4</v>
      </c>
      <c r="G10" s="145" t="s">
        <v>2291</v>
      </c>
      <c r="H10" s="117">
        <v>0</v>
      </c>
      <c r="I10" s="98">
        <v>31</v>
      </c>
      <c r="J10" s="98">
        <v>3.1111200102900002E+26</v>
      </c>
      <c r="K10" s="98">
        <v>1</v>
      </c>
      <c r="L10" s="98">
        <v>1</v>
      </c>
      <c r="M10" s="116">
        <v>45483</v>
      </c>
      <c r="N10" s="116" t="s">
        <v>2376</v>
      </c>
      <c r="O10" s="117" t="s">
        <v>2298</v>
      </c>
      <c r="P10" s="116">
        <v>0</v>
      </c>
      <c r="Q10" s="116">
        <v>978</v>
      </c>
      <c r="R10" s="145">
        <v>45483</v>
      </c>
      <c r="S10" s="117" t="s">
        <v>12</v>
      </c>
      <c r="T10" s="116">
        <v>45484</v>
      </c>
      <c r="U10" s="116" t="s">
        <v>2377</v>
      </c>
    </row>
    <row r="11" spans="2:21">
      <c r="B11" s="141" t="s">
        <v>2254</v>
      </c>
      <c r="C11" s="98">
        <v>9</v>
      </c>
      <c r="D11" s="98" t="s">
        <v>2378</v>
      </c>
      <c r="E11" s="116">
        <v>45438</v>
      </c>
      <c r="F11" s="98">
        <v>4</v>
      </c>
      <c r="G11" s="145" t="s">
        <v>2291</v>
      </c>
      <c r="H11" s="117">
        <v>0</v>
      </c>
      <c r="I11" s="98">
        <v>31</v>
      </c>
      <c r="J11" s="98">
        <v>3.1111200102900002E+26</v>
      </c>
      <c r="K11" s="98">
        <v>1</v>
      </c>
      <c r="L11" s="98">
        <v>1</v>
      </c>
      <c r="M11" s="116">
        <v>45483</v>
      </c>
      <c r="N11" s="116" t="s">
        <v>2376</v>
      </c>
      <c r="O11" s="98" t="s">
        <v>2298</v>
      </c>
      <c r="P11" s="116">
        <v>0</v>
      </c>
      <c r="Q11" s="116">
        <v>978</v>
      </c>
      <c r="R11" s="116">
        <v>45483</v>
      </c>
      <c r="S11" s="117" t="s">
        <v>12</v>
      </c>
      <c r="T11" s="116">
        <v>45484</v>
      </c>
      <c r="U11" s="116" t="s">
        <v>2379</v>
      </c>
    </row>
    <row r="12" spans="2:21">
      <c r="B12" s="164" t="s">
        <v>2256</v>
      </c>
      <c r="C12" s="98">
        <v>10</v>
      </c>
      <c r="D12" s="98" t="s">
        <v>2380</v>
      </c>
      <c r="E12" s="116">
        <v>45438</v>
      </c>
      <c r="F12" s="98">
        <v>4</v>
      </c>
      <c r="G12" s="145" t="s">
        <v>2291</v>
      </c>
      <c r="H12" s="117">
        <v>0</v>
      </c>
      <c r="I12" s="98">
        <v>31</v>
      </c>
      <c r="J12" s="98">
        <v>962304890433650</v>
      </c>
      <c r="K12" s="98">
        <v>99999</v>
      </c>
      <c r="L12" s="98">
        <v>1</v>
      </c>
      <c r="M12" s="116">
        <v>45485</v>
      </c>
      <c r="N12" s="116">
        <v>11779599000000</v>
      </c>
      <c r="O12" s="188" t="s">
        <v>2298</v>
      </c>
      <c r="P12" s="116">
        <v>1</v>
      </c>
      <c r="Q12" s="117">
        <v>978</v>
      </c>
      <c r="R12" s="117">
        <v>45485</v>
      </c>
      <c r="S12" s="116" t="s">
        <v>2381</v>
      </c>
      <c r="T12" s="116">
        <v>45484</v>
      </c>
      <c r="U12" s="116" t="s">
        <v>2377</v>
      </c>
    </row>
    <row r="13" spans="2:21">
      <c r="B13" s="141" t="s">
        <v>2258</v>
      </c>
      <c r="C13" s="98">
        <v>11</v>
      </c>
      <c r="D13" s="98" t="s">
        <v>2382</v>
      </c>
      <c r="E13" s="116">
        <v>45438</v>
      </c>
      <c r="F13" s="98">
        <v>4</v>
      </c>
      <c r="G13" s="145" t="s">
        <v>2291</v>
      </c>
      <c r="H13" s="117">
        <v>0</v>
      </c>
      <c r="I13" s="98">
        <v>31</v>
      </c>
      <c r="J13" s="98">
        <v>962304890433650</v>
      </c>
      <c r="K13" s="98">
        <v>99999</v>
      </c>
      <c r="L13" s="98">
        <v>1</v>
      </c>
      <c r="M13" s="116">
        <v>45485</v>
      </c>
      <c r="N13" s="116">
        <v>11779599000000</v>
      </c>
      <c r="O13" s="116" t="s">
        <v>2298</v>
      </c>
      <c r="P13" s="116">
        <v>1</v>
      </c>
      <c r="Q13" s="116">
        <v>978</v>
      </c>
      <c r="R13" s="116">
        <v>45485</v>
      </c>
      <c r="S13" s="116" t="s">
        <v>2381</v>
      </c>
      <c r="T13" s="116">
        <v>45484</v>
      </c>
      <c r="U13" s="116" t="s">
        <v>2383</v>
      </c>
    </row>
    <row r="14" spans="2:21">
      <c r="B14" s="141" t="s">
        <v>2260</v>
      </c>
      <c r="C14" s="98">
        <v>12</v>
      </c>
      <c r="D14" s="98" t="s">
        <v>2384</v>
      </c>
      <c r="E14" s="116">
        <v>45438</v>
      </c>
      <c r="F14" s="98">
        <v>4</v>
      </c>
      <c r="G14" s="145">
        <v>0.92307700000000004</v>
      </c>
      <c r="H14" s="117">
        <v>0</v>
      </c>
      <c r="I14" s="98">
        <v>0</v>
      </c>
      <c r="J14" s="98">
        <v>0</v>
      </c>
      <c r="K14" s="98">
        <v>0</v>
      </c>
      <c r="L14" s="98">
        <v>0</v>
      </c>
      <c r="M14" s="98">
        <v>0</v>
      </c>
      <c r="N14" s="98">
        <v>0</v>
      </c>
      <c r="O14" s="98">
        <v>298</v>
      </c>
      <c r="P14" s="98">
        <v>0</v>
      </c>
      <c r="Q14" s="117">
        <v>0</v>
      </c>
      <c r="R14" s="117">
        <v>0</v>
      </c>
      <c r="S14" s="98">
        <v>0</v>
      </c>
      <c r="T14" s="98">
        <v>0</v>
      </c>
      <c r="U14" s="98">
        <v>0</v>
      </c>
    </row>
    <row r="15" spans="2:21">
      <c r="B15" s="141" t="s">
        <v>2262</v>
      </c>
      <c r="C15" s="98">
        <v>13</v>
      </c>
      <c r="D15" s="98" t="s">
        <v>2385</v>
      </c>
      <c r="E15" s="116">
        <v>45438</v>
      </c>
      <c r="F15" s="98">
        <v>4</v>
      </c>
      <c r="G15" s="145">
        <v>1</v>
      </c>
      <c r="H15" s="117">
        <v>0</v>
      </c>
      <c r="I15" s="98" t="s">
        <v>2291</v>
      </c>
      <c r="J15" s="98" t="s">
        <v>2291</v>
      </c>
      <c r="K15" s="98" t="s">
        <v>2291</v>
      </c>
      <c r="L15" s="98" t="s">
        <v>2291</v>
      </c>
      <c r="M15" s="98">
        <v>0</v>
      </c>
      <c r="N15" s="98" t="s">
        <v>2291</v>
      </c>
      <c r="O15" s="116" t="s">
        <v>2291</v>
      </c>
      <c r="P15" s="116" t="s">
        <v>2291</v>
      </c>
      <c r="Q15" s="116" t="s">
        <v>2291</v>
      </c>
      <c r="R15" s="98">
        <v>0</v>
      </c>
      <c r="S15" s="116" t="s">
        <v>2291</v>
      </c>
      <c r="T15" s="116" t="s">
        <v>2291</v>
      </c>
      <c r="U15" s="98" t="s">
        <v>2291</v>
      </c>
    </row>
    <row r="16" spans="2:21" s="4" customFormat="1">
      <c r="B16" s="174" t="s">
        <v>2264</v>
      </c>
      <c r="C16" s="161">
        <v>14</v>
      </c>
      <c r="D16" s="161" t="s">
        <v>2386</v>
      </c>
      <c r="E16" s="116">
        <v>45438</v>
      </c>
      <c r="F16" s="161">
        <v>4</v>
      </c>
      <c r="G16" s="175">
        <v>1</v>
      </c>
      <c r="H16" s="117">
        <v>0</v>
      </c>
      <c r="I16" s="161">
        <v>0</v>
      </c>
      <c r="J16" s="161">
        <v>0</v>
      </c>
      <c r="K16" s="161" t="s">
        <v>2291</v>
      </c>
      <c r="L16" s="161" t="s">
        <v>2291</v>
      </c>
      <c r="M16" s="161" t="s">
        <v>2291</v>
      </c>
      <c r="N16" s="161" t="s">
        <v>2291</v>
      </c>
      <c r="O16" s="161">
        <v>0</v>
      </c>
      <c r="P16" s="161" t="s">
        <v>2291</v>
      </c>
      <c r="Q16" s="161">
        <v>0</v>
      </c>
      <c r="R16" s="161" t="s">
        <v>2291</v>
      </c>
      <c r="S16" s="161">
        <v>0</v>
      </c>
      <c r="T16" s="161" t="s">
        <v>2291</v>
      </c>
      <c r="U16" s="161" t="s">
        <v>2291</v>
      </c>
    </row>
    <row r="17" spans="2:22">
      <c r="B17" s="174" t="s">
        <v>2266</v>
      </c>
      <c r="C17" s="98">
        <v>15</v>
      </c>
      <c r="D17" s="161" t="s">
        <v>2387</v>
      </c>
      <c r="E17" s="116">
        <v>45438</v>
      </c>
      <c r="F17" s="98">
        <v>4</v>
      </c>
      <c r="G17" s="145">
        <v>0</v>
      </c>
      <c r="H17" s="170">
        <v>298</v>
      </c>
      <c r="I17" s="98" t="s">
        <v>2291</v>
      </c>
      <c r="J17" s="98" t="s">
        <v>2291</v>
      </c>
      <c r="K17" s="98" t="s">
        <v>2291</v>
      </c>
      <c r="L17" s="98" t="s">
        <v>2291</v>
      </c>
      <c r="M17" s="98" t="s">
        <v>2291</v>
      </c>
      <c r="N17" s="98" t="s">
        <v>2291</v>
      </c>
      <c r="O17" s="88" t="s">
        <v>2291</v>
      </c>
      <c r="P17" s="88" t="s">
        <v>2291</v>
      </c>
      <c r="Q17" s="88" t="s">
        <v>2291</v>
      </c>
      <c r="R17" s="98" t="s">
        <v>2291</v>
      </c>
      <c r="S17" s="98" t="s">
        <v>2291</v>
      </c>
      <c r="T17" s="98" t="s">
        <v>2291</v>
      </c>
      <c r="U17" s="98" t="s">
        <v>2291</v>
      </c>
    </row>
    <row r="18" spans="2:22">
      <c r="B18" s="174" t="s">
        <v>2268</v>
      </c>
      <c r="C18" s="98">
        <v>16</v>
      </c>
      <c r="D18" s="161" t="s">
        <v>2387</v>
      </c>
      <c r="E18" s="116">
        <v>45438</v>
      </c>
      <c r="F18" s="98">
        <v>4</v>
      </c>
      <c r="G18" s="145">
        <v>0</v>
      </c>
      <c r="H18" s="170">
        <v>298</v>
      </c>
      <c r="I18" s="98" t="s">
        <v>2291</v>
      </c>
      <c r="J18" s="98" t="s">
        <v>2291</v>
      </c>
      <c r="K18" s="98" t="s">
        <v>2291</v>
      </c>
      <c r="L18" s="98" t="s">
        <v>2291</v>
      </c>
      <c r="M18" s="98" t="s">
        <v>2291</v>
      </c>
      <c r="N18" s="98" t="s">
        <v>2291</v>
      </c>
      <c r="O18" s="98" t="s">
        <v>2291</v>
      </c>
      <c r="P18" s="98" t="s">
        <v>2291</v>
      </c>
      <c r="Q18" s="98" t="s">
        <v>2291</v>
      </c>
      <c r="R18" s="98" t="s">
        <v>2291</v>
      </c>
      <c r="S18" s="98" t="s">
        <v>2291</v>
      </c>
      <c r="T18" s="98" t="s">
        <v>2291</v>
      </c>
      <c r="U18" s="98" t="s">
        <v>2291</v>
      </c>
    </row>
    <row r="19" spans="2:22">
      <c r="B19" s="141" t="s">
        <v>2274</v>
      </c>
      <c r="C19" s="98">
        <v>19</v>
      </c>
      <c r="D19" s="98" t="s">
        <v>2388</v>
      </c>
      <c r="E19" s="116">
        <v>45438</v>
      </c>
      <c r="F19" s="98">
        <v>4</v>
      </c>
      <c r="G19" s="145" cm="1">
        <f t="array" aca="1" ref="G19" ca="1">SUMPRODUCT(--(ISNUMBER((SEARCH(I25:U25,I19:U19)))))/COUNTA(I19:U19)</f>
        <v>0.76923076923076927</v>
      </c>
      <c r="H19" s="117">
        <v>0</v>
      </c>
      <c r="I19" s="98" t="s">
        <v>2341</v>
      </c>
      <c r="J19" s="98" t="s">
        <v>2341</v>
      </c>
      <c r="K19" s="98" t="s">
        <v>2342</v>
      </c>
      <c r="L19" s="98" t="s">
        <v>2342</v>
      </c>
      <c r="M19" s="98" t="s">
        <v>2341</v>
      </c>
      <c r="N19" s="98" t="s">
        <v>2343</v>
      </c>
      <c r="O19" s="98" t="s">
        <v>2341</v>
      </c>
      <c r="P19" s="98" t="s">
        <v>2341</v>
      </c>
      <c r="Q19" s="98" t="s">
        <v>2341</v>
      </c>
      <c r="R19" s="98" t="s">
        <v>2341</v>
      </c>
      <c r="S19" s="98" t="s">
        <v>2341</v>
      </c>
      <c r="T19" s="98" t="s">
        <v>2341</v>
      </c>
      <c r="U19" s="98" t="s">
        <v>2344</v>
      </c>
    </row>
    <row r="20" spans="2:22">
      <c r="B20" s="141" t="s">
        <v>2277</v>
      </c>
      <c r="C20" s="142">
        <v>20</v>
      </c>
      <c r="D20" s="98" t="s">
        <v>2388</v>
      </c>
      <c r="E20" s="116">
        <v>45438</v>
      </c>
      <c r="F20" s="98">
        <v>4</v>
      </c>
      <c r="G20" s="145" cm="1">
        <f t="array" ref="G20">SUM(IF(I2:U2 = I24:U24, 1, 0))/ COUNTA(I2:U2)</f>
        <v>0.38461538461538464</v>
      </c>
      <c r="H20" s="98" t="s">
        <v>2291</v>
      </c>
      <c r="I20" s="98" t="s">
        <v>2291</v>
      </c>
      <c r="J20" s="98" t="s">
        <v>2291</v>
      </c>
      <c r="K20" s="98" t="s">
        <v>2291</v>
      </c>
      <c r="L20" s="98" t="s">
        <v>2291</v>
      </c>
      <c r="M20" s="98" t="s">
        <v>2291</v>
      </c>
      <c r="N20" s="98" t="s">
        <v>2291</v>
      </c>
      <c r="O20" s="98" t="s">
        <v>2291</v>
      </c>
      <c r="P20" s="98" t="s">
        <v>2291</v>
      </c>
      <c r="Q20" s="98" t="s">
        <v>2291</v>
      </c>
      <c r="R20" s="98" t="s">
        <v>2291</v>
      </c>
      <c r="S20" s="98" t="s">
        <v>2291</v>
      </c>
      <c r="T20" s="98" t="s">
        <v>2291</v>
      </c>
      <c r="U20" s="98" t="s">
        <v>2291</v>
      </c>
    </row>
    <row r="21" spans="2:22">
      <c r="B21" s="165" t="s">
        <v>2280</v>
      </c>
      <c r="C21" s="143">
        <v>21</v>
      </c>
      <c r="D21" s="98" t="s">
        <v>2388</v>
      </c>
      <c r="E21" s="116">
        <v>45438</v>
      </c>
      <c r="F21" s="98">
        <v>4</v>
      </c>
      <c r="G21" s="145" cm="1">
        <f t="array" aca="1" ref="G21" ca="1">SUM(IF(IF(G3:G20="null",1,G3:G20)=1,1,0))/COUNT(IF(G3:G20="null",1,1))</f>
        <v>0.61111111111111116</v>
      </c>
      <c r="H21" s="98" t="s">
        <v>2291</v>
      </c>
      <c r="I21" s="98" t="s">
        <v>2291</v>
      </c>
      <c r="J21" s="98" t="s">
        <v>2291</v>
      </c>
      <c r="K21" s="98" t="s">
        <v>2291</v>
      </c>
      <c r="L21" s="98" t="s">
        <v>2291</v>
      </c>
      <c r="M21" s="98" t="s">
        <v>2291</v>
      </c>
      <c r="N21" s="98" t="s">
        <v>2291</v>
      </c>
      <c r="O21" s="98" t="s">
        <v>2291</v>
      </c>
      <c r="P21" s="98" t="s">
        <v>2291</v>
      </c>
      <c r="Q21" s="98" t="s">
        <v>2291</v>
      </c>
      <c r="R21" s="98" t="s">
        <v>2291</v>
      </c>
      <c r="S21" s="98" t="s">
        <v>2291</v>
      </c>
      <c r="T21" s="98" t="s">
        <v>2291</v>
      </c>
      <c r="U21" s="98" t="s">
        <v>2291</v>
      </c>
    </row>
    <row r="23" spans="2:22">
      <c r="B23" s="115" t="s">
        <v>2345</v>
      </c>
    </row>
    <row r="24" spans="2:22">
      <c r="B24" s="107" t="s">
        <v>2346</v>
      </c>
      <c r="C24" s="108" t="s">
        <v>2284</v>
      </c>
      <c r="D24" s="108" t="s">
        <v>2285</v>
      </c>
      <c r="E24" s="108" t="s">
        <v>2286</v>
      </c>
      <c r="F24" s="108" t="s">
        <v>2287</v>
      </c>
      <c r="G24" s="108" t="s">
        <v>2288</v>
      </c>
      <c r="H24" s="108" t="s">
        <v>2289</v>
      </c>
      <c r="I24" s="109" t="str" cm="1">
        <f t="array" ref="I24:V24">TRANSPOSE(_xlfn.SORTBY(_xlfn._xlws.FILTER(Table2[NOME FÍSICO CAMPO],Table2[NOME FÍSICO TABELA]="bank_guarantee_transaction"), _xlfn._xlws.FILTER(Table2[ORDEM], Table2[NOME FÍSICO TABELA]="bank_guarantee_transaction"), 1))</f>
        <v>bank_id</v>
      </c>
      <c r="J24" s="109" t="str">
        <v>contract_id</v>
      </c>
      <c r="K24" s="109" t="str">
        <v>order_number</v>
      </c>
      <c r="L24" s="109" t="str">
        <v>order_number_stage</v>
      </c>
      <c r="M24" s="109" t="str">
        <v>accounting_bank_basic_operation</v>
      </c>
      <c r="N24" s="109" t="str">
        <v>transaction_type_code</v>
      </c>
      <c r="O24" s="109" t="str">
        <v>financial_flow_indicator</v>
      </c>
      <c r="P24" s="109" t="str">
        <v>currency_code</v>
      </c>
      <c r="Q24" s="109" t="str">
        <v>transaction_date</v>
      </c>
      <c r="R24" s="109" t="str">
        <v>transaction_execution_date</v>
      </c>
      <c r="S24" s="109" t="str">
        <v>amount</v>
      </c>
      <c r="T24" s="109" t="str">
        <v>source_code</v>
      </c>
      <c r="U24" s="110" t="str">
        <v>data_date_part</v>
      </c>
      <c r="V24" t="str">
        <v>data_timestamp_part</v>
      </c>
    </row>
    <row r="25" spans="2:22">
      <c r="B25" s="100" t="s">
        <v>2347</v>
      </c>
      <c r="C25" s="113">
        <v>21</v>
      </c>
      <c r="D25" s="102" t="s">
        <v>2348</v>
      </c>
      <c r="E25" s="101" t="s">
        <v>2349</v>
      </c>
      <c r="F25" s="101" t="s">
        <v>781</v>
      </c>
      <c r="G25" s="101" t="s">
        <v>781</v>
      </c>
      <c r="H25" s="101" t="s">
        <v>781</v>
      </c>
      <c r="I25" s="101" t="str" cm="1">
        <f t="array" aca="1" ref="I25:V26" ca="1">TRANSPOSE(_xlfn.SORTBY(_xlfn._xlws.FILTER(IF(Table2[FORMATO]:Table2[COMP_ CAMPO]&lt;&gt;"",Table2[FORMATO]:Table2[COMP_ CAMPO],9999999),Table2[NOME FÍSICO TABELA]="bank_guarantee_transaction"), _xlfn._xlws.FILTER(Table2[ORDEM], Table2[NOME FÍSICO TABELA]="bank_guarantee_transaction"),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DECIMAL</v>
      </c>
      <c r="T25" s="101" t="str">
        <f ca="1"/>
        <v>STRING</v>
      </c>
      <c r="U25" s="112" t="str">
        <f ca="1"/>
        <v>STRING</v>
      </c>
      <c r="V25" t="str">
        <f ca="1"/>
        <v>TIMESTAMP</v>
      </c>
    </row>
    <row r="26" spans="2:22">
      <c r="B26" s="100" t="s">
        <v>2350</v>
      </c>
      <c r="C26" s="113">
        <v>7</v>
      </c>
      <c r="D26" s="102" t="s">
        <v>2348</v>
      </c>
      <c r="E26" s="101" t="s">
        <v>2349</v>
      </c>
      <c r="F26" s="101" t="s">
        <v>781</v>
      </c>
      <c r="G26" s="101" t="s">
        <v>781</v>
      </c>
      <c r="H26" s="101" t="s">
        <v>781</v>
      </c>
      <c r="I26" s="113">
        <f ca="1"/>
        <v>4</v>
      </c>
      <c r="J26" s="113">
        <f ca="1"/>
        <v>30</v>
      </c>
      <c r="K26" s="113">
        <f ca="1"/>
        <v>9999999</v>
      </c>
      <c r="L26" s="113">
        <f ca="1"/>
        <v>9999999</v>
      </c>
      <c r="M26" s="113">
        <f ca="1"/>
        <v>4</v>
      </c>
      <c r="N26" s="113">
        <f ca="1"/>
        <v>4</v>
      </c>
      <c r="O26" s="113">
        <f ca="1"/>
        <v>4</v>
      </c>
      <c r="P26" s="113">
        <f ca="1"/>
        <v>4</v>
      </c>
      <c r="Q26" s="113">
        <f ca="1"/>
        <v>10</v>
      </c>
      <c r="R26" s="113">
        <f ca="1"/>
        <v>10</v>
      </c>
      <c r="S26" s="113">
        <f ca="1"/>
        <v>23</v>
      </c>
      <c r="T26" s="113">
        <f ca="1"/>
        <v>2</v>
      </c>
      <c r="U26" s="114">
        <f ca="1"/>
        <v>10</v>
      </c>
      <c r="V26">
        <f ca="1"/>
        <v>23</v>
      </c>
    </row>
    <row r="28" spans="2:22">
      <c r="B28" s="123" t="s">
        <v>2351</v>
      </c>
    </row>
    <row r="29" spans="2:22">
      <c r="B29" s="132" t="s">
        <v>2352</v>
      </c>
      <c r="C29" s="132" t="s">
        <v>2353</v>
      </c>
      <c r="D29" s="133" t="s">
        <v>2354</v>
      </c>
      <c r="E29" s="132" t="s">
        <v>2355</v>
      </c>
      <c r="F29" s="132" t="s">
        <v>2356</v>
      </c>
    </row>
    <row r="30" spans="2:22" ht="60.75">
      <c r="B30" s="130" t="s">
        <v>2361</v>
      </c>
      <c r="C30" s="83" t="s">
        <v>1079</v>
      </c>
      <c r="D30" s="83" t="s">
        <v>2389</v>
      </c>
      <c r="E30" s="83" t="s">
        <v>2390</v>
      </c>
      <c r="F30" s="131" t="s">
        <v>2360</v>
      </c>
    </row>
    <row r="31" spans="2:22" ht="60.75">
      <c r="B31" s="130" t="s">
        <v>2365</v>
      </c>
      <c r="C31" s="83" t="s">
        <v>1079</v>
      </c>
      <c r="D31" s="83" t="s">
        <v>2389</v>
      </c>
      <c r="E31" s="83" t="s">
        <v>2390</v>
      </c>
      <c r="F31" s="131" t="s">
        <v>2360</v>
      </c>
    </row>
    <row r="32" spans="2:22" ht="60.75">
      <c r="B32" s="130" t="s">
        <v>2391</v>
      </c>
      <c r="C32" s="83" t="s">
        <v>1079</v>
      </c>
      <c r="D32" s="83" t="s">
        <v>2389</v>
      </c>
      <c r="E32" s="83" t="s">
        <v>2390</v>
      </c>
      <c r="F32" s="131" t="s">
        <v>2360</v>
      </c>
    </row>
    <row r="33" spans="2:20" ht="60.75">
      <c r="B33" s="130" t="s">
        <v>2392</v>
      </c>
      <c r="C33" s="83" t="s">
        <v>1079</v>
      </c>
      <c r="D33" s="83" t="s">
        <v>2389</v>
      </c>
      <c r="E33" s="83" t="s">
        <v>2390</v>
      </c>
      <c r="F33" s="131" t="s">
        <v>2360</v>
      </c>
    </row>
    <row r="34" spans="2:20" ht="30.75">
      <c r="B34" s="134" t="s">
        <v>2357</v>
      </c>
      <c r="C34" s="87" t="s">
        <v>1079</v>
      </c>
      <c r="D34" s="83" t="s">
        <v>2393</v>
      </c>
      <c r="E34" s="83" t="s">
        <v>2390</v>
      </c>
      <c r="F34" s="79" t="s">
        <v>2360</v>
      </c>
    </row>
    <row r="35" spans="2:20">
      <c r="B35" s="134"/>
      <c r="C35" s="87"/>
      <c r="D35" s="87"/>
      <c r="E35" s="87"/>
      <c r="F35" s="79"/>
    </row>
    <row r="36" spans="2:20" s="4" customFormat="1">
      <c r="B36"/>
      <c r="C36"/>
      <c r="D36"/>
      <c r="E36" s="139"/>
      <c r="F36"/>
    </row>
    <row r="37" spans="2:20">
      <c r="E37" s="139"/>
      <c r="H37" s="140"/>
    </row>
    <row r="38" spans="2:20">
      <c r="E38" s="139"/>
      <c r="G38" s="140"/>
    </row>
    <row r="39" spans="2:20">
      <c r="E39" s="139"/>
    </row>
    <row r="40" spans="2:20">
      <c r="D40" s="139"/>
      <c r="E40" s="139"/>
      <c r="F40" s="140"/>
      <c r="G40" s="140"/>
    </row>
    <row r="41" spans="2:20">
      <c r="E41" s="139"/>
    </row>
    <row r="42" spans="2:20">
      <c r="E42" s="139"/>
    </row>
    <row r="43" spans="2:20">
      <c r="E43" s="139"/>
      <c r="P43" s="139"/>
      <c r="Q43" s="139"/>
      <c r="R43" s="140"/>
      <c r="T43" s="139"/>
    </row>
    <row r="44" spans="2:20">
      <c r="E44" s="139"/>
      <c r="P44" s="139"/>
      <c r="Q44" s="139"/>
      <c r="T44" s="139"/>
    </row>
    <row r="45" spans="2:20">
      <c r="E45" s="139"/>
      <c r="P45" s="139"/>
      <c r="Q45" s="139"/>
      <c r="R45" s="140"/>
      <c r="T45" s="139"/>
    </row>
    <row r="46" spans="2:20">
      <c r="E46" s="139"/>
      <c r="P46" s="139"/>
      <c r="Q46" s="139"/>
      <c r="T46" s="139"/>
    </row>
    <row r="47" spans="2:20">
      <c r="E47" s="139"/>
      <c r="G47" s="140"/>
    </row>
    <row r="48" spans="2:20">
      <c r="E48" s="139"/>
      <c r="G48" s="140"/>
      <c r="P48" s="24"/>
      <c r="Q48" s="24"/>
    </row>
    <row r="49" spans="5:7">
      <c r="E49" s="139"/>
      <c r="G49" s="140"/>
    </row>
    <row r="50" spans="5:7">
      <c r="E50" s="139"/>
      <c r="G50" s="140"/>
    </row>
    <row r="51" spans="5:7">
      <c r="E51" s="139"/>
      <c r="G51" s="140"/>
    </row>
    <row r="52" spans="5:7">
      <c r="E52" s="139"/>
      <c r="G52" s="140"/>
    </row>
    <row r="53" spans="5:7">
      <c r="E53" s="139"/>
      <c r="G53" s="140"/>
    </row>
    <row r="54" spans="5:7">
      <c r="E54" s="139"/>
      <c r="G54" s="140"/>
    </row>
    <row r="55" spans="5:7">
      <c r="E55" s="139"/>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5"/>
  <sheetViews>
    <sheetView showGridLines="0" topLeftCell="D5" workbookViewId="0">
      <selection activeCell="G19" sqref="G19"/>
    </sheetView>
  </sheetViews>
  <sheetFormatPr defaultRowHeight="1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row r="2" spans="2:21">
      <c r="B2" s="89" t="s">
        <v>2346</v>
      </c>
      <c r="C2" s="89" t="s">
        <v>2284</v>
      </c>
      <c r="D2" s="89" t="s">
        <v>2285</v>
      </c>
      <c r="E2" s="89" t="s">
        <v>2286</v>
      </c>
      <c r="F2" s="89" t="s">
        <v>2287</v>
      </c>
      <c r="G2" s="89" t="s">
        <v>2288</v>
      </c>
      <c r="H2" s="89" t="s">
        <v>2289</v>
      </c>
      <c r="I2" s="89" t="s">
        <v>730</v>
      </c>
      <c r="J2" s="89" t="s">
        <v>842</v>
      </c>
      <c r="K2" s="89" t="s">
        <v>923</v>
      </c>
      <c r="L2" s="89" t="s">
        <v>1012</v>
      </c>
      <c r="M2" s="89" t="s">
        <v>1079</v>
      </c>
      <c r="N2" s="89" t="s">
        <v>1169</v>
      </c>
      <c r="O2" s="89" t="s">
        <v>1255</v>
      </c>
      <c r="P2" s="89" t="s">
        <v>1334</v>
      </c>
      <c r="Q2" s="89" t="s">
        <v>1224</v>
      </c>
      <c r="R2" s="89" t="s">
        <v>1440</v>
      </c>
      <c r="S2" s="89" t="s">
        <v>1499</v>
      </c>
      <c r="T2" s="89" t="s">
        <v>1561</v>
      </c>
      <c r="U2" s="89" t="s">
        <v>1614</v>
      </c>
    </row>
    <row r="3" spans="2:21">
      <c r="B3" s="141" t="s">
        <v>2237</v>
      </c>
      <c r="C3" s="98">
        <v>1</v>
      </c>
      <c r="D3" s="98" t="s">
        <v>2394</v>
      </c>
      <c r="E3" s="116">
        <v>45517</v>
      </c>
      <c r="F3" s="98">
        <v>5</v>
      </c>
      <c r="G3" s="145">
        <v>1</v>
      </c>
      <c r="H3" s="167">
        <v>132</v>
      </c>
      <c r="I3" s="98" t="s">
        <v>2291</v>
      </c>
      <c r="J3" s="98" t="s">
        <v>2291</v>
      </c>
      <c r="K3" s="98" t="s">
        <v>2291</v>
      </c>
      <c r="L3" s="98" t="s">
        <v>2291</v>
      </c>
      <c r="M3" s="98" t="s">
        <v>2291</v>
      </c>
      <c r="N3" s="98" t="s">
        <v>2291</v>
      </c>
      <c r="O3" s="98" t="s">
        <v>2291</v>
      </c>
      <c r="P3" s="98" t="s">
        <v>2291</v>
      </c>
      <c r="Q3" s="98" t="s">
        <v>2291</v>
      </c>
      <c r="R3" s="98" t="s">
        <v>2291</v>
      </c>
      <c r="S3" s="98" t="s">
        <v>2291</v>
      </c>
      <c r="T3" s="98" t="s">
        <v>2291</v>
      </c>
      <c r="U3" s="98" t="s">
        <v>2291</v>
      </c>
    </row>
    <row r="4" spans="2:21">
      <c r="B4" s="141" t="s">
        <v>2239</v>
      </c>
      <c r="C4" s="98">
        <v>2</v>
      </c>
      <c r="D4" s="98" t="s">
        <v>2395</v>
      </c>
      <c r="E4" s="116">
        <v>45517</v>
      </c>
      <c r="F4" s="98">
        <v>5</v>
      </c>
      <c r="G4" s="145">
        <v>1</v>
      </c>
      <c r="H4" s="98">
        <v>0</v>
      </c>
      <c r="I4" s="98" t="s">
        <v>2291</v>
      </c>
      <c r="J4" s="98" t="s">
        <v>2291</v>
      </c>
      <c r="K4" s="98" t="s">
        <v>2291</v>
      </c>
      <c r="L4" s="98" t="s">
        <v>2291</v>
      </c>
      <c r="M4" s="98" t="s">
        <v>2291</v>
      </c>
      <c r="N4" s="98" t="s">
        <v>2291</v>
      </c>
      <c r="O4" s="98" t="s">
        <v>2291</v>
      </c>
      <c r="P4" s="98" t="s">
        <v>2291</v>
      </c>
      <c r="Q4" s="98" t="s">
        <v>2291</v>
      </c>
      <c r="R4" s="98" t="s">
        <v>2291</v>
      </c>
      <c r="S4" s="98" t="s">
        <v>2291</v>
      </c>
      <c r="T4" s="98" t="s">
        <v>2291</v>
      </c>
      <c r="U4" s="98" t="s">
        <v>2291</v>
      </c>
    </row>
    <row r="5" spans="2:21">
      <c r="B5" s="141" t="s">
        <v>2241</v>
      </c>
      <c r="C5" s="98">
        <v>3</v>
      </c>
      <c r="D5" s="98" t="s">
        <v>2396</v>
      </c>
      <c r="E5" s="116">
        <v>45517</v>
      </c>
      <c r="F5" s="98">
        <v>5</v>
      </c>
      <c r="G5" s="145">
        <v>0.8</v>
      </c>
      <c r="H5" s="98">
        <v>132</v>
      </c>
      <c r="I5" s="98">
        <v>0</v>
      </c>
      <c r="J5" s="98">
        <v>0</v>
      </c>
      <c r="K5" s="98">
        <v>0</v>
      </c>
      <c r="L5" s="98">
        <v>0</v>
      </c>
      <c r="M5" s="98">
        <v>132</v>
      </c>
      <c r="N5" s="98" t="s">
        <v>2291</v>
      </c>
      <c r="O5" s="98" t="s">
        <v>2291</v>
      </c>
      <c r="P5" s="98" t="s">
        <v>2291</v>
      </c>
      <c r="Q5" s="98" t="s">
        <v>2291</v>
      </c>
      <c r="R5" s="98" t="s">
        <v>2291</v>
      </c>
      <c r="S5" s="98" t="s">
        <v>2291</v>
      </c>
      <c r="T5" s="98" t="s">
        <v>2291</v>
      </c>
      <c r="U5" s="98" t="s">
        <v>2291</v>
      </c>
    </row>
    <row r="6" spans="2:21">
      <c r="B6" s="88" t="s">
        <v>2243</v>
      </c>
      <c r="C6" s="98">
        <v>4</v>
      </c>
      <c r="D6" s="98" t="s">
        <v>2296</v>
      </c>
      <c r="E6" s="116" t="s">
        <v>2291</v>
      </c>
      <c r="F6" s="98">
        <v>5</v>
      </c>
      <c r="G6" s="173" t="s">
        <v>2291</v>
      </c>
      <c r="H6" s="173" t="s">
        <v>2291</v>
      </c>
      <c r="I6" s="98" t="s">
        <v>2291</v>
      </c>
      <c r="J6" s="98" t="s">
        <v>2291</v>
      </c>
      <c r="K6" s="98" t="s">
        <v>2291</v>
      </c>
      <c r="L6" s="98" t="s">
        <v>2291</v>
      </c>
      <c r="M6" s="98" t="s">
        <v>2291</v>
      </c>
      <c r="N6" s="98" t="s">
        <v>2291</v>
      </c>
      <c r="O6" s="98" t="s">
        <v>2291</v>
      </c>
      <c r="P6" s="98" t="s">
        <v>2291</v>
      </c>
      <c r="Q6" s="98" t="s">
        <v>2291</v>
      </c>
      <c r="R6" s="98" t="s">
        <v>2291</v>
      </c>
      <c r="S6" s="98" t="s">
        <v>2291</v>
      </c>
      <c r="T6" s="98" t="s">
        <v>2291</v>
      </c>
      <c r="U6" s="98" t="s">
        <v>2291</v>
      </c>
    </row>
    <row r="7" spans="2:21">
      <c r="B7" s="88" t="s">
        <v>2245</v>
      </c>
      <c r="C7" s="98">
        <v>5</v>
      </c>
      <c r="D7" s="98" t="s">
        <v>2296</v>
      </c>
      <c r="E7" s="116" t="s">
        <v>2291</v>
      </c>
      <c r="F7" s="98">
        <v>5</v>
      </c>
      <c r="G7" s="173" t="s">
        <v>2291</v>
      </c>
      <c r="H7" s="173" t="s">
        <v>2291</v>
      </c>
      <c r="I7" s="98" t="s">
        <v>2291</v>
      </c>
      <c r="J7" s="98" t="s">
        <v>2291</v>
      </c>
      <c r="K7" s="98" t="s">
        <v>2291</v>
      </c>
      <c r="L7" s="98" t="s">
        <v>2291</v>
      </c>
      <c r="M7" s="98" t="s">
        <v>2291</v>
      </c>
      <c r="N7" s="98" t="s">
        <v>2291</v>
      </c>
      <c r="O7" s="98" t="s">
        <v>2291</v>
      </c>
      <c r="P7" s="98" t="s">
        <v>2291</v>
      </c>
      <c r="Q7" s="98" t="s">
        <v>2291</v>
      </c>
      <c r="R7" s="98" t="s">
        <v>2291</v>
      </c>
      <c r="S7" s="98" t="s">
        <v>2291</v>
      </c>
      <c r="T7" s="98" t="s">
        <v>2291</v>
      </c>
      <c r="U7" s="98" t="s">
        <v>2291</v>
      </c>
    </row>
    <row r="8" spans="2:21">
      <c r="B8" s="172" t="s">
        <v>2246</v>
      </c>
      <c r="C8" s="98">
        <v>6</v>
      </c>
      <c r="D8" s="98" t="s">
        <v>2397</v>
      </c>
      <c r="E8" s="116">
        <v>45517</v>
      </c>
      <c r="F8" s="98">
        <v>5</v>
      </c>
      <c r="G8" s="145" cm="1">
        <f t="array" ref="G8">SUMPRODUCT(--(I8:U8&gt;0))/COUNTA(I8:U8)</f>
        <v>1</v>
      </c>
      <c r="H8" s="98">
        <v>0</v>
      </c>
      <c r="I8" s="98">
        <v>2</v>
      </c>
      <c r="J8" s="98">
        <v>30</v>
      </c>
      <c r="K8" s="98">
        <v>1</v>
      </c>
      <c r="L8" s="98">
        <v>1</v>
      </c>
      <c r="M8" s="98" t="s">
        <v>2298</v>
      </c>
      <c r="N8" s="98">
        <v>1</v>
      </c>
      <c r="O8" s="98">
        <v>3</v>
      </c>
      <c r="P8" s="98">
        <v>10</v>
      </c>
      <c r="Q8" s="98">
        <v>10</v>
      </c>
      <c r="R8" s="98">
        <v>8</v>
      </c>
      <c r="S8" s="98">
        <v>2</v>
      </c>
      <c r="T8" s="98">
        <v>10</v>
      </c>
      <c r="U8" s="98">
        <v>23</v>
      </c>
    </row>
    <row r="9" spans="2:21">
      <c r="B9" s="141" t="s">
        <v>2249</v>
      </c>
      <c r="C9" s="98">
        <v>7</v>
      </c>
      <c r="D9" s="98" t="s">
        <v>2398</v>
      </c>
      <c r="E9" s="116">
        <v>45517</v>
      </c>
      <c r="F9" s="98">
        <v>5</v>
      </c>
      <c r="G9" s="145" cm="1">
        <f t="array" aca="1" ref="G9" ca="1">SUMPRODUCT(--(I9:U9 &lt;= I26:U26))/COUNTA(I26:U26)</f>
        <v>0.92307692307692313</v>
      </c>
      <c r="H9" s="98">
        <v>0</v>
      </c>
      <c r="I9" s="98">
        <v>2</v>
      </c>
      <c r="J9" s="98">
        <v>30</v>
      </c>
      <c r="K9" s="98">
        <v>5</v>
      </c>
      <c r="L9" s="98">
        <v>1</v>
      </c>
      <c r="M9" s="98" t="s">
        <v>2298</v>
      </c>
      <c r="N9" s="98">
        <v>1</v>
      </c>
      <c r="O9" s="98">
        <v>3</v>
      </c>
      <c r="P9" s="98">
        <v>10</v>
      </c>
      <c r="Q9" s="98">
        <v>10</v>
      </c>
      <c r="R9" s="98">
        <v>12</v>
      </c>
      <c r="S9" s="98">
        <v>2</v>
      </c>
      <c r="T9" s="98">
        <v>10</v>
      </c>
      <c r="U9" s="98">
        <v>23</v>
      </c>
    </row>
    <row r="10" spans="2:21">
      <c r="B10" s="141" t="s">
        <v>2252</v>
      </c>
      <c r="C10" s="98">
        <v>8</v>
      </c>
      <c r="D10" s="98" t="s">
        <v>2399</v>
      </c>
      <c r="E10" s="116">
        <v>45517</v>
      </c>
      <c r="F10" s="98">
        <v>5</v>
      </c>
      <c r="G10" s="173" t="s">
        <v>2291</v>
      </c>
      <c r="H10" s="98">
        <v>0</v>
      </c>
      <c r="I10" s="98">
        <v>31</v>
      </c>
      <c r="J10" s="98">
        <v>3.1016768609106898E+26</v>
      </c>
      <c r="K10" s="98">
        <v>3</v>
      </c>
      <c r="L10" s="98">
        <v>1</v>
      </c>
      <c r="M10" s="98" t="s">
        <v>2298</v>
      </c>
      <c r="N10" s="98">
        <v>0</v>
      </c>
      <c r="O10" s="98">
        <v>978</v>
      </c>
      <c r="P10" s="116">
        <v>45510</v>
      </c>
      <c r="Q10" s="116">
        <v>45517</v>
      </c>
      <c r="R10" s="98" t="s">
        <v>2400</v>
      </c>
      <c r="S10" s="98" t="s">
        <v>2401</v>
      </c>
      <c r="T10" s="116">
        <v>45517</v>
      </c>
      <c r="U10" s="98" t="s">
        <v>2402</v>
      </c>
    </row>
    <row r="11" spans="2:21">
      <c r="B11" s="141" t="s">
        <v>2254</v>
      </c>
      <c r="C11" s="98">
        <v>9</v>
      </c>
      <c r="D11" s="98" t="s">
        <v>2403</v>
      </c>
      <c r="E11" s="116">
        <v>45517</v>
      </c>
      <c r="F11" s="98">
        <v>5</v>
      </c>
      <c r="G11" s="173" t="s">
        <v>2291</v>
      </c>
      <c r="H11" s="98">
        <v>0</v>
      </c>
      <c r="I11" s="98"/>
      <c r="J11" s="98">
        <v>3.1016768609106898E+26</v>
      </c>
      <c r="K11" s="98">
        <v>3</v>
      </c>
      <c r="L11" s="98">
        <v>1</v>
      </c>
      <c r="M11" s="98" t="s">
        <v>2298</v>
      </c>
      <c r="N11" s="98">
        <v>0</v>
      </c>
      <c r="O11" s="98">
        <v>978</v>
      </c>
      <c r="P11" s="116">
        <v>45510</v>
      </c>
      <c r="Q11" s="116">
        <v>45517</v>
      </c>
      <c r="R11" s="98" t="s">
        <v>2400</v>
      </c>
      <c r="S11" s="98" t="s">
        <v>2401</v>
      </c>
      <c r="T11" s="116">
        <v>45517</v>
      </c>
      <c r="U11" s="98" t="s">
        <v>2404</v>
      </c>
    </row>
    <row r="12" spans="2:21">
      <c r="B12" s="164" t="s">
        <v>2256</v>
      </c>
      <c r="C12" s="98">
        <v>10</v>
      </c>
      <c r="D12" s="98" t="s">
        <v>2405</v>
      </c>
      <c r="E12" s="116">
        <v>45517</v>
      </c>
      <c r="F12" s="98">
        <v>5</v>
      </c>
      <c r="G12" s="173" t="s">
        <v>2291</v>
      </c>
      <c r="H12" s="98">
        <v>0</v>
      </c>
      <c r="I12" s="98">
        <v>31</v>
      </c>
      <c r="J12" s="98">
        <v>5.2950000010009103E+29</v>
      </c>
      <c r="K12" s="98">
        <v>14280</v>
      </c>
      <c r="L12" s="98">
        <v>7</v>
      </c>
      <c r="M12" s="98" t="s">
        <v>2298</v>
      </c>
      <c r="N12" s="98">
        <v>1</v>
      </c>
      <c r="O12" s="116">
        <v>978</v>
      </c>
      <c r="P12" s="116">
        <v>45517</v>
      </c>
      <c r="Q12" s="116">
        <v>45517</v>
      </c>
      <c r="R12" s="117">
        <v>79969680000</v>
      </c>
      <c r="S12" s="116" t="s">
        <v>2401</v>
      </c>
      <c r="T12" s="116">
        <v>45517</v>
      </c>
      <c r="U12" s="98" t="s">
        <v>2402</v>
      </c>
    </row>
    <row r="13" spans="2:21">
      <c r="B13" s="141" t="s">
        <v>2258</v>
      </c>
      <c r="C13" s="98">
        <v>11</v>
      </c>
      <c r="D13" s="98" t="s">
        <v>2406</v>
      </c>
      <c r="E13" s="116">
        <v>45517</v>
      </c>
      <c r="F13" s="98">
        <v>5</v>
      </c>
      <c r="G13" s="173" t="s">
        <v>2291</v>
      </c>
      <c r="H13" s="98">
        <v>0</v>
      </c>
      <c r="I13" s="98"/>
      <c r="J13" s="98">
        <v>5.2950000010009103E+29</v>
      </c>
      <c r="K13" s="98">
        <v>14280</v>
      </c>
      <c r="L13" s="98">
        <v>7</v>
      </c>
      <c r="M13" s="98" t="s">
        <v>2298</v>
      </c>
      <c r="N13" s="98">
        <v>1</v>
      </c>
      <c r="O13" s="116">
        <v>978</v>
      </c>
      <c r="P13" s="116">
        <v>45517</v>
      </c>
      <c r="Q13" s="116">
        <v>45517</v>
      </c>
      <c r="R13" s="117">
        <v>79969680000</v>
      </c>
      <c r="S13" s="116" t="s">
        <v>2401</v>
      </c>
      <c r="T13" s="116">
        <v>45517</v>
      </c>
      <c r="U13" s="98" t="s">
        <v>2407</v>
      </c>
    </row>
    <row r="14" spans="2:21">
      <c r="B14" s="141" t="s">
        <v>2260</v>
      </c>
      <c r="C14" s="98">
        <v>12</v>
      </c>
      <c r="D14" s="98" t="s">
        <v>2408</v>
      </c>
      <c r="E14" s="116">
        <v>45517</v>
      </c>
      <c r="F14" s="98">
        <v>5</v>
      </c>
      <c r="G14" s="145">
        <v>0.85</v>
      </c>
      <c r="H14" s="98">
        <v>0</v>
      </c>
      <c r="I14" s="98">
        <v>0</v>
      </c>
      <c r="J14" s="98">
        <v>0</v>
      </c>
      <c r="K14" s="98">
        <v>0</v>
      </c>
      <c r="L14" s="98">
        <v>0</v>
      </c>
      <c r="M14" s="98">
        <v>132</v>
      </c>
      <c r="N14" s="98">
        <v>75</v>
      </c>
      <c r="O14" s="98">
        <v>0</v>
      </c>
      <c r="P14" s="98">
        <v>0</v>
      </c>
      <c r="Q14" s="117">
        <v>0</v>
      </c>
      <c r="R14" s="117">
        <v>0</v>
      </c>
      <c r="S14" s="98">
        <v>0</v>
      </c>
      <c r="T14" s="98">
        <v>0</v>
      </c>
      <c r="U14" s="98">
        <v>0</v>
      </c>
    </row>
    <row r="15" spans="2:21">
      <c r="B15" s="141" t="s">
        <v>2262</v>
      </c>
      <c r="C15" s="98">
        <v>13</v>
      </c>
      <c r="D15" s="98" t="s">
        <v>2409</v>
      </c>
      <c r="E15" s="116">
        <v>45517</v>
      </c>
      <c r="F15" s="98">
        <v>5</v>
      </c>
      <c r="G15" s="145">
        <v>1</v>
      </c>
      <c r="H15" s="98">
        <v>0</v>
      </c>
      <c r="I15" s="98" t="s">
        <v>2291</v>
      </c>
      <c r="J15" s="98" t="s">
        <v>2291</v>
      </c>
      <c r="K15" s="98" t="s">
        <v>2291</v>
      </c>
      <c r="L15" s="98" t="s">
        <v>2291</v>
      </c>
      <c r="M15" s="98" t="s">
        <v>2291</v>
      </c>
      <c r="N15" s="98" t="s">
        <v>2291</v>
      </c>
      <c r="O15" s="116" t="s">
        <v>2291</v>
      </c>
      <c r="P15" s="98">
        <v>0</v>
      </c>
      <c r="Q15" s="98">
        <v>0</v>
      </c>
      <c r="R15" s="98" t="s">
        <v>2291</v>
      </c>
      <c r="S15" s="116" t="s">
        <v>2291</v>
      </c>
      <c r="T15" s="116" t="s">
        <v>2291</v>
      </c>
      <c r="U15" s="98" t="s">
        <v>2291</v>
      </c>
    </row>
    <row r="16" spans="2:21">
      <c r="B16" s="141" t="s">
        <v>2264</v>
      </c>
      <c r="C16" s="98">
        <v>14</v>
      </c>
      <c r="D16" s="98" t="s">
        <v>2410</v>
      </c>
      <c r="E16" s="116">
        <v>45517</v>
      </c>
      <c r="F16" s="98">
        <v>5</v>
      </c>
      <c r="G16" s="145">
        <v>1</v>
      </c>
      <c r="H16" s="98">
        <v>0</v>
      </c>
      <c r="I16" s="98">
        <v>0</v>
      </c>
      <c r="J16" s="98">
        <v>0</v>
      </c>
      <c r="K16" s="98" t="s">
        <v>2291</v>
      </c>
      <c r="L16" s="98" t="s">
        <v>2291</v>
      </c>
      <c r="M16" s="98">
        <v>0</v>
      </c>
      <c r="N16" s="98" t="s">
        <v>2291</v>
      </c>
      <c r="O16" s="98">
        <v>0</v>
      </c>
      <c r="P16" s="98" t="s">
        <v>2291</v>
      </c>
      <c r="Q16" s="98" t="s">
        <v>2291</v>
      </c>
      <c r="R16" s="98" t="s">
        <v>2291</v>
      </c>
      <c r="S16" s="98">
        <v>0</v>
      </c>
      <c r="T16" s="98" t="s">
        <v>2291</v>
      </c>
      <c r="U16" s="98" t="s">
        <v>2291</v>
      </c>
    </row>
    <row r="17" spans="2:21">
      <c r="B17" s="174" t="s">
        <v>2266</v>
      </c>
      <c r="C17" s="98">
        <v>15</v>
      </c>
      <c r="D17" s="98" t="s">
        <v>2411</v>
      </c>
      <c r="E17" s="116">
        <v>45517</v>
      </c>
      <c r="F17" s="98">
        <v>5</v>
      </c>
      <c r="G17" s="145">
        <v>0</v>
      </c>
      <c r="H17" s="98">
        <v>132</v>
      </c>
      <c r="I17" s="98" t="s">
        <v>2291</v>
      </c>
      <c r="J17" s="98" t="s">
        <v>2291</v>
      </c>
      <c r="K17" s="98" t="s">
        <v>2291</v>
      </c>
      <c r="L17" s="98" t="s">
        <v>2291</v>
      </c>
      <c r="M17" s="98" t="s">
        <v>2291</v>
      </c>
      <c r="N17" s="98" t="s">
        <v>2291</v>
      </c>
      <c r="O17" s="88" t="s">
        <v>2291</v>
      </c>
      <c r="P17" s="88" t="s">
        <v>2291</v>
      </c>
      <c r="Q17" s="88" t="s">
        <v>2291</v>
      </c>
      <c r="R17" s="98" t="s">
        <v>2291</v>
      </c>
      <c r="S17" s="98" t="s">
        <v>2291</v>
      </c>
      <c r="T17" s="98" t="s">
        <v>2291</v>
      </c>
      <c r="U17" s="98" t="s">
        <v>2291</v>
      </c>
    </row>
    <row r="18" spans="2:21">
      <c r="B18" s="174" t="s">
        <v>2268</v>
      </c>
      <c r="C18" s="98">
        <v>16</v>
      </c>
      <c r="D18" s="98" t="s">
        <v>2411</v>
      </c>
      <c r="E18" s="116">
        <v>45517</v>
      </c>
      <c r="F18" s="98">
        <v>5</v>
      </c>
      <c r="G18" s="145">
        <v>0</v>
      </c>
      <c r="H18" s="98">
        <v>132</v>
      </c>
      <c r="I18" s="98" t="s">
        <v>2291</v>
      </c>
      <c r="J18" s="98" t="s">
        <v>2291</v>
      </c>
      <c r="K18" s="98" t="s">
        <v>2291</v>
      </c>
      <c r="L18" s="98" t="s">
        <v>2291</v>
      </c>
      <c r="M18" s="98" t="s">
        <v>2291</v>
      </c>
      <c r="N18" s="98" t="s">
        <v>2291</v>
      </c>
      <c r="O18" s="98" t="s">
        <v>2291</v>
      </c>
      <c r="P18" s="98" t="s">
        <v>2291</v>
      </c>
      <c r="Q18" s="98" t="s">
        <v>2291</v>
      </c>
      <c r="R18" s="98" t="s">
        <v>2291</v>
      </c>
      <c r="S18" s="98" t="s">
        <v>2291</v>
      </c>
      <c r="T18" s="98" t="s">
        <v>2291</v>
      </c>
      <c r="U18" s="98" t="s">
        <v>2291</v>
      </c>
    </row>
    <row r="19" spans="2:21">
      <c r="B19" s="141" t="s">
        <v>2274</v>
      </c>
      <c r="C19" s="98">
        <v>19</v>
      </c>
      <c r="D19" s="98" t="s">
        <v>2412</v>
      </c>
      <c r="E19" s="116">
        <v>45517</v>
      </c>
      <c r="F19" s="98">
        <v>5</v>
      </c>
      <c r="G19" s="145" cm="1">
        <f t="array" aca="1" ref="G19" ca="1">SUMPRODUCT(--(ISNUMBER((SEARCH(I25:U25,I19:U19)))))/COUNTA(I19:U19)</f>
        <v>1</v>
      </c>
      <c r="H19" s="98">
        <v>0</v>
      </c>
      <c r="I19" s="98" t="s">
        <v>2341</v>
      </c>
      <c r="J19" s="98" t="s">
        <v>2341</v>
      </c>
      <c r="K19" s="98" t="s">
        <v>2342</v>
      </c>
      <c r="L19" s="98" t="s">
        <v>2342</v>
      </c>
      <c r="M19" s="98" t="s">
        <v>2341</v>
      </c>
      <c r="N19" s="98" t="s">
        <v>2341</v>
      </c>
      <c r="O19" s="98" t="s">
        <v>2341</v>
      </c>
      <c r="P19" s="98" t="s">
        <v>2341</v>
      </c>
      <c r="Q19" s="98" t="s">
        <v>2341</v>
      </c>
      <c r="R19" s="98" t="s">
        <v>2343</v>
      </c>
      <c r="S19" s="98" t="s">
        <v>2341</v>
      </c>
      <c r="T19" s="98" t="s">
        <v>2341</v>
      </c>
      <c r="U19" s="98" t="s">
        <v>2344</v>
      </c>
    </row>
    <row r="20" spans="2:21">
      <c r="B20" s="141" t="s">
        <v>2277</v>
      </c>
      <c r="C20" s="142">
        <v>20</v>
      </c>
      <c r="D20" s="98" t="s">
        <v>2413</v>
      </c>
      <c r="E20" s="116">
        <v>45433</v>
      </c>
      <c r="F20" s="98">
        <v>1</v>
      </c>
      <c r="G20" s="145" cm="1">
        <f t="array" ref="G20">SUM(IF(I2:U2 = I24:U24, 1, 0))/ COUNTA(I2:U2)</f>
        <v>1</v>
      </c>
      <c r="H20" s="98" t="s">
        <v>2291</v>
      </c>
      <c r="I20" s="98" t="s">
        <v>2291</v>
      </c>
      <c r="J20" s="98" t="s">
        <v>2291</v>
      </c>
      <c r="K20" s="98" t="s">
        <v>2291</v>
      </c>
      <c r="L20" s="98" t="s">
        <v>2291</v>
      </c>
      <c r="M20" s="98" t="s">
        <v>2291</v>
      </c>
      <c r="N20" s="98" t="s">
        <v>2291</v>
      </c>
      <c r="O20" s="98" t="s">
        <v>2291</v>
      </c>
      <c r="P20" s="98" t="s">
        <v>2291</v>
      </c>
      <c r="Q20" s="98" t="s">
        <v>2291</v>
      </c>
      <c r="R20" s="98" t="s">
        <v>2291</v>
      </c>
      <c r="S20" s="98" t="s">
        <v>2291</v>
      </c>
      <c r="T20" s="98" t="s">
        <v>2291</v>
      </c>
      <c r="U20" s="98" t="s">
        <v>2291</v>
      </c>
    </row>
    <row r="21" spans="2:21">
      <c r="B21" s="165" t="s">
        <v>2280</v>
      </c>
      <c r="C21" s="143">
        <v>21</v>
      </c>
      <c r="D21" s="98" t="s">
        <v>2413</v>
      </c>
      <c r="E21" s="116">
        <v>45433</v>
      </c>
      <c r="F21" s="98">
        <v>1</v>
      </c>
      <c r="G21" s="145" cm="1">
        <f t="array" aca="1" ref="G21" ca="1">SUM(IF(IF(G3:G20="null",1,G3:G20)=1,1,0))/COUNT(IF(G3:G20="null",1,1))</f>
        <v>0.72222222222222221</v>
      </c>
      <c r="H21" s="98" t="s">
        <v>2291</v>
      </c>
      <c r="I21" s="98" t="s">
        <v>2291</v>
      </c>
      <c r="J21" s="98" t="s">
        <v>2291</v>
      </c>
      <c r="K21" s="98" t="s">
        <v>2291</v>
      </c>
      <c r="L21" s="98" t="s">
        <v>2291</v>
      </c>
      <c r="M21" s="98" t="s">
        <v>2291</v>
      </c>
      <c r="N21" s="98" t="s">
        <v>2291</v>
      </c>
      <c r="O21" s="98" t="s">
        <v>2291</v>
      </c>
      <c r="P21" s="98" t="s">
        <v>2291</v>
      </c>
      <c r="Q21" s="98" t="s">
        <v>2291</v>
      </c>
      <c r="R21" s="98" t="s">
        <v>2291</v>
      </c>
      <c r="S21" s="98" t="s">
        <v>2291</v>
      </c>
      <c r="T21" s="98" t="s">
        <v>2291</v>
      </c>
      <c r="U21" s="98" t="s">
        <v>2291</v>
      </c>
    </row>
    <row r="23" spans="2:21">
      <c r="B23" s="115" t="s">
        <v>2345</v>
      </c>
    </row>
    <row r="24" spans="2:21">
      <c r="B24" s="103" t="s">
        <v>2346</v>
      </c>
      <c r="C24" s="104" t="s">
        <v>2284</v>
      </c>
      <c r="D24" s="104" t="s">
        <v>2285</v>
      </c>
      <c r="E24" s="104" t="s">
        <v>2286</v>
      </c>
      <c r="F24" s="111" t="s">
        <v>2287</v>
      </c>
      <c r="G24" s="111" t="s">
        <v>2288</v>
      </c>
      <c r="H24" s="111" t="s">
        <v>2289</v>
      </c>
      <c r="I24" s="111" t="str" cm="1">
        <f t="array" ref="I24:U24">TRANSPOSE(_xlfn.SORTBY(_xlfn._xlws.FILTER(Table2[NOME FÍSICO CAMPO],Table2[NOME FÍSICO TABELA]="bills_promissory_notes_transaction"), _xlfn._xlws.FILTER(Table2[ORDEM], Table2[NOME FÍSICO TABELA]="bills_promissory_notes_transaction"), 1))</f>
        <v>bank_id</v>
      </c>
      <c r="J24" s="111" t="str">
        <v>contract_id</v>
      </c>
      <c r="K24" s="111" t="str">
        <v>order_number</v>
      </c>
      <c r="L24" s="111" t="str">
        <v>order_number_stage</v>
      </c>
      <c r="M24" s="111" t="str">
        <v>transaction_type_code</v>
      </c>
      <c r="N24" s="111" t="str">
        <v>financial_flow_indicator</v>
      </c>
      <c r="O24" s="111" t="str">
        <v>currency_code</v>
      </c>
      <c r="P24" s="111" t="str">
        <v>transaction_date</v>
      </c>
      <c r="Q24" s="111" t="str">
        <v>transaction_execution_date</v>
      </c>
      <c r="R24" s="111" t="str">
        <v>amount</v>
      </c>
      <c r="S24" s="111" t="str">
        <v>source_code</v>
      </c>
      <c r="T24" s="111" t="str">
        <v>data_date_part</v>
      </c>
      <c r="U24" s="105" t="str">
        <v>data_timestamp_part</v>
      </c>
    </row>
    <row r="25" spans="2:21">
      <c r="B25" s="118" t="s">
        <v>2347</v>
      </c>
      <c r="C25" s="113">
        <v>21</v>
      </c>
      <c r="D25" s="119" t="s">
        <v>2348</v>
      </c>
      <c r="E25" s="113" t="s">
        <v>2349</v>
      </c>
      <c r="F25" s="113" t="s">
        <v>781</v>
      </c>
      <c r="G25" s="113" t="s">
        <v>781</v>
      </c>
      <c r="H25" s="113" t="s">
        <v>781</v>
      </c>
      <c r="I25" s="113" t="str" cm="1">
        <f t="array" aca="1" ref="I25:U26" ca="1">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3" t="str">
        <f ca="1"/>
        <v>STRING</v>
      </c>
      <c r="K25" s="113" t="str">
        <f ca="1"/>
        <v>BIGINT</v>
      </c>
      <c r="L25" s="113" t="str">
        <f ca="1"/>
        <v>BIGINT</v>
      </c>
      <c r="M25" s="113" t="str">
        <f ca="1"/>
        <v>STRING</v>
      </c>
      <c r="N25" s="121" t="str">
        <f ca="1"/>
        <v>STRING</v>
      </c>
      <c r="O25" s="113" t="str">
        <f ca="1"/>
        <v>STRING</v>
      </c>
      <c r="P25" s="113" t="str">
        <f ca="1"/>
        <v>STRING</v>
      </c>
      <c r="Q25" s="113" t="str">
        <f ca="1"/>
        <v>STRING</v>
      </c>
      <c r="R25" s="113" t="str">
        <f ca="1"/>
        <v>DECIMAL</v>
      </c>
      <c r="S25" s="113" t="str">
        <f ca="1"/>
        <v>STRING</v>
      </c>
      <c r="T25" s="113" t="str">
        <f ca="1"/>
        <v>STRING</v>
      </c>
      <c r="U25" s="112" t="str">
        <f ca="1"/>
        <v>TIMESTAMP</v>
      </c>
    </row>
    <row r="26" spans="2:21">
      <c r="B26" s="120" t="s">
        <v>2350</v>
      </c>
      <c r="C26" s="121">
        <v>7</v>
      </c>
      <c r="D26" s="122" t="s">
        <v>2348</v>
      </c>
      <c r="E26" s="121" t="s">
        <v>2349</v>
      </c>
      <c r="F26" s="121" t="s">
        <v>781</v>
      </c>
      <c r="G26" s="121" t="s">
        <v>781</v>
      </c>
      <c r="H26" s="121" t="s">
        <v>781</v>
      </c>
      <c r="I26" s="121">
        <f ca="1"/>
        <v>4</v>
      </c>
      <c r="J26" s="121">
        <f ca="1"/>
        <v>30</v>
      </c>
      <c r="K26" s="121">
        <f ca="1"/>
        <v>9999999</v>
      </c>
      <c r="L26" s="121">
        <f ca="1"/>
        <v>9999999</v>
      </c>
      <c r="M26" s="121">
        <f ca="1"/>
        <v>4</v>
      </c>
      <c r="N26" s="121">
        <f ca="1"/>
        <v>4</v>
      </c>
      <c r="O26" s="121">
        <f ca="1"/>
        <v>4</v>
      </c>
      <c r="P26" s="121">
        <f ca="1"/>
        <v>10</v>
      </c>
      <c r="Q26" s="121">
        <f ca="1"/>
        <v>10</v>
      </c>
      <c r="R26" s="121">
        <f ca="1"/>
        <v>23</v>
      </c>
      <c r="S26" s="121">
        <f ca="1"/>
        <v>2</v>
      </c>
      <c r="T26" s="121">
        <f ca="1"/>
        <v>10</v>
      </c>
      <c r="U26" s="114">
        <f ca="1"/>
        <v>23</v>
      </c>
    </row>
    <row r="28" spans="2:21">
      <c r="B28" s="123" t="s">
        <v>2351</v>
      </c>
    </row>
    <row r="29" spans="2:21">
      <c r="B29" s="124" t="s">
        <v>2352</v>
      </c>
      <c r="C29" s="124" t="s">
        <v>2353</v>
      </c>
      <c r="D29" s="125" t="s">
        <v>2354</v>
      </c>
      <c r="E29" s="124" t="s">
        <v>2355</v>
      </c>
      <c r="F29" s="124" t="s">
        <v>2356</v>
      </c>
    </row>
    <row r="30" spans="2:21" ht="213">
      <c r="B30" s="168" t="s">
        <v>2365</v>
      </c>
      <c r="C30" s="168" t="s">
        <v>1169</v>
      </c>
      <c r="D30" s="87" t="s">
        <v>2414</v>
      </c>
      <c r="E30" s="169" t="s">
        <v>2415</v>
      </c>
      <c r="F30" s="168" t="s">
        <v>2416</v>
      </c>
      <c r="H30" s="24" t="s">
        <v>2417</v>
      </c>
    </row>
    <row r="31" spans="2:21" ht="76.5">
      <c r="B31" s="76" t="s">
        <v>2365</v>
      </c>
      <c r="C31" s="76" t="s">
        <v>1079</v>
      </c>
      <c r="D31" s="83" t="s">
        <v>2358</v>
      </c>
      <c r="E31" s="169" t="s">
        <v>2418</v>
      </c>
      <c r="F31" s="76" t="s">
        <v>2360</v>
      </c>
    </row>
    <row r="32" spans="2:21" ht="76.5">
      <c r="B32" s="184" t="s">
        <v>2361</v>
      </c>
      <c r="C32" s="184" t="s">
        <v>1079</v>
      </c>
      <c r="D32" s="83" t="s">
        <v>2358</v>
      </c>
      <c r="E32" s="169" t="s">
        <v>2418</v>
      </c>
      <c r="F32" s="184" t="s">
        <v>2360</v>
      </c>
    </row>
    <row r="33" spans="2:6" ht="76.5">
      <c r="B33" s="184" t="s">
        <v>2357</v>
      </c>
      <c r="C33" s="184" t="s">
        <v>1079</v>
      </c>
      <c r="D33" s="83" t="s">
        <v>2358</v>
      </c>
      <c r="E33" s="169" t="s">
        <v>2418</v>
      </c>
      <c r="F33" s="184" t="s">
        <v>2360</v>
      </c>
    </row>
    <row r="34" spans="2:6" ht="106.5">
      <c r="B34" s="184" t="s">
        <v>2391</v>
      </c>
      <c r="C34" s="184" t="s">
        <v>2419</v>
      </c>
      <c r="D34" s="83" t="s">
        <v>2420</v>
      </c>
      <c r="E34" s="169" t="s">
        <v>2418</v>
      </c>
      <c r="F34" s="184" t="s">
        <v>2360</v>
      </c>
    </row>
    <row r="35" spans="2:6" ht="106.5">
      <c r="B35" s="184" t="s">
        <v>2392</v>
      </c>
      <c r="C35" s="184" t="s">
        <v>2419</v>
      </c>
      <c r="D35" s="83" t="s">
        <v>2420</v>
      </c>
      <c r="E35" s="169" t="s">
        <v>2418</v>
      </c>
      <c r="F35" s="184" t="s">
        <v>2360</v>
      </c>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AF36"/>
  <sheetViews>
    <sheetView showGridLines="0" topLeftCell="R1" workbookViewId="0">
      <selection activeCell="A14" sqref="A14:XFD14"/>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24" customWidth="1"/>
    <col min="22" max="22" width="14" customWidth="1"/>
    <col min="23" max="23" width="28" customWidth="1"/>
    <col min="27" max="27" width="16" customWidth="1"/>
    <col min="31" max="31" width="26.85546875" bestFit="1" customWidth="1"/>
  </cols>
  <sheetData>
    <row r="1" spans="2:31" ht="38.25" customHeight="1"/>
    <row r="2" spans="2:31">
      <c r="B2" s="97" t="s">
        <v>2283</v>
      </c>
      <c r="C2" s="97" t="s">
        <v>2284</v>
      </c>
      <c r="D2" s="97" t="s">
        <v>2285</v>
      </c>
      <c r="E2" s="97" t="s">
        <v>2286</v>
      </c>
      <c r="F2" s="97" t="s">
        <v>2287</v>
      </c>
      <c r="G2" s="97" t="s">
        <v>2288</v>
      </c>
      <c r="H2" s="97" t="s">
        <v>2289</v>
      </c>
      <c r="I2" s="97" t="s">
        <v>730</v>
      </c>
      <c r="J2" s="97" t="s">
        <v>842</v>
      </c>
      <c r="K2" s="97" t="s">
        <v>923</v>
      </c>
      <c r="L2" s="97" t="s">
        <v>1012</v>
      </c>
      <c r="M2" s="97" t="s">
        <v>1079</v>
      </c>
      <c r="N2" s="97" t="s">
        <v>1224</v>
      </c>
      <c r="O2" s="97" t="s">
        <v>1440</v>
      </c>
      <c r="P2" s="97" t="s">
        <v>1169</v>
      </c>
      <c r="Q2" s="97" t="s">
        <v>1255</v>
      </c>
      <c r="R2" s="97" t="s">
        <v>1334</v>
      </c>
      <c r="S2" s="97" t="s">
        <v>1178</v>
      </c>
      <c r="T2" s="97" t="s">
        <v>1264</v>
      </c>
      <c r="U2" s="97" t="s">
        <v>1066</v>
      </c>
      <c r="V2" s="97" t="s">
        <v>1674</v>
      </c>
      <c r="W2" s="97" t="s">
        <v>1187</v>
      </c>
      <c r="X2" s="97" t="s">
        <v>1642</v>
      </c>
      <c r="Y2" s="97" t="s">
        <v>1796</v>
      </c>
      <c r="Z2" s="97" t="s">
        <v>1831</v>
      </c>
      <c r="AA2" s="97" t="s">
        <v>1870</v>
      </c>
      <c r="AB2" s="97" t="s">
        <v>1120</v>
      </c>
      <c r="AC2" s="97" t="s">
        <v>1499</v>
      </c>
      <c r="AD2" s="97" t="s">
        <v>1561</v>
      </c>
      <c r="AE2" s="97" t="s">
        <v>1614</v>
      </c>
    </row>
    <row r="3" spans="2:31">
      <c r="B3" s="141" t="s">
        <v>2237</v>
      </c>
      <c r="C3" s="98">
        <v>1</v>
      </c>
      <c r="D3" s="98" t="s">
        <v>2421</v>
      </c>
      <c r="E3" s="116">
        <v>45484</v>
      </c>
      <c r="F3" s="98">
        <v>1</v>
      </c>
      <c r="G3" s="117">
        <v>1</v>
      </c>
      <c r="H3" s="170">
        <v>1904077</v>
      </c>
      <c r="I3" s="98" t="s">
        <v>2291</v>
      </c>
      <c r="J3" s="98" t="s">
        <v>2291</v>
      </c>
      <c r="K3" s="98" t="s">
        <v>2291</v>
      </c>
      <c r="L3" s="98" t="s">
        <v>2291</v>
      </c>
      <c r="M3" s="98" t="s">
        <v>2291</v>
      </c>
      <c r="N3" s="98" t="s">
        <v>2291</v>
      </c>
      <c r="O3" s="98" t="s">
        <v>2291</v>
      </c>
      <c r="P3" s="98" t="s">
        <v>2291</v>
      </c>
      <c r="Q3" s="98" t="s">
        <v>2291</v>
      </c>
      <c r="R3" s="98" t="s">
        <v>2291</v>
      </c>
      <c r="S3" s="98" t="s">
        <v>2291</v>
      </c>
      <c r="T3" s="98" t="s">
        <v>2291</v>
      </c>
      <c r="U3" s="98" t="s">
        <v>2291</v>
      </c>
      <c r="V3" s="98" t="s">
        <v>2291</v>
      </c>
      <c r="W3" s="98" t="s">
        <v>2291</v>
      </c>
      <c r="X3" s="98" t="s">
        <v>2291</v>
      </c>
      <c r="Y3" s="98" t="s">
        <v>2291</v>
      </c>
      <c r="Z3" s="98" t="s">
        <v>2291</v>
      </c>
      <c r="AA3" s="98" t="s">
        <v>2291</v>
      </c>
      <c r="AB3" s="98" t="s">
        <v>2291</v>
      </c>
      <c r="AC3" s="98" t="s">
        <v>2291</v>
      </c>
      <c r="AD3" s="98" t="s">
        <v>2291</v>
      </c>
      <c r="AE3" s="98" t="s">
        <v>2291</v>
      </c>
    </row>
    <row r="4" spans="2:31">
      <c r="B4" s="141" t="s">
        <v>2239</v>
      </c>
      <c r="C4" s="98">
        <v>2</v>
      </c>
      <c r="D4" s="98" t="s">
        <v>2422</v>
      </c>
      <c r="E4" s="116">
        <v>45484</v>
      </c>
      <c r="F4" s="98">
        <v>1</v>
      </c>
      <c r="G4" s="117">
        <v>1</v>
      </c>
      <c r="H4" s="98" t="s">
        <v>2376</v>
      </c>
      <c r="I4" s="98" t="s">
        <v>2291</v>
      </c>
      <c r="J4" s="98" t="s">
        <v>2291</v>
      </c>
      <c r="K4" s="98" t="s">
        <v>2291</v>
      </c>
      <c r="L4" s="98" t="s">
        <v>2291</v>
      </c>
      <c r="M4" s="98" t="s">
        <v>2291</v>
      </c>
      <c r="N4" s="98" t="s">
        <v>2291</v>
      </c>
      <c r="O4" s="98" t="s">
        <v>2291</v>
      </c>
      <c r="P4" s="98" t="s">
        <v>2291</v>
      </c>
      <c r="Q4" s="98" t="s">
        <v>2291</v>
      </c>
      <c r="R4" s="98" t="s">
        <v>2291</v>
      </c>
      <c r="S4" s="98" t="s">
        <v>2291</v>
      </c>
      <c r="T4" s="98" t="s">
        <v>2291</v>
      </c>
      <c r="U4" s="98" t="s">
        <v>2291</v>
      </c>
      <c r="V4" s="98" t="s">
        <v>2291</v>
      </c>
      <c r="W4" s="98" t="s">
        <v>2291</v>
      </c>
      <c r="X4" s="98" t="s">
        <v>2291</v>
      </c>
      <c r="Y4" s="98" t="s">
        <v>2291</v>
      </c>
      <c r="Z4" s="98" t="s">
        <v>2291</v>
      </c>
      <c r="AA4" s="98" t="s">
        <v>2291</v>
      </c>
      <c r="AB4" s="98" t="s">
        <v>2291</v>
      </c>
      <c r="AC4" s="98" t="s">
        <v>2291</v>
      </c>
      <c r="AD4" s="98" t="s">
        <v>2291</v>
      </c>
      <c r="AE4" s="98" t="s">
        <v>2291</v>
      </c>
    </row>
    <row r="5" spans="2:31">
      <c r="B5" s="141" t="s">
        <v>2241</v>
      </c>
      <c r="C5" s="98">
        <v>3</v>
      </c>
      <c r="D5" s="98" t="s">
        <v>2423</v>
      </c>
      <c r="E5" s="116">
        <v>45484</v>
      </c>
      <c r="F5" s="98">
        <v>1</v>
      </c>
      <c r="G5" s="98">
        <v>0.875</v>
      </c>
      <c r="H5" s="117">
        <v>1904077</v>
      </c>
      <c r="I5" s="98">
        <v>0</v>
      </c>
      <c r="J5" s="98">
        <v>0</v>
      </c>
      <c r="K5" s="98">
        <v>0</v>
      </c>
      <c r="L5" s="98">
        <v>0</v>
      </c>
      <c r="M5" s="98">
        <v>1904077</v>
      </c>
      <c r="N5" s="98">
        <v>0</v>
      </c>
      <c r="O5" s="98">
        <v>0</v>
      </c>
      <c r="P5" s="98" t="s">
        <v>2291</v>
      </c>
      <c r="Q5" s="98" t="s">
        <v>2291</v>
      </c>
      <c r="R5" s="98" t="s">
        <v>2291</v>
      </c>
      <c r="S5" s="98" t="s">
        <v>2291</v>
      </c>
      <c r="T5" s="98" t="s">
        <v>2291</v>
      </c>
      <c r="U5" s="98" t="s">
        <v>2291</v>
      </c>
      <c r="V5" s="98" t="s">
        <v>2291</v>
      </c>
      <c r="W5" s="98" t="s">
        <v>2291</v>
      </c>
      <c r="X5" s="98" t="s">
        <v>2291</v>
      </c>
      <c r="Y5" s="98" t="s">
        <v>2291</v>
      </c>
      <c r="Z5" s="98" t="s">
        <v>2291</v>
      </c>
      <c r="AA5" s="98" t="s">
        <v>2291</v>
      </c>
      <c r="AB5" s="98" t="s">
        <v>2291</v>
      </c>
      <c r="AC5" s="98" t="s">
        <v>2291</v>
      </c>
      <c r="AD5" s="98">
        <v>0</v>
      </c>
      <c r="AE5" s="98" t="s">
        <v>2291</v>
      </c>
    </row>
    <row r="6" spans="2:31">
      <c r="B6" s="88" t="s">
        <v>2243</v>
      </c>
      <c r="C6" s="98">
        <v>4</v>
      </c>
      <c r="D6" s="98" t="s">
        <v>2296</v>
      </c>
      <c r="E6" s="116" t="s">
        <v>2291</v>
      </c>
      <c r="F6" s="98">
        <v>1</v>
      </c>
      <c r="G6" s="116" t="s">
        <v>2291</v>
      </c>
      <c r="H6" s="98" t="s">
        <v>2291</v>
      </c>
      <c r="I6" s="98" t="s">
        <v>2291</v>
      </c>
      <c r="J6" s="98" t="s">
        <v>2291</v>
      </c>
      <c r="K6" s="98" t="s">
        <v>2291</v>
      </c>
      <c r="L6" s="98" t="s">
        <v>2291</v>
      </c>
      <c r="M6" s="98" t="s">
        <v>2291</v>
      </c>
      <c r="N6" s="98" t="s">
        <v>2291</v>
      </c>
      <c r="O6" s="98" t="s">
        <v>2291</v>
      </c>
      <c r="P6" s="98" t="s">
        <v>2291</v>
      </c>
      <c r="Q6" s="98" t="s">
        <v>2291</v>
      </c>
      <c r="R6" s="98" t="s">
        <v>2291</v>
      </c>
      <c r="S6" s="98" t="s">
        <v>2291</v>
      </c>
      <c r="T6" s="98" t="s">
        <v>2291</v>
      </c>
      <c r="U6" s="98" t="s">
        <v>2291</v>
      </c>
      <c r="V6" s="98" t="s">
        <v>2291</v>
      </c>
      <c r="W6" s="98" t="s">
        <v>2291</v>
      </c>
      <c r="X6" s="98" t="s">
        <v>2291</v>
      </c>
      <c r="Y6" s="98" t="s">
        <v>2291</v>
      </c>
      <c r="Z6" s="98" t="s">
        <v>2291</v>
      </c>
      <c r="AA6" s="98" t="s">
        <v>2291</v>
      </c>
      <c r="AB6" s="98" t="s">
        <v>2291</v>
      </c>
      <c r="AC6" s="98" t="s">
        <v>2291</v>
      </c>
      <c r="AD6" s="98" t="s">
        <v>2291</v>
      </c>
      <c r="AE6" s="98" t="s">
        <v>2291</v>
      </c>
    </row>
    <row r="7" spans="2:31">
      <c r="B7" s="88" t="s">
        <v>2245</v>
      </c>
      <c r="C7" s="98">
        <v>5</v>
      </c>
      <c r="D7" s="98" t="s">
        <v>2296</v>
      </c>
      <c r="E7" s="116" t="s">
        <v>2291</v>
      </c>
      <c r="F7" s="98">
        <v>1</v>
      </c>
      <c r="G7" s="116" t="s">
        <v>2291</v>
      </c>
      <c r="H7" s="98" t="s">
        <v>2291</v>
      </c>
      <c r="I7" s="98" t="s">
        <v>2291</v>
      </c>
      <c r="J7" s="98" t="s">
        <v>2291</v>
      </c>
      <c r="K7" s="98" t="s">
        <v>2291</v>
      </c>
      <c r="L7" s="98" t="s">
        <v>2291</v>
      </c>
      <c r="M7" s="98" t="s">
        <v>2291</v>
      </c>
      <c r="N7" s="98" t="s">
        <v>2291</v>
      </c>
      <c r="O7" s="98" t="s">
        <v>2291</v>
      </c>
      <c r="P7" s="98" t="s">
        <v>2291</v>
      </c>
      <c r="Q7" s="98" t="s">
        <v>2291</v>
      </c>
      <c r="R7" s="98" t="s">
        <v>2291</v>
      </c>
      <c r="S7" s="98" t="s">
        <v>2291</v>
      </c>
      <c r="T7" s="98" t="s">
        <v>2291</v>
      </c>
      <c r="U7" s="98" t="s">
        <v>2291</v>
      </c>
      <c r="V7" s="98" t="s">
        <v>2291</v>
      </c>
      <c r="W7" s="98" t="s">
        <v>2291</v>
      </c>
      <c r="X7" s="98" t="s">
        <v>2291</v>
      </c>
      <c r="Y7" s="98" t="s">
        <v>2291</v>
      </c>
      <c r="Z7" s="98" t="s">
        <v>2291</v>
      </c>
      <c r="AA7" s="98" t="s">
        <v>2291</v>
      </c>
      <c r="AB7" s="98" t="s">
        <v>2291</v>
      </c>
      <c r="AC7" s="98" t="s">
        <v>2291</v>
      </c>
      <c r="AD7" s="98" t="s">
        <v>2291</v>
      </c>
      <c r="AE7" s="98" t="s">
        <v>2291</v>
      </c>
    </row>
    <row r="8" spans="2:31">
      <c r="B8" s="172" t="s">
        <v>2246</v>
      </c>
      <c r="C8" s="98">
        <v>6</v>
      </c>
      <c r="D8" s="98" t="s">
        <v>2424</v>
      </c>
      <c r="E8" s="116">
        <v>45484</v>
      </c>
      <c r="F8" s="98">
        <v>1</v>
      </c>
      <c r="G8" s="145" t="s">
        <v>2291</v>
      </c>
      <c r="H8" s="98" t="s">
        <v>2376</v>
      </c>
      <c r="I8" s="98">
        <v>2</v>
      </c>
      <c r="J8" s="98">
        <v>30</v>
      </c>
      <c r="K8" s="98">
        <v>1</v>
      </c>
      <c r="L8" s="98">
        <v>1</v>
      </c>
      <c r="M8" s="98" t="s">
        <v>2298</v>
      </c>
      <c r="N8" s="98">
        <v>10</v>
      </c>
      <c r="O8" s="98">
        <v>8</v>
      </c>
      <c r="P8" s="98">
        <v>1</v>
      </c>
      <c r="Q8" s="98">
        <v>3</v>
      </c>
      <c r="R8" s="98">
        <v>10</v>
      </c>
      <c r="S8" s="98">
        <v>3</v>
      </c>
      <c r="T8" s="98">
        <v>2</v>
      </c>
      <c r="U8" s="98">
        <v>4</v>
      </c>
      <c r="V8" s="98">
        <v>1</v>
      </c>
      <c r="W8" s="98">
        <v>0</v>
      </c>
      <c r="X8" s="98">
        <v>0</v>
      </c>
      <c r="Y8" s="98">
        <v>0</v>
      </c>
      <c r="Z8" s="98">
        <v>0</v>
      </c>
      <c r="AA8" s="98">
        <v>2</v>
      </c>
      <c r="AB8" s="98">
        <v>1</v>
      </c>
      <c r="AC8" s="98">
        <v>2</v>
      </c>
      <c r="AD8" s="98">
        <v>10</v>
      </c>
      <c r="AE8" s="98">
        <v>23</v>
      </c>
    </row>
    <row r="9" spans="2:31">
      <c r="B9" s="141" t="s">
        <v>2249</v>
      </c>
      <c r="C9" s="98">
        <v>7</v>
      </c>
      <c r="D9" s="98" t="s">
        <v>2425</v>
      </c>
      <c r="E9" s="116">
        <v>45484</v>
      </c>
      <c r="F9" s="98">
        <v>1</v>
      </c>
      <c r="G9" s="145" t="s">
        <v>2291</v>
      </c>
      <c r="H9" s="98" t="s">
        <v>2376</v>
      </c>
      <c r="I9" s="98">
        <v>2</v>
      </c>
      <c r="J9" s="98">
        <v>30</v>
      </c>
      <c r="K9" s="98">
        <v>11</v>
      </c>
      <c r="L9" s="98">
        <v>1</v>
      </c>
      <c r="M9" s="98" t="s">
        <v>2298</v>
      </c>
      <c r="N9" s="98">
        <v>10</v>
      </c>
      <c r="O9" s="98">
        <v>16</v>
      </c>
      <c r="P9" s="98">
        <v>1</v>
      </c>
      <c r="Q9" s="98">
        <v>3</v>
      </c>
      <c r="R9" s="98">
        <v>10</v>
      </c>
      <c r="S9" s="98">
        <v>3</v>
      </c>
      <c r="T9" s="98">
        <v>2</v>
      </c>
      <c r="U9" s="98">
        <v>6</v>
      </c>
      <c r="V9" s="98">
        <v>4</v>
      </c>
      <c r="W9" s="98">
        <v>15</v>
      </c>
      <c r="X9" s="98">
        <v>30</v>
      </c>
      <c r="Y9" s="98">
        <v>50</v>
      </c>
      <c r="Z9" s="98">
        <v>30</v>
      </c>
      <c r="AA9" s="98">
        <v>2</v>
      </c>
      <c r="AB9" s="98">
        <v>4</v>
      </c>
      <c r="AC9" s="98">
        <v>2</v>
      </c>
      <c r="AD9" s="98">
        <v>10</v>
      </c>
      <c r="AE9" s="98">
        <v>23</v>
      </c>
    </row>
    <row r="10" spans="2:31">
      <c r="B10" s="141" t="s">
        <v>2252</v>
      </c>
      <c r="C10" s="98">
        <v>8</v>
      </c>
      <c r="D10" s="98" t="s">
        <v>2426</v>
      </c>
      <c r="E10" s="116">
        <v>45484</v>
      </c>
      <c r="F10" s="98">
        <v>1</v>
      </c>
      <c r="G10" s="116" t="s">
        <v>2291</v>
      </c>
      <c r="H10" s="98" t="s">
        <v>2376</v>
      </c>
      <c r="I10" s="98">
        <v>31</v>
      </c>
      <c r="J10" s="98">
        <v>8.9040020000000002E+21</v>
      </c>
      <c r="K10" s="98">
        <v>1</v>
      </c>
      <c r="L10" s="98">
        <v>1</v>
      </c>
      <c r="M10" s="116" t="s">
        <v>2298</v>
      </c>
      <c r="N10" s="116">
        <v>45484</v>
      </c>
      <c r="O10" s="116">
        <v>-35807535920000</v>
      </c>
      <c r="P10" s="98">
        <v>0</v>
      </c>
      <c r="Q10" s="98">
        <v>124</v>
      </c>
      <c r="R10" s="116">
        <v>45236</v>
      </c>
      <c r="S10" s="116">
        <v>0</v>
      </c>
      <c r="T10" s="145">
        <v>0</v>
      </c>
      <c r="U10" s="98" t="e">
        <v>#N/A</v>
      </c>
      <c r="V10" s="116">
        <v>0</v>
      </c>
      <c r="W10" s="98"/>
      <c r="X10" s="98"/>
      <c r="Y10" s="98"/>
      <c r="Z10" s="98"/>
      <c r="AA10" s="98" t="s">
        <v>2427</v>
      </c>
      <c r="AB10" s="98" t="e">
        <v>#N/A</v>
      </c>
      <c r="AC10" s="98" t="s">
        <v>2381</v>
      </c>
      <c r="AD10" s="116">
        <v>45484</v>
      </c>
      <c r="AE10" s="98" t="s">
        <v>2428</v>
      </c>
    </row>
    <row r="11" spans="2:31">
      <c r="B11" s="141" t="s">
        <v>2254</v>
      </c>
      <c r="C11" s="98">
        <v>9</v>
      </c>
      <c r="D11" s="98" t="s">
        <v>2429</v>
      </c>
      <c r="E11" s="116">
        <v>45484</v>
      </c>
      <c r="F11" s="98">
        <v>1</v>
      </c>
      <c r="G11" s="116" t="s">
        <v>2291</v>
      </c>
      <c r="H11" s="98" t="s">
        <v>2376</v>
      </c>
      <c r="I11" s="98"/>
      <c r="J11" s="98">
        <v>8.9040020000000002E+21</v>
      </c>
      <c r="K11" s="98">
        <v>1</v>
      </c>
      <c r="L11" s="98">
        <v>1</v>
      </c>
      <c r="M11" s="116" t="s">
        <v>2298</v>
      </c>
      <c r="N11" s="116">
        <v>45484</v>
      </c>
      <c r="O11" s="116">
        <v>-35807535920000</v>
      </c>
      <c r="P11" s="98">
        <v>0</v>
      </c>
      <c r="Q11" s="98">
        <v>124</v>
      </c>
      <c r="R11" s="116">
        <v>45236</v>
      </c>
      <c r="S11" s="116">
        <v>0</v>
      </c>
      <c r="T11" s="116">
        <v>0</v>
      </c>
      <c r="U11" s="98" t="e">
        <v>#N/A</v>
      </c>
      <c r="V11" s="116">
        <v>0</v>
      </c>
      <c r="W11" s="98"/>
      <c r="X11" s="98"/>
      <c r="Y11" s="98"/>
      <c r="Z11" s="98"/>
      <c r="AA11" s="98" t="s">
        <v>2427</v>
      </c>
      <c r="AB11" s="98" t="e">
        <v>#N/A</v>
      </c>
      <c r="AC11" s="98" t="s">
        <v>2381</v>
      </c>
      <c r="AD11" s="116">
        <v>45484</v>
      </c>
      <c r="AE11" s="98" t="s">
        <v>2430</v>
      </c>
    </row>
    <row r="12" spans="2:31">
      <c r="B12" s="164" t="s">
        <v>2256</v>
      </c>
      <c r="C12" s="98">
        <v>10</v>
      </c>
      <c r="D12" s="98" t="s">
        <v>2431</v>
      </c>
      <c r="E12" s="116">
        <v>45484</v>
      </c>
      <c r="F12" s="98">
        <v>1</v>
      </c>
      <c r="G12" s="116" t="s">
        <v>2291</v>
      </c>
      <c r="H12" s="98" t="s">
        <v>2376</v>
      </c>
      <c r="I12" s="98">
        <v>31</v>
      </c>
      <c r="J12" s="98">
        <v>2.3970100776801999E+29</v>
      </c>
      <c r="K12" s="98">
        <v>20240151007</v>
      </c>
      <c r="L12" s="98">
        <v>4</v>
      </c>
      <c r="M12" s="116" t="s">
        <v>2298</v>
      </c>
      <c r="N12" s="116">
        <v>45484</v>
      </c>
      <c r="O12" s="117">
        <v>125000000000000</v>
      </c>
      <c r="P12" s="98">
        <v>1</v>
      </c>
      <c r="Q12" s="98">
        <v>985</v>
      </c>
      <c r="R12" s="116">
        <v>45496</v>
      </c>
      <c r="S12" s="116" t="s">
        <v>2432</v>
      </c>
      <c r="T12" s="145" t="s">
        <v>2433</v>
      </c>
      <c r="U12" s="98">
        <v>18231</v>
      </c>
      <c r="V12" s="116">
        <v>7489</v>
      </c>
      <c r="W12" s="98" t="s">
        <v>2434</v>
      </c>
      <c r="X12" s="98" t="s">
        <v>2435</v>
      </c>
      <c r="Y12" s="98" t="s">
        <v>2436</v>
      </c>
      <c r="Z12" s="98" t="s">
        <v>2437</v>
      </c>
      <c r="AA12" s="98" t="s">
        <v>2438</v>
      </c>
      <c r="AB12" s="98">
        <v>7</v>
      </c>
      <c r="AC12" s="98" t="s">
        <v>2439</v>
      </c>
      <c r="AD12" s="116">
        <v>45484</v>
      </c>
      <c r="AE12" s="98" t="s">
        <v>2428</v>
      </c>
    </row>
    <row r="13" spans="2:31">
      <c r="B13" s="141" t="s">
        <v>2258</v>
      </c>
      <c r="C13" s="98">
        <v>11</v>
      </c>
      <c r="D13" s="98" t="s">
        <v>2440</v>
      </c>
      <c r="E13" s="116">
        <v>45484</v>
      </c>
      <c r="F13" s="98">
        <v>1</v>
      </c>
      <c r="G13" s="116" t="s">
        <v>2291</v>
      </c>
      <c r="H13" s="98" t="s">
        <v>2376</v>
      </c>
      <c r="I13" s="98"/>
      <c r="J13" s="98">
        <v>2.3970100776801999E+29</v>
      </c>
      <c r="K13" s="98">
        <v>20240151007</v>
      </c>
      <c r="L13" s="98">
        <v>4</v>
      </c>
      <c r="M13" s="116" t="s">
        <v>2298</v>
      </c>
      <c r="N13" s="116">
        <v>45484</v>
      </c>
      <c r="O13" s="116">
        <v>125000000000000</v>
      </c>
      <c r="P13" s="98">
        <v>1</v>
      </c>
      <c r="Q13" s="98">
        <v>985</v>
      </c>
      <c r="R13" s="116">
        <v>45496</v>
      </c>
      <c r="S13" s="116" t="s">
        <v>2432</v>
      </c>
      <c r="T13" s="116" t="s">
        <v>2433</v>
      </c>
      <c r="U13" s="98">
        <v>18231</v>
      </c>
      <c r="V13" s="116">
        <v>7489</v>
      </c>
      <c r="W13" s="98" t="s">
        <v>2434</v>
      </c>
      <c r="X13" s="98" t="s">
        <v>2435</v>
      </c>
      <c r="Y13" s="98" t="s">
        <v>2436</v>
      </c>
      <c r="Z13" s="98" t="s">
        <v>2437</v>
      </c>
      <c r="AA13" s="98" t="s">
        <v>2438</v>
      </c>
      <c r="AB13" s="98">
        <v>7</v>
      </c>
      <c r="AC13" s="98" t="s">
        <v>2439</v>
      </c>
      <c r="AD13" s="116">
        <v>45484</v>
      </c>
      <c r="AE13" s="98" t="s">
        <v>2441</v>
      </c>
    </row>
    <row r="14" spans="2:31">
      <c r="B14" s="141" t="s">
        <v>2260</v>
      </c>
      <c r="C14" s="98">
        <v>12</v>
      </c>
      <c r="D14" s="98" t="s">
        <v>2442</v>
      </c>
      <c r="E14" s="116">
        <v>45484</v>
      </c>
      <c r="F14" s="98">
        <v>1</v>
      </c>
      <c r="G14" s="98">
        <v>0.782609</v>
      </c>
      <c r="H14" s="98" t="s">
        <v>2376</v>
      </c>
      <c r="I14" s="98">
        <v>0</v>
      </c>
      <c r="J14" s="98">
        <v>0</v>
      </c>
      <c r="K14" s="98">
        <v>0</v>
      </c>
      <c r="L14" s="98">
        <v>0</v>
      </c>
      <c r="M14" s="98">
        <v>1904077</v>
      </c>
      <c r="N14" s="98">
        <v>0</v>
      </c>
      <c r="O14" s="98">
        <v>0</v>
      </c>
      <c r="P14" s="98">
        <v>0</v>
      </c>
      <c r="Q14" s="98">
        <v>0</v>
      </c>
      <c r="R14" s="98">
        <v>0</v>
      </c>
      <c r="S14" s="98">
        <v>35485</v>
      </c>
      <c r="T14" s="98">
        <v>35485</v>
      </c>
      <c r="U14" s="98">
        <v>0</v>
      </c>
      <c r="V14" s="98">
        <v>100</v>
      </c>
      <c r="W14" s="98">
        <v>0</v>
      </c>
      <c r="X14" s="98">
        <v>0</v>
      </c>
      <c r="Y14" s="98">
        <v>0</v>
      </c>
      <c r="Z14" s="98">
        <v>0</v>
      </c>
      <c r="AA14" s="98">
        <v>35485</v>
      </c>
      <c r="AB14" s="98">
        <v>0</v>
      </c>
      <c r="AC14" s="98">
        <v>0</v>
      </c>
      <c r="AD14" s="98">
        <v>0</v>
      </c>
      <c r="AE14" s="98">
        <v>0</v>
      </c>
    </row>
    <row r="15" spans="2:31">
      <c r="B15" s="141" t="s">
        <v>2262</v>
      </c>
      <c r="C15" s="98">
        <v>13</v>
      </c>
      <c r="D15" s="98" t="s">
        <v>2443</v>
      </c>
      <c r="E15" s="116">
        <v>45484</v>
      </c>
      <c r="F15" s="98">
        <v>1</v>
      </c>
      <c r="G15" s="117">
        <v>1</v>
      </c>
      <c r="H15" s="98" t="s">
        <v>2376</v>
      </c>
      <c r="I15" s="98" t="s">
        <v>2291</v>
      </c>
      <c r="J15" s="98" t="s">
        <v>2291</v>
      </c>
      <c r="K15" s="98" t="s">
        <v>2291</v>
      </c>
      <c r="L15" s="88" t="s">
        <v>2291</v>
      </c>
      <c r="M15" s="88" t="s">
        <v>2291</v>
      </c>
      <c r="N15" s="98">
        <v>0</v>
      </c>
      <c r="O15" s="88" t="s">
        <v>2291</v>
      </c>
      <c r="P15" s="88" t="s">
        <v>2291</v>
      </c>
      <c r="Q15" s="88" t="s">
        <v>2291</v>
      </c>
      <c r="R15" s="98">
        <v>0</v>
      </c>
      <c r="S15" s="98" t="s">
        <v>2291</v>
      </c>
      <c r="T15" s="98" t="s">
        <v>2291</v>
      </c>
      <c r="U15" s="98" t="s">
        <v>2291</v>
      </c>
      <c r="V15" s="98" t="s">
        <v>2291</v>
      </c>
      <c r="W15" s="98" t="s">
        <v>2291</v>
      </c>
      <c r="X15" s="98" t="s">
        <v>2291</v>
      </c>
      <c r="Y15" s="98" t="s">
        <v>2291</v>
      </c>
      <c r="Z15" s="98" t="s">
        <v>2291</v>
      </c>
      <c r="AA15" s="98" t="s">
        <v>2291</v>
      </c>
      <c r="AB15" s="98" t="s">
        <v>2291</v>
      </c>
      <c r="AC15" s="98" t="s">
        <v>2291</v>
      </c>
      <c r="AD15" s="98" t="s">
        <v>2291</v>
      </c>
      <c r="AE15" s="98" t="s">
        <v>2291</v>
      </c>
    </row>
    <row r="16" spans="2:31">
      <c r="B16" s="141" t="s">
        <v>2264</v>
      </c>
      <c r="C16" s="98">
        <v>14</v>
      </c>
      <c r="D16" s="98" t="s">
        <v>2444</v>
      </c>
      <c r="E16" s="116">
        <v>45484</v>
      </c>
      <c r="F16" s="98">
        <v>1</v>
      </c>
      <c r="G16" s="117">
        <v>1</v>
      </c>
      <c r="H16" s="98" t="s">
        <v>2376</v>
      </c>
      <c r="I16" s="98">
        <v>0</v>
      </c>
      <c r="J16" s="98">
        <v>0</v>
      </c>
      <c r="K16" s="98" t="s">
        <v>2291</v>
      </c>
      <c r="L16" s="98" t="s">
        <v>2291</v>
      </c>
      <c r="M16" s="88">
        <v>0</v>
      </c>
      <c r="N16" s="98" t="s">
        <v>2291</v>
      </c>
      <c r="O16" s="98" t="s">
        <v>2291</v>
      </c>
      <c r="P16" s="98" t="s">
        <v>2291</v>
      </c>
      <c r="Q16" s="88">
        <v>0</v>
      </c>
      <c r="R16" s="98" t="s">
        <v>2291</v>
      </c>
      <c r="S16" s="98">
        <v>0</v>
      </c>
      <c r="T16" s="98">
        <v>0</v>
      </c>
      <c r="U16" s="98">
        <v>0</v>
      </c>
      <c r="V16" s="98" t="s">
        <v>2291</v>
      </c>
      <c r="W16" s="98" t="s">
        <v>2291</v>
      </c>
      <c r="X16" s="98" t="s">
        <v>2291</v>
      </c>
      <c r="Y16" s="98" t="s">
        <v>2291</v>
      </c>
      <c r="Z16" s="98" t="s">
        <v>2291</v>
      </c>
      <c r="AA16" s="98">
        <v>0</v>
      </c>
      <c r="AB16" s="98" t="s">
        <v>2291</v>
      </c>
      <c r="AC16" s="98">
        <v>0</v>
      </c>
      <c r="AD16" s="98" t="s">
        <v>2291</v>
      </c>
      <c r="AE16" s="98" t="s">
        <v>2291</v>
      </c>
    </row>
    <row r="17" spans="2:32">
      <c r="B17" s="174" t="s">
        <v>2266</v>
      </c>
      <c r="C17" s="98">
        <v>15</v>
      </c>
      <c r="D17" s="98" t="s">
        <v>2445</v>
      </c>
      <c r="E17" s="116">
        <v>45484</v>
      </c>
      <c r="F17" s="98">
        <v>1</v>
      </c>
      <c r="G17" s="117" t="s">
        <v>2376</v>
      </c>
      <c r="H17" s="117">
        <v>1904077000000</v>
      </c>
      <c r="I17" s="98" t="s">
        <v>2291</v>
      </c>
      <c r="J17" s="98" t="s">
        <v>2291</v>
      </c>
      <c r="K17" s="98" t="s">
        <v>2291</v>
      </c>
      <c r="L17" s="98" t="s">
        <v>2291</v>
      </c>
      <c r="M17" s="98" t="s">
        <v>2291</v>
      </c>
      <c r="N17" s="98" t="s">
        <v>2291</v>
      </c>
      <c r="O17" s="98" t="s">
        <v>2291</v>
      </c>
      <c r="P17" s="98" t="s">
        <v>2291</v>
      </c>
      <c r="Q17" s="98" t="s">
        <v>2291</v>
      </c>
      <c r="R17" s="98" t="s">
        <v>2291</v>
      </c>
      <c r="S17" s="98" t="s">
        <v>2291</v>
      </c>
      <c r="T17" s="98" t="s">
        <v>2291</v>
      </c>
      <c r="U17" s="98" t="s">
        <v>2291</v>
      </c>
      <c r="V17" s="98" t="s">
        <v>2291</v>
      </c>
      <c r="W17" s="98" t="s">
        <v>2291</v>
      </c>
      <c r="X17" s="98" t="s">
        <v>2291</v>
      </c>
      <c r="Y17" s="98" t="s">
        <v>2291</v>
      </c>
      <c r="Z17" s="98" t="s">
        <v>2291</v>
      </c>
      <c r="AA17" s="98" t="s">
        <v>2291</v>
      </c>
      <c r="AB17" s="98" t="s">
        <v>2291</v>
      </c>
      <c r="AC17" s="98" t="s">
        <v>2291</v>
      </c>
      <c r="AD17" s="98" t="s">
        <v>2291</v>
      </c>
      <c r="AE17" s="98" t="s">
        <v>2291</v>
      </c>
    </row>
    <row r="18" spans="2:32">
      <c r="B18" s="174" t="s">
        <v>2268</v>
      </c>
      <c r="C18" s="98">
        <v>16</v>
      </c>
      <c r="D18" s="98" t="s">
        <v>2445</v>
      </c>
      <c r="E18" s="116">
        <v>45484</v>
      </c>
      <c r="F18" s="98">
        <v>1</v>
      </c>
      <c r="G18" s="117" t="s">
        <v>2376</v>
      </c>
      <c r="H18" s="117">
        <v>1904077000000</v>
      </c>
      <c r="I18" s="98" t="s">
        <v>2291</v>
      </c>
      <c r="J18" s="98" t="s">
        <v>2291</v>
      </c>
      <c r="K18" s="98" t="s">
        <v>2291</v>
      </c>
      <c r="L18" s="98" t="s">
        <v>2291</v>
      </c>
      <c r="M18" s="98" t="s">
        <v>2291</v>
      </c>
      <c r="N18" s="98" t="s">
        <v>2291</v>
      </c>
      <c r="O18" s="98" t="s">
        <v>2291</v>
      </c>
      <c r="P18" s="98" t="s">
        <v>2291</v>
      </c>
      <c r="Q18" s="98" t="s">
        <v>2291</v>
      </c>
      <c r="R18" s="98" t="s">
        <v>2291</v>
      </c>
      <c r="S18" s="98" t="s">
        <v>2291</v>
      </c>
      <c r="T18" s="98" t="s">
        <v>2291</v>
      </c>
      <c r="U18" s="98" t="s">
        <v>2291</v>
      </c>
      <c r="V18" s="98" t="s">
        <v>2291</v>
      </c>
      <c r="W18" s="98" t="s">
        <v>2291</v>
      </c>
      <c r="X18" s="98" t="s">
        <v>2291</v>
      </c>
      <c r="Y18" s="98" t="s">
        <v>2291</v>
      </c>
      <c r="Z18" s="98" t="s">
        <v>2291</v>
      </c>
      <c r="AA18" s="98" t="s">
        <v>2291</v>
      </c>
      <c r="AB18" s="98" t="s">
        <v>2291</v>
      </c>
      <c r="AC18" s="98" t="s">
        <v>2291</v>
      </c>
      <c r="AD18" s="98" t="s">
        <v>2291</v>
      </c>
      <c r="AE18" s="98" t="s">
        <v>2291</v>
      </c>
    </row>
    <row r="19" spans="2:32">
      <c r="B19" s="141" t="s">
        <v>2274</v>
      </c>
      <c r="C19" s="98">
        <v>19</v>
      </c>
      <c r="D19" s="98" t="s">
        <v>2446</v>
      </c>
      <c r="E19" s="116">
        <v>45484</v>
      </c>
      <c r="F19" s="98">
        <v>1</v>
      </c>
      <c r="G19" s="145" cm="1">
        <f t="array" aca="1" ref="G19" ca="1">SUMPRODUCT(--(ISNUMBER((SEARCH(I25:AE25,I19:AE19)))))/COUNTA(I19:AE19)</f>
        <v>0.78260869565217395</v>
      </c>
      <c r="H19" s="98" t="s">
        <v>2376</v>
      </c>
      <c r="I19" s="98" t="s">
        <v>2341</v>
      </c>
      <c r="J19" s="98" t="s">
        <v>2341</v>
      </c>
      <c r="K19" s="98" t="s">
        <v>2342</v>
      </c>
      <c r="L19" s="98" t="s">
        <v>2342</v>
      </c>
      <c r="M19" s="98" t="s">
        <v>2341</v>
      </c>
      <c r="N19" s="98" t="s">
        <v>2341</v>
      </c>
      <c r="O19" s="98" t="s">
        <v>2343</v>
      </c>
      <c r="P19" s="98" t="s">
        <v>2341</v>
      </c>
      <c r="Q19" s="98" t="s">
        <v>2341</v>
      </c>
      <c r="R19" s="98" t="s">
        <v>2341</v>
      </c>
      <c r="S19" s="98" t="s">
        <v>2341</v>
      </c>
      <c r="T19" s="98" t="s">
        <v>2341</v>
      </c>
      <c r="U19" s="98" t="s">
        <v>2341</v>
      </c>
      <c r="V19" s="98" t="s">
        <v>2341</v>
      </c>
      <c r="W19" s="98" t="s">
        <v>2341</v>
      </c>
      <c r="X19" s="98" t="s">
        <v>2341</v>
      </c>
      <c r="Y19" s="98" t="s">
        <v>2341</v>
      </c>
      <c r="Z19" s="98" t="s">
        <v>2341</v>
      </c>
      <c r="AA19" s="98" t="s">
        <v>2341</v>
      </c>
      <c r="AB19" s="98" t="s">
        <v>2341</v>
      </c>
      <c r="AC19" s="98" t="s">
        <v>2341</v>
      </c>
      <c r="AD19" s="98" t="s">
        <v>2341</v>
      </c>
      <c r="AE19" s="98" t="s">
        <v>2344</v>
      </c>
    </row>
    <row r="20" spans="2:32">
      <c r="B20" s="141" t="s">
        <v>2277</v>
      </c>
      <c r="C20" s="98">
        <v>20</v>
      </c>
      <c r="D20" s="98"/>
      <c r="E20" s="116"/>
      <c r="F20" s="98">
        <v>1</v>
      </c>
      <c r="G20" s="98" cm="1">
        <f t="array" ref="G20">SUM(IF(I2:W2 = I24:W24, 1, 0))/ COUNTA(I2:W2)</f>
        <v>0.13333333333333333</v>
      </c>
      <c r="H20" s="98"/>
      <c r="I20" s="98"/>
      <c r="J20" s="98"/>
      <c r="K20" s="98"/>
      <c r="L20" s="98"/>
      <c r="M20" s="98"/>
      <c r="N20" s="98"/>
      <c r="O20" s="98"/>
      <c r="P20" s="98"/>
      <c r="Q20" s="98"/>
      <c r="R20" s="98"/>
      <c r="S20" s="98"/>
      <c r="T20" s="98"/>
      <c r="U20" s="98"/>
      <c r="V20" s="98"/>
      <c r="W20" s="98"/>
      <c r="X20" s="98"/>
      <c r="Y20" s="98"/>
      <c r="Z20" s="98"/>
      <c r="AA20" s="98"/>
      <c r="AB20" s="98"/>
      <c r="AC20" s="98"/>
      <c r="AD20" s="98"/>
      <c r="AE20" s="98"/>
    </row>
    <row r="21" spans="2:32">
      <c r="B21" s="165" t="s">
        <v>2280</v>
      </c>
      <c r="C21" s="98">
        <v>21</v>
      </c>
      <c r="D21" s="98"/>
      <c r="E21" s="116"/>
      <c r="F21" s="98"/>
      <c r="G21" s="98" cm="1">
        <f t="array" aca="1" ref="G21" ca="1">SUM(IF(IF(G3:G20="null",1,G3:G20)=1,1,0))/COUNT(IF(G3:G20="null",1,1))</f>
        <v>0.66666666666666663</v>
      </c>
      <c r="H21" s="98"/>
      <c r="I21" s="98"/>
      <c r="J21" s="98"/>
      <c r="K21" s="98"/>
      <c r="L21" s="98"/>
      <c r="M21" s="98"/>
      <c r="N21" s="98"/>
      <c r="O21" s="98"/>
      <c r="P21" s="98"/>
      <c r="Q21" s="98"/>
      <c r="R21" s="98"/>
      <c r="S21" s="98"/>
      <c r="T21" s="98"/>
      <c r="U21" s="98"/>
      <c r="V21" s="98"/>
      <c r="W21" s="98"/>
      <c r="X21" s="98"/>
      <c r="Y21" s="98"/>
      <c r="Z21" s="98"/>
      <c r="AA21" s="98"/>
      <c r="AB21" s="98"/>
      <c r="AC21" s="98"/>
      <c r="AD21" s="98"/>
      <c r="AE21" s="98"/>
    </row>
    <row r="22" spans="2:32">
      <c r="B22" s="98"/>
      <c r="C22" s="98"/>
      <c r="D22" s="98"/>
      <c r="E22" s="116"/>
      <c r="F22" s="98"/>
      <c r="G22" s="98"/>
      <c r="H22" s="98"/>
      <c r="I22" s="98"/>
      <c r="J22" s="98"/>
      <c r="K22" s="98"/>
      <c r="L22" s="98"/>
      <c r="M22" s="98"/>
      <c r="N22" s="98"/>
      <c r="O22" s="98"/>
      <c r="P22" s="98"/>
      <c r="Q22" s="98"/>
      <c r="R22" s="98"/>
      <c r="S22" s="98"/>
      <c r="T22" s="98"/>
    </row>
    <row r="23" spans="2:32">
      <c r="B23" s="106" t="s">
        <v>2345</v>
      </c>
    </row>
    <row r="24" spans="2:32">
      <c r="B24" s="107" t="s">
        <v>2346</v>
      </c>
      <c r="C24" s="108" t="s">
        <v>2284</v>
      </c>
      <c r="D24" s="108" t="s">
        <v>2285</v>
      </c>
      <c r="E24" s="108" t="s">
        <v>2286</v>
      </c>
      <c r="F24" s="108" t="s">
        <v>2287</v>
      </c>
      <c r="G24" s="108" t="s">
        <v>2288</v>
      </c>
      <c r="H24" s="108" t="s">
        <v>2289</v>
      </c>
      <c r="I24" s="135" t="str" cm="1">
        <f t="array" ref="I24:AF24">TRANSPOSE(_xlfn.SORTBY(_xlfn._xlws.FILTER(Table2[NOME FÍSICO CAMPO],Table2[NOME FÍSICO TABELA]="current_account_transaction"), _xlfn._xlws.FILTER(Table2[ORDEM], Table2[NOME FÍSICO TABELA]="current_account_transaction"), 1))</f>
        <v>bank_id</v>
      </c>
      <c r="J24" s="135" t="str">
        <v>contract_id</v>
      </c>
      <c r="K24" s="135" t="str">
        <v>zdepsoti</v>
      </c>
      <c r="L24" s="135" t="str">
        <v>order_number</v>
      </c>
      <c r="M24" s="135" t="str">
        <v>order_number_stage</v>
      </c>
      <c r="N24" s="135" t="str">
        <v>sender_order_number_stage</v>
      </c>
      <c r="O24" s="135" t="str">
        <v>transfer_reference</v>
      </c>
      <c r="P24" s="135" t="str">
        <v>transaction_type_code</v>
      </c>
      <c r="Q24" s="135" t="str">
        <v>accounting_operation_code</v>
      </c>
      <c r="R24" s="135" t="str">
        <v>accounting_operation_option_code</v>
      </c>
      <c r="S24" s="135" t="str">
        <v>accounting_bank_basic_operation</v>
      </c>
      <c r="T24" s="136" t="str">
        <v>financial_flow_indicator</v>
      </c>
      <c r="U24" s="136" t="str">
        <v>currency_code</v>
      </c>
      <c r="V24" s="136" t="str">
        <v>transaction_date</v>
      </c>
      <c r="W24" s="136" t="str">
        <v>transaction_execution_date</v>
      </c>
      <c r="X24" s="247" t="str">
        <v>amount</v>
      </c>
      <c r="Y24" s="247" t="str">
        <v>check_number</v>
      </c>
      <c r="Z24" s="247" t="str">
        <v>description</v>
      </c>
      <c r="AA24" s="247" t="str">
        <v>full_description</v>
      </c>
      <c r="AB24" s="247" t="str">
        <v>comment</v>
      </c>
      <c r="AC24" s="247" t="str">
        <v>sender_source_code</v>
      </c>
      <c r="AD24" s="247" t="str">
        <v>source_code</v>
      </c>
      <c r="AE24" s="247" t="str">
        <v>data_date_part</v>
      </c>
      <c r="AF24" t="str">
        <v>data_timestamp_part</v>
      </c>
    </row>
    <row r="25" spans="2:32">
      <c r="B25" s="100" t="s">
        <v>2347</v>
      </c>
      <c r="C25" s="113">
        <v>21</v>
      </c>
      <c r="D25" s="102" t="s">
        <v>2348</v>
      </c>
      <c r="E25" s="101" t="s">
        <v>2349</v>
      </c>
      <c r="F25" s="101" t="s">
        <v>781</v>
      </c>
      <c r="G25" s="101" t="s">
        <v>781</v>
      </c>
      <c r="H25" s="101" t="s">
        <v>781</v>
      </c>
      <c r="I25" s="101" t="str" cm="1">
        <f t="array" aca="1" ref="I25:AF26" ca="1">TRANSPOSE(_xlfn.SORTBY(_xlfn._xlws.FILTER(IF(Table2[FORMATO]:Table2[COMP_ CAMPO]&lt;&gt;"",Table2[FORMATO]:Table2[COMP_ CAMPO],9999999),Table2[NOME FÍSICO TABELA]="current_account_transaction"), _xlfn._xlws.FILTER(Table2[ORDEM], Table2[NOME FÍSICO TABELA]="current_account_transaction"), 1))</f>
        <v>STRING</v>
      </c>
      <c r="J25" s="101" t="str">
        <f ca="1"/>
        <v>STRING</v>
      </c>
      <c r="K25" s="101" t="str">
        <f ca="1"/>
        <v>STRING</v>
      </c>
      <c r="L25" s="101" t="str">
        <f ca="1"/>
        <v>BIGINT</v>
      </c>
      <c r="M25" s="101" t="str">
        <f ca="1"/>
        <v>BIGINT</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12" t="str">
        <f ca="1"/>
        <v>STRING</v>
      </c>
      <c r="X25" t="str">
        <f ca="1"/>
        <v>DECIMAL</v>
      </c>
      <c r="Y25" t="str">
        <f ca="1"/>
        <v>STRING</v>
      </c>
      <c r="Z25" t="str">
        <f ca="1"/>
        <v>STRING</v>
      </c>
      <c r="AA25" t="str">
        <f ca="1"/>
        <v>STRING</v>
      </c>
      <c r="AB25" t="str">
        <f ca="1"/>
        <v>STRING</v>
      </c>
      <c r="AC25" t="str">
        <f ca="1"/>
        <v>STRING</v>
      </c>
      <c r="AD25" t="str">
        <f ca="1"/>
        <v>STRING</v>
      </c>
      <c r="AE25" t="str">
        <f ca="1"/>
        <v>STRING</v>
      </c>
      <c r="AF25" t="str">
        <f ca="1"/>
        <v>TIMESTAMP</v>
      </c>
    </row>
    <row r="26" spans="2:32">
      <c r="B26" s="100" t="s">
        <v>2350</v>
      </c>
      <c r="C26" s="113">
        <v>7</v>
      </c>
      <c r="D26" s="102" t="s">
        <v>2348</v>
      </c>
      <c r="E26" s="101" t="s">
        <v>2349</v>
      </c>
      <c r="F26" s="101" t="s">
        <v>781</v>
      </c>
      <c r="G26" s="101" t="s">
        <v>781</v>
      </c>
      <c r="H26" s="101" t="s">
        <v>781</v>
      </c>
      <c r="I26" s="113">
        <f ca="1"/>
        <v>4</v>
      </c>
      <c r="J26" s="113">
        <f ca="1"/>
        <v>30</v>
      </c>
      <c r="K26" s="113">
        <f ca="1"/>
        <v>15</v>
      </c>
      <c r="L26" s="113">
        <f ca="1"/>
        <v>9999999</v>
      </c>
      <c r="M26" s="113">
        <f ca="1"/>
        <v>9999999</v>
      </c>
      <c r="N26" s="113">
        <f ca="1"/>
        <v>9999999</v>
      </c>
      <c r="O26" s="113">
        <f ca="1"/>
        <v>9999999</v>
      </c>
      <c r="P26" s="113">
        <f ca="1"/>
        <v>4</v>
      </c>
      <c r="Q26" s="113">
        <f ca="1"/>
        <v>4</v>
      </c>
      <c r="R26" s="113">
        <f ca="1"/>
        <v>4</v>
      </c>
      <c r="S26" s="113">
        <f ca="1"/>
        <v>4</v>
      </c>
      <c r="T26" s="113">
        <f ca="1"/>
        <v>4</v>
      </c>
      <c r="U26" s="101">
        <f ca="1"/>
        <v>4</v>
      </c>
      <c r="V26" s="101">
        <f ca="1"/>
        <v>10</v>
      </c>
      <c r="W26" s="112">
        <f ca="1"/>
        <v>10</v>
      </c>
      <c r="X26">
        <f ca="1"/>
        <v>23</v>
      </c>
      <c r="Y26">
        <f ca="1"/>
        <v>10</v>
      </c>
      <c r="Z26">
        <f ca="1"/>
        <v>30</v>
      </c>
      <c r="AA26">
        <f ca="1"/>
        <v>9999999</v>
      </c>
      <c r="AB26">
        <f ca="1"/>
        <v>9999999</v>
      </c>
      <c r="AC26">
        <f ca="1"/>
        <v>4</v>
      </c>
      <c r="AD26">
        <f ca="1"/>
        <v>2</v>
      </c>
      <c r="AE26">
        <f ca="1"/>
        <v>10</v>
      </c>
      <c r="AF26">
        <f ca="1"/>
        <v>23</v>
      </c>
    </row>
    <row r="29" spans="2:32">
      <c r="B29" s="123" t="s">
        <v>2351</v>
      </c>
    </row>
    <row r="30" spans="2:32">
      <c r="B30" s="132" t="s">
        <v>2352</v>
      </c>
      <c r="C30" s="132" t="s">
        <v>2353</v>
      </c>
      <c r="D30" s="133" t="s">
        <v>2354</v>
      </c>
      <c r="E30" s="132" t="s">
        <v>2355</v>
      </c>
      <c r="F30" s="132" t="s">
        <v>2356</v>
      </c>
      <c r="I30" s="186"/>
    </row>
    <row r="31" spans="2:32" ht="75" customHeight="1">
      <c r="B31" s="130" t="s">
        <v>2365</v>
      </c>
      <c r="C31" s="83" t="s">
        <v>1079</v>
      </c>
      <c r="D31" s="83" t="s">
        <v>2447</v>
      </c>
      <c r="E31" s="83" t="s">
        <v>2448</v>
      </c>
      <c r="F31" s="131" t="s">
        <v>2449</v>
      </c>
      <c r="I31" s="185"/>
    </row>
    <row r="32" spans="2:32" ht="79.5" customHeight="1">
      <c r="B32" s="134" t="s">
        <v>2365</v>
      </c>
      <c r="C32" s="87" t="s">
        <v>1169</v>
      </c>
      <c r="D32" s="83" t="s">
        <v>2450</v>
      </c>
      <c r="E32" s="83" t="s">
        <v>2448</v>
      </c>
      <c r="F32" s="131" t="s">
        <v>2360</v>
      </c>
      <c r="I32" s="185"/>
    </row>
    <row r="33" spans="1:6" ht="30.75">
      <c r="B33" s="134" t="s">
        <v>2451</v>
      </c>
      <c r="C33" s="87" t="s">
        <v>1642</v>
      </c>
      <c r="D33" s="87" t="s">
        <v>2452</v>
      </c>
      <c r="E33" s="83" t="s">
        <v>2453</v>
      </c>
      <c r="F33" s="79" t="s">
        <v>2360</v>
      </c>
    </row>
    <row r="34" spans="1:6" ht="30.75">
      <c r="A34" t="s">
        <v>6</v>
      </c>
      <c r="B34" s="134" t="s">
        <v>2451</v>
      </c>
      <c r="C34" s="87" t="s">
        <v>1831</v>
      </c>
      <c r="D34" s="87" t="s">
        <v>2454</v>
      </c>
      <c r="E34" s="83" t="s">
        <v>2455</v>
      </c>
      <c r="F34" s="79" t="s">
        <v>2360</v>
      </c>
    </row>
    <row r="35" spans="1:6" ht="76.5">
      <c r="B35" s="134" t="s">
        <v>2357</v>
      </c>
      <c r="C35" s="83" t="s">
        <v>1079</v>
      </c>
      <c r="D35" s="83" t="s">
        <v>2447</v>
      </c>
      <c r="E35" s="83" t="s">
        <v>2448</v>
      </c>
      <c r="F35" s="79" t="s">
        <v>2360</v>
      </c>
    </row>
    <row r="36" spans="1:6" ht="76.5">
      <c r="B36" s="134" t="s">
        <v>2357</v>
      </c>
      <c r="C36" s="87" t="s">
        <v>1169</v>
      </c>
      <c r="D36" s="83" t="s">
        <v>2450</v>
      </c>
      <c r="E36" s="83" t="s">
        <v>2448</v>
      </c>
      <c r="F36" s="131" t="s">
        <v>2360</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AE48"/>
  <sheetViews>
    <sheetView showGridLines="0" workbookViewId="0">
      <selection activeCell="J31" sqref="J31"/>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row r="2" spans="2:22">
      <c r="B2" s="97" t="s">
        <v>2283</v>
      </c>
      <c r="C2" s="97" t="s">
        <v>2284</v>
      </c>
      <c r="D2" s="97" t="s">
        <v>2285</v>
      </c>
      <c r="E2" s="97" t="s">
        <v>2286</v>
      </c>
      <c r="F2" s="97" t="s">
        <v>2287</v>
      </c>
      <c r="G2" s="97" t="s">
        <v>2288</v>
      </c>
      <c r="H2" s="97" t="s">
        <v>2289</v>
      </c>
      <c r="I2" s="97" t="s">
        <v>730</v>
      </c>
      <c r="J2" s="97" t="s">
        <v>842</v>
      </c>
      <c r="K2" s="97" t="s">
        <v>923</v>
      </c>
      <c r="L2" s="97" t="s">
        <v>1012</v>
      </c>
      <c r="M2" s="97" t="s">
        <v>1224</v>
      </c>
      <c r="N2" s="97" t="s">
        <v>1440</v>
      </c>
      <c r="O2" s="97" t="s">
        <v>1079</v>
      </c>
      <c r="P2" s="97" t="s">
        <v>1169</v>
      </c>
      <c r="Q2" s="97" t="s">
        <v>1255</v>
      </c>
      <c r="R2" s="97" t="s">
        <v>1334</v>
      </c>
      <c r="S2" s="97" t="s">
        <v>1642</v>
      </c>
      <c r="T2" s="97" t="s">
        <v>1499</v>
      </c>
      <c r="U2" s="97" t="s">
        <v>1561</v>
      </c>
      <c r="V2" s="97" t="s">
        <v>1614</v>
      </c>
    </row>
    <row r="3" spans="2:22">
      <c r="B3" s="141" t="s">
        <v>2237</v>
      </c>
      <c r="C3" s="98">
        <v>1</v>
      </c>
      <c r="D3" s="98" t="s">
        <v>2456</v>
      </c>
      <c r="E3" s="116">
        <v>45460</v>
      </c>
      <c r="F3" s="98">
        <v>1</v>
      </c>
      <c r="G3" s="117">
        <v>1</v>
      </c>
      <c r="H3" s="170" t="s">
        <v>2457</v>
      </c>
      <c r="I3" s="98" t="s">
        <v>2291</v>
      </c>
      <c r="J3" s="98" t="s">
        <v>2291</v>
      </c>
      <c r="K3" s="98" t="s">
        <v>2291</v>
      </c>
      <c r="L3" s="98" t="s">
        <v>2291</v>
      </c>
      <c r="M3" s="98" t="s">
        <v>2291</v>
      </c>
      <c r="N3" s="98" t="s">
        <v>2291</v>
      </c>
      <c r="O3" s="98" t="s">
        <v>2291</v>
      </c>
      <c r="P3" s="98" t="s">
        <v>2291</v>
      </c>
      <c r="Q3" s="98" t="s">
        <v>2291</v>
      </c>
      <c r="R3" s="98" t="s">
        <v>2291</v>
      </c>
      <c r="S3" s="98" t="s">
        <v>2291</v>
      </c>
      <c r="T3" s="98" t="s">
        <v>2291</v>
      </c>
      <c r="U3" s="98" t="s">
        <v>2291</v>
      </c>
      <c r="V3" s="98" t="s">
        <v>2291</v>
      </c>
    </row>
    <row r="4" spans="2:22">
      <c r="B4" s="141" t="s">
        <v>2239</v>
      </c>
      <c r="C4" s="98">
        <v>2</v>
      </c>
      <c r="D4" s="98" t="s">
        <v>2458</v>
      </c>
      <c r="E4" s="116">
        <v>45460</v>
      </c>
      <c r="F4" s="98">
        <v>1</v>
      </c>
      <c r="G4" s="117">
        <v>1</v>
      </c>
      <c r="H4" s="98" t="s">
        <v>2459</v>
      </c>
      <c r="I4" s="98" t="s">
        <v>2291</v>
      </c>
      <c r="J4" s="98" t="s">
        <v>2291</v>
      </c>
      <c r="K4" s="98" t="s">
        <v>2291</v>
      </c>
      <c r="L4" s="98" t="s">
        <v>2291</v>
      </c>
      <c r="M4" s="98" t="s">
        <v>2291</v>
      </c>
      <c r="N4" s="98" t="s">
        <v>2291</v>
      </c>
      <c r="O4" s="98" t="s">
        <v>2291</v>
      </c>
      <c r="P4" s="98" t="s">
        <v>2291</v>
      </c>
      <c r="Q4" s="98" t="s">
        <v>2291</v>
      </c>
      <c r="R4" s="98" t="s">
        <v>2291</v>
      </c>
      <c r="S4" s="98" t="s">
        <v>2291</v>
      </c>
      <c r="T4" s="98" t="s">
        <v>2291</v>
      </c>
      <c r="U4" s="98" t="s">
        <v>2291</v>
      </c>
      <c r="V4" s="98" t="s">
        <v>2291</v>
      </c>
    </row>
    <row r="5" spans="2:22">
      <c r="B5" s="141" t="s">
        <v>2241</v>
      </c>
      <c r="C5" s="98">
        <v>3</v>
      </c>
      <c r="D5" s="98" t="s">
        <v>2460</v>
      </c>
      <c r="E5" s="116">
        <v>45460</v>
      </c>
      <c r="F5" s="98">
        <v>1</v>
      </c>
      <c r="G5" s="117">
        <v>1</v>
      </c>
      <c r="H5" s="98" t="s">
        <v>2459</v>
      </c>
      <c r="I5" s="98">
        <v>0</v>
      </c>
      <c r="J5" s="98">
        <v>0</v>
      </c>
      <c r="K5" s="98">
        <v>0</v>
      </c>
      <c r="L5" s="98">
        <v>0</v>
      </c>
      <c r="M5" s="98">
        <v>0</v>
      </c>
      <c r="N5" s="98" t="s">
        <v>2291</v>
      </c>
      <c r="O5" s="98" t="s">
        <v>2291</v>
      </c>
      <c r="P5" s="98" t="s">
        <v>2291</v>
      </c>
      <c r="Q5" s="98" t="s">
        <v>2291</v>
      </c>
      <c r="R5" s="98" t="s">
        <v>2291</v>
      </c>
      <c r="S5" s="98" t="s">
        <v>2291</v>
      </c>
      <c r="T5" s="98" t="s">
        <v>2291</v>
      </c>
      <c r="U5" s="98">
        <v>0</v>
      </c>
      <c r="V5" s="98" t="s">
        <v>2291</v>
      </c>
    </row>
    <row r="6" spans="2:22">
      <c r="B6" s="88" t="s">
        <v>2243</v>
      </c>
      <c r="C6" s="98">
        <v>4</v>
      </c>
      <c r="D6" s="98" t="s">
        <v>2296</v>
      </c>
      <c r="E6" s="116">
        <v>45460</v>
      </c>
      <c r="F6" s="98">
        <v>1</v>
      </c>
      <c r="G6" s="98" t="s">
        <v>2291</v>
      </c>
      <c r="H6" s="98" t="s">
        <v>2291</v>
      </c>
      <c r="I6" s="98" t="s">
        <v>2291</v>
      </c>
      <c r="J6" s="98" t="s">
        <v>2291</v>
      </c>
      <c r="K6" s="98" t="s">
        <v>2291</v>
      </c>
      <c r="L6" s="98" t="s">
        <v>2291</v>
      </c>
      <c r="M6" s="98" t="s">
        <v>2291</v>
      </c>
      <c r="N6" s="98" t="s">
        <v>2291</v>
      </c>
      <c r="O6" s="98" t="s">
        <v>2291</v>
      </c>
      <c r="P6" s="98" t="s">
        <v>2291</v>
      </c>
      <c r="Q6" s="98" t="s">
        <v>2291</v>
      </c>
      <c r="R6" s="98" t="s">
        <v>2291</v>
      </c>
      <c r="S6" s="98" t="s">
        <v>2291</v>
      </c>
      <c r="T6" s="98" t="s">
        <v>2291</v>
      </c>
      <c r="U6" s="98" t="s">
        <v>2291</v>
      </c>
      <c r="V6" s="98" t="s">
        <v>2291</v>
      </c>
    </row>
    <row r="7" spans="2:22">
      <c r="B7" s="88" t="s">
        <v>2245</v>
      </c>
      <c r="C7" s="98">
        <v>5</v>
      </c>
      <c r="D7" s="98" t="s">
        <v>2296</v>
      </c>
      <c r="E7" s="116">
        <v>45460</v>
      </c>
      <c r="F7" s="98">
        <v>1</v>
      </c>
      <c r="G7" s="98" t="s">
        <v>2291</v>
      </c>
      <c r="H7" s="98" t="s">
        <v>2291</v>
      </c>
      <c r="I7" s="98" t="s">
        <v>2291</v>
      </c>
      <c r="J7" s="98" t="s">
        <v>2291</v>
      </c>
      <c r="K7" s="98" t="s">
        <v>2291</v>
      </c>
      <c r="L7" s="98" t="s">
        <v>2291</v>
      </c>
      <c r="M7" s="98" t="s">
        <v>2291</v>
      </c>
      <c r="N7" s="98" t="s">
        <v>2291</v>
      </c>
      <c r="O7" s="98" t="s">
        <v>2291</v>
      </c>
      <c r="P7" s="98" t="s">
        <v>2291</v>
      </c>
      <c r="Q7" s="98" t="s">
        <v>2291</v>
      </c>
      <c r="R7" s="98" t="s">
        <v>2291</v>
      </c>
      <c r="S7" s="98" t="s">
        <v>2291</v>
      </c>
      <c r="T7" s="98" t="s">
        <v>2291</v>
      </c>
      <c r="U7" s="98" t="s">
        <v>2291</v>
      </c>
      <c r="V7" s="98" t="s">
        <v>2291</v>
      </c>
    </row>
    <row r="8" spans="2:22">
      <c r="B8" s="141" t="s">
        <v>2246</v>
      </c>
      <c r="C8" s="98">
        <v>6</v>
      </c>
      <c r="D8" s="98" t="s">
        <v>2461</v>
      </c>
      <c r="E8" s="116">
        <v>45460</v>
      </c>
      <c r="F8" s="98">
        <v>1</v>
      </c>
      <c r="G8" s="145" cm="1">
        <f t="array" ref="G8">SUMPRODUCT(--(I8:V8&gt;0))/COUNTA(I8:V8)</f>
        <v>1</v>
      </c>
      <c r="H8" s="98" t="s">
        <v>2459</v>
      </c>
      <c r="I8" s="98">
        <v>2</v>
      </c>
      <c r="J8" s="98">
        <v>30</v>
      </c>
      <c r="K8" s="98">
        <v>1</v>
      </c>
      <c r="L8" s="98">
        <v>1</v>
      </c>
      <c r="M8" s="98">
        <v>10</v>
      </c>
      <c r="N8" s="98">
        <v>8</v>
      </c>
      <c r="O8" s="98" t="s">
        <v>2298</v>
      </c>
      <c r="P8" s="98">
        <v>1</v>
      </c>
      <c r="Q8" s="98">
        <v>3</v>
      </c>
      <c r="R8" s="98">
        <v>10</v>
      </c>
      <c r="S8" s="98">
        <v>6</v>
      </c>
      <c r="T8" s="98">
        <v>2</v>
      </c>
      <c r="U8" s="98">
        <v>10</v>
      </c>
      <c r="V8" s="98">
        <v>23</v>
      </c>
    </row>
    <row r="9" spans="2:22">
      <c r="B9" s="141" t="s">
        <v>2249</v>
      </c>
      <c r="C9" s="98">
        <v>7</v>
      </c>
      <c r="D9" s="98" t="s">
        <v>2462</v>
      </c>
      <c r="E9" s="116">
        <v>45460</v>
      </c>
      <c r="F9" s="98">
        <v>1</v>
      </c>
      <c r="G9" s="145" cm="1">
        <f t="array" aca="1" ref="G9" ca="1">SUMPRODUCT(--(I9:V9&lt;=I26:V26))/COUNTA(I9:V9)</f>
        <v>0.5714285714285714</v>
      </c>
      <c r="H9" s="98" t="s">
        <v>2459</v>
      </c>
      <c r="I9" s="98">
        <v>2</v>
      </c>
      <c r="J9" s="98">
        <v>30</v>
      </c>
      <c r="K9" s="98">
        <v>5</v>
      </c>
      <c r="L9" s="98">
        <v>1</v>
      </c>
      <c r="M9" s="98">
        <v>10</v>
      </c>
      <c r="N9" s="98">
        <v>13</v>
      </c>
      <c r="O9" s="98" t="s">
        <v>2298</v>
      </c>
      <c r="P9" s="98">
        <v>1</v>
      </c>
      <c r="Q9" s="98">
        <v>3</v>
      </c>
      <c r="R9" s="98">
        <v>10</v>
      </c>
      <c r="S9" s="98">
        <v>50</v>
      </c>
      <c r="T9" s="98">
        <v>2</v>
      </c>
      <c r="U9" s="98">
        <v>10</v>
      </c>
      <c r="V9" s="98">
        <v>23</v>
      </c>
    </row>
    <row r="10" spans="2:22">
      <c r="B10" s="141" t="s">
        <v>2252</v>
      </c>
      <c r="C10" s="98">
        <v>8</v>
      </c>
      <c r="D10" s="98" t="s">
        <v>2463</v>
      </c>
      <c r="E10" s="116">
        <v>45460</v>
      </c>
      <c r="F10" s="98">
        <v>1</v>
      </c>
      <c r="G10" s="98" t="s">
        <v>2291</v>
      </c>
      <c r="H10" s="98" t="s">
        <v>2459</v>
      </c>
      <c r="I10" s="98">
        <v>31</v>
      </c>
      <c r="J10" s="98">
        <v>3.0247299999999998E+22</v>
      </c>
      <c r="K10" s="98">
        <v>1</v>
      </c>
      <c r="L10" s="98">
        <v>1</v>
      </c>
      <c r="M10" s="116">
        <v>45460</v>
      </c>
      <c r="N10" s="117" t="s">
        <v>2304</v>
      </c>
      <c r="O10" s="98" t="s">
        <v>2298</v>
      </c>
      <c r="P10" s="98">
        <v>1</v>
      </c>
      <c r="Q10" s="116">
        <v>124</v>
      </c>
      <c r="R10" s="116">
        <v>45457</v>
      </c>
      <c r="S10" s="116" t="s">
        <v>2464</v>
      </c>
      <c r="T10" s="98" t="s">
        <v>2381</v>
      </c>
      <c r="U10" s="116">
        <v>45460</v>
      </c>
      <c r="V10" s="98" t="s">
        <v>2465</v>
      </c>
    </row>
    <row r="11" spans="2:22">
      <c r="B11" s="141" t="s">
        <v>2254</v>
      </c>
      <c r="C11" s="98">
        <v>9</v>
      </c>
      <c r="D11" s="98" t="s">
        <v>2466</v>
      </c>
      <c r="E11" s="116">
        <v>45460</v>
      </c>
      <c r="F11" s="98">
        <v>1</v>
      </c>
      <c r="G11" s="98" t="s">
        <v>2291</v>
      </c>
      <c r="H11" s="98" t="s">
        <v>2459</v>
      </c>
      <c r="I11" s="98"/>
      <c r="J11" s="98">
        <v>3.0247299999999998E+22</v>
      </c>
      <c r="K11" s="98">
        <v>1</v>
      </c>
      <c r="L11" s="98">
        <v>1</v>
      </c>
      <c r="M11" s="116">
        <v>45460</v>
      </c>
      <c r="N11" s="98" t="s">
        <v>2316</v>
      </c>
      <c r="O11" s="98" t="s">
        <v>2298</v>
      </c>
      <c r="P11" s="98">
        <v>1</v>
      </c>
      <c r="Q11" s="116">
        <v>124</v>
      </c>
      <c r="R11" s="116">
        <v>45457</v>
      </c>
      <c r="S11" s="116" t="s">
        <v>2464</v>
      </c>
      <c r="T11" s="98" t="s">
        <v>2381</v>
      </c>
      <c r="U11" s="116">
        <v>45460</v>
      </c>
      <c r="V11" s="98" t="s">
        <v>2467</v>
      </c>
    </row>
    <row r="12" spans="2:22">
      <c r="B12" s="141" t="s">
        <v>2256</v>
      </c>
      <c r="C12" s="98">
        <v>10</v>
      </c>
      <c r="D12" s="98" t="s">
        <v>2468</v>
      </c>
      <c r="E12" s="116">
        <v>45460</v>
      </c>
      <c r="F12" s="98">
        <v>1</v>
      </c>
      <c r="G12" s="98" t="s">
        <v>2291</v>
      </c>
      <c r="H12" s="98" t="s">
        <v>2459</v>
      </c>
      <c r="I12" s="98">
        <v>31</v>
      </c>
      <c r="J12" s="98">
        <v>2.1070404296302001E+29</v>
      </c>
      <c r="K12" s="98">
        <v>99999</v>
      </c>
      <c r="L12" s="98">
        <v>1</v>
      </c>
      <c r="M12" s="116">
        <v>45460</v>
      </c>
      <c r="N12" s="117">
        <v>492500000000</v>
      </c>
      <c r="O12" s="98" t="s">
        <v>2298</v>
      </c>
      <c r="P12" s="116">
        <v>1</v>
      </c>
      <c r="Q12" s="116">
        <v>978</v>
      </c>
      <c r="R12" s="117">
        <v>45462</v>
      </c>
      <c r="S12" s="117" t="s">
        <v>2469</v>
      </c>
      <c r="T12" s="116" t="s">
        <v>2381</v>
      </c>
      <c r="U12" s="116">
        <v>45460</v>
      </c>
      <c r="V12" s="98" t="s">
        <v>2465</v>
      </c>
    </row>
    <row r="13" spans="2:22">
      <c r="B13" s="141" t="s">
        <v>2258</v>
      </c>
      <c r="C13" s="98">
        <v>11</v>
      </c>
      <c r="D13" s="98" t="s">
        <v>2470</v>
      </c>
      <c r="E13" s="116">
        <v>45460</v>
      </c>
      <c r="F13" s="98">
        <v>1</v>
      </c>
      <c r="G13" s="98" t="s">
        <v>2291</v>
      </c>
      <c r="H13" s="98" t="s">
        <v>2459</v>
      </c>
      <c r="I13" s="98"/>
      <c r="J13" s="98">
        <v>2.1070404296302001E+29</v>
      </c>
      <c r="K13" s="98">
        <v>99999</v>
      </c>
      <c r="L13" s="98">
        <v>1</v>
      </c>
      <c r="M13" s="116">
        <v>45460</v>
      </c>
      <c r="N13" s="116" t="s">
        <v>2471</v>
      </c>
      <c r="O13" s="98" t="s">
        <v>2298</v>
      </c>
      <c r="P13" s="116">
        <v>1</v>
      </c>
      <c r="Q13" s="116">
        <v>978</v>
      </c>
      <c r="R13" s="116">
        <v>45462</v>
      </c>
      <c r="S13" s="116" t="s">
        <v>2469</v>
      </c>
      <c r="T13" s="116" t="s">
        <v>2381</v>
      </c>
      <c r="U13" s="116">
        <v>45460</v>
      </c>
      <c r="V13" s="98" t="s">
        <v>2472</v>
      </c>
    </row>
    <row r="14" spans="2:22">
      <c r="B14" s="141" t="s">
        <v>2260</v>
      </c>
      <c r="C14" s="98">
        <v>12</v>
      </c>
      <c r="D14" s="98" t="s">
        <v>2473</v>
      </c>
      <c r="E14" s="116">
        <v>45460</v>
      </c>
      <c r="F14" s="98">
        <v>1</v>
      </c>
      <c r="G14" s="117">
        <v>0.93</v>
      </c>
      <c r="H14" s="98" t="s">
        <v>2459</v>
      </c>
      <c r="I14" s="98">
        <v>0</v>
      </c>
      <c r="J14" s="98">
        <v>0</v>
      </c>
      <c r="K14" s="98">
        <v>0</v>
      </c>
      <c r="L14" s="98">
        <v>0</v>
      </c>
      <c r="M14" s="98">
        <v>0</v>
      </c>
      <c r="N14" s="98">
        <v>0</v>
      </c>
      <c r="O14" s="167">
        <v>95428</v>
      </c>
      <c r="P14" s="170">
        <v>0</v>
      </c>
      <c r="Q14" s="98">
        <v>0</v>
      </c>
      <c r="R14" s="117">
        <v>0</v>
      </c>
      <c r="S14" s="117">
        <v>0</v>
      </c>
      <c r="T14" s="98">
        <v>0</v>
      </c>
      <c r="U14" s="98">
        <v>0</v>
      </c>
      <c r="V14" s="98">
        <v>0</v>
      </c>
    </row>
    <row r="15" spans="2:22">
      <c r="B15" s="141" t="s">
        <v>2262</v>
      </c>
      <c r="C15" s="98">
        <v>13</v>
      </c>
      <c r="D15" s="98" t="s">
        <v>2474</v>
      </c>
      <c r="E15" s="116">
        <v>45460</v>
      </c>
      <c r="F15" s="98">
        <v>1</v>
      </c>
      <c r="G15" s="117">
        <v>1</v>
      </c>
      <c r="H15" s="98" t="s">
        <v>2459</v>
      </c>
      <c r="I15" s="98" t="s">
        <v>2291</v>
      </c>
      <c r="J15" s="98" t="s">
        <v>2291</v>
      </c>
      <c r="K15" s="98" t="s">
        <v>2291</v>
      </c>
      <c r="L15" s="116" t="s">
        <v>2291</v>
      </c>
      <c r="M15" s="98">
        <v>0</v>
      </c>
      <c r="N15" s="116" t="s">
        <v>2291</v>
      </c>
      <c r="O15" s="98" t="s">
        <v>2291</v>
      </c>
      <c r="P15" s="116" t="s">
        <v>2291</v>
      </c>
      <c r="Q15" s="116" t="s">
        <v>2291</v>
      </c>
      <c r="R15" s="98">
        <v>0</v>
      </c>
      <c r="S15" s="98" t="s">
        <v>2291</v>
      </c>
      <c r="T15" s="116" t="s">
        <v>2291</v>
      </c>
      <c r="U15" s="116" t="s">
        <v>2291</v>
      </c>
      <c r="V15" s="98" t="s">
        <v>2291</v>
      </c>
    </row>
    <row r="16" spans="2:22">
      <c r="B16" s="141" t="s">
        <v>2264</v>
      </c>
      <c r="C16" s="98">
        <v>14</v>
      </c>
      <c r="D16" s="98" t="s">
        <v>2475</v>
      </c>
      <c r="E16" s="116">
        <v>45460</v>
      </c>
      <c r="F16" s="98">
        <v>1</v>
      </c>
      <c r="G16" s="117">
        <v>1</v>
      </c>
      <c r="H16" s="98" t="s">
        <v>2459</v>
      </c>
      <c r="I16" s="98">
        <v>0</v>
      </c>
      <c r="J16" s="98">
        <v>0</v>
      </c>
      <c r="K16" s="98" t="s">
        <v>2291</v>
      </c>
      <c r="L16" s="98" t="s">
        <v>2291</v>
      </c>
      <c r="M16" s="98" t="s">
        <v>2291</v>
      </c>
      <c r="N16" s="98" t="s">
        <v>2291</v>
      </c>
      <c r="O16" s="98">
        <v>0</v>
      </c>
      <c r="P16" s="98" t="s">
        <v>2291</v>
      </c>
      <c r="Q16" s="98">
        <v>0</v>
      </c>
      <c r="R16" s="98" t="s">
        <v>2291</v>
      </c>
      <c r="S16" s="98" t="s">
        <v>2291</v>
      </c>
      <c r="T16" s="98" t="s">
        <v>2291</v>
      </c>
      <c r="U16" s="98" t="s">
        <v>2291</v>
      </c>
      <c r="V16" s="98" t="s">
        <v>2291</v>
      </c>
    </row>
    <row r="17" spans="2:31">
      <c r="B17" s="174" t="s">
        <v>2266</v>
      </c>
      <c r="C17" s="98">
        <v>15</v>
      </c>
      <c r="D17" s="98" t="s">
        <v>2476</v>
      </c>
      <c r="E17" s="116">
        <v>45460</v>
      </c>
      <c r="F17" s="98">
        <v>1</v>
      </c>
      <c r="G17" s="117">
        <v>1</v>
      </c>
      <c r="H17" s="98" t="s">
        <v>2459</v>
      </c>
      <c r="I17" s="98" t="s">
        <v>2291</v>
      </c>
      <c r="J17" s="98" t="s">
        <v>2291</v>
      </c>
      <c r="K17" s="98" t="s">
        <v>2291</v>
      </c>
      <c r="L17" s="98" t="s">
        <v>2291</v>
      </c>
      <c r="M17" s="98" t="s">
        <v>2291</v>
      </c>
      <c r="N17" s="98" t="s">
        <v>2291</v>
      </c>
      <c r="O17" s="98" t="s">
        <v>2291</v>
      </c>
      <c r="P17" s="98" t="s">
        <v>2291</v>
      </c>
      <c r="Q17" s="98" t="s">
        <v>2291</v>
      </c>
      <c r="R17" s="98" t="s">
        <v>2291</v>
      </c>
      <c r="S17" s="98" t="s">
        <v>2291</v>
      </c>
      <c r="T17" s="98" t="s">
        <v>2291</v>
      </c>
      <c r="U17" s="98" t="s">
        <v>2291</v>
      </c>
      <c r="V17" s="98" t="s">
        <v>2291</v>
      </c>
    </row>
    <row r="18" spans="2:31">
      <c r="B18" s="174" t="s">
        <v>2268</v>
      </c>
      <c r="C18" s="98">
        <v>16</v>
      </c>
      <c r="D18" s="98" t="s">
        <v>2476</v>
      </c>
      <c r="E18" s="116">
        <v>45460</v>
      </c>
      <c r="F18" s="98">
        <v>1</v>
      </c>
      <c r="G18" s="117">
        <v>1</v>
      </c>
      <c r="H18" s="98" t="s">
        <v>2459</v>
      </c>
      <c r="I18" s="98" t="s">
        <v>2291</v>
      </c>
      <c r="J18" s="98" t="s">
        <v>2291</v>
      </c>
      <c r="K18" s="98" t="s">
        <v>2291</v>
      </c>
      <c r="L18" s="98" t="s">
        <v>2291</v>
      </c>
      <c r="M18" s="98" t="s">
        <v>2291</v>
      </c>
      <c r="N18" s="98" t="s">
        <v>2291</v>
      </c>
      <c r="O18" s="98" t="s">
        <v>2291</v>
      </c>
      <c r="P18" s="98" t="s">
        <v>2291</v>
      </c>
      <c r="Q18" s="98" t="s">
        <v>2291</v>
      </c>
      <c r="R18" s="98" t="s">
        <v>2291</v>
      </c>
      <c r="S18" s="98" t="s">
        <v>2291</v>
      </c>
      <c r="T18" s="98" t="s">
        <v>2291</v>
      </c>
      <c r="U18" s="98" t="s">
        <v>2291</v>
      </c>
      <c r="V18" s="98" t="s">
        <v>2291</v>
      </c>
    </row>
    <row r="19" spans="2:31">
      <c r="B19" s="141" t="s">
        <v>2274</v>
      </c>
      <c r="C19" s="98">
        <v>19</v>
      </c>
      <c r="D19" s="98" t="s">
        <v>2477</v>
      </c>
      <c r="E19" s="116">
        <v>45460</v>
      </c>
      <c r="F19" s="98">
        <v>1</v>
      </c>
      <c r="G19" s="216" cm="1">
        <f t="array" aca="1" ref="G19" ca="1">SUMPRODUCT(--(ISNUMBER((SEARCH(I25:V25,I19:V19)))))/COUNTA(I19:V19)</f>
        <v>0.7857142857142857</v>
      </c>
      <c r="H19" s="98" t="s">
        <v>2459</v>
      </c>
      <c r="I19" s="98" t="s">
        <v>2341</v>
      </c>
      <c r="J19" s="98" t="s">
        <v>2341</v>
      </c>
      <c r="K19" s="98" t="s">
        <v>2342</v>
      </c>
      <c r="L19" s="98" t="s">
        <v>2342</v>
      </c>
      <c r="M19" s="98" t="s">
        <v>2341</v>
      </c>
      <c r="N19" s="98" t="s">
        <v>2343</v>
      </c>
      <c r="O19" s="98" t="s">
        <v>2341</v>
      </c>
      <c r="P19" s="98" t="s">
        <v>2341</v>
      </c>
      <c r="Q19" s="98" t="s">
        <v>2341</v>
      </c>
      <c r="R19" s="98" t="s">
        <v>2341</v>
      </c>
      <c r="S19" s="98" t="s">
        <v>2341</v>
      </c>
      <c r="T19" s="98" t="s">
        <v>2341</v>
      </c>
      <c r="U19" s="98" t="s">
        <v>2341</v>
      </c>
      <c r="V19" s="98" t="s">
        <v>2344</v>
      </c>
    </row>
    <row r="20" spans="2:31">
      <c r="B20" s="141" t="s">
        <v>2277</v>
      </c>
      <c r="C20" s="98">
        <v>20</v>
      </c>
      <c r="D20" s="98" t="s">
        <v>2476</v>
      </c>
      <c r="E20" s="116">
        <v>45460</v>
      </c>
      <c r="F20" s="98">
        <v>1</v>
      </c>
      <c r="G20" s="117" cm="1">
        <f t="array" ref="G20">SUM(IF(I2:V2 = I24:V24, 1, 0))/ COUNTA(I2:V2)</f>
        <v>0.2857142857142857</v>
      </c>
      <c r="H20" s="98" t="s">
        <v>2459</v>
      </c>
      <c r="I20" s="98" t="s">
        <v>2291</v>
      </c>
      <c r="J20" s="98" t="s">
        <v>2291</v>
      </c>
      <c r="K20" s="98" t="s">
        <v>2291</v>
      </c>
      <c r="L20" s="98" t="s">
        <v>2291</v>
      </c>
      <c r="M20" s="98" t="s">
        <v>2291</v>
      </c>
      <c r="N20" s="98" t="s">
        <v>2291</v>
      </c>
      <c r="O20" s="98" t="s">
        <v>2291</v>
      </c>
      <c r="P20" s="98" t="s">
        <v>2291</v>
      </c>
      <c r="Q20" s="98" t="s">
        <v>2291</v>
      </c>
      <c r="R20" s="98" t="s">
        <v>2291</v>
      </c>
      <c r="S20" s="98" t="s">
        <v>2291</v>
      </c>
      <c r="T20" s="98" t="s">
        <v>2291</v>
      </c>
      <c r="U20" s="98" t="s">
        <v>2291</v>
      </c>
      <c r="V20" s="98" t="s">
        <v>2291</v>
      </c>
    </row>
    <row r="21" spans="2:31">
      <c r="B21" s="165" t="s">
        <v>2280</v>
      </c>
      <c r="C21" s="98">
        <v>21</v>
      </c>
      <c r="D21" s="98" t="s">
        <v>2477</v>
      </c>
      <c r="E21" s="116">
        <v>45460</v>
      </c>
      <c r="F21" s="98">
        <v>1</v>
      </c>
      <c r="G21" s="216" cm="1">
        <f t="array" aca="1" ref="G21" ca="1">SUM(IF(IF(G3:G20="null",1,G3:G20)=1,1,0))/COUNT(IF(G3:G20="null",1,1))</f>
        <v>0.77777777777777779</v>
      </c>
      <c r="H21" s="98"/>
      <c r="I21" s="98" t="s">
        <v>2291</v>
      </c>
      <c r="J21" s="98" t="s">
        <v>2291</v>
      </c>
      <c r="K21" s="98" t="s">
        <v>2291</v>
      </c>
      <c r="L21" s="98" t="s">
        <v>2291</v>
      </c>
      <c r="M21" s="98">
        <v>0</v>
      </c>
      <c r="N21" s="98" t="s">
        <v>2291</v>
      </c>
      <c r="O21" s="98" t="s">
        <v>2291</v>
      </c>
      <c r="P21" s="98" t="s">
        <v>2291</v>
      </c>
      <c r="Q21" s="98" t="s">
        <v>2291</v>
      </c>
      <c r="R21" s="98">
        <v>0</v>
      </c>
      <c r="S21" s="98" t="s">
        <v>2291</v>
      </c>
      <c r="T21" s="98" t="s">
        <v>2291</v>
      </c>
      <c r="U21" s="98" t="s">
        <v>2291</v>
      </c>
      <c r="V21" s="98" t="s">
        <v>2291</v>
      </c>
    </row>
    <row r="23" spans="2:31">
      <c r="B23" s="106" t="s">
        <v>2345</v>
      </c>
    </row>
    <row r="24" spans="2:31">
      <c r="B24" s="107" t="s">
        <v>2346</v>
      </c>
      <c r="C24" s="108" t="s">
        <v>2284</v>
      </c>
      <c r="D24" s="108" t="s">
        <v>2285</v>
      </c>
      <c r="E24" s="108" t="s">
        <v>2286</v>
      </c>
      <c r="F24" s="108" t="s">
        <v>2287</v>
      </c>
      <c r="G24" s="108" t="s">
        <v>2288</v>
      </c>
      <c r="H24" s="108" t="s">
        <v>2289</v>
      </c>
      <c r="I24" s="109" t="str" cm="1">
        <f t="array" ref="I24:AE24">TRANSPOSE(_xlfn.SORTBY(_xlfn._xlws.FILTER(Table2[NOME FÍSICO CAMPO],Table2[NOME FÍSICO TABELA]="incomesaving_account_transaction"), _xlfn._xlws.FILTER(Table2[ORDEM], Table2[NOME FÍSICO TABELA]="incomesaving_account_transaction"),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78" t="str">
        <v>transaction_execution_date</v>
      </c>
      <c r="U24" s="109" t="str">
        <v>amount</v>
      </c>
      <c r="V24" s="110" t="str">
        <v>check_number</v>
      </c>
      <c r="W24" t="str">
        <v>transfer_reference</v>
      </c>
      <c r="X2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2347</v>
      </c>
      <c r="C25" s="113">
        <v>21</v>
      </c>
      <c r="D25" s="102" t="s">
        <v>2348</v>
      </c>
      <c r="E25" s="101" t="s">
        <v>2349</v>
      </c>
      <c r="F25" s="101" t="s">
        <v>781</v>
      </c>
      <c r="G25" s="101" t="s">
        <v>781</v>
      </c>
      <c r="H25" s="101" t="s">
        <v>781</v>
      </c>
      <c r="I25" s="101" t="str" cm="1">
        <f t="array" aca="1" ref="I25:AE26" ca="1">TRANSPOSE(_xlfn.SORTBY(_xlfn._xlws.FILTER(IF(Table2[FORMATO]:Table2[COMP_ CAMPO]&lt;&gt;"",Table2[FORMATO]:Table2[COMP_ CAMPO],9999999),Table2[NOME FÍSICO TABELA]="incomesaving_account_transaction"), _xlfn._xlws.FILTER(Table2[ORDEM], Table2[NOME FÍSICO TABELA]="incomesaving_account_transaction"),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12" t="str">
        <f ca="1"/>
        <v>STRING</v>
      </c>
      <c r="W25" t="str">
        <f ca="1"/>
        <v>STRING</v>
      </c>
      <c r="X25" t="str">
        <f ca="1"/>
        <v>STRING</v>
      </c>
      <c r="Y25" t="str">
        <f ca="1"/>
        <v>STRING</v>
      </c>
      <c r="Z25" t="str">
        <f ca="1"/>
        <v>STRING</v>
      </c>
      <c r="AA25" t="str">
        <f ca="1"/>
        <v>STRING</v>
      </c>
      <c r="AB25" t="str">
        <f ca="1"/>
        <v>STRING</v>
      </c>
      <c r="AC25" t="str">
        <f ca="1"/>
        <v>STRING</v>
      </c>
      <c r="AD25" t="str">
        <f ca="1"/>
        <v>STRING</v>
      </c>
      <c r="AE25" t="str">
        <f ca="1"/>
        <v>TIMESTAMP</v>
      </c>
    </row>
    <row r="26" spans="2:31">
      <c r="B26" s="100" t="s">
        <v>2350</v>
      </c>
      <c r="C26" s="113">
        <v>7</v>
      </c>
      <c r="D26" s="102" t="s">
        <v>2348</v>
      </c>
      <c r="E26" s="101" t="s">
        <v>2349</v>
      </c>
      <c r="F26" s="101" t="s">
        <v>781</v>
      </c>
      <c r="G26" s="101" t="s">
        <v>781</v>
      </c>
      <c r="H26" s="101" t="s">
        <v>781</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14">
        <f ca="1"/>
        <v>10</v>
      </c>
      <c r="W26">
        <f ca="1"/>
        <v>9999999</v>
      </c>
      <c r="X26">
        <f ca="1"/>
        <v>9999999</v>
      </c>
      <c r="Y26">
        <f ca="1"/>
        <v>9999999</v>
      </c>
      <c r="Z26">
        <f ca="1"/>
        <v>9999999</v>
      </c>
      <c r="AA26">
        <f ca="1"/>
        <v>4</v>
      </c>
      <c r="AB26">
        <f ca="1"/>
        <v>9999999</v>
      </c>
      <c r="AC26">
        <f ca="1"/>
        <v>2</v>
      </c>
      <c r="AD26">
        <f ca="1"/>
        <v>10</v>
      </c>
      <c r="AE26">
        <f ca="1"/>
        <v>23</v>
      </c>
    </row>
    <row r="29" spans="2:31">
      <c r="B29" s="123" t="s">
        <v>2351</v>
      </c>
    </row>
    <row r="30" spans="2:31">
      <c r="B30" s="132" t="s">
        <v>2352</v>
      </c>
      <c r="C30" s="132" t="s">
        <v>2353</v>
      </c>
      <c r="D30" s="133" t="s">
        <v>2354</v>
      </c>
      <c r="E30" s="132" t="s">
        <v>2355</v>
      </c>
      <c r="F30" s="132" t="s">
        <v>2356</v>
      </c>
    </row>
    <row r="31" spans="2:31" ht="60.75">
      <c r="B31" s="176" t="s">
        <v>2478</v>
      </c>
      <c r="C31" s="87" t="s">
        <v>1079</v>
      </c>
      <c r="D31" s="83" t="s">
        <v>2358</v>
      </c>
      <c r="E31" s="177" t="s">
        <v>2479</v>
      </c>
      <c r="F31" s="79" t="s">
        <v>2360</v>
      </c>
      <c r="G31" s="140"/>
    </row>
    <row r="32" spans="2:31" ht="60.75">
      <c r="B32" s="77" t="s">
        <v>2365</v>
      </c>
      <c r="C32" s="87" t="s">
        <v>1079</v>
      </c>
      <c r="D32" s="83" t="s">
        <v>2358</v>
      </c>
      <c r="E32" s="177" t="s">
        <v>2479</v>
      </c>
      <c r="F32" s="79" t="s">
        <v>2360</v>
      </c>
    </row>
    <row r="33" spans="4:26">
      <c r="D33" s="139"/>
      <c r="F33" s="140"/>
    </row>
    <row r="34" spans="4:26">
      <c r="D34" s="139"/>
    </row>
    <row r="35" spans="4:26">
      <c r="D35" s="139"/>
    </row>
    <row r="36" spans="4:26">
      <c r="D36" s="139"/>
    </row>
    <row r="37" spans="4:26">
      <c r="D37" s="139"/>
    </row>
    <row r="38" spans="4:26">
      <c r="D38" s="139"/>
      <c r="O38" s="139"/>
    </row>
    <row r="39" spans="4:26">
      <c r="D39" s="139"/>
      <c r="O39" s="139"/>
    </row>
    <row r="40" spans="4:26">
      <c r="D40" s="139"/>
    </row>
    <row r="41" spans="4:26">
      <c r="D41" s="139"/>
      <c r="F41" s="140"/>
      <c r="O41" s="24"/>
      <c r="Z41" s="139"/>
    </row>
    <row r="42" spans="4:26">
      <c r="D42" s="139"/>
      <c r="F42" s="140"/>
      <c r="Z42" s="139"/>
    </row>
    <row r="43" spans="4:26">
      <c r="D43" s="139"/>
      <c r="F43" s="140"/>
      <c r="Z43" s="139"/>
    </row>
    <row r="44" spans="4:26">
      <c r="D44" s="139"/>
      <c r="F44" s="140"/>
      <c r="Z44" s="139"/>
    </row>
    <row r="45" spans="4:26">
      <c r="D45" s="139"/>
      <c r="F45" s="140"/>
    </row>
    <row r="46" spans="4:26">
      <c r="D46" s="139"/>
      <c r="F46" s="140"/>
    </row>
    <row r="47" spans="4:26">
      <c r="D47" s="139"/>
      <c r="F47" s="140"/>
    </row>
    <row r="48" spans="4:26">
      <c r="D48" s="139"/>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rgb="FF00B050"/>
  </sheetPr>
  <dimension ref="B1:AJ37"/>
  <sheetViews>
    <sheetView showGridLines="0" workbookViewId="0">
      <selection activeCell="M10" sqref="M10"/>
    </sheetView>
  </sheetViews>
  <sheetFormatPr defaultRowHeight="1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8.85546875"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97" t="s">
        <v>2283</v>
      </c>
      <c r="C2" s="97" t="s">
        <v>2284</v>
      </c>
      <c r="D2" s="97" t="s">
        <v>2285</v>
      </c>
      <c r="E2" s="97" t="s">
        <v>2286</v>
      </c>
      <c r="F2" s="97" t="s">
        <v>2287</v>
      </c>
      <c r="G2" s="97" t="s">
        <v>2288</v>
      </c>
      <c r="H2" s="97" t="s">
        <v>2289</v>
      </c>
      <c r="I2" s="97" t="s">
        <v>730</v>
      </c>
      <c r="J2" s="97" t="s">
        <v>842</v>
      </c>
      <c r="K2" s="97" t="s">
        <v>923</v>
      </c>
      <c r="L2" s="97" t="s">
        <v>1012</v>
      </c>
      <c r="M2" s="97" t="s">
        <v>1079</v>
      </c>
      <c r="N2" s="97" t="s">
        <v>1169</v>
      </c>
      <c r="O2" s="97" t="s">
        <v>1394</v>
      </c>
      <c r="P2" s="97" t="s">
        <v>2480</v>
      </c>
      <c r="Q2" s="97" t="s">
        <v>1410</v>
      </c>
      <c r="R2" s="97" t="s">
        <v>1272</v>
      </c>
      <c r="S2" s="97" t="s">
        <v>1512</v>
      </c>
      <c r="T2" s="97" t="s">
        <v>1597</v>
      </c>
      <c r="U2" s="97" t="s">
        <v>1626</v>
      </c>
      <c r="V2" s="97" t="s">
        <v>1255</v>
      </c>
      <c r="W2" s="97" t="s">
        <v>1334</v>
      </c>
      <c r="X2" s="97" t="s">
        <v>1224</v>
      </c>
      <c r="Y2" s="97" t="s">
        <v>1780</v>
      </c>
      <c r="Z2" s="97" t="s">
        <v>1440</v>
      </c>
      <c r="AA2" s="97" t="s">
        <v>1854</v>
      </c>
      <c r="AB2" s="97" t="s">
        <v>1925</v>
      </c>
      <c r="AC2" s="97" t="s">
        <v>1950</v>
      </c>
      <c r="AD2" s="97" t="s">
        <v>1974</v>
      </c>
      <c r="AE2" s="97" t="s">
        <v>1993</v>
      </c>
      <c r="AF2" s="97" t="s">
        <v>2007</v>
      </c>
      <c r="AG2" s="97" t="s">
        <v>1499</v>
      </c>
      <c r="AH2" s="97" t="s">
        <v>1561</v>
      </c>
      <c r="AI2" s="97" t="s">
        <v>1614</v>
      </c>
    </row>
    <row r="3" spans="2:35">
      <c r="B3" s="141" t="s">
        <v>2237</v>
      </c>
      <c r="C3" s="98">
        <v>1</v>
      </c>
      <c r="D3" s="98" t="s">
        <v>2481</v>
      </c>
      <c r="E3" s="116">
        <v>45490</v>
      </c>
      <c r="F3" s="98">
        <v>2</v>
      </c>
      <c r="G3" s="145">
        <v>1</v>
      </c>
      <c r="H3" s="202">
        <v>1099875</v>
      </c>
      <c r="I3" s="98" t="s">
        <v>2291</v>
      </c>
      <c r="J3" s="98" t="s">
        <v>2291</v>
      </c>
      <c r="K3" s="98" t="s">
        <v>2291</v>
      </c>
      <c r="L3" s="98" t="s">
        <v>2291</v>
      </c>
      <c r="M3" s="98" t="s">
        <v>2291</v>
      </c>
      <c r="N3" s="98" t="s">
        <v>2291</v>
      </c>
      <c r="O3" s="98" t="s">
        <v>2291</v>
      </c>
      <c r="P3" s="98" t="s">
        <v>2291</v>
      </c>
      <c r="Q3" s="98" t="s">
        <v>2291</v>
      </c>
      <c r="R3" s="98" t="s">
        <v>2291</v>
      </c>
      <c r="S3" s="98" t="s">
        <v>2291</v>
      </c>
      <c r="T3" s="98" t="s">
        <v>2291</v>
      </c>
      <c r="U3" s="98" t="s">
        <v>2291</v>
      </c>
      <c r="V3" s="98" t="s">
        <v>2291</v>
      </c>
      <c r="W3" s="98" t="s">
        <v>2291</v>
      </c>
      <c r="X3" s="98" t="s">
        <v>2291</v>
      </c>
      <c r="Y3" s="98" t="s">
        <v>2291</v>
      </c>
      <c r="Z3" s="98" t="s">
        <v>2291</v>
      </c>
      <c r="AA3" s="98" t="s">
        <v>2291</v>
      </c>
      <c r="AB3" s="98" t="s">
        <v>2291</v>
      </c>
      <c r="AC3" s="98" t="s">
        <v>2291</v>
      </c>
      <c r="AD3" s="98" t="s">
        <v>2291</v>
      </c>
      <c r="AE3" s="98" t="s">
        <v>2291</v>
      </c>
      <c r="AF3" s="98" t="s">
        <v>2291</v>
      </c>
      <c r="AG3" s="98" t="s">
        <v>2291</v>
      </c>
      <c r="AH3" s="98" t="s">
        <v>2291</v>
      </c>
      <c r="AI3" s="98" t="s">
        <v>2291</v>
      </c>
    </row>
    <row r="4" spans="2:35">
      <c r="B4" s="141" t="s">
        <v>2239</v>
      </c>
      <c r="C4" s="98">
        <v>2</v>
      </c>
      <c r="D4" s="98" t="s">
        <v>2482</v>
      </c>
      <c r="E4" s="116">
        <v>45490</v>
      </c>
      <c r="F4" s="98">
        <v>2</v>
      </c>
      <c r="G4" s="145">
        <v>1</v>
      </c>
      <c r="H4" s="202">
        <v>0</v>
      </c>
      <c r="I4" s="98" t="s">
        <v>2291</v>
      </c>
      <c r="J4" s="98" t="s">
        <v>2291</v>
      </c>
      <c r="K4" s="98" t="s">
        <v>2291</v>
      </c>
      <c r="L4" s="98" t="s">
        <v>2291</v>
      </c>
      <c r="M4" s="98" t="s">
        <v>2291</v>
      </c>
      <c r="N4" s="98" t="s">
        <v>2291</v>
      </c>
      <c r="O4" s="98" t="s">
        <v>2291</v>
      </c>
      <c r="P4" s="98" t="s">
        <v>2291</v>
      </c>
      <c r="Q4" s="98" t="s">
        <v>2291</v>
      </c>
      <c r="R4" s="98" t="s">
        <v>2291</v>
      </c>
      <c r="S4" s="98" t="s">
        <v>2291</v>
      </c>
      <c r="T4" s="98" t="s">
        <v>2291</v>
      </c>
      <c r="U4" s="98" t="s">
        <v>2291</v>
      </c>
      <c r="V4" s="98" t="s">
        <v>2291</v>
      </c>
      <c r="W4" s="98" t="s">
        <v>2291</v>
      </c>
      <c r="X4" s="98" t="s">
        <v>2291</v>
      </c>
      <c r="Y4" s="98" t="s">
        <v>2291</v>
      </c>
      <c r="Z4" s="98" t="s">
        <v>2291</v>
      </c>
      <c r="AA4" s="98" t="s">
        <v>2291</v>
      </c>
      <c r="AB4" s="98" t="s">
        <v>2291</v>
      </c>
      <c r="AC4" s="98" t="s">
        <v>2291</v>
      </c>
      <c r="AD4" s="98" t="s">
        <v>2291</v>
      </c>
      <c r="AE4" s="98" t="s">
        <v>2291</v>
      </c>
      <c r="AF4" s="98" t="s">
        <v>2291</v>
      </c>
      <c r="AG4" s="98" t="s">
        <v>2291</v>
      </c>
      <c r="AH4" s="98" t="s">
        <v>2291</v>
      </c>
      <c r="AI4" s="98" t="s">
        <v>2291</v>
      </c>
    </row>
    <row r="5" spans="2:35">
      <c r="B5" s="141" t="s">
        <v>2241</v>
      </c>
      <c r="C5" s="98">
        <v>3</v>
      </c>
      <c r="D5" s="98" t="s">
        <v>2483</v>
      </c>
      <c r="E5" s="116">
        <v>45490</v>
      </c>
      <c r="F5" s="98">
        <v>2</v>
      </c>
      <c r="G5" s="145">
        <v>1</v>
      </c>
      <c r="H5" s="202">
        <v>0</v>
      </c>
      <c r="I5" s="98">
        <v>0</v>
      </c>
      <c r="J5" s="98">
        <v>0</v>
      </c>
      <c r="K5" s="98">
        <v>0</v>
      </c>
      <c r="L5" s="98">
        <v>0</v>
      </c>
      <c r="M5" s="98" t="s">
        <v>2291</v>
      </c>
      <c r="N5" s="98" t="s">
        <v>2291</v>
      </c>
      <c r="O5" s="98" t="s">
        <v>2291</v>
      </c>
      <c r="P5" s="98" t="s">
        <v>2291</v>
      </c>
      <c r="Q5" s="98" t="s">
        <v>2291</v>
      </c>
      <c r="R5" s="98" t="s">
        <v>2291</v>
      </c>
      <c r="S5" s="98" t="s">
        <v>2291</v>
      </c>
      <c r="T5" s="98" t="s">
        <v>2291</v>
      </c>
      <c r="U5" s="98" t="s">
        <v>2291</v>
      </c>
      <c r="V5" s="98" t="s">
        <v>2291</v>
      </c>
      <c r="W5" s="98" t="s">
        <v>2291</v>
      </c>
      <c r="X5" s="98" t="s">
        <v>2291</v>
      </c>
      <c r="Y5" s="98" t="s">
        <v>2291</v>
      </c>
      <c r="Z5" s="98" t="s">
        <v>2291</v>
      </c>
      <c r="AA5" s="98" t="s">
        <v>2291</v>
      </c>
      <c r="AB5" s="98" t="s">
        <v>2291</v>
      </c>
      <c r="AC5" s="98" t="s">
        <v>2291</v>
      </c>
      <c r="AD5" s="98" t="s">
        <v>2291</v>
      </c>
      <c r="AE5" s="98" t="s">
        <v>2291</v>
      </c>
      <c r="AF5" s="98" t="s">
        <v>2291</v>
      </c>
      <c r="AG5" s="98" t="s">
        <v>2291</v>
      </c>
      <c r="AH5" s="98">
        <v>0</v>
      </c>
      <c r="AI5" s="98" t="s">
        <v>2291</v>
      </c>
    </row>
    <row r="6" spans="2:35">
      <c r="B6" s="88" t="s">
        <v>2243</v>
      </c>
      <c r="C6" s="98">
        <v>4</v>
      </c>
      <c r="D6" s="98" t="s">
        <v>2296</v>
      </c>
      <c r="E6" s="116" t="s">
        <v>2291</v>
      </c>
      <c r="F6" s="98">
        <v>2</v>
      </c>
      <c r="G6" s="98" t="s">
        <v>2291</v>
      </c>
      <c r="H6" s="98" t="s">
        <v>2291</v>
      </c>
      <c r="I6" s="98" t="s">
        <v>2291</v>
      </c>
      <c r="J6" s="98" t="s">
        <v>2291</v>
      </c>
      <c r="K6" s="98" t="s">
        <v>2291</v>
      </c>
      <c r="L6" s="98" t="s">
        <v>2291</v>
      </c>
      <c r="M6" s="98" t="s">
        <v>2291</v>
      </c>
      <c r="N6" s="98" t="s">
        <v>2291</v>
      </c>
      <c r="O6" s="98" t="s">
        <v>2291</v>
      </c>
      <c r="P6" s="98" t="s">
        <v>2291</v>
      </c>
      <c r="Q6" s="98" t="s">
        <v>2291</v>
      </c>
      <c r="R6" s="98" t="s">
        <v>2291</v>
      </c>
      <c r="S6" s="98" t="s">
        <v>2291</v>
      </c>
      <c r="T6" s="98" t="s">
        <v>2291</v>
      </c>
      <c r="U6" s="98" t="s">
        <v>2291</v>
      </c>
      <c r="V6" s="98" t="s">
        <v>2291</v>
      </c>
      <c r="W6" s="98" t="s">
        <v>2291</v>
      </c>
      <c r="X6" s="98" t="s">
        <v>2291</v>
      </c>
      <c r="Y6" s="98" t="s">
        <v>2291</v>
      </c>
      <c r="Z6" s="98" t="s">
        <v>2291</v>
      </c>
      <c r="AA6" s="98" t="s">
        <v>2291</v>
      </c>
      <c r="AB6" s="98" t="s">
        <v>2291</v>
      </c>
      <c r="AC6" s="98" t="s">
        <v>2291</v>
      </c>
      <c r="AD6" s="98" t="s">
        <v>2291</v>
      </c>
      <c r="AE6" s="98" t="s">
        <v>2291</v>
      </c>
      <c r="AF6" s="98" t="s">
        <v>2291</v>
      </c>
      <c r="AG6" s="98" t="s">
        <v>2291</v>
      </c>
      <c r="AH6" s="98" t="s">
        <v>2291</v>
      </c>
      <c r="AI6" s="98" t="s">
        <v>2291</v>
      </c>
    </row>
    <row r="7" spans="2:35">
      <c r="B7" s="88" t="s">
        <v>2245</v>
      </c>
      <c r="C7" s="98">
        <v>5</v>
      </c>
      <c r="D7" s="98" t="s">
        <v>2296</v>
      </c>
      <c r="E7" s="116" t="s">
        <v>2291</v>
      </c>
      <c r="F7" s="98">
        <v>2</v>
      </c>
      <c r="G7" s="98" t="s">
        <v>2291</v>
      </c>
      <c r="H7" s="98" t="s">
        <v>2291</v>
      </c>
      <c r="I7" s="98" t="s">
        <v>2291</v>
      </c>
      <c r="J7" s="98" t="s">
        <v>2291</v>
      </c>
      <c r="K7" s="98" t="s">
        <v>2291</v>
      </c>
      <c r="L7" s="98" t="s">
        <v>2291</v>
      </c>
      <c r="M7" s="98" t="s">
        <v>2291</v>
      </c>
      <c r="N7" s="98" t="s">
        <v>2291</v>
      </c>
      <c r="O7" s="98" t="s">
        <v>2291</v>
      </c>
      <c r="P7" s="98" t="s">
        <v>2291</v>
      </c>
      <c r="Q7" s="98" t="s">
        <v>2291</v>
      </c>
      <c r="R7" s="98" t="s">
        <v>2291</v>
      </c>
      <c r="S7" s="98" t="s">
        <v>2291</v>
      </c>
      <c r="T7" s="98" t="s">
        <v>2291</v>
      </c>
      <c r="U7" s="98" t="s">
        <v>2291</v>
      </c>
      <c r="V7" s="98" t="s">
        <v>2291</v>
      </c>
      <c r="W7" s="98" t="s">
        <v>2291</v>
      </c>
      <c r="X7" s="98" t="s">
        <v>2291</v>
      </c>
      <c r="Y7" s="98" t="s">
        <v>2291</v>
      </c>
      <c r="Z7" s="98" t="s">
        <v>2291</v>
      </c>
      <c r="AA7" s="98" t="s">
        <v>2291</v>
      </c>
      <c r="AB7" s="98" t="s">
        <v>2291</v>
      </c>
      <c r="AC7" s="98" t="s">
        <v>2291</v>
      </c>
      <c r="AD7" s="98" t="s">
        <v>2291</v>
      </c>
      <c r="AE7" s="98" t="s">
        <v>2291</v>
      </c>
      <c r="AF7" s="98" t="s">
        <v>2291</v>
      </c>
      <c r="AG7" s="98" t="s">
        <v>2291</v>
      </c>
      <c r="AH7" s="98" t="s">
        <v>2291</v>
      </c>
      <c r="AI7" s="98" t="s">
        <v>2291</v>
      </c>
    </row>
    <row r="8" spans="2:35">
      <c r="B8" s="172" t="s">
        <v>2246</v>
      </c>
      <c r="C8" s="98">
        <v>6</v>
      </c>
      <c r="D8" s="98" t="s">
        <v>2484</v>
      </c>
      <c r="E8" s="116">
        <v>45490</v>
      </c>
      <c r="F8" s="98">
        <v>2</v>
      </c>
      <c r="G8" s="145" cm="1">
        <f t="array" ref="G8">SUMPRODUCT(--(I8:AH8&gt;0))/COUNTA(I8:AH8)</f>
        <v>1</v>
      </c>
      <c r="H8" s="202">
        <v>0</v>
      </c>
      <c r="I8" s="98">
        <v>2</v>
      </c>
      <c r="J8" s="98">
        <v>15</v>
      </c>
      <c r="K8" s="98">
        <v>2</v>
      </c>
      <c r="L8" s="98">
        <v>9</v>
      </c>
      <c r="M8" s="98" t="s">
        <v>2298</v>
      </c>
      <c r="N8" s="98">
        <v>1</v>
      </c>
      <c r="O8" s="98">
        <v>16</v>
      </c>
      <c r="P8" s="98">
        <v>1</v>
      </c>
      <c r="Q8" s="98">
        <v>1</v>
      </c>
      <c r="R8" s="98">
        <v>1</v>
      </c>
      <c r="S8" s="98">
        <v>1</v>
      </c>
      <c r="T8" s="98">
        <v>2</v>
      </c>
      <c r="U8" s="98">
        <v>1</v>
      </c>
      <c r="V8" s="98">
        <v>3</v>
      </c>
      <c r="W8" s="98">
        <v>1</v>
      </c>
      <c r="X8" s="98">
        <v>1</v>
      </c>
      <c r="Y8" s="98">
        <v>8</v>
      </c>
      <c r="Z8" s="98">
        <v>8</v>
      </c>
      <c r="AA8" s="98">
        <v>1</v>
      </c>
      <c r="AB8" s="98">
        <v>1</v>
      </c>
      <c r="AC8" s="98">
        <v>4</v>
      </c>
      <c r="AD8" s="98">
        <v>4</v>
      </c>
      <c r="AE8" s="98">
        <v>7</v>
      </c>
      <c r="AF8" s="98">
        <v>1</v>
      </c>
      <c r="AG8" s="98">
        <v>2</v>
      </c>
      <c r="AH8" s="98">
        <v>10</v>
      </c>
      <c r="AI8" s="98">
        <v>23</v>
      </c>
    </row>
    <row r="9" spans="2:35">
      <c r="B9" s="141" t="s">
        <v>2249</v>
      </c>
      <c r="C9" s="98">
        <v>7</v>
      </c>
      <c r="D9" s="98" t="s">
        <v>2485</v>
      </c>
      <c r="E9" s="116">
        <v>45490</v>
      </c>
      <c r="F9" s="98">
        <v>2</v>
      </c>
      <c r="G9" s="145" cm="1">
        <f t="array" aca="1" ref="G9" ca="1">SUMPRODUCT(--(I9:AH9&lt;=I26:AH26))/COUNTA(I9:AH9)</f>
        <v>0.88461538461538458</v>
      </c>
      <c r="H9" s="202">
        <v>0</v>
      </c>
      <c r="I9" s="98">
        <v>2</v>
      </c>
      <c r="J9" s="98">
        <v>15</v>
      </c>
      <c r="K9" s="98">
        <v>2</v>
      </c>
      <c r="L9" s="98">
        <v>9</v>
      </c>
      <c r="M9" s="98">
        <v>0</v>
      </c>
      <c r="N9" s="98">
        <v>1</v>
      </c>
      <c r="O9" s="98">
        <v>16</v>
      </c>
      <c r="P9" s="98">
        <v>3</v>
      </c>
      <c r="Q9" s="98">
        <v>1</v>
      </c>
      <c r="R9" s="98">
        <v>1</v>
      </c>
      <c r="S9" s="98">
        <v>1</v>
      </c>
      <c r="T9" s="98">
        <v>2</v>
      </c>
      <c r="U9" s="98">
        <v>3</v>
      </c>
      <c r="V9" s="98">
        <v>3</v>
      </c>
      <c r="W9" s="98">
        <v>10</v>
      </c>
      <c r="X9" s="98">
        <v>10</v>
      </c>
      <c r="Y9" s="98">
        <v>15</v>
      </c>
      <c r="Z9" s="98">
        <v>13</v>
      </c>
      <c r="AA9" s="98">
        <v>4</v>
      </c>
      <c r="AB9" s="98">
        <v>40</v>
      </c>
      <c r="AC9" s="98">
        <v>10</v>
      </c>
      <c r="AD9" s="98">
        <v>10</v>
      </c>
      <c r="AE9" s="98">
        <v>7</v>
      </c>
      <c r="AF9" s="98">
        <v>4</v>
      </c>
      <c r="AG9" s="98">
        <v>2</v>
      </c>
      <c r="AH9" s="98">
        <v>10</v>
      </c>
      <c r="AI9" s="98">
        <v>23</v>
      </c>
    </row>
    <row r="10" spans="2:35">
      <c r="B10" s="141" t="s">
        <v>2252</v>
      </c>
      <c r="C10" s="98">
        <v>8</v>
      </c>
      <c r="D10" s="98" t="s">
        <v>2486</v>
      </c>
      <c r="E10" s="116">
        <v>45490</v>
      </c>
      <c r="F10" s="98">
        <v>2</v>
      </c>
      <c r="G10" s="98" t="s">
        <v>2291</v>
      </c>
      <c r="H10" s="202">
        <v>0</v>
      </c>
      <c r="I10" s="98">
        <v>31</v>
      </c>
      <c r="J10" s="98">
        <v>1100751730010</v>
      </c>
      <c r="K10" s="98">
        <v>24</v>
      </c>
      <c r="L10" s="98">
        <v>699490255</v>
      </c>
      <c r="M10" s="116" t="s">
        <v>2298</v>
      </c>
      <c r="N10" s="202">
        <v>1</v>
      </c>
      <c r="O10" s="98">
        <v>4008110051813620</v>
      </c>
      <c r="P10" s="98">
        <v>0</v>
      </c>
      <c r="Q10" s="98">
        <v>0</v>
      </c>
      <c r="R10" s="98">
        <v>0</v>
      </c>
      <c r="S10" s="98">
        <v>0</v>
      </c>
      <c r="T10" s="145">
        <v>0</v>
      </c>
      <c r="U10" s="98">
        <v>124</v>
      </c>
      <c r="V10" s="116">
        <v>978</v>
      </c>
      <c r="W10" s="98">
        <v>0</v>
      </c>
      <c r="X10" s="145">
        <v>0</v>
      </c>
      <c r="Y10" s="117">
        <v>-1600000000000</v>
      </c>
      <c r="Z10" s="117">
        <v>-9990000000</v>
      </c>
      <c r="AA10" s="98" t="e">
        <v>#N/A</v>
      </c>
      <c r="AB10" s="98" t="s">
        <v>2487</v>
      </c>
      <c r="AC10" s="98" t="e">
        <v>#N/A</v>
      </c>
      <c r="AD10" s="98" t="e">
        <v>#N/A</v>
      </c>
      <c r="AE10" s="98">
        <v>12</v>
      </c>
      <c r="AF10" s="98">
        <v>0</v>
      </c>
      <c r="AG10" s="116" t="s">
        <v>2488</v>
      </c>
      <c r="AH10" s="116">
        <v>45490</v>
      </c>
      <c r="AI10" s="98" t="s">
        <v>2489</v>
      </c>
    </row>
    <row r="11" spans="2:35">
      <c r="B11" s="141" t="s">
        <v>2254</v>
      </c>
      <c r="C11" s="98">
        <v>9</v>
      </c>
      <c r="D11" s="98" t="s">
        <v>2490</v>
      </c>
      <c r="E11" s="116">
        <v>45490</v>
      </c>
      <c r="F11" s="98">
        <v>2</v>
      </c>
      <c r="G11" s="98" t="s">
        <v>2291</v>
      </c>
      <c r="H11" s="202">
        <v>0</v>
      </c>
      <c r="I11" s="98">
        <v>31</v>
      </c>
      <c r="J11" s="98">
        <v>1100751730010</v>
      </c>
      <c r="K11" s="98">
        <v>24</v>
      </c>
      <c r="L11" s="98">
        <v>699490255</v>
      </c>
      <c r="M11" s="116" t="s">
        <v>2298</v>
      </c>
      <c r="N11" s="202">
        <v>1</v>
      </c>
      <c r="O11" s="116">
        <v>4008110051813620</v>
      </c>
      <c r="P11" s="98" t="s">
        <v>2491</v>
      </c>
      <c r="Q11" s="98">
        <v>0</v>
      </c>
      <c r="R11" s="98">
        <v>0</v>
      </c>
      <c r="S11" s="98">
        <v>0</v>
      </c>
      <c r="T11" s="98"/>
      <c r="U11" s="98">
        <v>8</v>
      </c>
      <c r="V11" s="116">
        <v>978</v>
      </c>
      <c r="W11" s="98" t="s">
        <v>2492</v>
      </c>
      <c r="X11" s="98" t="s">
        <v>2492</v>
      </c>
      <c r="Y11" s="98" t="s">
        <v>2493</v>
      </c>
      <c r="Z11" s="98" t="s">
        <v>2493</v>
      </c>
      <c r="AA11" s="98">
        <v>0</v>
      </c>
      <c r="AB11" s="98" t="s">
        <v>2487</v>
      </c>
      <c r="AC11" s="98" t="e">
        <v>#N/A</v>
      </c>
      <c r="AD11" s="98" t="e">
        <v>#N/A</v>
      </c>
      <c r="AE11" s="98">
        <v>12</v>
      </c>
      <c r="AF11" s="98">
        <v>0</v>
      </c>
      <c r="AG11" s="116" t="s">
        <v>2488</v>
      </c>
      <c r="AH11" s="116">
        <v>45490</v>
      </c>
      <c r="AI11" s="98" t="s">
        <v>2494</v>
      </c>
    </row>
    <row r="12" spans="2:35">
      <c r="B12" s="164" t="s">
        <v>2256</v>
      </c>
      <c r="C12" s="98">
        <v>10</v>
      </c>
      <c r="D12" s="98" t="s">
        <v>2495</v>
      </c>
      <c r="E12" s="116">
        <v>45490</v>
      </c>
      <c r="F12" s="98">
        <v>2</v>
      </c>
      <c r="G12" s="98" t="s">
        <v>2291</v>
      </c>
      <c r="H12" s="202">
        <v>0</v>
      </c>
      <c r="I12" s="98">
        <v>31</v>
      </c>
      <c r="J12" s="98">
        <v>5131650650010</v>
      </c>
      <c r="K12" s="98">
        <v>24</v>
      </c>
      <c r="L12" s="98">
        <v>700670832</v>
      </c>
      <c r="M12" s="116" t="s">
        <v>2298</v>
      </c>
      <c r="N12" s="202">
        <v>1</v>
      </c>
      <c r="O12" s="117">
        <v>5890770069588380</v>
      </c>
      <c r="P12" s="98">
        <v>320</v>
      </c>
      <c r="Q12" s="98">
        <v>1</v>
      </c>
      <c r="R12" s="98">
        <v>1</v>
      </c>
      <c r="S12" s="98">
        <v>1</v>
      </c>
      <c r="T12" s="145" t="s">
        <v>2496</v>
      </c>
      <c r="U12" s="98">
        <v>986</v>
      </c>
      <c r="V12" s="116">
        <v>978</v>
      </c>
      <c r="W12" s="116">
        <v>45491</v>
      </c>
      <c r="X12" s="145">
        <v>45491</v>
      </c>
      <c r="Y12" s="117">
        <v>15416610000000</v>
      </c>
      <c r="Z12" s="117">
        <v>108509000000</v>
      </c>
      <c r="AA12" s="98">
        <v>98</v>
      </c>
      <c r="AB12" s="98" t="s">
        <v>2497</v>
      </c>
      <c r="AC12" s="98">
        <v>999903</v>
      </c>
      <c r="AD12" s="98">
        <v>1527947</v>
      </c>
      <c r="AE12" s="98">
        <v>552429</v>
      </c>
      <c r="AF12" s="98">
        <v>9406</v>
      </c>
      <c r="AG12" s="116" t="s">
        <v>2488</v>
      </c>
      <c r="AH12" s="116">
        <v>45490</v>
      </c>
      <c r="AI12" s="98" t="s">
        <v>2489</v>
      </c>
    </row>
    <row r="13" spans="2:35">
      <c r="B13" s="141" t="s">
        <v>2258</v>
      </c>
      <c r="C13" s="98">
        <v>11</v>
      </c>
      <c r="D13" s="98" t="s">
        <v>2498</v>
      </c>
      <c r="E13" s="116">
        <v>45490</v>
      </c>
      <c r="F13" s="98">
        <v>2</v>
      </c>
      <c r="G13" s="98" t="s">
        <v>2291</v>
      </c>
      <c r="H13" s="202">
        <v>0</v>
      </c>
      <c r="I13" s="98">
        <v>31</v>
      </c>
      <c r="J13" s="98">
        <v>5131650650010</v>
      </c>
      <c r="K13" s="98">
        <v>24</v>
      </c>
      <c r="L13" s="98">
        <v>700670832</v>
      </c>
      <c r="M13" s="116" t="s">
        <v>2298</v>
      </c>
      <c r="N13" s="202">
        <v>1</v>
      </c>
      <c r="O13" s="116">
        <v>5890770069588380</v>
      </c>
      <c r="P13" s="98" t="s">
        <v>2499</v>
      </c>
      <c r="Q13" s="98">
        <v>1</v>
      </c>
      <c r="R13" s="98">
        <v>1</v>
      </c>
      <c r="S13" s="98">
        <v>1</v>
      </c>
      <c r="T13" s="98" t="s">
        <v>2496</v>
      </c>
      <c r="U13" s="98">
        <v>986</v>
      </c>
      <c r="V13" s="116">
        <v>978</v>
      </c>
      <c r="W13" s="116">
        <v>45491</v>
      </c>
      <c r="X13" s="116">
        <v>45491</v>
      </c>
      <c r="Y13" s="98" t="s">
        <v>2500</v>
      </c>
      <c r="Z13" s="98" t="s">
        <v>2500</v>
      </c>
      <c r="AA13" s="98">
        <v>781</v>
      </c>
      <c r="AB13" s="98" t="s">
        <v>2497</v>
      </c>
      <c r="AC13" s="98">
        <v>999903</v>
      </c>
      <c r="AD13" s="98">
        <v>1527947</v>
      </c>
      <c r="AE13" s="98">
        <v>552429</v>
      </c>
      <c r="AF13" s="98">
        <v>9405</v>
      </c>
      <c r="AG13" s="116" t="s">
        <v>2488</v>
      </c>
      <c r="AH13" s="116">
        <v>45490</v>
      </c>
      <c r="AI13" s="98" t="s">
        <v>2501</v>
      </c>
    </row>
    <row r="14" spans="2:35">
      <c r="B14" s="141" t="s">
        <v>2260</v>
      </c>
      <c r="C14" s="98">
        <v>12</v>
      </c>
      <c r="D14" s="98" t="s">
        <v>2502</v>
      </c>
      <c r="E14" s="116">
        <v>45490</v>
      </c>
      <c r="F14" s="98">
        <v>2</v>
      </c>
      <c r="G14" s="145">
        <v>0.81</v>
      </c>
      <c r="H14" s="202">
        <v>0</v>
      </c>
      <c r="I14" s="98">
        <v>0</v>
      </c>
      <c r="J14" s="98">
        <v>0</v>
      </c>
      <c r="K14" s="98">
        <v>0</v>
      </c>
      <c r="L14" s="98">
        <v>0</v>
      </c>
      <c r="M14" s="98">
        <v>1099875</v>
      </c>
      <c r="N14" s="98">
        <v>0</v>
      </c>
      <c r="O14" s="98">
        <v>0</v>
      </c>
      <c r="P14" s="98">
        <v>0</v>
      </c>
      <c r="Q14" s="98">
        <v>0</v>
      </c>
      <c r="R14" s="98">
        <v>0</v>
      </c>
      <c r="S14" s="98">
        <v>1052</v>
      </c>
      <c r="T14" s="98">
        <v>1052</v>
      </c>
      <c r="U14" s="98">
        <v>0</v>
      </c>
      <c r="V14" s="98">
        <v>0</v>
      </c>
      <c r="W14" s="98">
        <v>0</v>
      </c>
      <c r="X14" s="98">
        <v>0</v>
      </c>
      <c r="Y14" s="98">
        <v>0</v>
      </c>
      <c r="Z14" s="98">
        <v>0</v>
      </c>
      <c r="AA14" s="98">
        <v>0</v>
      </c>
      <c r="AB14" s="98">
        <v>0</v>
      </c>
      <c r="AC14" s="98">
        <v>0</v>
      </c>
      <c r="AD14" s="98">
        <v>79416</v>
      </c>
      <c r="AE14" s="98">
        <v>701393</v>
      </c>
      <c r="AF14" s="98">
        <v>0</v>
      </c>
      <c r="AG14" s="98">
        <v>0</v>
      </c>
      <c r="AH14" s="98">
        <v>0</v>
      </c>
      <c r="AI14" s="98">
        <v>0</v>
      </c>
    </row>
    <row r="15" spans="2:35">
      <c r="B15" s="141" t="s">
        <v>2262</v>
      </c>
      <c r="C15" s="98">
        <v>13</v>
      </c>
      <c r="D15" s="98" t="s">
        <v>2503</v>
      </c>
      <c r="E15" s="116">
        <v>45490</v>
      </c>
      <c r="F15" s="98">
        <v>2</v>
      </c>
      <c r="G15" s="145">
        <v>1</v>
      </c>
      <c r="H15" s="202">
        <v>0</v>
      </c>
      <c r="I15" s="98" t="s">
        <v>2291</v>
      </c>
      <c r="J15" s="98" t="s">
        <v>2291</v>
      </c>
      <c r="K15" s="98" t="s">
        <v>2291</v>
      </c>
      <c r="L15" s="88" t="s">
        <v>2291</v>
      </c>
      <c r="M15" s="88" t="s">
        <v>2291</v>
      </c>
      <c r="N15" s="98" t="s">
        <v>2291</v>
      </c>
      <c r="O15" s="88" t="s">
        <v>2291</v>
      </c>
      <c r="P15" s="88" t="s">
        <v>2291</v>
      </c>
      <c r="Q15" s="88" t="s">
        <v>2291</v>
      </c>
      <c r="R15" s="98" t="s">
        <v>2291</v>
      </c>
      <c r="S15" s="98" t="s">
        <v>2291</v>
      </c>
      <c r="T15" s="98" t="s">
        <v>2291</v>
      </c>
      <c r="U15" s="98" t="s">
        <v>2291</v>
      </c>
      <c r="V15" s="98" t="s">
        <v>2291</v>
      </c>
      <c r="W15" s="98">
        <v>0</v>
      </c>
      <c r="X15" s="98">
        <v>0</v>
      </c>
      <c r="Y15" s="98" t="s">
        <v>2291</v>
      </c>
      <c r="Z15" s="98" t="s">
        <v>2291</v>
      </c>
      <c r="AA15" s="98" t="s">
        <v>2291</v>
      </c>
      <c r="AB15" s="98" t="s">
        <v>2291</v>
      </c>
      <c r="AC15" s="98" t="s">
        <v>2291</v>
      </c>
      <c r="AD15" s="98" t="s">
        <v>2291</v>
      </c>
      <c r="AE15" s="98" t="s">
        <v>2291</v>
      </c>
      <c r="AF15" s="98" t="s">
        <v>2291</v>
      </c>
      <c r="AG15" s="98" t="s">
        <v>2291</v>
      </c>
      <c r="AH15" s="98" t="s">
        <v>2291</v>
      </c>
      <c r="AI15" s="98" t="s">
        <v>2291</v>
      </c>
    </row>
    <row r="16" spans="2:35">
      <c r="B16" s="141" t="s">
        <v>2264</v>
      </c>
      <c r="C16" s="98">
        <v>14</v>
      </c>
      <c r="D16" s="98" t="s">
        <v>2504</v>
      </c>
      <c r="E16" s="116">
        <v>45490</v>
      </c>
      <c r="F16" s="98">
        <v>2</v>
      </c>
      <c r="G16" s="145">
        <v>1</v>
      </c>
      <c r="H16" s="202">
        <v>0</v>
      </c>
      <c r="I16" s="98">
        <v>0</v>
      </c>
      <c r="J16" s="98">
        <v>0</v>
      </c>
      <c r="K16" s="98" t="s">
        <v>2291</v>
      </c>
      <c r="L16" s="98" t="s">
        <v>2291</v>
      </c>
      <c r="M16" s="88">
        <v>0</v>
      </c>
      <c r="N16" s="98" t="s">
        <v>2291</v>
      </c>
      <c r="O16" s="98" t="s">
        <v>2291</v>
      </c>
      <c r="P16" s="98" t="s">
        <v>2291</v>
      </c>
      <c r="Q16" s="88" t="s">
        <v>2291</v>
      </c>
      <c r="R16" s="98" t="s">
        <v>2291</v>
      </c>
      <c r="S16" s="98" t="s">
        <v>2291</v>
      </c>
      <c r="T16" s="98">
        <v>0</v>
      </c>
      <c r="U16" s="98">
        <v>0</v>
      </c>
      <c r="V16" s="98">
        <v>0</v>
      </c>
      <c r="W16" s="98" t="s">
        <v>2291</v>
      </c>
      <c r="X16" s="98" t="s">
        <v>2291</v>
      </c>
      <c r="Y16" s="98" t="s">
        <v>2291</v>
      </c>
      <c r="Z16" s="98" t="s">
        <v>2291</v>
      </c>
      <c r="AA16" s="98">
        <v>0</v>
      </c>
      <c r="AB16" s="98" t="s">
        <v>2291</v>
      </c>
      <c r="AC16" s="98">
        <v>0</v>
      </c>
      <c r="AD16" s="98">
        <v>0</v>
      </c>
      <c r="AE16" s="98">
        <v>0</v>
      </c>
      <c r="AF16" s="98">
        <v>0</v>
      </c>
      <c r="AG16" s="98">
        <v>0</v>
      </c>
      <c r="AH16" s="98" t="s">
        <v>2291</v>
      </c>
      <c r="AI16" s="98" t="s">
        <v>2291</v>
      </c>
    </row>
    <row r="17" spans="2:36">
      <c r="B17" s="174" t="s">
        <v>2266</v>
      </c>
      <c r="C17" s="98">
        <v>15</v>
      </c>
      <c r="D17" s="98" t="s">
        <v>2505</v>
      </c>
      <c r="E17" s="116">
        <v>45490</v>
      </c>
      <c r="F17" s="98">
        <v>2</v>
      </c>
      <c r="G17" s="145">
        <v>1</v>
      </c>
      <c r="H17" s="202">
        <v>0</v>
      </c>
      <c r="I17" s="98" t="s">
        <v>2291</v>
      </c>
      <c r="J17" s="98" t="s">
        <v>2291</v>
      </c>
      <c r="K17" s="98" t="s">
        <v>2291</v>
      </c>
      <c r="L17" s="98" t="s">
        <v>2291</v>
      </c>
      <c r="M17" s="98" t="s">
        <v>2291</v>
      </c>
      <c r="N17" s="98" t="s">
        <v>2291</v>
      </c>
      <c r="O17" s="98" t="s">
        <v>2291</v>
      </c>
      <c r="P17" s="98" t="s">
        <v>2291</v>
      </c>
      <c r="Q17" s="98" t="s">
        <v>2291</v>
      </c>
      <c r="R17" s="98" t="s">
        <v>2291</v>
      </c>
      <c r="S17" s="98" t="s">
        <v>2291</v>
      </c>
      <c r="T17" s="98" t="s">
        <v>2291</v>
      </c>
      <c r="U17" s="98" t="s">
        <v>2291</v>
      </c>
      <c r="V17" s="98" t="s">
        <v>2291</v>
      </c>
      <c r="W17" s="98" t="s">
        <v>2291</v>
      </c>
      <c r="X17" s="98" t="s">
        <v>2291</v>
      </c>
      <c r="Y17" s="98" t="s">
        <v>2291</v>
      </c>
      <c r="Z17" s="98" t="s">
        <v>2291</v>
      </c>
      <c r="AA17" s="98" t="s">
        <v>2291</v>
      </c>
      <c r="AB17" s="98" t="s">
        <v>2291</v>
      </c>
      <c r="AC17" s="98" t="s">
        <v>2291</v>
      </c>
      <c r="AD17" s="98" t="s">
        <v>2291</v>
      </c>
      <c r="AE17" s="98" t="s">
        <v>2291</v>
      </c>
      <c r="AF17" s="98" t="s">
        <v>2291</v>
      </c>
      <c r="AG17" s="98" t="s">
        <v>2291</v>
      </c>
      <c r="AH17" s="98" t="s">
        <v>2291</v>
      </c>
      <c r="AI17" s="98" t="s">
        <v>2291</v>
      </c>
    </row>
    <row r="18" spans="2:36">
      <c r="B18" s="174" t="s">
        <v>2268</v>
      </c>
      <c r="C18" s="98">
        <v>16</v>
      </c>
      <c r="D18" s="98" t="s">
        <v>2505</v>
      </c>
      <c r="E18" s="116">
        <v>45490</v>
      </c>
      <c r="F18" s="98">
        <v>2</v>
      </c>
      <c r="G18" s="145">
        <v>1</v>
      </c>
      <c r="H18" s="202">
        <v>0</v>
      </c>
      <c r="I18" s="98" t="s">
        <v>2291</v>
      </c>
      <c r="J18" s="98" t="s">
        <v>2291</v>
      </c>
      <c r="K18" s="98" t="s">
        <v>2291</v>
      </c>
      <c r="L18" s="98" t="s">
        <v>2291</v>
      </c>
      <c r="M18" s="98" t="s">
        <v>2291</v>
      </c>
      <c r="N18" s="98" t="s">
        <v>2291</v>
      </c>
      <c r="O18" s="98" t="s">
        <v>2291</v>
      </c>
      <c r="P18" s="98" t="s">
        <v>2291</v>
      </c>
      <c r="Q18" s="98" t="s">
        <v>2291</v>
      </c>
      <c r="R18" s="98" t="s">
        <v>2291</v>
      </c>
      <c r="S18" s="98" t="s">
        <v>2291</v>
      </c>
      <c r="T18" s="98" t="s">
        <v>2291</v>
      </c>
      <c r="U18" s="98" t="s">
        <v>2291</v>
      </c>
      <c r="V18" s="98" t="s">
        <v>2291</v>
      </c>
      <c r="W18" s="98" t="s">
        <v>2291</v>
      </c>
      <c r="X18" s="98" t="s">
        <v>2291</v>
      </c>
      <c r="Y18" s="98" t="s">
        <v>2291</v>
      </c>
      <c r="Z18" s="98" t="s">
        <v>2291</v>
      </c>
      <c r="AA18" s="98" t="s">
        <v>2291</v>
      </c>
      <c r="AB18" s="98" t="s">
        <v>2291</v>
      </c>
      <c r="AC18" s="98" t="s">
        <v>2291</v>
      </c>
      <c r="AD18" s="98" t="s">
        <v>2291</v>
      </c>
      <c r="AE18" s="98" t="s">
        <v>2291</v>
      </c>
      <c r="AF18" s="98" t="s">
        <v>2291</v>
      </c>
      <c r="AG18" s="98" t="s">
        <v>2291</v>
      </c>
      <c r="AH18" s="98" t="s">
        <v>2291</v>
      </c>
      <c r="AI18" s="98" t="s">
        <v>2291</v>
      </c>
    </row>
    <row r="19" spans="2:36">
      <c r="B19" s="141" t="s">
        <v>2274</v>
      </c>
      <c r="C19" s="98">
        <v>19</v>
      </c>
      <c r="D19" s="98" t="s">
        <v>2506</v>
      </c>
      <c r="E19" s="116">
        <v>45490</v>
      </c>
      <c r="F19" s="98">
        <v>2</v>
      </c>
      <c r="G19" s="145" cm="1">
        <f t="array" aca="1" ref="G19" ca="1">SUMPRODUCT(--(ISNUMBER((SEARCH(I25:AI25,I19:AI19)))))/COUNTA(I19:AI19)</f>
        <v>0.88888888888888884</v>
      </c>
      <c r="H19" s="202">
        <v>0</v>
      </c>
      <c r="I19" s="98" t="s">
        <v>2341</v>
      </c>
      <c r="J19" s="98" t="s">
        <v>2341</v>
      </c>
      <c r="K19" s="98" t="s">
        <v>2507</v>
      </c>
      <c r="L19" s="98" t="s">
        <v>2342</v>
      </c>
      <c r="M19" s="98" t="s">
        <v>2341</v>
      </c>
      <c r="N19" s="98" t="s">
        <v>2341</v>
      </c>
      <c r="O19" s="98" t="s">
        <v>2341</v>
      </c>
      <c r="P19" s="98" t="s">
        <v>2508</v>
      </c>
      <c r="Q19" s="98" t="s">
        <v>2341</v>
      </c>
      <c r="R19" s="98" t="s">
        <v>2341</v>
      </c>
      <c r="S19" s="98" t="s">
        <v>2341</v>
      </c>
      <c r="T19" s="98" t="s">
        <v>2341</v>
      </c>
      <c r="U19" s="98" t="s">
        <v>2341</v>
      </c>
      <c r="V19" s="98" t="s">
        <v>2341</v>
      </c>
      <c r="W19" s="98" t="s">
        <v>2341</v>
      </c>
      <c r="X19" s="98" t="s">
        <v>2341</v>
      </c>
      <c r="Y19" s="98" t="s">
        <v>2343</v>
      </c>
      <c r="Z19" s="98" t="s">
        <v>2343</v>
      </c>
      <c r="AA19" s="98" t="s">
        <v>2341</v>
      </c>
      <c r="AB19" s="98" t="s">
        <v>2341</v>
      </c>
      <c r="AC19" s="98" t="s">
        <v>2341</v>
      </c>
      <c r="AD19" s="98" t="s">
        <v>2341</v>
      </c>
      <c r="AE19" s="98" t="s">
        <v>2341</v>
      </c>
      <c r="AF19" s="98" t="s">
        <v>2341</v>
      </c>
      <c r="AG19" s="98" t="s">
        <v>2341</v>
      </c>
      <c r="AH19" s="98" t="s">
        <v>2341</v>
      </c>
      <c r="AI19" s="98" t="s">
        <v>2344</v>
      </c>
    </row>
    <row r="20" spans="2:36">
      <c r="B20" s="141" t="s">
        <v>2277</v>
      </c>
      <c r="C20" s="98">
        <v>20</v>
      </c>
      <c r="D20" s="98" t="s">
        <v>2509</v>
      </c>
      <c r="E20" s="116">
        <v>45490</v>
      </c>
      <c r="F20" s="98">
        <v>1</v>
      </c>
      <c r="G20" s="145" cm="1">
        <f t="array" ref="G20">SUM(IF(I2:AH2 = I24:AH24, 1, 0))/ COUNTA(I2:AH2)</f>
        <v>0.53846153846153844</v>
      </c>
      <c r="H20" s="202" t="s">
        <v>2291</v>
      </c>
      <c r="I20" s="202" t="s">
        <v>2291</v>
      </c>
      <c r="J20" s="202" t="s">
        <v>2291</v>
      </c>
      <c r="K20" s="202" t="s">
        <v>2291</v>
      </c>
      <c r="L20" s="202" t="s">
        <v>2291</v>
      </c>
      <c r="M20" s="202" t="s">
        <v>2291</v>
      </c>
      <c r="N20" s="202" t="s">
        <v>2291</v>
      </c>
      <c r="O20" s="202" t="s">
        <v>2291</v>
      </c>
      <c r="P20" s="202" t="s">
        <v>2291</v>
      </c>
      <c r="Q20" s="202" t="s">
        <v>2291</v>
      </c>
      <c r="R20" s="202" t="s">
        <v>2291</v>
      </c>
      <c r="S20" s="202" t="s">
        <v>2291</v>
      </c>
      <c r="T20" s="202" t="s">
        <v>2291</v>
      </c>
      <c r="U20" s="202" t="s">
        <v>2291</v>
      </c>
      <c r="V20" s="202" t="s">
        <v>2291</v>
      </c>
      <c r="W20" s="202" t="s">
        <v>2291</v>
      </c>
      <c r="X20" s="202" t="s">
        <v>2291</v>
      </c>
      <c r="Y20" s="202" t="s">
        <v>2291</v>
      </c>
      <c r="Z20" s="202" t="s">
        <v>2291</v>
      </c>
      <c r="AA20" s="202" t="s">
        <v>2291</v>
      </c>
      <c r="AB20" s="202" t="s">
        <v>2291</v>
      </c>
      <c r="AC20" s="202" t="s">
        <v>2291</v>
      </c>
      <c r="AD20" s="202" t="s">
        <v>2291</v>
      </c>
      <c r="AE20" s="202" t="s">
        <v>2291</v>
      </c>
      <c r="AF20" s="202" t="s">
        <v>2291</v>
      </c>
      <c r="AG20" s="202" t="s">
        <v>2291</v>
      </c>
      <c r="AH20" s="202" t="s">
        <v>2291</v>
      </c>
      <c r="AI20" s="202" t="s">
        <v>2291</v>
      </c>
    </row>
    <row r="21" spans="2:36">
      <c r="B21" s="165" t="s">
        <v>2280</v>
      </c>
      <c r="C21" s="98">
        <v>21</v>
      </c>
      <c r="D21" s="98" t="s">
        <v>2509</v>
      </c>
      <c r="E21" s="116">
        <v>45490</v>
      </c>
      <c r="F21" s="98"/>
      <c r="G21" s="145" cm="1">
        <f t="array" aca="1" ref="G21" ca="1">SUM(IF(IF(G3:G20="null",1,G3:G20)=1,1,0))/COUNT(IF(G3:G20="null",1,1))</f>
        <v>0.77777777777777779</v>
      </c>
      <c r="H21" s="202" t="s">
        <v>2291</v>
      </c>
      <c r="I21" s="202" t="s">
        <v>2291</v>
      </c>
      <c r="J21" s="202" t="s">
        <v>2291</v>
      </c>
      <c r="K21" s="202" t="s">
        <v>2291</v>
      </c>
      <c r="L21" s="202" t="s">
        <v>2291</v>
      </c>
      <c r="M21" s="202" t="s">
        <v>2291</v>
      </c>
      <c r="N21" s="202" t="s">
        <v>2291</v>
      </c>
      <c r="O21" s="202" t="s">
        <v>2291</v>
      </c>
      <c r="P21" s="202" t="s">
        <v>2291</v>
      </c>
      <c r="Q21" s="202" t="s">
        <v>2291</v>
      </c>
      <c r="R21" s="202" t="s">
        <v>2291</v>
      </c>
      <c r="S21" s="202" t="s">
        <v>2291</v>
      </c>
      <c r="T21" s="202" t="s">
        <v>2291</v>
      </c>
      <c r="U21" s="202" t="s">
        <v>2291</v>
      </c>
      <c r="V21" s="202" t="s">
        <v>2291</v>
      </c>
      <c r="W21" s="202" t="s">
        <v>2291</v>
      </c>
      <c r="X21" s="202" t="s">
        <v>2291</v>
      </c>
      <c r="Y21" s="202" t="s">
        <v>2291</v>
      </c>
      <c r="Z21" s="202" t="s">
        <v>2291</v>
      </c>
      <c r="AA21" s="202" t="s">
        <v>2291</v>
      </c>
      <c r="AB21" s="202" t="s">
        <v>2291</v>
      </c>
      <c r="AC21" s="202" t="s">
        <v>2291</v>
      </c>
      <c r="AD21" s="202" t="s">
        <v>2291</v>
      </c>
      <c r="AE21" s="202" t="s">
        <v>2291</v>
      </c>
      <c r="AF21" s="202" t="s">
        <v>2291</v>
      </c>
      <c r="AG21" s="202" t="s">
        <v>2291</v>
      </c>
      <c r="AH21" s="202" t="s">
        <v>2291</v>
      </c>
      <c r="AI21" s="202" t="s">
        <v>2291</v>
      </c>
    </row>
    <row r="22" spans="2:36">
      <c r="B22" s="98"/>
      <c r="C22" s="98"/>
      <c r="D22" s="98"/>
      <c r="E22" s="116"/>
      <c r="F22" s="98"/>
      <c r="G22" s="98"/>
      <c r="H22" s="98"/>
      <c r="I22" s="98"/>
      <c r="J22" s="98"/>
      <c r="K22" s="98"/>
      <c r="L22" s="98"/>
      <c r="M22" s="98"/>
      <c r="N22" s="98"/>
      <c r="O22" s="98"/>
      <c r="P22" s="98"/>
      <c r="Q22" s="98"/>
      <c r="R22" s="98"/>
      <c r="S22" s="98"/>
      <c r="T22" s="98"/>
    </row>
    <row r="23" spans="2:36">
      <c r="B23" s="106" t="s">
        <v>2345</v>
      </c>
    </row>
    <row r="24" spans="2:36">
      <c r="B24" s="107" t="s">
        <v>2346</v>
      </c>
      <c r="C24" s="108" t="s">
        <v>2284</v>
      </c>
      <c r="D24" s="108" t="s">
        <v>2285</v>
      </c>
      <c r="E24" s="108" t="s">
        <v>2286</v>
      </c>
      <c r="F24" s="108" t="s">
        <v>2287</v>
      </c>
      <c r="G24" s="108" t="s">
        <v>2288</v>
      </c>
      <c r="H24" s="108" t="s">
        <v>2289</v>
      </c>
      <c r="I24" s="109" t="str" cm="1">
        <f t="array" ref="I24:AJ24">TRANSPOSE(_xlfn.SORTBY(_xlfn._xlws.FILTER(Table2[NOME FÍSICO CAMPO],Table2[NOME FÍSICO TABELA]="debit_card_account_transaction"), _xlfn._xlws.FILTER(Table2[ORDEM], Table2[NOME FÍSICO TABELA]="debit_card_account_transaction"), 1))</f>
        <v>bank_id</v>
      </c>
      <c r="J24" s="109" t="str">
        <v>contract_id</v>
      </c>
      <c r="K24" s="109" t="str">
        <v>order_number</v>
      </c>
      <c r="L24" s="109" t="str">
        <v>order_number_stage</v>
      </c>
      <c r="M24" s="109" t="str">
        <v>transaction_type_code</v>
      </c>
      <c r="N24" s="109" t="str">
        <v>source_transaction_type_code</v>
      </c>
      <c r="O24" s="109" t="str">
        <v>chargeback_indicator</v>
      </c>
      <c r="P24" s="109" t="str">
        <v>financial_flow_indicator</v>
      </c>
      <c r="Q24" s="109" t="str">
        <v>card_number</v>
      </c>
      <c r="R24" s="109" t="str">
        <v>recurring_transaction_indicator</v>
      </c>
      <c r="S24" s="109" t="str">
        <v>card_presence_indicator</v>
      </c>
      <c r="T24" s="178" t="str">
        <v>authentication_type_code</v>
      </c>
      <c r="U24" s="178" t="str">
        <v>original_currency_code</v>
      </c>
      <c r="V24" s="178" t="str">
        <v>currency_code</v>
      </c>
      <c r="W24" s="178" t="str">
        <v>transaction_date</v>
      </c>
      <c r="X24" s="200" t="str">
        <v>transaction_execution_date</v>
      </c>
      <c r="Y24" s="200" t="str">
        <v>original_amount</v>
      </c>
      <c r="Z24" s="200" t="str">
        <v>amount</v>
      </c>
      <c r="AA24" s="200" t="str">
        <v>terminal_organization_id</v>
      </c>
      <c r="AB24" s="200" t="str">
        <v>terminal_country_code</v>
      </c>
      <c r="AC24" s="200" t="str">
        <v>terminal_description</v>
      </c>
      <c r="AD24" s="200" t="str">
        <v>atm_terminal_id</v>
      </c>
      <c r="AE24" s="200" t="str">
        <v>pos_terminal_id</v>
      </c>
      <c r="AF24" s="200" t="str">
        <v>merchant_id</v>
      </c>
      <c r="AG24" s="200" t="str">
        <v>merchant_type_code</v>
      </c>
      <c r="AH24" s="201" t="str">
        <v>source_code</v>
      </c>
      <c r="AI24" s="201" t="str">
        <v>data_date_part</v>
      </c>
      <c r="AJ24" t="str">
        <v>data_timestamp_part</v>
      </c>
    </row>
    <row r="25" spans="2:36">
      <c r="B25" s="100" t="s">
        <v>2347</v>
      </c>
      <c r="C25" s="113">
        <v>21</v>
      </c>
      <c r="D25" s="102" t="s">
        <v>2348</v>
      </c>
      <c r="E25" s="101" t="s">
        <v>2349</v>
      </c>
      <c r="F25" s="101" t="s">
        <v>781</v>
      </c>
      <c r="G25" s="101" t="s">
        <v>781</v>
      </c>
      <c r="H25" s="101" t="s">
        <v>781</v>
      </c>
      <c r="I25" s="101" t="str" cm="1">
        <f t="array" aca="1" ref="I25:AJ26" ca="1">TRANSPOSE(_xlfn.SORTBY(_xlfn._xlws.FILTER(IF(Table2[FORMATO]:Table2[COMP_ CAMPO]&lt;&gt;"",Table2[FORMATO]:Table2[COMP_ CAMPO],9999999),Table2[NOME FÍSICO TABELA]="debit_card_account_transaction"), _xlfn._xlws.FILTER(Table2[ORDEM], Table2[NOME FÍSICO TABELA]="debit_card_account_transaction"),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s="101" t="str">
        <f ca="1"/>
        <v>DECIMAL</v>
      </c>
      <c r="Z25" s="101" t="str">
        <f ca="1"/>
        <v>DECIMAL</v>
      </c>
      <c r="AA25" s="101" t="str">
        <f ca="1"/>
        <v>STRING</v>
      </c>
      <c r="AB25" s="101" t="str">
        <f ca="1"/>
        <v>STRING</v>
      </c>
      <c r="AC25" s="101" t="str">
        <f ca="1"/>
        <v>STRING</v>
      </c>
      <c r="AD25" s="101" t="str">
        <f ca="1"/>
        <v>STRING</v>
      </c>
      <c r="AE25" s="101" t="str">
        <f ca="1"/>
        <v>STRING</v>
      </c>
      <c r="AF25" s="101" t="str">
        <f ca="1"/>
        <v>STRING</v>
      </c>
      <c r="AG25" s="101" t="str">
        <f ca="1"/>
        <v>STRING</v>
      </c>
      <c r="AH25" s="112" t="str">
        <f ca="1"/>
        <v>STRING</v>
      </c>
      <c r="AI25" s="112" t="str">
        <f ca="1"/>
        <v>STRING</v>
      </c>
      <c r="AJ25" t="str">
        <f ca="1"/>
        <v>TIMESTAMP</v>
      </c>
    </row>
    <row r="26" spans="2:36">
      <c r="B26" s="100" t="s">
        <v>2350</v>
      </c>
      <c r="C26" s="113">
        <v>7</v>
      </c>
      <c r="D26" s="102" t="s">
        <v>2348</v>
      </c>
      <c r="E26" s="101" t="s">
        <v>2349</v>
      </c>
      <c r="F26" s="101" t="s">
        <v>781</v>
      </c>
      <c r="G26" s="101" t="s">
        <v>781</v>
      </c>
      <c r="H26" s="101" t="s">
        <v>781</v>
      </c>
      <c r="I26" s="113">
        <f ca="1"/>
        <v>4</v>
      </c>
      <c r="J26" s="113">
        <f ca="1"/>
        <v>15</v>
      </c>
      <c r="K26" s="113">
        <f ca="1"/>
        <v>9999999</v>
      </c>
      <c r="L26" s="113">
        <f ca="1"/>
        <v>9999999</v>
      </c>
      <c r="M26" s="113">
        <f ca="1"/>
        <v>4</v>
      </c>
      <c r="N26" s="113">
        <f ca="1"/>
        <v>4</v>
      </c>
      <c r="O26" s="113">
        <f ca="1"/>
        <v>4</v>
      </c>
      <c r="P26" s="113">
        <f ca="1"/>
        <v>4</v>
      </c>
      <c r="Q26" s="113">
        <f ca="1"/>
        <v>16</v>
      </c>
      <c r="R26" s="113">
        <f ca="1"/>
        <v>4</v>
      </c>
      <c r="S26" s="113">
        <f ca="1"/>
        <v>4</v>
      </c>
      <c r="T26" s="113">
        <f ca="1"/>
        <v>4</v>
      </c>
      <c r="U26" s="113">
        <f ca="1"/>
        <v>4</v>
      </c>
      <c r="V26" s="113">
        <f ca="1"/>
        <v>4</v>
      </c>
      <c r="W26" s="113">
        <f ca="1"/>
        <v>10</v>
      </c>
      <c r="X26" s="113">
        <f ca="1"/>
        <v>10</v>
      </c>
      <c r="Y26" s="113">
        <f ca="1"/>
        <v>23</v>
      </c>
      <c r="Z26" s="113">
        <f ca="1"/>
        <v>23</v>
      </c>
      <c r="AA26" s="113">
        <f ca="1"/>
        <v>4</v>
      </c>
      <c r="AB26" s="113">
        <f ca="1"/>
        <v>4</v>
      </c>
      <c r="AC26" s="113">
        <f ca="1"/>
        <v>9999999</v>
      </c>
      <c r="AD26" s="113">
        <f ca="1"/>
        <v>10</v>
      </c>
      <c r="AE26" s="113">
        <f ca="1"/>
        <v>10</v>
      </c>
      <c r="AF26" s="113">
        <f ca="1"/>
        <v>20</v>
      </c>
      <c r="AG26" s="113">
        <f ca="1"/>
        <v>4</v>
      </c>
      <c r="AH26" s="114">
        <f ca="1"/>
        <v>2</v>
      </c>
      <c r="AI26" s="114">
        <f ca="1"/>
        <v>10</v>
      </c>
      <c r="AJ26">
        <f ca="1"/>
        <v>23</v>
      </c>
    </row>
    <row r="29" spans="2:36">
      <c r="B29" s="123" t="s">
        <v>2351</v>
      </c>
    </row>
    <row r="30" spans="2:36">
      <c r="B30" s="132" t="s">
        <v>2352</v>
      </c>
      <c r="C30" s="132" t="s">
        <v>2353</v>
      </c>
      <c r="D30" s="133" t="s">
        <v>2354</v>
      </c>
      <c r="E30" s="132" t="s">
        <v>2355</v>
      </c>
      <c r="F30" s="132" t="s">
        <v>2356</v>
      </c>
      <c r="I30" s="186"/>
    </row>
    <row r="31" spans="2:36" ht="75" customHeight="1">
      <c r="B31" s="130" t="s">
        <v>2357</v>
      </c>
      <c r="C31" s="83" t="s">
        <v>1079</v>
      </c>
      <c r="D31" s="83" t="s">
        <v>2510</v>
      </c>
      <c r="E31" s="83" t="s">
        <v>2511</v>
      </c>
      <c r="F31" s="131" t="s">
        <v>2360</v>
      </c>
      <c r="I31" s="185"/>
    </row>
    <row r="32" spans="2:36" ht="45.75">
      <c r="B32" s="134" t="s">
        <v>2365</v>
      </c>
      <c r="C32" s="83" t="s">
        <v>1079</v>
      </c>
      <c r="D32" s="83" t="s">
        <v>2510</v>
      </c>
      <c r="E32" s="83" t="s">
        <v>2511</v>
      </c>
      <c r="F32" s="79" t="s">
        <v>2360</v>
      </c>
    </row>
    <row r="33" spans="2:6" ht="76.5">
      <c r="B33" s="134" t="s">
        <v>2365</v>
      </c>
      <c r="C33" s="87" t="s">
        <v>1597</v>
      </c>
      <c r="D33" s="87" t="s">
        <v>2512</v>
      </c>
      <c r="E33" s="87" t="s">
        <v>2513</v>
      </c>
      <c r="F33" s="78" t="s">
        <v>2369</v>
      </c>
    </row>
    <row r="34" spans="2:6" ht="76.5">
      <c r="B34" s="134" t="s">
        <v>2365</v>
      </c>
      <c r="C34" s="87" t="s">
        <v>1512</v>
      </c>
      <c r="D34" s="87" t="s">
        <v>2512</v>
      </c>
      <c r="E34" s="87" t="s">
        <v>2513</v>
      </c>
      <c r="F34" s="78" t="s">
        <v>2369</v>
      </c>
    </row>
    <row r="35" spans="2:6" ht="30.75">
      <c r="B35" s="214" t="s">
        <v>2365</v>
      </c>
      <c r="C35" s="213" t="s">
        <v>1974</v>
      </c>
      <c r="D35" s="213" t="s">
        <v>2514</v>
      </c>
      <c r="E35" s="213" t="s">
        <v>2515</v>
      </c>
      <c r="F35" s="215" t="s">
        <v>2360</v>
      </c>
    </row>
    <row r="36" spans="2:6" ht="45.75">
      <c r="B36" s="214" t="s">
        <v>2365</v>
      </c>
      <c r="C36" s="87" t="s">
        <v>2007</v>
      </c>
      <c r="D36" s="213" t="s">
        <v>2516</v>
      </c>
      <c r="E36" s="87" t="s">
        <v>2517</v>
      </c>
      <c r="F36" s="78" t="s">
        <v>2360</v>
      </c>
    </row>
    <row r="37" spans="2:6" ht="106.5">
      <c r="B37" s="214" t="s">
        <v>2365</v>
      </c>
      <c r="C37" s="87" t="s">
        <v>1993</v>
      </c>
      <c r="D37" s="213" t="s">
        <v>2518</v>
      </c>
      <c r="E37" s="87" t="s">
        <v>2519</v>
      </c>
      <c r="F37" s="78" t="s">
        <v>2520</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rgb="FF00B050"/>
  </sheetPr>
  <dimension ref="B1:AJ37"/>
  <sheetViews>
    <sheetView showGridLines="0" topLeftCell="B1" workbookViewId="0">
      <selection activeCell="J18" sqref="J18"/>
    </sheetView>
  </sheetViews>
  <sheetFormatPr defaultRowHeight="15"/>
  <cols>
    <col min="2" max="2" width="30.7109375" bestFit="1" customWidth="1"/>
    <col min="3" max="3" width="28.28515625" customWidth="1"/>
    <col min="4" max="4" width="59.710937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97" t="s">
        <v>2283</v>
      </c>
      <c r="C2" s="97" t="s">
        <v>2284</v>
      </c>
      <c r="D2" s="97" t="s">
        <v>2285</v>
      </c>
      <c r="E2" s="97" t="s">
        <v>2286</v>
      </c>
      <c r="F2" s="97" t="s">
        <v>2287</v>
      </c>
      <c r="G2" s="97" t="s">
        <v>2288</v>
      </c>
      <c r="H2" s="97" t="s">
        <v>2289</v>
      </c>
      <c r="I2" s="97" t="s">
        <v>730</v>
      </c>
      <c r="J2" s="97" t="s">
        <v>842</v>
      </c>
      <c r="K2" s="97" t="s">
        <v>923</v>
      </c>
      <c r="L2" s="97" t="s">
        <v>1012</v>
      </c>
      <c r="M2" s="97" t="s">
        <v>1079</v>
      </c>
      <c r="N2" s="97" t="s">
        <v>1169</v>
      </c>
      <c r="O2" s="97" t="s">
        <v>1394</v>
      </c>
      <c r="P2" s="97" t="s">
        <v>2480</v>
      </c>
      <c r="Q2" s="97" t="s">
        <v>1410</v>
      </c>
      <c r="R2" s="97" t="s">
        <v>1272</v>
      </c>
      <c r="S2" s="97" t="s">
        <v>1512</v>
      </c>
      <c r="T2" s="97" t="s">
        <v>1597</v>
      </c>
      <c r="U2" s="97" t="s">
        <v>1626</v>
      </c>
      <c r="V2" s="97" t="s">
        <v>1255</v>
      </c>
      <c r="W2" s="97" t="s">
        <v>1334</v>
      </c>
      <c r="X2" s="97" t="s">
        <v>1224</v>
      </c>
      <c r="Y2" s="97" t="s">
        <v>1780</v>
      </c>
      <c r="Z2" s="97" t="s">
        <v>1440</v>
      </c>
      <c r="AA2" s="97" t="s">
        <v>1854</v>
      </c>
      <c r="AB2" s="97" t="s">
        <v>1925</v>
      </c>
      <c r="AC2" s="97" t="s">
        <v>1950</v>
      </c>
      <c r="AD2" s="97" t="s">
        <v>1974</v>
      </c>
      <c r="AE2" s="97" t="s">
        <v>1993</v>
      </c>
      <c r="AF2" s="97" t="s">
        <v>2007</v>
      </c>
      <c r="AG2" s="97" t="s">
        <v>1499</v>
      </c>
      <c r="AH2" s="97" t="s">
        <v>1561</v>
      </c>
      <c r="AI2" s="97" t="s">
        <v>1614</v>
      </c>
    </row>
    <row r="3" spans="2:35">
      <c r="B3" s="141" t="s">
        <v>2237</v>
      </c>
      <c r="C3" s="98">
        <v>1</v>
      </c>
      <c r="D3" s="98" t="s">
        <v>2521</v>
      </c>
      <c r="E3" s="116">
        <v>45490</v>
      </c>
      <c r="F3" s="98">
        <v>2</v>
      </c>
      <c r="G3" s="145">
        <v>1</v>
      </c>
      <c r="H3" s="204">
        <v>48533</v>
      </c>
      <c r="I3" s="98" t="s">
        <v>2291</v>
      </c>
      <c r="J3" s="98" t="s">
        <v>2291</v>
      </c>
      <c r="K3" s="98" t="s">
        <v>2291</v>
      </c>
      <c r="L3" s="98" t="s">
        <v>2291</v>
      </c>
      <c r="M3" s="98" t="s">
        <v>2291</v>
      </c>
      <c r="N3" s="98" t="s">
        <v>2291</v>
      </c>
      <c r="O3" s="98" t="s">
        <v>2291</v>
      </c>
      <c r="P3" s="98" t="s">
        <v>2291</v>
      </c>
      <c r="Q3" s="98" t="s">
        <v>2291</v>
      </c>
      <c r="R3" s="98" t="s">
        <v>2291</v>
      </c>
      <c r="S3" s="98" t="s">
        <v>2291</v>
      </c>
      <c r="T3" s="98" t="s">
        <v>2291</v>
      </c>
      <c r="U3" s="98" t="s">
        <v>2291</v>
      </c>
      <c r="V3" s="98" t="s">
        <v>2291</v>
      </c>
      <c r="W3" s="98" t="s">
        <v>2291</v>
      </c>
      <c r="X3" s="98" t="s">
        <v>2291</v>
      </c>
      <c r="Y3" s="98" t="s">
        <v>2291</v>
      </c>
      <c r="Z3" s="98" t="s">
        <v>2291</v>
      </c>
      <c r="AA3" s="98" t="s">
        <v>2291</v>
      </c>
      <c r="AB3" s="98" t="s">
        <v>2291</v>
      </c>
      <c r="AC3" s="98" t="s">
        <v>2291</v>
      </c>
      <c r="AD3" s="98" t="s">
        <v>2291</v>
      </c>
      <c r="AE3" s="98" t="s">
        <v>2291</v>
      </c>
      <c r="AF3" s="98" t="s">
        <v>2291</v>
      </c>
      <c r="AG3" s="98" t="s">
        <v>2291</v>
      </c>
      <c r="AH3" s="98" t="s">
        <v>2291</v>
      </c>
      <c r="AI3" s="98" t="s">
        <v>2291</v>
      </c>
    </row>
    <row r="4" spans="2:35">
      <c r="B4" s="141" t="s">
        <v>2239</v>
      </c>
      <c r="C4" s="98">
        <v>2</v>
      </c>
      <c r="D4" s="98" t="s">
        <v>2522</v>
      </c>
      <c r="E4" s="116">
        <v>45490</v>
      </c>
      <c r="F4" s="98">
        <v>2</v>
      </c>
      <c r="G4" s="145">
        <v>1</v>
      </c>
      <c r="H4" s="202">
        <v>0</v>
      </c>
      <c r="I4" s="98" t="s">
        <v>2291</v>
      </c>
      <c r="J4" s="98" t="s">
        <v>2291</v>
      </c>
      <c r="K4" s="98" t="s">
        <v>2291</v>
      </c>
      <c r="L4" s="98" t="s">
        <v>2291</v>
      </c>
      <c r="M4" s="98" t="s">
        <v>2291</v>
      </c>
      <c r="N4" s="98" t="s">
        <v>2291</v>
      </c>
      <c r="O4" s="98" t="s">
        <v>2291</v>
      </c>
      <c r="P4" s="98" t="s">
        <v>2291</v>
      </c>
      <c r="Q4" s="98" t="s">
        <v>2291</v>
      </c>
      <c r="R4" s="98" t="s">
        <v>2291</v>
      </c>
      <c r="S4" s="98" t="s">
        <v>2291</v>
      </c>
      <c r="T4" s="98" t="s">
        <v>2291</v>
      </c>
      <c r="U4" s="98" t="s">
        <v>2291</v>
      </c>
      <c r="V4" s="98" t="s">
        <v>2291</v>
      </c>
      <c r="W4" s="98" t="s">
        <v>2291</v>
      </c>
      <c r="X4" s="98" t="s">
        <v>2291</v>
      </c>
      <c r="Y4" s="98" t="s">
        <v>2291</v>
      </c>
      <c r="Z4" s="98" t="s">
        <v>2291</v>
      </c>
      <c r="AA4" s="98" t="s">
        <v>2291</v>
      </c>
      <c r="AB4" s="98" t="s">
        <v>2291</v>
      </c>
      <c r="AC4" s="98" t="s">
        <v>2291</v>
      </c>
      <c r="AD4" s="98" t="s">
        <v>2291</v>
      </c>
      <c r="AE4" s="98" t="s">
        <v>2291</v>
      </c>
      <c r="AF4" s="98" t="s">
        <v>2291</v>
      </c>
      <c r="AG4" s="98" t="s">
        <v>2291</v>
      </c>
      <c r="AH4" s="98" t="s">
        <v>2291</v>
      </c>
      <c r="AI4" s="98" t="s">
        <v>2291</v>
      </c>
    </row>
    <row r="5" spans="2:35">
      <c r="B5" s="141" t="s">
        <v>2241</v>
      </c>
      <c r="C5" s="98">
        <v>3</v>
      </c>
      <c r="D5" s="98" t="s">
        <v>2523</v>
      </c>
      <c r="E5" s="116">
        <v>45490</v>
      </c>
      <c r="F5" s="98">
        <v>2</v>
      </c>
      <c r="G5" s="145">
        <v>1</v>
      </c>
      <c r="H5" s="202">
        <v>0</v>
      </c>
      <c r="I5" s="98">
        <v>0</v>
      </c>
      <c r="J5" s="98">
        <v>0</v>
      </c>
      <c r="K5" s="98">
        <v>0</v>
      </c>
      <c r="L5" s="98">
        <v>0</v>
      </c>
      <c r="M5" s="98" t="s">
        <v>2291</v>
      </c>
      <c r="N5" s="98" t="s">
        <v>2291</v>
      </c>
      <c r="O5" s="98" t="s">
        <v>2291</v>
      </c>
      <c r="P5" s="98" t="s">
        <v>2291</v>
      </c>
      <c r="Q5" s="98" t="s">
        <v>2291</v>
      </c>
      <c r="R5" s="98" t="s">
        <v>2291</v>
      </c>
      <c r="S5" s="98" t="s">
        <v>2291</v>
      </c>
      <c r="T5" s="98" t="s">
        <v>2291</v>
      </c>
      <c r="U5" s="98" t="s">
        <v>2291</v>
      </c>
      <c r="V5" s="98" t="s">
        <v>2291</v>
      </c>
      <c r="W5" s="98" t="s">
        <v>2291</v>
      </c>
      <c r="X5" s="98" t="s">
        <v>2291</v>
      </c>
      <c r="Y5" s="98" t="s">
        <v>2291</v>
      </c>
      <c r="Z5" s="98" t="s">
        <v>2291</v>
      </c>
      <c r="AA5" s="98" t="s">
        <v>2291</v>
      </c>
      <c r="AB5" s="98" t="s">
        <v>2291</v>
      </c>
      <c r="AC5" s="98" t="s">
        <v>2291</v>
      </c>
      <c r="AD5" s="98" t="s">
        <v>2291</v>
      </c>
      <c r="AE5" s="98" t="s">
        <v>2291</v>
      </c>
      <c r="AF5" s="98" t="s">
        <v>2291</v>
      </c>
      <c r="AG5" s="98" t="s">
        <v>2291</v>
      </c>
      <c r="AH5" s="98">
        <v>0</v>
      </c>
      <c r="AI5" s="98" t="s">
        <v>2291</v>
      </c>
    </row>
    <row r="6" spans="2:35">
      <c r="B6" s="88" t="s">
        <v>2243</v>
      </c>
      <c r="C6" s="98">
        <v>4</v>
      </c>
      <c r="D6" s="98" t="s">
        <v>2296</v>
      </c>
      <c r="E6" s="116" t="s">
        <v>2291</v>
      </c>
      <c r="F6" s="98">
        <v>2</v>
      </c>
      <c r="G6" s="98" t="s">
        <v>2291</v>
      </c>
      <c r="H6" s="98" t="s">
        <v>2291</v>
      </c>
      <c r="I6" s="98" t="s">
        <v>2291</v>
      </c>
      <c r="J6" s="98" t="s">
        <v>2291</v>
      </c>
      <c r="K6" s="98" t="s">
        <v>2291</v>
      </c>
      <c r="L6" s="98" t="s">
        <v>2291</v>
      </c>
      <c r="M6" s="98" t="s">
        <v>2291</v>
      </c>
      <c r="N6" s="98" t="s">
        <v>2291</v>
      </c>
      <c r="O6" s="98" t="s">
        <v>2291</v>
      </c>
      <c r="P6" s="98" t="s">
        <v>2291</v>
      </c>
      <c r="Q6" s="98" t="s">
        <v>2291</v>
      </c>
      <c r="R6" s="98" t="s">
        <v>2291</v>
      </c>
      <c r="S6" s="98" t="s">
        <v>2291</v>
      </c>
      <c r="T6" s="98" t="s">
        <v>2291</v>
      </c>
      <c r="U6" s="98" t="s">
        <v>2291</v>
      </c>
      <c r="V6" s="98" t="s">
        <v>2291</v>
      </c>
      <c r="W6" s="98" t="s">
        <v>2291</v>
      </c>
      <c r="X6" s="98" t="s">
        <v>2291</v>
      </c>
      <c r="Y6" s="98" t="s">
        <v>2291</v>
      </c>
      <c r="Z6" s="98" t="s">
        <v>2291</v>
      </c>
      <c r="AA6" s="98" t="s">
        <v>2291</v>
      </c>
      <c r="AB6" s="98" t="s">
        <v>2291</v>
      </c>
      <c r="AC6" s="98" t="s">
        <v>2291</v>
      </c>
      <c r="AD6" s="98" t="s">
        <v>2291</v>
      </c>
      <c r="AE6" s="98" t="s">
        <v>2291</v>
      </c>
      <c r="AF6" s="98" t="s">
        <v>2291</v>
      </c>
      <c r="AG6" s="98" t="s">
        <v>2291</v>
      </c>
      <c r="AH6" s="98" t="s">
        <v>2291</v>
      </c>
      <c r="AI6" s="98" t="s">
        <v>2291</v>
      </c>
    </row>
    <row r="7" spans="2:35">
      <c r="B7" s="88" t="s">
        <v>2245</v>
      </c>
      <c r="C7" s="98">
        <v>5</v>
      </c>
      <c r="D7" s="98" t="s">
        <v>2296</v>
      </c>
      <c r="E7" s="116" t="s">
        <v>2291</v>
      </c>
      <c r="F7" s="98">
        <v>2</v>
      </c>
      <c r="G7" s="98" t="s">
        <v>2291</v>
      </c>
      <c r="H7" s="98" t="s">
        <v>2291</v>
      </c>
      <c r="I7" s="98" t="s">
        <v>2291</v>
      </c>
      <c r="J7" s="98" t="s">
        <v>2291</v>
      </c>
      <c r="K7" s="98" t="s">
        <v>2291</v>
      </c>
      <c r="L7" s="98" t="s">
        <v>2291</v>
      </c>
      <c r="M7" s="98" t="s">
        <v>2291</v>
      </c>
      <c r="N7" s="98" t="s">
        <v>2291</v>
      </c>
      <c r="O7" s="98" t="s">
        <v>2291</v>
      </c>
      <c r="P7" s="98" t="s">
        <v>2291</v>
      </c>
      <c r="Q7" s="98" t="s">
        <v>2291</v>
      </c>
      <c r="R7" s="98" t="s">
        <v>2291</v>
      </c>
      <c r="S7" s="98" t="s">
        <v>2291</v>
      </c>
      <c r="T7" s="98" t="s">
        <v>2291</v>
      </c>
      <c r="U7" s="98" t="s">
        <v>2291</v>
      </c>
      <c r="V7" s="98" t="s">
        <v>2291</v>
      </c>
      <c r="W7" s="98" t="s">
        <v>2291</v>
      </c>
      <c r="X7" s="98" t="s">
        <v>2291</v>
      </c>
      <c r="Y7" s="98" t="s">
        <v>2291</v>
      </c>
      <c r="Z7" s="98" t="s">
        <v>2291</v>
      </c>
      <c r="AA7" s="98" t="s">
        <v>2291</v>
      </c>
      <c r="AB7" s="98" t="s">
        <v>2291</v>
      </c>
      <c r="AC7" s="98" t="s">
        <v>2291</v>
      </c>
      <c r="AD7" s="98" t="s">
        <v>2291</v>
      </c>
      <c r="AE7" s="98" t="s">
        <v>2291</v>
      </c>
      <c r="AF7" s="98" t="s">
        <v>2291</v>
      </c>
      <c r="AG7" s="98" t="s">
        <v>2291</v>
      </c>
      <c r="AH7" s="98" t="s">
        <v>2291</v>
      </c>
      <c r="AI7" s="98" t="s">
        <v>2291</v>
      </c>
    </row>
    <row r="8" spans="2:35">
      <c r="B8" s="172" t="s">
        <v>2246</v>
      </c>
      <c r="C8" s="98">
        <v>6</v>
      </c>
      <c r="D8" s="98" t="s">
        <v>2524</v>
      </c>
      <c r="E8" s="116">
        <v>45490</v>
      </c>
      <c r="F8" s="98">
        <v>2</v>
      </c>
      <c r="G8" s="145" cm="1">
        <f t="array" ref="G8">SUMPRODUCT(--(I8:AH8&gt;0))/COUNTA(I8:AH8)</f>
        <v>1</v>
      </c>
      <c r="H8" s="202">
        <v>0</v>
      </c>
      <c r="I8" s="98">
        <v>2</v>
      </c>
      <c r="J8" s="98">
        <v>15</v>
      </c>
      <c r="K8" s="98">
        <v>2</v>
      </c>
      <c r="L8" s="98">
        <v>9</v>
      </c>
      <c r="M8" s="98" t="s">
        <v>2298</v>
      </c>
      <c r="N8" s="98">
        <v>1</v>
      </c>
      <c r="O8" s="98">
        <v>16</v>
      </c>
      <c r="P8" s="98">
        <v>1</v>
      </c>
      <c r="Q8" s="98">
        <v>1</v>
      </c>
      <c r="R8" s="98">
        <v>1</v>
      </c>
      <c r="S8" s="98">
        <v>1</v>
      </c>
      <c r="T8" s="98">
        <v>2</v>
      </c>
      <c r="U8" s="98">
        <v>2</v>
      </c>
      <c r="V8" s="98">
        <v>3</v>
      </c>
      <c r="W8" s="98">
        <v>10</v>
      </c>
      <c r="X8" s="98">
        <v>10</v>
      </c>
      <c r="Y8" s="98">
        <v>8</v>
      </c>
      <c r="Z8" s="98">
        <v>8</v>
      </c>
      <c r="AA8" s="98">
        <v>1</v>
      </c>
      <c r="AB8" s="98">
        <v>1</v>
      </c>
      <c r="AC8" s="98">
        <v>4</v>
      </c>
      <c r="AD8" s="98">
        <v>4</v>
      </c>
      <c r="AE8" s="98">
        <v>7</v>
      </c>
      <c r="AF8" s="98">
        <v>1</v>
      </c>
      <c r="AG8" s="98">
        <v>2</v>
      </c>
      <c r="AH8" s="98">
        <v>10</v>
      </c>
      <c r="AI8" s="98">
        <v>23</v>
      </c>
    </row>
    <row r="9" spans="2:35">
      <c r="B9" s="141" t="s">
        <v>2249</v>
      </c>
      <c r="C9" s="98">
        <v>7</v>
      </c>
      <c r="D9" s="98" t="s">
        <v>2525</v>
      </c>
      <c r="E9" s="116">
        <v>45490</v>
      </c>
      <c r="F9" s="98">
        <v>2</v>
      </c>
      <c r="G9" s="145" cm="1">
        <f t="array" aca="1" ref="G9" ca="1">SUMPRODUCT(--(I9:AH9&lt;=I26:AH26))/COUNTA(I9:AH9)</f>
        <v>0.92307692307692313</v>
      </c>
      <c r="H9" s="202">
        <v>0</v>
      </c>
      <c r="I9" s="98">
        <v>2</v>
      </c>
      <c r="J9" s="98">
        <v>15</v>
      </c>
      <c r="K9" s="98">
        <v>2</v>
      </c>
      <c r="L9" s="98">
        <v>9</v>
      </c>
      <c r="M9" s="98">
        <v>0</v>
      </c>
      <c r="N9" s="98">
        <v>1</v>
      </c>
      <c r="O9" s="98">
        <v>16</v>
      </c>
      <c r="P9" s="98">
        <v>1</v>
      </c>
      <c r="Q9" s="98">
        <v>1</v>
      </c>
      <c r="R9" s="98">
        <v>1</v>
      </c>
      <c r="S9" s="98">
        <v>1</v>
      </c>
      <c r="T9" s="98">
        <v>2</v>
      </c>
      <c r="U9" s="98">
        <v>3</v>
      </c>
      <c r="V9" s="98">
        <v>3</v>
      </c>
      <c r="W9" s="98">
        <v>10</v>
      </c>
      <c r="X9" s="98">
        <v>10</v>
      </c>
      <c r="Y9" s="98">
        <v>12</v>
      </c>
      <c r="Z9" s="98">
        <v>12</v>
      </c>
      <c r="AA9" s="98">
        <v>3</v>
      </c>
      <c r="AB9" s="98">
        <v>40</v>
      </c>
      <c r="AC9" s="98">
        <v>10</v>
      </c>
      <c r="AD9" s="98">
        <v>10</v>
      </c>
      <c r="AE9" s="98">
        <v>7</v>
      </c>
      <c r="AF9" s="98">
        <v>4</v>
      </c>
      <c r="AG9" s="98">
        <v>2</v>
      </c>
      <c r="AH9" s="98">
        <v>10</v>
      </c>
      <c r="AI9" s="98">
        <v>23</v>
      </c>
    </row>
    <row r="10" spans="2:35">
      <c r="B10" s="141" t="s">
        <v>2252</v>
      </c>
      <c r="C10" s="98">
        <v>8</v>
      </c>
      <c r="D10" s="98" t="s">
        <v>2526</v>
      </c>
      <c r="E10" s="116">
        <v>45490</v>
      </c>
      <c r="F10" s="98">
        <v>2</v>
      </c>
      <c r="G10" s="98" t="s">
        <v>2291</v>
      </c>
      <c r="H10" s="202">
        <v>0</v>
      </c>
      <c r="I10" s="98">
        <v>31</v>
      </c>
      <c r="J10" s="98">
        <v>3163579860010</v>
      </c>
      <c r="K10" s="98">
        <v>24</v>
      </c>
      <c r="L10" s="98">
        <v>699719160</v>
      </c>
      <c r="M10" s="116" t="s">
        <v>2298</v>
      </c>
      <c r="N10" s="202">
        <v>1</v>
      </c>
      <c r="O10" s="98">
        <v>4293430451900100</v>
      </c>
      <c r="P10" s="98">
        <v>0</v>
      </c>
      <c r="Q10" s="98">
        <v>0</v>
      </c>
      <c r="R10" s="98">
        <v>0</v>
      </c>
      <c r="S10" s="98">
        <v>0</v>
      </c>
      <c r="T10" s="145">
        <v>0</v>
      </c>
      <c r="U10" s="98">
        <v>156</v>
      </c>
      <c r="V10" s="116">
        <v>978</v>
      </c>
      <c r="W10" s="116">
        <v>45244</v>
      </c>
      <c r="X10" s="145">
        <v>45244</v>
      </c>
      <c r="Y10" s="117">
        <v>-6070000000</v>
      </c>
      <c r="Z10" s="117">
        <v>-6070000000</v>
      </c>
      <c r="AA10" s="98">
        <v>0</v>
      </c>
      <c r="AB10" s="98">
        <v>0</v>
      </c>
      <c r="AC10" s="98" t="e">
        <v>#N/A</v>
      </c>
      <c r="AD10" s="98" t="e">
        <v>#N/A</v>
      </c>
      <c r="AE10" s="98">
        <v>12</v>
      </c>
      <c r="AF10" s="98">
        <v>0</v>
      </c>
      <c r="AG10" s="116" t="s">
        <v>2488</v>
      </c>
      <c r="AH10" s="116">
        <v>45490</v>
      </c>
      <c r="AI10" s="98" t="s">
        <v>2527</v>
      </c>
    </row>
    <row r="11" spans="2:35">
      <c r="B11" s="141" t="s">
        <v>2254</v>
      </c>
      <c r="C11" s="98">
        <v>9</v>
      </c>
      <c r="D11" s="98" t="s">
        <v>2528</v>
      </c>
      <c r="E11" s="116">
        <v>45490</v>
      </c>
      <c r="F11" s="98">
        <v>2</v>
      </c>
      <c r="G11" s="98" t="s">
        <v>2291</v>
      </c>
      <c r="H11" s="202">
        <v>0</v>
      </c>
      <c r="I11" s="98">
        <v>31</v>
      </c>
      <c r="J11" s="98">
        <v>3163579860010</v>
      </c>
      <c r="K11" s="98">
        <v>24</v>
      </c>
      <c r="L11" s="98">
        <v>699719160</v>
      </c>
      <c r="M11" s="116" t="s">
        <v>2298</v>
      </c>
      <c r="N11" s="202">
        <v>1</v>
      </c>
      <c r="O11" s="116">
        <v>4293430451900100</v>
      </c>
      <c r="P11" s="98" t="s">
        <v>2491</v>
      </c>
      <c r="Q11" s="98">
        <v>0</v>
      </c>
      <c r="R11" s="98">
        <v>0</v>
      </c>
      <c r="S11" s="98">
        <v>0</v>
      </c>
      <c r="T11" s="98">
        <v>0</v>
      </c>
      <c r="U11" s="98">
        <v>32</v>
      </c>
      <c r="V11" s="116">
        <v>978</v>
      </c>
      <c r="W11" s="116">
        <v>45244</v>
      </c>
      <c r="X11" s="116">
        <v>45244</v>
      </c>
      <c r="Y11" s="98" t="s">
        <v>2529</v>
      </c>
      <c r="Z11" s="98" t="s">
        <v>2529</v>
      </c>
      <c r="AA11" s="98">
        <v>0</v>
      </c>
      <c r="AB11" s="98">
        <v>0</v>
      </c>
      <c r="AC11" s="98" t="e">
        <v>#N/A</v>
      </c>
      <c r="AD11" s="98" t="e">
        <v>#N/A</v>
      </c>
      <c r="AE11" s="98">
        <v>12</v>
      </c>
      <c r="AF11" s="98">
        <v>0</v>
      </c>
      <c r="AG11" s="116" t="s">
        <v>2488</v>
      </c>
      <c r="AH11" s="116">
        <v>45490</v>
      </c>
      <c r="AI11" s="98" t="s">
        <v>2530</v>
      </c>
    </row>
    <row r="12" spans="2:35">
      <c r="B12" s="164" t="s">
        <v>2256</v>
      </c>
      <c r="C12" s="98">
        <v>10</v>
      </c>
      <c r="D12" s="98" t="s">
        <v>2531</v>
      </c>
      <c r="E12" s="116">
        <v>45490</v>
      </c>
      <c r="F12" s="98">
        <v>2</v>
      </c>
      <c r="G12" s="98" t="s">
        <v>2291</v>
      </c>
      <c r="H12" s="202">
        <v>0</v>
      </c>
      <c r="I12" s="98">
        <v>31</v>
      </c>
      <c r="J12" s="98">
        <v>5131650050010</v>
      </c>
      <c r="K12" s="98">
        <v>24</v>
      </c>
      <c r="L12" s="98">
        <v>700670715</v>
      </c>
      <c r="M12" s="116" t="s">
        <v>2298</v>
      </c>
      <c r="N12" s="202">
        <v>1</v>
      </c>
      <c r="O12" s="117">
        <v>5166320258618250</v>
      </c>
      <c r="P12" s="98">
        <v>8</v>
      </c>
      <c r="Q12" s="98">
        <v>0</v>
      </c>
      <c r="R12" s="98">
        <v>1</v>
      </c>
      <c r="S12" s="98">
        <v>1</v>
      </c>
      <c r="T12" s="145">
        <v>87</v>
      </c>
      <c r="U12" s="98">
        <v>986</v>
      </c>
      <c r="V12" s="116">
        <v>978</v>
      </c>
      <c r="W12" s="116">
        <v>45491</v>
      </c>
      <c r="X12" s="145">
        <v>45491</v>
      </c>
      <c r="Y12" s="117">
        <v>3790000000</v>
      </c>
      <c r="Z12" s="117">
        <v>3000000000</v>
      </c>
      <c r="AA12" s="98">
        <v>97</v>
      </c>
      <c r="AB12" s="98" t="s">
        <v>2532</v>
      </c>
      <c r="AC12" s="98">
        <v>940806</v>
      </c>
      <c r="AD12" s="98">
        <v>1526454</v>
      </c>
      <c r="AE12" s="98">
        <v>552409</v>
      </c>
      <c r="AF12" s="98">
        <v>9402</v>
      </c>
      <c r="AG12" s="116" t="s">
        <v>2488</v>
      </c>
      <c r="AH12" s="116">
        <v>45490</v>
      </c>
      <c r="AI12" s="98" t="s">
        <v>2527</v>
      </c>
    </row>
    <row r="13" spans="2:35">
      <c r="B13" s="141" t="s">
        <v>2258</v>
      </c>
      <c r="C13" s="98">
        <v>11</v>
      </c>
      <c r="D13" s="98" t="s">
        <v>2533</v>
      </c>
      <c r="E13" s="116">
        <v>45490</v>
      </c>
      <c r="F13" s="98">
        <v>2</v>
      </c>
      <c r="G13" s="98" t="s">
        <v>2291</v>
      </c>
      <c r="H13" s="202">
        <v>0</v>
      </c>
      <c r="I13" s="98">
        <v>31</v>
      </c>
      <c r="J13" s="98">
        <v>5131650050010</v>
      </c>
      <c r="K13" s="98">
        <v>24</v>
      </c>
      <c r="L13" s="98">
        <v>700670715</v>
      </c>
      <c r="M13" s="116" t="s">
        <v>2298</v>
      </c>
      <c r="N13" s="202">
        <v>1</v>
      </c>
      <c r="O13" s="116">
        <v>5166320258618250</v>
      </c>
      <c r="P13" s="98" t="s">
        <v>2534</v>
      </c>
      <c r="Q13" s="98">
        <v>0</v>
      </c>
      <c r="R13" s="98">
        <v>1</v>
      </c>
      <c r="S13" s="98">
        <v>1</v>
      </c>
      <c r="T13" s="98">
        <v>87</v>
      </c>
      <c r="U13" s="98">
        <v>986</v>
      </c>
      <c r="V13" s="116">
        <v>978</v>
      </c>
      <c r="W13" s="116">
        <v>45491</v>
      </c>
      <c r="X13" s="116">
        <v>45491</v>
      </c>
      <c r="Y13" s="98" t="s">
        <v>2535</v>
      </c>
      <c r="Z13" s="98" t="s">
        <v>2535</v>
      </c>
      <c r="AA13" s="98">
        <v>703</v>
      </c>
      <c r="AB13" s="98" t="s">
        <v>2532</v>
      </c>
      <c r="AC13" s="98">
        <v>940806</v>
      </c>
      <c r="AD13" s="98">
        <v>1526454</v>
      </c>
      <c r="AE13" s="98">
        <v>552409</v>
      </c>
      <c r="AF13" s="98">
        <v>9402</v>
      </c>
      <c r="AG13" s="116" t="s">
        <v>2488</v>
      </c>
      <c r="AH13" s="116">
        <v>45490</v>
      </c>
      <c r="AI13" s="98" t="s">
        <v>2536</v>
      </c>
    </row>
    <row r="14" spans="2:35">
      <c r="B14" s="141" t="s">
        <v>2260</v>
      </c>
      <c r="C14" s="98">
        <v>12</v>
      </c>
      <c r="D14" s="98" t="s">
        <v>2537</v>
      </c>
      <c r="E14" s="116">
        <v>45490</v>
      </c>
      <c r="F14" s="98">
        <v>2</v>
      </c>
      <c r="G14" s="145">
        <v>0.81</v>
      </c>
      <c r="H14" s="202">
        <v>0</v>
      </c>
      <c r="I14" s="98">
        <v>0</v>
      </c>
      <c r="J14" s="98">
        <v>0</v>
      </c>
      <c r="K14" s="98">
        <v>0</v>
      </c>
      <c r="L14" s="98">
        <v>0</v>
      </c>
      <c r="M14" s="98">
        <v>48533</v>
      </c>
      <c r="N14" s="98">
        <v>0</v>
      </c>
      <c r="O14" s="98">
        <v>0</v>
      </c>
      <c r="P14" s="98">
        <v>0</v>
      </c>
      <c r="Q14" s="98">
        <v>0</v>
      </c>
      <c r="R14" s="98">
        <v>0</v>
      </c>
      <c r="S14" s="98">
        <v>19</v>
      </c>
      <c r="T14" s="98">
        <v>19</v>
      </c>
      <c r="U14" s="98">
        <v>0</v>
      </c>
      <c r="V14" s="98">
        <v>0</v>
      </c>
      <c r="W14" s="98">
        <v>0</v>
      </c>
      <c r="X14" s="98">
        <v>0</v>
      </c>
      <c r="Y14" s="98">
        <v>0</v>
      </c>
      <c r="Z14" s="98">
        <v>0</v>
      </c>
      <c r="AA14" s="98">
        <v>0</v>
      </c>
      <c r="AB14" s="98">
        <v>0</v>
      </c>
      <c r="AC14" s="98">
        <v>0</v>
      </c>
      <c r="AD14" s="98">
        <v>0</v>
      </c>
      <c r="AE14" s="98">
        <v>18351</v>
      </c>
      <c r="AF14" s="98">
        <v>0</v>
      </c>
      <c r="AG14" s="98">
        <v>0</v>
      </c>
      <c r="AH14" s="98">
        <v>0</v>
      </c>
      <c r="AI14" s="98">
        <v>0</v>
      </c>
    </row>
    <row r="15" spans="2:35">
      <c r="B15" s="141" t="s">
        <v>2262</v>
      </c>
      <c r="C15" s="98">
        <v>13</v>
      </c>
      <c r="D15" s="98" t="s">
        <v>2538</v>
      </c>
      <c r="E15" s="116">
        <v>45490</v>
      </c>
      <c r="F15" s="98">
        <v>2</v>
      </c>
      <c r="G15" s="145">
        <v>1</v>
      </c>
      <c r="H15" s="202">
        <v>0</v>
      </c>
      <c r="I15" s="98" t="s">
        <v>2291</v>
      </c>
      <c r="J15" s="98" t="s">
        <v>2291</v>
      </c>
      <c r="K15" s="98" t="s">
        <v>2291</v>
      </c>
      <c r="L15" s="88" t="s">
        <v>2291</v>
      </c>
      <c r="M15" s="88" t="s">
        <v>2291</v>
      </c>
      <c r="N15" s="98" t="s">
        <v>2291</v>
      </c>
      <c r="O15" s="88" t="s">
        <v>2291</v>
      </c>
      <c r="P15" s="88" t="s">
        <v>2291</v>
      </c>
      <c r="Q15" s="88" t="s">
        <v>2291</v>
      </c>
      <c r="R15" s="98" t="s">
        <v>2291</v>
      </c>
      <c r="S15" s="98" t="s">
        <v>2291</v>
      </c>
      <c r="T15" s="98" t="s">
        <v>2291</v>
      </c>
      <c r="U15" s="98" t="s">
        <v>2291</v>
      </c>
      <c r="V15" s="98" t="s">
        <v>2291</v>
      </c>
      <c r="W15" s="98">
        <v>0</v>
      </c>
      <c r="X15" s="98">
        <v>0</v>
      </c>
      <c r="Y15" s="98" t="s">
        <v>2291</v>
      </c>
      <c r="Z15" s="98" t="s">
        <v>2291</v>
      </c>
      <c r="AA15" s="98" t="s">
        <v>2291</v>
      </c>
      <c r="AB15" s="98" t="s">
        <v>2291</v>
      </c>
      <c r="AC15" s="98" t="s">
        <v>2291</v>
      </c>
      <c r="AD15" s="98" t="s">
        <v>2291</v>
      </c>
      <c r="AE15" s="98" t="s">
        <v>2291</v>
      </c>
      <c r="AF15" s="98" t="s">
        <v>2291</v>
      </c>
      <c r="AG15" s="98" t="s">
        <v>2291</v>
      </c>
      <c r="AH15" s="98" t="s">
        <v>2291</v>
      </c>
      <c r="AI15" s="98" t="s">
        <v>2291</v>
      </c>
    </row>
    <row r="16" spans="2:35">
      <c r="B16" s="141" t="s">
        <v>2264</v>
      </c>
      <c r="C16" s="98">
        <v>14</v>
      </c>
      <c r="D16" s="98" t="s">
        <v>2539</v>
      </c>
      <c r="E16" s="116">
        <v>45490</v>
      </c>
      <c r="F16" s="98">
        <v>2</v>
      </c>
      <c r="G16" s="145">
        <v>1</v>
      </c>
      <c r="H16" s="202">
        <v>0</v>
      </c>
      <c r="I16" s="98">
        <v>0</v>
      </c>
      <c r="J16" s="98">
        <v>0</v>
      </c>
      <c r="K16" s="98" t="s">
        <v>2291</v>
      </c>
      <c r="L16" s="98" t="s">
        <v>2291</v>
      </c>
      <c r="M16" s="88">
        <v>0</v>
      </c>
      <c r="N16" s="98" t="s">
        <v>2291</v>
      </c>
      <c r="O16" s="98" t="s">
        <v>2291</v>
      </c>
      <c r="P16" s="98" t="s">
        <v>2291</v>
      </c>
      <c r="Q16" s="88" t="s">
        <v>2291</v>
      </c>
      <c r="R16" s="98" t="s">
        <v>2291</v>
      </c>
      <c r="S16" s="98" t="s">
        <v>2291</v>
      </c>
      <c r="T16" s="98">
        <v>0</v>
      </c>
      <c r="U16" s="98">
        <v>0</v>
      </c>
      <c r="V16" s="98">
        <v>0</v>
      </c>
      <c r="W16" s="98" t="s">
        <v>2291</v>
      </c>
      <c r="X16" s="98" t="s">
        <v>2291</v>
      </c>
      <c r="Y16" s="98" t="s">
        <v>2291</v>
      </c>
      <c r="Z16" s="98" t="s">
        <v>2291</v>
      </c>
      <c r="AA16" s="98">
        <v>0</v>
      </c>
      <c r="AB16" s="98" t="s">
        <v>2291</v>
      </c>
      <c r="AC16" s="98">
        <v>0</v>
      </c>
      <c r="AD16" s="98">
        <v>0</v>
      </c>
      <c r="AE16" s="98">
        <v>0</v>
      </c>
      <c r="AF16" s="98">
        <v>0</v>
      </c>
      <c r="AG16" s="98">
        <v>0</v>
      </c>
      <c r="AH16" s="98" t="s">
        <v>2291</v>
      </c>
      <c r="AI16" s="98" t="s">
        <v>2291</v>
      </c>
    </row>
    <row r="17" spans="2:36">
      <c r="B17" s="174" t="s">
        <v>2266</v>
      </c>
      <c r="C17" s="98">
        <v>15</v>
      </c>
      <c r="D17" s="98" t="s">
        <v>2540</v>
      </c>
      <c r="E17" s="116">
        <v>45490</v>
      </c>
      <c r="F17" s="98">
        <v>2</v>
      </c>
      <c r="G17" s="145">
        <v>1</v>
      </c>
      <c r="H17" s="202">
        <v>0</v>
      </c>
      <c r="I17" s="98" t="s">
        <v>2291</v>
      </c>
      <c r="J17" s="98" t="s">
        <v>2291</v>
      </c>
      <c r="K17" s="98" t="s">
        <v>2291</v>
      </c>
      <c r="L17" s="98" t="s">
        <v>2291</v>
      </c>
      <c r="M17" s="98" t="s">
        <v>2291</v>
      </c>
      <c r="N17" s="98" t="s">
        <v>2291</v>
      </c>
      <c r="O17" s="98" t="s">
        <v>2291</v>
      </c>
      <c r="P17" s="98" t="s">
        <v>2291</v>
      </c>
      <c r="Q17" s="98" t="s">
        <v>2291</v>
      </c>
      <c r="R17" s="98" t="s">
        <v>2291</v>
      </c>
      <c r="S17" s="98" t="s">
        <v>2291</v>
      </c>
      <c r="T17" s="98" t="s">
        <v>2291</v>
      </c>
      <c r="U17" s="98" t="s">
        <v>2291</v>
      </c>
      <c r="V17" s="98" t="s">
        <v>2291</v>
      </c>
      <c r="W17" s="98" t="s">
        <v>2291</v>
      </c>
      <c r="X17" s="98" t="s">
        <v>2291</v>
      </c>
      <c r="Y17" s="98" t="s">
        <v>2291</v>
      </c>
      <c r="Z17" s="98" t="s">
        <v>2291</v>
      </c>
      <c r="AA17" s="98" t="s">
        <v>2291</v>
      </c>
      <c r="AB17" s="98" t="s">
        <v>2291</v>
      </c>
      <c r="AC17" s="98" t="s">
        <v>2291</v>
      </c>
      <c r="AD17" s="98" t="s">
        <v>2291</v>
      </c>
      <c r="AE17" s="98" t="s">
        <v>2291</v>
      </c>
      <c r="AF17" s="98" t="s">
        <v>2291</v>
      </c>
      <c r="AG17" s="98" t="s">
        <v>2291</v>
      </c>
      <c r="AH17" s="98" t="s">
        <v>2291</v>
      </c>
      <c r="AI17" s="98" t="s">
        <v>2291</v>
      </c>
    </row>
    <row r="18" spans="2:36">
      <c r="B18" s="174" t="s">
        <v>2268</v>
      </c>
      <c r="C18" s="98">
        <v>16</v>
      </c>
      <c r="D18" s="98" t="s">
        <v>2540</v>
      </c>
      <c r="E18" s="116">
        <v>45490</v>
      </c>
      <c r="F18" s="98">
        <v>2</v>
      </c>
      <c r="G18" s="145">
        <v>1</v>
      </c>
      <c r="H18" s="202">
        <v>0</v>
      </c>
      <c r="I18" s="98" t="s">
        <v>2291</v>
      </c>
      <c r="J18" s="98" t="s">
        <v>2291</v>
      </c>
      <c r="K18" s="98" t="s">
        <v>2291</v>
      </c>
      <c r="L18" s="98" t="s">
        <v>2291</v>
      </c>
      <c r="M18" s="98" t="s">
        <v>2291</v>
      </c>
      <c r="N18" s="98" t="s">
        <v>2291</v>
      </c>
      <c r="O18" s="98" t="s">
        <v>2291</v>
      </c>
      <c r="P18" s="98" t="s">
        <v>2291</v>
      </c>
      <c r="Q18" s="98" t="s">
        <v>2291</v>
      </c>
      <c r="R18" s="98" t="s">
        <v>2291</v>
      </c>
      <c r="S18" s="98" t="s">
        <v>2291</v>
      </c>
      <c r="T18" s="98" t="s">
        <v>2291</v>
      </c>
      <c r="U18" s="98" t="s">
        <v>2291</v>
      </c>
      <c r="V18" s="98" t="s">
        <v>2291</v>
      </c>
      <c r="W18" s="98" t="s">
        <v>2291</v>
      </c>
      <c r="X18" s="98" t="s">
        <v>2291</v>
      </c>
      <c r="Y18" s="98" t="s">
        <v>2291</v>
      </c>
      <c r="Z18" s="98" t="s">
        <v>2291</v>
      </c>
      <c r="AA18" s="98" t="s">
        <v>2291</v>
      </c>
      <c r="AB18" s="98" t="s">
        <v>2291</v>
      </c>
      <c r="AC18" s="98" t="s">
        <v>2291</v>
      </c>
      <c r="AD18" s="98" t="s">
        <v>2291</v>
      </c>
      <c r="AE18" s="98" t="s">
        <v>2291</v>
      </c>
      <c r="AF18" s="98" t="s">
        <v>2291</v>
      </c>
      <c r="AG18" s="98" t="s">
        <v>2291</v>
      </c>
      <c r="AH18" s="98" t="s">
        <v>2291</v>
      </c>
      <c r="AI18" s="98" t="s">
        <v>2291</v>
      </c>
    </row>
    <row r="19" spans="2:36">
      <c r="B19" s="141" t="s">
        <v>2274</v>
      </c>
      <c r="C19" s="98">
        <v>19</v>
      </c>
      <c r="D19" s="98" t="s">
        <v>2541</v>
      </c>
      <c r="E19" s="116">
        <v>45490</v>
      </c>
      <c r="F19" s="98">
        <v>2</v>
      </c>
      <c r="G19" s="145" cm="1">
        <f t="array" aca="1" ref="G19" ca="1">SUMPRODUCT(--(ISNUMBER((SEARCH(I25:AI25,I19:AI19)))))/COUNTA(I19:AI19)</f>
        <v>0.88888888888888884</v>
      </c>
      <c r="H19" s="202">
        <v>0</v>
      </c>
      <c r="I19" s="98" t="s">
        <v>2341</v>
      </c>
      <c r="J19" s="98" t="s">
        <v>2341</v>
      </c>
      <c r="K19" s="98" t="s">
        <v>2507</v>
      </c>
      <c r="L19" s="98" t="s">
        <v>2342</v>
      </c>
      <c r="M19" s="98" t="s">
        <v>2341</v>
      </c>
      <c r="N19" s="98" t="s">
        <v>2341</v>
      </c>
      <c r="O19" s="98" t="s">
        <v>2341</v>
      </c>
      <c r="P19" s="98" t="s">
        <v>2508</v>
      </c>
      <c r="Q19" s="98" t="s">
        <v>2341</v>
      </c>
      <c r="R19" s="98" t="s">
        <v>2341</v>
      </c>
      <c r="S19" s="98" t="s">
        <v>2341</v>
      </c>
      <c r="T19" s="98" t="s">
        <v>2341</v>
      </c>
      <c r="U19" s="98" t="s">
        <v>2341</v>
      </c>
      <c r="V19" s="98" t="s">
        <v>2341</v>
      </c>
      <c r="W19" s="98" t="s">
        <v>2341</v>
      </c>
      <c r="X19" s="98" t="s">
        <v>2341</v>
      </c>
      <c r="Y19" s="98" t="s">
        <v>2343</v>
      </c>
      <c r="Z19" s="98" t="s">
        <v>2343</v>
      </c>
      <c r="AA19" s="98" t="s">
        <v>2341</v>
      </c>
      <c r="AB19" s="98" t="s">
        <v>2341</v>
      </c>
      <c r="AC19" s="98" t="s">
        <v>2341</v>
      </c>
      <c r="AD19" s="98" t="s">
        <v>2341</v>
      </c>
      <c r="AE19" s="98" t="s">
        <v>2341</v>
      </c>
      <c r="AF19" s="98" t="s">
        <v>2341</v>
      </c>
      <c r="AG19" s="98" t="s">
        <v>2341</v>
      </c>
      <c r="AH19" s="98" t="s">
        <v>2341</v>
      </c>
      <c r="AI19" s="98" t="s">
        <v>2344</v>
      </c>
    </row>
    <row r="20" spans="2:36">
      <c r="B20" s="141" t="s">
        <v>2277</v>
      </c>
      <c r="C20" s="98">
        <v>20</v>
      </c>
      <c r="D20" s="98" t="s">
        <v>2542</v>
      </c>
      <c r="E20" s="116">
        <v>45490</v>
      </c>
      <c r="F20" s="98">
        <v>1</v>
      </c>
      <c r="G20" s="145" cm="1">
        <f t="array" ref="G20">SUM(IF(I2:AH2 = I24:AH24, 1, 0))/ COUNTA(I2:AH2)</f>
        <v>0.53846153846153844</v>
      </c>
      <c r="H20" s="202" t="s">
        <v>2291</v>
      </c>
      <c r="I20" s="202" t="s">
        <v>2291</v>
      </c>
      <c r="J20" s="202" t="s">
        <v>2291</v>
      </c>
      <c r="K20" s="202" t="s">
        <v>2291</v>
      </c>
      <c r="L20" s="202" t="s">
        <v>2291</v>
      </c>
      <c r="M20" s="202" t="s">
        <v>2291</v>
      </c>
      <c r="N20" s="202" t="s">
        <v>2291</v>
      </c>
      <c r="O20" s="202" t="s">
        <v>2291</v>
      </c>
      <c r="P20" s="202" t="s">
        <v>2291</v>
      </c>
      <c r="Q20" s="202" t="s">
        <v>2291</v>
      </c>
      <c r="R20" s="202" t="s">
        <v>2291</v>
      </c>
      <c r="S20" s="202" t="s">
        <v>2291</v>
      </c>
      <c r="T20" s="202" t="s">
        <v>2291</v>
      </c>
      <c r="U20" s="202" t="s">
        <v>2291</v>
      </c>
      <c r="V20" s="202" t="s">
        <v>2291</v>
      </c>
      <c r="W20" s="202" t="s">
        <v>2291</v>
      </c>
      <c r="X20" s="202" t="s">
        <v>2291</v>
      </c>
      <c r="Y20" s="202" t="s">
        <v>2291</v>
      </c>
      <c r="Z20" s="202" t="s">
        <v>2291</v>
      </c>
      <c r="AA20" s="202" t="s">
        <v>2291</v>
      </c>
      <c r="AB20" s="202" t="s">
        <v>2291</v>
      </c>
      <c r="AC20" s="202" t="s">
        <v>2291</v>
      </c>
      <c r="AD20" s="202" t="s">
        <v>2291</v>
      </c>
      <c r="AE20" s="202" t="s">
        <v>2291</v>
      </c>
      <c r="AF20" s="202" t="s">
        <v>2291</v>
      </c>
      <c r="AG20" s="202" t="s">
        <v>2291</v>
      </c>
      <c r="AH20" s="202" t="s">
        <v>2291</v>
      </c>
      <c r="AI20" s="202" t="s">
        <v>2291</v>
      </c>
    </row>
    <row r="21" spans="2:36">
      <c r="B21" s="165" t="s">
        <v>2280</v>
      </c>
      <c r="C21" s="98">
        <v>21</v>
      </c>
      <c r="D21" s="98" t="s">
        <v>2543</v>
      </c>
      <c r="E21" s="116">
        <v>45490</v>
      </c>
      <c r="F21" s="98">
        <v>1</v>
      </c>
      <c r="G21" s="145" cm="1">
        <f t="array" aca="1" ref="G21" ca="1">SUM(IF(IF(G3:G20="null",1,G3:G20)=1,1,0))/COUNT(IF(G3:G20="null",1,1))</f>
        <v>0.77777777777777779</v>
      </c>
      <c r="H21" s="202" t="s">
        <v>2291</v>
      </c>
      <c r="I21" s="202" t="s">
        <v>2291</v>
      </c>
      <c r="J21" s="202" t="s">
        <v>2291</v>
      </c>
      <c r="K21" s="202" t="s">
        <v>2291</v>
      </c>
      <c r="L21" s="202" t="s">
        <v>2291</v>
      </c>
      <c r="M21" s="202" t="s">
        <v>2291</v>
      </c>
      <c r="N21" s="202" t="s">
        <v>2291</v>
      </c>
      <c r="O21" s="202" t="s">
        <v>2291</v>
      </c>
      <c r="P21" s="202" t="s">
        <v>2291</v>
      </c>
      <c r="Q21" s="202" t="s">
        <v>2291</v>
      </c>
      <c r="R21" s="202" t="s">
        <v>2291</v>
      </c>
      <c r="S21" s="202" t="s">
        <v>2291</v>
      </c>
      <c r="T21" s="202" t="s">
        <v>2291</v>
      </c>
      <c r="U21" s="202" t="s">
        <v>2291</v>
      </c>
      <c r="V21" s="202" t="s">
        <v>2291</v>
      </c>
      <c r="W21" s="202" t="s">
        <v>2291</v>
      </c>
      <c r="X21" s="202" t="s">
        <v>2291</v>
      </c>
      <c r="Y21" s="202" t="s">
        <v>2291</v>
      </c>
      <c r="Z21" s="202" t="s">
        <v>2291</v>
      </c>
      <c r="AA21" s="202" t="s">
        <v>2291</v>
      </c>
      <c r="AB21" s="202" t="s">
        <v>2291</v>
      </c>
      <c r="AC21" s="202" t="s">
        <v>2291</v>
      </c>
      <c r="AD21" s="202" t="s">
        <v>2291</v>
      </c>
      <c r="AE21" s="202" t="s">
        <v>2291</v>
      </c>
      <c r="AF21" s="202" t="s">
        <v>2291</v>
      </c>
      <c r="AG21" s="202" t="s">
        <v>2291</v>
      </c>
      <c r="AH21" s="202" t="s">
        <v>2291</v>
      </c>
      <c r="AI21" s="202" t="s">
        <v>2291</v>
      </c>
    </row>
    <row r="22" spans="2:36">
      <c r="B22" s="98"/>
      <c r="C22" s="98"/>
      <c r="D22" s="98"/>
      <c r="E22" s="116"/>
      <c r="F22" s="98"/>
      <c r="G22" s="98"/>
      <c r="H22" s="98"/>
      <c r="I22" s="98"/>
      <c r="J22" s="98"/>
      <c r="K22" s="98"/>
      <c r="L22" s="98"/>
      <c r="M22" s="98"/>
      <c r="N22" s="98"/>
      <c r="O22" s="98"/>
      <c r="P22" s="98"/>
      <c r="Q22" s="98"/>
      <c r="R22" s="98"/>
      <c r="S22" s="98"/>
      <c r="T22" s="98"/>
    </row>
    <row r="23" spans="2:36">
      <c r="B23" s="106" t="s">
        <v>2345</v>
      </c>
    </row>
    <row r="24" spans="2:36">
      <c r="B24" s="107" t="s">
        <v>2346</v>
      </c>
      <c r="C24" s="108" t="s">
        <v>2284</v>
      </c>
      <c r="D24" s="108" t="s">
        <v>2285</v>
      </c>
      <c r="E24" s="108" t="s">
        <v>2286</v>
      </c>
      <c r="F24" s="108" t="s">
        <v>2287</v>
      </c>
      <c r="G24" s="108" t="s">
        <v>2288</v>
      </c>
      <c r="H24" s="108" t="s">
        <v>2289</v>
      </c>
      <c r="I24" s="109" t="str" cm="1">
        <f t="array" ref="I24:AJ24">TRANSPOSE(_xlfn.SORTBY(_xlfn._xlws.FILTER(Table2[NOME FÍSICO CAMPO],Table2[NOME FÍSICO TABELA]="prepaid_card_account_transaction"), _xlfn._xlws.FILTER(Table2[ORDEM], Table2[NOME FÍSICO TABELA]="prepaid_card_account_transaction"), 1))</f>
        <v>bank_id</v>
      </c>
      <c r="J24" s="109" t="str">
        <v>contract_id</v>
      </c>
      <c r="K24" s="109" t="str">
        <v>order_number</v>
      </c>
      <c r="L24" s="109" t="str">
        <v>order_number_stage</v>
      </c>
      <c r="M24" s="109" t="str">
        <v>transaction_type_code</v>
      </c>
      <c r="N24" s="109" t="str">
        <v>source_transaction_type_code</v>
      </c>
      <c r="O24" s="109" t="str">
        <v>chargeback_indicator</v>
      </c>
      <c r="P24" s="109" t="str">
        <v>financial_flow_indicator</v>
      </c>
      <c r="Q24" s="109" t="str">
        <v>card_number</v>
      </c>
      <c r="R24" s="109" t="str">
        <v>recurring_transaction_indicator</v>
      </c>
      <c r="S24" s="109" t="str">
        <v>card_presence_indicator</v>
      </c>
      <c r="T24" s="178" t="str">
        <v>authentication_type_code</v>
      </c>
      <c r="U24" s="178" t="str">
        <v>original_currency_code</v>
      </c>
      <c r="V24" s="178" t="str">
        <v>currency_code</v>
      </c>
      <c r="W24" s="178" t="str">
        <v>transaction_date</v>
      </c>
      <c r="X24" s="200" t="str">
        <v>transaction_execution_date</v>
      </c>
      <c r="Y24" s="200" t="str">
        <v>original_amount</v>
      </c>
      <c r="Z24" s="200" t="str">
        <v>amount</v>
      </c>
      <c r="AA24" s="200" t="str">
        <v>terminal_organization_id</v>
      </c>
      <c r="AB24" s="200" t="str">
        <v>terminal_country_code</v>
      </c>
      <c r="AC24" s="200" t="str">
        <v>terminal_description</v>
      </c>
      <c r="AD24" s="200" t="str">
        <v>atm_terminal_id</v>
      </c>
      <c r="AE24" s="200" t="str">
        <v>pos_terminal_id</v>
      </c>
      <c r="AF24" s="200" t="str">
        <v>merchant_id</v>
      </c>
      <c r="AG24" s="200" t="str">
        <v>merchant_type_code</v>
      </c>
      <c r="AH24" s="201" t="str">
        <v>source_code</v>
      </c>
      <c r="AI24" s="201" t="str">
        <v>data_date_part</v>
      </c>
      <c r="AJ24" t="str">
        <v>data_timestamp_part</v>
      </c>
    </row>
    <row r="25" spans="2:36">
      <c r="B25" s="100" t="s">
        <v>2347</v>
      </c>
      <c r="C25" s="113">
        <v>21</v>
      </c>
      <c r="D25" s="102" t="s">
        <v>2348</v>
      </c>
      <c r="E25" s="101" t="s">
        <v>2349</v>
      </c>
      <c r="F25" s="101" t="s">
        <v>781</v>
      </c>
      <c r="G25" s="101" t="s">
        <v>781</v>
      </c>
      <c r="H25" s="101" t="s">
        <v>781</v>
      </c>
      <c r="I25" s="101" t="str" cm="1">
        <f t="array" aca="1" ref="I25:AJ26" ca="1">TRANSPOSE(_xlfn.SORTBY(_xlfn._xlws.FILTER(IF(Table2[FORMATO]:Table2[COMP_ CAMPO]&lt;&gt;"",Table2[FORMATO]:Table2[COMP_ CAMPO],9999999),Table2[NOME FÍSICO TABELA]="prepaid_card_account_transaction"), _xlfn._xlws.FILTER(Table2[ORDEM], Table2[NOME FÍSICO TABELA]="prepaid_card_account_transaction"),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s="101" t="str">
        <f ca="1"/>
        <v>DECIMAL</v>
      </c>
      <c r="Z25" s="101" t="str">
        <f ca="1"/>
        <v>DECIMAL</v>
      </c>
      <c r="AA25" s="101" t="str">
        <f ca="1"/>
        <v>STRING</v>
      </c>
      <c r="AB25" s="101" t="str">
        <f ca="1"/>
        <v>STRING</v>
      </c>
      <c r="AC25" s="101" t="str">
        <f ca="1"/>
        <v>STRING</v>
      </c>
      <c r="AD25" s="101" t="str">
        <f ca="1"/>
        <v>STRING</v>
      </c>
      <c r="AE25" s="101" t="str">
        <f ca="1"/>
        <v>STRING</v>
      </c>
      <c r="AF25" s="101" t="str">
        <f ca="1"/>
        <v>STRING</v>
      </c>
      <c r="AG25" s="101" t="str">
        <f ca="1"/>
        <v>STRING</v>
      </c>
      <c r="AH25" s="112" t="str">
        <f ca="1"/>
        <v>STRING</v>
      </c>
      <c r="AI25" s="112" t="str">
        <f ca="1"/>
        <v>STRING</v>
      </c>
      <c r="AJ25" t="str">
        <f ca="1"/>
        <v>TIMESTAMP</v>
      </c>
    </row>
    <row r="26" spans="2:36">
      <c r="B26" s="100" t="s">
        <v>2350</v>
      </c>
      <c r="C26" s="113">
        <v>7</v>
      </c>
      <c r="D26" s="102" t="s">
        <v>2348</v>
      </c>
      <c r="E26" s="101" t="s">
        <v>2349</v>
      </c>
      <c r="F26" s="101" t="s">
        <v>781</v>
      </c>
      <c r="G26" s="101" t="s">
        <v>781</v>
      </c>
      <c r="H26" s="101" t="s">
        <v>781</v>
      </c>
      <c r="I26" s="113">
        <f ca="1"/>
        <v>4</v>
      </c>
      <c r="J26" s="113">
        <f ca="1"/>
        <v>15</v>
      </c>
      <c r="K26" s="113">
        <f ca="1"/>
        <v>9999999</v>
      </c>
      <c r="L26" s="113">
        <f ca="1"/>
        <v>9999999</v>
      </c>
      <c r="M26" s="113">
        <f ca="1"/>
        <v>4</v>
      </c>
      <c r="N26" s="113">
        <f ca="1"/>
        <v>4</v>
      </c>
      <c r="O26" s="113">
        <f ca="1"/>
        <v>4</v>
      </c>
      <c r="P26" s="113">
        <f ca="1"/>
        <v>4</v>
      </c>
      <c r="Q26" s="113">
        <f ca="1"/>
        <v>16</v>
      </c>
      <c r="R26" s="113">
        <f ca="1"/>
        <v>4</v>
      </c>
      <c r="S26" s="113">
        <f ca="1"/>
        <v>4</v>
      </c>
      <c r="T26" s="113">
        <f ca="1"/>
        <v>4</v>
      </c>
      <c r="U26" s="113">
        <f ca="1"/>
        <v>4</v>
      </c>
      <c r="V26" s="113">
        <f ca="1"/>
        <v>4</v>
      </c>
      <c r="W26" s="113">
        <f ca="1"/>
        <v>10</v>
      </c>
      <c r="X26" s="113">
        <f ca="1"/>
        <v>10</v>
      </c>
      <c r="Y26" s="113">
        <f ca="1"/>
        <v>23</v>
      </c>
      <c r="Z26" s="113">
        <f ca="1"/>
        <v>23</v>
      </c>
      <c r="AA26" s="113">
        <f ca="1"/>
        <v>4</v>
      </c>
      <c r="AB26" s="113">
        <f ca="1"/>
        <v>4</v>
      </c>
      <c r="AC26" s="113">
        <f ca="1"/>
        <v>9999999</v>
      </c>
      <c r="AD26" s="113">
        <f ca="1"/>
        <v>10</v>
      </c>
      <c r="AE26" s="113">
        <f ca="1"/>
        <v>10</v>
      </c>
      <c r="AF26" s="113">
        <f ca="1"/>
        <v>20</v>
      </c>
      <c r="AG26" s="113">
        <f ca="1"/>
        <v>4</v>
      </c>
      <c r="AH26" s="114">
        <f ca="1"/>
        <v>20</v>
      </c>
      <c r="AI26" s="114">
        <f ca="1"/>
        <v>10</v>
      </c>
      <c r="AJ26">
        <f ca="1"/>
        <v>23</v>
      </c>
    </row>
    <row r="29" spans="2:36">
      <c r="B29" s="123" t="s">
        <v>2351</v>
      </c>
    </row>
    <row r="30" spans="2:36">
      <c r="B30" s="132" t="s">
        <v>2352</v>
      </c>
      <c r="C30" s="132" t="s">
        <v>2353</v>
      </c>
      <c r="D30" s="133" t="s">
        <v>2354</v>
      </c>
      <c r="E30" s="132" t="s">
        <v>2355</v>
      </c>
      <c r="F30" s="132" t="s">
        <v>2356</v>
      </c>
      <c r="I30" s="186"/>
    </row>
    <row r="31" spans="2:36" ht="75" customHeight="1">
      <c r="B31" s="130" t="s">
        <v>2357</v>
      </c>
      <c r="C31" s="83" t="s">
        <v>1079</v>
      </c>
      <c r="D31" s="83" t="s">
        <v>2510</v>
      </c>
      <c r="E31" s="83" t="s">
        <v>2544</v>
      </c>
      <c r="F31" s="131" t="s">
        <v>2449</v>
      </c>
      <c r="I31" s="185"/>
    </row>
    <row r="32" spans="2:36" ht="45.75">
      <c r="B32" s="134" t="s">
        <v>2365</v>
      </c>
      <c r="C32" s="83" t="s">
        <v>1079</v>
      </c>
      <c r="D32" s="83" t="s">
        <v>2510</v>
      </c>
      <c r="E32" s="83" t="s">
        <v>2544</v>
      </c>
      <c r="F32" s="79" t="s">
        <v>2360</v>
      </c>
    </row>
    <row r="33" spans="2:8" ht="60.75">
      <c r="B33" s="134" t="s">
        <v>2365</v>
      </c>
      <c r="C33" s="203" t="s">
        <v>1512</v>
      </c>
      <c r="D33" s="87" t="s">
        <v>2545</v>
      </c>
      <c r="E33" s="87" t="s">
        <v>2546</v>
      </c>
      <c r="F33" s="78" t="s">
        <v>2369</v>
      </c>
    </row>
    <row r="34" spans="2:8" ht="60.75">
      <c r="B34" s="134" t="s">
        <v>2365</v>
      </c>
      <c r="C34" s="87" t="s">
        <v>1597</v>
      </c>
      <c r="D34" s="87" t="s">
        <v>2545</v>
      </c>
      <c r="E34" s="87" t="s">
        <v>2546</v>
      </c>
      <c r="F34" s="78" t="s">
        <v>2369</v>
      </c>
    </row>
    <row r="35" spans="2:8" ht="91.5">
      <c r="B35" s="134" t="s">
        <v>2365</v>
      </c>
      <c r="C35" s="87" t="s">
        <v>1993</v>
      </c>
      <c r="D35" s="87" t="s">
        <v>2547</v>
      </c>
      <c r="E35" s="87" t="s">
        <v>2548</v>
      </c>
      <c r="F35" s="78" t="s">
        <v>2369</v>
      </c>
    </row>
    <row r="37" spans="2:8">
      <c r="H37" s="24"/>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00B050"/>
  </sheetPr>
  <dimension ref="B1:AI37"/>
  <sheetViews>
    <sheetView showGridLines="0" workbookViewId="0">
      <selection activeCell="A14" sqref="A14"/>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35" ht="38.25" customHeight="1"/>
    <row r="2" spans="2:35">
      <c r="B2" s="97" t="s">
        <v>2283</v>
      </c>
      <c r="C2" s="97" t="s">
        <v>2284</v>
      </c>
      <c r="D2" s="97" t="s">
        <v>2285</v>
      </c>
      <c r="E2" s="97" t="s">
        <v>2286</v>
      </c>
      <c r="F2" s="97" t="s">
        <v>2287</v>
      </c>
      <c r="G2" s="97" t="s">
        <v>2288</v>
      </c>
      <c r="H2" s="97" t="s">
        <v>2289</v>
      </c>
      <c r="I2" s="97" t="s">
        <v>730</v>
      </c>
      <c r="J2" s="97" t="s">
        <v>842</v>
      </c>
      <c r="K2" s="97" t="s">
        <v>923</v>
      </c>
      <c r="L2" s="97" t="s">
        <v>1012</v>
      </c>
      <c r="M2" s="97" t="s">
        <v>1079</v>
      </c>
      <c r="N2" s="109" t="s">
        <v>1169</v>
      </c>
      <c r="O2" s="97" t="s">
        <v>1394</v>
      </c>
      <c r="P2" s="97" t="s">
        <v>2480</v>
      </c>
      <c r="Q2" s="97" t="s">
        <v>1410</v>
      </c>
      <c r="R2" s="97" t="s">
        <v>1272</v>
      </c>
      <c r="S2" s="97" t="s">
        <v>1512</v>
      </c>
      <c r="T2" s="97" t="s">
        <v>1597</v>
      </c>
      <c r="U2" s="97" t="s">
        <v>1626</v>
      </c>
      <c r="V2" s="97" t="s">
        <v>1255</v>
      </c>
      <c r="W2" s="97" t="s">
        <v>1334</v>
      </c>
      <c r="X2" s="97" t="s">
        <v>1224</v>
      </c>
      <c r="Y2" s="97" t="s">
        <v>1780</v>
      </c>
      <c r="Z2" s="97" t="s">
        <v>1440</v>
      </c>
      <c r="AA2" s="97" t="s">
        <v>1854</v>
      </c>
      <c r="AB2" s="97" t="s">
        <v>1950</v>
      </c>
      <c r="AC2" s="97" t="s">
        <v>1925</v>
      </c>
      <c r="AD2" s="97" t="s">
        <v>1974</v>
      </c>
      <c r="AE2" s="97" t="s">
        <v>2007</v>
      </c>
      <c r="AF2" s="97" t="s">
        <v>1993</v>
      </c>
      <c r="AG2" s="97" t="s">
        <v>1499</v>
      </c>
      <c r="AH2" s="97" t="s">
        <v>1561</v>
      </c>
      <c r="AI2" s="97" t="s">
        <v>1614</v>
      </c>
    </row>
    <row r="3" spans="2:35">
      <c r="B3" s="141" t="s">
        <v>2237</v>
      </c>
      <c r="C3" s="98">
        <v>1</v>
      </c>
      <c r="D3" s="98" t="s">
        <v>2549</v>
      </c>
      <c r="E3" s="116">
        <v>45492</v>
      </c>
      <c r="F3" s="98">
        <v>1</v>
      </c>
      <c r="G3" s="216">
        <v>1</v>
      </c>
      <c r="H3" s="170">
        <v>4011121</v>
      </c>
      <c r="I3" s="98" t="s">
        <v>2291</v>
      </c>
      <c r="J3" s="98" t="s">
        <v>2291</v>
      </c>
      <c r="K3" s="98" t="s">
        <v>2291</v>
      </c>
      <c r="L3" s="98" t="s">
        <v>2291</v>
      </c>
      <c r="M3" s="98" t="s">
        <v>2291</v>
      </c>
      <c r="N3" s="98" t="s">
        <v>2291</v>
      </c>
      <c r="O3" s="98" t="s">
        <v>2291</v>
      </c>
      <c r="P3" s="98" t="s">
        <v>2291</v>
      </c>
      <c r="Q3" s="98" t="s">
        <v>2291</v>
      </c>
      <c r="R3" s="98" t="s">
        <v>2291</v>
      </c>
      <c r="S3" s="98" t="s">
        <v>2291</v>
      </c>
      <c r="T3" s="98" t="s">
        <v>2291</v>
      </c>
      <c r="U3" s="98" t="s">
        <v>2291</v>
      </c>
      <c r="V3" s="98" t="s">
        <v>2291</v>
      </c>
      <c r="W3" s="98" t="s">
        <v>2291</v>
      </c>
      <c r="X3" s="98" t="s">
        <v>2291</v>
      </c>
      <c r="Y3" s="98" t="s">
        <v>2291</v>
      </c>
      <c r="Z3" s="98" t="s">
        <v>2291</v>
      </c>
      <c r="AA3" s="98" t="s">
        <v>2291</v>
      </c>
      <c r="AB3" s="98" t="s">
        <v>2291</v>
      </c>
      <c r="AC3" s="98" t="s">
        <v>2291</v>
      </c>
      <c r="AD3" s="98" t="s">
        <v>2291</v>
      </c>
      <c r="AE3" s="98" t="s">
        <v>2291</v>
      </c>
      <c r="AF3" s="98" t="s">
        <v>2291</v>
      </c>
      <c r="AG3" s="98" t="s">
        <v>2291</v>
      </c>
      <c r="AH3" s="98" t="s">
        <v>2291</v>
      </c>
      <c r="AI3" s="98" t="s">
        <v>2291</v>
      </c>
    </row>
    <row r="4" spans="2:35">
      <c r="B4" s="141" t="s">
        <v>2239</v>
      </c>
      <c r="C4" s="98">
        <v>2</v>
      </c>
      <c r="D4" s="98" t="s">
        <v>2550</v>
      </c>
      <c r="E4" s="116">
        <v>45492</v>
      </c>
      <c r="F4" s="98">
        <v>1</v>
      </c>
      <c r="G4" s="216">
        <v>1</v>
      </c>
      <c r="H4" s="202">
        <v>0</v>
      </c>
      <c r="I4" s="98" t="s">
        <v>2291</v>
      </c>
      <c r="J4" s="98" t="s">
        <v>2291</v>
      </c>
      <c r="K4" s="98" t="s">
        <v>2291</v>
      </c>
      <c r="L4" s="98" t="s">
        <v>2291</v>
      </c>
      <c r="M4" s="98" t="s">
        <v>2291</v>
      </c>
      <c r="N4" s="98" t="s">
        <v>2291</v>
      </c>
      <c r="O4" s="98" t="s">
        <v>2291</v>
      </c>
      <c r="P4" s="98" t="s">
        <v>2291</v>
      </c>
      <c r="Q4" s="98" t="s">
        <v>2291</v>
      </c>
      <c r="R4" s="98" t="s">
        <v>2291</v>
      </c>
      <c r="S4" s="98" t="s">
        <v>2291</v>
      </c>
      <c r="T4" s="98" t="s">
        <v>2291</v>
      </c>
      <c r="U4" s="98" t="s">
        <v>2291</v>
      </c>
      <c r="V4" s="98" t="s">
        <v>2291</v>
      </c>
      <c r="W4" s="98" t="s">
        <v>2291</v>
      </c>
      <c r="X4" s="98" t="s">
        <v>2291</v>
      </c>
      <c r="Y4" s="98" t="s">
        <v>2291</v>
      </c>
      <c r="Z4" s="98" t="s">
        <v>2291</v>
      </c>
      <c r="AA4" s="98" t="s">
        <v>2291</v>
      </c>
      <c r="AB4" s="98" t="s">
        <v>2291</v>
      </c>
      <c r="AC4" s="98" t="s">
        <v>2291</v>
      </c>
      <c r="AD4" s="98" t="s">
        <v>2291</v>
      </c>
      <c r="AE4" s="98" t="s">
        <v>2291</v>
      </c>
      <c r="AF4" s="98" t="s">
        <v>2291</v>
      </c>
      <c r="AG4" s="98" t="s">
        <v>2291</v>
      </c>
      <c r="AH4" s="98" t="s">
        <v>2291</v>
      </c>
      <c r="AI4" s="98" t="s">
        <v>2291</v>
      </c>
    </row>
    <row r="5" spans="2:35">
      <c r="B5" s="141" t="s">
        <v>2241</v>
      </c>
      <c r="C5" s="98">
        <v>3</v>
      </c>
      <c r="D5" s="98" t="s">
        <v>2551</v>
      </c>
      <c r="E5" s="116">
        <v>45492</v>
      </c>
      <c r="F5" s="98">
        <v>1</v>
      </c>
      <c r="G5" s="216">
        <v>1</v>
      </c>
      <c r="H5" s="202">
        <v>0</v>
      </c>
      <c r="I5" s="98">
        <v>0</v>
      </c>
      <c r="J5" s="98">
        <v>0</v>
      </c>
      <c r="K5" s="98">
        <v>0</v>
      </c>
      <c r="L5" s="98">
        <v>0</v>
      </c>
      <c r="M5" s="98" t="s">
        <v>2291</v>
      </c>
      <c r="N5" s="98" t="s">
        <v>2291</v>
      </c>
      <c r="O5" s="98" t="s">
        <v>2291</v>
      </c>
      <c r="P5" s="98" t="s">
        <v>2291</v>
      </c>
      <c r="Q5" s="98" t="s">
        <v>2291</v>
      </c>
      <c r="R5" s="98" t="s">
        <v>2291</v>
      </c>
      <c r="S5" s="98" t="s">
        <v>2291</v>
      </c>
      <c r="T5" s="98" t="s">
        <v>2291</v>
      </c>
      <c r="U5" s="98" t="s">
        <v>2291</v>
      </c>
      <c r="V5" s="98" t="s">
        <v>2291</v>
      </c>
      <c r="W5" s="98" t="s">
        <v>2291</v>
      </c>
      <c r="X5" s="98" t="s">
        <v>2291</v>
      </c>
      <c r="Y5" s="98" t="s">
        <v>2291</v>
      </c>
      <c r="Z5" s="98" t="s">
        <v>2291</v>
      </c>
      <c r="AA5" s="98" t="s">
        <v>2291</v>
      </c>
      <c r="AB5" s="98" t="s">
        <v>2291</v>
      </c>
      <c r="AC5" s="98" t="s">
        <v>2291</v>
      </c>
      <c r="AD5" s="98" t="s">
        <v>2291</v>
      </c>
      <c r="AE5" s="98" t="s">
        <v>2291</v>
      </c>
      <c r="AF5" s="98" t="s">
        <v>2291</v>
      </c>
      <c r="AG5" s="98" t="s">
        <v>2291</v>
      </c>
      <c r="AH5" s="98">
        <v>0</v>
      </c>
      <c r="AI5" s="98" t="s">
        <v>2291</v>
      </c>
    </row>
    <row r="6" spans="2:35">
      <c r="B6" s="88" t="s">
        <v>2243</v>
      </c>
      <c r="C6" s="98">
        <v>4</v>
      </c>
      <c r="D6" s="98" t="s">
        <v>2296</v>
      </c>
      <c r="E6" s="116" t="s">
        <v>2291</v>
      </c>
      <c r="F6" s="98">
        <v>1</v>
      </c>
      <c r="G6" s="216" t="s">
        <v>2291</v>
      </c>
      <c r="H6" s="98" t="s">
        <v>2291</v>
      </c>
      <c r="I6" s="98" t="s">
        <v>2291</v>
      </c>
      <c r="J6" s="98" t="s">
        <v>2291</v>
      </c>
      <c r="K6" s="98" t="s">
        <v>2291</v>
      </c>
      <c r="L6" s="98" t="s">
        <v>2291</v>
      </c>
      <c r="M6" s="98" t="s">
        <v>2291</v>
      </c>
      <c r="N6" s="98" t="s">
        <v>2291</v>
      </c>
      <c r="O6" s="98" t="s">
        <v>2291</v>
      </c>
      <c r="P6" s="98" t="s">
        <v>2291</v>
      </c>
      <c r="Q6" s="98" t="s">
        <v>2291</v>
      </c>
      <c r="R6" s="98" t="s">
        <v>2291</v>
      </c>
      <c r="S6" s="98" t="s">
        <v>2291</v>
      </c>
      <c r="T6" s="98" t="s">
        <v>2291</v>
      </c>
      <c r="U6" s="98" t="s">
        <v>2291</v>
      </c>
      <c r="V6" s="98" t="s">
        <v>2291</v>
      </c>
      <c r="W6" s="98" t="s">
        <v>2291</v>
      </c>
      <c r="X6" s="98" t="s">
        <v>2291</v>
      </c>
      <c r="Y6" s="98" t="s">
        <v>2291</v>
      </c>
      <c r="Z6" s="98" t="s">
        <v>2291</v>
      </c>
      <c r="AA6" s="98" t="s">
        <v>2291</v>
      </c>
      <c r="AB6" s="98" t="s">
        <v>2291</v>
      </c>
      <c r="AC6" s="98" t="s">
        <v>2291</v>
      </c>
      <c r="AD6" s="98" t="s">
        <v>2291</v>
      </c>
      <c r="AE6" s="98" t="s">
        <v>2291</v>
      </c>
      <c r="AF6" s="98" t="s">
        <v>2291</v>
      </c>
      <c r="AG6" s="98" t="s">
        <v>2291</v>
      </c>
      <c r="AH6" s="98" t="s">
        <v>2291</v>
      </c>
      <c r="AI6" s="98" t="s">
        <v>2291</v>
      </c>
    </row>
    <row r="7" spans="2:35">
      <c r="B7" s="88" t="s">
        <v>2245</v>
      </c>
      <c r="C7" s="98">
        <v>5</v>
      </c>
      <c r="D7" s="98" t="s">
        <v>2296</v>
      </c>
      <c r="E7" s="116" t="s">
        <v>2291</v>
      </c>
      <c r="F7" s="98">
        <v>1</v>
      </c>
      <c r="G7" s="216" t="s">
        <v>2291</v>
      </c>
      <c r="H7" s="98" t="s">
        <v>2291</v>
      </c>
      <c r="I7" s="98" t="s">
        <v>2291</v>
      </c>
      <c r="J7" s="98" t="s">
        <v>2291</v>
      </c>
      <c r="K7" s="98" t="s">
        <v>2291</v>
      </c>
      <c r="L7" s="98" t="s">
        <v>2291</v>
      </c>
      <c r="M7" s="98" t="s">
        <v>2291</v>
      </c>
      <c r="N7" s="98" t="s">
        <v>2291</v>
      </c>
      <c r="O7" s="98" t="s">
        <v>2291</v>
      </c>
      <c r="P7" s="98" t="s">
        <v>2291</v>
      </c>
      <c r="Q7" s="98" t="s">
        <v>2291</v>
      </c>
      <c r="R7" s="98" t="s">
        <v>2291</v>
      </c>
      <c r="S7" s="98" t="s">
        <v>2291</v>
      </c>
      <c r="T7" s="98" t="s">
        <v>2291</v>
      </c>
      <c r="U7" s="98" t="s">
        <v>2291</v>
      </c>
      <c r="V7" s="98" t="s">
        <v>2291</v>
      </c>
      <c r="W7" s="98" t="s">
        <v>2291</v>
      </c>
      <c r="X7" s="98" t="s">
        <v>2291</v>
      </c>
      <c r="Y7" s="98" t="s">
        <v>2291</v>
      </c>
      <c r="Z7" s="98" t="s">
        <v>2291</v>
      </c>
      <c r="AA7" s="98" t="s">
        <v>2291</v>
      </c>
      <c r="AB7" s="98" t="s">
        <v>2291</v>
      </c>
      <c r="AC7" s="98" t="s">
        <v>2291</v>
      </c>
      <c r="AD7" s="98" t="s">
        <v>2291</v>
      </c>
      <c r="AE7" s="98" t="s">
        <v>2291</v>
      </c>
      <c r="AF7" s="98" t="s">
        <v>2291</v>
      </c>
      <c r="AG7" s="98" t="s">
        <v>2291</v>
      </c>
      <c r="AH7" s="98" t="s">
        <v>2291</v>
      </c>
      <c r="AI7" s="98" t="s">
        <v>2291</v>
      </c>
    </row>
    <row r="8" spans="2:35">
      <c r="B8" s="172" t="s">
        <v>2246</v>
      </c>
      <c r="C8" s="98">
        <v>6</v>
      </c>
      <c r="D8" s="98" t="s">
        <v>2552</v>
      </c>
      <c r="E8" s="116">
        <v>45492</v>
      </c>
      <c r="F8" s="98">
        <v>1</v>
      </c>
      <c r="G8" s="216" cm="1">
        <f t="array" ref="G8">SUMPRODUCT(--(I8:AI8&gt;0))/COUNTA(I8:AI8)</f>
        <v>1</v>
      </c>
      <c r="H8" s="202">
        <v>0</v>
      </c>
      <c r="I8" s="98">
        <v>2</v>
      </c>
      <c r="J8" s="98">
        <v>30</v>
      </c>
      <c r="K8" s="98">
        <v>1</v>
      </c>
      <c r="L8" s="98">
        <v>1</v>
      </c>
      <c r="M8" s="98">
        <v>3</v>
      </c>
      <c r="N8" s="98">
        <v>1</v>
      </c>
      <c r="O8" s="98">
        <v>4</v>
      </c>
      <c r="P8" s="98">
        <v>1</v>
      </c>
      <c r="Q8" s="98">
        <v>1</v>
      </c>
      <c r="R8" s="98">
        <v>1</v>
      </c>
      <c r="S8" s="98">
        <v>1</v>
      </c>
      <c r="T8" s="98">
        <v>2</v>
      </c>
      <c r="U8" s="98">
        <v>1</v>
      </c>
      <c r="V8" s="98">
        <v>3</v>
      </c>
      <c r="W8" s="98">
        <v>1</v>
      </c>
      <c r="X8" s="98">
        <v>1</v>
      </c>
      <c r="Y8" s="98">
        <v>4</v>
      </c>
      <c r="Z8" s="98">
        <v>1</v>
      </c>
      <c r="AA8" s="98">
        <v>1</v>
      </c>
      <c r="AB8" s="98">
        <v>4</v>
      </c>
      <c r="AC8" s="98">
        <v>4</v>
      </c>
      <c r="AD8" s="98">
        <v>4</v>
      </c>
      <c r="AE8" s="98">
        <v>1</v>
      </c>
      <c r="AF8" s="98">
        <v>4</v>
      </c>
      <c r="AG8" s="98">
        <v>2</v>
      </c>
      <c r="AH8" s="98">
        <v>10</v>
      </c>
      <c r="AI8" s="98">
        <v>23</v>
      </c>
    </row>
    <row r="9" spans="2:35">
      <c r="B9" s="141" t="s">
        <v>2249</v>
      </c>
      <c r="C9" s="98">
        <v>7</v>
      </c>
      <c r="D9" s="98" t="s">
        <v>2553</v>
      </c>
      <c r="E9" s="116">
        <v>45492</v>
      </c>
      <c r="F9" s="98">
        <v>1</v>
      </c>
      <c r="G9" s="216" cm="1">
        <f t="array" ref="G9">SUMPRODUCT(--(I9:AI9&lt;=I26:AI26))/COUNTA(I9:AI9)</f>
        <v>0</v>
      </c>
      <c r="H9" s="202">
        <v>0</v>
      </c>
      <c r="I9" s="98">
        <v>2</v>
      </c>
      <c r="J9" s="98">
        <v>30</v>
      </c>
      <c r="K9" s="98">
        <v>11</v>
      </c>
      <c r="L9" s="98">
        <v>9</v>
      </c>
      <c r="M9" s="98">
        <v>3</v>
      </c>
      <c r="N9" s="98">
        <v>4</v>
      </c>
      <c r="O9" s="98">
        <v>16</v>
      </c>
      <c r="P9" s="98">
        <v>4</v>
      </c>
      <c r="Q9" s="98">
        <v>1</v>
      </c>
      <c r="R9" s="98">
        <v>1</v>
      </c>
      <c r="S9" s="98">
        <v>4</v>
      </c>
      <c r="T9" s="98">
        <v>4</v>
      </c>
      <c r="U9" s="98">
        <v>4</v>
      </c>
      <c r="V9" s="98">
        <v>3</v>
      </c>
      <c r="W9" s="98">
        <v>10</v>
      </c>
      <c r="X9" s="98">
        <v>10</v>
      </c>
      <c r="Y9" s="98">
        <v>15</v>
      </c>
      <c r="Z9" s="98">
        <v>6</v>
      </c>
      <c r="AA9" s="98">
        <v>4</v>
      </c>
      <c r="AB9" s="98">
        <v>40</v>
      </c>
      <c r="AC9" s="98">
        <v>10</v>
      </c>
      <c r="AD9" s="98">
        <v>10</v>
      </c>
      <c r="AE9" s="98">
        <v>4</v>
      </c>
      <c r="AF9" s="98">
        <v>7</v>
      </c>
      <c r="AG9" s="98">
        <v>2</v>
      </c>
      <c r="AH9" s="98">
        <v>10</v>
      </c>
      <c r="AI9" s="98">
        <v>23</v>
      </c>
    </row>
    <row r="10" spans="2:35">
      <c r="B10" s="141" t="s">
        <v>2252</v>
      </c>
      <c r="C10" s="98">
        <v>8</v>
      </c>
      <c r="D10" s="98" t="s">
        <v>2554</v>
      </c>
      <c r="E10" s="116">
        <v>45492</v>
      </c>
      <c r="F10" s="98">
        <v>1</v>
      </c>
      <c r="G10" s="216" t="s">
        <v>2291</v>
      </c>
      <c r="H10" s="202">
        <v>0</v>
      </c>
      <c r="I10" s="98">
        <v>31</v>
      </c>
      <c r="J10" s="98">
        <v>3.1101216902910999E+26</v>
      </c>
      <c r="K10" s="98">
        <v>1</v>
      </c>
      <c r="L10" s="98">
        <v>1</v>
      </c>
      <c r="M10" s="116" t="s">
        <v>2555</v>
      </c>
      <c r="N10" s="116" t="e">
        <v>#N/A</v>
      </c>
      <c r="O10" s="202" t="e">
        <v>#N/A</v>
      </c>
      <c r="P10" s="98" t="e">
        <v>#N/A</v>
      </c>
      <c r="Q10" s="98">
        <v>0</v>
      </c>
      <c r="R10" s="98">
        <v>0</v>
      </c>
      <c r="S10" s="98" t="e">
        <v>#N/A</v>
      </c>
      <c r="T10" s="98" t="e">
        <v>#N/A</v>
      </c>
      <c r="U10" s="145" t="e">
        <v>#N/A</v>
      </c>
      <c r="V10" s="98">
        <v>978</v>
      </c>
      <c r="W10" s="116">
        <v>0</v>
      </c>
      <c r="X10" s="98">
        <v>0</v>
      </c>
      <c r="Y10" s="145" t="e">
        <v>#N/A</v>
      </c>
      <c r="Z10" s="117">
        <v>-56106</v>
      </c>
      <c r="AA10" s="98" t="e">
        <v>#N/A</v>
      </c>
      <c r="AB10" s="98" t="s">
        <v>2556</v>
      </c>
      <c r="AC10" s="98" t="e">
        <v>#N/A</v>
      </c>
      <c r="AD10" s="98" t="e">
        <v>#N/A</v>
      </c>
      <c r="AE10" s="98" t="e">
        <v>#N/A</v>
      </c>
      <c r="AF10" s="98" t="e">
        <v>#N/A</v>
      </c>
      <c r="AG10" s="98" t="s">
        <v>2488</v>
      </c>
      <c r="AH10" s="116">
        <v>45492</v>
      </c>
      <c r="AI10" s="98" t="s">
        <v>2557</v>
      </c>
    </row>
    <row r="11" spans="2:35">
      <c r="B11" s="141" t="s">
        <v>2254</v>
      </c>
      <c r="C11" s="98">
        <v>9</v>
      </c>
      <c r="D11" s="98" t="s">
        <v>2558</v>
      </c>
      <c r="E11" s="116">
        <v>45492</v>
      </c>
      <c r="F11" s="98">
        <v>1</v>
      </c>
      <c r="G11" s="216" t="s">
        <v>2291</v>
      </c>
      <c r="H11" s="202">
        <v>0</v>
      </c>
      <c r="I11" s="98">
        <v>31</v>
      </c>
      <c r="J11" s="98">
        <v>3.1101216902910999E+26</v>
      </c>
      <c r="K11" s="98">
        <v>1</v>
      </c>
      <c r="L11" s="98">
        <v>1</v>
      </c>
      <c r="M11" s="116" t="s">
        <v>2555</v>
      </c>
      <c r="N11" s="116" t="e">
        <v>#N/A</v>
      </c>
      <c r="O11" s="202" t="e">
        <v>#N/A</v>
      </c>
      <c r="P11" s="116" t="e">
        <v>#N/A</v>
      </c>
      <c r="Q11" s="98">
        <v>0</v>
      </c>
      <c r="R11" s="98">
        <v>0</v>
      </c>
      <c r="S11" s="98" t="e">
        <v>#N/A</v>
      </c>
      <c r="T11" s="98"/>
      <c r="U11" s="98">
        <v>12</v>
      </c>
      <c r="V11" s="98">
        <v>978</v>
      </c>
      <c r="W11" s="116" t="s">
        <v>2492</v>
      </c>
      <c r="X11" s="98" t="s">
        <v>2492</v>
      </c>
      <c r="Y11" s="98" t="s">
        <v>2493</v>
      </c>
      <c r="Z11" s="98" t="s">
        <v>2493</v>
      </c>
      <c r="AA11" s="98" t="e">
        <v>#N/A</v>
      </c>
      <c r="AB11" s="98" t="e">
        <v>#N/A</v>
      </c>
      <c r="AC11" s="98" t="s">
        <v>2556</v>
      </c>
      <c r="AD11" s="98"/>
      <c r="AE11" s="98" t="e">
        <v>#N/A</v>
      </c>
      <c r="AF11" s="98"/>
      <c r="AG11" s="98" t="s">
        <v>2488</v>
      </c>
      <c r="AH11" s="116">
        <v>45492</v>
      </c>
      <c r="AI11" s="98" t="s">
        <v>2559</v>
      </c>
    </row>
    <row r="12" spans="2:35">
      <c r="B12" s="164" t="s">
        <v>2256</v>
      </c>
      <c r="C12" s="98">
        <v>10</v>
      </c>
      <c r="D12" s="98" t="s">
        <v>2560</v>
      </c>
      <c r="E12" s="116">
        <v>45492</v>
      </c>
      <c r="F12" s="98">
        <v>1</v>
      </c>
      <c r="G12" s="216" t="s">
        <v>2291</v>
      </c>
      <c r="H12" s="202">
        <v>0</v>
      </c>
      <c r="I12" s="98">
        <v>31</v>
      </c>
      <c r="J12" s="98">
        <v>5.1316787200099999E+27</v>
      </c>
      <c r="K12" s="98">
        <v>20240146925</v>
      </c>
      <c r="L12" s="98">
        <v>709260808</v>
      </c>
      <c r="M12" s="116" t="s">
        <v>2555</v>
      </c>
      <c r="N12" s="116">
        <v>1</v>
      </c>
      <c r="O12" s="202">
        <v>5890770069588380</v>
      </c>
      <c r="P12" s="117">
        <v>97</v>
      </c>
      <c r="Q12" s="98">
        <v>1</v>
      </c>
      <c r="R12" s="98">
        <v>1</v>
      </c>
      <c r="S12" s="98">
        <v>1</v>
      </c>
      <c r="T12" s="98" t="s">
        <v>2496</v>
      </c>
      <c r="U12" s="145">
        <v>986</v>
      </c>
      <c r="V12" s="98" t="s">
        <v>2561</v>
      </c>
      <c r="W12" s="116">
        <v>45495</v>
      </c>
      <c r="X12" s="116">
        <v>45495</v>
      </c>
      <c r="Y12" s="145">
        <v>9999000000</v>
      </c>
      <c r="Z12" s="117">
        <v>211866</v>
      </c>
      <c r="AA12" s="98">
        <v>98</v>
      </c>
      <c r="AB12" s="98" t="s">
        <v>2562</v>
      </c>
      <c r="AC12" s="98">
        <v>999903</v>
      </c>
      <c r="AD12" s="98">
        <v>1528707</v>
      </c>
      <c r="AE12" s="98">
        <v>9406</v>
      </c>
      <c r="AF12" s="98">
        <v>552429</v>
      </c>
      <c r="AG12" s="98" t="s">
        <v>2439</v>
      </c>
      <c r="AH12" s="116">
        <v>45492</v>
      </c>
      <c r="AI12" s="98" t="s">
        <v>2557</v>
      </c>
    </row>
    <row r="13" spans="2:35">
      <c r="B13" s="141" t="s">
        <v>2258</v>
      </c>
      <c r="C13" s="98">
        <v>11</v>
      </c>
      <c r="D13" s="98" t="s">
        <v>2563</v>
      </c>
      <c r="E13" s="116">
        <v>45492</v>
      </c>
      <c r="F13" s="98">
        <v>1</v>
      </c>
      <c r="G13" s="216" t="s">
        <v>2291</v>
      </c>
      <c r="H13" s="202">
        <v>0</v>
      </c>
      <c r="I13" s="98">
        <v>31</v>
      </c>
      <c r="J13" s="98">
        <v>5.1316787200099999E+27</v>
      </c>
      <c r="K13" s="98">
        <v>20240146925</v>
      </c>
      <c r="L13" s="98">
        <v>709260808</v>
      </c>
      <c r="M13" s="116" t="s">
        <v>2555</v>
      </c>
      <c r="N13" s="116">
        <v>1</v>
      </c>
      <c r="O13" s="202">
        <v>5890770069588380</v>
      </c>
      <c r="P13" s="116" t="s">
        <v>2564</v>
      </c>
      <c r="Q13" s="98">
        <v>1</v>
      </c>
      <c r="R13" s="98">
        <v>1</v>
      </c>
      <c r="S13" s="98">
        <v>1</v>
      </c>
      <c r="T13" s="98" t="s">
        <v>2496</v>
      </c>
      <c r="U13" s="98" t="s">
        <v>2561</v>
      </c>
      <c r="V13" s="98" t="s">
        <v>2561</v>
      </c>
      <c r="W13" s="116">
        <v>45495</v>
      </c>
      <c r="X13" s="116">
        <v>45495</v>
      </c>
      <c r="Y13" s="98" t="s">
        <v>2565</v>
      </c>
      <c r="Z13" s="98" t="s">
        <v>2566</v>
      </c>
      <c r="AA13" s="98">
        <v>98</v>
      </c>
      <c r="AB13" s="98">
        <v>999903</v>
      </c>
      <c r="AC13" s="98" t="s">
        <v>2562</v>
      </c>
      <c r="AD13" s="98">
        <v>1528707</v>
      </c>
      <c r="AE13" s="98">
        <v>9406</v>
      </c>
      <c r="AF13" s="98">
        <v>552429</v>
      </c>
      <c r="AG13" s="98" t="s">
        <v>2439</v>
      </c>
      <c r="AH13" s="116">
        <v>45492</v>
      </c>
      <c r="AI13" s="98" t="s">
        <v>2567</v>
      </c>
    </row>
    <row r="14" spans="2:35">
      <c r="B14" s="141" t="s">
        <v>2260</v>
      </c>
      <c r="C14" s="98">
        <v>12</v>
      </c>
      <c r="D14" s="98" t="s">
        <v>2568</v>
      </c>
      <c r="E14" s="116">
        <v>45492</v>
      </c>
      <c r="F14" s="98">
        <v>1</v>
      </c>
      <c r="G14" s="216">
        <v>0.74074099999999998</v>
      </c>
      <c r="H14" s="202">
        <v>0</v>
      </c>
      <c r="I14" s="98">
        <v>0</v>
      </c>
      <c r="J14" s="98">
        <v>0</v>
      </c>
      <c r="K14" s="98">
        <v>0</v>
      </c>
      <c r="L14" s="98">
        <v>0</v>
      </c>
      <c r="M14" s="98">
        <v>4011089</v>
      </c>
      <c r="N14" s="98">
        <v>0</v>
      </c>
      <c r="O14" s="98">
        <v>0</v>
      </c>
      <c r="P14" s="98">
        <v>0</v>
      </c>
      <c r="Q14" s="98">
        <v>0</v>
      </c>
      <c r="R14" s="98">
        <v>17538</v>
      </c>
      <c r="S14" s="98">
        <v>72615</v>
      </c>
      <c r="T14" s="98">
        <v>72615</v>
      </c>
      <c r="U14" s="98">
        <v>0</v>
      </c>
      <c r="V14" s="98">
        <v>0</v>
      </c>
      <c r="W14" s="98">
        <v>0</v>
      </c>
      <c r="X14" s="98">
        <v>0</v>
      </c>
      <c r="Y14" s="98">
        <v>0</v>
      </c>
      <c r="Z14" s="98">
        <v>0</v>
      </c>
      <c r="AA14" s="98">
        <v>0</v>
      </c>
      <c r="AB14" s="98">
        <v>0</v>
      </c>
      <c r="AC14" s="98">
        <v>0</v>
      </c>
      <c r="AD14" s="98">
        <v>248334</v>
      </c>
      <c r="AE14" s="98">
        <v>0</v>
      </c>
      <c r="AF14" s="98">
        <v>2554248</v>
      </c>
      <c r="AG14" s="98">
        <v>0</v>
      </c>
      <c r="AH14" s="98">
        <v>0</v>
      </c>
      <c r="AI14" s="98">
        <v>0</v>
      </c>
    </row>
    <row r="15" spans="2:35">
      <c r="B15" s="141" t="s">
        <v>2262</v>
      </c>
      <c r="C15" s="98">
        <v>13</v>
      </c>
      <c r="D15" s="98" t="s">
        <v>2569</v>
      </c>
      <c r="E15" s="116">
        <v>45492</v>
      </c>
      <c r="F15" s="98">
        <v>1</v>
      </c>
      <c r="G15" s="216">
        <v>1</v>
      </c>
      <c r="H15" s="202">
        <v>0</v>
      </c>
      <c r="I15" s="98" t="s">
        <v>2291</v>
      </c>
      <c r="J15" s="98" t="s">
        <v>2291</v>
      </c>
      <c r="K15" s="98" t="s">
        <v>2291</v>
      </c>
      <c r="L15" s="88" t="s">
        <v>2291</v>
      </c>
      <c r="M15" s="88" t="s">
        <v>2291</v>
      </c>
      <c r="N15" s="88" t="s">
        <v>2291</v>
      </c>
      <c r="O15" s="98" t="s">
        <v>2291</v>
      </c>
      <c r="P15" s="88" t="s">
        <v>2291</v>
      </c>
      <c r="Q15" s="88" t="s">
        <v>2291</v>
      </c>
      <c r="R15" s="88" t="s">
        <v>2291</v>
      </c>
      <c r="S15" s="98" t="s">
        <v>2291</v>
      </c>
      <c r="T15" s="98" t="s">
        <v>2291</v>
      </c>
      <c r="U15" s="98" t="s">
        <v>2291</v>
      </c>
      <c r="V15" s="98" t="s">
        <v>2291</v>
      </c>
      <c r="W15" s="98">
        <v>0</v>
      </c>
      <c r="X15" s="98">
        <v>0</v>
      </c>
      <c r="Y15" s="98" t="s">
        <v>2291</v>
      </c>
      <c r="Z15" s="98" t="s">
        <v>2291</v>
      </c>
      <c r="AA15" s="98" t="s">
        <v>2291</v>
      </c>
      <c r="AB15" s="98" t="s">
        <v>2291</v>
      </c>
      <c r="AC15" s="98" t="s">
        <v>2291</v>
      </c>
      <c r="AD15" s="98" t="s">
        <v>2291</v>
      </c>
      <c r="AE15" s="98" t="s">
        <v>2291</v>
      </c>
      <c r="AF15" s="98" t="s">
        <v>2291</v>
      </c>
      <c r="AG15" s="98" t="s">
        <v>2291</v>
      </c>
      <c r="AH15" s="98" t="s">
        <v>2291</v>
      </c>
      <c r="AI15" s="98" t="s">
        <v>2291</v>
      </c>
    </row>
    <row r="16" spans="2:35">
      <c r="B16" s="141" t="s">
        <v>2264</v>
      </c>
      <c r="C16" s="98">
        <v>14</v>
      </c>
      <c r="D16" s="98" t="s">
        <v>2570</v>
      </c>
      <c r="E16" s="116">
        <v>45492</v>
      </c>
      <c r="F16" s="98">
        <v>1</v>
      </c>
      <c r="G16" s="216">
        <v>1</v>
      </c>
      <c r="H16" s="202">
        <v>0</v>
      </c>
      <c r="I16" s="98">
        <v>0</v>
      </c>
      <c r="J16" s="98">
        <v>0</v>
      </c>
      <c r="K16" s="98" t="s">
        <v>2291</v>
      </c>
      <c r="L16" s="98" t="s">
        <v>2291</v>
      </c>
      <c r="M16" s="88">
        <v>0</v>
      </c>
      <c r="N16" s="88" t="s">
        <v>2291</v>
      </c>
      <c r="O16" s="98" t="s">
        <v>2291</v>
      </c>
      <c r="P16" s="98" t="s">
        <v>2291</v>
      </c>
      <c r="Q16" s="98" t="s">
        <v>2291</v>
      </c>
      <c r="R16" s="88" t="s">
        <v>2291</v>
      </c>
      <c r="S16" s="98" t="s">
        <v>2291</v>
      </c>
      <c r="T16" s="98">
        <v>0</v>
      </c>
      <c r="U16" s="98">
        <v>0</v>
      </c>
      <c r="V16" s="98">
        <v>0</v>
      </c>
      <c r="W16" s="98" t="s">
        <v>2291</v>
      </c>
      <c r="X16" s="98" t="s">
        <v>2291</v>
      </c>
      <c r="Y16" s="98" t="s">
        <v>2291</v>
      </c>
      <c r="Z16" s="98" t="s">
        <v>2291</v>
      </c>
      <c r="AA16" s="98">
        <v>0</v>
      </c>
      <c r="AB16" s="98">
        <v>0</v>
      </c>
      <c r="AC16" s="98" t="s">
        <v>2291</v>
      </c>
      <c r="AD16" s="98">
        <v>0</v>
      </c>
      <c r="AE16" s="98">
        <v>0</v>
      </c>
      <c r="AF16" s="98">
        <v>0</v>
      </c>
      <c r="AG16" s="98">
        <v>0</v>
      </c>
      <c r="AH16" s="98" t="s">
        <v>2291</v>
      </c>
      <c r="AI16" s="98" t="s">
        <v>2291</v>
      </c>
    </row>
    <row r="17" spans="2:35">
      <c r="B17" s="174" t="s">
        <v>2266</v>
      </c>
      <c r="C17" s="98">
        <v>15</v>
      </c>
      <c r="D17" s="98" t="s">
        <v>2571</v>
      </c>
      <c r="E17" s="116">
        <v>45492</v>
      </c>
      <c r="F17" s="98">
        <v>1</v>
      </c>
      <c r="G17" s="216">
        <v>1</v>
      </c>
      <c r="H17" s="202">
        <v>0</v>
      </c>
      <c r="I17" s="98" t="s">
        <v>2291</v>
      </c>
      <c r="J17" s="98" t="s">
        <v>2291</v>
      </c>
      <c r="K17" s="98" t="s">
        <v>2291</v>
      </c>
      <c r="L17" s="98" t="s">
        <v>2291</v>
      </c>
      <c r="M17" s="98" t="s">
        <v>2291</v>
      </c>
      <c r="N17" s="98" t="s">
        <v>2291</v>
      </c>
      <c r="O17" s="98" t="s">
        <v>2291</v>
      </c>
      <c r="P17" s="98" t="s">
        <v>2291</v>
      </c>
      <c r="Q17" s="98" t="s">
        <v>2291</v>
      </c>
      <c r="R17" s="98" t="s">
        <v>2291</v>
      </c>
      <c r="S17" s="98" t="s">
        <v>2291</v>
      </c>
      <c r="T17" s="98" t="s">
        <v>2291</v>
      </c>
      <c r="U17" s="98" t="s">
        <v>2291</v>
      </c>
      <c r="V17" s="98" t="s">
        <v>2291</v>
      </c>
      <c r="W17" s="98" t="s">
        <v>2291</v>
      </c>
      <c r="X17" s="98" t="s">
        <v>2291</v>
      </c>
      <c r="Y17" s="98" t="s">
        <v>2291</v>
      </c>
      <c r="Z17" s="98" t="s">
        <v>2291</v>
      </c>
      <c r="AA17" s="98" t="s">
        <v>2291</v>
      </c>
      <c r="AB17" s="98" t="s">
        <v>2291</v>
      </c>
      <c r="AC17" s="98" t="s">
        <v>2291</v>
      </c>
      <c r="AD17" s="98" t="s">
        <v>2291</v>
      </c>
      <c r="AE17" s="98" t="s">
        <v>2291</v>
      </c>
      <c r="AF17" s="98" t="s">
        <v>2291</v>
      </c>
      <c r="AG17" s="98" t="s">
        <v>2291</v>
      </c>
      <c r="AH17" s="98" t="s">
        <v>2291</v>
      </c>
      <c r="AI17" s="98" t="s">
        <v>2291</v>
      </c>
    </row>
    <row r="18" spans="2:35">
      <c r="B18" s="174" t="s">
        <v>2268</v>
      </c>
      <c r="C18" s="98">
        <v>16</v>
      </c>
      <c r="D18" s="98" t="s">
        <v>2571</v>
      </c>
      <c r="E18" s="116">
        <v>45492</v>
      </c>
      <c r="F18" s="98">
        <v>1</v>
      </c>
      <c r="G18" s="216">
        <v>1</v>
      </c>
      <c r="H18" s="202">
        <v>0</v>
      </c>
      <c r="I18" s="98" t="s">
        <v>2291</v>
      </c>
      <c r="J18" s="98" t="s">
        <v>2291</v>
      </c>
      <c r="K18" s="98" t="s">
        <v>2291</v>
      </c>
      <c r="L18" s="98" t="s">
        <v>2291</v>
      </c>
      <c r="M18" s="98" t="s">
        <v>2291</v>
      </c>
      <c r="N18" s="98" t="s">
        <v>2291</v>
      </c>
      <c r="O18" s="98" t="s">
        <v>2291</v>
      </c>
      <c r="P18" s="98" t="s">
        <v>2291</v>
      </c>
      <c r="Q18" s="98" t="s">
        <v>2291</v>
      </c>
      <c r="R18" s="98" t="s">
        <v>2291</v>
      </c>
      <c r="S18" s="98" t="s">
        <v>2291</v>
      </c>
      <c r="T18" s="98" t="s">
        <v>2291</v>
      </c>
      <c r="U18" s="98" t="s">
        <v>2291</v>
      </c>
      <c r="V18" s="98" t="s">
        <v>2291</v>
      </c>
      <c r="W18" s="98" t="s">
        <v>2291</v>
      </c>
      <c r="X18" s="98" t="s">
        <v>2291</v>
      </c>
      <c r="Y18" s="98" t="s">
        <v>2291</v>
      </c>
      <c r="Z18" s="98" t="s">
        <v>2291</v>
      </c>
      <c r="AA18" s="98" t="s">
        <v>2291</v>
      </c>
      <c r="AB18" s="98" t="s">
        <v>2291</v>
      </c>
      <c r="AC18" s="98" t="s">
        <v>2291</v>
      </c>
      <c r="AD18" s="98" t="s">
        <v>2291</v>
      </c>
      <c r="AE18" s="98" t="s">
        <v>2291</v>
      </c>
      <c r="AF18" s="98" t="s">
        <v>2291</v>
      </c>
      <c r="AG18" s="98" t="s">
        <v>2291</v>
      </c>
      <c r="AH18" s="98" t="s">
        <v>2291</v>
      </c>
      <c r="AI18" s="98" t="s">
        <v>2291</v>
      </c>
    </row>
    <row r="19" spans="2:35">
      <c r="B19" s="141" t="s">
        <v>2274</v>
      </c>
      <c r="C19" s="98">
        <v>19</v>
      </c>
      <c r="D19" s="98" t="s">
        <v>2572</v>
      </c>
      <c r="E19" s="116">
        <v>45492</v>
      </c>
      <c r="F19" s="98">
        <v>1</v>
      </c>
      <c r="G19" s="216" cm="1">
        <f t="array" aca="1" ref="G19" ca="1">SUMPRODUCT(--(ISNUMBER((SEARCH(I25:AI25,I19:AI19)))))/COUNTA(I19:AI19)</f>
        <v>0.96296296296296291</v>
      </c>
      <c r="H19" s="98" t="s">
        <v>2291</v>
      </c>
      <c r="I19" s="98" t="s">
        <v>2341</v>
      </c>
      <c r="J19" s="98" t="s">
        <v>2341</v>
      </c>
      <c r="K19" s="98" t="s">
        <v>2507</v>
      </c>
      <c r="L19" s="98" t="s">
        <v>2342</v>
      </c>
      <c r="M19" s="98" t="s">
        <v>2341</v>
      </c>
      <c r="N19" s="98" t="s">
        <v>2341</v>
      </c>
      <c r="O19" s="98" t="s">
        <v>2341</v>
      </c>
      <c r="P19" s="98" t="s">
        <v>2341</v>
      </c>
      <c r="Q19" s="98" t="s">
        <v>2341</v>
      </c>
      <c r="R19" s="98" t="s">
        <v>2341</v>
      </c>
      <c r="S19" s="98" t="s">
        <v>2341</v>
      </c>
      <c r="T19" s="98" t="s">
        <v>2341</v>
      </c>
      <c r="U19" s="98" t="s">
        <v>2341</v>
      </c>
      <c r="V19" s="98" t="s">
        <v>2341</v>
      </c>
      <c r="W19" s="98" t="s">
        <v>2341</v>
      </c>
      <c r="X19" s="98" t="s">
        <v>2341</v>
      </c>
      <c r="Y19" s="98" t="s">
        <v>2341</v>
      </c>
      <c r="Z19" s="98" t="s">
        <v>2573</v>
      </c>
      <c r="AA19" s="98" t="s">
        <v>2341</v>
      </c>
      <c r="AB19" s="98" t="s">
        <v>2341</v>
      </c>
      <c r="AC19" s="98" t="s">
        <v>2341</v>
      </c>
      <c r="AD19" s="98" t="s">
        <v>2341</v>
      </c>
      <c r="AE19" s="98" t="s">
        <v>2341</v>
      </c>
      <c r="AF19" s="98" t="s">
        <v>2341</v>
      </c>
      <c r="AG19" s="98" t="s">
        <v>2341</v>
      </c>
      <c r="AH19" s="98" t="s">
        <v>2341</v>
      </c>
      <c r="AI19" s="98" t="s">
        <v>2344</v>
      </c>
    </row>
    <row r="20" spans="2:35">
      <c r="B20" s="141" t="s">
        <v>2277</v>
      </c>
      <c r="C20" s="98">
        <v>20</v>
      </c>
      <c r="D20" s="98"/>
      <c r="E20" s="116"/>
      <c r="F20" s="98"/>
      <c r="G20" s="216" t="e" cm="1" vm="1">
        <f t="array" ref="G20">SUM(IF(I2:AI2 = I24:AI24, 1, 0))/ COUNTA(I2:AI2)</f>
        <v>#VALUE!</v>
      </c>
      <c r="H20" s="98" t="s">
        <v>2291</v>
      </c>
      <c r="I20" s="98" t="s">
        <v>2291</v>
      </c>
      <c r="J20" s="98" t="s">
        <v>2291</v>
      </c>
      <c r="K20" s="98" t="s">
        <v>2291</v>
      </c>
      <c r="L20" s="98" t="s">
        <v>2291</v>
      </c>
      <c r="M20" s="98" t="s">
        <v>2291</v>
      </c>
      <c r="N20" s="98" t="s">
        <v>2291</v>
      </c>
      <c r="O20" s="98" t="s">
        <v>2291</v>
      </c>
      <c r="P20" s="98" t="s">
        <v>2291</v>
      </c>
      <c r="Q20" s="98" t="s">
        <v>2291</v>
      </c>
      <c r="R20" s="98" t="s">
        <v>2291</v>
      </c>
      <c r="S20" s="98" t="s">
        <v>2291</v>
      </c>
      <c r="T20" s="98" t="s">
        <v>2291</v>
      </c>
      <c r="U20" s="98" t="s">
        <v>2291</v>
      </c>
      <c r="V20" s="98" t="s">
        <v>2291</v>
      </c>
      <c r="W20" s="98" t="s">
        <v>2291</v>
      </c>
      <c r="X20" s="98" t="s">
        <v>2291</v>
      </c>
      <c r="Y20" s="98" t="s">
        <v>2291</v>
      </c>
      <c r="Z20" s="98" t="s">
        <v>2291</v>
      </c>
      <c r="AA20" s="98" t="s">
        <v>2291</v>
      </c>
      <c r="AB20" s="98" t="s">
        <v>2291</v>
      </c>
      <c r="AC20" s="98" t="s">
        <v>2291</v>
      </c>
      <c r="AD20" s="98" t="s">
        <v>2291</v>
      </c>
      <c r="AE20" s="98" t="s">
        <v>2291</v>
      </c>
      <c r="AF20" s="98" t="s">
        <v>2291</v>
      </c>
      <c r="AG20" s="98" t="s">
        <v>2291</v>
      </c>
      <c r="AH20" s="98" t="s">
        <v>2291</v>
      </c>
      <c r="AI20" s="98" t="s">
        <v>2291</v>
      </c>
    </row>
    <row r="21" spans="2:35">
      <c r="B21" s="165" t="s">
        <v>2280</v>
      </c>
      <c r="C21" s="98">
        <v>21</v>
      </c>
      <c r="D21" s="98"/>
      <c r="E21" s="116"/>
      <c r="F21" s="98"/>
      <c r="G21" s="216" t="e" cm="1" vm="1">
        <f t="array" aca="1" ref="G21" ca="1">SUM(IF(IF(G3:G20="null",1,G3:G20)=1,1,0))/COUNT(IF(G3:G20="null",1,1))</f>
        <v>#VALUE!</v>
      </c>
      <c r="H21" s="98" t="s">
        <v>2291</v>
      </c>
      <c r="I21" s="98" t="s">
        <v>2291</v>
      </c>
      <c r="J21" s="98" t="s">
        <v>2291</v>
      </c>
      <c r="K21" s="98" t="s">
        <v>2291</v>
      </c>
      <c r="L21" s="98" t="s">
        <v>2291</v>
      </c>
      <c r="M21" s="98" t="s">
        <v>2291</v>
      </c>
      <c r="N21" s="98" t="s">
        <v>2291</v>
      </c>
      <c r="O21" s="98" t="s">
        <v>2291</v>
      </c>
      <c r="P21" s="98" t="s">
        <v>2291</v>
      </c>
      <c r="Q21" s="98" t="s">
        <v>2291</v>
      </c>
      <c r="R21" s="98" t="s">
        <v>2291</v>
      </c>
      <c r="S21" s="98" t="s">
        <v>2291</v>
      </c>
      <c r="T21" s="98" t="s">
        <v>2291</v>
      </c>
      <c r="U21" s="98" t="s">
        <v>2291</v>
      </c>
      <c r="V21" s="98" t="s">
        <v>2291</v>
      </c>
      <c r="W21" s="98" t="s">
        <v>2291</v>
      </c>
      <c r="X21" s="98" t="s">
        <v>2291</v>
      </c>
      <c r="Y21" s="98" t="s">
        <v>2291</v>
      </c>
      <c r="Z21" s="98" t="s">
        <v>2291</v>
      </c>
      <c r="AA21" s="98" t="s">
        <v>2291</v>
      </c>
      <c r="AB21" s="98" t="s">
        <v>2291</v>
      </c>
      <c r="AC21" s="98" t="s">
        <v>2291</v>
      </c>
      <c r="AD21" s="98" t="s">
        <v>2291</v>
      </c>
      <c r="AE21" s="98" t="s">
        <v>2291</v>
      </c>
      <c r="AF21" s="98" t="s">
        <v>2291</v>
      </c>
      <c r="AG21" s="98" t="s">
        <v>2291</v>
      </c>
      <c r="AH21" s="98" t="s">
        <v>2291</v>
      </c>
      <c r="AI21" s="98" t="s">
        <v>2291</v>
      </c>
    </row>
    <row r="22" spans="2:35">
      <c r="B22" s="98"/>
      <c r="C22" s="98"/>
      <c r="D22" s="98"/>
      <c r="E22" s="116"/>
      <c r="F22" s="98"/>
      <c r="G22" s="98"/>
      <c r="H22" s="98"/>
      <c r="I22" s="98"/>
      <c r="J22" s="98"/>
      <c r="K22" s="98"/>
      <c r="L22" s="98"/>
      <c r="M22" s="98"/>
      <c r="N22" s="98"/>
      <c r="O22" s="98"/>
      <c r="P22" s="98"/>
      <c r="Q22" s="98"/>
      <c r="R22" s="98"/>
      <c r="S22" s="98"/>
      <c r="T22" s="98"/>
      <c r="U22" s="98"/>
    </row>
    <row r="23" spans="2:35">
      <c r="B23" s="106" t="s">
        <v>2345</v>
      </c>
    </row>
    <row r="24" spans="2:35">
      <c r="B24" s="107" t="s">
        <v>2346</v>
      </c>
      <c r="C24" s="108" t="s">
        <v>2284</v>
      </c>
      <c r="D24" s="108" t="s">
        <v>2285</v>
      </c>
      <c r="E24" s="108" t="s">
        <v>2286</v>
      </c>
      <c r="F24" s="108" t="s">
        <v>2287</v>
      </c>
      <c r="G24" s="108" t="s">
        <v>2288</v>
      </c>
      <c r="H24" s="108" t="s">
        <v>2289</v>
      </c>
      <c r="I24" s="109" t="e" cm="1" vm="2">
        <f t="array" ref="I24">TRANSPOSE(_xlfn.SORTBY(_xlfn._xlws.FILTER(Table2[NOME FÍSICO CAMPO],Table2[NOME FÍSICO TABELA]="credit_card_account_plan_transaction"), _xlfn._xlws.FILTER(Table2[ORDEM], Table2[NOME FÍSICO TABELA]="credit_card_account_plan_transaction"), 1))</f>
        <v>#VALUE!</v>
      </c>
      <c r="J24" s="109"/>
      <c r="K24" s="109"/>
      <c r="L24" s="109"/>
      <c r="M24" s="109"/>
      <c r="N24" s="109"/>
      <c r="O24" s="109"/>
      <c r="P24" s="109"/>
      <c r="Q24" s="109"/>
      <c r="R24" s="109"/>
      <c r="S24" s="109"/>
      <c r="T24" s="109"/>
      <c r="U24" s="178"/>
      <c r="V24" s="178"/>
      <c r="W24" s="178"/>
      <c r="X24" s="178"/>
      <c r="Y24" s="200"/>
      <c r="Z24" s="200"/>
      <c r="AA24" s="200"/>
      <c r="AB24" s="200"/>
      <c r="AC24" s="200"/>
      <c r="AD24" s="200"/>
      <c r="AE24" s="200"/>
      <c r="AF24" s="200"/>
      <c r="AG24" s="200"/>
      <c r="AH24" s="200"/>
      <c r="AI24" s="201"/>
    </row>
    <row r="25" spans="2:35">
      <c r="B25" s="100" t="s">
        <v>2347</v>
      </c>
      <c r="C25" s="113">
        <v>21</v>
      </c>
      <c r="D25" s="102" t="s">
        <v>2348</v>
      </c>
      <c r="E25" s="101" t="s">
        <v>2349</v>
      </c>
      <c r="F25" s="101" t="s">
        <v>781</v>
      </c>
      <c r="G25" s="101" t="s">
        <v>781</v>
      </c>
      <c r="H25" s="101" t="s">
        <v>781</v>
      </c>
      <c r="I25" s="101" t="e" cm="1" vm="2">
        <f t="array" aca="1" ref="I25" ca="1">TRANSPOSE(_xlfn.SORTBY(_xlfn._xlws.FILTER(IF(Table2[FORMATO]:Table2[COMP_ CAMPO]&lt;&gt;"",Table2[FORMATO]:Table2[COMP_ CAMPO],9999999),Table2[NOME FÍSICO TABELA]="credit_card_account_plan_transaction"), _xlfn._xlws.FILTER(Table2[ORDEM], Table2[NOME FÍSICO TABELA]="credit_card_account_plan_transaction"), 1))</f>
        <v>#VALUE!</v>
      </c>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12"/>
    </row>
    <row r="26" spans="2:35" s="97" customFormat="1">
      <c r="B26" s="118" t="s">
        <v>2350</v>
      </c>
      <c r="C26" s="113">
        <v>7</v>
      </c>
      <c r="D26" s="119" t="s">
        <v>2348</v>
      </c>
      <c r="E26" s="113" t="s">
        <v>2349</v>
      </c>
      <c r="F26" s="113" t="s">
        <v>781</v>
      </c>
      <c r="G26" s="113" t="s">
        <v>781</v>
      </c>
      <c r="H26" s="113" t="s">
        <v>781</v>
      </c>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4"/>
    </row>
    <row r="27" spans="2:35">
      <c r="B27" t="s">
        <v>2574</v>
      </c>
    </row>
    <row r="29" spans="2:35">
      <c r="B29" s="123" t="s">
        <v>2351</v>
      </c>
    </row>
    <row r="30" spans="2:35">
      <c r="B30" s="132" t="s">
        <v>2352</v>
      </c>
      <c r="C30" s="132" t="s">
        <v>2353</v>
      </c>
      <c r="D30" s="133" t="s">
        <v>2354</v>
      </c>
      <c r="E30" s="132" t="s">
        <v>2355</v>
      </c>
      <c r="F30" s="132" t="s">
        <v>2356</v>
      </c>
      <c r="H30" s="218"/>
    </row>
    <row r="31" spans="2:35" ht="45.75">
      <c r="B31" s="130" t="s">
        <v>2365</v>
      </c>
      <c r="C31" s="83" t="s">
        <v>1079</v>
      </c>
      <c r="D31" s="83" t="s">
        <v>2447</v>
      </c>
      <c r="E31" s="83" t="s">
        <v>2575</v>
      </c>
      <c r="F31" s="131" t="s">
        <v>2449</v>
      </c>
    </row>
    <row r="32" spans="2:35" ht="45.75">
      <c r="B32" s="130" t="s">
        <v>2365</v>
      </c>
      <c r="C32" s="203" t="s">
        <v>1169</v>
      </c>
      <c r="D32" s="203" t="s">
        <v>2576</v>
      </c>
      <c r="E32" s="203" t="s">
        <v>2577</v>
      </c>
      <c r="F32" s="217" t="s">
        <v>2360</v>
      </c>
      <c r="H32" s="186"/>
    </row>
    <row r="33" spans="2:8" ht="30.75">
      <c r="B33" s="130" t="s">
        <v>2365</v>
      </c>
      <c r="C33" s="203" t="s">
        <v>1272</v>
      </c>
      <c r="D33" s="203" t="s">
        <v>2578</v>
      </c>
      <c r="E33" s="203" t="s">
        <v>2579</v>
      </c>
      <c r="F33" s="217" t="s">
        <v>2360</v>
      </c>
      <c r="H33" s="186"/>
    </row>
    <row r="34" spans="2:8" ht="121.5">
      <c r="B34" s="134" t="s">
        <v>2365</v>
      </c>
      <c r="C34" s="87" t="s">
        <v>1512</v>
      </c>
      <c r="D34" s="87" t="s">
        <v>2580</v>
      </c>
      <c r="E34" s="87" t="s">
        <v>2581</v>
      </c>
      <c r="F34" s="78" t="s">
        <v>2582</v>
      </c>
      <c r="H34" s="186"/>
    </row>
    <row r="35" spans="2:8" ht="156" customHeight="1">
      <c r="B35" s="134" t="s">
        <v>2365</v>
      </c>
      <c r="C35" s="87" t="s">
        <v>1597</v>
      </c>
      <c r="D35" s="87" t="s">
        <v>2583</v>
      </c>
      <c r="E35" s="87" t="s">
        <v>2581</v>
      </c>
      <c r="F35" s="78" t="s">
        <v>2582</v>
      </c>
      <c r="H35" s="185"/>
    </row>
    <row r="36" spans="2:8" ht="45.75">
      <c r="B36" s="134" t="s">
        <v>2365</v>
      </c>
      <c r="C36" s="87" t="s">
        <v>1974</v>
      </c>
      <c r="D36" s="87" t="s">
        <v>2584</v>
      </c>
      <c r="E36" s="87" t="s">
        <v>2585</v>
      </c>
      <c r="F36" s="78" t="s">
        <v>2369</v>
      </c>
    </row>
    <row r="37" spans="2:8" ht="183">
      <c r="B37" s="214" t="s">
        <v>2365</v>
      </c>
      <c r="C37" s="213" t="s">
        <v>1993</v>
      </c>
      <c r="D37" s="213" t="s">
        <v>2586</v>
      </c>
      <c r="E37" s="213" t="s">
        <v>2587</v>
      </c>
      <c r="F37" s="78" t="s">
        <v>2588</v>
      </c>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24A9-0CAC-4604-A48B-B18E1EC3F297}">
  <sheetPr>
    <tabColor rgb="FF00B050"/>
  </sheetPr>
  <dimension ref="B1:X35"/>
  <sheetViews>
    <sheetView showGridLines="0" topLeftCell="A32" workbookViewId="0">
      <selection activeCell="F19" sqref="F19"/>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21" ht="38.25" customHeight="1"/>
    <row r="2" spans="2:21">
      <c r="B2" s="97" t="s">
        <v>2283</v>
      </c>
      <c r="C2" s="97" t="s">
        <v>2284</v>
      </c>
      <c r="D2" s="97" t="s">
        <v>2285</v>
      </c>
      <c r="E2" s="97" t="s">
        <v>2286</v>
      </c>
      <c r="F2" s="97" t="s">
        <v>2287</v>
      </c>
      <c r="G2" s="97" t="s">
        <v>2288</v>
      </c>
      <c r="H2" s="97" t="s">
        <v>2289</v>
      </c>
      <c r="I2" s="97" t="s">
        <v>730</v>
      </c>
      <c r="J2" s="97" t="s">
        <v>842</v>
      </c>
      <c r="K2" s="97" t="s">
        <v>923</v>
      </c>
      <c r="L2" s="97" t="s">
        <v>1012</v>
      </c>
      <c r="M2" s="97" t="s">
        <v>1079</v>
      </c>
      <c r="N2" s="109" t="s">
        <v>1169</v>
      </c>
      <c r="O2" s="97" t="s">
        <v>1255</v>
      </c>
      <c r="P2" s="97" t="s">
        <v>1334</v>
      </c>
      <c r="Q2" s="97" t="s">
        <v>1224</v>
      </c>
      <c r="R2" s="97" t="s">
        <v>1440</v>
      </c>
      <c r="S2" s="97" t="s">
        <v>1499</v>
      </c>
      <c r="T2" s="97" t="s">
        <v>1561</v>
      </c>
      <c r="U2" s="97" t="s">
        <v>1614</v>
      </c>
    </row>
    <row r="3" spans="2:21">
      <c r="B3" s="141" t="s">
        <v>2237</v>
      </c>
      <c r="C3" s="98">
        <v>1</v>
      </c>
      <c r="D3" s="98" t="s">
        <v>2589</v>
      </c>
      <c r="E3" s="116">
        <v>45504</v>
      </c>
      <c r="F3" s="98">
        <v>1</v>
      </c>
      <c r="G3" s="216">
        <v>1</v>
      </c>
      <c r="H3" s="170">
        <v>14644</v>
      </c>
      <c r="I3" s="98" t="s">
        <v>2291</v>
      </c>
      <c r="J3" s="98" t="s">
        <v>2291</v>
      </c>
      <c r="K3" s="98" t="s">
        <v>2291</v>
      </c>
      <c r="L3" s="98" t="s">
        <v>2291</v>
      </c>
      <c r="M3" s="98" t="s">
        <v>2291</v>
      </c>
      <c r="N3" s="98" t="s">
        <v>2291</v>
      </c>
      <c r="O3" s="98" t="s">
        <v>2291</v>
      </c>
      <c r="P3" s="98" t="s">
        <v>2291</v>
      </c>
      <c r="Q3" s="98" t="s">
        <v>2291</v>
      </c>
      <c r="R3" s="98" t="s">
        <v>2291</v>
      </c>
      <c r="S3" s="98" t="s">
        <v>2291</v>
      </c>
      <c r="T3" s="98" t="s">
        <v>2291</v>
      </c>
      <c r="U3" s="98" t="s">
        <v>2291</v>
      </c>
    </row>
    <row r="4" spans="2:21">
      <c r="B4" s="141" t="s">
        <v>2239</v>
      </c>
      <c r="C4" s="98">
        <v>2</v>
      </c>
      <c r="D4" s="98" t="s">
        <v>2590</v>
      </c>
      <c r="E4" s="116">
        <v>45504</v>
      </c>
      <c r="F4" s="98">
        <v>1</v>
      </c>
      <c r="G4" s="216">
        <v>0.55845400000000001</v>
      </c>
      <c r="H4" s="202">
        <v>6466</v>
      </c>
      <c r="I4" s="98" t="s">
        <v>2291</v>
      </c>
      <c r="J4" s="98" t="s">
        <v>2291</v>
      </c>
      <c r="K4" s="98" t="s">
        <v>2291</v>
      </c>
      <c r="L4" s="98" t="s">
        <v>2291</v>
      </c>
      <c r="M4" s="98" t="s">
        <v>2291</v>
      </c>
      <c r="N4" s="98" t="s">
        <v>2291</v>
      </c>
      <c r="O4" s="98" t="s">
        <v>2291</v>
      </c>
      <c r="P4" s="98" t="s">
        <v>2291</v>
      </c>
      <c r="Q4" s="98" t="s">
        <v>2291</v>
      </c>
      <c r="R4" s="98" t="s">
        <v>2291</v>
      </c>
      <c r="S4" s="98" t="s">
        <v>2291</v>
      </c>
      <c r="T4" s="98" t="s">
        <v>2291</v>
      </c>
      <c r="U4" s="98" t="s">
        <v>2291</v>
      </c>
    </row>
    <row r="5" spans="2:21">
      <c r="B5" s="141" t="s">
        <v>2241</v>
      </c>
      <c r="C5" s="98">
        <v>3</v>
      </c>
      <c r="D5" s="98" t="s">
        <v>2591</v>
      </c>
      <c r="E5" s="116">
        <v>45504</v>
      </c>
      <c r="F5" s="98">
        <v>1</v>
      </c>
      <c r="G5" s="216">
        <v>1</v>
      </c>
      <c r="H5" s="202">
        <v>0</v>
      </c>
      <c r="I5" s="98">
        <v>0</v>
      </c>
      <c r="J5" s="98">
        <v>0</v>
      </c>
      <c r="K5" s="98">
        <v>0</v>
      </c>
      <c r="L5" s="98">
        <v>0</v>
      </c>
      <c r="M5" s="98" t="s">
        <v>2291</v>
      </c>
      <c r="N5" s="98" t="s">
        <v>2291</v>
      </c>
      <c r="O5" s="98" t="s">
        <v>2291</v>
      </c>
      <c r="P5" s="98" t="s">
        <v>2291</v>
      </c>
      <c r="Q5" s="98" t="s">
        <v>2291</v>
      </c>
      <c r="R5" s="98" t="s">
        <v>2291</v>
      </c>
      <c r="S5" s="98" t="s">
        <v>2291</v>
      </c>
      <c r="T5" s="98">
        <v>0</v>
      </c>
      <c r="U5" s="98" t="s">
        <v>2291</v>
      </c>
    </row>
    <row r="6" spans="2:21">
      <c r="B6" s="88" t="s">
        <v>2243</v>
      </c>
      <c r="C6" s="98">
        <v>4</v>
      </c>
      <c r="D6" s="98" t="s">
        <v>2296</v>
      </c>
      <c r="E6" s="116" t="s">
        <v>2291</v>
      </c>
      <c r="F6" s="98">
        <v>1</v>
      </c>
      <c r="G6" s="216" t="s">
        <v>2291</v>
      </c>
      <c r="H6" s="202">
        <v>0</v>
      </c>
      <c r="I6" s="98" t="s">
        <v>2291</v>
      </c>
      <c r="J6" s="98" t="s">
        <v>2291</v>
      </c>
      <c r="K6" s="98" t="s">
        <v>2291</v>
      </c>
      <c r="L6" s="98" t="s">
        <v>2291</v>
      </c>
      <c r="M6" s="98" t="s">
        <v>2291</v>
      </c>
      <c r="N6" s="98" t="s">
        <v>2291</v>
      </c>
      <c r="O6" s="98" t="s">
        <v>2291</v>
      </c>
      <c r="P6" s="98" t="s">
        <v>2291</v>
      </c>
      <c r="Q6" s="98" t="s">
        <v>2291</v>
      </c>
      <c r="R6" s="98" t="s">
        <v>2291</v>
      </c>
      <c r="S6" s="98" t="s">
        <v>2291</v>
      </c>
      <c r="T6" s="98" t="s">
        <v>2291</v>
      </c>
      <c r="U6" s="98" t="s">
        <v>2291</v>
      </c>
    </row>
    <row r="7" spans="2:21">
      <c r="B7" s="88" t="s">
        <v>2245</v>
      </c>
      <c r="C7" s="98">
        <v>5</v>
      </c>
      <c r="D7" s="98" t="s">
        <v>2296</v>
      </c>
      <c r="E7" s="116" t="s">
        <v>2291</v>
      </c>
      <c r="F7" s="98">
        <v>1</v>
      </c>
      <c r="G7" s="216" t="s">
        <v>2291</v>
      </c>
      <c r="H7" s="202">
        <v>0</v>
      </c>
      <c r="I7" s="98" t="s">
        <v>2291</v>
      </c>
      <c r="J7" s="98" t="s">
        <v>2291</v>
      </c>
      <c r="K7" s="98" t="s">
        <v>2291</v>
      </c>
      <c r="L7" s="98" t="s">
        <v>2291</v>
      </c>
      <c r="M7" s="98" t="s">
        <v>2291</v>
      </c>
      <c r="N7" s="98" t="s">
        <v>2291</v>
      </c>
      <c r="O7" s="98" t="s">
        <v>2291</v>
      </c>
      <c r="P7" s="98" t="s">
        <v>2291</v>
      </c>
      <c r="Q7" s="98" t="s">
        <v>2291</v>
      </c>
      <c r="R7" s="98" t="s">
        <v>2291</v>
      </c>
      <c r="S7" s="98" t="s">
        <v>2291</v>
      </c>
      <c r="T7" s="98" t="s">
        <v>2291</v>
      </c>
      <c r="U7" s="98" t="s">
        <v>2291</v>
      </c>
    </row>
    <row r="8" spans="2:21">
      <c r="B8" s="172" t="s">
        <v>2246</v>
      </c>
      <c r="C8" s="98">
        <v>6</v>
      </c>
      <c r="D8" s="98" t="s">
        <v>2592</v>
      </c>
      <c r="E8" s="116">
        <v>45504</v>
      </c>
      <c r="F8" s="98">
        <v>1</v>
      </c>
      <c r="G8" s="216" cm="1">
        <f t="array" ref="G8">SUMPRODUCT(--(I8:U8&gt;0))/COUNTA(I8:U8)</f>
        <v>0.92307692307692313</v>
      </c>
      <c r="H8" s="202">
        <v>0</v>
      </c>
      <c r="I8" s="98">
        <v>2</v>
      </c>
      <c r="J8" s="98">
        <v>22</v>
      </c>
      <c r="K8" s="98">
        <v>1</v>
      </c>
      <c r="L8" s="98">
        <v>3</v>
      </c>
      <c r="M8" s="98">
        <v>0</v>
      </c>
      <c r="N8" s="98">
        <v>1</v>
      </c>
      <c r="O8" s="98">
        <v>3</v>
      </c>
      <c r="P8" s="98">
        <v>10</v>
      </c>
      <c r="Q8" s="98">
        <v>10</v>
      </c>
      <c r="R8" s="98">
        <v>1</v>
      </c>
      <c r="S8" s="98">
        <v>2</v>
      </c>
      <c r="T8" s="98">
        <v>10</v>
      </c>
      <c r="U8" s="98">
        <v>23</v>
      </c>
    </row>
    <row r="9" spans="2:21">
      <c r="B9" s="141" t="s">
        <v>2249</v>
      </c>
      <c r="C9" s="98">
        <v>7</v>
      </c>
      <c r="D9" s="98" t="s">
        <v>2593</v>
      </c>
      <c r="E9" s="116">
        <v>45504</v>
      </c>
      <c r="F9" s="98">
        <v>1</v>
      </c>
      <c r="G9" s="216" cm="1">
        <f t="array" aca="1" ref="G9" ca="1">SUMPRODUCT(--(I9:U9&lt;=I26:U26))/COUNTA(I9:U9)</f>
        <v>0.76923076923076927</v>
      </c>
      <c r="H9" s="202">
        <v>0</v>
      </c>
      <c r="I9" s="98">
        <v>2</v>
      </c>
      <c r="J9" s="98">
        <v>22</v>
      </c>
      <c r="K9" s="98">
        <v>5</v>
      </c>
      <c r="L9" s="98">
        <v>3</v>
      </c>
      <c r="M9" s="98">
        <v>0</v>
      </c>
      <c r="N9" s="98">
        <v>1</v>
      </c>
      <c r="O9" s="98">
        <v>3</v>
      </c>
      <c r="P9" s="98">
        <v>10</v>
      </c>
      <c r="Q9" s="98">
        <v>10</v>
      </c>
      <c r="R9" s="98">
        <v>8</v>
      </c>
      <c r="S9" s="98">
        <v>2</v>
      </c>
      <c r="T9" s="98">
        <v>10</v>
      </c>
      <c r="U9" s="98">
        <v>23</v>
      </c>
    </row>
    <row r="10" spans="2:21">
      <c r="B10" s="141" t="s">
        <v>2252</v>
      </c>
      <c r="C10" s="98">
        <v>8</v>
      </c>
      <c r="D10" s="98" t="s">
        <v>2594</v>
      </c>
      <c r="E10" s="116">
        <v>45504</v>
      </c>
      <c r="F10" s="98">
        <v>1</v>
      </c>
      <c r="G10" s="216" t="s">
        <v>2291</v>
      </c>
      <c r="H10" s="202">
        <v>0</v>
      </c>
      <c r="I10" s="98">
        <v>31</v>
      </c>
      <c r="J10" s="98">
        <v>3880630810000000</v>
      </c>
      <c r="K10" s="98">
        <v>1</v>
      </c>
      <c r="L10" s="116">
        <v>155</v>
      </c>
      <c r="M10" s="116" t="s">
        <v>2298</v>
      </c>
      <c r="N10" s="116">
        <v>0</v>
      </c>
      <c r="O10" s="202">
        <v>124</v>
      </c>
      <c r="P10" s="116">
        <v>45482</v>
      </c>
      <c r="Q10" s="116">
        <v>45504</v>
      </c>
      <c r="R10" s="98">
        <v>-2000000</v>
      </c>
      <c r="S10" s="116" t="s">
        <v>2595</v>
      </c>
      <c r="T10" s="116">
        <v>45504</v>
      </c>
      <c r="U10" s="98" t="s">
        <v>2596</v>
      </c>
    </row>
    <row r="11" spans="2:21">
      <c r="B11" s="141" t="s">
        <v>2254</v>
      </c>
      <c r="C11" s="98">
        <v>9</v>
      </c>
      <c r="D11" s="98" t="s">
        <v>2597</v>
      </c>
      <c r="E11" s="116">
        <v>45504</v>
      </c>
      <c r="F11" s="98">
        <v>1</v>
      </c>
      <c r="G11" s="216" t="s">
        <v>2291</v>
      </c>
      <c r="H11" s="202">
        <v>0</v>
      </c>
      <c r="I11" s="98">
        <v>31</v>
      </c>
      <c r="J11" s="98">
        <v>3880630810000000</v>
      </c>
      <c r="K11" s="98">
        <v>1</v>
      </c>
      <c r="L11" s="116">
        <v>155</v>
      </c>
      <c r="M11" s="116" t="s">
        <v>2298</v>
      </c>
      <c r="N11" s="116">
        <v>0</v>
      </c>
      <c r="O11" s="202">
        <v>124</v>
      </c>
      <c r="P11" s="116">
        <v>45482</v>
      </c>
      <c r="Q11" s="116">
        <v>45504</v>
      </c>
      <c r="R11" s="98" t="s">
        <v>2598</v>
      </c>
      <c r="S11" s="116" t="s">
        <v>2595</v>
      </c>
      <c r="T11" s="116">
        <v>45504</v>
      </c>
      <c r="U11" s="98" t="s">
        <v>2599</v>
      </c>
    </row>
    <row r="12" spans="2:21">
      <c r="B12" s="164" t="s">
        <v>2256</v>
      </c>
      <c r="C12" s="98">
        <v>10</v>
      </c>
      <c r="D12" s="98" t="s">
        <v>2600</v>
      </c>
      <c r="E12" s="116">
        <v>45504</v>
      </c>
      <c r="F12" s="98">
        <v>1</v>
      </c>
      <c r="G12" s="216" t="s">
        <v>2291</v>
      </c>
      <c r="H12" s="202">
        <v>0</v>
      </c>
      <c r="I12" s="98">
        <v>31</v>
      </c>
      <c r="J12" s="98">
        <v>5.3070000293106103E+21</v>
      </c>
      <c r="K12" s="98">
        <v>99999</v>
      </c>
      <c r="L12" s="116">
        <v>156</v>
      </c>
      <c r="M12" s="116" t="s">
        <v>2298</v>
      </c>
      <c r="N12" s="116">
        <v>1</v>
      </c>
      <c r="O12" s="202">
        <v>978</v>
      </c>
      <c r="P12" s="117">
        <v>45504</v>
      </c>
      <c r="Q12" s="116">
        <v>45504</v>
      </c>
      <c r="R12" s="98">
        <v>2000000</v>
      </c>
      <c r="S12" s="116" t="s">
        <v>2595</v>
      </c>
      <c r="T12" s="116">
        <v>45504</v>
      </c>
      <c r="U12" s="98" t="s">
        <v>2596</v>
      </c>
    </row>
    <row r="13" spans="2:21">
      <c r="B13" s="141" t="s">
        <v>2258</v>
      </c>
      <c r="C13" s="98">
        <v>11</v>
      </c>
      <c r="D13" s="98" t="s">
        <v>2601</v>
      </c>
      <c r="E13" s="116">
        <v>45504</v>
      </c>
      <c r="F13" s="98">
        <v>1</v>
      </c>
      <c r="G13" s="216" t="s">
        <v>2291</v>
      </c>
      <c r="H13" s="202">
        <v>0</v>
      </c>
      <c r="I13" s="98">
        <v>31</v>
      </c>
      <c r="J13" s="98">
        <v>5.3070000293106103E+21</v>
      </c>
      <c r="K13" s="98">
        <v>99999</v>
      </c>
      <c r="L13" s="116">
        <v>156</v>
      </c>
      <c r="M13" s="116" t="s">
        <v>2298</v>
      </c>
      <c r="N13" s="116">
        <v>1</v>
      </c>
      <c r="O13" s="202">
        <v>978</v>
      </c>
      <c r="P13" s="116">
        <v>45504</v>
      </c>
      <c r="Q13" s="116">
        <v>45504</v>
      </c>
      <c r="R13" s="98" t="s">
        <v>2602</v>
      </c>
      <c r="S13" s="116" t="s">
        <v>2595</v>
      </c>
      <c r="T13" s="116">
        <v>45504</v>
      </c>
      <c r="U13" s="98" t="s">
        <v>2603</v>
      </c>
    </row>
    <row r="14" spans="2:21">
      <c r="B14" s="141" t="s">
        <v>2260</v>
      </c>
      <c r="C14" s="98">
        <v>12</v>
      </c>
      <c r="D14" s="98" t="s">
        <v>2604</v>
      </c>
      <c r="E14" s="116">
        <v>45504</v>
      </c>
      <c r="F14" s="98">
        <v>1</v>
      </c>
      <c r="G14" s="216">
        <v>0.84615399999999996</v>
      </c>
      <c r="H14" s="202">
        <v>0</v>
      </c>
      <c r="I14" s="98">
        <v>0</v>
      </c>
      <c r="J14" s="98">
        <v>0</v>
      </c>
      <c r="K14" s="98">
        <v>0</v>
      </c>
      <c r="L14" s="98">
        <v>0</v>
      </c>
      <c r="M14" s="98">
        <v>14644</v>
      </c>
      <c r="N14" s="98">
        <v>782</v>
      </c>
      <c r="O14" s="98">
        <v>0</v>
      </c>
      <c r="P14" s="98">
        <v>0</v>
      </c>
      <c r="Q14" s="98">
        <v>0</v>
      </c>
      <c r="R14" s="98">
        <v>0</v>
      </c>
      <c r="S14" s="98">
        <v>0</v>
      </c>
      <c r="T14" s="98">
        <v>0</v>
      </c>
      <c r="U14" s="98">
        <v>0</v>
      </c>
    </row>
    <row r="15" spans="2:21">
      <c r="B15" s="141" t="s">
        <v>2262</v>
      </c>
      <c r="C15" s="98">
        <v>13</v>
      </c>
      <c r="D15" s="98" t="s">
        <v>2605</v>
      </c>
      <c r="E15" s="116">
        <v>45504</v>
      </c>
      <c r="F15" s="98">
        <v>1</v>
      </c>
      <c r="G15" s="216">
        <v>1</v>
      </c>
      <c r="H15" s="202">
        <v>0</v>
      </c>
      <c r="I15" s="98" t="s">
        <v>2291</v>
      </c>
      <c r="J15" s="98" t="s">
        <v>2291</v>
      </c>
      <c r="K15" s="98" t="s">
        <v>2291</v>
      </c>
      <c r="L15" s="88" t="s">
        <v>2291</v>
      </c>
      <c r="M15" s="88" t="s">
        <v>2291</v>
      </c>
      <c r="N15" s="88" t="s">
        <v>2291</v>
      </c>
      <c r="O15" s="98" t="s">
        <v>2291</v>
      </c>
      <c r="P15" s="88">
        <v>0</v>
      </c>
      <c r="Q15" s="88">
        <v>0</v>
      </c>
      <c r="R15" s="88" t="s">
        <v>2291</v>
      </c>
      <c r="S15" s="98" t="s">
        <v>2291</v>
      </c>
      <c r="T15" s="98" t="s">
        <v>2291</v>
      </c>
      <c r="U15" s="98" t="s">
        <v>2291</v>
      </c>
    </row>
    <row r="16" spans="2:21">
      <c r="B16" s="141" t="s">
        <v>2264</v>
      </c>
      <c r="C16" s="98">
        <v>14</v>
      </c>
      <c r="D16" s="98" t="s">
        <v>2606</v>
      </c>
      <c r="E16" s="116">
        <v>45504</v>
      </c>
      <c r="F16" s="98">
        <v>1</v>
      </c>
      <c r="G16" s="216">
        <v>1</v>
      </c>
      <c r="H16" s="202">
        <v>0</v>
      </c>
      <c r="I16" s="98">
        <v>0</v>
      </c>
      <c r="J16" s="98">
        <v>0</v>
      </c>
      <c r="K16" s="98" t="s">
        <v>2291</v>
      </c>
      <c r="L16" s="98" t="s">
        <v>2291</v>
      </c>
      <c r="M16" s="88">
        <v>0</v>
      </c>
      <c r="N16" s="88">
        <v>0</v>
      </c>
      <c r="O16" s="98">
        <v>0</v>
      </c>
      <c r="P16" s="98" t="s">
        <v>2291</v>
      </c>
      <c r="Q16" s="98" t="s">
        <v>2291</v>
      </c>
      <c r="R16" s="88">
        <v>0</v>
      </c>
      <c r="S16" s="98">
        <v>0</v>
      </c>
      <c r="T16" s="98" t="s">
        <v>2291</v>
      </c>
      <c r="U16" s="98" t="s">
        <v>2291</v>
      </c>
    </row>
    <row r="17" spans="2:24">
      <c r="B17" s="174" t="s">
        <v>2266</v>
      </c>
      <c r="C17" s="98">
        <v>15</v>
      </c>
      <c r="D17" s="98" t="s">
        <v>2607</v>
      </c>
      <c r="E17" s="116">
        <v>45504</v>
      </c>
      <c r="F17" s="98">
        <v>1</v>
      </c>
      <c r="G17" s="216">
        <v>1</v>
      </c>
      <c r="H17" s="202">
        <v>0</v>
      </c>
      <c r="I17" s="98" t="s">
        <v>2291</v>
      </c>
      <c r="J17" s="98" t="s">
        <v>2291</v>
      </c>
      <c r="K17" s="98" t="s">
        <v>2291</v>
      </c>
      <c r="L17" s="98" t="s">
        <v>2291</v>
      </c>
      <c r="M17" s="98" t="s">
        <v>2291</v>
      </c>
      <c r="N17" s="98" t="s">
        <v>2291</v>
      </c>
      <c r="O17" s="98" t="s">
        <v>2291</v>
      </c>
      <c r="P17" s="98" t="s">
        <v>2291</v>
      </c>
      <c r="Q17" s="98" t="s">
        <v>2291</v>
      </c>
      <c r="R17" s="98" t="s">
        <v>2291</v>
      </c>
      <c r="S17" s="98" t="s">
        <v>2291</v>
      </c>
      <c r="T17" s="98" t="s">
        <v>2291</v>
      </c>
      <c r="U17" s="98" t="s">
        <v>2291</v>
      </c>
    </row>
    <row r="18" spans="2:24">
      <c r="B18" s="174" t="s">
        <v>2268</v>
      </c>
      <c r="C18" s="98">
        <v>16</v>
      </c>
      <c r="D18" s="98" t="s">
        <v>2607</v>
      </c>
      <c r="E18" s="116">
        <v>45504</v>
      </c>
      <c r="F18" s="98">
        <v>1</v>
      </c>
      <c r="G18" s="216">
        <v>1</v>
      </c>
      <c r="H18" s="202">
        <v>0</v>
      </c>
      <c r="I18" s="98" t="s">
        <v>2291</v>
      </c>
      <c r="J18" s="98" t="s">
        <v>2291</v>
      </c>
      <c r="K18" s="98" t="s">
        <v>2291</v>
      </c>
      <c r="L18" s="98" t="s">
        <v>2291</v>
      </c>
      <c r="M18" s="98" t="s">
        <v>2291</v>
      </c>
      <c r="N18" s="98" t="s">
        <v>2291</v>
      </c>
      <c r="O18" s="98" t="s">
        <v>2291</v>
      </c>
      <c r="P18" s="98" t="s">
        <v>2291</v>
      </c>
      <c r="Q18" s="98" t="s">
        <v>2291</v>
      </c>
      <c r="R18" s="98" t="s">
        <v>2291</v>
      </c>
      <c r="S18" s="98" t="s">
        <v>2291</v>
      </c>
      <c r="T18" s="98" t="s">
        <v>2291</v>
      </c>
      <c r="U18" s="98" t="s">
        <v>2291</v>
      </c>
    </row>
    <row r="19" spans="2:24">
      <c r="B19" s="141" t="s">
        <v>2274</v>
      </c>
      <c r="C19" s="98">
        <v>19</v>
      </c>
      <c r="D19" s="98" t="s">
        <v>2608</v>
      </c>
      <c r="E19" s="116">
        <v>45504</v>
      </c>
      <c r="F19" s="98">
        <v>1</v>
      </c>
      <c r="G19" s="216" cm="1">
        <f t="array" aca="1" ref="G19" ca="1">SUMPRODUCT(--(ISNUMBER((SEARCH(I25:U25,I19:U19)))))/COUNTA(I19:U19)</f>
        <v>0.69230769230769229</v>
      </c>
      <c r="H19" s="202">
        <v>0</v>
      </c>
      <c r="I19" s="98" t="s">
        <v>2341</v>
      </c>
      <c r="J19" s="98" t="s">
        <v>2341</v>
      </c>
      <c r="K19" s="98" t="s">
        <v>2507</v>
      </c>
      <c r="L19" s="98" t="s">
        <v>2342</v>
      </c>
      <c r="M19" s="98" t="s">
        <v>2341</v>
      </c>
      <c r="N19" s="98" t="s">
        <v>2341</v>
      </c>
      <c r="O19" s="98" t="s">
        <v>2341</v>
      </c>
      <c r="P19" s="98" t="s">
        <v>2341</v>
      </c>
      <c r="Q19" s="98" t="s">
        <v>2341</v>
      </c>
      <c r="R19" s="98" t="s">
        <v>2573</v>
      </c>
      <c r="S19" s="98" t="s">
        <v>2341</v>
      </c>
      <c r="T19" s="98" t="s">
        <v>2341</v>
      </c>
      <c r="U19" s="98" t="s">
        <v>2344</v>
      </c>
    </row>
    <row r="20" spans="2:24">
      <c r="B20" s="141" t="s">
        <v>2277</v>
      </c>
      <c r="C20" s="98">
        <v>20</v>
      </c>
      <c r="D20" s="98"/>
      <c r="E20" s="116"/>
      <c r="F20" s="98"/>
      <c r="G20" s="216" cm="1">
        <f t="array" ref="G20">SUM(IF(I2:T2 = I24:T24, 1, 0))/ COUNTA(I2:T2)</f>
        <v>0.16666666666666666</v>
      </c>
      <c r="H20" s="98" t="s">
        <v>2291</v>
      </c>
      <c r="I20" s="98" t="s">
        <v>2291</v>
      </c>
      <c r="J20" s="98" t="s">
        <v>2291</v>
      </c>
      <c r="K20" s="98" t="s">
        <v>2291</v>
      </c>
      <c r="L20" s="98" t="s">
        <v>2291</v>
      </c>
      <c r="M20" s="98" t="s">
        <v>2291</v>
      </c>
      <c r="N20" s="98" t="s">
        <v>2291</v>
      </c>
      <c r="O20" s="98" t="s">
        <v>2291</v>
      </c>
      <c r="P20" s="98" t="s">
        <v>2291</v>
      </c>
      <c r="Q20" s="98" t="s">
        <v>2291</v>
      </c>
      <c r="R20" s="98" t="s">
        <v>2291</v>
      </c>
      <c r="S20" s="98" t="s">
        <v>2291</v>
      </c>
      <c r="T20" s="98" t="s">
        <v>2291</v>
      </c>
      <c r="U20" s="98"/>
    </row>
    <row r="21" spans="2:24">
      <c r="B21" s="165" t="s">
        <v>2280</v>
      </c>
      <c r="C21" s="98">
        <v>21</v>
      </c>
      <c r="D21" s="98"/>
      <c r="E21" s="116"/>
      <c r="F21" s="98"/>
      <c r="G21" s="216" cm="1">
        <f t="array" aca="1" ref="G21" ca="1">SUM(IF(IF(G3:G20="null",1,G3:G20)=1,1,0))/COUNT(IF(G3:G20="null",1,1))</f>
        <v>0.66666666666666663</v>
      </c>
      <c r="H21" s="98" t="s">
        <v>2291</v>
      </c>
      <c r="I21" s="98" t="s">
        <v>2291</v>
      </c>
      <c r="J21" s="98" t="s">
        <v>2291</v>
      </c>
      <c r="K21" s="98" t="s">
        <v>2291</v>
      </c>
      <c r="L21" s="98" t="s">
        <v>2291</v>
      </c>
      <c r="M21" s="98" t="s">
        <v>2291</v>
      </c>
      <c r="N21" s="98" t="s">
        <v>2291</v>
      </c>
      <c r="O21" s="98" t="s">
        <v>2291</v>
      </c>
      <c r="P21" s="98" t="s">
        <v>2291</v>
      </c>
      <c r="Q21" s="98" t="s">
        <v>2291</v>
      </c>
      <c r="R21" s="98" t="s">
        <v>2291</v>
      </c>
      <c r="S21" s="98" t="s">
        <v>2291</v>
      </c>
      <c r="T21" s="98" t="s">
        <v>2291</v>
      </c>
      <c r="U21" s="98"/>
    </row>
    <row r="22" spans="2:24">
      <c r="B22" s="98"/>
      <c r="C22" s="98"/>
      <c r="D22" s="98"/>
      <c r="E22" s="116"/>
      <c r="F22" s="98"/>
      <c r="G22" s="98"/>
      <c r="H22" s="98"/>
      <c r="I22" s="98"/>
      <c r="J22" s="98"/>
      <c r="K22" s="98"/>
      <c r="L22" s="98"/>
      <c r="M22" s="98"/>
      <c r="N22" s="98"/>
      <c r="O22" s="98"/>
      <c r="P22" s="98"/>
      <c r="Q22" s="98"/>
      <c r="R22" s="98"/>
      <c r="S22" s="98"/>
      <c r="T22" s="98"/>
      <c r="U22" s="98"/>
    </row>
    <row r="23" spans="2:24">
      <c r="B23" s="106" t="s">
        <v>2345</v>
      </c>
    </row>
    <row r="24" spans="2:24">
      <c r="B24" s="107" t="s">
        <v>2346</v>
      </c>
      <c r="C24" s="108" t="s">
        <v>2284</v>
      </c>
      <c r="D24" s="108" t="s">
        <v>2285</v>
      </c>
      <c r="E24" s="108" t="s">
        <v>2286</v>
      </c>
      <c r="F24" s="108" t="s">
        <v>2287</v>
      </c>
      <c r="G24" s="108" t="s">
        <v>2288</v>
      </c>
      <c r="H24" s="108" t="s">
        <v>2289</v>
      </c>
      <c r="I24" s="109" t="str" cm="1">
        <f t="array" ref="I24:X24">TRANSPOSE(_xlfn.SORTBY(_xlfn._xlws.FILTER(Table2[NOME FÍSICO CAMPO],Table2[NOME FÍSICO TABELA]="saving_account_transaction"), _xlfn._xlws.FILTER(Table2[ORDEM], Table2[NOME FÍSICO TABELA]="saving_account_transaction"), 1))</f>
        <v>bank_id</v>
      </c>
      <c r="J24" s="109" t="str">
        <v>contract_id</v>
      </c>
      <c r="K24" s="109" t="str">
        <v>opening_date</v>
      </c>
      <c r="L24" s="109" t="str">
        <v>order_number</v>
      </c>
      <c r="M24" s="109" t="str">
        <v>order_number_stage</v>
      </c>
      <c r="N24" s="109" t="str">
        <v>accounting_concept_code</v>
      </c>
      <c r="O24" s="109" t="str">
        <v>transaction_type_code</v>
      </c>
      <c r="P24" s="109" t="str">
        <v>accounting_bank_basic_operation</v>
      </c>
      <c r="Q24" s="109" t="str">
        <v>financial_flow_indicator</v>
      </c>
      <c r="R24" s="109" t="str">
        <v>currency_code</v>
      </c>
      <c r="S24" s="109" t="str">
        <v>transaction_date</v>
      </c>
      <c r="T24" s="109" t="str">
        <v>transaction_execution_date</v>
      </c>
      <c r="U24" s="109" t="str">
        <v>amount</v>
      </c>
      <c r="V24" t="str">
        <v>source_code</v>
      </c>
      <c r="W24" t="str">
        <v>data_date_part</v>
      </c>
      <c r="X24" t="str">
        <v>data_timestamp_part</v>
      </c>
    </row>
    <row r="25" spans="2:24" s="97" customFormat="1">
      <c r="B25" s="118" t="s">
        <v>2347</v>
      </c>
      <c r="C25" s="113">
        <v>21</v>
      </c>
      <c r="D25" s="119" t="s">
        <v>2348</v>
      </c>
      <c r="E25" s="113" t="s">
        <v>2349</v>
      </c>
      <c r="F25" s="113" t="s">
        <v>781</v>
      </c>
      <c r="G25" s="113" t="s">
        <v>781</v>
      </c>
      <c r="H25" s="113" t="s">
        <v>781</v>
      </c>
      <c r="I25" s="113" t="str" cm="1">
        <f t="array" aca="1" ref="I25:X26" ca="1">TRANSPOSE(_xlfn.SORTBY(_xlfn._xlws.FILTER(IF(Table2[FORMATO]:Table2[COMP_ CAMPO]&lt;&gt;"",Table2[FORMATO]:Table2[COMP_ CAMPO],9999999),Table2[NOME FÍSICO TABELA]="saving_account_transaction"), _xlfn._xlws.FILTER(Table2[ORDEM], Table2[NOME FÍSICO TABELA]="saving_account_transaction"), 1))</f>
        <v>STRING</v>
      </c>
      <c r="J25" s="113" t="str">
        <f ca="1"/>
        <v>STRING</v>
      </c>
      <c r="K25" s="113" t="str">
        <f ca="1"/>
        <v>STRING</v>
      </c>
      <c r="L25" s="113" t="str">
        <f ca="1"/>
        <v>BIGINT</v>
      </c>
      <c r="M25" s="113" t="str">
        <f ca="1"/>
        <v>BIGINT</v>
      </c>
      <c r="N25" s="113" t="str">
        <f ca="1"/>
        <v>STRING</v>
      </c>
      <c r="O25" s="113" t="str">
        <f ca="1"/>
        <v>STRING</v>
      </c>
      <c r="P25" s="113" t="str">
        <f ca="1"/>
        <v>STRING</v>
      </c>
      <c r="Q25" s="113" t="str">
        <f ca="1"/>
        <v>STRING</v>
      </c>
      <c r="R25" s="113" t="str">
        <f ca="1"/>
        <v>STRING</v>
      </c>
      <c r="S25" s="113" t="str">
        <f ca="1"/>
        <v>STRING</v>
      </c>
      <c r="T25" s="113" t="str">
        <f ca="1"/>
        <v>STRING</v>
      </c>
      <c r="U25" s="113" t="str">
        <f ca="1"/>
        <v>DECIMAL</v>
      </c>
      <c r="V25" s="97" t="str">
        <f ca="1"/>
        <v>STRING</v>
      </c>
      <c r="W25" s="97" t="str">
        <f ca="1"/>
        <v>STRING</v>
      </c>
      <c r="X25" s="97" t="str">
        <f ca="1"/>
        <v>TIMESTAMP</v>
      </c>
    </row>
    <row r="26" spans="2:24" s="97" customFormat="1">
      <c r="B26" s="118" t="s">
        <v>2350</v>
      </c>
      <c r="C26" s="113">
        <v>7</v>
      </c>
      <c r="D26" s="119" t="s">
        <v>2348</v>
      </c>
      <c r="E26" s="113" t="s">
        <v>2349</v>
      </c>
      <c r="F26" s="113" t="s">
        <v>781</v>
      </c>
      <c r="G26" s="113" t="s">
        <v>781</v>
      </c>
      <c r="H26" s="113" t="s">
        <v>781</v>
      </c>
      <c r="I26" s="113">
        <f ca="1"/>
        <v>4</v>
      </c>
      <c r="J26" s="113">
        <f ca="1"/>
        <v>30</v>
      </c>
      <c r="K26" s="113">
        <f ca="1"/>
        <v>10</v>
      </c>
      <c r="L26" s="113">
        <f ca="1"/>
        <v>9999999</v>
      </c>
      <c r="M26" s="113">
        <f ca="1"/>
        <v>9999999</v>
      </c>
      <c r="N26" s="113">
        <f ca="1"/>
        <v>4</v>
      </c>
      <c r="O26" s="113">
        <f ca="1"/>
        <v>4</v>
      </c>
      <c r="P26" s="113">
        <f ca="1"/>
        <v>6</v>
      </c>
      <c r="Q26" s="113">
        <f ca="1"/>
        <v>4</v>
      </c>
      <c r="R26" s="113">
        <f ca="1"/>
        <v>4</v>
      </c>
      <c r="S26" s="113">
        <f ca="1"/>
        <v>10</v>
      </c>
      <c r="T26" s="113">
        <f ca="1"/>
        <v>10</v>
      </c>
      <c r="U26" s="113">
        <f ca="1"/>
        <v>23</v>
      </c>
      <c r="V26" s="97">
        <f ca="1"/>
        <v>2</v>
      </c>
      <c r="W26" s="97">
        <f ca="1"/>
        <v>10</v>
      </c>
      <c r="X26" s="97">
        <f ca="1"/>
        <v>23</v>
      </c>
    </row>
    <row r="27" spans="2:24">
      <c r="B27" t="s">
        <v>2609</v>
      </c>
    </row>
    <row r="29" spans="2:24">
      <c r="B29" s="123" t="s">
        <v>2351</v>
      </c>
    </row>
    <row r="30" spans="2:24">
      <c r="B30" s="132" t="s">
        <v>2352</v>
      </c>
      <c r="C30" s="132" t="s">
        <v>2353</v>
      </c>
      <c r="D30" s="133" t="s">
        <v>2354</v>
      </c>
      <c r="E30" s="132" t="s">
        <v>2355</v>
      </c>
      <c r="F30" s="132" t="s">
        <v>2356</v>
      </c>
      <c r="H30" s="218"/>
    </row>
    <row r="31" spans="2:24" ht="30.75">
      <c r="B31" s="130" t="s">
        <v>2610</v>
      </c>
      <c r="C31" s="83" t="s">
        <v>2419</v>
      </c>
      <c r="D31" s="83" t="s">
        <v>2611</v>
      </c>
      <c r="E31" s="83" t="s">
        <v>2612</v>
      </c>
      <c r="F31" s="131" t="s">
        <v>2449</v>
      </c>
    </row>
    <row r="32" spans="2:24" ht="30.75">
      <c r="B32" s="130" t="s">
        <v>2357</v>
      </c>
      <c r="C32" s="83" t="s">
        <v>1079</v>
      </c>
      <c r="D32" s="83" t="s">
        <v>2613</v>
      </c>
      <c r="E32" s="83" t="s">
        <v>2614</v>
      </c>
      <c r="F32" s="131" t="s">
        <v>2360</v>
      </c>
      <c r="H32" s="186"/>
    </row>
    <row r="33" spans="2:8" ht="30.75">
      <c r="B33" s="130" t="s">
        <v>2357</v>
      </c>
      <c r="C33" s="83" t="s">
        <v>1169</v>
      </c>
      <c r="D33" s="83" t="s">
        <v>2615</v>
      </c>
      <c r="E33" s="83" t="s">
        <v>2616</v>
      </c>
      <c r="F33" s="195" t="s">
        <v>2416</v>
      </c>
      <c r="H33" s="186"/>
    </row>
    <row r="34" spans="2:8" ht="30.75">
      <c r="B34" s="130" t="s">
        <v>2365</v>
      </c>
      <c r="C34" s="203" t="s">
        <v>1079</v>
      </c>
      <c r="D34" s="203" t="s">
        <v>2617</v>
      </c>
      <c r="E34" s="83" t="s">
        <v>2618</v>
      </c>
      <c r="F34" s="78" t="s">
        <v>2360</v>
      </c>
      <c r="H34" s="186"/>
    </row>
    <row r="35" spans="2:8" ht="156" customHeight="1">
      <c r="H35" s="185"/>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D3C68-31F2-4C6A-9D3A-107A8C593473}">
  <sheetPr>
    <tabColor rgb="FF00B050"/>
  </sheetPr>
  <dimension ref="B1:AD45"/>
  <sheetViews>
    <sheetView showGridLines="0" topLeftCell="A28" workbookViewId="0">
      <selection activeCell="B41" sqref="B41:F41"/>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s>
  <sheetData>
    <row r="1" spans="2:24" ht="38.25" customHeight="1"/>
    <row r="2" spans="2:24">
      <c r="B2" s="97" t="s">
        <v>2283</v>
      </c>
      <c r="C2" s="97" t="s">
        <v>2284</v>
      </c>
      <c r="D2" s="97" t="s">
        <v>2285</v>
      </c>
      <c r="E2" s="97" t="s">
        <v>2286</v>
      </c>
      <c r="F2" s="97" t="s">
        <v>2287</v>
      </c>
      <c r="G2" s="97" t="s">
        <v>2288</v>
      </c>
      <c r="H2" s="97" t="s">
        <v>2289</v>
      </c>
      <c r="I2" s="97" t="s">
        <v>730</v>
      </c>
      <c r="J2" s="97" t="s">
        <v>842</v>
      </c>
      <c r="K2" s="97" t="s">
        <v>923</v>
      </c>
      <c r="L2" s="97" t="s">
        <v>1012</v>
      </c>
      <c r="M2" s="97" t="s">
        <v>1079</v>
      </c>
      <c r="N2" s="109" t="s">
        <v>1169</v>
      </c>
      <c r="O2" s="97" t="s">
        <v>1255</v>
      </c>
      <c r="P2" s="97" t="s">
        <v>1690</v>
      </c>
      <c r="Q2" s="97" t="s">
        <v>1272</v>
      </c>
      <c r="R2" s="109" t="s">
        <v>1650</v>
      </c>
      <c r="S2" s="97" t="s">
        <v>1334</v>
      </c>
      <c r="T2" s="97" t="s">
        <v>1224</v>
      </c>
      <c r="U2" s="97" t="s">
        <v>1440</v>
      </c>
      <c r="V2" s="97" t="s">
        <v>1499</v>
      </c>
      <c r="W2" s="97" t="s">
        <v>1561</v>
      </c>
      <c r="X2" s="97" t="s">
        <v>1614</v>
      </c>
    </row>
    <row r="3" spans="2:24">
      <c r="B3" s="141" t="s">
        <v>2237</v>
      </c>
      <c r="C3" s="98">
        <v>1</v>
      </c>
      <c r="D3" s="98" t="s">
        <v>2619</v>
      </c>
      <c r="E3" s="116">
        <v>45492</v>
      </c>
      <c r="F3" s="98">
        <v>1</v>
      </c>
      <c r="G3" s="216">
        <v>1</v>
      </c>
      <c r="H3" s="170">
        <v>84398164</v>
      </c>
      <c r="I3" s="98" t="s">
        <v>2291</v>
      </c>
      <c r="J3" s="98" t="s">
        <v>2291</v>
      </c>
      <c r="K3" s="98" t="s">
        <v>2291</v>
      </c>
      <c r="L3" s="98" t="s">
        <v>2291</v>
      </c>
      <c r="M3" s="98" t="s">
        <v>2291</v>
      </c>
      <c r="N3" s="98" t="s">
        <v>2291</v>
      </c>
      <c r="O3" s="98" t="s">
        <v>2291</v>
      </c>
      <c r="P3" s="98" t="s">
        <v>2291</v>
      </c>
      <c r="Q3" s="98" t="s">
        <v>2291</v>
      </c>
      <c r="R3" s="98" t="s">
        <v>2291</v>
      </c>
      <c r="S3" s="98" t="s">
        <v>2291</v>
      </c>
      <c r="T3" s="98" t="s">
        <v>2291</v>
      </c>
      <c r="U3" s="98" t="s">
        <v>2291</v>
      </c>
      <c r="V3" s="98" t="s">
        <v>2291</v>
      </c>
      <c r="W3" s="98" t="s">
        <v>2291</v>
      </c>
      <c r="X3" s="98" t="s">
        <v>2291</v>
      </c>
    </row>
    <row r="4" spans="2:24">
      <c r="B4" s="141" t="s">
        <v>2239</v>
      </c>
      <c r="C4" s="98">
        <v>2</v>
      </c>
      <c r="D4" s="98" t="s">
        <v>2620</v>
      </c>
      <c r="E4" s="116">
        <v>45492</v>
      </c>
      <c r="F4" s="98">
        <v>1</v>
      </c>
      <c r="G4" s="216">
        <v>0.99</v>
      </c>
      <c r="H4" s="202">
        <v>25</v>
      </c>
      <c r="I4" s="98" t="s">
        <v>2291</v>
      </c>
      <c r="J4" s="98" t="s">
        <v>2291</v>
      </c>
      <c r="K4" s="98" t="s">
        <v>2291</v>
      </c>
      <c r="L4" s="98" t="s">
        <v>2291</v>
      </c>
      <c r="M4" s="98" t="s">
        <v>2291</v>
      </c>
      <c r="N4" s="98" t="s">
        <v>2291</v>
      </c>
      <c r="O4" s="98" t="s">
        <v>2291</v>
      </c>
      <c r="P4" s="98" t="s">
        <v>2291</v>
      </c>
      <c r="Q4" s="98" t="s">
        <v>2291</v>
      </c>
      <c r="R4" s="98" t="s">
        <v>2291</v>
      </c>
      <c r="S4" s="98" t="s">
        <v>2291</v>
      </c>
      <c r="T4" s="98" t="s">
        <v>2291</v>
      </c>
      <c r="U4" s="98" t="s">
        <v>2291</v>
      </c>
      <c r="V4" s="98" t="s">
        <v>2291</v>
      </c>
      <c r="W4" s="98" t="s">
        <v>2291</v>
      </c>
      <c r="X4" s="98" t="s">
        <v>2291</v>
      </c>
    </row>
    <row r="5" spans="2:24">
      <c r="B5" s="141" t="s">
        <v>2241</v>
      </c>
      <c r="C5" s="98">
        <v>3</v>
      </c>
      <c r="D5" s="98" t="s">
        <v>2621</v>
      </c>
      <c r="E5" s="116">
        <v>45492</v>
      </c>
      <c r="F5" s="98">
        <v>1</v>
      </c>
      <c r="G5" s="216">
        <v>1</v>
      </c>
      <c r="H5" s="202" t="s">
        <v>2491</v>
      </c>
      <c r="I5" s="98">
        <v>0</v>
      </c>
      <c r="J5" s="98">
        <v>0</v>
      </c>
      <c r="K5" s="98">
        <v>62698747</v>
      </c>
      <c r="L5" s="98">
        <v>35503361</v>
      </c>
      <c r="M5" s="98" t="s">
        <v>2291</v>
      </c>
      <c r="N5" s="98" t="s">
        <v>2291</v>
      </c>
      <c r="O5" s="98" t="s">
        <v>2291</v>
      </c>
      <c r="P5" s="98" t="s">
        <v>2291</v>
      </c>
      <c r="Q5" s="98" t="s">
        <v>2291</v>
      </c>
      <c r="R5" s="98" t="s">
        <v>2291</v>
      </c>
      <c r="S5" s="98" t="s">
        <v>2291</v>
      </c>
      <c r="T5" s="98" t="s">
        <v>2291</v>
      </c>
      <c r="U5" s="98" t="s">
        <v>2291</v>
      </c>
      <c r="V5" s="98" t="s">
        <v>2291</v>
      </c>
      <c r="W5" s="98">
        <v>0</v>
      </c>
      <c r="X5" s="98" t="s">
        <v>2291</v>
      </c>
    </row>
    <row r="6" spans="2:24">
      <c r="B6" s="88" t="s">
        <v>2243</v>
      </c>
      <c r="C6" s="98">
        <v>4</v>
      </c>
      <c r="D6" s="98" t="s">
        <v>2296</v>
      </c>
      <c r="E6" s="116" t="s">
        <v>2291</v>
      </c>
      <c r="F6" s="98">
        <v>1</v>
      </c>
      <c r="G6" s="216" t="s">
        <v>2291</v>
      </c>
      <c r="H6" s="216"/>
      <c r="I6" s="98" t="s">
        <v>2291</v>
      </c>
      <c r="J6" s="98" t="s">
        <v>2291</v>
      </c>
      <c r="K6" s="98" t="s">
        <v>2291</v>
      </c>
      <c r="L6" s="98" t="s">
        <v>2291</v>
      </c>
      <c r="M6" s="98" t="s">
        <v>2291</v>
      </c>
      <c r="N6" s="98" t="s">
        <v>2291</v>
      </c>
      <c r="O6" s="98" t="s">
        <v>2291</v>
      </c>
      <c r="P6" s="98" t="s">
        <v>2291</v>
      </c>
      <c r="Q6" s="98" t="s">
        <v>2291</v>
      </c>
      <c r="R6" s="98" t="s">
        <v>2291</v>
      </c>
      <c r="S6" s="98" t="s">
        <v>2291</v>
      </c>
      <c r="T6" s="98" t="s">
        <v>2291</v>
      </c>
      <c r="U6" s="98" t="s">
        <v>2291</v>
      </c>
      <c r="V6" s="98" t="s">
        <v>2291</v>
      </c>
      <c r="W6" s="98" t="s">
        <v>2291</v>
      </c>
      <c r="X6" s="98" t="s">
        <v>2291</v>
      </c>
    </row>
    <row r="7" spans="2:24">
      <c r="B7" s="88" t="s">
        <v>2245</v>
      </c>
      <c r="C7" s="98">
        <v>5</v>
      </c>
      <c r="D7" s="98" t="s">
        <v>2296</v>
      </c>
      <c r="E7" s="116" t="s">
        <v>2291</v>
      </c>
      <c r="F7" s="98">
        <v>1</v>
      </c>
      <c r="G7" s="216" t="s">
        <v>2291</v>
      </c>
      <c r="H7" s="216"/>
      <c r="I7" s="98" t="s">
        <v>2291</v>
      </c>
      <c r="J7" s="98" t="s">
        <v>2291</v>
      </c>
      <c r="K7" s="98" t="s">
        <v>2291</v>
      </c>
      <c r="L7" s="98" t="s">
        <v>2291</v>
      </c>
      <c r="M7" s="98" t="s">
        <v>2291</v>
      </c>
      <c r="N7" s="98" t="s">
        <v>2291</v>
      </c>
      <c r="O7" s="98" t="s">
        <v>2291</v>
      </c>
      <c r="P7" s="98" t="s">
        <v>2291</v>
      </c>
      <c r="Q7" s="98" t="s">
        <v>2291</v>
      </c>
      <c r="R7" s="98" t="s">
        <v>2291</v>
      </c>
      <c r="S7" s="98" t="s">
        <v>2291</v>
      </c>
      <c r="T7" s="98" t="s">
        <v>2291</v>
      </c>
      <c r="U7" s="98" t="s">
        <v>2291</v>
      </c>
      <c r="V7" s="98" t="s">
        <v>2291</v>
      </c>
      <c r="W7" s="98" t="s">
        <v>2291</v>
      </c>
      <c r="X7" s="98" t="s">
        <v>2291</v>
      </c>
    </row>
    <row r="8" spans="2:24">
      <c r="B8" s="172" t="s">
        <v>2246</v>
      </c>
      <c r="C8" s="98">
        <v>6</v>
      </c>
      <c r="D8" s="98" t="s">
        <v>2622</v>
      </c>
      <c r="E8" s="116">
        <v>45492</v>
      </c>
      <c r="F8" s="98">
        <v>1</v>
      </c>
      <c r="G8" s="216" cm="1">
        <f t="array" ref="G8">SUMPRODUCT(--(I8:X8&gt;0))/COUNTA(I8:X8)</f>
        <v>1</v>
      </c>
      <c r="H8" s="202" t="s">
        <v>2376</v>
      </c>
      <c r="I8" s="98">
        <v>2</v>
      </c>
      <c r="J8" s="98">
        <v>29</v>
      </c>
      <c r="K8" s="98">
        <v>1</v>
      </c>
      <c r="L8" s="98">
        <v>1</v>
      </c>
      <c r="M8" s="98" t="s">
        <v>2298</v>
      </c>
      <c r="N8" s="98">
        <v>1</v>
      </c>
      <c r="O8" s="98">
        <v>3</v>
      </c>
      <c r="P8" s="98">
        <v>1</v>
      </c>
      <c r="Q8" s="98">
        <v>1</v>
      </c>
      <c r="R8" s="98">
        <v>4</v>
      </c>
      <c r="S8" s="98">
        <v>10</v>
      </c>
      <c r="T8" s="98">
        <v>10</v>
      </c>
      <c r="U8" s="98">
        <v>8</v>
      </c>
      <c r="V8" s="98">
        <v>2</v>
      </c>
      <c r="W8" s="98">
        <v>10</v>
      </c>
      <c r="X8" s="98">
        <v>23</v>
      </c>
    </row>
    <row r="9" spans="2:24">
      <c r="B9" s="141" t="s">
        <v>2249</v>
      </c>
      <c r="C9" s="98">
        <v>7</v>
      </c>
      <c r="D9" s="98" t="s">
        <v>2623</v>
      </c>
      <c r="E9" s="116">
        <v>45492</v>
      </c>
      <c r="F9" s="98">
        <v>1</v>
      </c>
      <c r="G9" s="216" cm="1">
        <f t="array" aca="1" ref="G9" ca="1">SUMPRODUCT(--(I9:X9&lt;=I26:X26))/COUNTA(I9:X9)</f>
        <v>0.5625</v>
      </c>
      <c r="H9" s="202" t="s">
        <v>2376</v>
      </c>
      <c r="I9" s="98">
        <v>2</v>
      </c>
      <c r="J9" s="98">
        <v>30</v>
      </c>
      <c r="K9" s="98">
        <v>11</v>
      </c>
      <c r="L9" s="98">
        <v>3</v>
      </c>
      <c r="M9" s="98" t="s">
        <v>2298</v>
      </c>
      <c r="N9" s="98">
        <v>1</v>
      </c>
      <c r="O9" s="98">
        <v>3</v>
      </c>
      <c r="P9" s="98">
        <v>4</v>
      </c>
      <c r="Q9" s="98">
        <v>1</v>
      </c>
      <c r="R9" s="98">
        <v>10</v>
      </c>
      <c r="S9" s="98">
        <v>10</v>
      </c>
      <c r="T9" s="98">
        <v>10</v>
      </c>
      <c r="U9" s="98">
        <v>18</v>
      </c>
      <c r="V9" s="98">
        <v>2</v>
      </c>
      <c r="W9" s="98">
        <v>10</v>
      </c>
      <c r="X9" s="98">
        <v>23</v>
      </c>
    </row>
    <row r="10" spans="2:24">
      <c r="B10" s="141" t="s">
        <v>2252</v>
      </c>
      <c r="C10" s="98">
        <v>8</v>
      </c>
      <c r="D10" s="98" t="s">
        <v>2624</v>
      </c>
      <c r="E10" s="116">
        <v>45492</v>
      </c>
      <c r="F10" s="98">
        <v>1</v>
      </c>
      <c r="G10" s="216" t="s">
        <v>2291</v>
      </c>
      <c r="H10" s="202" t="s">
        <v>2376</v>
      </c>
      <c r="I10" s="98">
        <v>31</v>
      </c>
      <c r="J10" s="98">
        <v>3.4965410000000002E+21</v>
      </c>
      <c r="K10" s="98">
        <v>0</v>
      </c>
      <c r="L10" s="98">
        <v>0</v>
      </c>
      <c r="M10" s="116" t="s">
        <v>2298</v>
      </c>
      <c r="N10" s="116">
        <v>0</v>
      </c>
      <c r="O10" s="202">
        <v>578</v>
      </c>
      <c r="P10" s="98" t="e">
        <v>#N/A</v>
      </c>
      <c r="Q10" s="98">
        <v>0</v>
      </c>
      <c r="R10" s="98" t="e">
        <v>#N/A</v>
      </c>
      <c r="S10" s="98" t="s">
        <v>2625</v>
      </c>
      <c r="T10" s="98" t="s">
        <v>2625</v>
      </c>
      <c r="U10" s="145">
        <v>-1000000694210000</v>
      </c>
      <c r="V10" s="98" t="s">
        <v>2626</v>
      </c>
      <c r="W10" s="116">
        <v>45491</v>
      </c>
      <c r="X10" s="98" t="s">
        <v>2627</v>
      </c>
    </row>
    <row r="11" spans="2:24">
      <c r="B11" s="141" t="s">
        <v>2254</v>
      </c>
      <c r="C11" s="98">
        <v>9</v>
      </c>
      <c r="D11" s="98" t="s">
        <v>2628</v>
      </c>
      <c r="E11" s="116">
        <v>45492</v>
      </c>
      <c r="F11" s="98">
        <v>1</v>
      </c>
      <c r="G11" s="216" t="s">
        <v>2291</v>
      </c>
      <c r="H11" s="202" t="s">
        <v>2376</v>
      </c>
      <c r="I11" s="98">
        <v>31</v>
      </c>
      <c r="J11" s="98">
        <v>3.4965410000000002E+21</v>
      </c>
      <c r="K11" s="98">
        <v>0</v>
      </c>
      <c r="L11" s="98">
        <v>0</v>
      </c>
      <c r="M11" s="116" t="s">
        <v>2298</v>
      </c>
      <c r="N11" s="116">
        <v>0</v>
      </c>
      <c r="O11" s="202">
        <v>578</v>
      </c>
      <c r="P11" s="116" t="e">
        <v>#N/A</v>
      </c>
      <c r="Q11" s="98">
        <v>0</v>
      </c>
      <c r="R11" s="98" t="e">
        <v>#N/A</v>
      </c>
      <c r="S11" s="98" t="s">
        <v>2625</v>
      </c>
      <c r="T11" s="98" t="s">
        <v>2625</v>
      </c>
      <c r="U11" s="98" t="s">
        <v>2629</v>
      </c>
      <c r="V11" s="98" t="s">
        <v>2626</v>
      </c>
      <c r="W11" s="116">
        <v>45491</v>
      </c>
      <c r="X11" s="98" t="s">
        <v>2630</v>
      </c>
    </row>
    <row r="12" spans="2:24">
      <c r="B12" s="164" t="s">
        <v>2256</v>
      </c>
      <c r="C12" s="98">
        <v>10</v>
      </c>
      <c r="D12" s="98" t="s">
        <v>2631</v>
      </c>
      <c r="E12" s="116">
        <v>45492</v>
      </c>
      <c r="F12" s="98">
        <v>1</v>
      </c>
      <c r="G12" s="216" t="s">
        <v>2291</v>
      </c>
      <c r="H12" s="202" t="s">
        <v>2376</v>
      </c>
      <c r="I12" s="98">
        <v>31</v>
      </c>
      <c r="J12" s="98">
        <v>6.8350096000050594E+29</v>
      </c>
      <c r="K12" s="98">
        <v>20240153493</v>
      </c>
      <c r="L12" s="98">
        <v>203</v>
      </c>
      <c r="M12" s="116" t="s">
        <v>2298</v>
      </c>
      <c r="N12" s="116">
        <v>1</v>
      </c>
      <c r="O12" s="202" t="s">
        <v>2632</v>
      </c>
      <c r="P12" s="117">
        <v>93</v>
      </c>
      <c r="Q12" s="98">
        <v>1</v>
      </c>
      <c r="R12" s="116">
        <v>45492</v>
      </c>
      <c r="S12" s="116">
        <v>45505</v>
      </c>
      <c r="T12" s="116">
        <v>45492</v>
      </c>
      <c r="U12" s="145">
        <v>1000000687070000</v>
      </c>
      <c r="V12" s="98" t="s">
        <v>2439</v>
      </c>
      <c r="W12" s="116">
        <v>45492</v>
      </c>
      <c r="X12" s="116" t="s">
        <v>2627</v>
      </c>
    </row>
    <row r="13" spans="2:24">
      <c r="B13" s="141" t="s">
        <v>2258</v>
      </c>
      <c r="C13" s="98">
        <v>11</v>
      </c>
      <c r="D13" s="98" t="s">
        <v>2633</v>
      </c>
      <c r="E13" s="116">
        <v>45492</v>
      </c>
      <c r="F13" s="98">
        <v>1</v>
      </c>
      <c r="G13" s="216" t="s">
        <v>2291</v>
      </c>
      <c r="H13" s="202" t="s">
        <v>2376</v>
      </c>
      <c r="I13" s="98">
        <v>31</v>
      </c>
      <c r="J13" s="98">
        <v>6.8350096000050594E+29</v>
      </c>
      <c r="K13" s="98">
        <v>20240153493</v>
      </c>
      <c r="L13" s="98">
        <v>93</v>
      </c>
      <c r="M13" s="116" t="s">
        <v>2298</v>
      </c>
      <c r="N13" s="116">
        <v>1</v>
      </c>
      <c r="O13" s="202" t="s">
        <v>2632</v>
      </c>
      <c r="P13" s="116">
        <v>93</v>
      </c>
      <c r="Q13" s="98">
        <v>1</v>
      </c>
      <c r="R13" s="116">
        <v>2958465</v>
      </c>
      <c r="S13" s="116">
        <v>45505</v>
      </c>
      <c r="T13" s="116">
        <v>45492</v>
      </c>
      <c r="U13" s="98" t="s">
        <v>2634</v>
      </c>
      <c r="V13" s="98" t="s">
        <v>2439</v>
      </c>
      <c r="W13" s="116">
        <v>45492</v>
      </c>
      <c r="X13" s="116" t="s">
        <v>2635</v>
      </c>
    </row>
    <row r="14" spans="2:24">
      <c r="B14" s="141" t="s">
        <v>2260</v>
      </c>
      <c r="C14" s="98">
        <v>12</v>
      </c>
      <c r="D14" s="98" t="s">
        <v>2636</v>
      </c>
      <c r="E14" s="116">
        <v>45492</v>
      </c>
      <c r="F14" s="98">
        <v>1</v>
      </c>
      <c r="G14" s="216">
        <v>0.6875</v>
      </c>
      <c r="H14" s="202" t="s">
        <v>2376</v>
      </c>
      <c r="I14" s="98">
        <v>0</v>
      </c>
      <c r="J14" s="98">
        <v>0</v>
      </c>
      <c r="K14" s="98">
        <v>62698747</v>
      </c>
      <c r="L14" s="98">
        <v>35503361</v>
      </c>
      <c r="M14" s="98">
        <v>84398164</v>
      </c>
      <c r="N14" s="98">
        <v>969</v>
      </c>
      <c r="O14" s="98">
        <v>1</v>
      </c>
      <c r="P14" s="98">
        <v>58866944</v>
      </c>
      <c r="Q14" s="98">
        <v>110</v>
      </c>
      <c r="R14" s="98">
        <v>110</v>
      </c>
      <c r="S14" s="98">
        <v>0</v>
      </c>
      <c r="T14" s="98">
        <v>0</v>
      </c>
      <c r="U14" s="98">
        <v>53470555</v>
      </c>
      <c r="V14" s="98">
        <v>0</v>
      </c>
      <c r="W14" s="98">
        <v>0</v>
      </c>
      <c r="X14" s="98">
        <v>0</v>
      </c>
    </row>
    <row r="15" spans="2:24">
      <c r="B15" s="141" t="s">
        <v>2262</v>
      </c>
      <c r="C15" s="98">
        <v>13</v>
      </c>
      <c r="D15" s="98" t="s">
        <v>2637</v>
      </c>
      <c r="E15" s="116">
        <v>45492</v>
      </c>
      <c r="F15" s="98">
        <v>1</v>
      </c>
      <c r="G15" s="216">
        <v>1</v>
      </c>
      <c r="H15" s="202" t="s">
        <v>2376</v>
      </c>
      <c r="I15" s="98" t="s">
        <v>2291</v>
      </c>
      <c r="J15" s="98" t="s">
        <v>2291</v>
      </c>
      <c r="K15" s="98" t="s">
        <v>2291</v>
      </c>
      <c r="L15" s="88" t="s">
        <v>2291</v>
      </c>
      <c r="M15" s="88" t="s">
        <v>2291</v>
      </c>
      <c r="N15" s="88" t="s">
        <v>2291</v>
      </c>
      <c r="O15" s="98" t="s">
        <v>2291</v>
      </c>
      <c r="P15" s="88" t="s">
        <v>2291</v>
      </c>
      <c r="Q15" s="88" t="s">
        <v>2291</v>
      </c>
      <c r="R15" s="88">
        <v>0</v>
      </c>
      <c r="S15" s="98">
        <v>0</v>
      </c>
      <c r="T15" s="98">
        <v>0</v>
      </c>
      <c r="U15" s="98" t="s">
        <v>2291</v>
      </c>
      <c r="V15" s="98" t="s">
        <v>2291</v>
      </c>
      <c r="W15" s="98" t="s">
        <v>2291</v>
      </c>
      <c r="X15" s="98" t="s">
        <v>2291</v>
      </c>
    </row>
    <row r="16" spans="2:24">
      <c r="B16" s="141" t="s">
        <v>2264</v>
      </c>
      <c r="C16" s="98">
        <v>14</v>
      </c>
      <c r="D16" s="98" t="s">
        <v>2638</v>
      </c>
      <c r="E16" s="116">
        <v>45492</v>
      </c>
      <c r="F16" s="98">
        <v>1</v>
      </c>
      <c r="G16" s="216">
        <v>1</v>
      </c>
      <c r="H16" s="202" t="s">
        <v>2376</v>
      </c>
      <c r="I16" s="98">
        <v>0</v>
      </c>
      <c r="J16" s="98">
        <v>0</v>
      </c>
      <c r="K16" s="98" t="s">
        <v>2291</v>
      </c>
      <c r="L16" s="98" t="s">
        <v>2291</v>
      </c>
      <c r="M16" s="88">
        <v>0</v>
      </c>
      <c r="N16" s="88" t="s">
        <v>2291</v>
      </c>
      <c r="O16" s="98">
        <v>0</v>
      </c>
      <c r="P16" s="98">
        <v>0</v>
      </c>
      <c r="Q16" s="98" t="s">
        <v>2291</v>
      </c>
      <c r="R16" s="88" t="s">
        <v>2291</v>
      </c>
      <c r="S16" s="98" t="s">
        <v>2291</v>
      </c>
      <c r="T16" s="98" t="s">
        <v>2291</v>
      </c>
      <c r="U16" s="98" t="s">
        <v>2291</v>
      </c>
      <c r="V16" s="98">
        <v>0</v>
      </c>
      <c r="W16" s="98" t="s">
        <v>2291</v>
      </c>
      <c r="X16" s="98" t="s">
        <v>2291</v>
      </c>
    </row>
    <row r="17" spans="2:30">
      <c r="B17" s="174" t="s">
        <v>2266</v>
      </c>
      <c r="C17" s="98">
        <v>15</v>
      </c>
      <c r="D17" s="98" t="s">
        <v>2639</v>
      </c>
      <c r="E17" s="116">
        <v>45492</v>
      </c>
      <c r="F17" s="98">
        <v>1</v>
      </c>
      <c r="G17" s="216">
        <v>0.14646999999999999</v>
      </c>
      <c r="H17" s="202">
        <v>72036359</v>
      </c>
      <c r="I17" s="98" t="s">
        <v>2291</v>
      </c>
      <c r="J17" s="98" t="s">
        <v>2291</v>
      </c>
      <c r="K17" s="98" t="s">
        <v>2291</v>
      </c>
      <c r="L17" s="98" t="s">
        <v>2291</v>
      </c>
      <c r="M17" s="98" t="s">
        <v>2291</v>
      </c>
      <c r="N17" s="98" t="s">
        <v>2291</v>
      </c>
      <c r="O17" s="98" t="s">
        <v>2291</v>
      </c>
      <c r="P17" s="98" t="s">
        <v>2291</v>
      </c>
      <c r="Q17" s="98" t="s">
        <v>2291</v>
      </c>
      <c r="R17" s="98" t="s">
        <v>2291</v>
      </c>
      <c r="S17" s="98" t="s">
        <v>2291</v>
      </c>
      <c r="T17" s="98" t="s">
        <v>2291</v>
      </c>
      <c r="U17" s="98" t="s">
        <v>2291</v>
      </c>
      <c r="V17" s="98" t="s">
        <v>2291</v>
      </c>
      <c r="W17" s="98" t="s">
        <v>2291</v>
      </c>
      <c r="X17" s="98" t="s">
        <v>2291</v>
      </c>
    </row>
    <row r="18" spans="2:30">
      <c r="B18" s="174" t="s">
        <v>2268</v>
      </c>
      <c r="C18" s="98">
        <v>16</v>
      </c>
      <c r="D18" s="98" t="s">
        <v>2639</v>
      </c>
      <c r="E18" s="116">
        <v>45492</v>
      </c>
      <c r="F18" s="98">
        <v>1</v>
      </c>
      <c r="G18" s="216">
        <v>0.14646999999999999</v>
      </c>
      <c r="H18" s="202">
        <v>72036359</v>
      </c>
      <c r="I18" s="98" t="s">
        <v>2291</v>
      </c>
      <c r="J18" s="98" t="s">
        <v>2291</v>
      </c>
      <c r="K18" s="98" t="s">
        <v>2291</v>
      </c>
      <c r="L18" s="98" t="s">
        <v>2291</v>
      </c>
      <c r="M18" s="98" t="s">
        <v>2291</v>
      </c>
      <c r="N18" s="98" t="s">
        <v>2291</v>
      </c>
      <c r="O18" s="98" t="s">
        <v>2291</v>
      </c>
      <c r="P18" s="98" t="s">
        <v>2291</v>
      </c>
      <c r="Q18" s="98" t="s">
        <v>2291</v>
      </c>
      <c r="R18" s="98" t="s">
        <v>2291</v>
      </c>
      <c r="S18" s="98" t="s">
        <v>2291</v>
      </c>
      <c r="T18" s="98" t="s">
        <v>2291</v>
      </c>
      <c r="U18" s="98" t="s">
        <v>2291</v>
      </c>
      <c r="V18" s="98" t="s">
        <v>2291</v>
      </c>
      <c r="W18" s="98" t="s">
        <v>2291</v>
      </c>
      <c r="X18" s="98" t="s">
        <v>2291</v>
      </c>
    </row>
    <row r="19" spans="2:30">
      <c r="B19" s="141" t="s">
        <v>2274</v>
      </c>
      <c r="C19" s="98">
        <v>19</v>
      </c>
      <c r="D19" s="98" t="s">
        <v>2640</v>
      </c>
      <c r="E19" s="116">
        <v>45492</v>
      </c>
      <c r="F19" s="98">
        <v>1</v>
      </c>
      <c r="G19" s="216" cm="1">
        <f t="array" aca="1" ref="G19" ca="1">SUMPRODUCT(--(ISNUMBER((SEARCH(I25:X25,I19:X19)))))/COUNTA(I19:X19)</f>
        <v>0.8125</v>
      </c>
      <c r="H19" s="98" t="s">
        <v>2376</v>
      </c>
      <c r="I19" s="98" t="s">
        <v>2341</v>
      </c>
      <c r="J19" s="98" t="s">
        <v>2341</v>
      </c>
      <c r="K19" s="98" t="s">
        <v>2507</v>
      </c>
      <c r="L19" s="98" t="s">
        <v>2342</v>
      </c>
      <c r="M19" s="98" t="s">
        <v>2341</v>
      </c>
      <c r="N19" s="98" t="s">
        <v>2341</v>
      </c>
      <c r="O19" s="98" t="s">
        <v>2341</v>
      </c>
      <c r="P19" s="98" t="s">
        <v>2341</v>
      </c>
      <c r="Q19" s="98" t="s">
        <v>2341</v>
      </c>
      <c r="R19" s="98" t="s">
        <v>2341</v>
      </c>
      <c r="S19" s="98" t="s">
        <v>2341</v>
      </c>
      <c r="T19" s="98" t="s">
        <v>2341</v>
      </c>
      <c r="U19" s="98" t="s">
        <v>2343</v>
      </c>
      <c r="V19" s="98" t="s">
        <v>2341</v>
      </c>
      <c r="W19" s="98" t="s">
        <v>2341</v>
      </c>
      <c r="X19" s="98" t="s">
        <v>2344</v>
      </c>
    </row>
    <row r="20" spans="2:30">
      <c r="B20" s="141" t="s">
        <v>2277</v>
      </c>
      <c r="C20" s="98">
        <v>20</v>
      </c>
      <c r="D20" s="98"/>
      <c r="E20" s="116"/>
      <c r="F20" s="98"/>
      <c r="G20" s="216" cm="1">
        <f t="array" ref="G20">SUM(IF(I2:X2 = I24:X24, 1, 0))/ COUNTA(I2:X2)</f>
        <v>0.25</v>
      </c>
      <c r="H20" s="98" t="s">
        <v>2291</v>
      </c>
      <c r="I20" s="98" t="s">
        <v>2291</v>
      </c>
      <c r="J20" s="98" t="s">
        <v>2291</v>
      </c>
      <c r="K20" s="98" t="s">
        <v>2291</v>
      </c>
      <c r="L20" s="98" t="s">
        <v>2291</v>
      </c>
      <c r="M20" s="98" t="s">
        <v>2291</v>
      </c>
      <c r="N20" s="98" t="s">
        <v>2291</v>
      </c>
      <c r="O20" s="98" t="s">
        <v>2291</v>
      </c>
      <c r="P20" s="98" t="s">
        <v>2291</v>
      </c>
      <c r="Q20" s="98" t="s">
        <v>2291</v>
      </c>
      <c r="R20" s="98" t="s">
        <v>2291</v>
      </c>
      <c r="S20" s="98" t="s">
        <v>2291</v>
      </c>
      <c r="T20" s="98" t="s">
        <v>2291</v>
      </c>
      <c r="U20" s="98" t="s">
        <v>2291</v>
      </c>
      <c r="V20" s="98" t="s">
        <v>2291</v>
      </c>
      <c r="W20" s="98" t="s">
        <v>2291</v>
      </c>
      <c r="X20" s="98" t="s">
        <v>2291</v>
      </c>
    </row>
    <row r="21" spans="2:30">
      <c r="B21" s="165" t="s">
        <v>2280</v>
      </c>
      <c r="C21" s="98">
        <v>21</v>
      </c>
      <c r="D21" s="98"/>
      <c r="E21" s="116"/>
      <c r="F21" s="98"/>
      <c r="G21" s="216" cm="1">
        <f t="array" aca="1" ref="G21" ca="1">SUM(IF(IF(G3:G20="null",1,G3:G20)=1,1,0))/COUNT(IF(G3:G20="null",1,1))</f>
        <v>0.61111111111111116</v>
      </c>
      <c r="H21" s="98" t="s">
        <v>2291</v>
      </c>
      <c r="I21" s="98" t="s">
        <v>2291</v>
      </c>
      <c r="J21" s="98" t="s">
        <v>2291</v>
      </c>
      <c r="K21" s="98" t="s">
        <v>2291</v>
      </c>
      <c r="L21" s="98" t="s">
        <v>2291</v>
      </c>
      <c r="M21" s="98" t="s">
        <v>2291</v>
      </c>
      <c r="N21" s="98" t="s">
        <v>2291</v>
      </c>
      <c r="O21" s="98" t="s">
        <v>2291</v>
      </c>
      <c r="P21" s="98" t="s">
        <v>2291</v>
      </c>
      <c r="Q21" s="98" t="s">
        <v>2291</v>
      </c>
      <c r="R21" s="98" t="s">
        <v>2291</v>
      </c>
      <c r="S21" s="98" t="s">
        <v>2291</v>
      </c>
      <c r="T21" s="98" t="s">
        <v>2291</v>
      </c>
      <c r="U21" s="98" t="s">
        <v>2291</v>
      </c>
      <c r="V21" s="98" t="s">
        <v>2291</v>
      </c>
      <c r="W21" s="98" t="s">
        <v>2291</v>
      </c>
      <c r="X21" s="98" t="s">
        <v>2291</v>
      </c>
    </row>
    <row r="22" spans="2:30">
      <c r="B22" s="98"/>
      <c r="C22" s="98"/>
      <c r="D22" s="98"/>
      <c r="E22" s="116"/>
      <c r="F22" s="98"/>
      <c r="G22" s="98"/>
      <c r="H22" s="98"/>
      <c r="I22" s="98"/>
      <c r="J22" s="98"/>
      <c r="K22" s="98"/>
      <c r="L22" s="98"/>
      <c r="M22" s="98"/>
      <c r="N22" s="98"/>
      <c r="O22" s="98"/>
      <c r="P22" s="98"/>
      <c r="Q22" s="98"/>
      <c r="R22" s="98"/>
      <c r="S22" s="98"/>
      <c r="T22" s="98"/>
      <c r="U22" s="98"/>
    </row>
    <row r="23" spans="2:30">
      <c r="B23" s="106" t="s">
        <v>2345</v>
      </c>
    </row>
    <row r="24" spans="2:30">
      <c r="B24" s="107" t="s">
        <v>2346</v>
      </c>
      <c r="C24" s="108" t="s">
        <v>2284</v>
      </c>
      <c r="D24" s="108" t="s">
        <v>2285</v>
      </c>
      <c r="E24" s="108" t="s">
        <v>2286</v>
      </c>
      <c r="F24" s="108" t="s">
        <v>2287</v>
      </c>
      <c r="G24" s="108" t="s">
        <v>2288</v>
      </c>
      <c r="H24" s="108" t="s">
        <v>2289</v>
      </c>
      <c r="I24" s="109" t="str" cm="1">
        <f t="array" ref="I24:AD24">TRANSPOSE(_xlfn.SORTBY(_xlfn._xlws.FILTER(Table2[NOME FÍSICO CAMPO],Table2[NOME FÍSICO TABELA]="loan_transaction"), _xlfn._xlws.FILTER(Table2[ORDEM], Table2[NOME FÍSICO TABELA]="loan_transaction"), 1))</f>
        <v>bank_id</v>
      </c>
      <c r="J24" s="109" t="str">
        <v>contract_id</v>
      </c>
      <c r="K24" s="109" t="str">
        <v>order_number</v>
      </c>
      <c r="L24" s="109" t="str">
        <v>order_number_stage</v>
      </c>
      <c r="M24" s="109" t="str">
        <v>settled_amort_due_date</v>
      </c>
      <c r="N24" s="109" t="str">
        <v>accounting_bank_basic_operation</v>
      </c>
      <c r="O24" s="109" t="str">
        <v>accounting_concept_type_code</v>
      </c>
      <c r="P24" s="109" t="str">
        <v>accounting_concept_code</v>
      </c>
      <c r="Q24" s="109" t="str">
        <v>accounting_operation_code</v>
      </c>
      <c r="R24" s="109" t="str">
        <v>transaction_type_code</v>
      </c>
      <c r="S24" s="109" t="str">
        <v>financial_flow_indicator</v>
      </c>
      <c r="T24" s="109" t="str">
        <v>chargeback_indicator</v>
      </c>
      <c r="U24" s="178" t="str">
        <v>chargeback_date</v>
      </c>
      <c r="V24" s="178" t="str">
        <v>installment_number</v>
      </c>
      <c r="W24" s="178" t="str">
        <v>currency_code</v>
      </c>
      <c r="X24" s="178" t="str">
        <v>transaction_date</v>
      </c>
      <c r="Y24" t="str">
        <v>transaction_execution_date</v>
      </c>
      <c r="Z24" t="str">
        <v>amount</v>
      </c>
      <c r="AA24" t="str">
        <v>tax_amount</v>
      </c>
      <c r="AB24" t="str">
        <v>source_code</v>
      </c>
      <c r="AC24" t="str">
        <v>data_date_part</v>
      </c>
      <c r="AD24" t="str">
        <v>data_timestamp_part</v>
      </c>
    </row>
    <row r="25" spans="2:30">
      <c r="B25" s="100" t="s">
        <v>2347</v>
      </c>
      <c r="C25" s="113">
        <v>21</v>
      </c>
      <c r="D25" s="102" t="s">
        <v>2348</v>
      </c>
      <c r="E25" s="101" t="s">
        <v>2349</v>
      </c>
      <c r="F25" s="101" t="s">
        <v>781</v>
      </c>
      <c r="G25" s="101" t="s">
        <v>781</v>
      </c>
      <c r="H25" s="101" t="s">
        <v>781</v>
      </c>
      <c r="I25" s="101" t="str" cm="1">
        <f t="array" aca="1" ref="I25:AD26" ca="1">TRANSPOSE(_xlfn.SORTBY(_xlfn._xlws.FILTER(IF(Table2[FORMATO]:Table2[COMP_ CAMPO]&lt;&gt;"",Table2[FORMATO]:Table2[COMP_ CAMPO],9999999),Table2[NOME FÍSICO TABELA]="loan_transaction"), _xlfn._xlws.FILTER(Table2[ORDEM], Table2[NOME FÍSICO TABELA]="loan_transaction"),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t="str">
        <f ca="1"/>
        <v>STRING</v>
      </c>
      <c r="Z25" t="str">
        <f ca="1"/>
        <v>DECIMAL</v>
      </c>
      <c r="AA25" t="str">
        <f ca="1"/>
        <v>DECIMAL</v>
      </c>
      <c r="AB25" t="str">
        <f ca="1"/>
        <v>STRING</v>
      </c>
      <c r="AC25" t="str">
        <f ca="1"/>
        <v>STRING</v>
      </c>
      <c r="AD25" t="str">
        <f ca="1"/>
        <v>TIMESTAMP</v>
      </c>
    </row>
    <row r="26" spans="2:30" s="97" customFormat="1">
      <c r="B26" s="118" t="s">
        <v>2350</v>
      </c>
      <c r="C26" s="113">
        <v>7</v>
      </c>
      <c r="D26" s="119" t="s">
        <v>2348</v>
      </c>
      <c r="E26" s="113" t="s">
        <v>2349</v>
      </c>
      <c r="F26" s="113" t="s">
        <v>781</v>
      </c>
      <c r="G26" s="113" t="s">
        <v>781</v>
      </c>
      <c r="H26" s="113" t="s">
        <v>781</v>
      </c>
      <c r="I26" s="113">
        <f ca="1"/>
        <v>4</v>
      </c>
      <c r="J26" s="113">
        <f ca="1"/>
        <v>30</v>
      </c>
      <c r="K26" s="113">
        <f ca="1"/>
        <v>9999999</v>
      </c>
      <c r="L26" s="113">
        <f ca="1"/>
        <v>9999999</v>
      </c>
      <c r="M26" s="113">
        <f ca="1"/>
        <v>10</v>
      </c>
      <c r="N26" s="113">
        <f ca="1"/>
        <v>6</v>
      </c>
      <c r="O26" s="113">
        <f ca="1"/>
        <v>4</v>
      </c>
      <c r="P26" s="113">
        <f ca="1"/>
        <v>4</v>
      </c>
      <c r="Q26" s="113">
        <f ca="1"/>
        <v>4</v>
      </c>
      <c r="R26" s="113">
        <f ca="1"/>
        <v>4</v>
      </c>
      <c r="S26" s="113">
        <f ca="1"/>
        <v>4</v>
      </c>
      <c r="T26" s="113">
        <f ca="1"/>
        <v>4</v>
      </c>
      <c r="U26" s="113">
        <f ca="1"/>
        <v>10</v>
      </c>
      <c r="V26" s="113">
        <f ca="1"/>
        <v>9999999</v>
      </c>
      <c r="W26" s="113">
        <f ca="1"/>
        <v>4</v>
      </c>
      <c r="X26" s="113">
        <f ca="1"/>
        <v>10</v>
      </c>
      <c r="Y26" s="97">
        <f ca="1"/>
        <v>10</v>
      </c>
      <c r="Z26" s="97">
        <f ca="1"/>
        <v>23</v>
      </c>
      <c r="AA26" s="97">
        <f ca="1"/>
        <v>23</v>
      </c>
      <c r="AB26" s="97">
        <f ca="1"/>
        <v>2</v>
      </c>
      <c r="AC26" s="97">
        <f ca="1"/>
        <v>10</v>
      </c>
      <c r="AD26" s="97">
        <f ca="1"/>
        <v>23</v>
      </c>
    </row>
    <row r="27" spans="2:30">
      <c r="B27" t="s">
        <v>2574</v>
      </c>
    </row>
    <row r="29" spans="2:30">
      <c r="B29" s="123" t="s">
        <v>2351</v>
      </c>
    </row>
    <row r="30" spans="2:30">
      <c r="B30" s="132" t="s">
        <v>2352</v>
      </c>
      <c r="C30" s="132" t="s">
        <v>2353</v>
      </c>
      <c r="D30" s="133" t="s">
        <v>2354</v>
      </c>
      <c r="E30" s="132" t="s">
        <v>2355</v>
      </c>
      <c r="F30" s="132" t="s">
        <v>2356</v>
      </c>
      <c r="H30" s="218"/>
    </row>
    <row r="31" spans="2:30" ht="45.75">
      <c r="B31" s="130" t="s">
        <v>2610</v>
      </c>
      <c r="C31" s="83" t="s">
        <v>2419</v>
      </c>
      <c r="D31" s="83" t="s">
        <v>2641</v>
      </c>
      <c r="E31" s="83" t="s">
        <v>2642</v>
      </c>
      <c r="F31" s="195" t="s">
        <v>2369</v>
      </c>
    </row>
    <row r="32" spans="2:30" ht="45.75">
      <c r="B32" s="130" t="s">
        <v>2361</v>
      </c>
      <c r="C32" s="203" t="s">
        <v>923</v>
      </c>
      <c r="D32" s="203" t="s">
        <v>2643</v>
      </c>
      <c r="E32" s="203" t="s">
        <v>2644</v>
      </c>
      <c r="F32" s="217" t="s">
        <v>2416</v>
      </c>
      <c r="H32" s="186"/>
    </row>
    <row r="33" spans="2:8" ht="30.75">
      <c r="B33" s="130" t="s">
        <v>2361</v>
      </c>
      <c r="C33" s="203" t="s">
        <v>1012</v>
      </c>
      <c r="D33" s="203" t="s">
        <v>2645</v>
      </c>
      <c r="E33" s="203" t="s">
        <v>2646</v>
      </c>
      <c r="F33" s="217" t="s">
        <v>2360</v>
      </c>
      <c r="H33" s="186"/>
    </row>
    <row r="34" spans="2:8" ht="30.75">
      <c r="B34" s="222" t="s">
        <v>2357</v>
      </c>
      <c r="C34" s="213" t="s">
        <v>1079</v>
      </c>
      <c r="D34" s="203" t="s">
        <v>2613</v>
      </c>
      <c r="E34" s="203" t="s">
        <v>2647</v>
      </c>
      <c r="F34" s="217" t="s">
        <v>2360</v>
      </c>
      <c r="H34" s="186"/>
    </row>
    <row r="35" spans="2:8" ht="45.75">
      <c r="B35" s="130" t="s">
        <v>2365</v>
      </c>
      <c r="C35" s="203" t="s">
        <v>923</v>
      </c>
      <c r="D35" s="203" t="s">
        <v>2643</v>
      </c>
      <c r="E35" s="203" t="s">
        <v>2644</v>
      </c>
      <c r="F35" s="217" t="s">
        <v>2416</v>
      </c>
      <c r="H35" s="186"/>
    </row>
    <row r="36" spans="2:8" ht="61.5" customHeight="1">
      <c r="B36" s="130" t="s">
        <v>2365</v>
      </c>
      <c r="C36" s="203" t="s">
        <v>1012</v>
      </c>
      <c r="D36" s="203" t="s">
        <v>2645</v>
      </c>
      <c r="E36" s="203" t="s">
        <v>2646</v>
      </c>
      <c r="F36" s="217" t="s">
        <v>2360</v>
      </c>
      <c r="H36" s="185"/>
    </row>
    <row r="37" spans="2:8" ht="30.75">
      <c r="B37" s="134" t="s">
        <v>2365</v>
      </c>
      <c r="C37" s="87" t="s">
        <v>1079</v>
      </c>
      <c r="D37" s="87" t="s">
        <v>2613</v>
      </c>
      <c r="E37" s="87" t="s">
        <v>2648</v>
      </c>
      <c r="F37" s="131" t="s">
        <v>2360</v>
      </c>
    </row>
    <row r="38" spans="2:8" ht="60.75">
      <c r="B38" s="214" t="s">
        <v>2649</v>
      </c>
      <c r="C38" s="213" t="s">
        <v>1169</v>
      </c>
      <c r="D38" s="213" t="s">
        <v>2650</v>
      </c>
      <c r="E38" s="213" t="s">
        <v>2651</v>
      </c>
      <c r="F38" s="217" t="s">
        <v>2369</v>
      </c>
    </row>
    <row r="39" spans="2:8" ht="48.75" customHeight="1">
      <c r="B39" s="214" t="s">
        <v>2365</v>
      </c>
      <c r="C39" s="213" t="s">
        <v>1255</v>
      </c>
      <c r="D39" s="203" t="s">
        <v>2652</v>
      </c>
      <c r="E39" s="213" t="s">
        <v>2653</v>
      </c>
      <c r="F39" s="220" t="s">
        <v>2416</v>
      </c>
    </row>
    <row r="40" spans="2:8" ht="45.75">
      <c r="B40" s="214" t="s">
        <v>2365</v>
      </c>
      <c r="C40" s="213" t="s">
        <v>1690</v>
      </c>
      <c r="D40" s="213" t="s">
        <v>2654</v>
      </c>
      <c r="E40" s="213" t="s">
        <v>2655</v>
      </c>
      <c r="F40" s="215" t="s">
        <v>2656</v>
      </c>
    </row>
    <row r="41" spans="2:8" ht="30.75">
      <c r="B41" s="214" t="s">
        <v>2365</v>
      </c>
      <c r="C41" s="213" t="s">
        <v>1272</v>
      </c>
      <c r="D41" s="213" t="s">
        <v>2657</v>
      </c>
      <c r="E41" s="213" t="s">
        <v>2658</v>
      </c>
      <c r="F41" s="221" t="s">
        <v>2360</v>
      </c>
    </row>
    <row r="42" spans="2:8" ht="30.75">
      <c r="B42" s="214" t="s">
        <v>2365</v>
      </c>
      <c r="C42" s="203" t="s">
        <v>1650</v>
      </c>
      <c r="D42" s="213" t="s">
        <v>2657</v>
      </c>
      <c r="E42" s="203" t="s">
        <v>2658</v>
      </c>
      <c r="F42" s="221" t="s">
        <v>2360</v>
      </c>
    </row>
    <row r="43" spans="2:8" ht="30.75">
      <c r="B43" s="214" t="s">
        <v>2365</v>
      </c>
      <c r="C43" s="213" t="s">
        <v>1440</v>
      </c>
      <c r="D43" s="213" t="s">
        <v>2645</v>
      </c>
      <c r="E43" s="213" t="s">
        <v>2659</v>
      </c>
      <c r="F43" s="220" t="s">
        <v>2360</v>
      </c>
    </row>
    <row r="44" spans="2:8" ht="30.75">
      <c r="B44" s="214" t="s">
        <v>2391</v>
      </c>
      <c r="C44" s="213" t="s">
        <v>2419</v>
      </c>
      <c r="D44" s="213" t="s">
        <v>2660</v>
      </c>
      <c r="E44" s="213" t="s">
        <v>2661</v>
      </c>
      <c r="F44" s="220" t="s">
        <v>2360</v>
      </c>
    </row>
    <row r="45" spans="2:8" ht="30.75">
      <c r="B45" s="214" t="s">
        <v>2392</v>
      </c>
      <c r="C45" s="213" t="s">
        <v>2419</v>
      </c>
      <c r="D45" s="213" t="s">
        <v>2660</v>
      </c>
      <c r="E45" s="213" t="s">
        <v>2661</v>
      </c>
      <c r="F45" s="220" t="s">
        <v>2360</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5E9A-EBF2-4C34-9CE3-894E84A220F3}">
  <sheetPr>
    <tabColor rgb="FF00B050"/>
  </sheetPr>
  <dimension ref="B1:AE39"/>
  <sheetViews>
    <sheetView showGridLines="0" topLeftCell="A19" workbookViewId="0">
      <selection activeCell="A17" sqref="A17"/>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7.42578125" bestFit="1" customWidth="1"/>
    <col min="24" max="24" width="26.85546875" bestFit="1" customWidth="1"/>
  </cols>
  <sheetData>
    <row r="1" spans="2:24" ht="38.25" customHeight="1"/>
    <row r="2" spans="2:24">
      <c r="B2" s="97" t="s">
        <v>2283</v>
      </c>
      <c r="C2" s="97" t="s">
        <v>2284</v>
      </c>
      <c r="D2" s="97" t="s">
        <v>2285</v>
      </c>
      <c r="E2" s="97" t="s">
        <v>2286</v>
      </c>
      <c r="F2" s="97" t="s">
        <v>2287</v>
      </c>
      <c r="G2" s="97" t="s">
        <v>2288</v>
      </c>
      <c r="H2" s="97" t="s">
        <v>2289</v>
      </c>
      <c r="I2" s="97" t="s">
        <v>730</v>
      </c>
      <c r="J2" s="97" t="s">
        <v>842</v>
      </c>
      <c r="K2" s="97" t="s">
        <v>923</v>
      </c>
      <c r="L2" s="97" t="s">
        <v>1012</v>
      </c>
      <c r="M2" s="97" t="s">
        <v>1079</v>
      </c>
      <c r="N2" s="109" t="s">
        <v>1224</v>
      </c>
      <c r="O2" s="97" t="s">
        <v>1440</v>
      </c>
      <c r="P2" s="97" t="s">
        <v>1169</v>
      </c>
      <c r="Q2" s="109" t="s">
        <v>1255</v>
      </c>
      <c r="R2" s="109" t="s">
        <v>1334</v>
      </c>
      <c r="S2" s="97" t="s">
        <v>1187</v>
      </c>
      <c r="T2" s="97" t="s">
        <v>1642</v>
      </c>
      <c r="U2" s="97" t="s">
        <v>1831</v>
      </c>
      <c r="V2" s="97" t="s">
        <v>1499</v>
      </c>
      <c r="W2" s="97" t="s">
        <v>1561</v>
      </c>
      <c r="X2" s="97" t="s">
        <v>1614</v>
      </c>
    </row>
    <row r="3" spans="2:24">
      <c r="B3" s="141" t="s">
        <v>2237</v>
      </c>
      <c r="C3" s="98">
        <v>1</v>
      </c>
      <c r="D3" s="98" t="s">
        <v>2662</v>
      </c>
      <c r="E3" s="116">
        <v>45513</v>
      </c>
      <c r="F3" s="98">
        <v>1</v>
      </c>
      <c r="G3" s="216" t="s">
        <v>2663</v>
      </c>
      <c r="H3" s="117">
        <v>2301</v>
      </c>
      <c r="I3" s="98" t="s">
        <v>2291</v>
      </c>
      <c r="J3" s="98" t="s">
        <v>2291</v>
      </c>
      <c r="K3" s="98" t="s">
        <v>2291</v>
      </c>
      <c r="L3" s="98" t="s">
        <v>2291</v>
      </c>
      <c r="M3" s="98" t="s">
        <v>2291</v>
      </c>
      <c r="N3" s="98" t="s">
        <v>2291</v>
      </c>
      <c r="O3" s="98" t="s">
        <v>2291</v>
      </c>
      <c r="P3" s="98" t="s">
        <v>2291</v>
      </c>
      <c r="Q3" s="98" t="s">
        <v>2291</v>
      </c>
      <c r="R3" s="98" t="s">
        <v>2291</v>
      </c>
      <c r="S3" s="98" t="s">
        <v>2291</v>
      </c>
      <c r="T3" s="98" t="s">
        <v>2291</v>
      </c>
      <c r="U3" s="98" t="s">
        <v>2291</v>
      </c>
      <c r="V3" s="98" t="s">
        <v>2291</v>
      </c>
      <c r="W3" s="98" t="s">
        <v>2291</v>
      </c>
      <c r="X3" s="98" t="s">
        <v>2291</v>
      </c>
    </row>
    <row r="4" spans="2:24">
      <c r="B4" s="141" t="s">
        <v>2239</v>
      </c>
      <c r="C4" s="98">
        <v>2</v>
      </c>
      <c r="D4" s="98" t="s">
        <v>2664</v>
      </c>
      <c r="E4" s="116">
        <v>45513</v>
      </c>
      <c r="F4" s="98">
        <v>1</v>
      </c>
      <c r="G4" s="216">
        <v>1</v>
      </c>
      <c r="H4" s="202" t="s">
        <v>2376</v>
      </c>
      <c r="I4" s="98" t="s">
        <v>2291</v>
      </c>
      <c r="J4" s="98" t="s">
        <v>2291</v>
      </c>
      <c r="K4" s="98" t="s">
        <v>2291</v>
      </c>
      <c r="L4" s="98" t="s">
        <v>2291</v>
      </c>
      <c r="M4" s="98" t="s">
        <v>2291</v>
      </c>
      <c r="N4" s="98" t="s">
        <v>2291</v>
      </c>
      <c r="O4" s="98" t="s">
        <v>2291</v>
      </c>
      <c r="P4" s="98" t="s">
        <v>2291</v>
      </c>
      <c r="Q4" s="98" t="s">
        <v>2291</v>
      </c>
      <c r="R4" s="98" t="s">
        <v>2291</v>
      </c>
      <c r="S4" s="98" t="s">
        <v>2291</v>
      </c>
      <c r="T4" s="98" t="s">
        <v>2291</v>
      </c>
      <c r="U4" s="98" t="s">
        <v>2291</v>
      </c>
      <c r="V4" s="98" t="s">
        <v>2291</v>
      </c>
      <c r="W4" s="98" t="s">
        <v>2291</v>
      </c>
      <c r="X4" s="98" t="s">
        <v>2291</v>
      </c>
    </row>
    <row r="5" spans="2:24">
      <c r="B5" s="141" t="s">
        <v>2241</v>
      </c>
      <c r="C5" s="98">
        <v>3</v>
      </c>
      <c r="D5" s="98" t="s">
        <v>2665</v>
      </c>
      <c r="E5" s="116">
        <v>45513</v>
      </c>
      <c r="F5" s="98">
        <v>1</v>
      </c>
      <c r="G5" s="216">
        <v>1</v>
      </c>
      <c r="H5" s="202" t="s">
        <v>2376</v>
      </c>
      <c r="I5" s="98">
        <v>0</v>
      </c>
      <c r="J5" s="98">
        <v>0</v>
      </c>
      <c r="K5" s="98">
        <v>0</v>
      </c>
      <c r="L5" s="98">
        <v>0</v>
      </c>
      <c r="M5" s="98" t="s">
        <v>2291</v>
      </c>
      <c r="N5" s="98">
        <v>0</v>
      </c>
      <c r="O5" s="98">
        <v>0</v>
      </c>
      <c r="P5" s="98" t="s">
        <v>2291</v>
      </c>
      <c r="Q5" s="98" t="s">
        <v>2291</v>
      </c>
      <c r="R5" s="98" t="s">
        <v>2291</v>
      </c>
      <c r="S5" s="98" t="s">
        <v>2291</v>
      </c>
      <c r="T5" s="98" t="s">
        <v>2291</v>
      </c>
      <c r="U5" s="98" t="s">
        <v>2291</v>
      </c>
      <c r="V5" s="98" t="s">
        <v>2291</v>
      </c>
      <c r="W5" s="98">
        <v>0</v>
      </c>
      <c r="X5" s="98" t="s">
        <v>2291</v>
      </c>
    </row>
    <row r="6" spans="2:24">
      <c r="B6" s="88" t="s">
        <v>2243</v>
      </c>
      <c r="C6" s="98">
        <v>4</v>
      </c>
      <c r="D6" s="98" t="s">
        <v>2296</v>
      </c>
      <c r="E6" s="116" t="s">
        <v>2291</v>
      </c>
      <c r="F6" s="98">
        <v>1</v>
      </c>
      <c r="G6" s="216" t="s">
        <v>2291</v>
      </c>
      <c r="H6" s="202" t="s">
        <v>2291</v>
      </c>
      <c r="I6" s="98" t="s">
        <v>2291</v>
      </c>
      <c r="J6" s="98" t="s">
        <v>2291</v>
      </c>
      <c r="K6" s="98" t="s">
        <v>2291</v>
      </c>
      <c r="L6" s="98" t="s">
        <v>2291</v>
      </c>
      <c r="M6" s="98" t="s">
        <v>2291</v>
      </c>
      <c r="N6" s="98" t="s">
        <v>2291</v>
      </c>
      <c r="O6" s="98" t="s">
        <v>2291</v>
      </c>
      <c r="P6" s="98" t="s">
        <v>2291</v>
      </c>
      <c r="Q6" s="98" t="s">
        <v>2291</v>
      </c>
      <c r="R6" s="98" t="s">
        <v>2291</v>
      </c>
      <c r="S6" s="98" t="s">
        <v>2291</v>
      </c>
      <c r="T6" s="98" t="s">
        <v>2291</v>
      </c>
      <c r="U6" s="98" t="s">
        <v>2291</v>
      </c>
      <c r="V6" s="98" t="s">
        <v>2291</v>
      </c>
      <c r="W6" s="98" t="s">
        <v>2291</v>
      </c>
      <c r="X6" s="98" t="s">
        <v>2291</v>
      </c>
    </row>
    <row r="7" spans="2:24">
      <c r="B7" s="88" t="s">
        <v>2245</v>
      </c>
      <c r="C7" s="98">
        <v>5</v>
      </c>
      <c r="D7" s="98" t="s">
        <v>2296</v>
      </c>
      <c r="E7" s="116" t="s">
        <v>2291</v>
      </c>
      <c r="F7" s="98">
        <v>1</v>
      </c>
      <c r="G7" s="216" t="s">
        <v>2291</v>
      </c>
      <c r="H7" s="202" t="s">
        <v>2291</v>
      </c>
      <c r="I7" s="98" t="s">
        <v>2291</v>
      </c>
      <c r="J7" s="98" t="s">
        <v>2291</v>
      </c>
      <c r="K7" s="98" t="s">
        <v>2291</v>
      </c>
      <c r="L7" s="98" t="s">
        <v>2291</v>
      </c>
      <c r="M7" s="98" t="s">
        <v>2291</v>
      </c>
      <c r="N7" s="98" t="s">
        <v>2291</v>
      </c>
      <c r="O7" s="98" t="s">
        <v>2291</v>
      </c>
      <c r="P7" s="98" t="s">
        <v>2291</v>
      </c>
      <c r="Q7" s="98" t="s">
        <v>2291</v>
      </c>
      <c r="R7" s="98" t="s">
        <v>2291</v>
      </c>
      <c r="S7" s="98" t="s">
        <v>2291</v>
      </c>
      <c r="T7" s="98" t="s">
        <v>2291</v>
      </c>
      <c r="U7" s="98" t="s">
        <v>2291</v>
      </c>
      <c r="V7" s="98" t="s">
        <v>2291</v>
      </c>
      <c r="W7" s="98" t="s">
        <v>2291</v>
      </c>
      <c r="X7" s="98" t="s">
        <v>2291</v>
      </c>
    </row>
    <row r="8" spans="2:24">
      <c r="B8" s="172" t="s">
        <v>2246</v>
      </c>
      <c r="C8" s="98">
        <v>6</v>
      </c>
      <c r="D8" s="98" t="s">
        <v>2666</v>
      </c>
      <c r="E8" s="116">
        <v>45513</v>
      </c>
      <c r="F8" s="98">
        <v>1</v>
      </c>
      <c r="G8" s="216" cm="1">
        <f t="array" ref="G8">SUMPRODUCT(--(I8:X8&gt;0))/COUNTA(I8:X8)</f>
        <v>0.8125</v>
      </c>
      <c r="H8" s="202" t="s">
        <v>2376</v>
      </c>
      <c r="I8" s="98">
        <v>2</v>
      </c>
      <c r="J8" s="98">
        <v>30</v>
      </c>
      <c r="K8" s="98">
        <v>1</v>
      </c>
      <c r="L8" s="98">
        <v>1</v>
      </c>
      <c r="M8" s="98">
        <v>1</v>
      </c>
      <c r="N8" s="98">
        <v>10</v>
      </c>
      <c r="O8" s="98">
        <v>8</v>
      </c>
      <c r="P8" s="98">
        <v>1</v>
      </c>
      <c r="Q8" s="98">
        <v>3</v>
      </c>
      <c r="R8" s="98">
        <v>10</v>
      </c>
      <c r="S8" s="98">
        <v>0</v>
      </c>
      <c r="T8" s="98">
        <v>0</v>
      </c>
      <c r="U8" s="98">
        <v>0</v>
      </c>
      <c r="V8" s="98">
        <v>2</v>
      </c>
      <c r="W8" s="98">
        <v>10</v>
      </c>
      <c r="X8" s="98">
        <v>23</v>
      </c>
    </row>
    <row r="9" spans="2:24">
      <c r="B9" s="141" t="s">
        <v>2249</v>
      </c>
      <c r="C9" s="98">
        <v>7</v>
      </c>
      <c r="D9" s="98" t="s">
        <v>2667</v>
      </c>
      <c r="E9" s="116">
        <v>45513</v>
      </c>
      <c r="F9" s="98">
        <v>1</v>
      </c>
      <c r="G9" s="216" cm="1">
        <f t="array" aca="1" ref="G9" ca="1">SUMPRODUCT(--(I9:X9&lt;=I26:X26))/COUNTA(I9:X9)</f>
        <v>0.625</v>
      </c>
      <c r="H9" s="202" t="s">
        <v>2376</v>
      </c>
      <c r="I9" s="98">
        <v>2</v>
      </c>
      <c r="J9" s="98">
        <v>30</v>
      </c>
      <c r="K9" s="98">
        <v>11</v>
      </c>
      <c r="L9" s="98">
        <v>1</v>
      </c>
      <c r="M9" s="98">
        <v>1</v>
      </c>
      <c r="N9" s="98">
        <v>10</v>
      </c>
      <c r="O9" s="98">
        <v>14</v>
      </c>
      <c r="P9" s="98">
        <v>4</v>
      </c>
      <c r="Q9" s="98">
        <v>3</v>
      </c>
      <c r="R9" s="98">
        <v>10</v>
      </c>
      <c r="S9" s="98">
        <v>15</v>
      </c>
      <c r="T9" s="98">
        <v>30</v>
      </c>
      <c r="U9" s="98">
        <v>30</v>
      </c>
      <c r="V9" s="98">
        <v>2</v>
      </c>
      <c r="W9" s="98">
        <v>10</v>
      </c>
      <c r="X9" s="98">
        <v>23</v>
      </c>
    </row>
    <row r="10" spans="2:24">
      <c r="B10" s="141" t="s">
        <v>2252</v>
      </c>
      <c r="C10" s="98">
        <v>8</v>
      </c>
      <c r="D10" s="98" t="s">
        <v>2668</v>
      </c>
      <c r="E10" s="116">
        <v>45513</v>
      </c>
      <c r="F10" s="98">
        <v>1</v>
      </c>
      <c r="G10" s="216" t="s">
        <v>2291</v>
      </c>
      <c r="H10" s="202" t="s">
        <v>2376</v>
      </c>
      <c r="I10" s="98">
        <v>31</v>
      </c>
      <c r="J10" s="98">
        <v>1.2221441750000001E+24</v>
      </c>
      <c r="K10" s="98">
        <v>1</v>
      </c>
      <c r="L10" s="98">
        <v>1</v>
      </c>
      <c r="M10" s="116" t="s">
        <v>2298</v>
      </c>
      <c r="N10" s="116">
        <v>45513</v>
      </c>
      <c r="O10" s="202">
        <v>5000000</v>
      </c>
      <c r="P10" s="98" t="e">
        <v>#N/A</v>
      </c>
      <c r="Q10" s="98">
        <v>840</v>
      </c>
      <c r="R10" s="116">
        <v>45505</v>
      </c>
      <c r="S10" s="98"/>
      <c r="T10" s="98"/>
      <c r="U10" s="145"/>
      <c r="V10" s="98" t="s">
        <v>2381</v>
      </c>
      <c r="W10" s="116">
        <v>45513</v>
      </c>
      <c r="X10" s="98" t="s">
        <v>2669</v>
      </c>
    </row>
    <row r="11" spans="2:24">
      <c r="B11" s="141" t="s">
        <v>2254</v>
      </c>
      <c r="C11" s="98">
        <v>9</v>
      </c>
      <c r="D11" s="98" t="s">
        <v>2670</v>
      </c>
      <c r="E11" s="116">
        <v>45513</v>
      </c>
      <c r="F11" s="98">
        <v>1</v>
      </c>
      <c r="G11" s="216" t="s">
        <v>2291</v>
      </c>
      <c r="H11" s="202" t="s">
        <v>2376</v>
      </c>
      <c r="I11" s="98">
        <v>31</v>
      </c>
      <c r="J11" s="98">
        <v>1.2221441750000001E+24</v>
      </c>
      <c r="K11" s="98">
        <v>1</v>
      </c>
      <c r="L11" s="98">
        <v>1</v>
      </c>
      <c r="M11" s="116" t="s">
        <v>2298</v>
      </c>
      <c r="N11" s="116">
        <v>45513</v>
      </c>
      <c r="O11" s="202" t="s">
        <v>2671</v>
      </c>
      <c r="P11" s="116" t="e">
        <v>#N/A</v>
      </c>
      <c r="Q11" s="98">
        <v>840</v>
      </c>
      <c r="R11" s="116">
        <v>45505</v>
      </c>
      <c r="S11" s="98" t="s">
        <v>2291</v>
      </c>
      <c r="T11" s="98" t="e">
        <v>#N/A</v>
      </c>
      <c r="U11" s="116" t="s">
        <v>2291</v>
      </c>
      <c r="V11" s="98" t="s">
        <v>2381</v>
      </c>
      <c r="W11" s="116">
        <v>45513</v>
      </c>
      <c r="X11" s="98" t="s">
        <v>2672</v>
      </c>
    </row>
    <row r="12" spans="2:24">
      <c r="B12" s="164" t="s">
        <v>2256</v>
      </c>
      <c r="C12" s="98">
        <v>10</v>
      </c>
      <c r="D12" s="98" t="s">
        <v>2673</v>
      </c>
      <c r="E12" s="116">
        <v>45513</v>
      </c>
      <c r="F12" s="98">
        <v>1</v>
      </c>
      <c r="G12" s="216" t="s">
        <v>2291</v>
      </c>
      <c r="H12" s="202" t="s">
        <v>2376</v>
      </c>
      <c r="I12" s="98">
        <v>31</v>
      </c>
      <c r="J12" s="98">
        <v>2.3370022502709698E+29</v>
      </c>
      <c r="K12" s="98">
        <v>20240163093</v>
      </c>
      <c r="L12" s="98">
        <v>2</v>
      </c>
      <c r="M12" s="116" t="s">
        <v>2298</v>
      </c>
      <c r="N12" s="116">
        <v>45513</v>
      </c>
      <c r="O12" s="202">
        <v>2530000000000</v>
      </c>
      <c r="P12" s="117">
        <v>1</v>
      </c>
      <c r="Q12" s="98" t="s">
        <v>2632</v>
      </c>
      <c r="R12" s="116">
        <v>45523</v>
      </c>
      <c r="S12" s="116" t="s">
        <v>2674</v>
      </c>
      <c r="T12" s="116" t="s">
        <v>2675</v>
      </c>
      <c r="U12" s="145">
        <v>80890001155867</v>
      </c>
      <c r="V12" s="98" t="s">
        <v>2439</v>
      </c>
      <c r="W12" s="116">
        <v>45513</v>
      </c>
      <c r="X12" s="98" t="s">
        <v>2669</v>
      </c>
    </row>
    <row r="13" spans="2:24">
      <c r="B13" s="141" t="s">
        <v>2258</v>
      </c>
      <c r="C13" s="98">
        <v>11</v>
      </c>
      <c r="D13" s="98" t="s">
        <v>2676</v>
      </c>
      <c r="E13" s="116">
        <v>45513</v>
      </c>
      <c r="F13" s="98">
        <v>1</v>
      </c>
      <c r="G13" s="216" t="s">
        <v>2291</v>
      </c>
      <c r="H13" s="202" t="s">
        <v>2376</v>
      </c>
      <c r="I13" s="98">
        <v>31</v>
      </c>
      <c r="J13" s="98">
        <v>2.3370022502709698E+29</v>
      </c>
      <c r="K13" s="98">
        <v>20240163093</v>
      </c>
      <c r="L13" s="98">
        <v>2</v>
      </c>
      <c r="M13" s="116" t="s">
        <v>2298</v>
      </c>
      <c r="N13" s="116">
        <v>45513</v>
      </c>
      <c r="O13" s="202" t="s">
        <v>2677</v>
      </c>
      <c r="P13" s="116">
        <v>1</v>
      </c>
      <c r="Q13" s="98" t="s">
        <v>2678</v>
      </c>
      <c r="R13" s="116">
        <v>45523</v>
      </c>
      <c r="S13" s="116" t="s">
        <v>2291</v>
      </c>
      <c r="T13" s="116" t="s">
        <v>2675</v>
      </c>
      <c r="U13" s="116" t="s">
        <v>2291</v>
      </c>
      <c r="V13" s="98" t="s">
        <v>2439</v>
      </c>
      <c r="W13" s="116">
        <v>45513</v>
      </c>
      <c r="X13" s="98" t="s">
        <v>2679</v>
      </c>
    </row>
    <row r="14" spans="2:24">
      <c r="B14" s="141" t="s">
        <v>2260</v>
      </c>
      <c r="C14" s="98">
        <v>12</v>
      </c>
      <c r="D14" s="98" t="s">
        <v>2680</v>
      </c>
      <c r="E14" s="116">
        <v>45513</v>
      </c>
      <c r="F14" s="98">
        <v>1</v>
      </c>
      <c r="G14" s="216" t="s">
        <v>2681</v>
      </c>
      <c r="H14" s="202" t="s">
        <v>2376</v>
      </c>
      <c r="I14" s="98">
        <v>0</v>
      </c>
      <c r="J14" s="98">
        <v>0</v>
      </c>
      <c r="K14" s="98">
        <v>0</v>
      </c>
      <c r="L14" s="98">
        <v>0</v>
      </c>
      <c r="M14" s="98">
        <v>2301</v>
      </c>
      <c r="N14" s="98">
        <v>0</v>
      </c>
      <c r="O14" s="98">
        <v>0</v>
      </c>
      <c r="P14" s="98">
        <v>0</v>
      </c>
      <c r="Q14" s="98">
        <v>0</v>
      </c>
      <c r="R14" s="98">
        <v>0</v>
      </c>
      <c r="S14" s="98">
        <v>17</v>
      </c>
      <c r="T14" s="98">
        <v>0</v>
      </c>
      <c r="U14" s="98">
        <v>0</v>
      </c>
      <c r="V14" s="98">
        <v>0</v>
      </c>
      <c r="W14" s="98">
        <v>0</v>
      </c>
      <c r="X14" s="98">
        <v>0</v>
      </c>
    </row>
    <row r="15" spans="2:24">
      <c r="B15" s="141" t="s">
        <v>2262</v>
      </c>
      <c r="C15" s="98">
        <v>13</v>
      </c>
      <c r="D15" s="98" t="s">
        <v>2682</v>
      </c>
      <c r="E15" s="116">
        <v>45513</v>
      </c>
      <c r="F15" s="98">
        <v>1</v>
      </c>
      <c r="G15" s="216">
        <v>1000000</v>
      </c>
      <c r="H15" s="202" t="s">
        <v>2376</v>
      </c>
      <c r="I15" s="98" t="s">
        <v>2291</v>
      </c>
      <c r="J15" s="98" t="s">
        <v>2291</v>
      </c>
      <c r="K15" s="98" t="s">
        <v>2291</v>
      </c>
      <c r="L15" s="88" t="s">
        <v>2291</v>
      </c>
      <c r="M15" s="88" t="s">
        <v>2291</v>
      </c>
      <c r="N15" s="88">
        <v>0</v>
      </c>
      <c r="O15" s="98" t="s">
        <v>2291</v>
      </c>
      <c r="P15" s="88" t="s">
        <v>2291</v>
      </c>
      <c r="Q15" s="88" t="s">
        <v>2291</v>
      </c>
      <c r="R15" s="88">
        <v>0</v>
      </c>
      <c r="S15" s="98" t="s">
        <v>2291</v>
      </c>
      <c r="T15" s="98" t="s">
        <v>2291</v>
      </c>
      <c r="U15" s="98" t="s">
        <v>2291</v>
      </c>
      <c r="V15" s="98" t="s">
        <v>2291</v>
      </c>
      <c r="W15" s="98" t="s">
        <v>2291</v>
      </c>
      <c r="X15" s="98" t="s">
        <v>2291</v>
      </c>
    </row>
    <row r="16" spans="2:24">
      <c r="B16" s="141" t="s">
        <v>2264</v>
      </c>
      <c r="C16" s="98">
        <v>14</v>
      </c>
      <c r="D16" s="98" t="s">
        <v>2683</v>
      </c>
      <c r="E16" s="116">
        <v>45513</v>
      </c>
      <c r="F16" s="98">
        <v>1</v>
      </c>
      <c r="G16" s="216">
        <v>1000000</v>
      </c>
      <c r="H16" s="202" t="s">
        <v>2376</v>
      </c>
      <c r="I16" s="98">
        <v>0</v>
      </c>
      <c r="J16" s="98">
        <v>0</v>
      </c>
      <c r="K16" s="98" t="s">
        <v>2291</v>
      </c>
      <c r="L16" s="98" t="s">
        <v>2291</v>
      </c>
      <c r="M16" s="88">
        <v>0</v>
      </c>
      <c r="N16" s="88" t="s">
        <v>2291</v>
      </c>
      <c r="O16" s="98" t="s">
        <v>2291</v>
      </c>
      <c r="P16" s="98">
        <v>0</v>
      </c>
      <c r="Q16" s="98">
        <v>0</v>
      </c>
      <c r="R16" s="88" t="s">
        <v>2291</v>
      </c>
      <c r="S16" s="98" t="s">
        <v>2291</v>
      </c>
      <c r="T16" s="98" t="s">
        <v>2291</v>
      </c>
      <c r="U16" s="98" t="s">
        <v>2291</v>
      </c>
      <c r="V16" s="98">
        <v>0</v>
      </c>
      <c r="W16" s="98" t="s">
        <v>2291</v>
      </c>
      <c r="X16" s="98" t="s">
        <v>2291</v>
      </c>
    </row>
    <row r="17" spans="2:31">
      <c r="B17" s="174" t="s">
        <v>2266</v>
      </c>
      <c r="C17" s="98">
        <v>15</v>
      </c>
      <c r="D17" s="98" t="s">
        <v>2684</v>
      </c>
      <c r="E17" s="116">
        <v>45513</v>
      </c>
      <c r="F17" s="98">
        <v>1</v>
      </c>
      <c r="G17" s="216" t="s">
        <v>2663</v>
      </c>
      <c r="H17" s="202">
        <v>1000000</v>
      </c>
      <c r="I17" s="98" t="s">
        <v>2291</v>
      </c>
      <c r="J17" s="98" t="s">
        <v>2291</v>
      </c>
      <c r="K17" s="98" t="s">
        <v>2291</v>
      </c>
      <c r="L17" s="98" t="s">
        <v>2291</v>
      </c>
      <c r="M17" s="98" t="s">
        <v>2291</v>
      </c>
      <c r="N17" s="98" t="s">
        <v>2291</v>
      </c>
      <c r="O17" s="98" t="s">
        <v>2291</v>
      </c>
      <c r="P17" s="98" t="s">
        <v>2291</v>
      </c>
      <c r="Q17" s="98" t="s">
        <v>2291</v>
      </c>
      <c r="R17" s="98" t="s">
        <v>2291</v>
      </c>
      <c r="S17" s="98" t="s">
        <v>2291</v>
      </c>
      <c r="T17" s="98" t="s">
        <v>2291</v>
      </c>
      <c r="U17" s="98" t="s">
        <v>2291</v>
      </c>
      <c r="V17" s="98" t="s">
        <v>2291</v>
      </c>
      <c r="W17" s="98" t="s">
        <v>2291</v>
      </c>
      <c r="X17" s="98" t="s">
        <v>2291</v>
      </c>
    </row>
    <row r="18" spans="2:31">
      <c r="B18" s="174" t="s">
        <v>2268</v>
      </c>
      <c r="C18" s="98">
        <v>16</v>
      </c>
      <c r="D18" s="98" t="s">
        <v>2684</v>
      </c>
      <c r="E18" s="116">
        <v>45513</v>
      </c>
      <c r="F18" s="98">
        <v>1</v>
      </c>
      <c r="G18" s="216">
        <v>1000000</v>
      </c>
      <c r="H18" s="202" t="s">
        <v>2376</v>
      </c>
      <c r="I18" s="98" t="s">
        <v>2291</v>
      </c>
      <c r="J18" s="98" t="s">
        <v>2291</v>
      </c>
      <c r="K18" s="98" t="s">
        <v>2291</v>
      </c>
      <c r="L18" s="98" t="s">
        <v>2291</v>
      </c>
      <c r="M18" s="98" t="s">
        <v>2291</v>
      </c>
      <c r="N18" s="98" t="s">
        <v>2291</v>
      </c>
      <c r="O18" s="98" t="s">
        <v>2291</v>
      </c>
      <c r="P18" s="98" t="s">
        <v>2291</v>
      </c>
      <c r="Q18" s="98" t="s">
        <v>2291</v>
      </c>
      <c r="R18" s="98" t="s">
        <v>2291</v>
      </c>
      <c r="S18" s="98" t="s">
        <v>2291</v>
      </c>
      <c r="T18" s="98" t="s">
        <v>2291</v>
      </c>
      <c r="U18" s="98" t="s">
        <v>2291</v>
      </c>
      <c r="V18" s="98" t="s">
        <v>2291</v>
      </c>
      <c r="W18" s="98" t="s">
        <v>2291</v>
      </c>
      <c r="X18" s="98" t="s">
        <v>2291</v>
      </c>
    </row>
    <row r="19" spans="2:31">
      <c r="B19" s="141" t="s">
        <v>2274</v>
      </c>
      <c r="C19" s="98">
        <v>19</v>
      </c>
      <c r="D19" s="98" t="s">
        <v>2685</v>
      </c>
      <c r="E19" s="116">
        <v>45513</v>
      </c>
      <c r="F19" s="98">
        <v>1</v>
      </c>
      <c r="G19" s="216" cm="1">
        <f t="array" aca="1" ref="G19" ca="1">SUMPRODUCT(--(ISNUMBER((SEARCH(I25:X25,I19:X19)))))/COUNTA(I19:X19)</f>
        <v>0.8125</v>
      </c>
      <c r="H19" s="202" t="s">
        <v>2376</v>
      </c>
      <c r="I19" s="98" t="s">
        <v>2341</v>
      </c>
      <c r="J19" s="98" t="s">
        <v>2341</v>
      </c>
      <c r="K19" s="98" t="s">
        <v>2342</v>
      </c>
      <c r="L19" s="98" t="s">
        <v>2342</v>
      </c>
      <c r="M19" s="98" t="s">
        <v>2341</v>
      </c>
      <c r="N19" s="98" t="s">
        <v>2341</v>
      </c>
      <c r="O19" s="98" t="s">
        <v>2343</v>
      </c>
      <c r="P19" s="98" t="s">
        <v>2341</v>
      </c>
      <c r="Q19" s="98" t="s">
        <v>2341</v>
      </c>
      <c r="R19" s="98" t="s">
        <v>2341</v>
      </c>
      <c r="S19" s="98" t="s">
        <v>2341</v>
      </c>
      <c r="T19" s="98" t="s">
        <v>2341</v>
      </c>
      <c r="U19" s="98" t="s">
        <v>2341</v>
      </c>
      <c r="V19" s="98" t="s">
        <v>2341</v>
      </c>
      <c r="W19" s="98" t="s">
        <v>2341</v>
      </c>
      <c r="X19" s="98" t="s">
        <v>2344</v>
      </c>
    </row>
    <row r="20" spans="2:31">
      <c r="B20" s="141" t="s">
        <v>2277</v>
      </c>
      <c r="C20" s="98">
        <v>20</v>
      </c>
      <c r="D20" s="98"/>
      <c r="E20" s="116"/>
      <c r="F20" s="98"/>
      <c r="G20" s="216" cm="1">
        <f t="array" ref="G20">SUM(IF(I2:V2 = I24:V24, 1, 0))/ COUNTA(I2:V2)</f>
        <v>0.35714285714285715</v>
      </c>
      <c r="H20" s="98" t="s">
        <v>2291</v>
      </c>
      <c r="I20" s="98" t="s">
        <v>2291</v>
      </c>
      <c r="J20" s="98" t="s">
        <v>2291</v>
      </c>
      <c r="K20" s="98" t="s">
        <v>2291</v>
      </c>
      <c r="L20" s="98" t="s">
        <v>2291</v>
      </c>
      <c r="M20" s="98" t="s">
        <v>2291</v>
      </c>
      <c r="N20" s="98" t="s">
        <v>2291</v>
      </c>
      <c r="O20" s="98" t="s">
        <v>2291</v>
      </c>
      <c r="P20" s="98" t="s">
        <v>2291</v>
      </c>
      <c r="Q20" s="98" t="s">
        <v>2291</v>
      </c>
      <c r="R20" s="98" t="s">
        <v>2291</v>
      </c>
      <c r="S20" s="98" t="s">
        <v>2291</v>
      </c>
      <c r="T20" s="98" t="s">
        <v>2291</v>
      </c>
      <c r="U20" s="98" t="s">
        <v>2291</v>
      </c>
      <c r="V20" s="98" t="s">
        <v>2291</v>
      </c>
      <c r="W20" s="98"/>
      <c r="X20" s="98"/>
    </row>
    <row r="21" spans="2:31">
      <c r="B21" s="165" t="s">
        <v>2280</v>
      </c>
      <c r="C21" s="98">
        <v>21</v>
      </c>
      <c r="D21" s="98"/>
      <c r="E21" s="116"/>
      <c r="F21" s="98"/>
      <c r="G21" s="216" cm="1">
        <f t="array" aca="1" ref="G21" ca="1">SUM(IF(IF(G3:G20="null",1,G3:G20)=1,1,0))/COUNT(IF(G3:G20="null",1,1))</f>
        <v>0.44444444444444442</v>
      </c>
      <c r="H21" s="98" t="s">
        <v>2291</v>
      </c>
      <c r="I21" s="98" t="s">
        <v>2291</v>
      </c>
      <c r="J21" s="98" t="s">
        <v>2291</v>
      </c>
      <c r="K21" s="98" t="s">
        <v>2291</v>
      </c>
      <c r="L21" s="98" t="s">
        <v>2291</v>
      </c>
      <c r="M21" s="98" t="s">
        <v>2291</v>
      </c>
      <c r="N21" s="98" t="s">
        <v>2291</v>
      </c>
      <c r="O21" s="98" t="s">
        <v>2291</v>
      </c>
      <c r="P21" s="98" t="s">
        <v>2291</v>
      </c>
      <c r="Q21" s="98" t="s">
        <v>2291</v>
      </c>
      <c r="R21" s="98" t="s">
        <v>2291</v>
      </c>
      <c r="S21" s="98" t="s">
        <v>2291</v>
      </c>
      <c r="T21" s="98" t="s">
        <v>2291</v>
      </c>
      <c r="U21" s="98" t="s">
        <v>2291</v>
      </c>
      <c r="V21" s="98" t="s">
        <v>2291</v>
      </c>
      <c r="W21" s="98"/>
      <c r="X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2345</v>
      </c>
    </row>
    <row r="24" spans="2:31">
      <c r="B24" s="107" t="s">
        <v>2346</v>
      </c>
      <c r="C24" s="108" t="s">
        <v>2284</v>
      </c>
      <c r="D24" s="108" t="s">
        <v>2285</v>
      </c>
      <c r="E24" s="108" t="s">
        <v>2286</v>
      </c>
      <c r="F24" s="108" t="s">
        <v>2287</v>
      </c>
      <c r="G24" s="108" t="s">
        <v>2288</v>
      </c>
      <c r="H24" s="108" t="s">
        <v>2289</v>
      </c>
      <c r="I24" s="109" t="str" cm="1">
        <f t="array" ref="I24:AE24">TRANSPOSE(_xlfn.SORTBY(_xlfn._xlws.FILTER(Table2[NOME FÍSICO CAMPO],Table2[NOME FÍSICO TABELA]="loan_account_transaction"), _xlfn._xlws.FILTER(Table2[ORDEM], Table2[NOME FÍSICO TABELA]="loan_account_transaction"),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78" t="str">
        <v>amount</v>
      </c>
      <c r="V24" s="178" t="str">
        <v>check_number</v>
      </c>
      <c r="W24" s="200" t="str">
        <v>transfer_reference</v>
      </c>
      <c r="X24" s="200"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2347</v>
      </c>
      <c r="C25" s="113">
        <v>21</v>
      </c>
      <c r="D25" s="102" t="s">
        <v>2348</v>
      </c>
      <c r="E25" s="101" t="s">
        <v>2349</v>
      </c>
      <c r="F25" s="101" t="s">
        <v>781</v>
      </c>
      <c r="G25" s="101" t="s">
        <v>781</v>
      </c>
      <c r="H25" s="101" t="s">
        <v>781</v>
      </c>
      <c r="I25" s="101" t="str" cm="1">
        <f t="array" aca="1" ref="I25:AE26" ca="1">TRANSPOSE(_xlfn.SORTBY(_xlfn._xlws.FILTER(IF(Table2[FORMATO]:Table2[COMP_ CAMPO]&lt;&gt;"",Table2[FORMATO]:Table2[COMP_ CAMPO],9999999),Table2[NOME FÍSICO TABELA]="loan_account_transaction"), _xlfn._xlws.FILTER(Table2[ORDEM], Table2[NOME FÍSICO TABELA]="loan_account_transaction"),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01" t="str">
        <f ca="1"/>
        <v>STRING</v>
      </c>
      <c r="W25" s="101" t="str">
        <f ca="1"/>
        <v>STRING</v>
      </c>
      <c r="X25" s="101" t="str">
        <f ca="1"/>
        <v>STRING</v>
      </c>
      <c r="Y25" t="str">
        <f ca="1"/>
        <v>STRING</v>
      </c>
      <c r="Z25" t="str">
        <f ca="1"/>
        <v>STRING</v>
      </c>
      <c r="AA25" t="str">
        <f ca="1"/>
        <v>STRING</v>
      </c>
      <c r="AB25" t="str">
        <f ca="1"/>
        <v>STRING</v>
      </c>
      <c r="AC25" t="str">
        <f ca="1"/>
        <v>STRING</v>
      </c>
      <c r="AD25" t="str">
        <f ca="1"/>
        <v>STRING</v>
      </c>
      <c r="AE25" t="str">
        <f ca="1"/>
        <v>TIMESTAMP</v>
      </c>
    </row>
    <row r="26" spans="2:31" s="97" customFormat="1">
      <c r="B26" s="118" t="s">
        <v>2350</v>
      </c>
      <c r="C26" s="113">
        <v>7</v>
      </c>
      <c r="D26" s="119" t="s">
        <v>2348</v>
      </c>
      <c r="E26" s="113" t="s">
        <v>2349</v>
      </c>
      <c r="F26" s="113" t="s">
        <v>781</v>
      </c>
      <c r="G26" s="113" t="s">
        <v>781</v>
      </c>
      <c r="H26" s="113" t="s">
        <v>781</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21">
        <f ca="1"/>
        <v>10</v>
      </c>
      <c r="W26" s="121">
        <f ca="1"/>
        <v>9999999</v>
      </c>
      <c r="X26" s="121">
        <f ca="1"/>
        <v>9999999</v>
      </c>
      <c r="Y26" s="97">
        <f ca="1"/>
        <v>9999999</v>
      </c>
      <c r="Z26" s="97">
        <f ca="1"/>
        <v>9999999</v>
      </c>
      <c r="AA26" s="97">
        <f ca="1"/>
        <v>4</v>
      </c>
      <c r="AB26" s="97">
        <f ca="1"/>
        <v>9999999</v>
      </c>
      <c r="AC26" s="97">
        <f ca="1"/>
        <v>2</v>
      </c>
      <c r="AD26" s="97">
        <f ca="1"/>
        <v>10</v>
      </c>
      <c r="AE26" s="97">
        <f ca="1"/>
        <v>23</v>
      </c>
    </row>
    <row r="27" spans="2:31">
      <c r="B27" t="s">
        <v>2574</v>
      </c>
    </row>
    <row r="29" spans="2:31">
      <c r="B29" s="123" t="s">
        <v>2351</v>
      </c>
    </row>
    <row r="30" spans="2:31">
      <c r="B30" s="132" t="s">
        <v>2352</v>
      </c>
      <c r="C30" s="132" t="s">
        <v>2353</v>
      </c>
      <c r="D30" s="133" t="s">
        <v>2354</v>
      </c>
      <c r="E30" s="132" t="s">
        <v>2355</v>
      </c>
      <c r="F30" s="132" t="s">
        <v>2356</v>
      </c>
      <c r="H30" s="218"/>
    </row>
    <row r="31" spans="2:31" ht="30.75">
      <c r="B31" s="222" t="s">
        <v>2357</v>
      </c>
      <c r="C31" s="213" t="s">
        <v>1079</v>
      </c>
      <c r="D31" s="203" t="s">
        <v>2613</v>
      </c>
      <c r="E31" s="203" t="s">
        <v>2686</v>
      </c>
      <c r="F31" s="217" t="s">
        <v>2360</v>
      </c>
    </row>
    <row r="32" spans="2:31" ht="30.75">
      <c r="B32" s="222" t="s">
        <v>2365</v>
      </c>
      <c r="C32" s="213" t="s">
        <v>1079</v>
      </c>
      <c r="D32" s="203" t="s">
        <v>2613</v>
      </c>
      <c r="E32" s="203" t="s">
        <v>2686</v>
      </c>
      <c r="F32" s="217" t="s">
        <v>2360</v>
      </c>
      <c r="H32" s="186"/>
    </row>
    <row r="33" spans="8:8">
      <c r="H33" s="186"/>
    </row>
    <row r="34" spans="8:8">
      <c r="H34" s="186"/>
    </row>
    <row r="35" spans="8:8">
      <c r="H35" s="186"/>
    </row>
    <row r="36" spans="8:8" ht="61.5" customHeight="1">
      <c r="H36" s="185"/>
    </row>
    <row r="39" spans="8:8" ht="48.75" customHeight="1"/>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F06A-6036-4019-95E1-6DBA4E25A292}">
  <sheetPr>
    <tabColor rgb="FF00B050"/>
  </sheetPr>
  <dimension ref="B1:AE45"/>
  <sheetViews>
    <sheetView showGridLines="0" topLeftCell="A19" workbookViewId="0">
      <selection activeCell="I24" sqref="I24"/>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2" width="26.85546875" bestFit="1" customWidth="1"/>
    <col min="23" max="23" width="17.42578125" bestFit="1" customWidth="1"/>
    <col min="24" max="24" width="26.85546875" bestFit="1" customWidth="1"/>
  </cols>
  <sheetData>
    <row r="1" spans="2:24" ht="38.25" customHeight="1"/>
    <row r="2" spans="2:24">
      <c r="B2" s="97" t="s">
        <v>2283</v>
      </c>
      <c r="C2" s="97" t="s">
        <v>2284</v>
      </c>
      <c r="D2" s="97" t="s">
        <v>2285</v>
      </c>
      <c r="E2" s="97" t="s">
        <v>2286</v>
      </c>
      <c r="F2" s="97" t="s">
        <v>2287</v>
      </c>
      <c r="G2" s="97" t="s">
        <v>2288</v>
      </c>
      <c r="H2" s="97" t="s">
        <v>2289</v>
      </c>
      <c r="I2" s="97" t="s">
        <v>730</v>
      </c>
      <c r="J2" s="97" t="s">
        <v>842</v>
      </c>
      <c r="K2" s="97" t="s">
        <v>923</v>
      </c>
      <c r="L2" s="97" t="s">
        <v>1012</v>
      </c>
      <c r="M2" s="97" t="s">
        <v>1079</v>
      </c>
      <c r="N2" s="109" t="s">
        <v>1224</v>
      </c>
      <c r="O2" s="97" t="s">
        <v>1440</v>
      </c>
      <c r="P2" s="97" t="s">
        <v>1169</v>
      </c>
      <c r="Q2" s="109" t="s">
        <v>1255</v>
      </c>
      <c r="R2" s="109" t="s">
        <v>1334</v>
      </c>
      <c r="S2" s="97" t="s">
        <v>1187</v>
      </c>
      <c r="T2" s="97" t="s">
        <v>1642</v>
      </c>
      <c r="U2" s="97" t="s">
        <v>1831</v>
      </c>
      <c r="V2" s="97" t="s">
        <v>1499</v>
      </c>
      <c r="W2" s="97" t="s">
        <v>1561</v>
      </c>
      <c r="X2" s="97" t="s">
        <v>1614</v>
      </c>
    </row>
    <row r="3" spans="2:24">
      <c r="B3" s="141" t="s">
        <v>2237</v>
      </c>
      <c r="C3" s="98">
        <v>1</v>
      </c>
      <c r="D3" s="98" t="s">
        <v>2687</v>
      </c>
      <c r="E3" s="116">
        <v>45513</v>
      </c>
      <c r="F3" s="98">
        <v>1</v>
      </c>
      <c r="G3" s="216">
        <v>1</v>
      </c>
      <c r="H3" s="117">
        <v>1205</v>
      </c>
      <c r="I3" s="98" t="s">
        <v>2291</v>
      </c>
      <c r="J3" s="98" t="s">
        <v>2291</v>
      </c>
      <c r="K3" s="98" t="s">
        <v>2291</v>
      </c>
      <c r="L3" s="98" t="s">
        <v>2291</v>
      </c>
      <c r="M3" s="98" t="s">
        <v>2291</v>
      </c>
      <c r="N3" s="98" t="s">
        <v>2291</v>
      </c>
      <c r="O3" s="98" t="s">
        <v>2291</v>
      </c>
      <c r="P3" s="98" t="s">
        <v>2291</v>
      </c>
      <c r="Q3" s="98" t="s">
        <v>2291</v>
      </c>
      <c r="R3" s="98" t="s">
        <v>2291</v>
      </c>
      <c r="S3" s="98" t="s">
        <v>2291</v>
      </c>
      <c r="T3" s="98" t="s">
        <v>2291</v>
      </c>
      <c r="U3" s="98" t="s">
        <v>2291</v>
      </c>
      <c r="V3" s="98" t="s">
        <v>2291</v>
      </c>
      <c r="W3" s="98" t="s">
        <v>2291</v>
      </c>
      <c r="X3" s="98" t="s">
        <v>2291</v>
      </c>
    </row>
    <row r="4" spans="2:24">
      <c r="B4" s="141" t="s">
        <v>2239</v>
      </c>
      <c r="C4" s="98">
        <v>2</v>
      </c>
      <c r="D4" s="98" t="s">
        <v>2688</v>
      </c>
      <c r="E4" s="116">
        <v>45513</v>
      </c>
      <c r="F4" s="98">
        <v>1</v>
      </c>
      <c r="G4" s="216">
        <v>1</v>
      </c>
      <c r="H4" s="202" t="s">
        <v>2376</v>
      </c>
      <c r="I4" s="98" t="s">
        <v>2291</v>
      </c>
      <c r="J4" s="98" t="s">
        <v>2291</v>
      </c>
      <c r="K4" s="98" t="s">
        <v>2291</v>
      </c>
      <c r="L4" s="98" t="s">
        <v>2291</v>
      </c>
      <c r="M4" s="98" t="s">
        <v>2291</v>
      </c>
      <c r="N4" s="98" t="s">
        <v>2291</v>
      </c>
      <c r="O4" s="98" t="s">
        <v>2291</v>
      </c>
      <c r="P4" s="98" t="s">
        <v>2291</v>
      </c>
      <c r="Q4" s="98" t="s">
        <v>2291</v>
      </c>
      <c r="R4" s="98" t="s">
        <v>2291</v>
      </c>
      <c r="S4" s="98" t="s">
        <v>2291</v>
      </c>
      <c r="T4" s="98" t="s">
        <v>2291</v>
      </c>
      <c r="U4" s="98" t="s">
        <v>2291</v>
      </c>
      <c r="V4" s="98" t="s">
        <v>2291</v>
      </c>
      <c r="W4" s="98" t="s">
        <v>2291</v>
      </c>
      <c r="X4" s="98" t="s">
        <v>2291</v>
      </c>
    </row>
    <row r="5" spans="2:24">
      <c r="B5" s="141" t="s">
        <v>2241</v>
      </c>
      <c r="C5" s="98">
        <v>3</v>
      </c>
      <c r="D5" s="98" t="s">
        <v>2689</v>
      </c>
      <c r="E5" s="116">
        <v>45513</v>
      </c>
      <c r="F5" s="98">
        <v>1</v>
      </c>
      <c r="G5" s="216">
        <v>1</v>
      </c>
      <c r="H5" s="202" t="s">
        <v>2376</v>
      </c>
      <c r="I5" s="98">
        <v>0</v>
      </c>
      <c r="J5" s="98">
        <v>0</v>
      </c>
      <c r="K5" s="98">
        <v>0</v>
      </c>
      <c r="L5" s="98">
        <v>0</v>
      </c>
      <c r="M5" s="98" t="s">
        <v>2291</v>
      </c>
      <c r="N5" s="98">
        <v>0</v>
      </c>
      <c r="O5" s="98">
        <v>0</v>
      </c>
      <c r="P5" s="98" t="s">
        <v>2291</v>
      </c>
      <c r="Q5" s="98" t="s">
        <v>2291</v>
      </c>
      <c r="R5" s="98" t="s">
        <v>2291</v>
      </c>
      <c r="S5" s="98" t="s">
        <v>2291</v>
      </c>
      <c r="T5" s="98" t="s">
        <v>2291</v>
      </c>
      <c r="U5" s="98" t="s">
        <v>2291</v>
      </c>
      <c r="V5" s="98" t="s">
        <v>2291</v>
      </c>
      <c r="W5" s="98">
        <v>0</v>
      </c>
      <c r="X5" s="98" t="s">
        <v>2291</v>
      </c>
    </row>
    <row r="6" spans="2:24">
      <c r="B6" s="88" t="s">
        <v>2243</v>
      </c>
      <c r="C6" s="98">
        <v>4</v>
      </c>
      <c r="D6" s="98" t="s">
        <v>2296</v>
      </c>
      <c r="E6" s="116" t="s">
        <v>2291</v>
      </c>
      <c r="F6" s="98">
        <v>1</v>
      </c>
      <c r="G6" s="216" t="s">
        <v>2291</v>
      </c>
      <c r="H6" s="202" t="s">
        <v>2291</v>
      </c>
      <c r="I6" s="98" t="s">
        <v>2291</v>
      </c>
      <c r="J6" s="98" t="s">
        <v>2291</v>
      </c>
      <c r="K6" s="98" t="s">
        <v>2291</v>
      </c>
      <c r="L6" s="98" t="s">
        <v>2291</v>
      </c>
      <c r="M6" s="98" t="s">
        <v>2291</v>
      </c>
      <c r="N6" s="98" t="s">
        <v>2291</v>
      </c>
      <c r="O6" s="98" t="s">
        <v>2291</v>
      </c>
      <c r="P6" s="98" t="s">
        <v>2291</v>
      </c>
      <c r="Q6" s="98" t="s">
        <v>2291</v>
      </c>
      <c r="R6" s="98" t="s">
        <v>2291</v>
      </c>
      <c r="S6" s="98" t="s">
        <v>2291</v>
      </c>
      <c r="T6" s="98" t="s">
        <v>2291</v>
      </c>
      <c r="U6" s="98" t="s">
        <v>2291</v>
      </c>
      <c r="V6" s="98" t="s">
        <v>2291</v>
      </c>
      <c r="W6" s="98" t="s">
        <v>2291</v>
      </c>
      <c r="X6" s="98" t="s">
        <v>2291</v>
      </c>
    </row>
    <row r="7" spans="2:24">
      <c r="B7" s="88" t="s">
        <v>2245</v>
      </c>
      <c r="C7" s="98">
        <v>5</v>
      </c>
      <c r="D7" s="98" t="s">
        <v>2296</v>
      </c>
      <c r="E7" s="116" t="s">
        <v>2291</v>
      </c>
      <c r="F7" s="98">
        <v>1</v>
      </c>
      <c r="G7" s="216" t="s">
        <v>2291</v>
      </c>
      <c r="H7" s="202" t="s">
        <v>2291</v>
      </c>
      <c r="I7" s="98" t="s">
        <v>2291</v>
      </c>
      <c r="J7" s="98" t="s">
        <v>2291</v>
      </c>
      <c r="K7" s="98" t="s">
        <v>2291</v>
      </c>
      <c r="L7" s="98" t="s">
        <v>2291</v>
      </c>
      <c r="M7" s="98" t="s">
        <v>2291</v>
      </c>
      <c r="N7" s="98" t="s">
        <v>2291</v>
      </c>
      <c r="O7" s="98" t="s">
        <v>2291</v>
      </c>
      <c r="P7" s="98" t="s">
        <v>2291</v>
      </c>
      <c r="Q7" s="98" t="s">
        <v>2291</v>
      </c>
      <c r="R7" s="98" t="s">
        <v>2291</v>
      </c>
      <c r="S7" s="98" t="s">
        <v>2291</v>
      </c>
      <c r="T7" s="98" t="s">
        <v>2291</v>
      </c>
      <c r="U7" s="98" t="s">
        <v>2291</v>
      </c>
      <c r="V7" s="98" t="s">
        <v>2291</v>
      </c>
      <c r="W7" s="98" t="s">
        <v>2291</v>
      </c>
      <c r="X7" s="98" t="s">
        <v>2291</v>
      </c>
    </row>
    <row r="8" spans="2:24">
      <c r="B8" s="172" t="s">
        <v>2246</v>
      </c>
      <c r="C8" s="98">
        <v>6</v>
      </c>
      <c r="D8" s="98" t="s">
        <v>2690</v>
      </c>
      <c r="E8" s="116">
        <v>45513</v>
      </c>
      <c r="F8" s="98">
        <v>1</v>
      </c>
      <c r="G8" s="216" cm="1">
        <f t="array" ref="G8">SUMPRODUCT(--(I8:X8&gt;0))/COUNTA(I8:X8)</f>
        <v>0.875</v>
      </c>
      <c r="H8" s="202" t="s">
        <v>2376</v>
      </c>
      <c r="I8" s="98">
        <v>2</v>
      </c>
      <c r="J8" s="98">
        <v>30</v>
      </c>
      <c r="K8" s="98">
        <v>1</v>
      </c>
      <c r="L8" s="98">
        <v>1</v>
      </c>
      <c r="M8" s="98" t="s">
        <v>2298</v>
      </c>
      <c r="N8" s="98">
        <v>10</v>
      </c>
      <c r="O8" s="98">
        <v>8</v>
      </c>
      <c r="P8" s="98">
        <v>1</v>
      </c>
      <c r="Q8" s="98">
        <v>3</v>
      </c>
      <c r="R8" s="98">
        <v>10</v>
      </c>
      <c r="S8" s="98">
        <v>0</v>
      </c>
      <c r="T8" s="98">
        <v>7</v>
      </c>
      <c r="U8" s="98">
        <v>0</v>
      </c>
      <c r="V8" s="98">
        <v>2</v>
      </c>
      <c r="W8" s="98">
        <v>10</v>
      </c>
      <c r="X8" s="98">
        <v>23</v>
      </c>
    </row>
    <row r="9" spans="2:24">
      <c r="B9" s="141" t="s">
        <v>2249</v>
      </c>
      <c r="C9" s="98">
        <v>7</v>
      </c>
      <c r="D9" s="98" t="s">
        <v>2691</v>
      </c>
      <c r="E9" s="116">
        <v>45513</v>
      </c>
      <c r="F9" s="98">
        <v>1</v>
      </c>
      <c r="G9" s="216" cm="1">
        <f t="array" aca="1" ref="G9" ca="1">SUMPRODUCT(--(I9:X9&lt;=I26:X26))/COUNTA(I9:X9)</f>
        <v>0.625</v>
      </c>
      <c r="H9" s="202" t="s">
        <v>2376</v>
      </c>
      <c r="I9" s="98">
        <v>2</v>
      </c>
      <c r="J9" s="98">
        <v>30</v>
      </c>
      <c r="K9" s="98">
        <v>5</v>
      </c>
      <c r="L9" s="98">
        <v>1</v>
      </c>
      <c r="M9" s="98">
        <v>1</v>
      </c>
      <c r="N9" s="98">
        <v>10</v>
      </c>
      <c r="O9" s="98">
        <v>16</v>
      </c>
      <c r="P9" s="98">
        <v>1</v>
      </c>
      <c r="Q9" s="98">
        <v>3</v>
      </c>
      <c r="R9" s="98">
        <v>10</v>
      </c>
      <c r="S9" s="98">
        <v>15</v>
      </c>
      <c r="T9" s="98">
        <v>30</v>
      </c>
      <c r="U9" s="98">
        <v>30</v>
      </c>
      <c r="V9" s="98">
        <v>2</v>
      </c>
      <c r="W9" s="98">
        <v>10</v>
      </c>
      <c r="X9" s="98">
        <v>23</v>
      </c>
    </row>
    <row r="10" spans="2:24">
      <c r="B10" s="141" t="s">
        <v>2252</v>
      </c>
      <c r="C10" s="98">
        <v>8</v>
      </c>
      <c r="D10" s="98" t="s">
        <v>2692</v>
      </c>
      <c r="E10" s="116">
        <v>45513</v>
      </c>
      <c r="F10" s="98">
        <v>1</v>
      </c>
      <c r="G10" s="216" t="s">
        <v>2291</v>
      </c>
      <c r="H10" s="202" t="s">
        <v>2376</v>
      </c>
      <c r="I10" s="98">
        <v>31</v>
      </c>
      <c r="J10" s="98">
        <v>4.0142670650000004E+25</v>
      </c>
      <c r="K10" s="98">
        <v>1</v>
      </c>
      <c r="L10" s="98">
        <v>1</v>
      </c>
      <c r="M10" s="116" t="s">
        <v>2298</v>
      </c>
      <c r="N10" s="116">
        <v>45513</v>
      </c>
      <c r="O10" s="202" t="s">
        <v>2693</v>
      </c>
      <c r="P10" s="98">
        <v>1</v>
      </c>
      <c r="Q10" s="98">
        <v>36</v>
      </c>
      <c r="R10" s="116">
        <v>45182</v>
      </c>
      <c r="S10" s="98"/>
      <c r="T10" s="116" t="s">
        <v>2694</v>
      </c>
      <c r="U10" s="116"/>
      <c r="V10" s="98" t="s">
        <v>2381</v>
      </c>
      <c r="W10" s="116">
        <v>45513</v>
      </c>
      <c r="X10" s="98" t="s">
        <v>2695</v>
      </c>
    </row>
    <row r="11" spans="2:24">
      <c r="B11" s="141" t="s">
        <v>2254</v>
      </c>
      <c r="C11" s="98">
        <v>9</v>
      </c>
      <c r="D11" s="98" t="s">
        <v>2696</v>
      </c>
      <c r="E11" s="116">
        <v>45513</v>
      </c>
      <c r="F11" s="98">
        <v>1</v>
      </c>
      <c r="G11" s="216" t="s">
        <v>2291</v>
      </c>
      <c r="H11" s="202" t="s">
        <v>2376</v>
      </c>
      <c r="I11" s="98">
        <v>31</v>
      </c>
      <c r="J11" s="98">
        <v>4.0142670650000004E+25</v>
      </c>
      <c r="K11" s="98">
        <v>1</v>
      </c>
      <c r="L11" s="98">
        <v>1</v>
      </c>
      <c r="M11" s="116" t="s">
        <v>2298</v>
      </c>
      <c r="N11" s="116">
        <v>45513</v>
      </c>
      <c r="O11" s="202" t="s">
        <v>2693</v>
      </c>
      <c r="P11" s="116">
        <v>1</v>
      </c>
      <c r="Q11" s="98">
        <v>36</v>
      </c>
      <c r="R11" s="116">
        <v>45182</v>
      </c>
      <c r="S11" s="98"/>
      <c r="T11" s="116" t="s">
        <v>2694</v>
      </c>
      <c r="U11" s="116"/>
      <c r="V11" s="98" t="s">
        <v>2381</v>
      </c>
      <c r="W11" s="116">
        <v>45513</v>
      </c>
      <c r="X11" s="98" t="s">
        <v>2697</v>
      </c>
    </row>
    <row r="12" spans="2:24">
      <c r="B12" s="164" t="s">
        <v>2256</v>
      </c>
      <c r="C12" s="98">
        <v>10</v>
      </c>
      <c r="D12" s="98" t="s">
        <v>2698</v>
      </c>
      <c r="E12" s="116">
        <v>45513</v>
      </c>
      <c r="F12" s="98">
        <v>1</v>
      </c>
      <c r="G12" s="216" t="s">
        <v>2291</v>
      </c>
      <c r="H12" s="202" t="s">
        <v>2376</v>
      </c>
      <c r="I12" s="98">
        <v>31</v>
      </c>
      <c r="J12" s="98">
        <v>4.1600300001474002E+28</v>
      </c>
      <c r="K12" s="98">
        <v>99999</v>
      </c>
      <c r="L12" s="98">
        <v>1</v>
      </c>
      <c r="M12" s="116" t="s">
        <v>2298</v>
      </c>
      <c r="N12" s="117">
        <v>45513</v>
      </c>
      <c r="O12" s="202">
        <v>340000000000000</v>
      </c>
      <c r="P12" s="117">
        <v>1</v>
      </c>
      <c r="Q12" s="98">
        <v>985</v>
      </c>
      <c r="R12" s="116">
        <v>45521</v>
      </c>
      <c r="S12" s="116" t="s">
        <v>2699</v>
      </c>
      <c r="T12" s="116" t="s">
        <v>2700</v>
      </c>
      <c r="U12" s="116" t="s">
        <v>2700</v>
      </c>
      <c r="V12" s="98" t="s">
        <v>2381</v>
      </c>
      <c r="W12" s="116">
        <v>45513</v>
      </c>
      <c r="X12" s="98" t="s">
        <v>2695</v>
      </c>
    </row>
    <row r="13" spans="2:24">
      <c r="B13" s="141" t="s">
        <v>2258</v>
      </c>
      <c r="C13" s="98">
        <v>11</v>
      </c>
      <c r="D13" s="98" t="s">
        <v>2701</v>
      </c>
      <c r="E13" s="116">
        <v>45513</v>
      </c>
      <c r="F13" s="98">
        <v>1</v>
      </c>
      <c r="G13" s="216" t="s">
        <v>2291</v>
      </c>
      <c r="H13" s="202" t="s">
        <v>2376</v>
      </c>
      <c r="I13" s="98">
        <v>31</v>
      </c>
      <c r="J13" s="98">
        <v>4.1600300001474002E+28</v>
      </c>
      <c r="K13" s="98">
        <v>99999</v>
      </c>
      <c r="L13" s="98">
        <v>1</v>
      </c>
      <c r="M13" s="116" t="s">
        <v>2298</v>
      </c>
      <c r="N13" s="117">
        <v>45513</v>
      </c>
      <c r="O13" s="202">
        <v>340000000000000</v>
      </c>
      <c r="P13" s="116">
        <v>1</v>
      </c>
      <c r="Q13" s="98">
        <v>985</v>
      </c>
      <c r="R13" s="116">
        <v>45521</v>
      </c>
      <c r="S13" s="116" t="s">
        <v>2699</v>
      </c>
      <c r="T13" s="116" t="s">
        <v>2700</v>
      </c>
      <c r="U13" s="116" t="s">
        <v>2700</v>
      </c>
      <c r="V13" s="98" t="s">
        <v>2381</v>
      </c>
      <c r="W13" s="116">
        <v>45513</v>
      </c>
      <c r="X13" s="98" t="s">
        <v>2702</v>
      </c>
    </row>
    <row r="14" spans="2:24">
      <c r="B14" s="141" t="s">
        <v>2260</v>
      </c>
      <c r="C14" s="98">
        <v>12</v>
      </c>
      <c r="D14" s="98" t="s">
        <v>2703</v>
      </c>
      <c r="E14" s="116">
        <v>45513</v>
      </c>
      <c r="F14" s="98">
        <v>1</v>
      </c>
      <c r="G14" s="216" t="s">
        <v>2704</v>
      </c>
      <c r="H14" s="202" t="s">
        <v>2376</v>
      </c>
      <c r="I14" s="98">
        <v>0</v>
      </c>
      <c r="J14" s="98">
        <v>0</v>
      </c>
      <c r="K14" s="98">
        <v>0</v>
      </c>
      <c r="L14" s="98">
        <v>0</v>
      </c>
      <c r="M14" s="98">
        <v>1205</v>
      </c>
      <c r="N14" s="98">
        <v>0</v>
      </c>
      <c r="O14" s="98">
        <v>0</v>
      </c>
      <c r="P14" s="98">
        <v>0</v>
      </c>
      <c r="Q14" s="98">
        <v>0</v>
      </c>
      <c r="R14" s="98">
        <v>0</v>
      </c>
      <c r="S14" s="98">
        <v>0</v>
      </c>
      <c r="T14" s="98">
        <v>0</v>
      </c>
      <c r="U14" s="98">
        <v>0</v>
      </c>
      <c r="V14" s="98">
        <v>0</v>
      </c>
      <c r="W14" s="98">
        <v>0</v>
      </c>
      <c r="X14" s="98">
        <v>0</v>
      </c>
    </row>
    <row r="15" spans="2:24">
      <c r="B15" s="141" t="s">
        <v>2262</v>
      </c>
      <c r="C15" s="98">
        <v>13</v>
      </c>
      <c r="D15" s="98" t="s">
        <v>2705</v>
      </c>
      <c r="E15" s="116">
        <v>45513</v>
      </c>
      <c r="F15" s="98">
        <v>1</v>
      </c>
      <c r="G15" s="216">
        <v>1</v>
      </c>
      <c r="H15" s="202" t="s">
        <v>2376</v>
      </c>
      <c r="I15" s="98" t="s">
        <v>2291</v>
      </c>
      <c r="J15" s="98" t="s">
        <v>2291</v>
      </c>
      <c r="K15" s="98" t="s">
        <v>2291</v>
      </c>
      <c r="L15" s="88" t="s">
        <v>2291</v>
      </c>
      <c r="M15" s="88" t="s">
        <v>2291</v>
      </c>
      <c r="N15" s="88">
        <v>0</v>
      </c>
      <c r="O15" s="98" t="s">
        <v>2291</v>
      </c>
      <c r="P15" s="88" t="s">
        <v>2291</v>
      </c>
      <c r="Q15" s="88" t="s">
        <v>2291</v>
      </c>
      <c r="R15" s="88">
        <v>0</v>
      </c>
      <c r="S15" s="98" t="s">
        <v>2291</v>
      </c>
      <c r="T15" s="98" t="s">
        <v>2291</v>
      </c>
      <c r="U15" s="98" t="s">
        <v>2291</v>
      </c>
      <c r="V15" s="98" t="s">
        <v>2291</v>
      </c>
      <c r="W15" s="98" t="s">
        <v>2291</v>
      </c>
      <c r="X15" s="98" t="s">
        <v>2291</v>
      </c>
    </row>
    <row r="16" spans="2:24">
      <c r="B16" s="141" t="s">
        <v>2264</v>
      </c>
      <c r="C16" s="98">
        <v>14</v>
      </c>
      <c r="D16" s="98" t="s">
        <v>2706</v>
      </c>
      <c r="E16" s="116">
        <v>45513</v>
      </c>
      <c r="F16" s="98">
        <v>1</v>
      </c>
      <c r="G16" s="216">
        <v>1</v>
      </c>
      <c r="H16" s="202" t="s">
        <v>2376</v>
      </c>
      <c r="I16" s="98">
        <v>0</v>
      </c>
      <c r="J16" s="98">
        <v>0</v>
      </c>
      <c r="K16" s="98" t="s">
        <v>2291</v>
      </c>
      <c r="L16" s="98" t="s">
        <v>2291</v>
      </c>
      <c r="M16" s="88">
        <v>0</v>
      </c>
      <c r="N16" s="88" t="s">
        <v>2291</v>
      </c>
      <c r="O16" s="98" t="s">
        <v>2291</v>
      </c>
      <c r="P16" s="98" t="s">
        <v>2291</v>
      </c>
      <c r="Q16" s="98">
        <v>0</v>
      </c>
      <c r="R16" s="88" t="s">
        <v>2291</v>
      </c>
      <c r="S16" s="98" t="s">
        <v>2291</v>
      </c>
      <c r="T16" s="98">
        <v>0</v>
      </c>
      <c r="U16" s="98" t="s">
        <v>2291</v>
      </c>
      <c r="V16" s="98">
        <v>0</v>
      </c>
      <c r="W16" s="98" t="s">
        <v>2291</v>
      </c>
      <c r="X16" s="98" t="s">
        <v>2291</v>
      </c>
    </row>
    <row r="17" spans="2:31">
      <c r="B17" s="174" t="s">
        <v>2266</v>
      </c>
      <c r="C17" s="98">
        <v>15</v>
      </c>
      <c r="D17" s="98" t="s">
        <v>2707</v>
      </c>
      <c r="E17" s="116">
        <v>45513</v>
      </c>
      <c r="F17" s="98">
        <v>1</v>
      </c>
      <c r="G17" s="216">
        <v>1</v>
      </c>
      <c r="H17" s="202" t="s">
        <v>2376</v>
      </c>
      <c r="I17" s="98" t="s">
        <v>2291</v>
      </c>
      <c r="J17" s="98" t="s">
        <v>2291</v>
      </c>
      <c r="K17" s="98" t="s">
        <v>2291</v>
      </c>
      <c r="L17" s="98" t="s">
        <v>2291</v>
      </c>
      <c r="M17" s="98" t="s">
        <v>2291</v>
      </c>
      <c r="N17" s="98" t="s">
        <v>2291</v>
      </c>
      <c r="O17" s="98" t="s">
        <v>2291</v>
      </c>
      <c r="P17" s="98" t="s">
        <v>2291</v>
      </c>
      <c r="Q17" s="98" t="s">
        <v>2291</v>
      </c>
      <c r="R17" s="98" t="s">
        <v>2291</v>
      </c>
      <c r="S17" s="98" t="s">
        <v>2291</v>
      </c>
      <c r="T17" s="98" t="s">
        <v>2291</v>
      </c>
      <c r="U17" s="98" t="s">
        <v>2291</v>
      </c>
      <c r="V17" s="98" t="s">
        <v>2291</v>
      </c>
      <c r="W17" s="98" t="s">
        <v>2291</v>
      </c>
      <c r="X17" s="98" t="s">
        <v>2291</v>
      </c>
    </row>
    <row r="18" spans="2:31">
      <c r="B18" s="174" t="s">
        <v>2268</v>
      </c>
      <c r="C18" s="98">
        <v>16</v>
      </c>
      <c r="D18" s="98" t="s">
        <v>2707</v>
      </c>
      <c r="E18" s="116">
        <v>45513</v>
      </c>
      <c r="F18" s="98">
        <v>1</v>
      </c>
      <c r="G18" s="216">
        <v>1</v>
      </c>
      <c r="H18" s="202" t="s">
        <v>2376</v>
      </c>
      <c r="I18" s="98" t="s">
        <v>2291</v>
      </c>
      <c r="J18" s="98" t="s">
        <v>2291</v>
      </c>
      <c r="K18" s="98" t="s">
        <v>2291</v>
      </c>
      <c r="L18" s="98" t="s">
        <v>2291</v>
      </c>
      <c r="M18" s="98" t="s">
        <v>2291</v>
      </c>
      <c r="N18" s="98" t="s">
        <v>2291</v>
      </c>
      <c r="O18" s="98" t="s">
        <v>2291</v>
      </c>
      <c r="P18" s="98" t="s">
        <v>2291</v>
      </c>
      <c r="Q18" s="98" t="s">
        <v>2291</v>
      </c>
      <c r="R18" s="98" t="s">
        <v>2291</v>
      </c>
      <c r="S18" s="98" t="s">
        <v>2291</v>
      </c>
      <c r="T18" s="98" t="s">
        <v>2291</v>
      </c>
      <c r="U18" s="98" t="s">
        <v>2291</v>
      </c>
      <c r="V18" s="98" t="s">
        <v>2291</v>
      </c>
      <c r="W18" s="98" t="s">
        <v>2291</v>
      </c>
      <c r="X18" s="98" t="s">
        <v>2291</v>
      </c>
    </row>
    <row r="19" spans="2:31">
      <c r="B19" s="141" t="s">
        <v>2274</v>
      </c>
      <c r="C19" s="98">
        <v>19</v>
      </c>
      <c r="D19" s="98" t="s">
        <v>2708</v>
      </c>
      <c r="E19" s="116">
        <v>45513</v>
      </c>
      <c r="F19" s="98">
        <v>1</v>
      </c>
      <c r="G19" s="216" cm="1">
        <f t="array" aca="1" ref="G19" ca="1">SUMPRODUCT(--(ISNUMBER((SEARCH(I25:X25,I19:X19)))))/COUNTA(I19:X19)</f>
        <v>0.8125</v>
      </c>
      <c r="H19" s="202" t="s">
        <v>2376</v>
      </c>
      <c r="I19" s="98" t="s">
        <v>2341</v>
      </c>
      <c r="J19" s="98" t="s">
        <v>2341</v>
      </c>
      <c r="K19" s="98" t="s">
        <v>2342</v>
      </c>
      <c r="L19" s="98" t="s">
        <v>2342</v>
      </c>
      <c r="M19" s="98" t="s">
        <v>2341</v>
      </c>
      <c r="N19" s="98" t="s">
        <v>2341</v>
      </c>
      <c r="O19" s="98" t="s">
        <v>2343</v>
      </c>
      <c r="P19" s="98" t="s">
        <v>2341</v>
      </c>
      <c r="Q19" s="98" t="s">
        <v>2341</v>
      </c>
      <c r="R19" s="98" t="s">
        <v>2341</v>
      </c>
      <c r="S19" s="98" t="s">
        <v>2341</v>
      </c>
      <c r="T19" s="98" t="s">
        <v>2341</v>
      </c>
      <c r="U19" s="98" t="s">
        <v>2341</v>
      </c>
      <c r="V19" s="98" t="s">
        <v>2341</v>
      </c>
      <c r="W19" s="98" t="s">
        <v>2341</v>
      </c>
      <c r="X19" s="98" t="s">
        <v>2344</v>
      </c>
    </row>
    <row r="20" spans="2:31">
      <c r="B20" s="141" t="s">
        <v>2277</v>
      </c>
      <c r="C20" s="98">
        <v>20</v>
      </c>
      <c r="D20" s="98"/>
      <c r="E20" s="116"/>
      <c r="F20" s="98"/>
      <c r="G20" s="216" cm="1">
        <f t="array" ref="G20">SUM(IF(I2:V2 = I24:V24, 1, 0))/ COUNTA(I2:V2)</f>
        <v>0.35714285714285715</v>
      </c>
      <c r="H20" s="98"/>
      <c r="I20" s="98"/>
      <c r="J20" s="98"/>
      <c r="K20" s="98"/>
      <c r="L20" s="98"/>
      <c r="M20" s="98"/>
      <c r="N20" s="98"/>
      <c r="O20" s="98"/>
      <c r="P20" s="98"/>
      <c r="Q20" s="98"/>
      <c r="R20" s="98"/>
      <c r="S20" s="98"/>
      <c r="T20" s="98"/>
      <c r="U20" s="98"/>
      <c r="V20" s="98"/>
      <c r="W20" s="98"/>
      <c r="X20" s="98"/>
    </row>
    <row r="21" spans="2:31">
      <c r="B21" s="165" t="s">
        <v>2280</v>
      </c>
      <c r="C21" s="98">
        <v>21</v>
      </c>
      <c r="D21" s="98"/>
      <c r="E21" s="116"/>
      <c r="F21" s="98"/>
      <c r="G21" s="216" cm="1">
        <f t="array" aca="1" ref="G21" ca="1">SUM(IF(IF(G3:G20="null",1,G3:G20)=1,1,0))/COUNT(IF(G3:G20="null",1,1))</f>
        <v>0.72222222222222221</v>
      </c>
      <c r="H21" s="98"/>
      <c r="I21" s="98"/>
      <c r="J21" s="98"/>
      <c r="K21" s="98"/>
      <c r="L21" s="98"/>
      <c r="M21" s="98"/>
      <c r="N21" s="98"/>
      <c r="O21" s="98"/>
      <c r="P21" s="98"/>
      <c r="Q21" s="98"/>
      <c r="R21" s="98"/>
      <c r="S21" s="98"/>
      <c r="T21" s="98"/>
      <c r="U21" s="98"/>
      <c r="V21" s="98"/>
      <c r="W21" s="98"/>
      <c r="X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2345</v>
      </c>
    </row>
    <row r="24" spans="2:31">
      <c r="B24" s="107" t="s">
        <v>2346</v>
      </c>
      <c r="C24" s="108" t="s">
        <v>2284</v>
      </c>
      <c r="D24" s="108" t="s">
        <v>2285</v>
      </c>
      <c r="E24" s="108" t="s">
        <v>2286</v>
      </c>
      <c r="F24" s="108" t="s">
        <v>2287</v>
      </c>
      <c r="G24" s="108" t="s">
        <v>2288</v>
      </c>
      <c r="H24" s="108" t="s">
        <v>2289</v>
      </c>
      <c r="I24" s="109" t="str" cm="1">
        <f t="array" ref="I24:AE24">TRANSPOSE(_xlfn.SORTBY(_xlfn._xlws.FILTER(Table2[NOME FÍSICO CAMPO],Table2[NOME FÍSICO TABELA]="nostrovostro_account_transaction"), _xlfn._xlws.FILTER(Table2[ORDEM], Table2[NOME FÍSICO TABELA]="nostrovostro_account_transaction"),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09" t="str">
        <v>amount</v>
      </c>
      <c r="V24" s="240" t="str">
        <v>check_number</v>
      </c>
      <c r="W24" s="200" t="str">
        <v>transfer_reference</v>
      </c>
      <c r="X24" s="201"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2347</v>
      </c>
      <c r="C25" s="113">
        <v>21</v>
      </c>
      <c r="D25" s="102" t="s">
        <v>2348</v>
      </c>
      <c r="E25" s="101" t="s">
        <v>2349</v>
      </c>
      <c r="F25" s="101" t="s">
        <v>781</v>
      </c>
      <c r="G25" s="101" t="s">
        <v>781</v>
      </c>
      <c r="H25" s="101" t="s">
        <v>781</v>
      </c>
      <c r="I25" s="101"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228" t="str">
        <f ca="1"/>
        <v>DECIMAL</v>
      </c>
      <c r="V25" s="101" t="str">
        <f ca="1"/>
        <v>STRING</v>
      </c>
      <c r="W25" s="101" t="str">
        <f ca="1"/>
        <v>STRING</v>
      </c>
      <c r="X25" s="112" t="str">
        <f ca="1"/>
        <v>STRING</v>
      </c>
      <c r="Y25" t="str">
        <f ca="1"/>
        <v>STRING</v>
      </c>
      <c r="Z25" t="str">
        <f ca="1"/>
        <v>STRING</v>
      </c>
      <c r="AA25" t="str">
        <f ca="1"/>
        <v>STRING</v>
      </c>
      <c r="AB25" t="str">
        <f ca="1"/>
        <v>STRING</v>
      </c>
      <c r="AC25" t="str">
        <f ca="1"/>
        <v>STRING</v>
      </c>
      <c r="AD25" t="str">
        <f ca="1"/>
        <v>STRING</v>
      </c>
      <c r="AE25" t="str">
        <f ca="1"/>
        <v>TIMESTAMP</v>
      </c>
    </row>
    <row r="26" spans="2:31" s="97" customFormat="1">
      <c r="B26" s="118" t="s">
        <v>2350</v>
      </c>
      <c r="C26" s="113">
        <v>7</v>
      </c>
      <c r="D26" s="119" t="s">
        <v>2348</v>
      </c>
      <c r="E26" s="113" t="s">
        <v>2349</v>
      </c>
      <c r="F26" s="113" t="s">
        <v>781</v>
      </c>
      <c r="G26" s="113" t="s">
        <v>781</v>
      </c>
      <c r="H26" s="113" t="s">
        <v>781</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21">
        <f ca="1"/>
        <v>10</v>
      </c>
      <c r="W26" s="121">
        <f ca="1"/>
        <v>9999999</v>
      </c>
      <c r="X26" s="241">
        <f ca="1"/>
        <v>9999999</v>
      </c>
      <c r="Y26" s="97">
        <f ca="1"/>
        <v>9999999</v>
      </c>
      <c r="Z26" s="97">
        <f ca="1"/>
        <v>9999999</v>
      </c>
      <c r="AA26" s="97">
        <f ca="1"/>
        <v>4</v>
      </c>
      <c r="AB26" s="97">
        <f ca="1"/>
        <v>9999999</v>
      </c>
      <c r="AC26" s="97">
        <f ca="1"/>
        <v>2</v>
      </c>
      <c r="AD26" s="97">
        <f ca="1"/>
        <v>10</v>
      </c>
      <c r="AE26" s="97">
        <f ca="1"/>
        <v>23</v>
      </c>
    </row>
    <row r="29" spans="2:31">
      <c r="B29" s="123" t="s">
        <v>2351</v>
      </c>
    </row>
    <row r="30" spans="2:31">
      <c r="B30" s="132" t="s">
        <v>2352</v>
      </c>
      <c r="C30" s="132" t="s">
        <v>2353</v>
      </c>
      <c r="D30" s="132" t="s">
        <v>2354</v>
      </c>
      <c r="E30" s="132" t="s">
        <v>2355</v>
      </c>
      <c r="F30" s="132" t="s">
        <v>2356</v>
      </c>
      <c r="G30" s="224"/>
      <c r="H30" s="218"/>
    </row>
    <row r="31" spans="2:31" ht="60.75">
      <c r="B31" s="161" t="s">
        <v>2357</v>
      </c>
      <c r="C31" s="223" t="s">
        <v>1079</v>
      </c>
      <c r="D31" s="223" t="s">
        <v>2613</v>
      </c>
      <c r="E31" s="223" t="s">
        <v>2709</v>
      </c>
      <c r="F31" s="88"/>
      <c r="G31" s="88"/>
    </row>
    <row r="32" spans="2:31" ht="60.75">
      <c r="B32" s="161" t="s">
        <v>2365</v>
      </c>
      <c r="C32" s="223" t="s">
        <v>1079</v>
      </c>
      <c r="D32" s="223" t="s">
        <v>2613</v>
      </c>
      <c r="E32" s="223" t="s">
        <v>2709</v>
      </c>
      <c r="F32" s="88"/>
      <c r="G32" s="88"/>
      <c r="H32" s="186"/>
    </row>
    <row r="33" spans="2:8">
      <c r="B33" s="98"/>
      <c r="C33" s="223"/>
      <c r="D33" s="223"/>
      <c r="E33" s="223"/>
      <c r="F33" s="88"/>
      <c r="G33" s="88"/>
      <c r="H33" s="186"/>
    </row>
    <row r="34" spans="2:8">
      <c r="B34" s="161"/>
      <c r="C34" s="223"/>
      <c r="D34" s="223"/>
      <c r="E34" s="223"/>
      <c r="F34" s="88"/>
      <c r="G34" s="88"/>
      <c r="H34" s="186"/>
    </row>
    <row r="35" spans="2:8">
      <c r="B35" s="98"/>
      <c r="C35" s="223"/>
      <c r="D35" s="223"/>
      <c r="E35" s="223"/>
      <c r="F35" s="223"/>
      <c r="H35" s="186"/>
    </row>
    <row r="36" spans="2:8" ht="13.5" customHeight="1">
      <c r="B36" s="98"/>
      <c r="C36" s="223"/>
      <c r="D36" s="223"/>
      <c r="E36" s="223"/>
      <c r="F36" s="223"/>
      <c r="H36" s="185"/>
    </row>
    <row r="37" spans="2:8">
      <c r="B37" s="98"/>
      <c r="C37" s="88"/>
      <c r="D37" s="88"/>
      <c r="E37" s="88"/>
      <c r="F37" s="98"/>
    </row>
    <row r="38" spans="2:8">
      <c r="B38" s="161"/>
      <c r="C38" s="223"/>
      <c r="D38" s="223"/>
      <c r="E38" s="223"/>
      <c r="F38" s="223"/>
    </row>
    <row r="39" spans="2:8" ht="48.75" customHeight="1">
      <c r="B39" s="161"/>
      <c r="C39" s="223"/>
      <c r="D39" s="223"/>
      <c r="E39" s="223"/>
      <c r="F39" s="161"/>
    </row>
    <row r="40" spans="2:8">
      <c r="B40" s="161"/>
      <c r="C40" s="223"/>
      <c r="D40" s="223"/>
      <c r="E40" s="223"/>
      <c r="F40" s="223"/>
    </row>
    <row r="41" spans="2:8">
      <c r="B41" s="161"/>
      <c r="C41" s="223"/>
      <c r="D41" s="223"/>
      <c r="E41" s="223"/>
      <c r="F41" s="161"/>
    </row>
    <row r="42" spans="2:8">
      <c r="B42" s="161"/>
      <c r="C42" s="223"/>
      <c r="D42" s="223"/>
      <c r="E42" s="223"/>
      <c r="F42" s="161"/>
    </row>
    <row r="43" spans="2:8">
      <c r="B43" s="161"/>
      <c r="C43" s="223"/>
      <c r="D43" s="223"/>
      <c r="E43" s="223"/>
      <c r="F43" s="161"/>
    </row>
    <row r="44" spans="2:8">
      <c r="B44" s="161"/>
      <c r="C44" s="223"/>
      <c r="D44" s="223"/>
      <c r="E44" s="223"/>
      <c r="F44" s="161"/>
    </row>
    <row r="45" spans="2:8">
      <c r="B45" s="161"/>
      <c r="C45" s="223"/>
      <c r="D45" s="223"/>
      <c r="E45" s="223"/>
      <c r="F45" s="161"/>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DB51-D71F-491E-820C-72AB2A1DC0EA}">
  <sheetPr>
    <tabColor rgb="FFFFFF00"/>
  </sheetPr>
  <dimension ref="B1:V45"/>
  <sheetViews>
    <sheetView showGridLines="0" topLeftCell="B1"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s>
  <sheetData>
    <row r="1" spans="2:22" ht="38.25" customHeight="1"/>
    <row r="2" spans="2:22">
      <c r="B2" s="97" t="s">
        <v>2283</v>
      </c>
      <c r="C2" s="97" t="s">
        <v>2284</v>
      </c>
      <c r="D2" s="97" t="s">
        <v>2285</v>
      </c>
      <c r="E2" s="97" t="s">
        <v>2286</v>
      </c>
      <c r="F2" s="97" t="s">
        <v>2287</v>
      </c>
      <c r="G2" s="97" t="s">
        <v>2288</v>
      </c>
      <c r="H2" s="97" t="s">
        <v>2289</v>
      </c>
      <c r="I2" s="97" t="s">
        <v>730</v>
      </c>
      <c r="J2" s="97" t="s">
        <v>842</v>
      </c>
      <c r="K2" s="97" t="s">
        <v>923</v>
      </c>
      <c r="L2" s="97" t="s">
        <v>1012</v>
      </c>
      <c r="M2" s="97" t="s">
        <v>1079</v>
      </c>
      <c r="N2" s="109" t="s">
        <v>1255</v>
      </c>
      <c r="O2" s="97" t="s">
        <v>1272</v>
      </c>
      <c r="P2" s="97" t="s">
        <v>1334</v>
      </c>
      <c r="Q2" s="109" t="s">
        <v>1224</v>
      </c>
      <c r="R2" s="109" t="s">
        <v>1440</v>
      </c>
      <c r="S2" s="97" t="s">
        <v>1499</v>
      </c>
      <c r="T2" s="97" t="s">
        <v>1561</v>
      </c>
      <c r="U2" s="97" t="s">
        <v>1614</v>
      </c>
      <c r="V2" s="97"/>
    </row>
    <row r="3" spans="2:22">
      <c r="B3" s="141" t="s">
        <v>2237</v>
      </c>
      <c r="C3" s="98">
        <v>1</v>
      </c>
      <c r="D3" s="98" t="s">
        <v>2710</v>
      </c>
      <c r="E3" s="116">
        <v>45499</v>
      </c>
      <c r="F3" s="98">
        <v>1</v>
      </c>
      <c r="G3" s="188">
        <v>1</v>
      </c>
      <c r="H3" s="170" t="s">
        <v>2711</v>
      </c>
      <c r="I3" s="98" t="s">
        <v>2291</v>
      </c>
      <c r="J3" s="98" t="s">
        <v>2291</v>
      </c>
      <c r="K3" s="98" t="s">
        <v>2291</v>
      </c>
      <c r="L3" s="98" t="s">
        <v>2291</v>
      </c>
      <c r="M3" s="98" t="s">
        <v>2291</v>
      </c>
      <c r="N3" s="98" t="s">
        <v>2291</v>
      </c>
      <c r="O3" s="98" t="s">
        <v>2291</v>
      </c>
      <c r="P3" s="98" t="s">
        <v>2291</v>
      </c>
      <c r="Q3" s="98" t="s">
        <v>2291</v>
      </c>
      <c r="R3" s="98" t="s">
        <v>2291</v>
      </c>
      <c r="S3" s="98" t="s">
        <v>2291</v>
      </c>
      <c r="T3" s="98" t="s">
        <v>2291</v>
      </c>
      <c r="U3" s="98" t="s">
        <v>2291</v>
      </c>
      <c r="V3" s="98"/>
    </row>
    <row r="4" spans="2:22">
      <c r="B4" s="141" t="s">
        <v>2239</v>
      </c>
      <c r="C4" s="98">
        <v>2</v>
      </c>
      <c r="D4" s="98" t="s">
        <v>2712</v>
      </c>
      <c r="E4" s="116">
        <v>45499</v>
      </c>
      <c r="F4" s="98">
        <v>1</v>
      </c>
      <c r="G4" s="188">
        <v>1</v>
      </c>
      <c r="H4" s="202" t="s">
        <v>2376</v>
      </c>
      <c r="I4" s="98" t="s">
        <v>2291</v>
      </c>
      <c r="J4" s="98" t="s">
        <v>2291</v>
      </c>
      <c r="K4" s="98" t="s">
        <v>2291</v>
      </c>
      <c r="L4" s="98" t="s">
        <v>2291</v>
      </c>
      <c r="M4" s="98" t="s">
        <v>2291</v>
      </c>
      <c r="N4" s="98" t="s">
        <v>2291</v>
      </c>
      <c r="O4" s="98" t="s">
        <v>2291</v>
      </c>
      <c r="P4" s="98" t="s">
        <v>2291</v>
      </c>
      <c r="Q4" s="98" t="s">
        <v>2291</v>
      </c>
      <c r="R4" s="98" t="s">
        <v>2291</v>
      </c>
      <c r="S4" s="98" t="s">
        <v>2291</v>
      </c>
      <c r="T4" s="98" t="s">
        <v>2291</v>
      </c>
      <c r="U4" s="98" t="s">
        <v>2291</v>
      </c>
      <c r="V4" s="98"/>
    </row>
    <row r="5" spans="2:22">
      <c r="B5" s="141" t="s">
        <v>2241</v>
      </c>
      <c r="C5" s="98">
        <v>3</v>
      </c>
      <c r="D5" s="98" t="s">
        <v>2713</v>
      </c>
      <c r="E5" s="116">
        <v>45499</v>
      </c>
      <c r="F5" s="98">
        <v>1</v>
      </c>
      <c r="G5" s="188">
        <v>1</v>
      </c>
      <c r="H5" s="202" t="s">
        <v>2376</v>
      </c>
      <c r="I5" s="98">
        <v>0</v>
      </c>
      <c r="J5" s="98">
        <v>0</v>
      </c>
      <c r="K5" s="98">
        <v>0</v>
      </c>
      <c r="L5" s="98">
        <v>0</v>
      </c>
      <c r="M5" s="98" t="s">
        <v>2291</v>
      </c>
      <c r="N5" s="98" t="s">
        <v>2291</v>
      </c>
      <c r="O5" s="98" t="s">
        <v>2291</v>
      </c>
      <c r="P5" s="98" t="s">
        <v>2291</v>
      </c>
      <c r="Q5" s="98" t="s">
        <v>2291</v>
      </c>
      <c r="R5" s="98" t="s">
        <v>2291</v>
      </c>
      <c r="S5" s="98" t="s">
        <v>2291</v>
      </c>
      <c r="T5" s="98" t="s">
        <v>2291</v>
      </c>
      <c r="U5" s="98" t="s">
        <v>2291</v>
      </c>
      <c r="V5" s="98"/>
    </row>
    <row r="6" spans="2:22">
      <c r="B6" s="88" t="s">
        <v>2243</v>
      </c>
      <c r="C6" s="98">
        <v>4</v>
      </c>
      <c r="D6" s="98" t="s">
        <v>2296</v>
      </c>
      <c r="E6" s="116" t="s">
        <v>2291</v>
      </c>
      <c r="F6" s="98">
        <v>1</v>
      </c>
      <c r="G6" s="116" t="s">
        <v>2291</v>
      </c>
      <c r="H6" s="202"/>
      <c r="I6" s="98" t="s">
        <v>2291</v>
      </c>
      <c r="J6" s="98" t="s">
        <v>2291</v>
      </c>
      <c r="K6" s="98" t="s">
        <v>2291</v>
      </c>
      <c r="L6" s="98" t="s">
        <v>2291</v>
      </c>
      <c r="M6" s="98" t="s">
        <v>2291</v>
      </c>
      <c r="N6" s="98" t="s">
        <v>2291</v>
      </c>
      <c r="O6" s="98" t="s">
        <v>2291</v>
      </c>
      <c r="P6" s="98" t="s">
        <v>2291</v>
      </c>
      <c r="Q6" s="98" t="s">
        <v>2291</v>
      </c>
      <c r="R6" s="98" t="s">
        <v>2291</v>
      </c>
      <c r="S6" s="98" t="s">
        <v>2291</v>
      </c>
      <c r="T6" s="98" t="s">
        <v>2291</v>
      </c>
      <c r="U6" s="98" t="s">
        <v>2291</v>
      </c>
      <c r="V6" s="98"/>
    </row>
    <row r="7" spans="2:22">
      <c r="B7" s="88" t="s">
        <v>2245</v>
      </c>
      <c r="C7" s="98">
        <v>5</v>
      </c>
      <c r="D7" s="98" t="s">
        <v>2296</v>
      </c>
      <c r="E7" s="116" t="s">
        <v>2291</v>
      </c>
      <c r="F7" s="98">
        <v>1</v>
      </c>
      <c r="G7" s="116" t="s">
        <v>2291</v>
      </c>
      <c r="H7" s="202"/>
      <c r="I7" s="98" t="s">
        <v>2291</v>
      </c>
      <c r="J7" s="98" t="s">
        <v>2291</v>
      </c>
      <c r="K7" s="98" t="s">
        <v>2291</v>
      </c>
      <c r="L7" s="98" t="s">
        <v>2291</v>
      </c>
      <c r="M7" s="98" t="s">
        <v>2291</v>
      </c>
      <c r="N7" s="98" t="s">
        <v>2291</v>
      </c>
      <c r="O7" s="98" t="s">
        <v>2291</v>
      </c>
      <c r="P7" s="98" t="s">
        <v>2291</v>
      </c>
      <c r="Q7" s="98" t="s">
        <v>2291</v>
      </c>
      <c r="R7" s="98" t="s">
        <v>2291</v>
      </c>
      <c r="S7" s="98" t="s">
        <v>2291</v>
      </c>
      <c r="T7" s="98" t="s">
        <v>2291</v>
      </c>
      <c r="U7" s="98" t="s">
        <v>2291</v>
      </c>
      <c r="V7" s="98"/>
    </row>
    <row r="8" spans="2:22">
      <c r="B8" s="172" t="s">
        <v>2246</v>
      </c>
      <c r="C8" s="98">
        <v>6</v>
      </c>
      <c r="D8" s="98" t="s">
        <v>2714</v>
      </c>
      <c r="E8" s="116">
        <v>45499</v>
      </c>
      <c r="F8" s="98">
        <v>1</v>
      </c>
      <c r="G8" s="216" cm="1">
        <f t="array" ref="G8">SUMPRODUCT(--(I8:U8&gt;0))/COUNTA(I8:U8)</f>
        <v>1</v>
      </c>
      <c r="H8" s="202" t="s">
        <v>2376</v>
      </c>
      <c r="I8" s="98">
        <v>2</v>
      </c>
      <c r="J8" s="98">
        <v>30</v>
      </c>
      <c r="K8" s="98">
        <v>1</v>
      </c>
      <c r="L8" s="98">
        <v>1</v>
      </c>
      <c r="M8" s="98" t="s">
        <v>2298</v>
      </c>
      <c r="N8" s="98">
        <v>3</v>
      </c>
      <c r="O8" s="98" t="s">
        <v>2298</v>
      </c>
      <c r="P8" s="98">
        <v>10</v>
      </c>
      <c r="Q8" s="98">
        <v>10</v>
      </c>
      <c r="R8" s="98">
        <v>8</v>
      </c>
      <c r="S8" s="98">
        <v>2</v>
      </c>
      <c r="T8" s="98">
        <v>10</v>
      </c>
      <c r="U8" s="98">
        <v>23</v>
      </c>
      <c r="V8" s="98"/>
    </row>
    <row r="9" spans="2:22">
      <c r="B9" s="141" t="s">
        <v>2249</v>
      </c>
      <c r="C9" s="98">
        <v>7</v>
      </c>
      <c r="D9" s="98" t="s">
        <v>2715</v>
      </c>
      <c r="E9" s="116">
        <v>45499</v>
      </c>
      <c r="F9" s="98">
        <v>1</v>
      </c>
      <c r="G9" s="216" cm="1">
        <f t="array" aca="1" ref="G9" ca="1">SUMPRODUCT(--(I9:U9&lt;=I26:U26))/COUNTA(I9:U9)</f>
        <v>0.69230769230769229</v>
      </c>
      <c r="H9" s="202" t="s">
        <v>2376</v>
      </c>
      <c r="I9" s="98">
        <v>2</v>
      </c>
      <c r="J9" s="98">
        <v>30</v>
      </c>
      <c r="K9" s="98">
        <v>2</v>
      </c>
      <c r="L9" s="98">
        <v>1</v>
      </c>
      <c r="M9" s="98" t="s">
        <v>2298</v>
      </c>
      <c r="N9" s="98">
        <v>3</v>
      </c>
      <c r="O9" s="98" t="s">
        <v>2298</v>
      </c>
      <c r="P9" s="98">
        <v>10</v>
      </c>
      <c r="Q9" s="98">
        <v>10</v>
      </c>
      <c r="R9" s="98">
        <v>15</v>
      </c>
      <c r="S9" s="98">
        <v>2</v>
      </c>
      <c r="T9" s="98">
        <v>10</v>
      </c>
      <c r="U9" s="98">
        <v>23</v>
      </c>
      <c r="V9" s="98"/>
    </row>
    <row r="10" spans="2:22">
      <c r="B10" s="141" t="s">
        <v>2252</v>
      </c>
      <c r="C10" s="98">
        <v>8</v>
      </c>
      <c r="D10" s="98" t="s">
        <v>2716</v>
      </c>
      <c r="E10" s="116">
        <v>45499</v>
      </c>
      <c r="F10" s="98">
        <v>1</v>
      </c>
      <c r="G10" s="116" t="s">
        <v>2291</v>
      </c>
      <c r="H10" s="202" t="s">
        <v>2376</v>
      </c>
      <c r="I10" s="98">
        <v>31</v>
      </c>
      <c r="J10" s="98">
        <v>6.6360035007149E+29</v>
      </c>
      <c r="K10" s="98">
        <v>0</v>
      </c>
      <c r="L10" s="98">
        <v>1</v>
      </c>
      <c r="M10" s="116" t="s">
        <v>2298</v>
      </c>
      <c r="N10" s="116" t="s">
        <v>2678</v>
      </c>
      <c r="O10" s="202" t="s">
        <v>2298</v>
      </c>
      <c r="P10" s="116" t="s">
        <v>2625</v>
      </c>
      <c r="Q10" s="116">
        <v>38889</v>
      </c>
      <c r="R10" s="116" t="s">
        <v>2376</v>
      </c>
      <c r="S10" s="98" t="s">
        <v>2717</v>
      </c>
      <c r="T10" s="116">
        <v>45499</v>
      </c>
      <c r="U10" s="145" t="s">
        <v>2718</v>
      </c>
      <c r="V10" s="98"/>
    </row>
    <row r="11" spans="2:22">
      <c r="B11" s="141" t="s">
        <v>2254</v>
      </c>
      <c r="C11" s="98">
        <v>9</v>
      </c>
      <c r="D11" s="98" t="s">
        <v>2719</v>
      </c>
      <c r="E11" s="116">
        <v>45499</v>
      </c>
      <c r="F11" s="98">
        <v>1</v>
      </c>
      <c r="G11" s="116" t="s">
        <v>2291</v>
      </c>
      <c r="H11" s="202" t="s">
        <v>2376</v>
      </c>
      <c r="I11" s="98">
        <v>31</v>
      </c>
      <c r="J11" s="98">
        <v>6.6360035007149E+29</v>
      </c>
      <c r="K11" s="98">
        <v>0</v>
      </c>
      <c r="L11" s="98">
        <v>1</v>
      </c>
      <c r="M11" s="116" t="s">
        <v>2298</v>
      </c>
      <c r="N11" s="116" t="s">
        <v>2678</v>
      </c>
      <c r="O11" s="202" t="s">
        <v>2298</v>
      </c>
      <c r="P11" s="116" t="s">
        <v>2625</v>
      </c>
      <c r="Q11" s="116">
        <v>38889</v>
      </c>
      <c r="R11" s="116" t="s">
        <v>2720</v>
      </c>
      <c r="S11" s="98" t="s">
        <v>2717</v>
      </c>
      <c r="T11" s="116">
        <v>45499</v>
      </c>
      <c r="U11" s="116" t="s">
        <v>2721</v>
      </c>
      <c r="V11" s="98"/>
    </row>
    <row r="12" spans="2:22">
      <c r="B12" s="164" t="s">
        <v>2256</v>
      </c>
      <c r="C12" s="98">
        <v>10</v>
      </c>
      <c r="D12" s="98" t="s">
        <v>2722</v>
      </c>
      <c r="E12" s="116">
        <v>45499</v>
      </c>
      <c r="F12" s="98">
        <v>1</v>
      </c>
      <c r="G12" s="116" t="s">
        <v>2291</v>
      </c>
      <c r="H12" s="202" t="s">
        <v>2376</v>
      </c>
      <c r="I12" s="98">
        <v>31</v>
      </c>
      <c r="J12" s="98">
        <v>8.8780036000000504E+29</v>
      </c>
      <c r="K12" s="98">
        <v>99</v>
      </c>
      <c r="L12" s="98">
        <v>1</v>
      </c>
      <c r="M12" s="116" t="s">
        <v>2298</v>
      </c>
      <c r="N12" s="117" t="s">
        <v>2328</v>
      </c>
      <c r="O12" s="202" t="s">
        <v>2298</v>
      </c>
      <c r="P12" s="116">
        <v>45506</v>
      </c>
      <c r="Q12" s="116">
        <v>45504</v>
      </c>
      <c r="R12" s="116">
        <v>27068804000000</v>
      </c>
      <c r="S12" s="116" t="s">
        <v>2723</v>
      </c>
      <c r="T12" s="116">
        <v>45504</v>
      </c>
      <c r="U12" s="145" t="s">
        <v>2718</v>
      </c>
      <c r="V12" s="98"/>
    </row>
    <row r="13" spans="2:22">
      <c r="B13" s="141" t="s">
        <v>2258</v>
      </c>
      <c r="C13" s="98">
        <v>11</v>
      </c>
      <c r="D13" s="98" t="s">
        <v>2724</v>
      </c>
      <c r="E13" s="116">
        <v>45499</v>
      </c>
      <c r="F13" s="98">
        <v>1</v>
      </c>
      <c r="G13" s="116" t="s">
        <v>2291</v>
      </c>
      <c r="H13" s="202" t="s">
        <v>2376</v>
      </c>
      <c r="I13" s="98">
        <v>31</v>
      </c>
      <c r="J13" s="98">
        <v>8.8780036000000504E+29</v>
      </c>
      <c r="K13" s="98">
        <v>99</v>
      </c>
      <c r="L13" s="98">
        <v>1</v>
      </c>
      <c r="M13" s="116" t="s">
        <v>2298</v>
      </c>
      <c r="N13" s="117" t="s">
        <v>2328</v>
      </c>
      <c r="O13" s="202" t="s">
        <v>2298</v>
      </c>
      <c r="P13" s="116">
        <v>45506</v>
      </c>
      <c r="Q13" s="116">
        <v>45504</v>
      </c>
      <c r="R13" s="116" t="s">
        <v>2725</v>
      </c>
      <c r="S13" s="116" t="s">
        <v>2723</v>
      </c>
      <c r="T13" s="116">
        <v>45504</v>
      </c>
      <c r="U13" s="116" t="s">
        <v>2726</v>
      </c>
      <c r="V13" s="98"/>
    </row>
    <row r="14" spans="2:22">
      <c r="B14" s="141" t="s">
        <v>2260</v>
      </c>
      <c r="C14" s="98">
        <v>12</v>
      </c>
      <c r="D14" s="98" t="s">
        <v>2727</v>
      </c>
      <c r="E14" s="116">
        <v>45499</v>
      </c>
      <c r="F14" s="98">
        <v>1</v>
      </c>
      <c r="G14" s="145">
        <v>0.85</v>
      </c>
      <c r="H14" s="202" t="s">
        <v>2376</v>
      </c>
      <c r="I14" s="98">
        <v>0</v>
      </c>
      <c r="J14" s="98">
        <v>0</v>
      </c>
      <c r="K14" s="98">
        <v>0</v>
      </c>
      <c r="L14" s="98">
        <v>0</v>
      </c>
      <c r="M14" s="98">
        <v>9363</v>
      </c>
      <c r="N14" s="98">
        <v>0</v>
      </c>
      <c r="O14" s="98">
        <v>9363</v>
      </c>
      <c r="P14" s="98">
        <v>0</v>
      </c>
      <c r="Q14" s="98">
        <v>0</v>
      </c>
      <c r="R14" s="98">
        <v>0</v>
      </c>
      <c r="S14" s="98">
        <v>0</v>
      </c>
      <c r="T14" s="98">
        <v>0</v>
      </c>
      <c r="U14" s="98">
        <v>0</v>
      </c>
      <c r="V14" s="98"/>
    </row>
    <row r="15" spans="2:22">
      <c r="B15" s="141" t="s">
        <v>2262</v>
      </c>
      <c r="C15" s="98">
        <v>13</v>
      </c>
      <c r="D15" s="98" t="s">
        <v>2728</v>
      </c>
      <c r="E15" s="116">
        <v>45499</v>
      </c>
      <c r="F15" s="98">
        <v>1</v>
      </c>
      <c r="G15" s="188">
        <v>1</v>
      </c>
      <c r="H15" s="202" t="s">
        <v>2376</v>
      </c>
      <c r="I15" s="98" t="s">
        <v>2291</v>
      </c>
      <c r="J15" s="98" t="s">
        <v>2291</v>
      </c>
      <c r="K15" s="98" t="s">
        <v>2291</v>
      </c>
      <c r="L15" s="88" t="s">
        <v>2291</v>
      </c>
      <c r="M15" s="88" t="s">
        <v>2291</v>
      </c>
      <c r="N15" s="88" t="s">
        <v>2291</v>
      </c>
      <c r="O15" s="98" t="s">
        <v>2291</v>
      </c>
      <c r="P15" s="88">
        <v>0</v>
      </c>
      <c r="Q15" s="88">
        <v>0</v>
      </c>
      <c r="R15" s="88" t="s">
        <v>2291</v>
      </c>
      <c r="S15" s="98" t="s">
        <v>2291</v>
      </c>
      <c r="T15" s="98" t="s">
        <v>2291</v>
      </c>
      <c r="U15" s="98" t="s">
        <v>2291</v>
      </c>
      <c r="V15" s="98"/>
    </row>
    <row r="16" spans="2:22">
      <c r="B16" s="141" t="s">
        <v>2264</v>
      </c>
      <c r="C16" s="98">
        <v>14</v>
      </c>
      <c r="D16" s="98" t="s">
        <v>2729</v>
      </c>
      <c r="E16" s="116">
        <v>45499</v>
      </c>
      <c r="F16" s="98">
        <v>1</v>
      </c>
      <c r="G16" s="188">
        <v>1</v>
      </c>
      <c r="H16" s="202" t="s">
        <v>2376</v>
      </c>
      <c r="I16" s="98">
        <v>0</v>
      </c>
      <c r="J16" s="98">
        <v>0</v>
      </c>
      <c r="K16" s="98" t="s">
        <v>2291</v>
      </c>
      <c r="L16" s="98" t="s">
        <v>2291</v>
      </c>
      <c r="M16" s="88">
        <v>0</v>
      </c>
      <c r="N16" s="88">
        <v>0</v>
      </c>
      <c r="O16" s="98" t="s">
        <v>2291</v>
      </c>
      <c r="P16" s="98" t="s">
        <v>2291</v>
      </c>
      <c r="Q16" s="98" t="s">
        <v>2291</v>
      </c>
      <c r="R16" s="88" t="s">
        <v>2291</v>
      </c>
      <c r="S16" s="98">
        <v>0</v>
      </c>
      <c r="T16" s="98" t="s">
        <v>2291</v>
      </c>
      <c r="U16" s="98" t="s">
        <v>2291</v>
      </c>
      <c r="V16" s="98"/>
    </row>
    <row r="17" spans="2:22">
      <c r="B17" s="174" t="s">
        <v>2266</v>
      </c>
      <c r="C17" s="98">
        <v>15</v>
      </c>
      <c r="D17" s="98" t="s">
        <v>2730</v>
      </c>
      <c r="E17" s="116">
        <v>45499</v>
      </c>
      <c r="F17" s="98">
        <v>1</v>
      </c>
      <c r="G17" s="188">
        <v>1</v>
      </c>
      <c r="H17" s="202" t="s">
        <v>2376</v>
      </c>
      <c r="I17" s="98" t="s">
        <v>2291</v>
      </c>
      <c r="J17" s="98" t="s">
        <v>2291</v>
      </c>
      <c r="K17" s="98" t="s">
        <v>2291</v>
      </c>
      <c r="L17" s="98" t="s">
        <v>2291</v>
      </c>
      <c r="M17" s="98" t="s">
        <v>2291</v>
      </c>
      <c r="N17" s="98" t="s">
        <v>2291</v>
      </c>
      <c r="O17" s="98" t="s">
        <v>2291</v>
      </c>
      <c r="P17" s="98" t="s">
        <v>2291</v>
      </c>
      <c r="Q17" s="98" t="s">
        <v>2291</v>
      </c>
      <c r="R17" s="98" t="s">
        <v>2291</v>
      </c>
      <c r="S17" s="98" t="s">
        <v>2291</v>
      </c>
      <c r="T17" s="98" t="s">
        <v>2291</v>
      </c>
      <c r="U17" s="98" t="s">
        <v>2291</v>
      </c>
      <c r="V17" s="98"/>
    </row>
    <row r="18" spans="2:22">
      <c r="B18" s="174" t="s">
        <v>2268</v>
      </c>
      <c r="C18" s="98">
        <v>16</v>
      </c>
      <c r="D18" s="98" t="s">
        <v>2730</v>
      </c>
      <c r="E18" s="116">
        <v>45499</v>
      </c>
      <c r="F18" s="98">
        <v>1</v>
      </c>
      <c r="G18" s="188">
        <v>1</v>
      </c>
      <c r="H18" s="202" t="s">
        <v>2376</v>
      </c>
      <c r="I18" s="98" t="s">
        <v>2291</v>
      </c>
      <c r="J18" s="98" t="s">
        <v>2291</v>
      </c>
      <c r="K18" s="98" t="s">
        <v>2291</v>
      </c>
      <c r="L18" s="98" t="s">
        <v>2291</v>
      </c>
      <c r="M18" s="98" t="s">
        <v>2291</v>
      </c>
      <c r="N18" s="98" t="s">
        <v>2291</v>
      </c>
      <c r="O18" s="98" t="s">
        <v>2291</v>
      </c>
      <c r="P18" s="98" t="s">
        <v>2291</v>
      </c>
      <c r="Q18" s="98" t="s">
        <v>2291</v>
      </c>
      <c r="R18" s="98" t="s">
        <v>2291</v>
      </c>
      <c r="S18" s="98" t="s">
        <v>2291</v>
      </c>
      <c r="T18" s="98" t="s">
        <v>2291</v>
      </c>
      <c r="U18" s="98" t="s">
        <v>2291</v>
      </c>
      <c r="V18" s="98"/>
    </row>
    <row r="19" spans="2:22">
      <c r="B19" s="141" t="s">
        <v>2274</v>
      </c>
      <c r="C19" s="98">
        <v>19</v>
      </c>
      <c r="D19" s="98" t="s">
        <v>2731</v>
      </c>
      <c r="E19" s="116">
        <v>45499</v>
      </c>
      <c r="F19" s="98">
        <v>1</v>
      </c>
      <c r="G19" s="216" cm="1">
        <f t="array" aca="1" ref="G19" ca="1">SUMPRODUCT(--(ISNUMBER((SEARCH(I25:U25,I19:U19)))))/COUNTA(I19:U19)</f>
        <v>0.76923076923076927</v>
      </c>
      <c r="H19" s="202" t="s">
        <v>2376</v>
      </c>
      <c r="I19" s="98" t="s">
        <v>2341</v>
      </c>
      <c r="J19" s="98" t="s">
        <v>2341</v>
      </c>
      <c r="K19" s="98" t="s">
        <v>2342</v>
      </c>
      <c r="L19" s="98" t="s">
        <v>2342</v>
      </c>
      <c r="M19" s="98" t="s">
        <v>2341</v>
      </c>
      <c r="N19" s="98" t="s">
        <v>2341</v>
      </c>
      <c r="O19" s="98" t="s">
        <v>2341</v>
      </c>
      <c r="P19" s="98" t="s">
        <v>2341</v>
      </c>
      <c r="Q19" s="98" t="s">
        <v>2341</v>
      </c>
      <c r="R19" s="98" t="s">
        <v>2343</v>
      </c>
      <c r="S19" s="98" t="s">
        <v>2341</v>
      </c>
      <c r="T19" s="98" t="s">
        <v>2341</v>
      </c>
      <c r="U19" s="98" t="s">
        <v>2344</v>
      </c>
      <c r="V19" s="98"/>
    </row>
    <row r="20" spans="2:22">
      <c r="B20" s="141" t="s">
        <v>2277</v>
      </c>
      <c r="C20" s="98">
        <v>20</v>
      </c>
      <c r="D20" s="98"/>
      <c r="E20" s="116"/>
      <c r="F20" s="98"/>
      <c r="G20" s="216" cm="1">
        <f t="array" ref="G20">SUM(IF(I2:U2 = I24:U24, 1, 0))/ COUNTA(I2:U2)</f>
        <v>0.38461538461538464</v>
      </c>
      <c r="H20" s="98"/>
      <c r="I20" s="98"/>
      <c r="J20" s="98"/>
      <c r="K20" s="98"/>
      <c r="L20" s="98"/>
      <c r="M20" s="98"/>
      <c r="N20" s="98"/>
      <c r="O20" s="98"/>
      <c r="P20" s="98"/>
      <c r="Q20" s="98"/>
      <c r="R20" s="98"/>
      <c r="S20" s="98"/>
      <c r="T20" s="98"/>
      <c r="U20" s="98"/>
      <c r="V20" s="98"/>
    </row>
    <row r="21" spans="2:22">
      <c r="B21" s="165" t="s">
        <v>2280</v>
      </c>
      <c r="C21" s="98">
        <v>21</v>
      </c>
      <c r="D21" s="98"/>
      <c r="E21" s="116"/>
      <c r="F21" s="98"/>
      <c r="G21" s="216" cm="1">
        <f t="array" aca="1" ref="G21" ca="1">SUM(IF(IF(G3:G20="null",1,G3:G20)=1,1,0))/COUNT(IF(G3:G20="null",1,1))</f>
        <v>0.77777777777777779</v>
      </c>
      <c r="H21" s="98"/>
      <c r="I21" s="98"/>
      <c r="J21" s="98"/>
      <c r="K21" s="98"/>
      <c r="L21" s="98"/>
      <c r="M21" s="98"/>
      <c r="N21" s="98"/>
      <c r="O21" s="98"/>
      <c r="P21" s="98"/>
      <c r="Q21" s="98"/>
      <c r="R21" s="98"/>
      <c r="S21" s="98"/>
      <c r="T21" s="98"/>
      <c r="U21" s="98"/>
      <c r="V21" s="98"/>
    </row>
    <row r="22" spans="2:22">
      <c r="B22" s="98"/>
      <c r="C22" s="98"/>
      <c r="D22" s="98"/>
      <c r="E22" s="116"/>
      <c r="F22" s="98"/>
      <c r="G22" s="98"/>
      <c r="H22" s="98"/>
      <c r="I22" s="98"/>
      <c r="J22" s="98"/>
      <c r="K22" s="98"/>
      <c r="L22" s="98"/>
      <c r="M22" s="98"/>
      <c r="N22" s="98"/>
      <c r="O22" s="98"/>
      <c r="P22" s="98"/>
      <c r="Q22" s="98"/>
      <c r="R22" s="98"/>
      <c r="S22" s="98"/>
      <c r="T22" s="98"/>
      <c r="U22" s="98"/>
    </row>
    <row r="23" spans="2:22">
      <c r="B23" s="106" t="s">
        <v>2345</v>
      </c>
    </row>
    <row r="24" spans="2:22">
      <c r="B24" s="107" t="s">
        <v>2346</v>
      </c>
      <c r="C24" s="108" t="s">
        <v>2284</v>
      </c>
      <c r="D24" s="108" t="s">
        <v>2285</v>
      </c>
      <c r="E24" s="108" t="s">
        <v>2286</v>
      </c>
      <c r="F24" s="108" t="s">
        <v>2287</v>
      </c>
      <c r="G24" s="108" t="s">
        <v>2288</v>
      </c>
      <c r="H24" s="108" t="s">
        <v>2289</v>
      </c>
      <c r="I24" s="109" t="str" cm="1">
        <f t="array" ref="I24:V24">TRANSPOSE(_xlfn.SORTBY(_xlfn._xlws.FILTER(Table2[NOME FÍSICO CAMPO],Table2[NOME FÍSICO TABELA]="trade_finance_transaction"), _xlfn._xlws.FILTER(Table2[ORDEM], Table2[NOME FÍSICO TABELA]="trade_finance_transaction"), 1))</f>
        <v>bank_id</v>
      </c>
      <c r="J24" s="109" t="str">
        <v>contract_id</v>
      </c>
      <c r="K24" s="109" t="str">
        <v>order_number</v>
      </c>
      <c r="L24" s="109" t="str">
        <v>order_number_stage</v>
      </c>
      <c r="M24" s="109" t="str">
        <v>transaction_type_code</v>
      </c>
      <c r="N24" s="109" t="str">
        <v>financial_flow_indicator</v>
      </c>
      <c r="O24" s="109" t="str">
        <v>currency_code</v>
      </c>
      <c r="P24" s="109" t="str">
        <v>transaction_execution_date</v>
      </c>
      <c r="Q24" s="109" t="str">
        <v>client_transaction_date</v>
      </c>
      <c r="R24" s="109" t="str">
        <v>correspondent_transaction_date</v>
      </c>
      <c r="S24" s="109" t="str">
        <v>amount</v>
      </c>
      <c r="T24" s="109" t="str">
        <v>source_code</v>
      </c>
      <c r="U24" s="109" t="str">
        <v>data_date_part</v>
      </c>
      <c r="V24" s="225" t="str">
        <v>data_timestamp_part</v>
      </c>
    </row>
    <row r="25" spans="2:22">
      <c r="B25" s="100" t="s">
        <v>2347</v>
      </c>
      <c r="C25" s="113">
        <v>21</v>
      </c>
      <c r="D25" s="102" t="s">
        <v>2348</v>
      </c>
      <c r="E25" s="101" t="s">
        <v>2349</v>
      </c>
      <c r="F25" s="101" t="s">
        <v>781</v>
      </c>
      <c r="G25" s="101" t="s">
        <v>781</v>
      </c>
      <c r="H25" s="101" t="s">
        <v>781</v>
      </c>
      <c r="I25" s="101" t="str" cm="1">
        <f t="array" aca="1" ref="I25:V26" ca="1">TRANSPOSE(_xlfn.SORTBY(_xlfn._xlws.FILTER(IF(Table2[FORMATO]:Table2[COMP_ CAMPO]&lt;&gt;"",Table2[FORMATO]:Table2[COMP_ CAMPO],9999999),Table2[NOME FÍSICO TABELA]="trade_finance_transaction"), _xlfn._xlws.FILTER(Table2[ORDEM], Table2[NOME FÍSICO TABELA]="trade_finance_transaction"),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DECIMAL</v>
      </c>
      <c r="T25" s="101" t="str">
        <f ca="1"/>
        <v>STRING</v>
      </c>
      <c r="U25" s="101" t="str">
        <f ca="1"/>
        <v>STRING</v>
      </c>
      <c r="V25" t="str">
        <f ca="1"/>
        <v>TIMESTAMP</v>
      </c>
    </row>
    <row r="26" spans="2:22" s="97" customFormat="1">
      <c r="B26" s="118" t="s">
        <v>2350</v>
      </c>
      <c r="C26" s="113">
        <v>7</v>
      </c>
      <c r="D26" s="119" t="s">
        <v>2348</v>
      </c>
      <c r="E26" s="113" t="s">
        <v>2349</v>
      </c>
      <c r="F26" s="113" t="s">
        <v>781</v>
      </c>
      <c r="G26" s="113" t="s">
        <v>781</v>
      </c>
      <c r="H26" s="113" t="s">
        <v>781</v>
      </c>
      <c r="I26" s="113">
        <f ca="1"/>
        <v>4</v>
      </c>
      <c r="J26" s="113">
        <f ca="1"/>
        <v>30</v>
      </c>
      <c r="K26" s="113">
        <f ca="1"/>
        <v>9999999</v>
      </c>
      <c r="L26" s="113">
        <f ca="1"/>
        <v>9999999</v>
      </c>
      <c r="M26" s="113">
        <f ca="1"/>
        <v>20</v>
      </c>
      <c r="N26" s="113">
        <f ca="1"/>
        <v>4</v>
      </c>
      <c r="O26" s="113">
        <f ca="1"/>
        <v>3</v>
      </c>
      <c r="P26" s="113">
        <f ca="1"/>
        <v>10</v>
      </c>
      <c r="Q26" s="113">
        <f ca="1"/>
        <v>10</v>
      </c>
      <c r="R26" s="113">
        <f ca="1"/>
        <v>10</v>
      </c>
      <c r="S26" s="113">
        <f ca="1"/>
        <v>23</v>
      </c>
      <c r="T26" s="113">
        <f ca="1"/>
        <v>20</v>
      </c>
      <c r="U26" s="113">
        <f ca="1"/>
        <v>10</v>
      </c>
      <c r="V26" s="97">
        <f ca="1"/>
        <v>23</v>
      </c>
    </row>
    <row r="29" spans="2:22">
      <c r="B29" s="123" t="s">
        <v>2351</v>
      </c>
    </row>
    <row r="30" spans="2:22">
      <c r="B30" s="132" t="s">
        <v>2352</v>
      </c>
      <c r="C30" s="132" t="s">
        <v>2353</v>
      </c>
      <c r="D30" s="132" t="s">
        <v>2354</v>
      </c>
      <c r="E30" s="132" t="s">
        <v>2355</v>
      </c>
      <c r="F30" s="132" t="s">
        <v>2356</v>
      </c>
      <c r="G30" s="224"/>
      <c r="H30" s="218"/>
    </row>
    <row r="31" spans="2:22" ht="60.75">
      <c r="B31" s="161" t="s">
        <v>2357</v>
      </c>
      <c r="C31" s="223" t="s">
        <v>1079</v>
      </c>
      <c r="D31" s="223" t="s">
        <v>2613</v>
      </c>
      <c r="E31" s="223" t="s">
        <v>2732</v>
      </c>
      <c r="F31" s="88"/>
      <c r="G31" s="88"/>
    </row>
    <row r="32" spans="2:22" ht="30.75">
      <c r="B32" s="161" t="s">
        <v>2357</v>
      </c>
      <c r="C32" s="223" t="s">
        <v>1272</v>
      </c>
      <c r="D32" s="223" t="s">
        <v>2733</v>
      </c>
      <c r="E32" s="223" t="s">
        <v>2732</v>
      </c>
      <c r="F32" s="88"/>
      <c r="G32" s="88"/>
    </row>
    <row r="33" spans="2:8" ht="60.75">
      <c r="B33" s="161" t="s">
        <v>2365</v>
      </c>
      <c r="C33" s="223" t="s">
        <v>1079</v>
      </c>
      <c r="D33" s="223" t="s">
        <v>2613</v>
      </c>
      <c r="E33" s="223" t="s">
        <v>2732</v>
      </c>
      <c r="F33" s="88"/>
      <c r="G33" s="88"/>
      <c r="H33" s="186"/>
    </row>
    <row r="34" spans="2:8" ht="30.75">
      <c r="B34" s="98" t="s">
        <v>2365</v>
      </c>
      <c r="C34" s="88" t="s">
        <v>1272</v>
      </c>
      <c r="D34" s="88" t="s">
        <v>2733</v>
      </c>
      <c r="E34" s="223" t="s">
        <v>2732</v>
      </c>
      <c r="F34" s="88"/>
      <c r="G34" s="88"/>
      <c r="H34" s="186"/>
    </row>
    <row r="35" spans="2:8">
      <c r="B35" s="98"/>
      <c r="C35" s="223"/>
      <c r="D35" s="223"/>
      <c r="E35" s="223"/>
      <c r="F35" s="223"/>
      <c r="H35" s="186"/>
    </row>
    <row r="36" spans="2:8" ht="13.5" customHeight="1">
      <c r="B36" s="98"/>
      <c r="C36" s="223"/>
      <c r="D36" s="223"/>
      <c r="E36" s="223"/>
      <c r="F36" s="223"/>
      <c r="H36" s="185"/>
    </row>
    <row r="37" spans="2:8">
      <c r="B37" s="98"/>
      <c r="C37" s="88"/>
      <c r="D37" s="88"/>
      <c r="E37" s="88"/>
      <c r="F37" s="98"/>
    </row>
    <row r="38" spans="2:8">
      <c r="B38" s="161"/>
      <c r="C38" s="223"/>
      <c r="D38" s="223"/>
      <c r="E38" s="223"/>
      <c r="F38" s="223"/>
    </row>
    <row r="39" spans="2:8" ht="48.75" customHeight="1">
      <c r="B39" s="161"/>
      <c r="C39" s="223"/>
      <c r="D39" s="223"/>
      <c r="E39" s="223"/>
      <c r="F39" s="161"/>
    </row>
    <row r="40" spans="2:8">
      <c r="B40" s="161"/>
      <c r="C40" s="223"/>
      <c r="D40" s="223"/>
      <c r="E40" s="223"/>
      <c r="F40" s="223"/>
    </row>
    <row r="41" spans="2:8">
      <c r="B41" s="161"/>
      <c r="C41" s="223"/>
      <c r="D41" s="223"/>
      <c r="E41" s="223"/>
      <c r="F41" s="161"/>
    </row>
    <row r="42" spans="2:8">
      <c r="B42" s="161"/>
      <c r="C42" s="223"/>
      <c r="D42" s="223"/>
      <c r="E42" s="223"/>
      <c r="F42" s="161"/>
    </row>
    <row r="43" spans="2:8">
      <c r="B43" s="161"/>
      <c r="C43" s="223"/>
      <c r="D43" s="223"/>
      <c r="E43" s="223"/>
      <c r="F43" s="161"/>
    </row>
    <row r="44" spans="2:8">
      <c r="B44" s="161"/>
      <c r="C44" s="223"/>
      <c r="D44" s="223"/>
      <c r="E44" s="223"/>
      <c r="F44" s="161"/>
    </row>
    <row r="45" spans="2:8">
      <c r="B45" s="161"/>
      <c r="C45" s="223"/>
      <c r="D45" s="223"/>
      <c r="E45" s="223"/>
      <c r="F45" s="161"/>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6A90-2D07-4E14-B5A2-E74E3FBDF8B0}">
  <sheetPr>
    <tabColor rgb="FF00B050"/>
  </sheetPr>
  <dimension ref="B1:X43"/>
  <sheetViews>
    <sheetView showGridLines="0" topLeftCell="D14"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 min="23" max="23" width="26.85546875" bestFit="1" customWidth="1"/>
  </cols>
  <sheetData>
    <row r="1" spans="2:23" ht="38.25" customHeight="1"/>
    <row r="2" spans="2:23">
      <c r="B2" s="97" t="s">
        <v>2283</v>
      </c>
      <c r="C2" s="97" t="s">
        <v>2284</v>
      </c>
      <c r="D2" s="97" t="s">
        <v>2285</v>
      </c>
      <c r="E2" s="97" t="s">
        <v>2286</v>
      </c>
      <c r="F2" s="97" t="s">
        <v>2287</v>
      </c>
      <c r="G2" s="97" t="s">
        <v>2288</v>
      </c>
      <c r="H2" s="97" t="s">
        <v>2289</v>
      </c>
      <c r="I2" s="97" t="s">
        <v>730</v>
      </c>
      <c r="J2" s="97" t="s">
        <v>842</v>
      </c>
      <c r="K2" s="97" t="s">
        <v>923</v>
      </c>
      <c r="L2" s="97" t="s">
        <v>1012</v>
      </c>
      <c r="M2" s="97" t="s">
        <v>1079</v>
      </c>
      <c r="N2" s="109" t="s">
        <v>1169</v>
      </c>
      <c r="O2" s="97" t="s">
        <v>1410</v>
      </c>
      <c r="P2" s="97" t="s">
        <v>1255</v>
      </c>
      <c r="Q2" s="109" t="s">
        <v>1334</v>
      </c>
      <c r="R2" s="109" t="s">
        <v>1224</v>
      </c>
      <c r="S2" s="97" t="s">
        <v>1440</v>
      </c>
      <c r="T2" s="97" t="s">
        <v>1831</v>
      </c>
      <c r="U2" s="97" t="s">
        <v>1499</v>
      </c>
      <c r="V2" s="97" t="s">
        <v>1561</v>
      </c>
      <c r="W2" s="97" t="s">
        <v>1614</v>
      </c>
    </row>
    <row r="3" spans="2:23">
      <c r="B3" s="141" t="s">
        <v>2237</v>
      </c>
      <c r="C3" s="98">
        <v>1</v>
      </c>
      <c r="D3" s="98" t="s">
        <v>2734</v>
      </c>
      <c r="E3" s="116">
        <v>45537</v>
      </c>
      <c r="F3" s="98">
        <v>1</v>
      </c>
      <c r="G3" s="188">
        <v>1</v>
      </c>
      <c r="H3" s="170" t="s">
        <v>2735</v>
      </c>
      <c r="I3" s="98" t="s">
        <v>2291</v>
      </c>
      <c r="J3" s="98" t="s">
        <v>2291</v>
      </c>
      <c r="K3" s="98" t="s">
        <v>2291</v>
      </c>
      <c r="L3" s="98" t="s">
        <v>2291</v>
      </c>
      <c r="M3" s="98" t="s">
        <v>2291</v>
      </c>
      <c r="N3" s="98" t="s">
        <v>2291</v>
      </c>
      <c r="O3" s="98" t="s">
        <v>2291</v>
      </c>
      <c r="P3" s="98" t="s">
        <v>2291</v>
      </c>
      <c r="Q3" s="98" t="s">
        <v>2291</v>
      </c>
      <c r="R3" s="98" t="s">
        <v>2291</v>
      </c>
      <c r="S3" s="98" t="s">
        <v>2291</v>
      </c>
      <c r="T3" s="98" t="s">
        <v>2291</v>
      </c>
      <c r="U3" s="98" t="s">
        <v>2291</v>
      </c>
      <c r="V3" s="98" t="s">
        <v>2291</v>
      </c>
      <c r="W3" s="98" t="s">
        <v>2291</v>
      </c>
    </row>
    <row r="4" spans="2:23">
      <c r="B4" s="141" t="s">
        <v>2239</v>
      </c>
      <c r="C4" s="98">
        <v>2</v>
      </c>
      <c r="D4" s="98" t="s">
        <v>2736</v>
      </c>
      <c r="E4" s="116">
        <v>45537</v>
      </c>
      <c r="F4" s="98">
        <v>1</v>
      </c>
      <c r="G4" s="188">
        <v>1</v>
      </c>
      <c r="H4" s="202" t="s">
        <v>2376</v>
      </c>
      <c r="I4" s="98" t="s">
        <v>2291</v>
      </c>
      <c r="J4" s="98" t="s">
        <v>2291</v>
      </c>
      <c r="K4" s="98" t="s">
        <v>2291</v>
      </c>
      <c r="L4" s="98" t="s">
        <v>2291</v>
      </c>
      <c r="M4" s="98" t="s">
        <v>2291</v>
      </c>
      <c r="N4" s="98" t="s">
        <v>2291</v>
      </c>
      <c r="O4" s="98" t="s">
        <v>2291</v>
      </c>
      <c r="P4" s="98" t="s">
        <v>2291</v>
      </c>
      <c r="Q4" s="98" t="s">
        <v>2291</v>
      </c>
      <c r="R4" s="98" t="s">
        <v>2291</v>
      </c>
      <c r="S4" s="98" t="s">
        <v>2291</v>
      </c>
      <c r="T4" s="98" t="s">
        <v>2291</v>
      </c>
      <c r="U4" s="98" t="s">
        <v>2291</v>
      </c>
      <c r="V4" s="98" t="s">
        <v>2291</v>
      </c>
      <c r="W4" s="98" t="s">
        <v>2291</v>
      </c>
    </row>
    <row r="5" spans="2:23">
      <c r="B5" s="141" t="s">
        <v>2241</v>
      </c>
      <c r="C5" s="98">
        <v>3</v>
      </c>
      <c r="D5" s="98" t="s">
        <v>2737</v>
      </c>
      <c r="E5" s="116">
        <v>45537</v>
      </c>
      <c r="F5" s="98">
        <v>1</v>
      </c>
      <c r="G5" s="188">
        <v>1</v>
      </c>
      <c r="H5" s="202" t="s">
        <v>2376</v>
      </c>
      <c r="I5" s="98">
        <v>0</v>
      </c>
      <c r="J5" s="98">
        <v>0</v>
      </c>
      <c r="K5" s="98">
        <v>0</v>
      </c>
      <c r="L5" s="98">
        <v>0</v>
      </c>
      <c r="M5" s="98" t="s">
        <v>2291</v>
      </c>
      <c r="N5" s="98" t="s">
        <v>2291</v>
      </c>
      <c r="O5" s="98" t="s">
        <v>2291</v>
      </c>
      <c r="P5" s="98" t="s">
        <v>2291</v>
      </c>
      <c r="Q5" s="98" t="s">
        <v>2291</v>
      </c>
      <c r="R5" s="98" t="s">
        <v>2291</v>
      </c>
      <c r="S5" s="98">
        <v>0</v>
      </c>
      <c r="T5" s="98" t="s">
        <v>2291</v>
      </c>
      <c r="U5" s="98" t="s">
        <v>2291</v>
      </c>
      <c r="V5" s="98">
        <v>0</v>
      </c>
      <c r="W5" s="98" t="s">
        <v>2291</v>
      </c>
    </row>
    <row r="6" spans="2:23">
      <c r="B6" s="88" t="s">
        <v>2243</v>
      </c>
      <c r="C6" s="98">
        <v>4</v>
      </c>
      <c r="D6" s="98" t="s">
        <v>2296</v>
      </c>
      <c r="E6" s="116" t="s">
        <v>2291</v>
      </c>
      <c r="F6" s="98">
        <v>1</v>
      </c>
      <c r="G6" s="116" t="s">
        <v>2291</v>
      </c>
      <c r="H6" s="202" t="s">
        <v>2291</v>
      </c>
      <c r="I6" s="98" t="s">
        <v>2291</v>
      </c>
      <c r="J6" s="98" t="s">
        <v>2291</v>
      </c>
      <c r="K6" s="98" t="s">
        <v>2291</v>
      </c>
      <c r="L6" s="98" t="s">
        <v>2291</v>
      </c>
      <c r="M6" s="98" t="s">
        <v>2291</v>
      </c>
      <c r="N6" s="98" t="s">
        <v>2291</v>
      </c>
      <c r="O6" s="98" t="s">
        <v>2291</v>
      </c>
      <c r="P6" s="98" t="s">
        <v>2291</v>
      </c>
      <c r="Q6" s="98" t="s">
        <v>2291</v>
      </c>
      <c r="R6" s="98" t="s">
        <v>2291</v>
      </c>
      <c r="S6" s="98" t="s">
        <v>2291</v>
      </c>
      <c r="T6" s="98" t="s">
        <v>2291</v>
      </c>
      <c r="U6" s="98" t="s">
        <v>2291</v>
      </c>
      <c r="V6" s="98" t="s">
        <v>2291</v>
      </c>
      <c r="W6" s="98" t="s">
        <v>2291</v>
      </c>
    </row>
    <row r="7" spans="2:23">
      <c r="B7" s="88" t="s">
        <v>2245</v>
      </c>
      <c r="C7" s="98">
        <v>5</v>
      </c>
      <c r="D7" s="98" t="s">
        <v>2296</v>
      </c>
      <c r="E7" s="116" t="s">
        <v>2291</v>
      </c>
      <c r="F7" s="98">
        <v>1</v>
      </c>
      <c r="G7" s="116" t="s">
        <v>2291</v>
      </c>
      <c r="H7" s="202" t="s">
        <v>2291</v>
      </c>
      <c r="I7" s="98" t="s">
        <v>2291</v>
      </c>
      <c r="J7" s="98" t="s">
        <v>2291</v>
      </c>
      <c r="K7" s="98" t="s">
        <v>2291</v>
      </c>
      <c r="L7" s="98" t="s">
        <v>2291</v>
      </c>
      <c r="M7" s="98" t="s">
        <v>2291</v>
      </c>
      <c r="N7" s="98" t="s">
        <v>2291</v>
      </c>
      <c r="O7" s="98" t="s">
        <v>2291</v>
      </c>
      <c r="P7" s="98" t="s">
        <v>2291</v>
      </c>
      <c r="Q7" s="98" t="s">
        <v>2291</v>
      </c>
      <c r="R7" s="98" t="s">
        <v>2291</v>
      </c>
      <c r="S7" s="98" t="s">
        <v>2291</v>
      </c>
      <c r="T7" s="98" t="s">
        <v>2291</v>
      </c>
      <c r="U7" s="98" t="s">
        <v>2291</v>
      </c>
      <c r="V7" s="98" t="s">
        <v>2291</v>
      </c>
      <c r="W7" s="98" t="s">
        <v>2291</v>
      </c>
    </row>
    <row r="8" spans="2:23">
      <c r="B8" s="172" t="s">
        <v>2246</v>
      </c>
      <c r="C8" s="98">
        <v>6</v>
      </c>
      <c r="D8" s="98" t="s">
        <v>2738</v>
      </c>
      <c r="E8" s="116">
        <v>45537</v>
      </c>
      <c r="F8" s="98">
        <v>1</v>
      </c>
      <c r="G8" s="216" cm="1">
        <f t="array" ref="G8">SUMPRODUCT(--(I8:W8&gt;0))/COUNTA(I8:W8)</f>
        <v>1</v>
      </c>
      <c r="H8" s="202" t="s">
        <v>2376</v>
      </c>
      <c r="I8" s="98">
        <v>2</v>
      </c>
      <c r="J8" s="98">
        <v>30</v>
      </c>
      <c r="K8" s="98">
        <v>8</v>
      </c>
      <c r="L8" s="98">
        <v>1</v>
      </c>
      <c r="M8" s="98" t="s">
        <v>2298</v>
      </c>
      <c r="N8" s="98">
        <v>3</v>
      </c>
      <c r="O8" s="98">
        <v>1</v>
      </c>
      <c r="P8" s="98">
        <v>1</v>
      </c>
      <c r="Q8" s="98">
        <v>10</v>
      </c>
      <c r="R8" s="98">
        <v>10</v>
      </c>
      <c r="S8" s="98">
        <v>8</v>
      </c>
      <c r="T8" s="98">
        <v>6</v>
      </c>
      <c r="U8" s="98">
        <v>2</v>
      </c>
      <c r="V8" s="98">
        <v>10</v>
      </c>
      <c r="W8" s="98">
        <v>23</v>
      </c>
    </row>
    <row r="9" spans="2:23">
      <c r="B9" s="141" t="s">
        <v>2249</v>
      </c>
      <c r="C9" s="98">
        <v>7</v>
      </c>
      <c r="D9" s="98" t="s">
        <v>2739</v>
      </c>
      <c r="E9" s="116">
        <v>45537</v>
      </c>
      <c r="F9" s="98">
        <v>1</v>
      </c>
      <c r="G9" s="216" cm="1">
        <f t="array" aca="1" ref="G9" ca="1">SUMPRODUCT(--(I9:W9&lt;=I26:W26))/COUNTA(I9:W9)</f>
        <v>0.6</v>
      </c>
      <c r="H9" s="202" t="s">
        <v>2376</v>
      </c>
      <c r="I9" s="98">
        <v>2</v>
      </c>
      <c r="J9" s="98">
        <v>30</v>
      </c>
      <c r="K9" s="98">
        <v>8</v>
      </c>
      <c r="L9" s="98">
        <v>1</v>
      </c>
      <c r="M9" s="98">
        <v>1</v>
      </c>
      <c r="N9" s="98">
        <v>3</v>
      </c>
      <c r="O9" s="98">
        <v>1</v>
      </c>
      <c r="P9" s="98">
        <v>1</v>
      </c>
      <c r="Q9" s="98">
        <v>10</v>
      </c>
      <c r="R9" s="98">
        <v>10</v>
      </c>
      <c r="S9" s="98">
        <v>14</v>
      </c>
      <c r="T9" s="98">
        <v>30</v>
      </c>
      <c r="U9" s="98">
        <v>2</v>
      </c>
      <c r="V9" s="98">
        <v>10</v>
      </c>
      <c r="W9" s="98">
        <v>23</v>
      </c>
    </row>
    <row r="10" spans="2:23">
      <c r="B10" s="141" t="s">
        <v>2252</v>
      </c>
      <c r="C10" s="98">
        <v>8</v>
      </c>
      <c r="D10" s="98" t="s">
        <v>2740</v>
      </c>
      <c r="E10" s="116">
        <v>45537</v>
      </c>
      <c r="F10" s="98">
        <v>1</v>
      </c>
      <c r="G10" s="116" t="s">
        <v>2291</v>
      </c>
      <c r="H10" s="202" t="s">
        <v>2376</v>
      </c>
      <c r="I10" s="98">
        <v>90</v>
      </c>
      <c r="J10" s="98">
        <v>1.6200600044999999E+20</v>
      </c>
      <c r="K10" s="98">
        <v>29300594</v>
      </c>
      <c r="L10" s="98">
        <v>1</v>
      </c>
      <c r="M10" s="116" t="s">
        <v>2298</v>
      </c>
      <c r="N10" s="98">
        <v>978</v>
      </c>
      <c r="O10" s="202">
        <v>0</v>
      </c>
      <c r="P10" s="98">
        <v>0</v>
      </c>
      <c r="Q10" s="116">
        <v>45535</v>
      </c>
      <c r="R10" s="116">
        <v>45532</v>
      </c>
      <c r="S10" s="170" t="s">
        <v>2741</v>
      </c>
      <c r="T10" s="116" t="s">
        <v>2742</v>
      </c>
      <c r="U10" s="145" t="s">
        <v>2743</v>
      </c>
      <c r="V10" s="116">
        <v>45537</v>
      </c>
      <c r="W10" s="98" t="s">
        <v>2744</v>
      </c>
    </row>
    <row r="11" spans="2:23">
      <c r="B11" s="141" t="s">
        <v>2254</v>
      </c>
      <c r="C11" s="98">
        <v>9</v>
      </c>
      <c r="D11" s="98" t="s">
        <v>2745</v>
      </c>
      <c r="E11" s="116">
        <v>45537</v>
      </c>
      <c r="F11" s="98">
        <v>1</v>
      </c>
      <c r="G11" s="116" t="s">
        <v>2291</v>
      </c>
      <c r="H11" s="202" t="s">
        <v>2376</v>
      </c>
      <c r="I11" s="98">
        <v>90</v>
      </c>
      <c r="J11" s="98">
        <v>1.6200600044999999E+20</v>
      </c>
      <c r="K11" s="98">
        <v>29300594</v>
      </c>
      <c r="L11" s="98">
        <v>1</v>
      </c>
      <c r="M11" s="116" t="s">
        <v>2298</v>
      </c>
      <c r="N11" s="98">
        <v>0</v>
      </c>
      <c r="O11" s="202">
        <v>0</v>
      </c>
      <c r="P11" s="98">
        <v>978</v>
      </c>
      <c r="Q11" s="116">
        <v>45535</v>
      </c>
      <c r="R11" s="116">
        <v>45532</v>
      </c>
      <c r="S11" s="98" t="s">
        <v>2746</v>
      </c>
      <c r="T11" s="116" t="s">
        <v>2742</v>
      </c>
      <c r="U11" s="116" t="s">
        <v>2743</v>
      </c>
      <c r="V11" s="116">
        <v>45537</v>
      </c>
      <c r="W11" s="98" t="s">
        <v>2747</v>
      </c>
    </row>
    <row r="12" spans="2:23">
      <c r="B12" s="164" t="s">
        <v>2256</v>
      </c>
      <c r="C12" s="98">
        <v>10</v>
      </c>
      <c r="D12" s="98" t="s">
        <v>2748</v>
      </c>
      <c r="E12" s="116">
        <v>45537</v>
      </c>
      <c r="F12" s="98">
        <v>1</v>
      </c>
      <c r="G12" s="116" t="s">
        <v>2291</v>
      </c>
      <c r="H12" s="202" t="s">
        <v>2376</v>
      </c>
      <c r="I12" s="98">
        <v>90</v>
      </c>
      <c r="J12" s="98">
        <v>9.0010020004199997E+21</v>
      </c>
      <c r="K12" s="98">
        <v>29329211</v>
      </c>
      <c r="L12" s="98">
        <v>3</v>
      </c>
      <c r="M12" s="116" t="s">
        <v>2298</v>
      </c>
      <c r="N12" s="117">
        <v>978</v>
      </c>
      <c r="O12" s="202">
        <v>1</v>
      </c>
      <c r="P12" s="98">
        <v>1</v>
      </c>
      <c r="Q12" s="116">
        <v>45537</v>
      </c>
      <c r="R12" s="116">
        <v>45537</v>
      </c>
      <c r="S12" s="245" t="s">
        <v>2749</v>
      </c>
      <c r="T12" s="116" t="s">
        <v>2750</v>
      </c>
      <c r="U12" s="145" t="s">
        <v>2743</v>
      </c>
      <c r="V12" s="116">
        <v>45537</v>
      </c>
      <c r="W12" s="98" t="s">
        <v>2744</v>
      </c>
    </row>
    <row r="13" spans="2:23">
      <c r="B13" s="141" t="s">
        <v>2258</v>
      </c>
      <c r="C13" s="98">
        <v>11</v>
      </c>
      <c r="D13" s="98" t="s">
        <v>2751</v>
      </c>
      <c r="E13" s="116">
        <v>45537</v>
      </c>
      <c r="F13" s="98">
        <v>1</v>
      </c>
      <c r="G13" s="116" t="s">
        <v>2291</v>
      </c>
      <c r="H13" s="202" t="s">
        <v>2376</v>
      </c>
      <c r="I13" s="98">
        <v>90</v>
      </c>
      <c r="J13" s="98">
        <v>9.0010020004199997E+21</v>
      </c>
      <c r="K13" s="98">
        <v>29329211</v>
      </c>
      <c r="L13" s="98">
        <v>3</v>
      </c>
      <c r="M13" s="116" t="s">
        <v>2298</v>
      </c>
      <c r="N13" s="117">
        <v>1</v>
      </c>
      <c r="O13" s="202">
        <v>1</v>
      </c>
      <c r="P13" s="98">
        <v>978</v>
      </c>
      <c r="Q13" s="116">
        <v>45537</v>
      </c>
      <c r="R13" s="116">
        <v>45537</v>
      </c>
      <c r="S13" s="116" t="s">
        <v>2752</v>
      </c>
      <c r="T13" s="116" t="s">
        <v>2750</v>
      </c>
      <c r="U13" s="116" t="s">
        <v>2743</v>
      </c>
      <c r="V13" s="116">
        <v>45537</v>
      </c>
      <c r="W13" s="98" t="s">
        <v>2753</v>
      </c>
    </row>
    <row r="14" spans="2:23">
      <c r="B14" s="141" t="s">
        <v>2260</v>
      </c>
      <c r="C14" s="98">
        <v>12</v>
      </c>
      <c r="D14" s="98" t="s">
        <v>2754</v>
      </c>
      <c r="E14" s="116">
        <v>45537</v>
      </c>
      <c r="F14" s="98">
        <v>1</v>
      </c>
      <c r="G14" s="145" t="s">
        <v>2755</v>
      </c>
      <c r="H14" s="202" t="s">
        <v>2376</v>
      </c>
      <c r="I14" s="98">
        <v>0</v>
      </c>
      <c r="J14" s="98">
        <v>0</v>
      </c>
      <c r="K14" s="98">
        <v>0</v>
      </c>
      <c r="L14" s="98">
        <v>0</v>
      </c>
      <c r="M14" s="98">
        <v>17944</v>
      </c>
      <c r="N14" s="98">
        <v>0</v>
      </c>
      <c r="O14" s="98">
        <v>0</v>
      </c>
      <c r="P14" s="98">
        <v>0</v>
      </c>
      <c r="Q14" s="98">
        <v>0</v>
      </c>
      <c r="R14" s="98">
        <v>0</v>
      </c>
      <c r="S14" s="98">
        <v>0</v>
      </c>
      <c r="T14" s="98">
        <v>0</v>
      </c>
      <c r="U14" s="98">
        <v>0</v>
      </c>
      <c r="V14" s="98">
        <v>0</v>
      </c>
      <c r="W14" s="98">
        <v>0</v>
      </c>
    </row>
    <row r="15" spans="2:23">
      <c r="B15" s="141" t="s">
        <v>2262</v>
      </c>
      <c r="C15" s="98">
        <v>13</v>
      </c>
      <c r="D15" s="98" t="s">
        <v>2756</v>
      </c>
      <c r="E15" s="116">
        <v>45537</v>
      </c>
      <c r="F15" s="98">
        <v>1</v>
      </c>
      <c r="G15" s="188">
        <v>1</v>
      </c>
      <c r="H15" s="202" t="s">
        <v>2376</v>
      </c>
      <c r="I15" s="98" t="s">
        <v>2291</v>
      </c>
      <c r="J15" s="98" t="s">
        <v>2291</v>
      </c>
      <c r="K15" s="98" t="s">
        <v>2291</v>
      </c>
      <c r="L15" s="88" t="s">
        <v>2291</v>
      </c>
      <c r="M15" s="88" t="s">
        <v>2291</v>
      </c>
      <c r="N15" s="88" t="s">
        <v>2291</v>
      </c>
      <c r="O15" s="98" t="s">
        <v>2291</v>
      </c>
      <c r="P15" s="88" t="s">
        <v>2291</v>
      </c>
      <c r="Q15" s="88">
        <v>0</v>
      </c>
      <c r="R15" s="88">
        <v>0</v>
      </c>
      <c r="S15" s="98" t="s">
        <v>2291</v>
      </c>
      <c r="T15" s="98" t="s">
        <v>2291</v>
      </c>
      <c r="U15" s="98" t="s">
        <v>2291</v>
      </c>
      <c r="V15" s="98" t="s">
        <v>2291</v>
      </c>
      <c r="W15" s="98" t="s">
        <v>2291</v>
      </c>
    </row>
    <row r="16" spans="2:23">
      <c r="B16" s="141" t="s">
        <v>2264</v>
      </c>
      <c r="C16" s="98">
        <v>14</v>
      </c>
      <c r="D16" s="98" t="s">
        <v>2757</v>
      </c>
      <c r="E16" s="116">
        <v>45537</v>
      </c>
      <c r="F16" s="98">
        <v>1</v>
      </c>
      <c r="G16" s="188">
        <v>1</v>
      </c>
      <c r="H16" s="202" t="s">
        <v>2376</v>
      </c>
      <c r="I16" s="98">
        <v>0</v>
      </c>
      <c r="J16" s="98">
        <v>0</v>
      </c>
      <c r="K16" s="98" t="s">
        <v>2291</v>
      </c>
      <c r="L16" s="98" t="s">
        <v>2291</v>
      </c>
      <c r="M16" s="88">
        <v>0</v>
      </c>
      <c r="N16" s="88" t="s">
        <v>2291</v>
      </c>
      <c r="O16" s="98" t="s">
        <v>2291</v>
      </c>
      <c r="P16" s="98">
        <v>0</v>
      </c>
      <c r="Q16" s="98" t="s">
        <v>2291</v>
      </c>
      <c r="R16" s="88" t="s">
        <v>2291</v>
      </c>
      <c r="S16" s="98" t="s">
        <v>2291</v>
      </c>
      <c r="T16" s="98" t="s">
        <v>2291</v>
      </c>
      <c r="U16" s="98" t="s">
        <v>2291</v>
      </c>
      <c r="V16" s="98" t="s">
        <v>2291</v>
      </c>
      <c r="W16" s="98" t="s">
        <v>2291</v>
      </c>
    </row>
    <row r="17" spans="2:24">
      <c r="B17" s="174" t="s">
        <v>2266</v>
      </c>
      <c r="C17" s="98">
        <v>15</v>
      </c>
      <c r="D17" s="98" t="s">
        <v>2758</v>
      </c>
      <c r="E17" s="116">
        <v>45537</v>
      </c>
      <c r="F17" s="98">
        <v>1</v>
      </c>
      <c r="G17" s="188">
        <v>1</v>
      </c>
      <c r="H17" s="202" t="s">
        <v>2376</v>
      </c>
      <c r="I17" s="98" t="s">
        <v>2291</v>
      </c>
      <c r="J17" s="98" t="s">
        <v>2291</v>
      </c>
      <c r="K17" s="98" t="s">
        <v>2291</v>
      </c>
      <c r="L17" s="98" t="s">
        <v>2291</v>
      </c>
      <c r="M17" s="98" t="s">
        <v>2291</v>
      </c>
      <c r="N17" s="98" t="s">
        <v>2291</v>
      </c>
      <c r="O17" s="98" t="s">
        <v>2291</v>
      </c>
      <c r="P17" s="98" t="s">
        <v>2291</v>
      </c>
      <c r="Q17" s="98" t="s">
        <v>2291</v>
      </c>
      <c r="R17" s="98" t="s">
        <v>2291</v>
      </c>
      <c r="S17" s="98" t="s">
        <v>2291</v>
      </c>
      <c r="T17" s="98" t="s">
        <v>2291</v>
      </c>
      <c r="U17" s="98" t="s">
        <v>2291</v>
      </c>
      <c r="V17" s="98" t="s">
        <v>2291</v>
      </c>
      <c r="W17" s="98" t="s">
        <v>2291</v>
      </c>
    </row>
    <row r="18" spans="2:24">
      <c r="B18" s="174" t="s">
        <v>2268</v>
      </c>
      <c r="C18" s="98">
        <v>16</v>
      </c>
      <c r="D18" s="98" t="s">
        <v>2758</v>
      </c>
      <c r="E18" s="116">
        <v>45537</v>
      </c>
      <c r="F18" s="98">
        <v>1</v>
      </c>
      <c r="G18" s="188">
        <v>1</v>
      </c>
      <c r="H18" s="202" t="s">
        <v>2376</v>
      </c>
      <c r="I18" s="98" t="s">
        <v>2291</v>
      </c>
      <c r="J18" s="98" t="s">
        <v>2291</v>
      </c>
      <c r="K18" s="98" t="s">
        <v>2291</v>
      </c>
      <c r="L18" s="98" t="s">
        <v>2291</v>
      </c>
      <c r="M18" s="98" t="s">
        <v>2291</v>
      </c>
      <c r="N18" s="98" t="s">
        <v>2291</v>
      </c>
      <c r="O18" s="98" t="s">
        <v>2291</v>
      </c>
      <c r="P18" s="98" t="s">
        <v>2291</v>
      </c>
      <c r="Q18" s="98" t="s">
        <v>2291</v>
      </c>
      <c r="R18" s="98" t="s">
        <v>2291</v>
      </c>
      <c r="S18" s="98" t="s">
        <v>2291</v>
      </c>
      <c r="T18" s="98" t="s">
        <v>2291</v>
      </c>
      <c r="U18" s="98" t="s">
        <v>2291</v>
      </c>
      <c r="V18" s="98" t="s">
        <v>2291</v>
      </c>
      <c r="W18" s="98" t="s">
        <v>2291</v>
      </c>
    </row>
    <row r="19" spans="2:24">
      <c r="B19" s="141" t="s">
        <v>2274</v>
      </c>
      <c r="C19" s="98">
        <v>19</v>
      </c>
      <c r="D19" s="98" t="s">
        <v>2759</v>
      </c>
      <c r="E19" s="116">
        <v>45537</v>
      </c>
      <c r="F19" s="98">
        <v>1</v>
      </c>
      <c r="G19" s="216" cm="1">
        <f t="array" aca="1" ref="G19" ca="1">SUMPRODUCT(--(ISNUMBER((SEARCH(I25:W25,I19:W19)))))/COUNTA(I19:W19)</f>
        <v>0.8</v>
      </c>
      <c r="H19" s="202" t="s">
        <v>2376</v>
      </c>
      <c r="I19" s="98" t="s">
        <v>2341</v>
      </c>
      <c r="J19" s="98" t="s">
        <v>2341</v>
      </c>
      <c r="K19" s="98" t="s">
        <v>2342</v>
      </c>
      <c r="L19" s="98" t="s">
        <v>2342</v>
      </c>
      <c r="M19" s="98" t="s">
        <v>2341</v>
      </c>
      <c r="N19" s="98" t="s">
        <v>2341</v>
      </c>
      <c r="O19" s="98" t="s">
        <v>2341</v>
      </c>
      <c r="P19" s="98" t="s">
        <v>2341</v>
      </c>
      <c r="Q19" s="98" t="s">
        <v>2341</v>
      </c>
      <c r="R19" s="98" t="s">
        <v>2341</v>
      </c>
      <c r="S19" s="98" t="s">
        <v>2343</v>
      </c>
      <c r="T19" s="98" t="s">
        <v>2341</v>
      </c>
      <c r="U19" s="98" t="s">
        <v>2341</v>
      </c>
      <c r="V19" s="98" t="s">
        <v>2341</v>
      </c>
      <c r="W19" s="98" t="s">
        <v>2344</v>
      </c>
    </row>
    <row r="20" spans="2:24">
      <c r="B20" s="141" t="s">
        <v>2277</v>
      </c>
      <c r="C20" s="98">
        <v>20</v>
      </c>
      <c r="D20" s="98"/>
      <c r="E20" s="116"/>
      <c r="F20" s="98"/>
      <c r="G20" s="216" cm="1">
        <f t="array" ref="G20">SUM(IF(I2:U2 = I24:U24, 1, 0))/ COUNTA(I2:U2)</f>
        <v>0.30769230769230771</v>
      </c>
      <c r="H20" s="98"/>
      <c r="I20" s="98"/>
      <c r="J20" s="98"/>
      <c r="K20" s="98"/>
      <c r="L20" s="98"/>
      <c r="M20" s="98"/>
      <c r="N20" s="98"/>
      <c r="O20" s="98"/>
      <c r="P20" s="98"/>
      <c r="Q20" s="98"/>
      <c r="R20" s="98"/>
      <c r="S20" s="98"/>
      <c r="T20" s="98"/>
      <c r="U20" s="98"/>
      <c r="V20" s="98"/>
      <c r="W20" s="98"/>
    </row>
    <row r="21" spans="2:24">
      <c r="B21" s="165" t="s">
        <v>2280</v>
      </c>
      <c r="C21" s="98">
        <v>21</v>
      </c>
      <c r="D21" s="98"/>
      <c r="E21" s="116"/>
      <c r="F21" s="98"/>
      <c r="G21" s="216" cm="1">
        <f t="array" aca="1" ref="G21" ca="1">SUM(IF(IF(G3:G20="null",1,G3:G20)=1,1,0))/COUNT(IF(G3:G20="null",1,1))</f>
        <v>0.77777777777777779</v>
      </c>
      <c r="H21" s="98"/>
      <c r="I21" s="98"/>
      <c r="J21" s="98"/>
      <c r="K21" s="98"/>
      <c r="L21" s="98"/>
      <c r="M21" s="98"/>
      <c r="N21" s="98"/>
      <c r="O21" s="98"/>
      <c r="P21" s="98"/>
      <c r="Q21" s="98"/>
      <c r="R21" s="98"/>
      <c r="S21" s="98"/>
      <c r="T21" s="98"/>
      <c r="U21" s="98"/>
      <c r="V21" s="98"/>
      <c r="W21" s="98"/>
    </row>
    <row r="22" spans="2:24">
      <c r="B22" s="98"/>
      <c r="C22" s="98"/>
      <c r="D22" s="98"/>
      <c r="E22" s="116"/>
      <c r="F22" s="98"/>
      <c r="G22" s="98"/>
      <c r="H22" s="98"/>
      <c r="I22" s="98"/>
      <c r="J22" s="98"/>
      <c r="K22" s="98"/>
      <c r="L22" s="98"/>
      <c r="M22" s="98"/>
      <c r="N22" s="98"/>
      <c r="O22" s="98"/>
      <c r="P22" s="98"/>
      <c r="Q22" s="98"/>
      <c r="R22" s="98"/>
      <c r="S22" s="98"/>
      <c r="T22" s="98"/>
      <c r="U22" s="98"/>
    </row>
    <row r="23" spans="2:24">
      <c r="B23" s="106" t="s">
        <v>2345</v>
      </c>
    </row>
    <row r="24" spans="2:24">
      <c r="B24" s="107" t="s">
        <v>2346</v>
      </c>
      <c r="C24" s="108" t="s">
        <v>2284</v>
      </c>
      <c r="D24" s="108" t="s">
        <v>2285</v>
      </c>
      <c r="E24" s="108" t="s">
        <v>2286</v>
      </c>
      <c r="F24" s="108" t="s">
        <v>2287</v>
      </c>
      <c r="G24" s="108" t="s">
        <v>2288</v>
      </c>
      <c r="H24" s="108" t="s">
        <v>2289</v>
      </c>
      <c r="I24" s="109" t="str" cm="1">
        <f t="array" ref="I24:X24">TRANSPOSE(_xlfn.SORTBY(_xlfn._xlws.FILTER(Table2[NOME FÍSICO CAMPO],Table2[NOME FÍSICO TABELA]="leasing_transaction"), _xlfn._xlws.FILTER(Table2[ORDEM], Table2[NOME FÍSICO TABELA]="leasing_transaction"), 1))</f>
        <v>bank_id</v>
      </c>
      <c r="J24" s="109" t="str">
        <v>contract_id</v>
      </c>
      <c r="K24" s="109" t="str">
        <v>order_number</v>
      </c>
      <c r="L24" s="109" t="str">
        <v>order_number_stage</v>
      </c>
      <c r="M24" s="109" t="str">
        <v>source_transaction_type_code</v>
      </c>
      <c r="N24" s="109" t="str">
        <v>transaction_execution_date</v>
      </c>
      <c r="O24" s="109" t="str">
        <v>transaction_type_code</v>
      </c>
      <c r="P24" s="109" t="str">
        <v>financial_flow_indicator</v>
      </c>
      <c r="Q24" s="109" t="str">
        <v>recurring_transaction_indicator</v>
      </c>
      <c r="R24" s="109" t="str">
        <v>currency_code</v>
      </c>
      <c r="S24" s="109" t="str">
        <v>transaction_date</v>
      </c>
      <c r="T24" s="109" t="str">
        <v>amount</v>
      </c>
      <c r="U24" s="109" t="str">
        <v>description</v>
      </c>
      <c r="V24" s="243" t="str">
        <v>source_code</v>
      </c>
      <c r="W24" s="244" t="str">
        <v>data_date_part</v>
      </c>
      <c r="X24" t="str">
        <v>data_timestamp_part</v>
      </c>
    </row>
    <row r="25" spans="2:24">
      <c r="B25" s="100" t="s">
        <v>2347</v>
      </c>
      <c r="C25" s="113">
        <v>21</v>
      </c>
      <c r="D25" s="102" t="s">
        <v>2348</v>
      </c>
      <c r="E25" s="101" t="s">
        <v>2349</v>
      </c>
      <c r="F25" s="101" t="s">
        <v>781</v>
      </c>
      <c r="G25" s="101" t="s">
        <v>781</v>
      </c>
      <c r="H25" s="101" t="s">
        <v>781</v>
      </c>
      <c r="I25" s="101" t="str" cm="1">
        <f t="array" aca="1" ref="I25:X26" ca="1">TRANSPOSE(_xlfn.SORTBY(_xlfn._xlws.FILTER(IF(Table2[FORMATO]:Table2[COMP_ CAMPO]&lt;&gt;"",Table2[FORMATO]:Table2[COMP_ CAMPO],9999999),Table2[NOME FÍSICO TABELA]="leasing_transaction"), _xlfn._xlws.FILTER(Table2[ORDEM], Table2[NOME FÍSICO TABELA]="leasing_transaction"),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DECIMAL</v>
      </c>
      <c r="U25" s="101" t="str">
        <f ca="1"/>
        <v>STRING</v>
      </c>
      <c r="V25" s="101" t="str">
        <f ca="1"/>
        <v>STRING</v>
      </c>
      <c r="W25" s="112" t="str">
        <f ca="1"/>
        <v>STRING</v>
      </c>
      <c r="X25" t="str">
        <f ca="1"/>
        <v>TIMESTAMP</v>
      </c>
    </row>
    <row r="26" spans="2:24" s="97" customFormat="1">
      <c r="B26" s="118" t="s">
        <v>2350</v>
      </c>
      <c r="C26" s="113">
        <v>7</v>
      </c>
      <c r="D26" s="119" t="s">
        <v>2348</v>
      </c>
      <c r="E26" s="113" t="s">
        <v>2349</v>
      </c>
      <c r="F26" s="113" t="s">
        <v>781</v>
      </c>
      <c r="G26" s="113" t="s">
        <v>781</v>
      </c>
      <c r="H26" s="113" t="s">
        <v>781</v>
      </c>
      <c r="I26" s="113">
        <f ca="1"/>
        <v>4</v>
      </c>
      <c r="J26" s="113">
        <f ca="1"/>
        <v>30</v>
      </c>
      <c r="K26" s="113">
        <f ca="1"/>
        <v>9999999</v>
      </c>
      <c r="L26" s="113">
        <f ca="1"/>
        <v>9999999</v>
      </c>
      <c r="M26" s="113">
        <f ca="1"/>
        <v>4</v>
      </c>
      <c r="N26" s="113">
        <f ca="1"/>
        <v>10</v>
      </c>
      <c r="O26" s="113">
        <f ca="1"/>
        <v>4</v>
      </c>
      <c r="P26" s="113">
        <f ca="1"/>
        <v>4</v>
      </c>
      <c r="Q26" s="113">
        <f ca="1"/>
        <v>4</v>
      </c>
      <c r="R26" s="113">
        <f ca="1"/>
        <v>4</v>
      </c>
      <c r="S26" s="113">
        <f ca="1"/>
        <v>10</v>
      </c>
      <c r="T26" s="113">
        <f ca="1"/>
        <v>23</v>
      </c>
      <c r="U26" s="113">
        <f ca="1"/>
        <v>9999999</v>
      </c>
      <c r="V26" s="113">
        <f ca="1"/>
        <v>2</v>
      </c>
      <c r="W26" s="114">
        <f ca="1"/>
        <v>10</v>
      </c>
      <c r="X26" s="97">
        <f ca="1"/>
        <v>23</v>
      </c>
    </row>
    <row r="29" spans="2:24">
      <c r="B29" s="123" t="s">
        <v>2351</v>
      </c>
    </row>
    <row r="30" spans="2:24">
      <c r="B30" s="132" t="s">
        <v>2352</v>
      </c>
      <c r="C30" s="132" t="s">
        <v>2353</v>
      </c>
      <c r="D30" s="132" t="s">
        <v>2354</v>
      </c>
      <c r="E30" s="132" t="s">
        <v>2355</v>
      </c>
      <c r="F30" s="132" t="s">
        <v>2356</v>
      </c>
      <c r="G30" s="224"/>
      <c r="H30" s="218"/>
    </row>
    <row r="31" spans="2:24" ht="60.75">
      <c r="B31" s="161" t="s">
        <v>2357</v>
      </c>
      <c r="C31" s="223" t="s">
        <v>1079</v>
      </c>
      <c r="D31" s="223" t="s">
        <v>2613</v>
      </c>
      <c r="E31" s="223" t="s">
        <v>2760</v>
      </c>
      <c r="F31" s="88"/>
      <c r="G31" s="88"/>
    </row>
    <row r="32" spans="2:24" ht="60.75">
      <c r="B32" s="161" t="s">
        <v>2365</v>
      </c>
      <c r="C32" s="223" t="s">
        <v>1079</v>
      </c>
      <c r="D32" s="223" t="s">
        <v>2613</v>
      </c>
      <c r="E32" s="223" t="s">
        <v>2760</v>
      </c>
      <c r="F32" s="88"/>
      <c r="G32" s="88"/>
      <c r="H32" s="186"/>
    </row>
    <row r="33" spans="2:8">
      <c r="B33" s="98"/>
      <c r="C33" s="223"/>
      <c r="D33" s="223"/>
      <c r="E33" s="223"/>
      <c r="F33" s="223"/>
      <c r="H33" s="186"/>
    </row>
    <row r="34" spans="2:8" ht="13.5" customHeight="1">
      <c r="B34" s="98"/>
      <c r="C34" s="223"/>
      <c r="D34" s="223"/>
      <c r="E34" s="223"/>
      <c r="F34" s="223"/>
      <c r="H34" s="185"/>
    </row>
    <row r="35" spans="2:8">
      <c r="B35" s="98"/>
      <c r="C35" s="88"/>
      <c r="D35" s="88"/>
      <c r="E35" s="88"/>
      <c r="F35" s="98"/>
    </row>
    <row r="36" spans="2:8">
      <c r="B36" s="161"/>
      <c r="C36" s="223"/>
      <c r="D36" s="223"/>
      <c r="E36" s="223"/>
      <c r="F36" s="223"/>
    </row>
    <row r="37" spans="2:8" ht="48.75" customHeight="1">
      <c r="B37" s="161"/>
      <c r="C37" s="223"/>
      <c r="D37" s="223"/>
      <c r="E37" s="223"/>
      <c r="F37" s="161"/>
    </row>
    <row r="38" spans="2:8">
      <c r="B38" s="161"/>
      <c r="C38" s="223"/>
      <c r="D38" s="223"/>
      <c r="E38" s="223"/>
      <c r="F38" s="223"/>
    </row>
    <row r="39" spans="2:8">
      <c r="B39" s="161"/>
      <c r="C39" s="223"/>
      <c r="D39" s="223"/>
      <c r="E39" s="223"/>
      <c r="F39" s="161"/>
    </row>
    <row r="40" spans="2:8">
      <c r="B40" s="161"/>
      <c r="C40" s="223"/>
      <c r="D40" s="223"/>
      <c r="E40" s="223"/>
      <c r="F40" s="161"/>
    </row>
    <row r="41" spans="2:8">
      <c r="B41" s="161"/>
      <c r="C41" s="223"/>
      <c r="D41" s="223"/>
      <c r="E41" s="223"/>
      <c r="F41" s="161"/>
    </row>
    <row r="42" spans="2:8">
      <c r="B42" s="161"/>
      <c r="C42" s="223"/>
      <c r="D42" s="223"/>
      <c r="E42" s="223"/>
      <c r="F42" s="161"/>
    </row>
    <row r="43" spans="2:8">
      <c r="B43" s="161"/>
      <c r="C43" s="223"/>
      <c r="D43" s="223"/>
      <c r="E43" s="223"/>
      <c r="F43" s="161"/>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5393-E30A-4A7E-B372-A8ABB6DE5452}">
  <sheetPr>
    <tabColor rgb="FFFFFF00"/>
  </sheetPr>
  <dimension ref="B1:AE39"/>
  <sheetViews>
    <sheetView showGridLines="0" workbookViewId="0">
      <selection activeCell="F32" sqref="F32"/>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10.5703125" bestFit="1" customWidth="1"/>
    <col min="10" max="10" width="34.5703125" bestFit="1" customWidth="1"/>
    <col min="11" max="11" width="16.5703125" bestFit="1" customWidth="1"/>
    <col min="12" max="12" width="22.5703125" bestFit="1" customWidth="1"/>
    <col min="13" max="13" width="24.28515625" bestFit="1" customWidth="1"/>
    <col min="14" max="14" width="29" bestFit="1" customWidth="1"/>
    <col min="15" max="15" width="20" bestFit="1" customWidth="1"/>
    <col min="16" max="16" width="25.42578125" bestFit="1" customWidth="1"/>
    <col min="17" max="17" width="16.5703125" bestFit="1" customWidth="1"/>
    <col min="18" max="18" width="18.7109375" bestFit="1" customWidth="1"/>
    <col min="19" max="19" width="28.85546875" bestFit="1" customWidth="1"/>
    <col min="20" max="20" width="36" bestFit="1" customWidth="1"/>
    <col min="21" max="21" width="34.7109375" bestFit="1" customWidth="1"/>
    <col min="22" max="22" width="16.5703125" bestFit="1" customWidth="1"/>
    <col min="23" max="23" width="20.42578125" bestFit="1" customWidth="1"/>
    <col min="24" max="25" width="28.42578125" bestFit="1" customWidth="1"/>
    <col min="26" max="26" width="15" bestFit="1" customWidth="1"/>
    <col min="27" max="27" width="22.140625" bestFit="1" customWidth="1"/>
    <col min="28" max="28" width="30" bestFit="1" customWidth="1"/>
    <col min="29" max="29" width="14.7109375" bestFit="1" customWidth="1"/>
    <col min="30" max="30" width="17.42578125" bestFit="1" customWidth="1"/>
    <col min="31" max="31" width="26.85546875" bestFit="1" customWidth="1"/>
  </cols>
  <sheetData>
    <row r="1" spans="2:31" ht="38.25" customHeight="1"/>
    <row r="2" spans="2:31">
      <c r="B2" s="97" t="s">
        <v>2283</v>
      </c>
      <c r="C2" s="97" t="s">
        <v>2284</v>
      </c>
      <c r="D2" s="97" t="s">
        <v>2285</v>
      </c>
      <c r="E2" s="97" t="s">
        <v>2286</v>
      </c>
      <c r="F2" s="97" t="s">
        <v>2287</v>
      </c>
      <c r="G2" s="97" t="s">
        <v>2288</v>
      </c>
      <c r="H2" s="97" t="s">
        <v>2289</v>
      </c>
      <c r="I2" s="97" t="s">
        <v>730</v>
      </c>
      <c r="J2" s="97" t="s">
        <v>842</v>
      </c>
      <c r="K2" s="97" t="s">
        <v>923</v>
      </c>
      <c r="L2" s="97" t="s">
        <v>1012</v>
      </c>
      <c r="M2" s="97" t="s">
        <v>1079</v>
      </c>
      <c r="N2" s="109" t="s">
        <v>1224</v>
      </c>
      <c r="O2" s="97" t="s">
        <v>1440</v>
      </c>
      <c r="P2" s="97" t="s">
        <v>1169</v>
      </c>
      <c r="Q2" s="109" t="s">
        <v>1255</v>
      </c>
      <c r="R2" s="109" t="s">
        <v>1334</v>
      </c>
      <c r="S2" s="97" t="s">
        <v>1178</v>
      </c>
      <c r="T2" s="97" t="s">
        <v>1264</v>
      </c>
      <c r="U2" s="97" t="s">
        <v>1066</v>
      </c>
      <c r="V2" s="97" t="s">
        <v>1674</v>
      </c>
      <c r="W2" s="97" t="s">
        <v>1187</v>
      </c>
      <c r="X2" s="97" t="s">
        <v>1642</v>
      </c>
      <c r="Y2" s="97" t="s">
        <v>1796</v>
      </c>
      <c r="Z2" s="97" t="s">
        <v>1831</v>
      </c>
      <c r="AA2" s="97" t="s">
        <v>1870</v>
      </c>
      <c r="AB2" s="97" t="s">
        <v>1120</v>
      </c>
      <c r="AC2" s="97" t="s">
        <v>1499</v>
      </c>
      <c r="AD2" s="97" t="s">
        <v>1561</v>
      </c>
      <c r="AE2" s="97" t="s">
        <v>1614</v>
      </c>
    </row>
    <row r="3" spans="2:31">
      <c r="B3" s="141" t="s">
        <v>2237</v>
      </c>
      <c r="C3" s="98">
        <v>1</v>
      </c>
      <c r="D3" s="98" t="s">
        <v>2761</v>
      </c>
      <c r="E3" s="116">
        <v>45559</v>
      </c>
      <c r="F3" s="98">
        <v>1</v>
      </c>
      <c r="G3" s="188">
        <v>1</v>
      </c>
      <c r="H3" s="170" t="s">
        <v>2762</v>
      </c>
      <c r="I3" s="98" t="s">
        <v>2291</v>
      </c>
      <c r="J3" s="98" t="s">
        <v>2291</v>
      </c>
      <c r="K3" s="98" t="s">
        <v>2291</v>
      </c>
      <c r="L3" s="98" t="s">
        <v>2291</v>
      </c>
      <c r="M3" s="98" t="s">
        <v>2291</v>
      </c>
      <c r="N3" s="98" t="s">
        <v>2291</v>
      </c>
      <c r="O3" s="98" t="s">
        <v>2291</v>
      </c>
      <c r="P3" s="98" t="s">
        <v>2291</v>
      </c>
      <c r="Q3" s="98" t="s">
        <v>2291</v>
      </c>
      <c r="R3" s="98" t="s">
        <v>2291</v>
      </c>
      <c r="S3" s="98" t="s">
        <v>2291</v>
      </c>
      <c r="T3" s="98" t="s">
        <v>2291</v>
      </c>
      <c r="U3" s="98" t="s">
        <v>2291</v>
      </c>
      <c r="V3" s="98" t="s">
        <v>2291</v>
      </c>
      <c r="W3" s="98" t="s">
        <v>2291</v>
      </c>
      <c r="X3" s="98" t="s">
        <v>2291</v>
      </c>
      <c r="Y3" s="98" t="s">
        <v>2291</v>
      </c>
      <c r="Z3" s="98" t="s">
        <v>2291</v>
      </c>
      <c r="AA3" s="98" t="s">
        <v>2291</v>
      </c>
      <c r="AB3" s="98" t="s">
        <v>2291</v>
      </c>
      <c r="AC3" s="98" t="s">
        <v>2291</v>
      </c>
      <c r="AD3" s="98" t="s">
        <v>2291</v>
      </c>
      <c r="AE3" s="98" t="s">
        <v>2291</v>
      </c>
    </row>
    <row r="4" spans="2:31">
      <c r="B4" s="141" t="s">
        <v>2239</v>
      </c>
      <c r="C4" s="98">
        <v>2</v>
      </c>
      <c r="D4" s="98" t="s">
        <v>2763</v>
      </c>
      <c r="E4" s="116">
        <v>45559</v>
      </c>
      <c r="F4" s="98">
        <v>1</v>
      </c>
      <c r="G4" s="188">
        <v>1</v>
      </c>
      <c r="H4" s="202" t="s">
        <v>2376</v>
      </c>
      <c r="I4" s="98" t="s">
        <v>2291</v>
      </c>
      <c r="J4" s="98" t="s">
        <v>2291</v>
      </c>
      <c r="K4" s="98" t="s">
        <v>2291</v>
      </c>
      <c r="L4" s="98" t="s">
        <v>2291</v>
      </c>
      <c r="M4" s="98" t="s">
        <v>2291</v>
      </c>
      <c r="N4" s="98" t="s">
        <v>2291</v>
      </c>
      <c r="O4" s="98" t="s">
        <v>2291</v>
      </c>
      <c r="P4" s="98" t="s">
        <v>2291</v>
      </c>
      <c r="Q4" s="98" t="s">
        <v>2291</v>
      </c>
      <c r="R4" s="98" t="s">
        <v>2291</v>
      </c>
      <c r="S4" s="98" t="s">
        <v>2291</v>
      </c>
      <c r="T4" s="98" t="s">
        <v>2291</v>
      </c>
      <c r="U4" s="98" t="s">
        <v>2291</v>
      </c>
      <c r="V4" s="98" t="s">
        <v>2291</v>
      </c>
      <c r="W4" s="98" t="s">
        <v>2291</v>
      </c>
      <c r="X4" s="98" t="s">
        <v>2291</v>
      </c>
      <c r="Y4" s="98" t="s">
        <v>2291</v>
      </c>
      <c r="Z4" s="98" t="s">
        <v>2291</v>
      </c>
      <c r="AA4" s="98" t="s">
        <v>2291</v>
      </c>
      <c r="AB4" s="98" t="s">
        <v>2291</v>
      </c>
      <c r="AC4" s="98" t="s">
        <v>2291</v>
      </c>
      <c r="AD4" s="98" t="s">
        <v>2291</v>
      </c>
      <c r="AE4" s="98" t="s">
        <v>2291</v>
      </c>
    </row>
    <row r="5" spans="2:31">
      <c r="B5" s="141" t="s">
        <v>2241</v>
      </c>
      <c r="C5" s="98">
        <v>3</v>
      </c>
      <c r="D5" s="98" t="s">
        <v>2764</v>
      </c>
      <c r="E5" s="116">
        <v>45559</v>
      </c>
      <c r="F5" s="98">
        <v>1</v>
      </c>
      <c r="G5" s="188">
        <v>1</v>
      </c>
      <c r="H5" s="202" t="s">
        <v>2376</v>
      </c>
      <c r="I5" s="98">
        <v>0</v>
      </c>
      <c r="J5" s="98">
        <v>0</v>
      </c>
      <c r="K5" s="98">
        <v>0</v>
      </c>
      <c r="L5" s="98">
        <v>0</v>
      </c>
      <c r="M5" s="98" t="s">
        <v>2291</v>
      </c>
      <c r="N5" s="98">
        <v>0</v>
      </c>
      <c r="O5" s="98">
        <v>0</v>
      </c>
      <c r="P5" s="98" t="s">
        <v>2291</v>
      </c>
      <c r="Q5" s="98" t="s">
        <v>2291</v>
      </c>
      <c r="R5" s="98" t="s">
        <v>2291</v>
      </c>
      <c r="S5" s="98" t="s">
        <v>2291</v>
      </c>
      <c r="T5" s="98" t="s">
        <v>2291</v>
      </c>
      <c r="U5" s="98" t="s">
        <v>2291</v>
      </c>
      <c r="V5" s="98" t="s">
        <v>2291</v>
      </c>
      <c r="W5" s="98" t="s">
        <v>2291</v>
      </c>
      <c r="X5" s="98" t="s">
        <v>2291</v>
      </c>
      <c r="Y5" s="98" t="s">
        <v>2291</v>
      </c>
      <c r="Z5" s="98" t="s">
        <v>2291</v>
      </c>
      <c r="AA5" s="98" t="s">
        <v>2291</v>
      </c>
      <c r="AB5" s="98" t="s">
        <v>2291</v>
      </c>
      <c r="AC5" s="98" t="s">
        <v>2291</v>
      </c>
      <c r="AD5" s="98">
        <v>0</v>
      </c>
      <c r="AE5" s="98" t="s">
        <v>2291</v>
      </c>
    </row>
    <row r="6" spans="2:31">
      <c r="B6" s="88" t="s">
        <v>2243</v>
      </c>
      <c r="C6" s="98">
        <v>4</v>
      </c>
      <c r="D6" s="98" t="s">
        <v>2296</v>
      </c>
      <c r="E6" s="116" t="s">
        <v>2291</v>
      </c>
      <c r="F6" s="98">
        <v>1</v>
      </c>
      <c r="G6" s="116" t="s">
        <v>2291</v>
      </c>
      <c r="H6" s="202" t="s">
        <v>2291</v>
      </c>
      <c r="I6" s="98" t="s">
        <v>2291</v>
      </c>
      <c r="J6" s="98" t="s">
        <v>2291</v>
      </c>
      <c r="K6" s="98" t="s">
        <v>2291</v>
      </c>
      <c r="L6" s="98" t="s">
        <v>2291</v>
      </c>
      <c r="M6" s="98" t="s">
        <v>2291</v>
      </c>
      <c r="N6" s="98" t="s">
        <v>2291</v>
      </c>
      <c r="O6" s="98" t="s">
        <v>2291</v>
      </c>
      <c r="P6" s="98" t="s">
        <v>2291</v>
      </c>
      <c r="Q6" s="98" t="s">
        <v>2291</v>
      </c>
      <c r="R6" s="98" t="s">
        <v>2291</v>
      </c>
      <c r="S6" s="98" t="s">
        <v>2291</v>
      </c>
      <c r="T6" s="98" t="s">
        <v>2291</v>
      </c>
      <c r="U6" s="98" t="s">
        <v>2291</v>
      </c>
      <c r="V6" s="98" t="s">
        <v>2291</v>
      </c>
      <c r="W6" s="98" t="s">
        <v>2291</v>
      </c>
      <c r="X6" s="98" t="s">
        <v>2291</v>
      </c>
      <c r="Y6" s="98" t="s">
        <v>2291</v>
      </c>
      <c r="Z6" s="98" t="s">
        <v>2291</v>
      </c>
      <c r="AA6" s="98" t="s">
        <v>2291</v>
      </c>
      <c r="AB6" s="98" t="s">
        <v>2291</v>
      </c>
      <c r="AC6" s="98" t="s">
        <v>2291</v>
      </c>
      <c r="AD6" s="98" t="s">
        <v>2291</v>
      </c>
      <c r="AE6" s="98" t="s">
        <v>2291</v>
      </c>
    </row>
    <row r="7" spans="2:31">
      <c r="B7" s="88" t="s">
        <v>2245</v>
      </c>
      <c r="C7" s="98">
        <v>5</v>
      </c>
      <c r="D7" s="98" t="s">
        <v>2296</v>
      </c>
      <c r="E7" s="116" t="s">
        <v>2291</v>
      </c>
      <c r="F7" s="98">
        <v>1</v>
      </c>
      <c r="G7" s="116" t="s">
        <v>2291</v>
      </c>
      <c r="H7" s="202" t="s">
        <v>2291</v>
      </c>
      <c r="I7" s="98" t="s">
        <v>2291</v>
      </c>
      <c r="J7" s="98" t="s">
        <v>2291</v>
      </c>
      <c r="K7" s="98" t="s">
        <v>2291</v>
      </c>
      <c r="L7" s="98" t="s">
        <v>2291</v>
      </c>
      <c r="M7" s="98" t="s">
        <v>2291</v>
      </c>
      <c r="N7" s="98" t="s">
        <v>2291</v>
      </c>
      <c r="O7" s="98" t="s">
        <v>2291</v>
      </c>
      <c r="P7" s="98" t="s">
        <v>2291</v>
      </c>
      <c r="Q7" s="98" t="s">
        <v>2291</v>
      </c>
      <c r="R7" s="98" t="s">
        <v>2291</v>
      </c>
      <c r="S7" s="98" t="s">
        <v>2291</v>
      </c>
      <c r="T7" s="98" t="s">
        <v>2291</v>
      </c>
      <c r="U7" s="98" t="s">
        <v>2291</v>
      </c>
      <c r="V7" s="98" t="s">
        <v>2291</v>
      </c>
      <c r="W7" s="98" t="s">
        <v>2291</v>
      </c>
      <c r="X7" s="98" t="s">
        <v>2291</v>
      </c>
      <c r="Y7" s="98" t="s">
        <v>2291</v>
      </c>
      <c r="Z7" s="98" t="s">
        <v>2291</v>
      </c>
      <c r="AA7" s="98" t="s">
        <v>2291</v>
      </c>
      <c r="AB7" s="98" t="s">
        <v>2291</v>
      </c>
      <c r="AC7" s="98" t="s">
        <v>2291</v>
      </c>
      <c r="AD7" s="98" t="s">
        <v>2291</v>
      </c>
      <c r="AE7" s="98" t="s">
        <v>2291</v>
      </c>
    </row>
    <row r="8" spans="2:31">
      <c r="B8" s="172" t="s">
        <v>2246</v>
      </c>
      <c r="C8" s="98">
        <v>6</v>
      </c>
      <c r="D8" s="98" t="s">
        <v>2765</v>
      </c>
      <c r="E8" s="116">
        <v>45559</v>
      </c>
      <c r="F8" s="98">
        <v>1</v>
      </c>
      <c r="G8" s="216" cm="1">
        <f t="array" ref="G8">SUMPRODUCT(--(I8:AE8&gt;0))/COUNTA(I8:AE8)</f>
        <v>0.91304347826086951</v>
      </c>
      <c r="H8" s="202" t="s">
        <v>2376</v>
      </c>
      <c r="I8" s="98">
        <v>2</v>
      </c>
      <c r="J8" s="98">
        <v>30</v>
      </c>
      <c r="K8" s="98">
        <v>1</v>
      </c>
      <c r="L8" s="98">
        <v>1</v>
      </c>
      <c r="M8" s="98">
        <v>3</v>
      </c>
      <c r="N8" s="98">
        <v>10</v>
      </c>
      <c r="O8" s="98">
        <v>8</v>
      </c>
      <c r="P8" s="98">
        <v>1</v>
      </c>
      <c r="Q8" s="98">
        <v>3</v>
      </c>
      <c r="R8" s="98">
        <v>10</v>
      </c>
      <c r="S8" s="98">
        <v>3</v>
      </c>
      <c r="T8" s="98">
        <v>2</v>
      </c>
      <c r="U8" s="98">
        <v>4</v>
      </c>
      <c r="V8" s="98">
        <v>1</v>
      </c>
      <c r="W8" s="98">
        <v>0</v>
      </c>
      <c r="X8" s="98">
        <v>1</v>
      </c>
      <c r="Y8" s="98">
        <v>8</v>
      </c>
      <c r="Z8" s="98">
        <v>0</v>
      </c>
      <c r="AA8" s="98">
        <v>2</v>
      </c>
      <c r="AB8" s="98">
        <v>1</v>
      </c>
      <c r="AC8" s="98">
        <v>2</v>
      </c>
      <c r="AD8" s="98">
        <v>10</v>
      </c>
      <c r="AE8" s="98">
        <v>23</v>
      </c>
    </row>
    <row r="9" spans="2:31">
      <c r="B9" s="141" t="s">
        <v>2249</v>
      </c>
      <c r="C9" s="98">
        <v>7</v>
      </c>
      <c r="D9" s="98" t="s">
        <v>2766</v>
      </c>
      <c r="E9" s="116">
        <v>45559</v>
      </c>
      <c r="F9" s="98">
        <v>1</v>
      </c>
      <c r="G9" s="216" cm="1">
        <f t="array" aca="1" ref="G9" ca="1">SUMPRODUCT(--(I9:AE9&lt;=I26:AE26))/COUNTA(I9:AE9)</f>
        <v>0.86956521739130432</v>
      </c>
      <c r="H9" s="202" t="s">
        <v>2376</v>
      </c>
      <c r="I9" s="98">
        <v>2</v>
      </c>
      <c r="J9" s="98">
        <v>30</v>
      </c>
      <c r="K9" s="98">
        <v>5</v>
      </c>
      <c r="L9" s="98">
        <v>1</v>
      </c>
      <c r="M9" s="98">
        <v>3</v>
      </c>
      <c r="N9" s="98">
        <v>10</v>
      </c>
      <c r="O9" s="98">
        <v>18</v>
      </c>
      <c r="P9" s="98">
        <v>1</v>
      </c>
      <c r="Q9" s="98">
        <v>3</v>
      </c>
      <c r="R9" s="98">
        <v>10</v>
      </c>
      <c r="S9" s="98">
        <v>3</v>
      </c>
      <c r="T9" s="98">
        <v>2</v>
      </c>
      <c r="U9" s="98">
        <v>6</v>
      </c>
      <c r="V9" s="98">
        <v>1</v>
      </c>
      <c r="W9" s="98">
        <v>15</v>
      </c>
      <c r="X9" s="98">
        <v>30</v>
      </c>
      <c r="Y9" s="98">
        <v>50</v>
      </c>
      <c r="Z9" s="98">
        <v>30</v>
      </c>
      <c r="AA9" s="98">
        <v>2</v>
      </c>
      <c r="AB9" s="98">
        <v>2</v>
      </c>
      <c r="AC9" s="98">
        <v>2</v>
      </c>
      <c r="AD9" s="98">
        <v>10</v>
      </c>
      <c r="AE9" s="98">
        <v>23</v>
      </c>
    </row>
    <row r="10" spans="2:31">
      <c r="B10" s="141" t="s">
        <v>2252</v>
      </c>
      <c r="C10" s="98">
        <v>8</v>
      </c>
      <c r="D10" s="98" t="s">
        <v>2767</v>
      </c>
      <c r="E10" s="116">
        <v>45559</v>
      </c>
      <c r="F10" s="98">
        <v>1</v>
      </c>
      <c r="G10" s="116" t="s">
        <v>2291</v>
      </c>
      <c r="H10" s="202" t="s">
        <v>2376</v>
      </c>
      <c r="I10" s="98">
        <v>31</v>
      </c>
      <c r="J10" s="146" t="s">
        <v>2768</v>
      </c>
      <c r="K10" s="98">
        <v>1</v>
      </c>
      <c r="L10" s="98">
        <v>1</v>
      </c>
      <c r="M10" s="116" t="s">
        <v>2769</v>
      </c>
      <c r="N10" s="116">
        <v>45559</v>
      </c>
      <c r="O10" s="146" t="s">
        <v>2770</v>
      </c>
      <c r="P10" s="98">
        <v>1</v>
      </c>
      <c r="Q10" s="98">
        <v>978</v>
      </c>
      <c r="R10" s="116">
        <v>45439</v>
      </c>
      <c r="S10" s="170">
        <v>59</v>
      </c>
      <c r="T10" s="146" t="s">
        <v>2771</v>
      </c>
      <c r="U10" s="146" t="s">
        <v>2772</v>
      </c>
      <c r="V10" s="98">
        <v>0</v>
      </c>
      <c r="W10" s="98"/>
      <c r="X10" s="146" t="s">
        <v>2773</v>
      </c>
      <c r="Y10" s="146" t="s">
        <v>2773</v>
      </c>
      <c r="Z10" s="98"/>
      <c r="AA10" s="98" t="s">
        <v>2488</v>
      </c>
      <c r="AB10" s="98">
        <v>1</v>
      </c>
      <c r="AC10" s="98" t="s">
        <v>2381</v>
      </c>
      <c r="AD10" s="116">
        <v>45559</v>
      </c>
      <c r="AE10" s="98" t="s">
        <v>2774</v>
      </c>
    </row>
    <row r="11" spans="2:31">
      <c r="B11" s="141" t="s">
        <v>2254</v>
      </c>
      <c r="C11" s="98">
        <v>9</v>
      </c>
      <c r="D11" s="98" t="s">
        <v>2775</v>
      </c>
      <c r="E11" s="116">
        <v>45559</v>
      </c>
      <c r="F11" s="98">
        <v>1</v>
      </c>
      <c r="G11" s="116" t="s">
        <v>2291</v>
      </c>
      <c r="H11" s="202" t="s">
        <v>2376</v>
      </c>
      <c r="I11" s="98">
        <v>31</v>
      </c>
      <c r="J11" s="146" t="s">
        <v>2768</v>
      </c>
      <c r="K11" s="98">
        <v>1</v>
      </c>
      <c r="L11" s="98">
        <v>1</v>
      </c>
      <c r="M11" s="116" t="s">
        <v>2298</v>
      </c>
      <c r="N11" s="116">
        <v>45559</v>
      </c>
      <c r="O11" s="146" t="s">
        <v>2776</v>
      </c>
      <c r="P11" s="98">
        <v>1</v>
      </c>
      <c r="Q11" s="98">
        <v>978</v>
      </c>
      <c r="R11" s="116">
        <v>45439</v>
      </c>
      <c r="S11" s="98">
        <v>59</v>
      </c>
      <c r="T11" s="146" t="s">
        <v>2771</v>
      </c>
      <c r="U11" s="146" t="s">
        <v>2772</v>
      </c>
      <c r="V11" s="98">
        <v>0</v>
      </c>
      <c r="W11" s="98"/>
      <c r="X11" s="146" t="s">
        <v>2773</v>
      </c>
      <c r="Y11" s="146" t="s">
        <v>2773</v>
      </c>
      <c r="Z11" s="98"/>
      <c r="AA11" s="98" t="s">
        <v>2488</v>
      </c>
      <c r="AB11" s="98">
        <v>1</v>
      </c>
      <c r="AC11" s="98" t="s">
        <v>2381</v>
      </c>
      <c r="AD11" s="116">
        <v>45559</v>
      </c>
      <c r="AE11" s="98" t="s">
        <v>2777</v>
      </c>
    </row>
    <row r="12" spans="2:31">
      <c r="B12" s="164" t="s">
        <v>2256</v>
      </c>
      <c r="C12" s="98">
        <v>10</v>
      </c>
      <c r="D12" s="98" t="s">
        <v>2778</v>
      </c>
      <c r="E12" s="116">
        <v>45559</v>
      </c>
      <c r="F12" s="98">
        <v>1</v>
      </c>
      <c r="G12" s="116" t="s">
        <v>2291</v>
      </c>
      <c r="H12" s="202" t="s">
        <v>2376</v>
      </c>
      <c r="I12" s="98">
        <v>31</v>
      </c>
      <c r="J12" s="146" t="s">
        <v>2779</v>
      </c>
      <c r="K12" s="98">
        <v>99999</v>
      </c>
      <c r="L12" s="98">
        <v>1</v>
      </c>
      <c r="M12" s="116" t="s">
        <v>2780</v>
      </c>
      <c r="N12" s="116">
        <v>45559</v>
      </c>
      <c r="O12" s="146" t="s">
        <v>2781</v>
      </c>
      <c r="P12" s="98">
        <v>1</v>
      </c>
      <c r="Q12" s="98">
        <v>978</v>
      </c>
      <c r="R12" s="116">
        <v>45560</v>
      </c>
      <c r="S12" s="245" t="s">
        <v>2782</v>
      </c>
      <c r="T12" s="116" t="s">
        <v>2433</v>
      </c>
      <c r="U12" s="98">
        <v>1601</v>
      </c>
      <c r="V12" s="98">
        <v>0</v>
      </c>
      <c r="W12" s="98" t="s">
        <v>2783</v>
      </c>
      <c r="X12" s="98" t="s">
        <v>2784</v>
      </c>
      <c r="Y12" s="98" t="s">
        <v>2785</v>
      </c>
      <c r="Z12" s="98" t="s">
        <v>2786</v>
      </c>
      <c r="AA12" s="98" t="s">
        <v>2787</v>
      </c>
      <c r="AB12" s="98">
        <v>37</v>
      </c>
      <c r="AC12" s="98" t="s">
        <v>2381</v>
      </c>
      <c r="AD12" s="116">
        <v>45559</v>
      </c>
      <c r="AE12" s="98" t="s">
        <v>2774</v>
      </c>
    </row>
    <row r="13" spans="2:31">
      <c r="B13" s="141" t="s">
        <v>2258</v>
      </c>
      <c r="C13" s="98">
        <v>11</v>
      </c>
      <c r="D13" s="98" t="s">
        <v>2788</v>
      </c>
      <c r="E13" s="116">
        <v>45559</v>
      </c>
      <c r="F13" s="98">
        <v>1</v>
      </c>
      <c r="G13" s="116" t="s">
        <v>2291</v>
      </c>
      <c r="H13" s="202" t="s">
        <v>2376</v>
      </c>
      <c r="I13" s="98">
        <v>31</v>
      </c>
      <c r="J13" s="146" t="s">
        <v>2779</v>
      </c>
      <c r="K13" s="98">
        <v>99999</v>
      </c>
      <c r="L13" s="98">
        <v>1</v>
      </c>
      <c r="M13" s="116" t="s">
        <v>2298</v>
      </c>
      <c r="N13" s="116">
        <v>45559</v>
      </c>
      <c r="O13" s="146" t="s">
        <v>2789</v>
      </c>
      <c r="P13" s="98">
        <v>1</v>
      </c>
      <c r="Q13" s="98">
        <v>978</v>
      </c>
      <c r="R13" s="116">
        <v>45560</v>
      </c>
      <c r="S13" s="116" t="s">
        <v>2782</v>
      </c>
      <c r="T13" s="116" t="s">
        <v>2433</v>
      </c>
      <c r="U13" s="98">
        <v>1601</v>
      </c>
      <c r="V13" s="98">
        <v>0</v>
      </c>
      <c r="W13" s="98" t="s">
        <v>2783</v>
      </c>
      <c r="X13" s="98" t="s">
        <v>2784</v>
      </c>
      <c r="Y13" s="98" t="s">
        <v>2785</v>
      </c>
      <c r="Z13" s="98" t="s">
        <v>2786</v>
      </c>
      <c r="AA13" s="98" t="s">
        <v>2787</v>
      </c>
      <c r="AB13" s="98">
        <v>37</v>
      </c>
      <c r="AC13" s="98" t="s">
        <v>2381</v>
      </c>
      <c r="AD13" s="116">
        <v>45559</v>
      </c>
      <c r="AE13" s="98" t="s">
        <v>2790</v>
      </c>
    </row>
    <row r="14" spans="2:31">
      <c r="B14" s="141" t="s">
        <v>2260</v>
      </c>
      <c r="C14" s="98">
        <v>12</v>
      </c>
      <c r="D14" s="98" t="s">
        <v>2791</v>
      </c>
      <c r="E14" s="116">
        <v>45559</v>
      </c>
      <c r="F14" s="98">
        <v>1</v>
      </c>
      <c r="G14" s="145" t="s">
        <v>2792</v>
      </c>
      <c r="H14" s="202" t="s">
        <v>2376</v>
      </c>
      <c r="I14" s="98">
        <v>0</v>
      </c>
      <c r="J14" s="98">
        <v>0</v>
      </c>
      <c r="K14" s="98">
        <v>0</v>
      </c>
      <c r="L14" s="98">
        <v>0</v>
      </c>
      <c r="M14" s="98">
        <v>132</v>
      </c>
      <c r="N14" s="98">
        <v>0</v>
      </c>
      <c r="O14" s="98">
        <v>0</v>
      </c>
      <c r="P14" s="98">
        <v>0</v>
      </c>
      <c r="Q14" s="98">
        <v>0</v>
      </c>
      <c r="R14" s="98">
        <v>0</v>
      </c>
      <c r="S14" s="98">
        <v>122</v>
      </c>
      <c r="T14" s="98">
        <v>122</v>
      </c>
      <c r="U14" s="98">
        <v>0</v>
      </c>
      <c r="V14" s="98">
        <v>0</v>
      </c>
      <c r="W14" s="98">
        <v>0</v>
      </c>
      <c r="X14" s="98">
        <v>0</v>
      </c>
      <c r="Y14" s="98">
        <v>0</v>
      </c>
      <c r="Z14" s="98">
        <v>0</v>
      </c>
      <c r="AA14" s="98">
        <v>122</v>
      </c>
      <c r="AB14" s="98">
        <v>0</v>
      </c>
      <c r="AC14" s="98">
        <v>0</v>
      </c>
      <c r="AD14" s="98">
        <v>0</v>
      </c>
      <c r="AE14" s="98">
        <v>0</v>
      </c>
    </row>
    <row r="15" spans="2:31">
      <c r="B15" s="141" t="s">
        <v>2262</v>
      </c>
      <c r="C15" s="98">
        <v>13</v>
      </c>
      <c r="D15" s="98" t="s">
        <v>2793</v>
      </c>
      <c r="E15" s="116">
        <v>45559</v>
      </c>
      <c r="F15" s="98">
        <v>1</v>
      </c>
      <c r="G15" s="188">
        <v>1</v>
      </c>
      <c r="H15" s="202" t="s">
        <v>2376</v>
      </c>
      <c r="I15" s="98" t="s">
        <v>2291</v>
      </c>
      <c r="J15" s="98" t="s">
        <v>2291</v>
      </c>
      <c r="K15" s="98" t="s">
        <v>2291</v>
      </c>
      <c r="L15" s="88" t="s">
        <v>2291</v>
      </c>
      <c r="M15" s="88" t="s">
        <v>2291</v>
      </c>
      <c r="N15" s="88">
        <v>0</v>
      </c>
      <c r="O15" s="98" t="s">
        <v>2291</v>
      </c>
      <c r="P15" s="88" t="s">
        <v>2291</v>
      </c>
      <c r="Q15" s="88" t="s">
        <v>2291</v>
      </c>
      <c r="R15" s="88">
        <v>0</v>
      </c>
      <c r="S15" s="98" t="s">
        <v>2291</v>
      </c>
      <c r="T15" s="98" t="s">
        <v>2291</v>
      </c>
      <c r="U15" s="98" t="s">
        <v>2291</v>
      </c>
      <c r="V15" s="98" t="s">
        <v>2291</v>
      </c>
      <c r="W15" s="98" t="s">
        <v>2291</v>
      </c>
      <c r="X15" s="98" t="s">
        <v>2291</v>
      </c>
      <c r="Y15" s="98" t="s">
        <v>2291</v>
      </c>
      <c r="Z15" s="98" t="s">
        <v>2291</v>
      </c>
      <c r="AA15" s="98" t="s">
        <v>2291</v>
      </c>
      <c r="AB15" s="98" t="s">
        <v>2291</v>
      </c>
      <c r="AC15" s="98" t="s">
        <v>2291</v>
      </c>
      <c r="AD15" s="98" t="s">
        <v>2291</v>
      </c>
      <c r="AE15" s="98" t="s">
        <v>2291</v>
      </c>
    </row>
    <row r="16" spans="2:31">
      <c r="B16" s="141" t="s">
        <v>2264</v>
      </c>
      <c r="C16" s="98">
        <v>14</v>
      </c>
      <c r="D16" s="98" t="s">
        <v>2794</v>
      </c>
      <c r="E16" s="116">
        <v>45559</v>
      </c>
      <c r="F16" s="98">
        <v>1</v>
      </c>
      <c r="G16" s="188" t="s">
        <v>2795</v>
      </c>
      <c r="H16" s="202" t="s">
        <v>2376</v>
      </c>
      <c r="I16" s="98">
        <v>0</v>
      </c>
      <c r="J16" s="98">
        <v>0</v>
      </c>
      <c r="K16" s="98" t="s">
        <v>2291</v>
      </c>
      <c r="L16" s="98" t="s">
        <v>2291</v>
      </c>
      <c r="M16" s="88">
        <v>0</v>
      </c>
      <c r="N16" s="88" t="s">
        <v>2291</v>
      </c>
      <c r="O16" s="98" t="s">
        <v>2291</v>
      </c>
      <c r="P16" s="98" t="s">
        <v>2291</v>
      </c>
      <c r="Q16" s="98">
        <v>0</v>
      </c>
      <c r="R16" s="88" t="s">
        <v>2291</v>
      </c>
      <c r="S16" s="98">
        <v>0</v>
      </c>
      <c r="T16" s="98">
        <v>0</v>
      </c>
      <c r="U16" s="98">
        <v>0</v>
      </c>
      <c r="V16" s="98" t="s">
        <v>2291</v>
      </c>
      <c r="W16" s="98">
        <v>26253</v>
      </c>
      <c r="X16" s="98">
        <v>0</v>
      </c>
      <c r="Y16" s="98">
        <v>0</v>
      </c>
      <c r="Z16" s="98">
        <v>3983</v>
      </c>
      <c r="AA16" s="98">
        <v>0</v>
      </c>
      <c r="AB16" s="98" t="s">
        <v>2291</v>
      </c>
      <c r="AC16" s="98">
        <v>0</v>
      </c>
      <c r="AD16" s="98" t="s">
        <v>2291</v>
      </c>
      <c r="AE16" s="98" t="s">
        <v>2291</v>
      </c>
    </row>
    <row r="17" spans="2:31">
      <c r="B17" s="174" t="s">
        <v>2266</v>
      </c>
      <c r="C17" s="98">
        <v>15</v>
      </c>
      <c r="D17" s="98" t="s">
        <v>2796</v>
      </c>
      <c r="E17" s="116">
        <v>45559</v>
      </c>
      <c r="F17" s="98">
        <v>1</v>
      </c>
      <c r="G17" s="188">
        <v>1</v>
      </c>
      <c r="H17" s="202" t="s">
        <v>2376</v>
      </c>
      <c r="I17" s="98" t="s">
        <v>2291</v>
      </c>
      <c r="J17" s="98" t="s">
        <v>2291</v>
      </c>
      <c r="K17" s="98" t="s">
        <v>2291</v>
      </c>
      <c r="L17" s="98" t="s">
        <v>2291</v>
      </c>
      <c r="M17" s="98" t="s">
        <v>2291</v>
      </c>
      <c r="N17" s="98" t="s">
        <v>2291</v>
      </c>
      <c r="O17" s="98" t="s">
        <v>2291</v>
      </c>
      <c r="P17" s="98" t="s">
        <v>2291</v>
      </c>
      <c r="Q17" s="98" t="s">
        <v>2291</v>
      </c>
      <c r="R17" s="98" t="s">
        <v>2291</v>
      </c>
      <c r="S17" s="98" t="s">
        <v>2291</v>
      </c>
      <c r="T17" s="98" t="s">
        <v>2291</v>
      </c>
      <c r="U17" s="98" t="s">
        <v>2291</v>
      </c>
      <c r="V17" s="98" t="s">
        <v>2291</v>
      </c>
      <c r="W17" s="98" t="s">
        <v>2291</v>
      </c>
      <c r="X17" s="98" t="s">
        <v>2291</v>
      </c>
      <c r="Y17" s="98" t="s">
        <v>2291</v>
      </c>
      <c r="Z17" s="98" t="s">
        <v>2291</v>
      </c>
      <c r="AA17" s="98" t="s">
        <v>2291</v>
      </c>
      <c r="AB17" s="98" t="s">
        <v>2291</v>
      </c>
      <c r="AC17" s="98" t="s">
        <v>2291</v>
      </c>
      <c r="AD17" s="98" t="s">
        <v>2291</v>
      </c>
      <c r="AE17" s="98" t="s">
        <v>2291</v>
      </c>
    </row>
    <row r="18" spans="2:31">
      <c r="B18" s="174" t="s">
        <v>2268</v>
      </c>
      <c r="C18" s="98">
        <v>16</v>
      </c>
      <c r="D18" s="98" t="s">
        <v>2796</v>
      </c>
      <c r="E18" s="116">
        <v>45559</v>
      </c>
      <c r="F18" s="98">
        <v>1</v>
      </c>
      <c r="G18" s="188">
        <v>1</v>
      </c>
      <c r="H18" s="202" t="s">
        <v>2376</v>
      </c>
      <c r="I18" s="98" t="s">
        <v>2291</v>
      </c>
      <c r="J18" s="98" t="s">
        <v>2291</v>
      </c>
      <c r="K18" s="98" t="s">
        <v>2291</v>
      </c>
      <c r="L18" s="98" t="s">
        <v>2291</v>
      </c>
      <c r="M18" s="98" t="s">
        <v>2291</v>
      </c>
      <c r="N18" s="98" t="s">
        <v>2291</v>
      </c>
      <c r="O18" s="98" t="s">
        <v>2291</v>
      </c>
      <c r="P18" s="98" t="s">
        <v>2291</v>
      </c>
      <c r="Q18" s="98" t="s">
        <v>2291</v>
      </c>
      <c r="R18" s="98" t="s">
        <v>2291</v>
      </c>
      <c r="S18" s="98" t="s">
        <v>2291</v>
      </c>
      <c r="T18" s="98" t="s">
        <v>2291</v>
      </c>
      <c r="U18" s="98" t="s">
        <v>2291</v>
      </c>
      <c r="V18" s="98" t="s">
        <v>2291</v>
      </c>
      <c r="W18" s="98" t="s">
        <v>2291</v>
      </c>
      <c r="X18" s="98" t="s">
        <v>2291</v>
      </c>
      <c r="Y18" s="98" t="s">
        <v>2291</v>
      </c>
      <c r="Z18" s="98" t="s">
        <v>2291</v>
      </c>
      <c r="AA18" s="98" t="s">
        <v>2291</v>
      </c>
      <c r="AB18" s="98" t="s">
        <v>2291</v>
      </c>
      <c r="AC18" s="98" t="s">
        <v>2291</v>
      </c>
      <c r="AD18" s="98" t="s">
        <v>2291</v>
      </c>
      <c r="AE18" s="98" t="s">
        <v>2291</v>
      </c>
    </row>
    <row r="19" spans="2:31">
      <c r="B19" s="141" t="s">
        <v>2274</v>
      </c>
      <c r="C19" s="98">
        <v>19</v>
      </c>
      <c r="D19" s="98" t="s">
        <v>2797</v>
      </c>
      <c r="E19" s="116">
        <v>45559</v>
      </c>
      <c r="F19" s="98">
        <v>1</v>
      </c>
      <c r="G19" s="216" cm="1">
        <f t="array" aca="1" ref="G19" ca="1">SUMPRODUCT(--(ISNUMBER((SEARCH(I25:AE25,I19:AE19)))))/COUNTA(I19:AE19)</f>
        <v>0.91304347826086951</v>
      </c>
      <c r="H19" s="202" t="s">
        <v>2376</v>
      </c>
      <c r="I19" s="98" t="s">
        <v>2341</v>
      </c>
      <c r="J19" s="98" t="s">
        <v>2341</v>
      </c>
      <c r="K19" s="98" t="s">
        <v>2342</v>
      </c>
      <c r="L19" s="98" t="s">
        <v>2342</v>
      </c>
      <c r="M19" s="98" t="s">
        <v>2341</v>
      </c>
      <c r="N19" s="98" t="s">
        <v>2341</v>
      </c>
      <c r="O19" s="98" t="s">
        <v>2343</v>
      </c>
      <c r="P19" s="98" t="s">
        <v>2341</v>
      </c>
      <c r="Q19" s="98" t="s">
        <v>2341</v>
      </c>
      <c r="R19" s="98" t="s">
        <v>2341</v>
      </c>
      <c r="S19" s="98" t="s">
        <v>2341</v>
      </c>
      <c r="T19" s="98" t="s">
        <v>2341</v>
      </c>
      <c r="U19" s="98" t="s">
        <v>2341</v>
      </c>
      <c r="V19" s="98" t="s">
        <v>2341</v>
      </c>
      <c r="W19" s="98" t="s">
        <v>2341</v>
      </c>
      <c r="X19" s="98" t="s">
        <v>2341</v>
      </c>
      <c r="Y19" s="98" t="s">
        <v>2341</v>
      </c>
      <c r="Z19" s="98" t="s">
        <v>2341</v>
      </c>
      <c r="AA19" s="98" t="s">
        <v>2341</v>
      </c>
      <c r="AB19" s="98" t="s">
        <v>2341</v>
      </c>
      <c r="AC19" s="98" t="s">
        <v>2341</v>
      </c>
      <c r="AD19" s="98" t="s">
        <v>2341</v>
      </c>
      <c r="AE19" s="98" t="s">
        <v>2344</v>
      </c>
    </row>
    <row r="20" spans="2:31">
      <c r="B20" s="141" t="s">
        <v>2277</v>
      </c>
      <c r="C20" s="98">
        <v>20</v>
      </c>
      <c r="D20" s="98"/>
      <c r="E20" s="116"/>
      <c r="F20" s="98"/>
      <c r="G20" s="216" cm="1">
        <f t="array" ref="G20">SUM(IF(I2:AE2 = I24:AE24, 1, 0))/ COUNTA(I2:AE2)</f>
        <v>0.65217391304347827</v>
      </c>
      <c r="H20" s="98"/>
      <c r="I20" s="98"/>
      <c r="J20" s="98"/>
      <c r="K20" s="98"/>
      <c r="L20" s="98"/>
      <c r="M20" s="98"/>
      <c r="N20" s="98"/>
      <c r="O20" s="98"/>
      <c r="P20" s="98"/>
      <c r="Q20" s="98"/>
      <c r="R20" s="98"/>
      <c r="S20" s="98"/>
      <c r="T20" s="98"/>
      <c r="U20" s="98"/>
      <c r="V20" s="98"/>
      <c r="W20" s="98"/>
      <c r="X20" s="98"/>
      <c r="Y20" s="98"/>
      <c r="Z20" s="98"/>
      <c r="AA20" s="98"/>
      <c r="AB20" s="98"/>
      <c r="AC20" s="98"/>
      <c r="AD20" s="98"/>
      <c r="AE20" s="98"/>
    </row>
    <row r="21" spans="2:31">
      <c r="B21" s="165" t="s">
        <v>2280</v>
      </c>
      <c r="C21" s="98">
        <v>21</v>
      </c>
      <c r="D21" s="98"/>
      <c r="E21" s="116"/>
      <c r="F21" s="98"/>
      <c r="G21" s="216" cm="1">
        <f t="array" aca="1" ref="G21" ca="1">SUM(IF(IF(G3:G20="null",1,G3:G20)=1,1,0))/COUNT(IF(G3:G20="null",1,1))</f>
        <v>0.66666666666666663</v>
      </c>
      <c r="H21" s="98"/>
      <c r="I21" s="98"/>
      <c r="J21" s="98"/>
      <c r="K21" s="98"/>
      <c r="L21" s="98"/>
      <c r="M21" s="98"/>
      <c r="N21" s="98"/>
      <c r="O21" s="98"/>
      <c r="P21" s="98"/>
      <c r="Q21" s="98"/>
      <c r="R21" s="98"/>
      <c r="S21" s="98"/>
      <c r="T21" s="98"/>
      <c r="U21" s="98"/>
      <c r="V21" s="98"/>
      <c r="W21" s="98"/>
      <c r="X21" s="98"/>
      <c r="Y21" s="98"/>
      <c r="Z21" s="98"/>
      <c r="AA21" s="98"/>
      <c r="AB21" s="98"/>
      <c r="AC21" s="98"/>
      <c r="AD21" s="98"/>
      <c r="AE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2345</v>
      </c>
    </row>
    <row r="24" spans="2:31">
      <c r="B24" s="107" t="s">
        <v>2346</v>
      </c>
      <c r="C24" s="108" t="s">
        <v>2284</v>
      </c>
      <c r="D24" s="108" t="s">
        <v>2285</v>
      </c>
      <c r="E24" s="108" t="s">
        <v>2286</v>
      </c>
      <c r="F24" s="108" t="s">
        <v>2287</v>
      </c>
      <c r="G24" s="108" t="s">
        <v>2288</v>
      </c>
      <c r="H24" s="108" t="s">
        <v>2289</v>
      </c>
      <c r="I24" s="109" t="str" cm="1">
        <f t="array" ref="I24:AE24">TRANSPOSE(_xlfn.SORTBY(_xlfn._xlws.FILTER(Table2[NOME FÍSICO CAMPO],Table2[NOME FÍSICO TABELA]="nostrovostro_account_transaction"), _xlfn._xlws.FILTER(Table2[ORDEM], Table2[NOME FÍSICO TABELA]="nostrovostro_account_transaction"),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09" t="str">
        <v>amount</v>
      </c>
      <c r="V24" s="243" t="str">
        <v>check_number</v>
      </c>
      <c r="W24" s="248" t="str">
        <v>transfer_reference</v>
      </c>
      <c r="X24" s="248" t="str">
        <v>description</v>
      </c>
      <c r="Y24" s="248" t="str">
        <v>full_description</v>
      </c>
      <c r="Z24" s="248" t="str">
        <v>comment</v>
      </c>
      <c r="AA24" s="248" t="str">
        <v>sender_source_code</v>
      </c>
      <c r="AB24" s="248" t="str">
        <v>sender_order_number_stage</v>
      </c>
      <c r="AC24" s="248" t="str">
        <v>source_code</v>
      </c>
      <c r="AD24" s="248" t="str">
        <v>data_date_part</v>
      </c>
      <c r="AE24" s="244" t="str">
        <v>data_timestamp_part</v>
      </c>
    </row>
    <row r="25" spans="2:31">
      <c r="B25" s="100" t="s">
        <v>2347</v>
      </c>
      <c r="C25" s="113">
        <v>21</v>
      </c>
      <c r="D25" s="102" t="s">
        <v>2348</v>
      </c>
      <c r="E25" s="101" t="s">
        <v>2349</v>
      </c>
      <c r="F25" s="101" t="s">
        <v>781</v>
      </c>
      <c r="G25" s="101" t="s">
        <v>781</v>
      </c>
      <c r="H25" s="101" t="s">
        <v>781</v>
      </c>
      <c r="I25" s="101"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01" t="str">
        <f ca="1"/>
        <v>STRING</v>
      </c>
      <c r="W25" s="101" t="str">
        <f ca="1"/>
        <v>STRING</v>
      </c>
      <c r="X25" s="101" t="str">
        <f ca="1"/>
        <v>STRING</v>
      </c>
      <c r="Y25" s="101" t="str">
        <f ca="1"/>
        <v>STRING</v>
      </c>
      <c r="Z25" s="101" t="str">
        <f ca="1"/>
        <v>STRING</v>
      </c>
      <c r="AA25" s="101" t="str">
        <f ca="1"/>
        <v>STRING</v>
      </c>
      <c r="AB25" s="101" t="str">
        <f ca="1"/>
        <v>STRING</v>
      </c>
      <c r="AC25" s="101" t="str">
        <f ca="1"/>
        <v>STRING</v>
      </c>
      <c r="AD25" s="101" t="str">
        <f ca="1"/>
        <v>STRING</v>
      </c>
      <c r="AE25" s="112" t="str">
        <f ca="1"/>
        <v>TIMESTAMP</v>
      </c>
    </row>
    <row r="26" spans="2:31" s="97" customFormat="1">
      <c r="B26" s="118" t="s">
        <v>2350</v>
      </c>
      <c r="C26" s="113">
        <v>7</v>
      </c>
      <c r="D26" s="119" t="s">
        <v>2348</v>
      </c>
      <c r="E26" s="113" t="s">
        <v>2349</v>
      </c>
      <c r="F26" s="113" t="s">
        <v>781</v>
      </c>
      <c r="G26" s="113" t="s">
        <v>781</v>
      </c>
      <c r="H26" s="113" t="s">
        <v>781</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13">
        <f ca="1"/>
        <v>10</v>
      </c>
      <c r="W26" s="113">
        <f ca="1"/>
        <v>9999999</v>
      </c>
      <c r="X26" s="113">
        <f ca="1"/>
        <v>9999999</v>
      </c>
      <c r="Y26" s="113">
        <f ca="1"/>
        <v>9999999</v>
      </c>
      <c r="Z26" s="113">
        <f ca="1"/>
        <v>9999999</v>
      </c>
      <c r="AA26" s="113">
        <f ca="1"/>
        <v>4</v>
      </c>
      <c r="AB26" s="113">
        <f ca="1"/>
        <v>9999999</v>
      </c>
      <c r="AC26" s="113">
        <f ca="1"/>
        <v>2</v>
      </c>
      <c r="AD26" s="113">
        <f ca="1"/>
        <v>10</v>
      </c>
      <c r="AE26" s="114">
        <f ca="1"/>
        <v>23</v>
      </c>
    </row>
    <row r="29" spans="2:31">
      <c r="B29" s="123" t="s">
        <v>2351</v>
      </c>
    </row>
    <row r="30" spans="2:31">
      <c r="B30" s="132" t="s">
        <v>2352</v>
      </c>
      <c r="C30" s="132" t="s">
        <v>2353</v>
      </c>
      <c r="D30" s="132" t="s">
        <v>2354</v>
      </c>
      <c r="E30" s="132" t="s">
        <v>2355</v>
      </c>
      <c r="F30" s="132" t="s">
        <v>2356</v>
      </c>
      <c r="G30" s="224"/>
      <c r="H30" s="218"/>
    </row>
    <row r="31" spans="2:31" ht="60.75">
      <c r="B31" s="75" t="s">
        <v>2365</v>
      </c>
      <c r="C31" s="83" t="s">
        <v>1079</v>
      </c>
      <c r="D31" s="83" t="s">
        <v>2613</v>
      </c>
      <c r="E31" s="83" t="s">
        <v>2798</v>
      </c>
      <c r="F31" s="83" t="s">
        <v>2360</v>
      </c>
      <c r="G31" s="88"/>
      <c r="H31" s="186"/>
    </row>
    <row r="32" spans="2:31" ht="45.75">
      <c r="B32" s="75" t="s">
        <v>2451</v>
      </c>
      <c r="C32" s="83" t="s">
        <v>1187</v>
      </c>
      <c r="D32" s="83" t="s">
        <v>2799</v>
      </c>
      <c r="E32" s="83" t="s">
        <v>2800</v>
      </c>
      <c r="F32" s="83" t="s">
        <v>2449</v>
      </c>
      <c r="H32" s="186"/>
    </row>
    <row r="33" spans="2:6" ht="45.75">
      <c r="B33" s="75" t="s">
        <v>2451</v>
      </c>
      <c r="C33" s="83" t="s">
        <v>1831</v>
      </c>
      <c r="D33" s="83" t="s">
        <v>2799</v>
      </c>
      <c r="E33" s="83" t="s">
        <v>2801</v>
      </c>
      <c r="F33" s="83" t="s">
        <v>2802</v>
      </c>
    </row>
    <row r="34" spans="2:6" ht="48.75" customHeight="1">
      <c r="B34" s="75" t="s">
        <v>2803</v>
      </c>
      <c r="C34" s="83" t="s">
        <v>1187</v>
      </c>
      <c r="D34" s="83" t="s">
        <v>2799</v>
      </c>
      <c r="E34" s="83" t="s">
        <v>2800</v>
      </c>
      <c r="F34" s="83" t="s">
        <v>2449</v>
      </c>
    </row>
    <row r="35" spans="2:6" ht="60.75">
      <c r="B35" s="75" t="s">
        <v>2803</v>
      </c>
      <c r="C35" s="83" t="s">
        <v>1831</v>
      </c>
      <c r="D35" s="83" t="s">
        <v>2804</v>
      </c>
      <c r="E35" s="83" t="s">
        <v>2801</v>
      </c>
      <c r="F35" s="83" t="s">
        <v>2802</v>
      </c>
    </row>
    <row r="36" spans="2:6" ht="45.75">
      <c r="B36" s="75" t="s">
        <v>2357</v>
      </c>
      <c r="C36" s="83" t="s">
        <v>1066</v>
      </c>
      <c r="D36" s="83" t="s">
        <v>2805</v>
      </c>
      <c r="E36" s="83" t="s">
        <v>2806</v>
      </c>
      <c r="F36" s="83" t="s">
        <v>2360</v>
      </c>
    </row>
    <row r="37" spans="2:6" ht="45.75">
      <c r="B37" s="75" t="s">
        <v>2365</v>
      </c>
      <c r="C37" s="83" t="s">
        <v>1178</v>
      </c>
      <c r="D37" s="83" t="s">
        <v>2807</v>
      </c>
      <c r="E37" s="83" t="s">
        <v>2808</v>
      </c>
      <c r="F37" s="83" t="s">
        <v>2360</v>
      </c>
    </row>
    <row r="38" spans="2:6" ht="45.75">
      <c r="B38" s="75" t="s">
        <v>2365</v>
      </c>
      <c r="C38" s="83" t="s">
        <v>1264</v>
      </c>
      <c r="D38" s="83" t="s">
        <v>2807</v>
      </c>
      <c r="E38" s="83" t="s">
        <v>2808</v>
      </c>
      <c r="F38" s="83" t="s">
        <v>2360</v>
      </c>
    </row>
    <row r="39" spans="2:6" ht="45.75">
      <c r="B39" s="75" t="s">
        <v>2365</v>
      </c>
      <c r="C39" s="83" t="s">
        <v>1870</v>
      </c>
      <c r="D39" s="83" t="s">
        <v>2807</v>
      </c>
      <c r="E39" s="83" t="s">
        <v>2808</v>
      </c>
      <c r="F39" s="83" t="s">
        <v>2360</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B79C6ACC-778E-4FE6-8109-625D8B9C3405}"/>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2025-02-26T09:45:50Z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