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0" documentId="8_{94507770-94B5-4515-9406-10544E102A27}" xr6:coauthVersionLast="47" xr6:coauthVersionMax="47" xr10:uidLastSave="{E1B0B986-F294-423A-AC5E-A20463F98B1F}"/>
  <bookViews>
    <workbookView xWindow="-110" yWindow="-110" windowWidth="19420" windowHeight="1042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s>
  <externalReferences>
    <externalReference r:id="rId26"/>
    <externalReference r:id="rId27"/>
    <externalReference r:id="rId28"/>
    <externalReference r:id="rId29"/>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56" l="1" a="1"/>
  <c r="G9" i="56" s="1" a="1"/>
  <c r="G9" i="56" s="1"/>
  <c r="I24" i="56" a="1"/>
  <c r="I24" i="56" s="1"/>
  <c r="G20" i="56" s="1" a="1"/>
  <c r="G20" i="56" s="1"/>
  <c r="G8" i="56" a="1"/>
  <c r="G8" i="56"/>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s="1"/>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6" a="1"/>
  <c r="G8" i="46"/>
  <c r="G8" i="48" a="1"/>
  <c r="G8" i="48"/>
  <c r="I24" i="49" a="1"/>
  <c r="I24" i="49" s="1"/>
  <c r="G20" i="49" s="1" a="1"/>
  <c r="G20" i="49" s="1"/>
  <c r="G8" i="49" a="1"/>
  <c r="G8" i="49"/>
  <c r="I25" i="49" a="1"/>
  <c r="G9" i="49" s="1" a="1"/>
  <c r="G9" i="49" s="1"/>
  <c r="G8" i="50" a="1"/>
  <c r="G8" i="50"/>
  <c r="I25" i="50" a="1"/>
  <c r="I25" i="50" s="1"/>
  <c r="I24" i="50" a="1"/>
  <c r="I24" i="50" s="1"/>
  <c r="G20" i="50" s="1" a="1"/>
  <c r="G20" i="50" s="1"/>
  <c r="I25" i="48" a="1"/>
  <c r="G9" i="48" s="1" a="1"/>
  <c r="G9" i="48" s="1"/>
  <c r="I24" i="48" a="1"/>
  <c r="I24" i="48" s="1"/>
  <c r="G20" i="48" s="1" a="1"/>
  <c r="G20" i="48" s="1"/>
  <c r="I24" i="42" a="1"/>
  <c r="I24" i="42" s="1"/>
  <c r="G20" i="42" s="1" a="1"/>
  <c r="G20" i="42" s="1"/>
  <c r="G8" i="47" a="1"/>
  <c r="G8" i="47"/>
  <c r="I24" i="41" a="1"/>
  <c r="I24" i="41" s="1"/>
  <c r="G20" i="41" s="1" a="1"/>
  <c r="G20" i="41" s="1"/>
  <c r="I24" i="47" a="1"/>
  <c r="I24" i="47" s="1"/>
  <c r="G20" i="47" s="1" a="1"/>
  <c r="G20" i="47" s="1"/>
  <c r="I24" i="45" a="1"/>
  <c r="I24" i="45" s="1"/>
  <c r="G20" i="45" s="1" a="1"/>
  <c r="G20" i="45" s="1"/>
  <c r="I25" i="47" a="1"/>
  <c r="G9" i="47" s="1" a="1"/>
  <c r="G9" i="47" s="1"/>
  <c r="I25" i="46" a="1"/>
  <c r="G9" i="46" s="1" a="1"/>
  <c r="G9" i="46" s="1"/>
  <c r="I24" i="46" a="1"/>
  <c r="I24" i="46" s="1"/>
  <c r="G20" i="46" s="1" a="1"/>
  <c r="G20" i="46" s="1"/>
  <c r="I25" i="41" a="1"/>
  <c r="G9" i="41" s="1" a="1"/>
  <c r="G9" i="41" s="1"/>
  <c r="I25" i="42" a="1"/>
  <c r="G9" i="42" s="1" a="1"/>
  <c r="G9" i="42" s="1"/>
  <c r="I25" i="45" a="1"/>
  <c r="G9" i="45" s="1" a="1"/>
  <c r="G9" i="45" s="1"/>
  <c r="H54" i="28"/>
  <c r="I25" i="51" l="1"/>
  <c r="G19" i="51" s="1" a="1"/>
  <c r="G19" i="51" s="1"/>
  <c r="I25" i="48"/>
  <c r="G19" i="48" s="1" a="1"/>
  <c r="G19" i="48" s="1"/>
  <c r="G21" i="48" s="1" a="1"/>
  <c r="G21" i="48" s="1"/>
  <c r="I25" i="46"/>
  <c r="G19" i="46" s="1" a="1"/>
  <c r="G19" i="46" s="1"/>
  <c r="G21" i="46" s="1" a="1"/>
  <c r="G21" i="46" s="1"/>
  <c r="I25" i="52"/>
  <c r="G19" i="52" s="1" a="1"/>
  <c r="G19" i="52" s="1"/>
  <c r="G21" i="52" s="1" a="1"/>
  <c r="G21" i="52" s="1"/>
  <c r="I25" i="47"/>
  <c r="G19" i="47" s="1" a="1"/>
  <c r="G19" i="47" s="1"/>
  <c r="G21" i="47" s="1" a="1"/>
  <c r="G21" i="47" s="1"/>
  <c r="I25" i="49"/>
  <c r="G19" i="49" s="1" a="1"/>
  <c r="G19" i="49" s="1"/>
  <c r="G21" i="49" s="1" a="1"/>
  <c r="G21" i="49" s="1"/>
  <c r="I25" i="54"/>
  <c r="G19" i="54" s="1" a="1"/>
  <c r="G19" i="54" s="1"/>
  <c r="G21" i="54" s="1" a="1"/>
  <c r="G21" i="54" s="1"/>
  <c r="I25" i="45"/>
  <c r="G19" i="45" s="1" a="1"/>
  <c r="G19" i="45" s="1"/>
  <c r="G21" i="45" s="1" a="1"/>
  <c r="G21" i="45" s="1"/>
  <c r="I25" i="42"/>
  <c r="G19" i="42" s="1" a="1"/>
  <c r="G19" i="42" s="1"/>
  <c r="G21" i="42" s="1" a="1"/>
  <c r="G21" i="42" s="1"/>
  <c r="I25" i="41"/>
  <c r="G19" i="41" s="1" a="1"/>
  <c r="G19" i="41" s="1"/>
  <c r="G21" i="41" s="1" a="1"/>
  <c r="G21" i="41" s="1"/>
  <c r="I25" i="55"/>
  <c r="G19" i="55" s="1" a="1"/>
  <c r="G19" i="55" s="1"/>
  <c r="G21" i="55" s="1" a="1"/>
  <c r="G21" i="55" s="1"/>
  <c r="I25" i="56"/>
  <c r="G19" i="56" s="1" a="1"/>
  <c r="G19" i="56" s="1"/>
  <c r="G21" i="56" s="1" a="1"/>
  <c r="G21" i="56" s="1"/>
  <c r="I25" i="53"/>
  <c r="G19" i="53" s="1" a="1"/>
  <c r="G19" i="53" s="1"/>
  <c r="G9" i="53" a="1"/>
  <c r="G9" i="53" s="1"/>
  <c r="G21" i="51" a="1"/>
  <c r="G21" i="51" s="1"/>
  <c r="G19" i="50" a="1"/>
  <c r="G19" i="50" s="1"/>
  <c r="G9" i="50" a="1"/>
  <c r="G9" i="50" s="1"/>
  <c r="G21" i="50" l="1" a="1"/>
  <c r="G21" i="50" s="1"/>
  <c r="G21" i="53"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<sst xmlns="http://schemas.openxmlformats.org/spreadsheetml/2006/main" count="11547" uniqueCount="2545">
  <si>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</si>
  <si>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</si>
  <si>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</si>
  <si>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</si>
  <si>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</si>
  <si>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</si>
  <si>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</si>
  <si>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</si>
  <si>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</si>
  <si>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</si>
  <si>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</si>
  <si>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</si>
  <si>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</si>
  <si>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</si>
  <si>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</si>
  <si>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</si>
  <si>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</si>
  <si>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</si>
  <si>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</si>
  <si>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</si>
  <si>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</si>
  <si>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</si>
  <si>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</si>
  <si>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</si>
  <si>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</si>
  <si>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</si>
  <si>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</si>
  <si>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</si>
  <si>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</si>
  <si>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</si>
  <si>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</si>
  <si>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</si>
  <si>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</si>
  <si>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</si>
  <si>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</si>
  <si>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</si>
  <si>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</si>
  <si>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</si>
  <si>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</si>
  <si>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</si>
  <si>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</si>
  <si>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</si>
  <si>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</si>
  <si>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</si>
  <si>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</si>
  <si>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</si>
  <si>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</si>
  <si>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</si>
  <si>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</si>
  <si>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</si>
  <si>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</si>
  <si>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</si>
  <si>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</si>
  <si>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</si>
  <si>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</si>
  <si>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</si>
  <si>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</si>
  <si>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</si>
  <si>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</si>
  <si>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</si>
  <si>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</si>
  <si>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</si>
  <si>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</si>
  <si>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</si>
  <si>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</si>
  <si>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</si>
  <si>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</si>
  <si>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</si>
  <si>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</si>
  <si>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</si>
  <si>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</si>
  <si>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</si>
  <si>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</si>
  <si>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</si>
  <si>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</si>
  <si>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</si>
  <si>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</si>
  <si>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</si>
  <si>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</si>
  <si>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</si>
  <si>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</si>
  <si>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</si>
  <si>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</si>
  <si>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</si>
  <si>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</si>
  <si>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</si>
  <si>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</si>
  <si>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</si>
  <si>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</si>
  <si>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</si>
  <si>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</si>
  <si>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</si>
  <si>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</si>
  <si>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</si>
  <si>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</si>
  <si>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</si>
  <si>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</si>
  <si>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</si>
  <si>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</si>
  <si>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</si>
  <si>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</si>
  <si>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</si>
  <si>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</si>
  <si>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</si>
  <si>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</si>
  <si>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</si>
  <si>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</si>
  <si>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</si>
  <si>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</si>
  <si>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</si>
  <si>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</si>
  <si>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</si>
  <si>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</si>
  <si>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</si>
  <si>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</si>
  <si>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</si>
  <si>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</si>
  <si>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</si>
  <si>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</si>
  <si>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</si>
  <si>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</si>
  <si>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</si>
  <si>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</si>
  <si>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</si>
  <si>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</si>
  <si>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</si>
  <si>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</si>
  <si>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</si>
  <si>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</si>
  <si>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</si>
  <si>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</si>
  <si>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</si>
  <si>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</si>
  <si>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</si>
  <si>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</si>
  <si>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</si>
  <si>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</si>
  <si>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</si>
  <si>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</si>
  <si>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</si>
  <si>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</si>
  <si>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</si>
  <si>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</si>
  <si>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</si>
  <si>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</si>
  <si>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</si>
  <si>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</si>
  <si>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</si>
  <si>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</si>
  <si>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</si>
  <si>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</si>
  <si>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</si>
  <si>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</si>
  <si>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</si>
  <si>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</si>
  <si>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</si>
  <si>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</si>
  <si>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</si>
  <si>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</si>
  <si>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</si>
  <si>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</si>
  <si>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</si>
  <si>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</si>
  <si>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</si>
  <si>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</si>
  <si>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</si>
  <si>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</si>
  <si>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</si>
  <si>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</si>
  <si>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</si>
  <si>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</si>
  <si>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</si>
  <si>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</si>
  <si>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</si>
  <si>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</si>
  <si>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</si>
  <si>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</si>
  <si>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</si>
  <si>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</si>
  <si>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</si>
  <si>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</si>
  <si>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</si>
  <si>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</si>
  <si>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</si>
  <si>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</si>
  <si>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</si>
  <si>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</si>
  <si>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</si>
  <si>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</si>
  <si>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</si>
  <si>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</si>
  <si>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</si>
  <si>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</si>
  <si>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</si>
  <si>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</si>
  <si>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</si>
  <si>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</si>
  <si>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</si>
  <si>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</si>
  <si>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</si>
  <si>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</si>
  <si>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</si>
  <si>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</si>
  <si>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</si>
  <si>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</si>
  <si>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</si>
  <si>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</si>
  <si>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</si>
  <si>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</si>
  <si>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</si>
  <si>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</si>
  <si>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</si>
  <si>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</si>
  <si>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</si>
  <si>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</si>
  <si>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</si>
  <si>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</si>
  <si>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</si>
  <si>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</si>
  <si>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</si>
  <si>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</si>
  <si>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</si>
  <si>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</si>
  <si>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</si>
  <si>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</si>
  <si>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</si>
  <si>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</si>
  <si>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</si>
  <si>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</si>
  <si>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</si>
  <si>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</si>
  <si>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</si>
  <si>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</si>
  <si>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</si>
  <si>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</si>
  <si>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</si>
  <si>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</si>
  <si>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</si>
  <si>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</si>
  <si>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</si>
  <si>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</si>
  <si>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</si>
  <si>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</si>
  <si>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</si>
  <si>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</si>
  <si>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</si>
  <si>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</si>
  <si>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</si>
  <si>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</si>
  <si>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</si>
  <si>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</si>
  <si>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</si>
  <si>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</si>
  <si>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</si>
  <si>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</si>
  <si>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</si>
  <si>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</si>
  <si>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</si>
  <si>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</si>
  <si>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</si>
  <si>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</si>
  <si>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</si>
  <si>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</si>
  <si>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</si>
  <si>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</si>
  <si>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</si>
  <si>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</si>
  <si>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</si>
  <si>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</si>
  <si>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</si>
  <si>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</si>
  <si>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</si>
  <si>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</si>
  <si>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</si>
  <si>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</si>
  <si>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</si>
  <si>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</si>
  <si>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</si>
  <si>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</si>
  <si>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</si>
  <si>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</si>
  <si>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</si>
  <si>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</si>
  <si>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</si>
  <si>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</si>
  <si>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</si>
  <si>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</si>
  <si>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</si>
  <si>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</si>
  <si>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</si>
  <si>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</si>
  <si>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</si>
  <si>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</si>
  <si>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</si>
  <si>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</si>
  <si>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</si>
  <si>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</si>
  <si>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</si>
  <si>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</si>
  <si>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</si>
  <si>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</si>
  <si>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</si>
  <si>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</si>
  <si>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</si>
  <si>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</si>
  <si>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</si>
  <si>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</si>
  <si>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</si>
  <si>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</si>
  <si>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</si>
  <si>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</si>
  <si>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</si>
  <si>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</si>
  <si>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</si>
  <si>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</si>
  <si>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</si>
  <si>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</si>
  <si>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</si>
  <si>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</si>
  <si>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</si>
  <si>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</si>
  <si>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</si>
  <si>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</si>
  <si>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</si>
  <si>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</si>
  <si>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</si>
  <si>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</si>
  <si>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</si>
  <si>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</si>
  <si>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</si>
  <si>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</si>
  <si>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</si>
  <si>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</si>
  <si>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</si>
  <si>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</si>
  <si>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</si>
  <si>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</si>
  <si>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</si>
  <si>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</si>
  <si>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</si>
  <si>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</si>
  <si>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</si>
  <si>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</si>
  <si>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</si>
  <si>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</si>
  <si>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</si>
  <si>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</si>
  <si>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</si>
  <si>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</si>
  <si>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</si>
  <si>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</si>
  <si>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</si>
  <si>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</si>
  <si>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</si>
  <si>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</si>
  <si>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</si>
  <si>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</si>
  <si>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</si>
  <si>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</si>
  <si>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</si>
  <si>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</si>
  <si>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</si>
  <si>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</si>
  <si>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</si>
  <si>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</si>
  <si>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</si>
  <si>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</si>
  <si>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</si>
  <si>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</si>
  <si>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</si>
  <si>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</si>
  <si>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</si>
  <si>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</si>
  <si>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</si>
  <si>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</si>
  <si>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</si>
  <si>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</si>
  <si>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</si>
  <si>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</si>
  <si>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</si>
  <si>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</si>
  <si>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</si>
  <si>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</si>
  <si>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</si>
  <si>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</si>
  <si>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</si>
  <si>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</si>
  <si>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</si>
  <si>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</si>
  <si>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</si>
  <si>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</si>
  <si>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</si>
  <si>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</si>
  <si>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</si>
  <si>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</si>
  <si>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</si>
  <si>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</si>
  <si>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</si>
  <si>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</si>
  <si>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</si>
  <si>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</si>
  <si>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</si>
  <si>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</si>
  <si>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</si>
  <si>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</si>
  <si>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</si>
  <si>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</si>
  <si>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</si>
  <si>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</si>
  <si>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</si>
  <si>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</si>
  <si>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</si>
  <si>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</si>
  <si>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</si>
  <si>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</si>
  <si>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</si>
  <si>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</si>
  <si>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</si>
  <si>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</si>
  <si>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</si>
  <si>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</si>
  <si>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</si>
  <si>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</si>
  <si>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</si>
  <si>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</si>
  <si>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</si>
  <si>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</si>
  <si>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</si>
  <si>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</si>
  <si>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</si>
  <si>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</si>
  <si>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</si>
  <si>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</si>
  <si>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</si>
  <si>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</si>
  <si>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</si>
  <si>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</si>
  <si>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</si>
  <si>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</si>
  <si>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</si>
  <si>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</si>
  <si>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</si>
  <si>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</si>
  <si>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</si>
  <si>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</si>
  <si>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</si>
  <si>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</si>
  <si>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</si>
  <si>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</si>
  <si>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</si>
  <si>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</si>
  <si>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</si>
  <si>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</si>
  <si>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</si>
  <si>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</si>
  <si>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</si>
  <si>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</si>
  <si>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</si>
  <si>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</si>
  <si>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</si>
  <si>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</si>
  <si>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</si>
  <si>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</si>
  <si>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</si>
  <si>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</si>
  <si>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</si>
  <si>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</si>
  <si>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</si>
  <si>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</si>
  <si>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</si>
  <si>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</si>
  <si>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</si>
  <si>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</si>
  <si>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</si>
  <si>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</si>
  <si>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</si>
  <si>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</si>
  <si>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</si>
  <si>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</si>
  <si>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</si>
  <si>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</si>
  <si>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</si>
  <si>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</si>
  <si>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</si>
  <si>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</si>
  <si>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</si>
  <si>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</si>
  <si>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</si>
  <si>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</si>
  <si>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</si>
  <si>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</si>
  <si>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</si>
  <si>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</si>
  <si>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</si>
  <si>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</si>
  <si>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</si>
  <si>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</si>
  <si>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</si>
  <si>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</si>
  <si>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</si>
  <si>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</si>
  <si>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</si>
  <si>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</si>
  <si>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</si>
  <si>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</si>
  <si>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</si>
  <si>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</si>
  <si>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</si>
  <si>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</si>
  <si>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</si>
  <si>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</si>
  <si>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</si>
  <si>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</si>
  <si>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</si>
  <si>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</si>
  <si>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</si>
  <si>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</si>
  <si>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</si>
  <si>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</si>
  <si>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</si>
  <si>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</si>
  <si>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</si>
  <si>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</si>
  <si>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</si>
  <si>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</si>
  <si>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</si>
  <si>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</si>
  <si>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</si>
  <si>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</si>
  <si>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</si>
  <si>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</si>
  <si>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</si>
  <si>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</si>
  <si>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</si>
  <si>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</si>
  <si>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</si>
  <si>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</si>
  <si>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</si>
  <si>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</si>
  <si>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</si>
  <si>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</si>
  <si>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</si>
  <si>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</si>
  <si>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</si>
  <si>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</si>
  <si>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</si>
  <si>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</si>
  <si>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</si>
  <si>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</si>
  <si>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</si>
  <si>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</si>
  <si>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</si>
  <si>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</si>
  <si>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</si>
  <si>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</si>
  <si>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</si>
  <si>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</si>
  <si>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</si>
  <si>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</si>
  <si>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</si>
  <si>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</si>
  <si>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</si>
  <si>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</si>
  <si>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</si>
  <si>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</si>
  <si>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</si>
  <si>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</si>
  <si>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</si>
  <si>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</si>
  <si>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</si>
  <si>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</si>
  <si>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</si>
  <si>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</si>
  <si>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</si>
  <si>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</si>
  <si>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</si>
  <si>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</si>
  <si>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</si>
  <si>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</si>
  <si>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</si>
  <si>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</si>
  <si>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</si>
  <si>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</si>
  <si>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</si>
  <si>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</si>
  <si>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</si>
  <si>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</si>
  <si>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</si>
  <si>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</si>
  <si>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</si>
  <si>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</si>
  <si>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</si>
  <si>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</si>
  <si>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</si>
  <si>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</si>
  <si>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</si>
  <si>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</si>
  <si>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</si>
  <si>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</si>
  <si>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</si>
  <si>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</si>
  <si>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</si>
  <si>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</si>
  <si>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</si>
  <si>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</si>
  <si>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</si>
  <si>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</si>
  <si>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</si>
  <si>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</si>
  <si>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</si>
  <si>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</si>
  <si>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</si>
  <si>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</si>
  <si>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</si>
  <si>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</si>
  <si>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</si>
  <si>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</si>
  <si>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</si>
  <si>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</si>
  <si>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</si>
  <si>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</si>
  <si>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</si>
  <si>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</si>
  <si>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</si>
  <si>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</si>
  <si>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</si>
  <si>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</si>
  <si>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</si>
  <si>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</si>
  <si>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</si>
  <si>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</si>
  <si>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</si>
  <si>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</si>
  <si>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</si>
  <si>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</si>
  <si>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</si>
  <si>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</si>
  <si>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</si>
  <si>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</si>
  <si>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</si>
  <si>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</si>
  <si>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</si>
  <si>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</si>
  <si>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</si>
  <si>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</si>
  <si>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</si>
  <si>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</si>
  <si>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</si>
  <si>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</si>
  <si>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</si>
  <si>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</si>
  <si>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</si>
  <si>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</si>
  <si>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</si>
  <si>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</si>
  <si>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</si>
  <si>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</si>
  <si>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</si>
  <si>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</si>
  <si>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</si>
  <si>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</si>
  <si>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</si>
  <si>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</si>
  <si>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</si>
  <si>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</si>
  <si>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</si>
  <si>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</si>
  <si>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</si>
  <si>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</si>
  <si>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</si>
  <si>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</si>
  <si>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</si>
  <si>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</si>
  <si>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</si>
  <si>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</si>
  <si>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</si>
  <si>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</si>
  <si>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</si>
  <si>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</si>
  <si>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</si>
  <si>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</si>
  <si>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</si>
  <si>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</si>
  <si>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</si>
  <si>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</si>
  <si>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</si>
  <si>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</si>
  <si>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</si>
  <si>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</si>
  <si>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</si>
  <si>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</si>
  <si>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</si>
  <si>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</si>
  <si>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</si>
  <si>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</si>
  <si>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</si>
  <si>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</si>
  <si>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</si>
  <si>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</si>
  <si>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</si>
  <si>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</si>
  <si>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</si>
  <si>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</si>
  <si>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</si>
  <si>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</si>
  <si>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</si>
  <si>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</si>
  <si>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</si>
  <si>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</si>
  <si>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</si>
  <si>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</si>
  <si>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</si>
  <si>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</si>
  <si>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</si>
  <si>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</si>
  <si>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</si>
  <si>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</si>
  <si>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</si>
  <si>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</si>
  <si>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</si>
  <si>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</si>
  <si>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</si>
  <si>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</si>
  <si>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</si>
  <si>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</si>
  <si>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</si>
  <si>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</si>
  <si>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</si>
  <si>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</si>
  <si>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</si>
  <si>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</si>
  <si>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</si>
  <si>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</si>
  <si>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</si>
  <si>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</si>
  <si>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</si>
  <si>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</si>
  <si>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</si>
  <si>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</si>
  <si>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</si>
  <si>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</si>
  <si>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</si>
  <si>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</si>
  <si>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</si>
  <si>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</si>
  <si>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</si>
  <si>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</si>
  <si>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</si>
  <si>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Transaction Execution Date</t>
  </si>
  <si>
    <t>transaction_execution_date</t>
  </si>
  <si>
    <t>Ext Inf - Trans Cal Inf - Date</t>
  </si>
  <si>
    <t>Represents the date in which the transaction was actually executed. Not to be mistaken by the moment in which the transaction was performed.</t>
  </si>
  <si>
    <t>Transactions - General</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</si>
  <si>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</si>
  <si>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</si>
  <si>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</si>
  <si>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</si>
  <si>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</si>
  <si>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</si>
  <si>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</si>
  <si>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</si>
  <si>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</si>
  <si>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</si>
  <si>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</si>
  <si>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</si>
  <si>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</si>
  <si>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</si>
  <si>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</si>
  <si>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</si>
  <si>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</si>
  <si>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</si>
  <si>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</si>
  <si>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</si>
  <si>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</si>
  <si>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BG_OPERACION
DCYR9750 
TCT72_MOVCTA</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</si>
  <si>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</si>
  <si>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</si>
  <si>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</si>
  <si>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</si>
  <si>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</si>
  <si>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</si>
  <si>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</si>
  <si>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</si>
  <si>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</si>
  <si>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</si>
  <si>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</si>
  <si>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</si>
  <si>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</si>
  <si>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</si>
  <si>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</si>
  <si>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</si>
  <si>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</si>
  <si>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</si>
  <si>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</si>
  <si>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</si>
  <si>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</si>
  <si>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</si>
  <si>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</si>
  <si>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</si>
  <si>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</si>
  <si>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</si>
  <si>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</si>
  <si>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</si>
  <si>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</si>
  <si>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</si>
  <si>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</si>
  <si>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</si>
  <si>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</si>
  <si>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</si>
  <si>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</si>
  <si>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</si>
  <si>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</si>
  <si>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</si>
  <si>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</si>
  <si>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</si>
  <si>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</si>
  <si>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</si>
  <si>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</si>
  <si>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</si>
  <si>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</si>
  <si>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</si>
  <si>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</si>
  <si>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</si>
  <si>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</si>
  <si>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</si>
  <si>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</si>
  <si>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</si>
  <si>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</si>
  <si>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</si>
  <si>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</si>
  <si>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</si>
  <si>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</si>
  <si>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</si>
  <si>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</si>
  <si>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</si>
  <si>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</si>
  <si>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</si>
  <si>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</si>
  <si>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</si>
  <si>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</si>
  <si>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</si>
  <si>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</si>
  <si>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</si>
  <si>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</si>
  <si>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</si>
  <si>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</si>
  <si>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</si>
  <si>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</si>
  <si>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</si>
  <si>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</si>
  <si>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</si>
  <si>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</si>
  <si>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</si>
  <si>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</si>
  <si>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</si>
  <si>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</si>
  <si>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</si>
  <si>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</si>
  <si>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</si>
  <si>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</si>
  <si>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</si>
  <si>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</si>
  <si>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</si>
  <si>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</si>
  <si>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</si>
  <si>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</si>
  <si>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</si>
  <si>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</si>
  <si>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</si>
  <si>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</si>
  <si>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</si>
  <si>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</si>
  <si>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</si>
  <si>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</si>
  <si>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</si>
  <si>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</si>
  <si>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</si>
  <si>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</si>
  <si>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t>SELECT CONF_GENERAL_CODE_CONVERTER.CDM_VALUE
WHERE 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CONF_LITIGATION_PRODUTC.PRODUCT_ID = '029' AND CONF_LITIGATION_PRODUCT.SUBPRODUCT_ID = '286' AND CONF_GENERAL_CODE_CONVERTER.CODE CATEGORY = 'bank_id' AND CONF_GENERAL_CODE_CONVERTER.SOURCE_CODE = 'DC' AND CONF_GENERAL_CODE_CONVERTER.SOURCE_VALUE = '' AND CONF_GENERAL_CODE_CONVERTER.PRIORITY_LEVEL = '1'
SELECT CONF_GENERAL_CODE_CONVERTER.CDM_VALUE
WHERE TCT09_OPERCN.ISITUAC = '1' AND CONF_LITIGATION_PRODUTC.PRODUCT_ID = '029' AND CONF_LITIGATION_PRODUCT.SUBPRODUCT_ID = '286' AND CONF_GENERAL_CODE_CONVERTER.CODE CATEGORY = 'bank_id' AND CONF_GENERAL_CODE_CONVERTER.SOURCE_CODE = 'TC' AND CONF_GENERAL_CODE_CONVERTER.SOURCE_VALUE = '' AND CONF_GENERAL_CODE_CONVERTER.PRIORITY_LEVEL = '1' EXCEPT LAST DATA_DATE_PART</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</si>
  <si>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</si>
  <si>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</si>
  <si>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</si>
  <si>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</si>
  <si>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</si>
  <si>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t>SELECT CONCAT( CRT07_TBCTATAR.CKBALCAO, CRT07_TBCTATAR.CKNUMCTA, '0000000', '0000', '0001' )
WHERE CRT07_TBCTATAR.FECBAJA = 0 AND TAT91_TABELAS.TAYD91C0_CTABELA = '593' AND ( SUBSTRING( TAT91_TABELAS.TAYD91C0_NELEMC08, 1, 1 ) = '1' OR SUBSTRING( TAT91_TABELAS.TAYD91C0_NELEMC08, 1, 1 ) = '3' ) 
SELECT CONCAT( CRT07_TBCTATAR.CKBALCAO, CRT07_TBCTATAR.CKNUMCTA, '0000000', '0000', '0001' )
WHERE CRT07_TBCTATAR.FECBAJA = 0 AND TAT91_TABELAS.TAYD91C0_CTABELA = '593' AND ( SUBSTRING( TAT91_TABELAS.TAYD91C0_NELEMC08, 1, 1 ) = '1' OR SUBSTRING( TAT91_TABELAS.TAYD91C0_NELEMC08, 1, 1 ) = '3' ) 
SELECT CONCAT( MOVIMENTOS_CONSOLIDADOS.DCYR9750_CKBALCAO, MOVIMENTOS_CONSOLIDADOS.DCYR9750_CKNUMCTA, '000000000000000' )
WHERE INTERFACE_DCT01.DCYR8101_CSITCTA IN ( '0', '1', '2', '3', '5', '6', '7', '8', '9' ) AND INTERFACE_DCT01.DCYR8101_DINICONT = '0001-01-01' AND CONF_LITIGATION_PRODUTC.PRODUCT_ID = '029' AND CONF_LITIGATION_PRODUCT.SUBPRODUCT_ID = '286' 
SELECT IF( TCT09_OPERN.CKPRODUT != '029' AND TCT09_OPERN.CKSUBPRO != '286',
    CONCAT( TCT72_MOVCTA.CKBALCAO, TCT72_MOVCTA.CKNUMCTA, '0000000', '0000', '0001' ),
    CONCAT( TCT72_MOVCTA.CKBALCAO, TCT72_MOVCTA.CKNUMCTA, tct72.ZDEPOSIT )
WHERE TCT09_OPERCN.ISITUAC = '1' AND CONF_LITIGATION_PRODUTC.PRODUCT_ID = '029' AND CONF_LITIGATION_PRODUCT.SUBPRODUCT_ID = '286'</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</si>
  <si>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</si>
  <si>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</si>
  <si>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</si>
  <si>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</si>
  <si>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</si>
  <si>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N\A
ZMOVCTA
N\A
N\A</t>
  </si>
  <si>
    <t>SELECT CAST( CRT12_TBMOVEXT_NEW.CRT12_NUMEXTCTA AS BIGINT )
WHERE CRT07_TBCTATAR.FECBAJA = 0 AND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INTERFACE_DCT01.DCYR9750_ZMOVCTA AS BIGINT )
WHERE INTERFACE_DCT01.DCYR8101_CSITCTA IN ( '0', '1', '2', '3', '5', '6', '7', '8', '9' ) AND INTERFACE_DCT01. DCYR8101_DINICONT = '0001-01-01' AND CONF_LITIGATION_PRODUTC.PRODUCT_ID = '029' AND CONF_LITIGATION_PRODUCT.SUBPRODUCT_ID = '286' 
SELECT CAST( TCT72_MOVCTA.ZMOVCTA AS BIGINT )
WHERE TCT09_OPERCN.ISITUAC = '1' AND CONF_LITIGATION_PRODUTC.PRODUCT_ID = '029' AND CONF_LITIGATION_PRODUCT.SUBPRODUCT_ID = '286'</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</si>
  <si>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</si>
  <si>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</si>
  <si>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</si>
  <si>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</si>
  <si>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</si>
  <si>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t>SELECT CAST( CRT12_TBMOVEXT_NEW.CRT12_NUMMOVEXT AS BIGINT )
WHERE CRT07_TBCTATAR.FECBAJA = 0 AND TAT91_TABELAS.TAYD91C0_CTABELA = '593' AND ( SUBSTRING( TAT91_TABELAS.TAYD91C0_NELEMC08, 1, 1 ) = '1' OR SUBSTRING( TAT91_TABELAS.TAYD91C0_NELEMC08, 1, 1 ) = '3' )
SELECT CAST( CRT90_TBMOVDEB_NEW.CRT90DL_NUMMOVEXT AS BIGINT )
WHERE CRT07_TBCTATAR.FECBAJA = 0 AND TAT91_TABELAS.TAYD91C0_CTABELA = '593' AND ( SUBSTRING( TAT91_TABELAS.TAYD91C0_NELEMC08, 1, 1 ) = '1' OR SUBSTRING( TAT91_TABELAS.TAYD91C0_NELEMC08, 1, 1 ) = '3' )
SELECT CAST( 1 AS BIGINT )
WHERE INTERFACE_DCT01.DCYR8101_CSITCTA IN ( '0', '1', '2', '3', '5', '6', '7', '8', '9' ) AND INTERFACE_DCT01. DCYR8101_DINICONT = '0001-01-01' AND CONF_LITIGATION_PRODUTC.PRODUCT_ID = '029' AND CONF_LITIGATION_PRODUCT.SUBPRODUCT_ID = '286' 
SELECT CAST( TCT72_MOVCTA.ZSEQMOV AS BIGINT )
WHERE TCT09_OPERCN.ISITUAC = '1' AND CONF_LITIGATION_PRODUTC.PRODUCT_ID = '029' AND CONF_LITIGATION_PRODUCT.SUBPRODUCT_ID = '286'</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</si>
  <si>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</si>
  <si>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</si>
  <si>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</si>
  <si>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</si>
  <si>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</si>
  <si>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t>SELECT CONF_GENERAL_CODE_CONVERTER.CDM_VALUE
WHERE 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SELECT CONF_GENERAL_CODE_CONVERTER.CDM_VALUE
WHERE 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SELECT CONF_GENERAL_CODE_CONVERTER.CDM_VALUE
WHERE TCT09_OPERCN.ISITUAC = '1' AND CONF_LITIGATION_PRODUTC.PRODUCT_ID = '029' AND CONF_LITIGATION_PRODUCT.SUBPRODUCT_ID = '286'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</si>
  <si>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CONCAT ( INDORI, TIPOFACN, INDESTR )
CONCAT ( INDORI, TIPOFACN, INDESTR )
COPERAC || CONCAT ( OPERBAS, OPERBAN )
COPERAC</t>
  </si>
  <si>
    <t>N\A
N\A
N\A || N\A
N\A</t>
  </si>
  <si>
    <t>CRT12_TBMOVEXT_NEW
CRT90_TBMOVDEB_NEW
CRT07_TBCTATAR
MOVIMENTOS_CONSOLIDADOS
INTERFACE_DCT01
TCT72_MOVCTA
TCT09_OPERN
CONF_FINANCIAL_FLOW_CONVERTER
CONF_GENERAL_CODE_CONVERTER
CONF_LITIGATION_PRODUCT</t>
  </si>
  <si>
    <t>N\A
N\A
N\A
N\A
N\A
N\A
N\A
CDM_VALUE
N\A
N\A</t>
  </si>
  <si>
    <t xml:space="preserve">SELECT CONF_FINANCIAL_FLOW_CONVERTER.CDM_VALUE
WHERE CRT07_TBCTATAR.FECBAJA = 0 AND TAT91_TABELAS.TAYD91C0_CTABELA = '593' AND ( SUBSTRING( TAT91_TABELAS.TAYD91C0_NELEMC08, 1, 1 ) = '1' OR SUBSTRING( TAT91_TABELAS.TAYD91C0_NELEMC08, 1, 1 ) = '3' ) AND CONF_FINANCIAL_FLOW_CONVERTER. SOURCE_TRANSACTION_TYPE_CODE = 'tipofacn' AND CONF_FINANCIAL_FLOW_CONVERTER.SOURCE_CODE = 'CR'
SELECT '1'
WHERE CRT07_TBCTATAR.FECBAJA = 0 AND TAT91_TABELAS.TAYD91C0_CTABELA = '593' AND ( SUBSTRING( TAT91_TABELAS.TAYD91C0_NELEMC08, 1, 1 ) = '1' OR SUBSTRING( TAT91_TABELAS.TAYD91C0_NELEMC08, 1, 1 ) = '3' )
SELECT '1'
WHERE INTERFACE_DCT01.DCYR8101_CSITCTA IN ( '0', '1', '2', '3', '5', '6', '7', '8', '9' ) AND INTERFACE_DCT01. DCYR8101_DINICONT = '0001-01-01' AND CONF_LITIGATION_PRODUTC.PRODUCT_ID = '029' AND CONF_LITIGATION_PRODUCT.SUBPRODUCT_ID = '286' 
SELECT CAST( COMF_FINANCIAL_FLOW_CONVERTER.CDM_VALUE AS STRING )
WHERE WHERE TCT09_OPERCN.ISITUAC = '1' AND INTERFACE_DCT01.DCYR8101_CFAMILIA IN ( 'ME', 'MN' ) AND CONF_FINANCIAL_FLOW_CONVERTER.SOURCE_TRANSACTION_TYPE_CODE = 'coperac' AND COMF_FINANCIAL_FLOW_CONVERTER.SOURCE_CODE = 'TC' EXCEPT LAST DATA_DATE_PART EXCEPT LAST DATA_DATE_PART </t>
  </si>
  <si>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</si>
  <si>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</si>
  <si>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</si>
  <si>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</si>
  <si>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</si>
  <si>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</si>
  <si>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</si>
  <si>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</si>
  <si>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</si>
  <si>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t>SELECT IF( TRIM( CRT12_TBMOVEXT_NEW.CRT12_PAN ) = '', NULL, CRT12_TBMOVEXT_NEW.CRT12_PAN )
WHERE CRT07_TBCTATAR.FECBAJA = 0 AND TAT91_TABELAS.TAYD91C0_CTABELA = '593' AND ( SUBSTRING( TAT91_TABELAS.TAYD91C0_NELEMC08, 1, 1 ) = '1' OR SUBSTRING( TAT91_TABELAS.TAYD91C0_NELEMC08, 1, 1 ) = '3' )
SELECT IF( TRIM( CRT90_TBMOVDEB_NEW.CRT90DL_PAN ) = '', NULL, CRT90_TBMOVDEB_NEW.CRT90DL_PAN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</si>
  <si>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CRT12_TBMOVEXT
CRT90_TBMOVDEB
N\A
N\A</t>
  </si>
  <si>
    <t>PAN
PAN
N\A
N\A</t>
  </si>
  <si>
    <t>N\A
N\A
"NULL"
"#N/A"</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</si>
  <si>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</si>
  <si>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</si>
  <si>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</si>
  <si>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</si>
  <si>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</si>
  <si>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CRT09_TBTARJET
MOVIMENTOS_CONSOLIDADOS
INTERFACE_DCT01
TCT72_MOVCTA
TCT09_OPERN
CONF_LITIGATION_PRODUCT</t>
  </si>
  <si>
    <t>N\A
N\A
NUMBENCTA
N\A
N\A
N\A
N\A
N\A</t>
  </si>
  <si>
    <t>SELECT IF( TRIM( CRT09_TBTARJET.NUMBENCTA ) = '', NULL, CAST( CAST( ( CRT09_TBTARJET.NUMBENCTA - 1 ) AS INT ) AS STRING ) )
WHERE CRT07_TBCTATAR.FECBAJA = 0 AND TAT91_TABELAS.TAYD91C0_CTABELA = '593' AND ( SUBSTRING( TAT91_TABELAS.TAYD91C0_NELEMC08, 1, 1 ) = '1' OR SUBSTRING( TAT91_TABELAS.TAYD91C0_NELEMC08, 1, 1 ) = '3' )
SELECT IF( TRIM( CRT09_TBTARJET.NUMBENCTA ) = '', NULL, CAST( CAST( ( CRT09_TBTARJET.NUMBENCTA - 1 ) AS INT ) AS STRING )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NULL
WHERE TCT09_OPERCN.ISITUAC = '1' AND CONF_LITIGATION_PRODUTC.PRODUCT_ID = '029' AND CONF_LITIGATION_PRODUCT.SUBPRODUCT_ID = '286'</t>
  </si>
  <si>
    <t>NUMBENCTA - 1
NUMBENCTA - 1
N\A
N\A</t>
  </si>
  <si>
    <t>N\A
N\A
"NULL"
"NULL"</t>
  </si>
  <si>
    <t>Recurring Transaction Indicator</t>
  </si>
  <si>
    <t>recurring_transaction_indicator</t>
  </si>
  <si>
    <t>Indicates whether the transaction is a scheduled recurring transaction or not.</t>
  </si>
  <si>
    <t>Recurring Indicator</t>
  </si>
  <si>
    <t>CRT12_CNATOPR
CRT90DL_NATOPR
N\A
N\A
N\A
N\A
N\A
N\A</t>
  </si>
  <si>
    <t>SELECT IF( ( TRIM( CRT12_TBMOVEXT_NEW.CRT12_CNATOPR ) = '' OR CRT12_TBMOVEXT_NEW.CRT12_CNATOPR IS NULL ),
    NULL,
    IF( CRT12_TBMOVEXT_NEW.CRT12_CNATOPR IN ( '57', '52' ),
        '1',
        '0' )
WHERE CRT07_TBCTATAR.FECBAJA = 0 AND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CRT07_TBCTATAR.FECBAJA = 0 AND TAT91_TABELAS.TAYD91C0_CTABELA = '593' AND ( SUBSTRING( TAT91_TABELAS.TAYD91C0_NELEMC08, 1, 1 ) = '1' OR SUBSTRING( TAT91_TABELAS.TAYD91C0_NELEMC08, 1, 1 ) = '3' )
SELECT '0'
WHERE INTERFACE_DCT01.DCYR8101_CSITCTA IN ( '0', '1', '2', '3', '5', '6', '7', '8', '9' ) AND INTERFACE_DCT01. DCYR8101_DINICONT = '0001-01-01' AND CONF_LITIGATION_PRODUTC.PRODUCT_ID = '029' AND CONF_LITIGATION_PRODUCT.SUBPRODUCT_ID = '286' 
SELECT '0'
WHERE TCT09_OPERCN.ISITUAC = '1' AND CONF_LITIGATION_PRODUTC.PRODUCT_ID = '029' AND CONF_LITIGATION_PRODUCT.SUBPRODUCT_ID = '286'</t>
  </si>
  <si>
    <t>NATOPER
NATOPER
N\A
N\A</t>
  </si>
  <si>
    <t>N\A
N\A
"0"
"0"</t>
  </si>
  <si>
    <t>Chargeback Indicator</t>
  </si>
  <si>
    <t>chargeback_indicator</t>
  </si>
  <si>
    <t>Indicates whether the transaction was annulled or not.</t>
  </si>
  <si>
    <t>Annulation Indicator</t>
  </si>
  <si>
    <t>CRT12_INDESTR
CRT90DL_INDESTR
N\A
N\A
N\A
N\A
N\A
N\A</t>
  </si>
  <si>
    <t>SELECT IF( TRIM( CRT12_TBMOVEXT_NEW.CRT12_INDESTR ) = '', NULL, V.CRT12_INDESTR )
WHERE CRT07_TBCTATAR.FECBAJA = 0 AND TAT91_TABELAS.TAYD91C0_CTABELA = '593' AND ( SUBSTRING( TAT91_TABELAS.TAYD91C0_NELEMC08, 1, 1 ) = '1' OR SUBSTRING( TAT91_TABELAS.TAYD91C0_NELEMC08, 1, 1 ) = '3' )
SELECT CAST( IF( TRIM( CRT90_TBMOVDEB_NEW.CRT90DL_INDESTR ) = '', NULL, CRT90_TBMOVDEB_NEW.CRT90DL_INDESTR ) AS STRING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NULL
WHERE TCT09_OPERCN.ISITUAC = '1' AND CONF_LITIGATION_PRODUTC.PRODUCT_ID = '029' AND CONF_LITIGATION_PRODUCT.SUBPRODUCT_ID = '286'</t>
  </si>
  <si>
    <t>INDESTR
INDESTR
N\A
N\A</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</si>
  <si>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</si>
  <si>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</si>
  <si>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</si>
  <si>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</si>
  <si>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</si>
  <si>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</si>
  <si>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</si>
  <si>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t>SELECT IF( ( TRIM( CRT53.TIPOAUT ) = '' OR CRT53.TIPOAUT IS NULL ),
    NULL,
    IF( SUBSTRING( CRT53.TIPOAUT, 1, 1 ) IN ( '1', '4', '8' ),
        '1',
        '0' )
WHERE CRT07_TBCTATAR.FECBAJA = 0 AND TAT91_TABELAS.TAYD91C0_CTABELA = '593' AND ( SUBSTRING( TAT91_TABELAS.TAYD91C0_NELEMC08, 1, 1 ) = '1' OR SUBSTRING( TAT91_TABELAS.TAYD91C0_NELEMC08, 1, 1 ) = '3' )
SELECT CAST( IF( ( TRIM( crt53.tipoaut ) = '' OR crt53.tipoaut IS NULL ),
    NULL,
    IF(SUBSTR(crt53.tipoaut, 1, 1) IN ('1', '4', '8'),
        '1',
        '0'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</si>
  <si>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</si>
  <si>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</si>
  <si>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</si>
  <si>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</si>
  <si>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</si>
  <si>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</si>
  <si>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</si>
  <si>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</si>
  <si>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</si>
  <si>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</si>
  <si>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</si>
  <si>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</si>
  <si>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</si>
  <si>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</si>
  <si>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</si>
  <si>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t>SELECT IF( TRIM( CRT12_TBMOVEXT_NEW.CRT12_CLAMON ) = '', NULL, CRT12_TBMOVEXT_NEW.CRT12_CLAMON )
WHERE CRT07_TBCTATAR.FECBAJA = 0 AND TAT91_TABELAS.TAYD91C0_CTABELA = '593' AND ( SUBSTRING( TAT91_TABELAS.TAYD91C0_NELEMC08, 1, 1 ) = '1' OR SUBSTRING( TAT91_TABELAS.TAYD91C0_NELEMC08, 1, 1 ) = '3' )
SELECT IF( TRIM( CRT90_TBMOVDEB_NEW.CRT90DL_CLAMON ) = '', NULL, CRT90_TBMOVDEB_NEW.CRT90DL_CLAMON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</si>
  <si>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</si>
  <si>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</si>
  <si>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</si>
  <si>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CRT90_TBMOVDEB_NEW.CRT90_CLAMONEUR ) = '', NULL, CRT90_TBMOVDEB_NEW.CRT90_CLAMONEUR )
WHERE CRT07_TBCTATAR.FECBAJA = 0 AND TAT91_TABELAS.TAYD91C0_CTABELA = '593' AND ( SUBSTRING( TAT91_TABELAS.TAYD91C0_NELEMC08, 1, 1 ) = '1' OR SUBSTRING( TAT91_TABELAS.TAYD91C0_NELEMC08, 1, 1 ) = '3' )
SELECT IF( TRIM( MOVIMENTOS_CONSOLIDADOS.DCYR9750_CMOEDA ) = '', NULL, MOVIMENTOS_CONSOLIDADOS.DCYR9750_CMOEDA )
WHERE INTERFACE_DCT01.DCYR8101_CSITCTA IN ( '0', '1', '2', '3', '5', '6', '7', '8', '9' ) AND INTERFACE_DCT01. DCYR8101_DINICONT = '0001-01-01' AND CONF_LITIGATION_PRODUTC.PRODUCT_ID = '029' AND CONF_LITIGATION_PRODUCT.SUBPRODUCT_ID = '286' 
SELECT IF( TRIM( TCT72_MOVCTA.CMOEDAOR ) = '', NULL, TCT72_MOVCTA.CMOEDAOR )
WHERE TCT09_OPERCN.ISITUAC = '1' AND CONF_LITIGATION_PRODUTC.PRODUCT_ID = '029' AND CONF_LITIGATION_PRODUCT.SUBPRODUCT_ID = '286'</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</si>
  <si>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</si>
  <si>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</si>
  <si>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CRT07_TBCTATAR.FECBAJA = 0 AND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CRT07_TBCTATAR.FECBAJA = 0 AND TAT91_TABELAS.TAYD91C0_CTABELA = '593' AND ( SUBSTRING( TAT91_TABELAS.TAYD91C0_NELEMC08, 1, 1 ) = '1' OR SUBSTRING( TAT91_TABELAS.TAYD91C0_NELEMC08, 1, 1 ) = '3' )
SELECT IF( TRIM( MOVIMENTOS_CONSOLIDADOS.DCYR9750_DDIAVL ) = '', NULL, MOVIMENTOS_CONSOLIDADOS.DCYR9750_DDIAVL )
WHERE INTERFACE_DCT01.DCYR8101_CSITCTA IN ( '0', '1', '2', '3', '5', '6', '7', '8', '9' ) AND INTERFACE_DCT01. DCYR8101_DINICONT = '0001-01-01' AND CONF_LITIGATION_PRODUTC.PRODUCT_ID = '029' AND CONF_LITIGATION_PRODUCT.SUBPRODUCT_ID = '286' 
SELECT IF( TRIM( TCT72_MOVCTA.DDIAVL ) = '', NULL, TCT72_MOVCTA.DDIAVL )
WHERE TCT09_OPERCN.ISITUAC = '1' AND CONF_LITIGATION_PRODUTC.PRODUCT_ID = '029' AND CONF_LITIGATION_PRODUCT.SUBPRODUCT_ID = '286'</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</si>
  <si>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</si>
  <si>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</si>
  <si>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CRT07_TBCTATAR.FECBAJA = 0 AND TAT91_TABELAS.TAYD91C0_CTABELA = '593' AND ( SUBSTRING( TAT91_TABELAS.TAYD91C0_NELEMC08, 1, 1 ) = '1' OR SUBSTRING( TAT91_TABELAS.TAYD91C0_NELEMC08, 1, 1 ) = '3' )
SELECT IF( TRIM( MOVIMENTOS_CONSOLIDADOS.DCYR9750_DDIAOP ) = '', NULL, MOVIMENTOS_CONSOLIDADOS.DCYR9750_DDIAOP )
WHERE INTERFACE_DCT01.DCYR8101_CSITCTA IN ( '0', '1', '2', '3', '5', '6', '7', '8', '9' ) AND INTERFACE_DCT01. DCYR8101_DINICONT = '0001-01-01' AND CONF_LITIGATION_PRODUTC.PRODUCT_ID = '029' AND CONF_LITIGATION_PRODUCT.SUBPRODUCT_ID = '286' 
SELECT IF( TRIM( TCT72_MOVCTA.DDIAOP ) = '', NULL, TCT72_MOVCTA.DDIAOP )
WHERE TCT09_OPERCN.ISITUAC = '1' AND CONF_LITIGATION_PRODUTC.PRODUCT_ID = '029' AND CONF_LITIGATION_PRODUCT.SUBPRODUCT_ID = '286'</t>
  </si>
  <si>
    <t>FECFAC
FECFAC
DDIAOP
DDIAOP</t>
  </si>
  <si>
    <t>Original Amount</t>
  </si>
  <si>
    <t>original_amount</t>
  </si>
  <si>
    <t>Original amount of the transaction. Represents the amount before the currency exchange, if applicable.</t>
  </si>
  <si>
    <t>Counterparty Transaction Amount</t>
  </si>
  <si>
    <t>CRT12_TBMOVEXT_NEW
CRT90_TBMOVDEB_NEW
CRT07_TBCTATAR
CRT44_TBTIPFAC
MOVIMENTOS_CONSOLIDADOS
INTERFACE_DCT01
TCT72_MOVCTA
TCT09_OPERN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</si>
  <si>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</si>
  <si>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</si>
  <si>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</si>
  <si>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</si>
  <si>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</si>
  <si>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N\A
MMOVIM
N\A
N\A</t>
  </si>
  <si>
    <t>SELECT CAST( CONCAT( CRT44_TBTIPFAC.SIGNO, CRT12_TBMOVEXT_NEW.CRT12_IMPFAC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CRT07_TBCTATAR.FECBAJA = 0 AND TAT91_TABELAS.TAYD91C0_CTABELA = '593' AND ( SUBSTRING( TAT91_TABELAS.TAYD91C0_NELEMC08, 1, 1 ) = '1' OR SUBSTRING( TAT91_TABELAS.TAYD91C0_NELEMC08, 1, 1 ) = '3' )
SELECT CAST( MOVIMENTOS_CONSOLIDADOS.DCYR9750_MMOVIM AS DECIMAL( 23, 6 ) )
WHERE INTERFACE_DCT01.DCYR8101_CSITCTA IN ( '0', '1', '2', '3', '5', '6', '7', '8', '9' ) AND INTERFACE_DCT01. DCYR8101_DINICONT = '0001-01-01' AND CONF_LITIGATION_PRODUTC.PRODUCT_ID = '029' AND CONF_LITIGATION_PRODUCT.SUBPRODUCT_ID = '286' 
SELECT IF( TRIM( TCT72_MOVCTA.MMOVIM ) = '', NULL, CAST( TCT72_MOVCTA.MMOVIM AS DECIMAL( 23, 6 ) ) )
WHERE TCT09_OPERCN.ISITUAC = '1' AND CONF_LITIGATION_PRODUTC.PRODUCT_ID = '029' AND CONF_LITIGATION_PRODUCT.SUBPRODUCT_ID = '286'</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</si>
  <si>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</si>
  <si>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</si>
  <si>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</si>
  <si>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</si>
  <si>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</si>
  <si>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</si>
  <si>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</si>
  <si>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</si>
  <si>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</si>
  <si>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t>SELCT IF( TRIM( CRT12_TBMOVEXT_NEW.CRT12_BANAPOIO ) = '', NULL, CRT12_TBMOVEXT_NEW.CRT12_BANAPOIO )
WHERE CRT07_TBCTATAR.FECBAJA = 0 AND TAT91_TABELAS.TAYD91C0_CTABELA = '593' AND ( SUBSTRING( TAT91_TABELAS.TAYD91C0_NELEMC08, 1, 1 ) = '1' OR SUBSTRING( TAT91_TABELAS.TAYD91C0_NELEMC08, 1, 1 ) = '3' )
SELECT IF( TRIM( CRT90_TBMOVDEB_NEW.CRT90DL_BANAPOIO ) = '', NULL, CRT90_TBMOVDEB_NEW.CRT90DL_BANAPOIO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</si>
  <si>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CRT12_TBMOVEXT || N\A
CRT90_TBMOVDEB || N\A
N\A
N\A</t>
  </si>
  <si>
    <t>BANAPOIO
BANAPOIO
N\A
N\A</t>
  </si>
  <si>
    <t>N\A 
N\A
"NULL"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</si>
  <si>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</si>
  <si>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</si>
  <si>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</si>
  <si>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</si>
  <si>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</si>
  <si>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</si>
  <si>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</si>
  <si>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</si>
  <si>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</si>
  <si>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</si>
  <si>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</si>
  <si>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</si>
  <si>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</si>
  <si>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</si>
  <si>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</si>
  <si>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</si>
  <si>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</si>
  <si>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</si>
  <si>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</si>
  <si>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</si>
  <si>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</si>
  <si>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</si>
  <si>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</si>
  <si>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</si>
  <si>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</si>
  <si>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</si>
  <si>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</si>
  <si>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</si>
  <si>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</si>
  <si>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</si>
  <si>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t>SELECT IF( TRIM( CRT98_ELPS.IDCOMEMP ) = '', NULL, CRT98_ELPS.IDCOMEMP )
WHERE CRT07_TBCTATAR.FECBAJA = 0 AND TAT91_TABELAS.TAYD91C0_CTABELA = '593' AND ( SUBSTRING( TAT91_TABELAS.TAYD91C0_NELEMC08, 1, 1 ) = '1' OR SUBSTRING( TAT91_TABELAS.TAYD91C0_NELEMC08, 1, 1 ) = '3' )
SELECT IF( TRIM( CRT98_ELPS.IDCOMEMP ) = '', NULL, CRT98_ELPS.IDCOMEMP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</si>
  <si>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</si>
  <si>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</si>
  <si>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</si>
  <si>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</si>
  <si>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</si>
  <si>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</si>
  <si>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</si>
  <si>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</si>
  <si>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</si>
  <si>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t>SELECT IF( TRIM( CRT12_TBMOVEXT_NEW.CRT12_CODACT ) = '', NULL, CRT12_TBMOVEXT_NEW.CRT12_CODACT )
WHERE CRT07_TBCTATAR.FECBAJA = 0 AND TAT91_TABELAS.TAYD91C0_CTABELA = '593' AND ( SUBSTRING( TAT91_TABELAS.TAYD91C0_NELEMC08, 1, 1 ) = '1' OR SUBSTRING( TAT91_TABELAS.TAYD91C0_NELEMC08, 1, 1 ) = '3' )
SELECT IF( TRIM( CRT90_TBMOVDEB_NEW.CRT90DL_CODACT ) = '', NULL, CRT90_TBMOVDEB_NEW.CRT90DL_CODACT )
WHERE CRT07_TBCTATAR.FECBAJA = 0 AND TAT91_TABELAS.TAYD91C0_CTABELA = '593' AND ( SUBSTRING( TAT91_TABELAS.TAYD91C0_NELEMC08, 1, 1 ) = '1' OR SUBSTRING( TAT91_TABELAS.TAYD91C0_NELEMC08, 1, 1 ) = '3' )
SELECT NULL
WHERE INTERFACE_DCT01.DCYR8101_CSITCTA IN ( '0', '1', '2', '3', '5', '6', '7', '8', '9' ) AND INTERFACE_DCT01. DCYR8101_DINICONT = '0001-01-01' AND CONF_LITIGATION_PRODUTC.PRODUCT_ID = '029' AND CONF_LITIGATION_PRODUCT.SUBPRODUCT_ID = '286' 
SELECT '#N/A'
WHERE TCT09_OPERCN.ISITUAC = '1' AND CONF_LITIGATION_PRODUTC.PRODUCT_ID = '029' AND CONF_LITIGATION_PRODUCT.SUBPRODUCT_ID = '286'</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</si>
  <si>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</si>
  <si>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</si>
  <si>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</si>
  <si>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CRT07_TBCTATAR.FECBAJA = 0 AND TAT91_TABELAS.TAYD91C0_CTABELA = '593' AND ( SUBSTRING( TAT91_TABELAS.TAYD91C0_NELEMC08, 1, 1 ) = '1' OR SUBSTRING( TAT91_TABELAS.TAYD91C0_NELEMC08, 1, 1 ) = '3' )
SELECT 'DC'
WHERE INTERFACE_DCT01.DCYR8101_CSITCTA IN ( '0', '1', '2', '3', '5', '6', '7', '8', '9' ) AND INTERFACE_DCT01. DCYR8101_DINICONT = '0001-01-01' AND CONF_LITIGATION_PRODUTC.PRODUCT_ID = '029' AND CONF_LITIGATION_PRODUCT.SUBPRODUCT_ID = '286' 
SELECT 'TC'
WHERE TCT09_OPERCN.ISITUAC = '1' AND CONF_LITIGATION_PRODUTC.PRODUCT_ID = '029' AND CONF_LITIGATION_PRODUCT.SUBPRODUCT_ID = '286'</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</si>
  <si>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</si>
  <si>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</si>
  <si>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CRT07_TBCTATAR.FECBAJA = 0 AND TAT91_TABELAS.TAYD91C0_CTABELA = '593' AND ( SUBSTRING( TAT91_TABELAS.TAYD91C0_NELEMC08, 1, 1 ) = '1' OR SUBSTRING( TAT91_TABELAS.TAYD91C0_NELEMC08, 1, 1 ) = '3' )
SELECT MOVIMENTOS_CONSOLIDADOS.DATA_DATE_PART
WHERE INTERFACE_DCT01.DCYR8101_CSITCTA IN ( '0', '1', '2', '3', '5', '6', '7', '8', '9' ) AND INTERFACE_DCT01. DCYR8101_DINICONT = '0001-01-01' AND CONF_LITIGATION_PRODUTC.PRODUCT_ID = '029' AND CONF_LITIGATION_PRODUCT.SUBPRODUCT_ID = '286' 
SELECT TCT72_MOVCTA.DATA_DATE_PART
WHERE TCT09_OPERCN.ISITUAC = '1' AND CONF_LITIGATION_PRODUTC.PRODUCT_ID = '029' AND CONF_LITIGATION_PRODUCT.SUBPRODUCT_ID = '286'</t>
  </si>
  <si>
    <t>SELECT NOW()
WHERE CRT07_TBCTATAR.FECBAJA = 0 AND TAT91_TABELAS.TAYD91C0_CTABELA = '593' AND ( SUBSTRING( TAT91_TABELAS.TAYD91C0_NELEMC08, 1, 1 ) = '1' OR SUBSTRING( TAT91_TABELAS.TAYD91C0_NELEMC08, 1, 1 ) = '3' )
SELECT NOW()
WHERE CRT07_TBCTATAR.FECBAJA = 0 AND TAT91_TABELAS.TAYD91C0_CTABELA = '593' AND ( SUBSTRING( TAT91_TABELAS.TAYD91C0_NELEMC08, 1, 1 ) = '1' OR SUBSTRING( TAT91_TABELAS.TAYD91C0_NELEMC08, 1, 1 ) = '3' )
SELECT NOW()
WHERE INTERFACE_DCT01.DCYR8101_CSITCTA IN ( '0', '1', '2', '3', '5', '6', '7', '8', '9' ) AND INTERFACE_DCT01. DCYR8101_DINICONT = '0001-01-01' AND CONF_LITIGATION_PRODUTC.PRODUCT_ID = '029' AND CONF_LITIGATION_PRODUCT.SUBPRODUCT_ID = '286' 
SELECT NOW()
WHERE TCT09_OPERCN.ISITUAC = '1' AND CONF_LITIGATION_PRODUTC.PRODUCT_ID = '029' AND CONF_LITIGATION_PRODUCT.SUBPRODUCT_ID = '286'</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</si>
  <si>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</si>
  <si>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</si>
  <si>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</si>
  <si>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</si>
  <si>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</si>
  <si>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</si>
  <si>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</si>
  <si>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t>SELECT CONF_GENERAL_CODE_CONVERTER.CDM_VALUE
WHERE 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SELECT CONF_GENERAL_CODE_CONVERTER.CDM_VALUE
WHERE TCT09_OPERCN.ISITUAC = '1' AND INTERFACE_DCT01.DCYR8101_CFAMILIA IN ( 'ME', 'MN' ) AND CONF_GENERAL_CODE_CONVERTER.CODE CATEGORY = 'bank_id' AND CONF_GENERAL_CODE_CONVERTER.SOURCE_CODE = 'TC' AND CONF_GENERAL_CODE_CONVERTER.SOURCE_VALUE = '' AND CONF_GENERAL_CODE_CONVERTER.PRIORITY_LEVEL = '1' EXCEPT LAST DATA_DATE_PART</t>
  </si>
  <si>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</si>
  <si>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</si>
  <si>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</si>
  <si>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</si>
  <si>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</si>
  <si>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t>SELECT CONCAT( MOVIMENTOS_CONSOLIDADOS.DCYR9750_CKBALCAO, MOVIMENTOS_CONSOLIDADOS.DCYR9750_CKNUMCTA, '000000000000000' )
WHERE INTERFACE_DCT01.DCYR8101_CSITCTA IN ( '0', '1', '2', '3', '5', '6', '7', '8', '9' ) AND INTERFACE_DCT01.DCYR8101_CFAMILIA IN ( 'ME', 'MN' ) 
SELECT CONCAT( TCT72_MOVCTA.CKBALCAO, TCT72_MOVCTA.CKNUMCTA, '000000000000000' )
WHERE TCT09_OPERCN.ISITUAC = '1' AND INTERFACE_DCT01.DCYR8101_CFAMILIA IN ( 'ME', 'MN' ) EXCEPT LAST DATA_DATE_PART</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</si>
  <si>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</si>
  <si>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</si>
  <si>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</si>
  <si>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</si>
  <si>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</si>
  <si>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</si>
  <si>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 '1', '2', '3', '5', '6', '7', '8', '9' ) AND INTERFACE_DCT01.DCYR8101_CFAMILIA IN ( 'ME', 'MN' ) 
SELECTT CAST( TCT72_MOVCTA.ZMOVCTA AS BIGINT )
WHERE TCT09_OPERCN.ISITUAC = '1' AND INTERFACE_DCT01.DCYR8101_CFAMILIA IN ( 'ME', 'MN' ) EXCEPT LAST DATA_DATE_PART</t>
  </si>
  <si>
    <t>N\A
N\A
ZSEQMOV 
N\A</t>
  </si>
  <si>
    <t>SELECT CAST( 1 AS BIGINT )
WHERE INTERFACE_DCT01.DCYR8101_CSITCTA IN ( '0', '1', '2', '3', '5', '6', '7', '8', '9' ) AND INTERFACE_DCT01.DCYR8101_CFAMILIA IN ( 'ME', 'MN' ) 
SELECT CAST( TCT72_MOVCTA.ZSEQMOV AS BIGINT )
WHERE TCT09_OPERCN.ISITUAC = '1' AND INTERFACE_DCT01.DCYR8101_CFAMILIA IN ( 'ME', 'MN' ) EXCEPT LAST DATA_DATE_PART</t>
  </si>
  <si>
    <t>N\A
ZSEQMOV</t>
  </si>
  <si>
    <t>"1"
N\A</t>
  </si>
  <si>
    <t>Transaction Type:
TAT91_TABELAS - CTABELA 021; CURATED_INTERNAL_MAINFRAME_ESTRUTURAIS.TAT91_TABELAS - TAYD91C0_CTABELA 021|| OB_OPERACION + OB_OPER_BASICA; ? + ?
TAT91_TABELAS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</si>
  <si>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</si>
  <si>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</si>
  <si>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SELECT CONF_GENERAL_CODE_CONVERTER.CDM_VALUE
WHERE TCT09_OPERCN.ISITUAC = '1' AND INTERFACE_DCT01.DCYR8101_CFAMILIA IN ( 'ME', 'MN'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</si>
  <si>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DCYR9750 || DCYR9750 
TCT72_MOVCTA</t>
  </si>
  <si>
    <t>COPERAC || CONCAT( OPERBAS, OPERBAN )
COPERAC</t>
  </si>
  <si>
    <t>N\A || N\A
N\A</t>
  </si>
  <si>
    <t>Transaction Date Time
Transaction ID
Transaction ID</t>
  </si>
  <si>
    <t>DCYR9750_DDIAOP 
N\A
DDIAOP 
N\A</t>
  </si>
  <si>
    <t>SELECT IF( TRIM( MOVIMENTOS_CONSOLIDADOS.DCYR9750_DDIAOP  = '' ), NULL, MOVIMENTOS_CONSOLIDADOS.DCYR9750_DDIAOP )
WHERE INTERFACE_DCT01.DCYR8101_CSITCTA IN ( '0', '1', '2', '3', '5', '6', '7', '8', '9' ) AND INTERFACE_DCT01.DCYR8101_CFAMILIA IN ( 'ME', 'MN' ) 
SELECT IF( TRIM( TCT72_MOVCTA.DDIAOP ) = '', NULL, TCT72_MOVCTA.DDIAOP )
WHERE TCT09_OPERCN.ISITUAC = '1' AND INTERFACE_DCT01.DCYR8101_CFAMILIA IN ( 'ME', 'MN' ) EXCEPT LAST DATA_DATE_PART</t>
  </si>
  <si>
    <t>DCYR9750_MMOVIM 
N\A
MMOVIM 
N\A</t>
  </si>
  <si>
    <t>SELECT CAST( CASE
      WHEN MOVIMENTOS_CONSOLIDADOS.DCYR9750_COPER = 'D' THEN -1 * MOVIMENTOS_CONSOLIDADOS.DCYR9750_MMOVIM 
      ELSE MOVIMENTOS_CONSOLIDADOS.DCYR9750_MMOVIM 
    END AS DECIMAL( 23, 6 ) ) AS amount,
WHERE INTERFACE_DCT01.DCYR8101_CSITCTA IN ( '0', '1', '2', '3', '5', '6', '7', '8', '9' ) AND INTERFACE_DCT01.DCYR8101_CFAMILIA IN ( 'ME', 'MN' ) 
SELECT CAST( TCT72_MOVCTA.MMOVIM AS DECIMAL( 23, 6 ) )
WHERE TCT09_OPERCN.ISITUAC = '1' AND INTERFACE_DCT01.DCYR8101_CFAMILIA IN ( 'ME', 'MN' ) EXCEPT LAST DATA_DATE_PART</t>
  </si>
  <si>
    <t>CURATED_INTERNAL_MAINFRAME_CONTAS
CURATED_INTERNAL_MAINFRAME_CONTAS
OPERATION_COMMON_REFERENCEDATA_CORE</t>
  </si>
  <si>
    <t>MOVIMENTOS_CONSOLIDADOS
INTERFACE_DCT01
CONF_FINANCIAL_FLOW_CONVERTER</t>
  </si>
  <si>
    <t>N\A
N\A
CDM_VALUE</t>
  </si>
  <si>
    <t>SELECT '1'
WHERE INTERFACE_DCT01.DCYR8101_CSITCTA IN ( '0', '1', '2', '3', '5', '6', '7', '8', '9' ) AND INTERFACE_DCT01.DCYR8101_CFAMILIA IN ( 'ME', 'MN' ) 
SELECT CAST( CONF_FINANCIAL_FLOW_CONVERTER.CDM_VALUE AS STRING )
WHERE WHERE TCT09_OPERCN.ISITUAC = '1' AND INTERFACE_DCT01.DCYR8101_CFAMILIA IN ( 'ME', 'MN' ) AND CONF_FINANCIAL_FLOW_CONVERTER.SOURCE_TRANSACTION_TYPE_CODE = 'coperac' AND CONF_FINANCIAL_FLOW_CONVERTER.SOURCE_VALUE = TCT72_MOVCTA.COPERAC AND CONF_FINANCIAL_FLOW_CONVERTER.SOURCE_CODE = 'TC' EXCEPT LAST DATA_DATE_PART</t>
  </si>
  <si>
    <t>DCYR9750_CMOEDA 
N\A
CMOEDAOR
N\A</t>
  </si>
  <si>
    <t>SELECT IF( TRIM( MOVIMENTOS_CONSOLIDADOS.DCYR9750_CMOEDA ) = '', NULL, MOVIMENTOS_CONSOLIDADOS.DCYR9750_CMOEDA )
WHERE INTERFACE_DCT01.DCYR8101_CSITCTA IN ( '0', '1', '2', '3', '5', '6', '7', '8', '9' ) AND INTERFACE_DCT01.DCYR8101_CFAMILIA IN ( 'ME', 'MN' ) 
SELECT IF( TRIM( TCT72_MOVCTA.CMOEDAOR ) = '', NULL, TCT72_MOVCTA.CMOEDAOR )
WHERE TCT09_OPERCN.ISITUAC = '1' AND INTERFACE_DCT01.DCYR8101_CFAMILIA IN ( 'ME', 'MN' ) EXCEPT LAST DATA_DATE_PART</t>
  </si>
  <si>
    <t>DCYR9750_DDIAVL
N\A
DDIAVL
N\A</t>
  </si>
  <si>
    <t>SELECT IF( TRIM( MOVIMENTOS_CONSOLIDADOS.DCYR9750_DDIAVL ) = '', NULL, MOVIMENTOS_CONSOLIDADOS.DCYR9750_DDIAVL )
WHERE INTERFACE_DCT01.DCYR8101_CSITCTA IN ( '0', '1', '2', '3', '5', '6', '7', '8', '9' ) AND INTERFACE_DCT01.DCYR8101_CFAMILIA IN ( 'ME', 'MN' ) 
SELECT IF( TRIM( TCT72_MOVCTA.DDIAVL ) = '', NULL, TCT72_MOVCTA.DDIAVL )
WHERE TCT09_OPERCN.ISITUAC = '1' AND INTERFACE_DCT01.DCYR8101_CFAMILIA IN ( 'ME', 'MN' ) EXCEPT LAST DATA_DATE_PART</t>
  </si>
  <si>
    <t>Accounting Operation Code</t>
  </si>
  <si>
    <t>accounting_operation_code</t>
  </si>
  <si>
    <t>Ext Inf - Trans Inf - Code</t>
  </si>
  <si>
    <t>Sintra's accounting transaction code.</t>
  </si>
  <si>
    <t>DCYR9750_COPERAC
N\A
COPERAC
N\A</t>
  </si>
  <si>
    <t>SELECT IF( TRIM( MOVIMENTOS_CONSOLIDADOS.DCYR9750_COPERAC ) = '', NULL, MOVIMENTOS_CONSOLIDADOS.DCYR9750_COPERAC )
WHERE INTERFACE_DCT01.DCYR8101_CSITCTA IN ( '0', '1', '2', '3', '5', '6', '7', '8', '9' ) AND INTERFACE_DCT01.DCYR8101_CFAMILIA IN ( 'ME', 'MN' ) 
SELECT  IF( TRIM( TCT72_MOVCTA.COPERAC ) = '', NULL, TCT72_MOVCTA.COPERAC )
WHERE TCT09_OPERCN.ISITUAC = '1' AND INTERFACE_DCT01.DCYR8101_CFAMILIA IN ( 'ME', 'MN' ) EXCEPT LAST DATA_DATE_PART</t>
  </si>
  <si>
    <t>Accounting Operation Option Code</t>
  </si>
  <si>
    <t>accounting_operation_option_code</t>
  </si>
  <si>
    <t>Sintra's accounting transaction option code.</t>
  </si>
  <si>
    <t>DCYR9750_COPCAO
N\A
COPCAO
N\A</t>
  </si>
  <si>
    <t>SELECT IF( TRIM( MOVIMENTOS_CONSOLIDADOS.DCYR9750_COPCAO ) = '', NULL, MOVIMENTOS_CONSOLIDADOS.DCYR9750_COPCAO )
WHERE INTERFACE_DCT01.DCYR8101_CSITCTA IN ( '0', '1', '2', '3', '5', '6', '7', '8', '9' ) AND INTERFACE_DCT01.DCYR8101_CFAMILIA IN ( 'ME', 'MN' ) 
SELECT  IF( TRIM( TCT72_MOVCTA.COPCAO ) = '', NULL, TCT72_MOVCTA.COPCAO )
WHERE TCT09_OPERCN.ISITUAC = '1' AND INTERFACE_DCT01.DCYR8101_CFAMILIA IN ( 'ME', 'MN' ) EXCEPT LAST DATA_DATE_PART</t>
  </si>
  <si>
    <t>COPCAO
COPCAO</t>
  </si>
  <si>
    <t>Accounting Basic Bank Operation</t>
  </si>
  <si>
    <t>accounting_bank_basic_operation</t>
  </si>
  <si>
    <t>Partenon's accounting transaction code.</t>
  </si>
  <si>
    <t>DCYR9750_OPERBAS, DCY9750_OPERBAN
N\A
COPERAC
N\A</t>
  </si>
  <si>
    <t>SELECT CONCAT( DCYR9750_OPERBAS, DCY9750_OPERBAN )
WHERE INTERFACE_DCT01.DCYR8101_CSITCTA IN ( '0', '1', '2', '3', '5', '6', '7', '8', '9' ) AND INTERFACE_DCT01.DCYR8101_CFAMILIA IN ( 'ME', 'MN' ) 
SELECT '#N/A'
WHERE TCT09_OPERCN.ISITUAC = '1' AND INTERFACE_DCT01.DCYR8101_CFAMILIA IN ( 'ME', 'MN' ) EXCEPT LAST DATA_DATE_PART</t>
  </si>
  <si>
    <t>CONCAT( OPERBAS, OPERBAN )
N\A</t>
  </si>
  <si>
    <t>N\A
"#N/A"</t>
  </si>
  <si>
    <t>Check Number</t>
  </si>
  <si>
    <t>check_number</t>
  </si>
  <si>
    <t>Ext Inf - Trans Inf - Value</t>
  </si>
  <si>
    <t>If applicable, identifies the check associated with the transaction.</t>
  </si>
  <si>
    <t>DCYR9750_ZCHQ
N\A
N\A
N\A</t>
  </si>
  <si>
    <t>SELECT IF( TRIM( MOVIMENTOS_CONSOLIDADOS.DCYR9750_ZCHQ ) = '', NULL, MOVIMENTOS_CONSOLIDADOS.DCYR9750_ZCHQ )
WHERE INTERFACE_DCT01.DCYR8101_CSITCTA IN ( '0', '1', '2', '3', '5', '6', '7', '8', '9' ) AND INTERFACE_DCT01.DCYR8101_CFAMILIA IN ( 'ME', 'MN' ) 
SELECT IF( TRIM( TCT72_MOVCTA.DDIAVL ) = '', NULL, TCT72_MOVCTA.DDIAVL )
WHERE TCT09_OPERCN.ISITUAC = '1' AND INTERFACE_DCT01.DCYR8101_CFAMILIA IN ( 'ME', 'MN' ) EXCEPT LAST DATA_DATE_PART</t>
  </si>
  <si>
    <t>DCYR9750
N\A</t>
  </si>
  <si>
    <t>ZCHQ
N\A</t>
  </si>
  <si>
    <t>N\A
"NULL"</t>
  </si>
  <si>
    <t>Transfer Reference</t>
  </si>
  <si>
    <t>transfer_reference</t>
  </si>
  <si>
    <t>If the movement is a payment or a transfer it contains its reference.</t>
  </si>
  <si>
    <t>DCYR9750_GREFMOV
N\A
GREFMOV
N\A</t>
  </si>
  <si>
    <t>SELECT MOVIMENTOS_CONSOLIDADOS.DCYR9750_GREFMOV
WHERE INTERFACE_DCT01.DCYR8101_CSITCTA IN ( '0', '1', '2', '3', '5', '6', '7', '8', '9' ) AND INTERFACE_DCT01.DCYR8101_CFAMILIA IN ( 'ME', 'MN' ) 
SELECT TCT72_MOVCTA.GREFMOV
WHERE TCT09_OPERCN.ISITUAC = '1' AND INTERFACE_DCT01.DCYR8101_CFAMILIA IN ( 'ME', 'MN' ) EXCEPT LAST DATA_DATE_PART</t>
  </si>
  <si>
    <t>GREFMOV
GREFMOV</t>
  </si>
  <si>
    <t>Description</t>
  </si>
  <si>
    <t>description</t>
  </si>
  <si>
    <t>Detail information and payment details of a transaction. This field has a limited size of 30.</t>
  </si>
  <si>
    <t>DCYR9750_GDESMOV
N\A
N\A
N\A</t>
  </si>
  <si>
    <t>SELECT MOVIMENTOS_CONSOLIDADOS.DCYR9750_GDESMOV
WHERE INTERFACE_DCT01.DCYR8101_CSITCTA IN ( '0', '1', '2', '3', '5', '6', '7', '8', '9' ) AND INTERFACE_DCT01.DCYR8101_CFAMILIA IN ( 'ME', 'MN' ) 
SELECT ''
WHERE TCT09_OPERCN.ISITUAC = '1' AND INTERFACE_DCT01.DCYR8101_CFAMILIA IN ( 'ME', 'MN' ) EXCEPT LAST DATA_DATE_PART</t>
  </si>
  <si>
    <t>GDESMOV
N\A</t>
  </si>
  <si>
    <t>N\A
" "</t>
  </si>
  <si>
    <t>Full Description</t>
  </si>
  <si>
    <t>full_description</t>
  </si>
  <si>
    <t xml:space="preserve">Full detail information and payment details of a transaction. </t>
  </si>
  <si>
    <t>DCYR9750_DESCR01
N\A
N\A
N\A</t>
  </si>
  <si>
    <t>SELECT MOVIMENTOS_CONSOLIDADOS.DCYR9750_DESCR01
WHERE INTERFACE_DCT01.DCYR8101_CSITCTA IN ( '0', '1', '2', '3', '5', '6', '7', '8', '9' ) AND INTERFACE_DCT01.DCYR8101_CFAMILIA IN ( 'ME', 'MN' ) 
SELECT ''
WHERE TCT09_OPERCN.ISITUAC = '1' AND INTERFACE_DCT01.DCYR8101_CFAMILIA IN ( 'ME', 'MN' ) EXCEPT LAST DATA_DATE_PART</t>
  </si>
  <si>
    <t>DESCR01
N\A</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</si>
  <si>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</si>
  <si>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</si>
  <si>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</si>
  <si>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</si>
  <si>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 '1', '2', '3', '5', '6', '7', '8', '9' ) AND INTERFACE_DCT01.DCYR8101_CFAMILIA IN ( 'ME', 'MN' ) 
SELECT ''
WHERE TCT09_OPERCN.ISITUAC = '1' AND INTERFACE_DCT01.DCYR8101_CFAMILIA IN ( 'ME', 'MN' ) EXCEPT LAST DATA_DATE_PART</t>
  </si>
  <si>
    <t>GOBSERV
N\A</t>
  </si>
  <si>
    <t>Sender Source Code</t>
  </si>
  <si>
    <t>sender_source_code</t>
  </si>
  <si>
    <t>Identifies the application that generated the transaction in the current account (DC) application.</t>
  </si>
  <si>
    <t>DCYR9750_CAPLIC
N\A
CAPLIC
N\A</t>
  </si>
  <si>
    <t>SELECT IF( TRIM( MOVIMENTOS_CONSOLIDADOS.DCYR9750_CAPLIC ) = '', NULL, MOVIMENTOS_CONSOLIDADOS.DCYR9750_CAPLIC )
WHERE INTERFACE_DCT01.DCYR8101_CSITCTA IN ( '0', '1', '2', '3', '5', '6', '7', '8', '9' ) AND INTERFACE_DCT01.DCYR8101_CFAMILIA IN ( 'ME', 'MN' ) 
SELECT  IF( TRIM( TCT72_MOVCTA.CAPLIC ) = '', NULL, TCT72_MOVCTA.CAPLIC )
WHERE TCT09_OPERCN.ISITUAC = '1' AND INTERFACE_DCT01.DCYR8101_CFAMILIA IN ( 'ME', 'MN' ) EXCEPT LAST DATA_DATE_PART</t>
  </si>
  <si>
    <t>CAPLIC
CAPLIC</t>
  </si>
  <si>
    <t>Sender Order Number Stage</t>
  </si>
  <si>
    <t>sender_order_number_stage</t>
  </si>
  <si>
    <t>Identifies the order number stage of the transaction inside the internal source code. For example, a movement in OR can have 4 stages and only one generates a transaction in a current account.</t>
  </si>
  <si>
    <t>DCYR9750_NUMMOVIM_OPER
N\A
N\A
N\A</t>
  </si>
  <si>
    <t>SELECT IF( CAST( MOVIMENTOS_CONSOLIDADOS.DCYR9750_NUMMOVIM_OPER AS STRING) = '', NULL, CAST( MOVIMENTOS_CONSOLIDADOS.DCYR9750_NUMMOVIM_OPER AS STRING ) )
WHERE INTERFACE_DCT01.DCYR8101_CSITCTA IN ( '0', '1', '2', '3', '5', '6', '7', '8', '9' ) AND INTERFACE_DCT01.DCYR8101_CFAMILIA IN ( 'ME', 'MN' ) 
SELECT '#N/A'
WHERE TCT09_OPERCN.ISITUAC = '1' AND INTERFACE_DCT01.DCYR8101_CFAMILIA IN ( 'ME', 'MN' ) EXCEPT LAST DATA_DATE_PART</t>
  </si>
  <si>
    <t>NUMMOVIM_OPER
N\A</t>
  </si>
  <si>
    <t>SELECT 'DC'
WHERE INTERFACE_DCT01.DCYR8101_CSITCTA IN ( '0', '1', '2', '3', '5', '6', '7', '8', '9' ) AND INTERFACE_DCT01.DCYR8101_CFAMILIA IN ( 'ME', 'MN' ) 
SELECT 'TC'
WHERE TCT09_OPERCN.ISITUAC = '1' AND INTERFACE_DCT01.DCYR8101_CFAMILIA IN ( 'ME', 'MN' ) EXCEPT LAST DATA_DATE_PART</t>
  </si>
  <si>
    <t>"DC"
"TC"</t>
  </si>
  <si>
    <t>SELECT MOVIMENTOS_CONSOLIDADOS.DATA_DATE_PART
WHERE INTERFACE_DCT01.DCYR8101_CSITCTA IN ( '0', '1', '2', '3', '5', '6', '7', '8', '9' ) AND INTERFACE_DCT01.DCYR8101_CFAMILIA IN ( 'ME', 'MN' ) 
SELECT TCT72_MOVCTA.DATA_DATE_PART
WHERE TCT09_OPERCN.ISITUAC = '1' AND INTERFACE_DCT01.DCYR8101_CFAMILIA IN ( 'ME', 'MN' ) EXCEPT LAST DATA_DATE_PART</t>
  </si>
  <si>
    <t>SELECT NOW()
WHERE INTERFACE_DCT01.DCYR8101_CSITCTA IN ( '0', '1', '2', '3', '5', '6', '7', '8', '9' ) AND INTERFACE_DCT01.DCYR8101_CFAMILIA IN ( 'ME', 'MN' ) 
SELECT NOW()
WHERE TCT09_OPERCN.ISITUAC = '1' AND INTERFACE_DCT01.DCYR8101_CFAMILIA IN ( 'ME', 'MN' ) EXCEPT LAST DATA_DATE_PART</t>
  </si>
  <si>
    <t>common_contracts_debitcards</t>
  </si>
  <si>
    <t>Debit Card Account Transaction</t>
  </si>
  <si>
    <t>debit_card_account_transaction</t>
  </si>
  <si>
    <t>CURATED_INTERNAL_MAINFRAME_CARTOES
CURATED_INTERNAL_MAINFRAME_CARTOES
CURATED_INTERNAL_MAINFRAME_ESTRUTURAIS
OPERATIONS_COMMON_REFERENCEDATA_CORE</t>
  </si>
  <si>
    <t>CRT90_TBMOVDEB_NEW
CRT07_TBCTATAR
TAT91_TABELAS
CONF_GENERAL_CONVERTER</t>
  </si>
  <si>
    <t>N\A
N\A
N\A
CDM_VALUE</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</si>
  <si>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CONF_GENERAL_CONVERTER.CODE CATEGORY = 'bank_id' AND CONF_GENERAL_CONVERTER.SOURCE_CODE = 'CR' AND CONF_GENERAL_CONVERTER.SOURCE_VALUE = '' AND CONF_GENERAL_CONVERTER.PRIORITY_LEVEL = '1'</t>
  </si>
  <si>
    <t>CR - Cartões</t>
  </si>
  <si>
    <t>N\A</t>
  </si>
  <si>
    <t>"31"</t>
  </si>
  <si>
    <t>CURATED_INTERNAL_MAINFRAME_CARTOES
CURATED_INTERNAL_MAINFRAME_CARTOES
CURATED_INTERNAL_MAINFRAME_ESTRUTURAIS</t>
  </si>
  <si>
    <t>CRT90_TBMOVDEB_NEW
CRT07_TBCTATAR
TAT91_TABELAS</t>
  </si>
  <si>
    <t>N\A
CKBALCAO, CKNUMCTA
N\A</t>
  </si>
  <si>
    <t>SELECT CONCAT( CRT07_TBCTATAR.CKBALCAO, CRT07_TBCTATAR.CKNUMCTA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</si>
  <si>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CRT07_TBCTATAR</t>
  </si>
  <si>
    <t>CONCAT ( CKBALCAO, CKNUMCTA )</t>
  </si>
  <si>
    <t>CRT90DL_NUMEXTCTA
N\A
N\A</t>
  </si>
  <si>
    <t>SELECT CAST( CRT90_TBMOVDEB_NEW.CRT90DL_NUMEXTCTA AS BIGINT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</si>
  <si>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CRT90_TBMOVDEB</t>
  </si>
  <si>
    <t>NUMEXTCTA</t>
  </si>
  <si>
    <t>CRT90DL_NUMMOVEXT
N\A
N\A</t>
  </si>
  <si>
    <t>SELECTCAST(CRT90_TBMOVDEB_NEW.CRT90DL_NUMMOVEXT AS BIGINT)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</si>
  <si>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</si>
  <si>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</si>
  <si>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</si>
  <si>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CONF_GENERAL_CONVERTER</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</si>
  <si>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CRT90_TBMOVDEB_NEW.CRT90DL_TTIPOFACN AND CONF_GENERAL_CONVERTER.CODE CATEGORY = 'transaction_type_code' AND CONF_GENERAL_CONVERTER.SOURCE_CODE = 'CR' AND CONF_GENERAL_CONVERTER.SOURCE_VALUE = CONF_TRANSACTION_TYPE_CONVERTER.CDM_VALUE AND CONF_GENERAL_CONVERTER.PRIORITY_LEVEL = '1'</t>
  </si>
  <si>
    <t>CONCAT (INDORI, TIPOFACN, INDESTR )</t>
  </si>
  <si>
    <t>Transaction Type</t>
  </si>
  <si>
    <t>Monetary Indicator</t>
  </si>
  <si>
    <t>SELECT '1'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</si>
  <si>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"1"</t>
  </si>
  <si>
    <t>CRT90DL_PAN
N\A
N\A</t>
  </si>
  <si>
    <t>SELECT IF( TRIM( CRT90_TBMOVDEB_NEW.CRT90DL_PAN ) = '', NULL, CRT90_TBMOVDEB_NEW.CRT90DL_PAN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</si>
  <si>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PAN</t>
  </si>
  <si>
    <t>INT</t>
  </si>
  <si>
    <t>CURATED_INTERNAL_MAINFRAME_CARTOES
CURATED_INTERNAL_MAINFRAME_CARTOES
CURATED_INTERNAL_MAINFRAME_CARTOES
CURATED_INTERNAL_MAINFRAME_ESTRUTURAIS</t>
  </si>
  <si>
    <t>CRT90_TBMOVDEB_NEW
CRT07_TBCTATAR
CRT09_TBTARJET
TAT91_TABELAS</t>
  </si>
  <si>
    <t>N\A
N\A
NUMBENCTA
N\A</t>
  </si>
  <si>
    <t>SELECT IF( TRIM( CRT09_TBTARJET.NUMBENCTA) = '', NULL, CAST( ( CRT09_TBTARJET.NUMBENCTA- 1 ) AS INT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</si>
  <si>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CRT09_TBTARJET</t>
  </si>
  <si>
    <t>NUMBENCTA - 1</t>
  </si>
  <si>
    <t>CRT90DL_CNATOPR
N\A
N\A</t>
  </si>
  <si>
    <t>SELECT IF( ( TRIM( CRT90_TBMOVDEB_NEW.CRT90DL_CNATOPR ) = '' OR CRT90_TBMOVDEB_NEW.CRT90DL_CNATOPR IS NULL ), 
    NULL, 
    IF( CRT90_TBMOVDEB_NEW.CRT90DL_CNATOPR IN ( '52', '57' ),
        '1',
        '0'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</si>
  <si>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 xml:space="preserve">
CRT90_TBMOVDEB</t>
  </si>
  <si>
    <t>CNATOPER</t>
  </si>
  <si>
    <t>CRT90DL_INDESTR
N\A
N\A</t>
  </si>
  <si>
    <t>SELECT CAST( IF( TRIM( CRT90_TBMOVDEB_NEW.CRT90DL_INDESTR ) = '', 
    NULL, 
    CRT90_TBMOVDEB_NEW.CRT90DL_INDESTR ) AS STRING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</si>
  <si>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INDESTR</t>
  </si>
  <si>
    <t>Authentication Method:
N\A ( Manual Implementação SIBS ); N\A</t>
  </si>
  <si>
    <t>CRT90_TBMOVDEB_NEW
CRT07_TBCTATAR
CRT53
TAT91_TABELAS</t>
  </si>
  <si>
    <t>N\A
N\A
TIPOAUT
N\A</t>
  </si>
  <si>
    <t>SELECT CAST( IF( ( TRIM( CRT53.TIPOAUT ) = '' OR CRT53.TIPOAUT IS NULL ),
    NULL,
    IF( SUBSTRING( CRT53.TIPOAUT, 1, 1 ) IN ( '1', '4', '8' ),
        '1',
        '0' ) ) AS STRING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</si>
  <si>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CRT53_TBMOVAUX</t>
  </si>
  <si>
    <t>TIPOAUT</t>
  </si>
  <si>
    <t>SELECT IF( TRIM( CRT53.TIPOAUT ) = '', NULL, CRT53.TIPOAUT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</si>
  <si>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CRT53_TBMOVAUX
N\A</t>
  </si>
  <si>
    <t xml:space="preserve">TIPOAUT </t>
  </si>
  <si>
    <t>Currency:
TAT91 - CTABELA 206; CURATED_INTERNAL_MAINFRAME_ESTRUTURAIS.TAT91_TABELAS - TAYD91C0_CTABELA 206</t>
  </si>
  <si>
    <t>CRT90DL_CLAMON
N\A
N\A</t>
  </si>
  <si>
    <t>SELECT IF( TRIM( CRT90_TBMOVDEB_NEW.CRT90DL_CLAMON ) = '', NULL, CRT90_TBMOVDEB_NEW.CRT90DL_CLAMON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</si>
  <si>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CLAMON</t>
  </si>
  <si>
    <t>CRT90DL_CLAMONEUR
N\A
N\A</t>
  </si>
  <si>
    <t>SELECT IF( TRIM( CRT90_TBMOVDEB_NEW.CRT90DL_CLAMONEUR ) = '', NULL, CRT90_TBMOVDEB_NEW.CRT90DL_CLAMONEUR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</si>
  <si>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CLAMONEUR</t>
  </si>
  <si>
    <t>CRT90DL_FECVALOR
N\A
N\A</t>
  </si>
  <si>
    <t>SELECT 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</si>
  <si>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FECVALOR</t>
  </si>
  <si>
    <t>CRT90DL_FECFAC
N\A
N\A</t>
  </si>
  <si>
    <t>SELECT 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</si>
  <si>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FECFAC</t>
  </si>
  <si>
    <t>CRT90_TBMOVDEB_NEW
CRT07_TBCTATAR
CRT44_TBTIPFAC
TAT91_TABELAS</t>
  </si>
  <si>
    <t>CRT90DL_IMPDIV, CRT90DL_IMPFAC 
N\A
SIGNO
N\A</t>
  </si>
  <si>
    <t>SELECT IF( CRT90_TBMOVDEB_NEW.CRT90DL_CLAMON != '978', CAST( CONCAT( CRT44_TBTIPFAC.signo, CRT90_TBMOVDEB_NEW.CRT90DL_IMPDIV ) AS DECIMAL( 23, 6 ) ), CAST( CONCAT( CRT44_TBTIPFAC.signo, CRT90_TBMOVDEB_NEW.CRT90DL_IMPFAC ) AS DECIMAL( 23, 6 )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</si>
  <si>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(1)CRT90_TBMOVDEB + (2)CRT44_TBTIPFAC ||(1)CRT90_TBMOVDEB + (2)CRT44_TBTIPFAC</t>
  </si>
  <si>
    <t>CONCAT( (2)SIGNO, (1)IMPDIV )|| CONCAT( (2)SIGNO, (1)IMPFAC )</t>
  </si>
  <si>
    <t>N\A || N\A</t>
  </si>
  <si>
    <t>CRT90DL_IMPFAC 
N\A
SIGNO
N\A</t>
  </si>
  <si>
    <t>SELECT IF( TRIM( CONCAT( CRT44_TBTIPFAC.SIGNO, CRT90_TBMOVDEB_NEW.CRT90DL_IMPFAC ) ) = '', NULL, CAST( CONCAT( CRT44_TBTIPFAC.SIGNO, CRT90_TBMOVDEB_NEW.CRT90DL_IMPFAC ) AS DECIMAL( 23, 6 ) )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</si>
  <si>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(1)CRT90_TBMOVDEB + (2)CRT44_TBTIPFAC</t>
  </si>
  <si>
    <t>CONCAT( (2)SIGNO, (1)IMPFAC )</t>
  </si>
  <si>
    <t>Organization ID:
?; ?</t>
  </si>
  <si>
    <t>CRT90DL_BANAPOIO
N\A
N\A</t>
  </si>
  <si>
    <t>SELECT IF( TRIM( CRT90_TBMOVDEB_NEW.CRT90DL_BANAPOIO ) = '', NULL, CRT90_TBMOVDEB_NEW.CRT90DL_BANAPOIO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</si>
  <si>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BANAPOIO</t>
  </si>
  <si>
    <t>CRT90DL_NOMCOMRED
N\A
N\A</t>
  </si>
  <si>
    <t>SELECT IF( TRIM( CRT90_TBMOVDEB_NEW.CRT90DL_NOMCOMRED ) = '', NULL, CRT90_TBMOVDEB_NEW.CRT90DL_NOMCOMRED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</si>
  <si>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NOMCOMRED</t>
  </si>
  <si>
    <t>ATM Terminal:
CRT_ELPS; CURATED_INTERNAL_MAINFRAME_CARTOES.CRTELPS</t>
  </si>
  <si>
    <t>CRT90DL_CODCOM
N\A
N\A</t>
  </si>
  <si>
    <t>SELECT IF( CRT90_TBMOVDEB_NEW.CRT90DL_GRUPO= 'A',
    IF( TRIM( CRT90_TBMOVDEB_NEW.CRT90DL_CODCOM ) = '',
        NULL,
        CRT90_TBMOVDEB_NEW.CRT90DL_CODCOM ),
    '#N/A'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</si>
  <si>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CRT90_TBMOVDEB || N\A</t>
  </si>
  <si>
    <t>CODCOM || N\A</t>
  </si>
  <si>
    <t>N\A || "#N/A"</t>
  </si>
  <si>
    <t>POS Terminal:
CRT98_ELPS; CURATED_INTERNAL_MAINFRAME_CARTOES.CRT98_ELPS</t>
  </si>
  <si>
    <t>SELECT IF( CRT90_TBMOVDEB_NEW.CRT90DL_GRUPO IN ( 'B', 'P', 'Z' ),
    IF( TRIM( CRT90_TBMOVDEB_NEW.CRT90DL_CODCOM ) = '',
        NULL,
        CRT90_TBMOVDEB_NEW.CRT90DL_CODCOM ),
    '#N/A'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</si>
  <si>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CRT90_TBMOVDEB_NEW
CRT07_TBCTATAR
CRT98_ELPS
TAT91_TABELAS</t>
  </si>
  <si>
    <t>N\A
N\A
IDCOMEMP
N\A</t>
  </si>
  <si>
    <t>SELECT IF( TRIM( CRT98_ELPS.IDCOMEMP ) = '', NULL, CRT98_ELPS.IDCOMEMP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</si>
  <si>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CRT98_ELPS</t>
  </si>
  <si>
    <t>IDCOMEMP</t>
  </si>
  <si>
    <t>Merchant Category:
?; ?</t>
  </si>
  <si>
    <t>CRT90DL_CODACT
N\A
N\A</t>
  </si>
  <si>
    <t>SELECT IF( TRIM( CRT90_TBMOVDEB_NEW.CRT90DL_CODACT ) = '', NULL, CRT90_TBMOVDEB_NEW.CRT90DL_CODACT )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</si>
  <si>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CODACT</t>
  </si>
  <si>
    <t>Information Source Application:
N\A; N\A</t>
  </si>
  <si>
    <t>SELECT 'CR'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</si>
  <si>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"CR"</t>
  </si>
  <si>
    <t>DATA_DATE_PART
N\A
N\A</t>
  </si>
  <si>
    <t>SELECT CRT90_TBMOVDEB_NEW.DATA_DATE_PART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</si>
  <si>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SELECT NOW()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</si>
  <si>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</si>
  <si>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</si>
  <si>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</si>
  <si>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</si>
  <si>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</si>
  <si>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</si>
  <si>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</si>
  <si>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</si>
  <si>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</si>
  <si>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</si>
  <si>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</si>
  <si>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</si>
  <si>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</si>
  <si>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</si>
  <si>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</si>
  <si>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</si>
  <si>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</si>
  <si>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</si>
  <si>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</si>
  <si>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</si>
  <si>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</si>
  <si>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</si>
  <si>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</si>
  <si>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</si>
  <si>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</si>
  <si>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</si>
  <si>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</si>
  <si>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</si>
  <si>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</si>
  <si>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</si>
  <si>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</si>
  <si>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</si>
  <si>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</si>
  <si>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</si>
  <si>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</si>
  <si>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</si>
  <si>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</si>
  <si>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</si>
  <si>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</si>
  <si>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</si>
  <si>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</si>
  <si>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</si>
  <si>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</si>
  <si>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</si>
  <si>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</si>
  <si>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</si>
  <si>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</si>
  <si>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</si>
  <si>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</si>
  <si>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</si>
  <si>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</si>
  <si>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</si>
  <si>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</si>
  <si>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</si>
  <si>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</si>
  <si>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</si>
  <si>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</si>
  <si>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</si>
  <si>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</si>
  <si>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</si>
  <si>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</si>
  <si>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</si>
  <si>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</si>
  <si>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</si>
  <si>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</si>
  <si>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</si>
  <si>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</si>
  <si>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</si>
  <si>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</si>
  <si>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</si>
  <si>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</si>
  <si>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</si>
  <si>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</si>
  <si>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</si>
  <si>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</si>
  <si>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</si>
  <si>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</si>
  <si>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</si>
  <si>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</si>
  <si>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</si>
  <si>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</si>
  <si>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</si>
  <si>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</si>
  <si>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</si>
  <si>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</si>
  <si>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</si>
  <si>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</si>
  <si>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</si>
  <si>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</si>
  <si>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</si>
  <si>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</si>
  <si>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</si>
  <si>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</si>
  <si>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</si>
  <si>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</si>
  <si>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</si>
  <si>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</si>
  <si>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</si>
  <si>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</si>
  <si>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</si>
  <si>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</si>
  <si>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</si>
  <si>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</si>
  <si>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</si>
  <si>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</si>
  <si>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</si>
  <si>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</si>
  <si>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</si>
  <si>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</si>
  <si>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</si>
  <si>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</si>
  <si>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</si>
  <si>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</si>
  <si>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</si>
  <si>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</si>
  <si>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</si>
  <si>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</si>
  <si>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</si>
  <si>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common_contracts_incomesavingsaccounts</t>
  </si>
  <si>
    <t>Income Saving Account Transaction</t>
  </si>
  <si>
    <t>incomesaving_account_transaction</t>
  </si>
  <si>
    <t>CURATED_INTERNAL_MAINFRAME_CONTAS
CURATED_INTERNAL_MAINFRAME_CONTAS
OPERATIONS_COMMON_REFERENCEDATA_CORE</t>
  </si>
  <si>
    <t>MOVIMENTOS_CONSOLIDADOS
INTERFACE_DCT01
CONF_GENERAL_CONVERTER</t>
  </si>
  <si>
    <t>SELECT CONF_GENERAL_CONVERTER.CDM_VALUE
WHERE MOVIMENTOS_CONSOLIDADOS.DATA_DATE_PART IS NOT NULL AND INTERFACE_DCT01.DCYR8101_CSITCTA IN ( '0', '1', '2', '3', '5', '6', '7', '8', '9' ) AND INTERFACE_DCT01.DCYR8101_CFAMILIA = 'CR' AND CONF_GENERAL_CONVERTER.CODE CATEGORY = 'bank_id' AND CONF_GENERAL_CONVERTER.SOURCE_CODE = 'DC' AND CONF_GENERAL_CONVERTER.SOURCE_VALUE = '' AND CONF_GENERAL_CONVERTER.PRIORITY_LEVEL = '1'</t>
  </si>
  <si>
    <t>DC - Contas a Vista</t>
  </si>
  <si>
    <t>CURATED_INTERNAL_MAINFRAME_CONTAS
CURATED_INTERNAL_MAINFRAME_CONTAS</t>
  </si>
  <si>
    <t>MOVIMENTOS_CONSOLIDADOS
INTERFACE_DCT01</t>
  </si>
  <si>
    <t>DCYR9750_CKBALCAO, DCYR9750_CKNUMCTA
N\A</t>
  </si>
  <si>
    <t xml:space="preserve">SELECT CONCAT( MOVIMENTOS_CONSOLIDADOS.DCYR9750_CKBALCAO, MOVIMENTOS_CONSOLIDADOS.DCYR9750_CKNUMCTA, '000000000000000' )
WHERE MOVIMENTOS_CONSOLIDADOS.DATA_DATE_PART IS NOT NULL AND INTERFACE_DCT01.DCYR8101_CSITCTA IN ( '0', '1', '2', '3', '5', '6', '7', '8', '9' ) AND INTERFACE_DCT01.DCYR8101_CFAMILIA = 'CR' </t>
  </si>
  <si>
    <t>DCYR9750</t>
  </si>
  <si>
    <t>CONCAT( CKBALCAO, CKNUMCTA, "000000000000000" )</t>
  </si>
  <si>
    <t>DCYR9750_ZMOVCTA 
N\A</t>
  </si>
  <si>
    <t xml:space="preserve">SELECT CAST( MOVIMENTOS_CONSOLIDADOS.DCYR9750_ZMOVCTA AS BIGINT )
WHERE MOVIMENTOS_CONSOLIDADOS.DATA_DATE_PART IS NOT NULL AND INTERFACE_DCT01.DCYR8101_CSITCTA IN ( '0', '1', '2', '3', '5', '6', '7', '8', '9' ) AND INTERFACE_DCT01.DCYR8101_CFAMILIA = 'CR' </t>
  </si>
  <si>
    <t>ZMOVCTA</t>
  </si>
  <si>
    <t xml:space="preserve">SELECT CAST( 1 AS BIGINT )
WHERE MOVIMENTOS_CONSOLIDADOS.DATA_DATE_PART IS NOT NULL AND INTERFACE_DCT01.DCYR8101_CSITCTA IN ( '0', '1', '2', '3', '5', '6', '7', '8', '9' ) AND INTERFACE_DCT01.DCYR8101_CFAMILIA = 'CR' </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</si>
  <si>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</si>
  <si>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</si>
  <si>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</si>
  <si>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'CR'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t>
  </si>
  <si>
    <t xml:space="preserve">DCYR9750 || DCYR9750 </t>
  </si>
  <si>
    <t>COPERAC || CONCAT( OPERBAS, OPERBAN )</t>
  </si>
  <si>
    <t>DCYR9750_DDIAOP 
N\A</t>
  </si>
  <si>
    <t xml:space="preserve">SELECT MOVIMENTOS_CONSOLIDADOS.DCYR9750_DDIAOP
WHERE MOVIMENTOS_CONSOLIDADOS.DATA_DATE_PART IS NOT NULL AND INTERFACE_DCT01.DCYR8101_CSITCTA IN ( '0', '1', '2', '3', '5', '6', '7', '8', '9' ) AND INTERFACE_DCT01.DCYR8101_CFAMILIA = 'CR' </t>
  </si>
  <si>
    <t>DDIAOP</t>
  </si>
  <si>
    <t>DCYR9750_MMOVIM 
N\A</t>
  </si>
  <si>
    <t xml:space="preserve">SELECT CAST( MOVIMENTOS_CONSOLIDADOS.DCYR9750_MMOVIM AS DECIMAL( 23, 6 ) )
WHERE MOVIMENTOS_CONSOLIDADOS.DATA_DATE_PART IS NOT NULL AND INTERFACE_DCT01.DCYR8101_CSITCTA IN ( '0', '1', '2', '3', '5', '6', '7', '8', '9' ) AND INTERFACE_DCT01.DCYR8101_CFAMILIA = 'CR' </t>
  </si>
  <si>
    <t>MMOVIM</t>
  </si>
  <si>
    <t xml:space="preserve">SELECT 1
WHERE MOVIMENTOS_CONSOLIDADOS.DATA_DATE_PART IS NOT NULL AND INTERFACE_DCT01.DCYR8101_CSITCTA IN ( '0', '1', '2', '3', '5', '6', '7', '8', '9' ) AND INTERFACE_DCT01.DCYR8101_CFAMILIA = 'CR' </t>
  </si>
  <si>
    <t>Currency:
TAT91_TABELAS - CTABELA 206; CURATED_INTERNAL_MAINFRAME_ESTRUTURAIS.TAT91_TABELAS - TAYD91C0_CTABELA 206</t>
  </si>
  <si>
    <t>DCYR9750_CMOEDA
N\A</t>
  </si>
  <si>
    <t xml:space="preserve">SELECT IF( TRIM( MOVIMENTOS_CONSOLIDADOS.DCYR9750_CMOEDA ) = '', NULL, MOVIMENTOS_CONSOLIDADOS.DCYR9750_CMOEDA )
WHERE MOVIMENTOS_CONSOLIDADOS.DATA_DATE_PART IS NOT NULL AND INTERFACE_DCT01.DCYR8101_CSITCTA IN ( '0', '1', '2', '3', '5', '6', '7', '8', '9' ) AND INTERFACE_DCT01.DCYR8101_CFAMILIA = 'CR' </t>
  </si>
  <si>
    <t>DCYR9750_DDIAVL 
N\A</t>
  </si>
  <si>
    <t xml:space="preserve">SELECT IF( TRIM( MOVIMENTOS_CONSOLIDADOS.DCYR9750_DDIAVL ) = '', NULL, MOVIMENTOS_CONSOLIDADOS.DCYR9750_DDIAVL )
WHERE MOVIMENTOS_CONSOLIDADOS.DATA_DATE_PART IS NOT NULL AND INTERFACE_DCT01.DCYR8101_CSITCTA IN ( '0', '1', '2', '3', '5', '6', '7', '8', '9' ) AND INTERFACE_DCT01.DCYR8101_CFAMILIA = 'CR' </t>
  </si>
  <si>
    <t>DDIAVL</t>
  </si>
  <si>
    <t>DCYR9750_GREFMOV
N\A</t>
  </si>
  <si>
    <t xml:space="preserve">SELECT MOVIMENTOS_CONSOLIDADOS.DCYR9750_GREFMOV
WHERE MOVIMENTOS_CONSOLIDADOS.DATA_DATE_PART IS NOT NULL AND INTERFACE_DCT01.DCYR8101_CSITCTA IN ( '0', '1', '2', '3', '5', '6', '7', '8', '9' ) AND INTERFACE_DCT01.DCYR8101_CFAMILIA = 'CR' </t>
  </si>
  <si>
    <t>GREFMOV</t>
  </si>
  <si>
    <t>Narrative information and payment details of a transaction.</t>
  </si>
  <si>
    <t>DCYR9750_GDESMOV
N\A</t>
  </si>
  <si>
    <t xml:space="preserve">SELECT MOVIMENTOS_CONSOLIDADOS.DCYR9750_GDESMOV
WHERE MOVIMENTOS_CONSOLIDADOS.DATA_DATE_PART IS NOT NULL AND INTERFACE_DCT01.DCYR8101_CSITCTA IN ( '0', '1', '2', '3', '5', '6', '7', '8', '9' ) AND INTERFACE_DCT01.DCYR8101_CFAMILIA = 'CR' </t>
  </si>
  <si>
    <t>GDESMOV</t>
  </si>
  <si>
    <t>DCYR9750_GOBSERV
N\A</t>
  </si>
  <si>
    <t xml:space="preserve">SELECT MOVIMENTOS_CONSOLIDADOS.DCYR9750_GOBSERV
WHERE MOVIMENTOS_CONSOLIDADOS.DATA_DATE_PART IS NOT NULL AND INTERFACE_DCT01.DCYR8101_CSITCTA IN ( '0', '1', '2', '3', '5', '6', '7', '8', '9' ) AND INTERFACE_DCT01.DCYR8101_CFAMILIA = 'CR' </t>
  </si>
  <si>
    <t>GOBSERV</t>
  </si>
  <si>
    <t xml:space="preserve">SELECT 'DC'
WHERE MOVIMENTOS_CONSOLIDADOS.DATA_DATE_PART IS NOT NULL AND INTERFACE_DCT01.DCYR8101_CSITCTA IN ( '0', '1', '2', '3', '5', '6', '7', '8', '9' ) AND INTERFACE_DCT01.DCYR8101_CFAMILIA = 'CR' </t>
  </si>
  <si>
    <t>"DC"</t>
  </si>
  <si>
    <t>DATA_DATE_PART 
N\A</t>
  </si>
  <si>
    <t xml:space="preserve">SELECT MOVIMENTOS_CONSOLIDADOS.DATA_DATE_PART
WHERE MOVIMENTOS_CONSOLIDADOS.DATA_DATE_PART IS NOT NULL AND INTERFACE_DCT01.DCYR8101_CSITCTA IN ( '0', '1', '2', '3', '5', '6', '7', '8', '9' ) AND INTERFACE_DCT01.DCYR8101_CFAMILIA = 'CR' </t>
  </si>
  <si>
    <t xml:space="preserve">SELECT NOW()
WHERE MOVIMENTOS_CONSOLIDADOS.DATA_DATE_PART IS NOT NULL AND INTERFACE_DCT01.DCYR8101_CSITCTA IN ( '0', '1', '2', '3', '5', '6', '7', '8', '9' ) AND INTERFACE_DCT01.DCYR8101_CFAMILIA = 'CR' </t>
  </si>
  <si>
    <t>common_contracts_leasing</t>
  </si>
  <si>
    <t>Leasing Transaction</t>
  </si>
  <si>
    <t>leasing_transaction</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</si>
  <si>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</si>
  <si>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</si>
  <si>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</si>
  <si>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</si>
  <si>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</si>
  <si>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</si>
  <si>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</si>
  <si>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</si>
  <si>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</si>
  <si>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</si>
  <si>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</si>
  <si>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</si>
  <si>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</si>
  <si>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</si>
  <si>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</si>
  <si>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</si>
  <si>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</si>
  <si>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</si>
  <si>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</si>
  <si>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</si>
  <si>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</si>
  <si>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</si>
  <si>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</si>
  <si>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N\A
N\A
CDM_VALUE
N\A</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</si>
  <si>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</si>
  <si>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</si>
  <si>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</si>
  <si>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</si>
  <si>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</si>
  <si>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</si>
  <si>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</si>
  <si>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</si>
  <si>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</si>
  <si>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</si>
  <si>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</si>
  <si>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</si>
  <si>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</si>
  <si>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</si>
  <si>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</si>
  <si>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</si>
  <si>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</si>
  <si>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</si>
  <si>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</si>
  <si>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</si>
  <si>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</si>
  <si>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</si>
  <si>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</si>
  <si>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</si>
  <si>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</si>
  <si>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</si>
  <si>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</si>
  <si>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</si>
  <si>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</si>
  <si>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</si>
  <si>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</si>
  <si>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common_contracts_loanaccounts</t>
  </si>
  <si>
    <t>Loan Account Transaction</t>
  </si>
  <si>
    <t>loan_account_transaction</t>
  </si>
  <si>
    <t>SELECT CONF_GENERAL_CODE_CONVERTER.CDM_VALUE
WHERE 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SELECT CONF_GENERAL_CODE_CONVERTER.CDM_VALUE
WHERE TCT09_OPERCN.ISITUAC = '1' AND INTERFACE_DCT01.DCYR8101_CFAMILIA IN ( 'CC' ) AND CONF_GENERAL_CODE_CONVERTER.CODE CATEGORY = 'bank_id' AND CONF_GENERAL_CODE_CONVERTER.SOURCE_CODE = 'TC' AND CONF_GENERAL_CODE_CONVERTER.SOURCE_VALUE = '' AND CONF_GENERAL_CODE_CONVERTER.PRIORITY_LEVEL = '1' EXCEPT LAST DATA_DATE_PART</t>
  </si>
  <si>
    <t>SELECT CONCAT( MOVIMENTOS_CONSOLIDADOS.DCYR9750_CKBALCAO, MOVIMENTOS_CONSOLIDADOS.DCYR9750_CKNUMCTA, '000000000000000' )
WHERE INTERFACE_DCT01.DCYR8101_CSITCTA IN ( '0', '1', '2', '3', '5', '6', '7', '8', '9' ) AND INTERFACE_DCT01.DCYR8101_CFAMILIA IN ( 'CC' ) 
SELECT CONCAT( TCT72_MOVCTA.CKBALCAO, TCT72_MOVCTA.CKNUMCTA, '000000000000000' )
WHERE TCT09_OPERCN.ISITUAC = '1' AND INTERFACE_DCT01.DCYR8101_CFAMILIA IN ( 'CC' ) EXCEPT LAST DATA_DATE_PART</t>
  </si>
  <si>
    <t>SELECT CAST( MOVIMENTOS_CONSOLIDADOS.DCYR9750_ZMOVCTA AS BIGINT )
WHERE INTERFACE_DCT01.DCYR8101_CSITCTA IN ( '0', '1', '2', '3', '5', '6', '7', '8', '9' ) AND INTERFACE_DCT01.DCYR8101_CFAMILIA IN ( 'CC' ) 
SELECTT CAST( TCT72_MOVCTA.ZMOVCTA AS BIGINT )
WHERE TCT09_OPERCN.ISITUAC = '1' AND INTERFACE_DCT01.DCYR8101_CFAMILIA IN ( 'CC' ) EXCEPT LAST DATA_DATE_PART</t>
  </si>
  <si>
    <t>Represents the sequencial stage order inside of the transaction. In case of accounts the field does not apply unless it is a litigation transaction.</t>
  </si>
  <si>
    <t>SELECT CAST( 1 AS BIGINT )
WHERE INTERFACE_DCT01.DCYR8101_CSITCTA IN ( '0', '1', '2', '3', '5', '6', '7', '8', '9' ) AND INTERFACE_DCT01.DCYR8101_CFAMILIA IN ( 'CC' ) 
SELECT CAST( TCT72_MOVCTA.ZSEQMOV AS BIGINT )
WHERE TCT09_OPERCN.ISITUAC = '1' AND INTERFACE_DCT01.DCYR8101_CFAMILIA IN ( 'CC' ) EXCEPT LAST DATA_DATE_PART</t>
  </si>
  <si>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</si>
  <si>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</si>
  <si>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SELECT CONF_GENERAL_CODE_CONVERTER.CDM_VALUE
WHERE TCT09_OPERCN.ISITUAC = '1' AND INTERFACE_DCT01.DCYR8101_CFAMILIA IN ( 'CC'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</si>
  <si>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 xml:space="preserve">COPERAC || CONCAT( OPERBAS, OPERBAN )
COPERAC </t>
  </si>
  <si>
    <t>Transaction Date Time
Transaction ID</t>
  </si>
  <si>
    <t>SELECT  MOVIMENTOS_CONSOLIDADOS.DCYR9750_DDIAOP
WHERE INTERFACE_DCT01.DCYR8101_CSITCTA IN ( '0', '1', '2', '3', '5', '6', '7', '8', '9' ) AND INTERFACE_DCT01.DCYR8101_CFAMILIA IN ( 'CC' ) 
SELECT TCT72_MOVCTA.DDIAOP
WHERE TCT09_OPERCN.ISITUAC = '1' AND INTERFACE_DCT01.DCYR8101_CFAMILIA IN ( 'CC' ) EXCEPT LAST DATA_DATE_PART</t>
  </si>
  <si>
    <t>DCYR9750 || DCYR9750
TCT72_MOVCTA</t>
  </si>
  <si>
    <t>SELECT CAST( MOVIMENTOS_CONSOLIDADOS.DCYR9750_MMOVIM AS DECIMAL( 23, 6 ) )
WHERE INTERFACE_DCT01.DCYR8101_CSITCTA IN ( '0', '1', '2', '3', '5', '6', '7', '8', '9' ) AND INTERFACE_DCT01.DCYR8101_CFAMILIA IN ( 'CC' ) 
SELECT CAST( TCT72_MOVCTA.MMOVIM AS DECIMAL( 23, 6 ) )
WHERE TCT09_OPERCN.ISITUAC = '1' AND INTERFACE_DCT01.DCYR8101_CFAMILIA IN ( 'CC' ) EXCEPT LAST DATA_DATE_PART</t>
  </si>
  <si>
    <t>SELECT '1'
WHERE INTERFACE_DCT01.DCYR8101_CSITCTA IN ( '0', '1', '2', '3', '5', '6', '7', '8', '9' ) AND INTERFACE_DCT01.DCYR8101_CFAMILIA IN ( 'CC' ) 
SELECT CAST( CONF_FINANCIAL_FLOW_CONVERTER.CDM_VALUE AS STRING )
WHERE WHERE TCT09_OPERCN.ISITUAC = '1' AND INTERFACE_DCT01.DCYR8101_CFAMILIA IN ( 'CC' ) AND CONF_FINANCIAL_FLOW_CONVERTER.SOURCE_TRANSACTION_TYPE_CODE = 'coperac' AND CONF_FINANCIAL_FLOW_CONVERTER.SOURCE_CODE = 'TC' EXCEPT LAST DATA_DATE_PART</t>
  </si>
  <si>
    <t xml:space="preserve">N\A
COPERAC </t>
  </si>
  <si>
    <t>Currency:
TAT91 - CTABELA 206; CURATED_INTERNAL_MAINFRAME_ESTRUTURAIS.TAT91_TABELAS - TAYD91C0_CTABELA 206
TAT91 - CTABELA 206; CURATED_INTERNAL_MAINFRAME_ESTRUTURAIS.TAT91_TABELAS - TAYD91C0_CTABELA 206</t>
  </si>
  <si>
    <t>SELECT IF( TRIM( MOVIMENTOS_CONSOLIDADOS.DCYR9750_CMOEDA ) = '', NULL, MOVIMENTOS_CONSOLIDADOS.DCYR9750_CMOEDA )
WHERE INTERFACE_DCT01.DCYR8101_CSITCTA IN ( '0', '1', '2', '3', '5', '6', '7', '8', '9' ) AND INTERFACE_DCT01.DCYR8101_CFAMILIA IN ( 'CC' ) 
SELECT IF( TRIM( TCT72_MOVCTA.CMOEDAOR ) = '', NULL, TCT72_MOVCTA.CMOEDAOR )
WHERE TCT09_OPERCN.ISITUAC = '1' AND INTERFACE_DCT01.DCYR8101_CFAMILIA IN ( 'CC' ) EXCEPT LAST DATA_DATE_PART</t>
  </si>
  <si>
    <t>SELECT IF( TRIM( MOVIMENTOS_CONSOLIDADOS.DCYR9750_DDIAVL ) = '', NULL, MOVIMENTOS_CONSOLIDADOS.DCYR9750_DDIAVL )
WHERE INTERFACE_DCT01.DCYR8101_CSITCTA IN ( '0', '1', '2', '3', '5', '6', '7', '8', '9' ) AND INTERFACE_DCT01.DCYR8101_CFAMILIA IN ( 'CC' ) 
SELECT IF( TRIM( TCT72_MOVCTA.DDIAVL ) = '', NULL, TCT72_MOVCTA.DDIAVL )
WHERE TCT09_OPERCN.ISITUAC = '1' AND INTERFACE_DCT01.DCYR8101_CFAMILIA IN ( 'CC' ) EXCEPT LAST DATA_DATE_PART</t>
  </si>
  <si>
    <t>SELECT MOVIMENTOS_CONSOLIDADOS.DCYR9750_GREFMOV
WHERE INTERFACE_DCT01.DCYR8101_CSITCTA IN ( '0', '1', '2', '3', '5', '6', '7', '8', '9' ) AND INTERFACE_DCT01.DCYR8101_CFAMILIA IN ( 'CC' ) 
SELECT NULL
WHERE TCT09_OPERCN.ISITUAC = '1' AND INTERFACE_DCT01.DCYR8101_CFAMILIA IN ( 'CC' ) EXCEPT LAST DATA_DATE_PART</t>
  </si>
  <si>
    <t>GREFMOV
N\A</t>
  </si>
  <si>
    <t>SELECT MOVIMENTOS_CONSOLIDADOS.DCYR9750_GDESMOV
WHERE INTERFACE_DCT01.DCYR8101_CSITCTA IN ( '0', '1', '2', '3', '5', '6', '7', '8', '9' ) AND INTERFACE_DCT01.DCYR8101_CFAMILIA IN ( 'CC' ) 
SELECT ''
WHERE TCT09_OPERCN.ISITUAC = '1' AND INTERFACE_DCT01.DCYR8101_CFAMILIA IN ( 'CC' ) EXCEPT LAST DATA_DATE_PART</t>
  </si>
  <si>
    <t>SELECT MOVIMENTOS_CONSOLIDADOS.DCYR9750_GOBSERV
WHERE INTERFACE_DCT01.DCYR8101_CSITCTA IN ( '0', '1', '2', '3', '5', '6', '7', '8', '9' ) AND INTERFACE_DCT01.DCYR8101_CFAMILIA IN ( 'CC' ) 
SELECT ''
WHERE TCT09_OPERCN.ISITUAC = '1' AND INTERFACE_DCT01.DCYR8101_CFAMILIA IN ( 'CC' ) EXCEPT LAST DATA_DATE_PART</t>
  </si>
  <si>
    <t>SELECT 'DC'
WHERE INTERFACE_DCT01.DCYR8101_CSITCTA IN ( '0', '1', '2', '3', '5', '6', '7', '8', '9' ) AND INTERFACE_DCT01.DCYR8101_CFAMILIA IN ( 'CC' ) 
SELECT 'TC'
WHERE TCT09_OPERCN.ISITUAC = '1' AND INTERFACE_DCT01.DCYR8101_CFAMILIA IN ( 'CC' ) EXCEPT LAST DATA_DATE_PART</t>
  </si>
  <si>
    <t>SELECT MOVIMENTOS_CONSOLIDADOS.DATA_DATE_PART
WHERE INTERFACE_DCT01.DCYR8101_CSITCTA IN ( '0', '1', '2', '3', '5', '6', '7', '8', '9' ) AND INTERFACE_DCT01.DCYR8101_CFAMILIA IN ( 'CC' ) 
SELECT TCT72_MOVCTA.DATA_DATE_PART
WHERE TCT09_OPERCN.ISITUAC = '1' AND INTERFACE_DCT01.DCYR8101_CFAMILIA IN ( 'CC' ) EXCEPT LAST DATA_DATE_PART</t>
  </si>
  <si>
    <t>SELECT NOW()
WHERE INTERFACE_DCT01.DCYR8101_CSITCTA IN ( '0', '1', '2', '3', '5', '6', '7', '8', '9' ) AND INTERFACE_DCT01.DCYR8101_CFAMILIA IN ( 'CC' ) 
SELECT NOW()
WHERE TCT09_OPERCN.ISITUAC = '1' AND INTERFACE_DCT01.DCYR8101_CFAMILIA IN ( 'CC' ) EXCEPT LAST DATA_DATE_PART</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</si>
  <si>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</si>
  <si>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</si>
  <si>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</si>
  <si>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</si>
  <si>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</si>
  <si>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</si>
  <si>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EH_OPER_CONTR
TCT72_MOVCTA
TCT09_OPERN
CONF_GENERAL_CONVERTER</t>
  </si>
  <si>
    <t>N\A
N\A
N\A
N\A
N\A
N\A
CDM_VALUE</t>
  </si>
  <si>
    <t>SELECT CONF_GENERAL_CONVERTER.CDM_VALUE
WHERE EPT01_CONTAS.CSITCTA IN ( 'FO', 'SU', 'ES' ) AND EPT01_CONTAS.CSITCTA != 'EH' AND CONF_GENERAL_CONVERTER.CODE CATEGORY = 'bank_id' AND CONF_GENERAL_CONVERTER.SOURCE_CODE = 'EP' AND CONF_GENERAL_CONVERTER.SOURCE_VALUE = '' EXCEPT LAST DATA_DATE_PART
SELECT CONF_GENERAL_CONVERTER.CDM_VALUE
WHERE CONTBACH_PRESTM.CTP_COTSITCO = 0 AND CONF_GENERAL_CONVERTER.CODE CATEGORY = 'bank_id' AND CONF_GENERAL_CONVERTER.SOURCE_CODE = 'EP' AND CONF_GENERAL_CONVERTER.SOURCE_VALUE = '' EXCEPT LAST DATA_DATE_PART
SELECT CONF_GENERAL_CONVERTER.CDM_VALUE
WHERE TCT09_OPERN.ISITUAC = '1' AND CONF_GENERAL_CONVERTER.CODE CATEGORY = 'bank_id' AND CONF_GENERAL_CONVERTER.SOURCE_CODE = 'TC' AND CONF_GENERAL_CONVERTER.SOURCE_VALUE = '' EXCEPT LAST DATA_DATE_PART</t>
  </si>
  <si>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</si>
  <si>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EH_OPER_CONTR
TCT72_MOVCTA
TCT09_OPERN
COINT_CTOLOC_P</t>
  </si>
  <si>
    <t>CKBALCAO, CKNUMCTA
N\A
N\A
N\A
E2616_IDCENT_L, E2616_IDCONT_L</t>
  </si>
  <si>
    <t>SELECT CONCAT( EPT07_MOVCTA.CKBALCAO, EPT07_MOVCTA.CKNUMCTA, '000000000000000' )
WHERE EPT01_CONTAS.CSITCTA IN ( 'FO', 'SU', 'ES' ) AND EPT01_CONTAS.CSITCTA != 'EH' 
SELECT CONCAT( COINT_CTOLOC_P.E2616_IDCENT_L, COINT_CTOLOC_P.E2616_IDCONT_L, '000000000000000' )
WHERE CONTBACH_PRESTM.CTP_COTSITCO = 0 EXCEPT LAST DATA_DATE_PART
SELECT CONCAT( TCT72_MOVCTA.CKBALCAO, TCT72_MOVCTA.CKNUMCTA, TCT72_MOVCTA.ZDEPOSIT )
WHERE TCT09_OPERN.ISITUAC = '1'  EXCEPT LAST DATA_DATE_PART</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</si>
  <si>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</si>
  <si>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</si>
  <si>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
CONCAT ( CKBALCAO, CKNUMCTA, ZDEPOSIT )</t>
  </si>
  <si>
    <t>N\A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</si>
  <si>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</si>
  <si>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EH_OPER_CONTR
TCT72_MOVCTA
TCT09_OPERN</t>
  </si>
  <si>
    <t>ZMOVCTA
N\A
N\A
EH10_HNUOPEM
ZMOVCTA
N\A</t>
  </si>
  <si>
    <t>SELECT CAST( EPT07_MOVCTA.ZMOVCTA AS BIGINT )
WHERE EPT01_CONTAS.CSITCTA IN ( 'FO', 'SU', 'ES' ) AND EPT01_CONTAS.CSITCTA != 'EH' 
SELECT CAST( EH_OPER_CONTR.EH10_HNUOPEM AS BIGINT )
WHERE CONTBACH_PRESTM.CTP_COTSITCO = 0 EXCEPT LAST DATA_DATE_PART
SELECT CAST( TCT72_MOVCTA.ZMOVCTA AS BIGINT )
WHERE TCT09_OPERN.ISITUAC = '1'  EXCEPT LAST DATA_DATE_PART</t>
  </si>
  <si>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</si>
  <si>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</si>
  <si>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</si>
  <si>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</si>
  <si>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ZSEQMOV</t>
  </si>
  <si>
    <t>SELECT CAST( EPT07_MOVCTA.ZSEQMOV AS BIGINT )
WHERE EPT01_CONTAS.CSITCTA IN ( 'FO', 'SU', 'ES' ) AND EPT01_CONTAS.CSITCTA != 'EH' 
SELECT CAST( '1' AS BIGINT )
WHERE CONTBACH_PRESTM.CTP_COTSITCO = 0 EXCEPT LAST DATA_DATE_PART
SELECT CAST( TCT72_MOVCTA.ZSEQMOV AS BIGINT )
WHERE TCT09_OPERN.ISITUAC = '1'  EXCEPT LAST DATA_DATE_PART</t>
  </si>
  <si>
    <t>EPT07_MOVCTA 
N\A
TCT72_MOVCTA</t>
  </si>
  <si>
    <t>ZSEQMOV
N\A
ZSEQMOV</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</si>
  <si>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</si>
  <si>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</si>
  <si>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EH_OPER_CONTR
CONF_TRANSACTION_TYPE_CONVERTER
CONF_GENERAL_CONVERTER
TCT72_MOVCTA
TCT09_OPERN</t>
  </si>
  <si>
    <t>N\A
N\A
N\A
N\A
N\A
CDM_VALUE
N\A
N\A</t>
  </si>
  <si>
    <t>SELECT CONF_GENERAL_CONVERTER.CDM_VALUE
WHERE EPT01_CONTAS.CSITCTA IN ( 'FO', 'SU', 'ES' ) AND EPT01_CONTAS.CSITCTA != 'EH' AND CONF_TRANSACTION_TYPE_CONVERTER.SOURCE_CODE = 'EP' AND CONF_TRANSACTION_TYPE_CONVERTER.SOURCE_TRANSACTION_TYPE_CODE  = 'coperac' AND CONF_TRANSACTION_TYPE_CONVERTER.SOURCE_VALUE =  EPT07_MOVCTA.COPERAC AND CONF_GENERAL_CONVERTER.CODE CATEGORY = 'transaction_type_code' AND CONF_GENERAL_CONVERTER.SOURCE_CODE = 'EP' AND CONF_GENERAL_CONVERTER.SOURCE_VALUE = CONF_TRANSACTION_TYPE_CONVERTER.CDM_VALUE AND CONF_GENERAL_CONVERTER.PRIORITY_LEVEL = '1'
SELECT CONF_GENERAL_CONVERTER.CDM_VALUE
WHERE 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CONF_GENERAL_CONVERTER.CODE CATEGORY = 'transaction_type_code' AND CONF_GENERAL_CONVERTER.SOURCE_CODE = 'EP' AND CONF_GENERAL_CONVERTER.SOURCE_VALUE = CONF_TRANSACTION_TYPE_CONVERTER.CDM_VALUE  AND CONF_GENERAL_CONVERTER.PRIORITY_LEVEL = '1' EXCEPT LAST DATA_DATE_PART
SELECT CONF_GENERAL_CONVERTER.CDM_VALUE
WHERE TCT09_OPERN.ISITUAC = '1' AND CONF_TRANSACTION_TYPE_CONVERTER.SOURCE_CODE = 'TC' AND CONF_TRANSACTION_TYPE_CONVERTER.SOURCE_TRANSACTION_TYPE_CODE  = 'coperac' AND CONF_TRANSACTION_TYPE_CONVERTER.SOURCE_VALUE =  TCT72_MOVCTA.COPERA AND CONF_GENERAL_CONVERTER.CODE CATEGORY = 'transaction_type_code' AND CONF_GENERAL_CONVERTER.SOURCE_CODE = 'TC' AND CONF_GENERAL_CONVERTER.SOURCE_VALUE = CONF_TRANSACTION_TYPE_CONVERTER.CDM_VALUE  AND CONF_GENERAL_CONVERTER.PRIORITY_LEVEL = '1'</t>
  </si>
  <si>
    <t>EPT07_MOVCTA 
EH_REL_REC_OPER
TCT72_MOVCTA</t>
  </si>
  <si>
    <t>COPERAC
CONCAT (CODOPBAS, CODOPEOB, CODCONP )
COPERAC</t>
  </si>
  <si>
    <t>CURATED_INTERNAL_MAINFRAME_EMPRESTIMOS
CURATED_INTERNAL_MAINFRAME_EMPRESTIMOS
OPERATIONS_COMMON_REFERENCEDATA_CORE
CURATED_INTERNAL_MAINFRAME_CONTENCIOSO
CURATED_INTERNAL_MAINFRAME_CONTENCIOSO</t>
  </si>
  <si>
    <t>EPT07_MOVCTA
EPT01_CONTAS
CONF_FINANCIAL_FLOW_CONVERTER
TCT72_MOVCTA
TCT09_OPERN</t>
  </si>
  <si>
    <t>N\A
N\A
CDM_VALUE
N\A
N\A</t>
  </si>
  <si>
    <t xml:space="preserve">SELECT CONF_FINANCIAL_FLOW_CONVERTER.CDM_VALUE
WHERE EPT01_CONTAS.CSITCTA IN ( 'FO', 'SU', 'ES' ) AND EPT01_CONTAS.CSITCTA != 'EH'  AND CONF_FINANCIAL_FLOW_CONVERTER.SOURCE_CODE = 'EP' AND CONF_FINANCIAL_FLOW_CONVERTER.SOURCE_TRANSACTION_TYPE_CODE  = 'coperac' AND CONF_FINANCIAL_FLOW_CONVERTER.SOURCE_VALUE =  EPT07_MOVCTA.COPERAC 
SELECT CONF_FINANCIAL_FLOW_CONVERTER.CDM_VALUE
WHERE CONTBACH_PRESTM.CTP_COTSITCO = 0 AND CONF_FINANCIAL_FLOW_CONVERTER.SOURCE_CODE = 'EP' AND CONF_FINANCIAL_FLOW_CONVERTER.SOURCE_TRANSACTION_TYPE_CODE  = 'coperac' AND CONF_FINANCIAL_FLOW_CONVERTER.SOURCE_VALUE =  CONCAT( EH_OPER_CONTR.EH10_CODOPBAS, EH_OPER_CONTR.EH10_CODOPEOB ) EXCEPT LAST DATA_DATE_PART
SELECT CONF_FINANCIAL_FLOW_CONVERTER.CDM_VALUE
WHERE TCT09_OPERN.ISITUAC = '1' AND CONF_FINANCIAL_FLOW_CONVERTER.SOURCE_CODE = 'EP' AND CONF_FINANCIAL_FLOW_CONVERTER.SOURCE_TRANSACTION_TYPE_CODE  = 'coperac' AND CONF_FINANCIAL_FLOW_CONVERTER.SOURCE_VALUE =  TCT72_MOVCTA.COPERAC </t>
  </si>
  <si>
    <t>COPERAC
CONCAT ( CODOPBAS, CODOPEOB )
COPERAC</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</si>
  <si>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</si>
  <si>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</si>
  <si>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EH_OPER_CONTR
TAT21_MOEDA
TCT72_MOVCTA
TCT09_OPERN</t>
  </si>
  <si>
    <t>CMOEDAOR
N\A
N\A
N\A
CMOEDA
CMOEDAOR
N\A</t>
  </si>
  <si>
    <t>SELECT IF( TRIM( EPT07_MOVCTA.CMOEDAOR ) = '', NULL, EPT07_MOVCTA.EPYD07C0_CMOEDAOR )
WHERE EPT01_CONTAS.CSITCTA IN ( 'FO', 'SU', 'ES' ) AND EPT01_CONTAS.CSITCTA != 'EH' 
SELECT IF( TRIM( TAT21_MOEDA.CMOEDA ) = '', NULL, TAT21_MOEDA.CMOEDA)
WHERE CONTBACH_PRESTM.CTP_COTSITCO = 0 EXCEPT LAST DATA_DATE_PART
SELECT IF( TRIM( TCT72_MOVCTA.CMOEDAOR ) = '', NULL, TCT72_MOVCTA.CMOEDAOR )
WHERE TCT09_OPERN.ISITUAC = '1'  EXCEPT LAST DATA_DATE_PART</t>
  </si>
  <si>
    <t>EPT07_MOVCTA 
EH_OPER_CONTR -&gt; TAT21_MOEDA
TCT72_MOVCTA</t>
  </si>
  <si>
    <t>CMOEDAOR
CODMONSW -&gt; CMOEDA
CMOEDAOR</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</si>
  <si>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</si>
  <si>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</si>
  <si>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</si>
  <si>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</si>
  <si>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EH_REL_REC_OPER
EH_OPER_CONTR
EPT99_MOVIMENTO
TCT09_OPERN
TCT72_MOVCTA</t>
  </si>
  <si>
    <t>N\A
ZNUMPRE
N\A
N\A
ZNUMPRES
N\A
N\A
N\A</t>
  </si>
  <si>
    <t>SELECT IF( TRIM( EPT07_MOVCTA.ZNUMPRE ) = '', NULL, EPT07_MOVCTA.EPYD07C0_ZNUMPRE )
WHERE EPT01_CONTAS.CSITCTA IN ( 'FO', 'SU', 'ES' ) AND EPT01_CONTAS.CSITCTA != 'EH' 
SELECT CAST( EPT99_MOVIMENTO.ZNUMPRES AS INT )
WHERE CONTBACH_PRESTM.CTP_COTSITCO = 0 AND  EH_OPER_CONTR.EH10_CODCONP = '031' AND EH_OPER_CONTR.EH10_IMPOPERA != 0 AND MAX( EH_DET_REC_COB.EH10_HNUOPEM ) AND EH_OPER_CONTR. EH10_CODOPBAS = '031' AND REL_REC_OPER.E4282_CODCONP = '323' AND EH_REL_REC_OPER.E4282_CODOPBAS = '031' AND MAX( EPT99_MOVIMENTO.ZSEQOPER ) AND EPT99_MOVIMENTO.DLIQUID = EH_REL_REC_OPER.E4282_FECALTA
SELECT '#N/A'
WHERE TCT09_OPERN.ISITUAC = '1'  EXCEPT LAST DATA_DATE_PART</t>
  </si>
  <si>
    <t>EPT07_MOVCTA
EPT99_MOVIMENTO
N\A</t>
  </si>
  <si>
    <t>ZNUMPRE
ZNUMPRE
N\A</t>
  </si>
  <si>
    <t>N\A
N\A
"#N/A"</t>
  </si>
  <si>
    <t>EPT07_MOVCTA
EPT01_CONTAS
CONTBACH_PRESTM
EH_OPER_CONTR
TCT09_OPERN
TCT72_MOVCTA</t>
  </si>
  <si>
    <t>IOPANULA
N\A
N\A
EH10_INDSIT 
N\A
N\A</t>
  </si>
  <si>
    <t>SELECT IF( TRIM( EPT07_MOVCTA.IOPANULA ) = '', NULL,
    IF( EPT07_MOVCTA.IOPANULA = 'S',
        '1',
        '0' )
WHERE EPT01_CONTAS.CSITCTA IN ( 'FO', 'SU', 'ES' ) AND EPT01_CONTAS.CSITCTA != 'EH' 
SELECT IF( TRIM( EH_OPER_CONTR.EH10_INDSIT ) = '', NULL,
    IF( EH_OPER_CONTR.EH10_INDSIT IN ( 'AN' ),
        '1',
        '0' )
WHERE CONTBACH_PRESTM.CTP_COTSITCO = 0 EXCEPT LAST DATA_DATE_PART
SELECT NULL
WHERE TCT09_OPERN.ISITUAC = '1'  EXCEPT LAST DATA_DATE_PART</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</si>
  <si>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</si>
  <si>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</si>
  <si>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</si>
  <si>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</si>
  <si>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</si>
  <si>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</si>
  <si>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</si>
  <si>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</si>
  <si>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EH10_TIMESTAM
N\A
N\A</t>
  </si>
  <si>
    <t>SELECT IF( TRIM( EPT07_MOVCTA.DANULACA ) = '', NULL, EPT07_MOVCTA.EPYD07C0_DANULACA )
WHERE EPT01_CONTAS.CSITCTA IN ( 'FO', 'SU', 'ES' ) AND EPT01_CONTAS.CSITCTA != 'EH'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EXCEPT LAST DATA_DATE_PART
SELECT NULL
WHERE TCT09_OPERN.ISITUAC = '1'  EXCEPT LAST DATA_DATE_PART</t>
  </si>
  <si>
    <t>DANULACA 
TIMESTAMP
N\A</t>
  </si>
  <si>
    <t>DDIAVL
N\A
N\A
EH10_FECVAL
N\A
DDIAVL</t>
  </si>
  <si>
    <t>SELECT IF( TRIM( EPT07_MOVCTA.DDIAVL ) = '', NULL, EPT07_MOVCTA.EPYD07C0_DDIAVL )
WHERE EPT01_CONTAS.CSITCTA IN ( 'FO', 'SU', 'ES' ) AND EPT01_CONTAS.CSITCTA != 'EH' 
SELECT IF( TRIM( EH_OPER_CONTR.EH10_FECVAL ) = '', NULL, EH_OPER_CONTR.EH10_FECVAL )
WHERE CONTBACH_PRESTM.CTP_COTSITCO = 0 EXCEPT LAST DATA_DATE_PART
SELECT IF( TRIM( TCT72_MOVCTA.DDIAVL ) = '', NULL, TCT72_MOVCTA.DDIAVL )
WHERE TCT09_OPERN.ISITUAC = '1'  EXCEPT LAST DATA_DATE_PART</t>
  </si>
  <si>
    <t>DDIAVL
FECVAL
DDIAVL</t>
  </si>
  <si>
    <t>DDIOP
N\A
N\A
EH10_FECOPER
N\A
DDIAOP</t>
  </si>
  <si>
    <t>SELECT IF( TRIM( EPT07_MOVCTA.DDIOP ) = '', NULL, EPT07_MOVCTA.EPYD07C0_DDIOP )
WHERE EPT01_CONTAS.CSITCTA IN ( 'FO', 'SU', 'ES' ) AND EPT01_CONTAS.CSITCTA != 'EH' 
SELECT IF( TRIM( EH_OPER_CONTR.EH10_FECOPER ) = '', NULL, EH_OPER_CONTR.EH10_FECOPER )
WHERE CONTBACH_PRESTM.CTP_COTSITCO = 0 EXCEPT LAST DATA_DATE_PART
SELECT IF( TRIM( TCT72_MOVCTA.DDIAOP ) = '', NULL, TCT72_MOVCTA.DDIAOP )
WHERE TCT09_OPERN.ISITUAC = '1'  EXCEPT LAST DATA_DATE_PART</t>
  </si>
  <si>
    <t>DDIAOP
FECOPER
DDIAOP</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</si>
  <si>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</si>
  <si>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</si>
  <si>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</si>
  <si>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EH_REL_REC_OPER
TCT09_OPERN
TCT72_MOVCTA</t>
  </si>
  <si>
    <t>DLIQUID
N\A
N\A
E4282_FECALTA
N\A
DDIAOP</t>
  </si>
  <si>
    <t>SELECT IF( TRIM( EPT07_MOVCTA.DLIQUID ) = '', NULL, EPT07_MOVCTA.DLIQUID )
WHERE EPT01_CONTAS.CSITCTA IN ( 'FO', 'SU', 'ES' ) AND EPT01_CONTAS.CSITCTA != 'EH' 
SELECT IF( TRIM( EH_OPER_CONTR.E4282_FECALTA ) = '', NULL, EH_OPER_CONTR.E4282_FECALTA )
WHERE CONTBACH_PRESTM.CTP_COTSITCO = 0 EXCEPT LAST DATA_DATE_PART
SELECT '#N/A'
WHERE TCT09_OPERN.ISITUAC = '1'  EXCEPT LAST DATA_DATE_PART</t>
  </si>
  <si>
    <t>DLIQUID
FECALTA
N\A</t>
  </si>
  <si>
    <t>Total Amount</t>
  </si>
  <si>
    <t>total_amount</t>
  </si>
  <si>
    <t>Total amount of the transaction. It includes all types of amount: interest, capital, etc.</t>
  </si>
  <si>
    <t>MMOVORIG
N\A
N\A
EH10_IMPOPERA
N\A
DDIAOP</t>
  </si>
  <si>
    <t>SELECT CAST( CASE
    WHEN EPT07_MOVCTA.CITPOPER = 'D' THEN -1 * EPT07_MOVCTA.MMOVORIG
    ELSE EPT07_MOVCTA.MMOVORIG
END AS DECIMAL( 23, 6 ) )
WHERE EPT01_CONTAS.CSITCTA IN ( 'FO', 'SU', 'ES' ) AND EPT01_CONTAS.CSITCTA != 'EH' 
SELECT CAST( EH_OPER_CONTR.EH10_IMPOPERA AS DECIMAL( 23, 6 ) )
WHERE CONTBACH_PRESTM.CTP_COTSITCO = 0 EXCEPT LAST DATA_DATE_PART
SELECT CAST( TCT72_MOVCTA.MMOVIM AS DECIMAL( 23, 6 ) )
WHERE TCT09_OPERN.ISITUAC = '1'  EXCEPT LAST DATA_DATE_PART</t>
  </si>
  <si>
    <t>MMOVORIG
IMPOPERA
MMOVIM</t>
  </si>
  <si>
    <t>Amount of the transaction type of the transaction: interest, capital, ect. Represents the amount after the currency exchange, if applicable. If there was no currency exchange it represents the amount of the transaction.</t>
  </si>
  <si>
    <t>MMOVORIG
N\A
N\A
E4282_IMPORCOO
N\A
MMOVIM</t>
  </si>
  <si>
    <t>SELECT CAST( CASE
    WHEN EPT07_MOVCTA.CITPOPER = 'D' THEN -1 * EPT07_MOVCTA.MMOVORIG
    ELSE EPT07_MOVCTA.MMOVORIG
END AS DECIMAL( 23, 6 ) )
WHERE EPT01_CONTAS.CSITCTA IN ( 'FO', 'SU', 'ES' ) AND EPT01_CONTAS.CSITCTA != 'EH' 
SELECT CAST( EH_REL_REC_OPER.E4282_IMPORCOO AS DECIMAL( 23,  6 ) )
WHERE CONTBACH_PRESTM.CTP_COTSITCO = 0 EXCEPT LAST DATA_DATE_PART
SELECT CAST( TCT72_MOVCTA.MMOVIM AS DECIMAL( 23, 6 ) )
WHERE TCT09_OPERN.ISITUAC = '1'  EXCEPT LAST DATA_DATE_PART</t>
  </si>
  <si>
    <t>MMOVORIG
IMPORCOO
MMOVIM</t>
  </si>
  <si>
    <t>Information Source Application:
N\A; N\A
N\A; N\A
N\A; N\A</t>
  </si>
  <si>
    <t>N\A
N\A
N\A
N\A
N\A
N\A</t>
  </si>
  <si>
    <t>SELECT 'EP'
WHERE EPT01_CONTAS.CSITCTA IN ( 'FO', 'SU', 'ES' ) AND EPT01_CONTAS.CSITCTA != 'EH' 
SELECT 'EP'
WHERE CONTBACH_PRESTM.CTP_COTSITCO = 0 EXCEPT LAST DATA_DATE_PART
SELECT 'TC'
WHERE TCT09_OPERN.ISITUAC = '1'  EXCEPT LAST DATA_DATE_PART</t>
  </si>
  <si>
    <t>DATA_DATE_PART
N\A
N\A
DATA_DATE_PART
N\A
DATA_DATE_PART</t>
  </si>
  <si>
    <t>SELECT EPT07_MOVCTA.DATA_DATE_PART
WHERE EPT01_CONTAS.CSITCTA IN ( 'FO', 'SU', 'ES' ) AND EPT01_CONTAS.CSITCTA != 'EH' 
SELECT EH_OPER_CONTR.DATA_DATE_PART
WHERE CONTBACH_PRESTM.CTP_COTSITCO = 0 EXCEPT LAST DATA_DATE_PART
SELECT TCT72_MOVCTA.DATA_DATE_PART
WHERE TCT09_OPERN.ISITUAC = '1'  EXCEPT LAST DATA_DATE_PART</t>
  </si>
  <si>
    <t>SELECT NOW()
WHERE EPT01_CONTAS.CSITCTA IN ( 'FO', 'SU', 'ES' ) AND EPT01_CONTAS.CSITCTA != 'EH' 
SELECT NOW()
WHERE CONTBACH_PRESTM.CTP_COTSITCO = 0 EXCEPT LAST DATA_DATE_PART
SELECT NOW()
WHERE TCT09_OPERN.ISITUAC = '1'  EXCEPT LAST DATA_DATE_PART</t>
  </si>
  <si>
    <t>common_contracts_nostrovostroaccounts</t>
  </si>
  <si>
    <t>Nostro Vostro Account Transaction</t>
  </si>
  <si>
    <t>nostrovostro_account_transaction</t>
  </si>
  <si>
    <t>SELECT CONF_GENERAL_CODE_CONVERTER.CDM_VALUE
WHERE 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SELECT CONF_GENERAL_CODE_CONVERTER.CDM_VALUE
WHERE TCT09_OPERCN.ISITUAC = '1' AND INTERFACE_DCT01.DCYR8101_CFAMILIA IN ( 'NT' ) AND CONF_GENERAL_CODE_CONVERTER.CODE CATEGORY = 'bank_id' AND CONF_GENERAL_CODE_CONVERTER.SOURCE_CODE = 'TC' AND CONF_GENERAL_CODE_CONVERTER.SOURCE_VALUE = '' AND CONF_GENERAL_CODE_CONVERTER.PRIORITY_LEVEL = '1' EXCEPT LAST DATA_DATE_PART</t>
  </si>
  <si>
    <t>SELECT CONCAT( MOVIMENTOS_CONSOLIDADOS.DCYR9750_CKBALCAO, MOVIMENTOS_CONSOLIDADOS.DCYR9750_CKNUMCTA, '000000000000000' )
WHERE INTERFACE_DCT01.DCYR8101_CSITCTA IN ( '0', '1', '2', '3', '5', '6', '7', '8', '9' ) AND INTERFACE_DCT01.DCYR8101_CFAMILIA IN ( 'NT' ) 
SELECT CONCAT( TCT72_MOVCTA.CKBALCAO, TCT72_MOVCTA.CKNUMCTA, '000000000000000' )
WHERE TCT09_OPERCN.ISITUAC = '1' AND INTERFACE_DCT01.DCYR8101_CFAMILIA IN ( 'NT' ) EXCEPT LAST DATA_DATE_PART</t>
  </si>
  <si>
    <t>SELECT CAST( MOVIMENTOS_CONSOLIDADOS.DCYR9750_ZMOVCTA AS BIGINT )
WHERE INTERFACE_DCT01.DCYR8101_CSITCTA IN ( '0', '1', '2', '3', '5', '6', '7', '8', '9' ) AND INTERFACE_DCT01.DCYR8101_CFAMILIA IN ( 'NT' ) 
SELECTT CAST( TCT72_MOVCTA.ZMOVCTA AS BIGINT )
WHERE TCT09_OPERCN.ISITUAC = '1' AND INTERFACE_DCT01.DCYR8101_CFAMILIA IN ( 'NT' ) EXCEPT LAST DATA_DATE_PART</t>
  </si>
  <si>
    <t>SELECT CAST( 1 AS BIGINT )
WHERE INTERFACE_DCT01.DCYR8101_CSITCTA IN ( '0', '1', '2', '3', '5', '6', '7', '8', '9' ) AND INTERFACE_DCT01.DCYR8101_CFAMILIA IN ( 'NT' ) 
SELECT CAST( TCT72_MOVCTA.ZSEQMOV AS BIGINT )
WHERE TCT09_OPERCN.ISITUAC = '1' AND INTERFACE_DCT01.DCYR8101_CFAMILIA IN ( 'NT' )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</si>
  <si>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</si>
  <si>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SELECT CONF_GENERAL_CODE_CONVERTER.CDM_VALUE
WHERE TCT09_OPERCN.ISITUAC = '1' AND INTERFACE_DCT01.DCYR8101_CFAMILIA IN ( 'NT'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</si>
  <si>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SELECT  MOVIMENTOS_CONSOLIDADOS.DCYR9750_DDIAOP
WHERE INTERFACE_DCT01.DCYR8101_CSITCTA IN ( '0', '1', '2', '3', '5', '6', '7', '8', '9' ) AND INTERFACE_DCT01.DCYR8101_CFAMILIA IN ( 'NT' ) 
SELECT TCT72_MOVCTA.DDIAOP
WHERE TCT09_OPERCN.ISITUAC = '1' AND INTERFACE_DCT01.DCYR8101_CFAMILIA IN ( 'NT' ) EXCEPT LAST DATA_DATE_PART</t>
  </si>
  <si>
    <t>SELECT CAST( MOVIMENTOS_CONSOLIDADOS.DCYR9750_MMOVIM AS DECIMAL( 23, 6 ) )
WHERE INTERFACE_DCT01.DCYR8101_CSITCTA IN ( '0', '1', '2', '3', '5', '6', '7', '8', '9' ) AND INTERFACE_DCT01.DCYR8101_CFAMILIA IN ( 'NT' ) 
SELECT CAST( TCT72_MOVCTA.MMOVIM AS DECIMAL( 23, 6 ) )
WHERE TCT09_OPERCN.ISITUAC = '1' AND INTERFACE_DCT01.DCYR8101_CFAMILIA IN ( 'CC' ) EXCEPT LAST DATA_DATE_PART</t>
  </si>
  <si>
    <t> </t>
  </si>
  <si>
    <t>SELECT '1'
WHERE INTERFACE_DCT01.DCYR8101_CSITCTA IN ( '0', '1', '2', '3', '5', '6', '7', '8', '9' ) AND INTERFACE_DCT01.DCYR8101_CFAMILIA IN ( 'NT' ) 
SELECT CAST( CONF_FINANCIAL_FLOW_CONVERTER.CDM_VALUE AS STRING )
WHERE WHERE TCT09_OPERCN.ISITUAC = '1' AND INTERFACE_DCT01.DCYR8101_CFAMILIA IN ( 'NT' ) AND CONF_FINANCIAL_FLOW_CONVERTER.SOURCE_TRANSACTION_TYPE_CODE = 'coperac' AND CONF_FINANCIAL_FLOW_CONVERTER.SOURCE_CODE = 'TC' EXCEPT LAST DATA_DATE_PART</t>
  </si>
  <si>
    <t>N\A
COPERAC</t>
  </si>
  <si>
    <t>Currency:
TAT91 - CTABELA 206;  CURATED_INTERNAL_MAINFRAME_ESTRUTURAIS.TAT91_TABELAS - TAYD91C0_CTABELA 206
TAT91 - CTABELA 206;  CURATED_INTERNAL_MAINFRAME_ESTRUTURAIS.TAT91_TABELAS - TAYD91C0_CTABELA 206</t>
  </si>
  <si>
    <t>SELECT IF( TRIM( MOVIMENTOS_CONSOLIDADOS.DCYR9750_CMOEDA ) = '', NULL, MOVIMENTOS_CONSOLIDADOS.DCYR9750_CMOEDA )
WHERE INTERFACE_DCT01.DCYR8101_CSITCTA IN ( '0', '1', '2', '3', '5', '6', '7', '8', '9' ) AND INTERFACE_DCT01.DCYR8101_CFAMILIA IN ( 'NT' ) 
SELECT IF( TRIM( TCT72_MOVCTA.CMOEDAOR ) = '', NULL, TCT72_MOVCTA.CMOEDAOR )
WHERE TCT09_OPERCN.ISITUAC = '1' AND INTERFACE_DCT01.DCYR8101_CFAMILIA IN ( 'NT' ) EXCEPT LAST DATA_DATE_PART</t>
  </si>
  <si>
    <t>SELECT IF( TRIM( MOVIMENTOS_CONSOLIDADOS.DCYR9750_DDIAVL ) = '', NULL, MOVIMENTOS_CONSOLIDADOS.DCYR9750_DDIAVL )
WHERE INTERFACE_DCT01.DCYR8101_CSITCTA IN ( '0', '1', '2', '3', '5', '6', '7', '8', '9' ) AND INTERFACE_DCT01.DCYR8101_CFAMILIA IN ( 'NT' ) 
SELECT IF( TRIM( TCT72_MOVCTA.DDIAVL ) = '', NULL, TCT72_MOVCTA.DDIAVL )
WHERE TCT09_OPERCN.ISITUAC = '1' AND INTERFACE_DCT01.DCYR8101_CFAMILIA IN ( 'NT' ) EXCEPT LAST DATA_DATE_PART</t>
  </si>
  <si>
    <t>SELECT MOVIMENTOS_CONSOLIDADOS.DCYR9750_GREFMOV
WHERE INTERFACE_DCT01.DCYR8101_CSITCTA IN ( '0', '1', '2', '3', '5', '6', '7', '8', '9' ) AND INTERFACE_DCT01.DCYR8101_CFAMILIA IN ( 'NT' ) 
SELECT NULL
WHERE TCT09_OPERCN.ISITUAC = '1' AND INTERFACE_DCT01.DCYR8101_CFAMILIA IN ( 'NT' ) EXCEPT LAST DATA_DATE_PART</t>
  </si>
  <si>
    <t>SELECT MOVIMENTOS_CONSOLIDADOS.DCYR9750_GDESMOV
WHERE INTERFACE_DCT01.DCYR8101_CSITCTA IN ( '0', '1', '2', '3', '5', '6', '7', '8', '9' ) AND INTERFACE_DCT01.DCYR8101_CFAMILIA IN ( 'NT' ) 
SELECT ''
WHERE TCT09_OPERCN.ISITUAC = '1' AND INTERFACE_DCT01.DCYR8101_CFAMILIA IN ( 'NT' ) EXCEPT LAST DATA_DATE_PART</t>
  </si>
  <si>
    <t>SELECT MOVIMENTOS_CONSOLIDADOS.DCYR9750_GOBSERV
WHERE INTERFACE_DCT01.DCYR8101_CSITCTA IN ( '0', '1', '2', '3', '5', '6', '7', '8', '9' ) AND INTERFACE_DCT01.DCYR8101_CFAMILIA IN ( 'NT' ) 
SELECT ''
WHERE TCT09_OPERCN.ISITUAC = '1' AND INTERFACE_DCT01.DCYR8101_CFAMILIA IN ( 'NT' ) EXCEPT LAST DATA_DATE_PART</t>
  </si>
  <si>
    <t>SELECT 'DC'
WHERE INTERFACE_DCT01.DCYR8101_CSITCTA IN ( '0', '1', '2', '3', '5', '6', '7', '8', '9' ) AND INTERFACE_DCT01.DCYR8101_CFAMILIA IN ( 'NT' ) 
SELECT 'TC'
WHERE TCT09_OPERCN.ISITUAC = '1' AND INTERFACE_DCT01.DCYR8101_CFAMILIA IN ( 'NT' ) EXCEPT LAST DATA_DATE_PART</t>
  </si>
  <si>
    <t>SELECT MOVIMENTOS_CONSOLIDADOS.DATA_DATE_PART
WHERE INTERFACE_DCT01.DCYR8101_CSITCTA IN ( '0', '1', '2', '3', '5', '6', '7', '8', '9' ) AND INTERFACE_DCT01.DCYR8101_CFAMILIA IN ( 'NT' ) 
SELECT TCT72_MOVCTA.DATA_DATE_PART
WHERE TCT09_OPERCN.ISITUAC = '1' AND INTERFACE_DCT01.DCYR8101_CFAMILIA IN ( 'NT' ) EXCEPT LAST DATA_DATE_PART</t>
  </si>
  <si>
    <t>SELECT NOW()
WHERE INTERFACE_DCT01.DCYR8101_CSITCTA IN ( '0', '1', '2', '3', '5', '6', '7', '8', '9' ) AND INTERFACE_DCT01.DCYR8101_CFAMILIA IN ( 'NT' ) 
SELECT NOW()
WHERE TCT09_OPERCN.ISITUAC = '1' AND INTERFACE_DCT01.DCYR8101_CFAMILIA IN ( 'NT' ) EXCEPT LAST DATA_DATE_PART</t>
  </si>
  <si>
    <t>common_contracts_prepaidcards</t>
  </si>
  <si>
    <t>Pre-Paid Card Account Transaction</t>
  </si>
  <si>
    <t>prepaid_card_account_transaction</t>
  </si>
  <si>
    <t>SELECT CONF_GENERAL_CONVERTER.CDM_VALUE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'CR' AND GENERAL_CONVERTER.SOURCE_VALUE = '' AND CONF_GENERAL_CONVERTER.CODE CATEGORY = 'bank_id' AND CONF_GENERAL_CONVERTER.SOURCE_CODE = 'CR' AND CONF_GENERAL_CONVERTER.SOURCE_VALUE = '' AND CONF_GENERAL_CONVERTER.PRIORITY_LEVEL = '1'</t>
  </si>
  <si>
    <t xml:space="preserve">SELECT CONCAT( CRT07_TBCTATAR.CKBALCAO, CRT07_TBCTATAR.CKNUMCTA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</si>
  <si>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CAST( CRT90_TBMOVDEB_NEW.CRT90DL_NUMEXTCTA AS BIGINT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</si>
  <si>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SELECTCAST(CRT90_TBMOVDEB_NEW.CRT90DL_NUMMOVEXT AS BIGINT)
WHERE CRT07_TBCTATAR.FECBAJA = 0 AND TAYD91C0_CTABELA = '593' AND ( ( SUBSTRING( TAYD91C0_NELEMC08, 1, 1 ) = 2 AND ( SUBSTRING( TAYD91C0_NELEMC17, 1, 1 ) = 'N' OR SUBSTRING( TAYD91C0_NELEMC17, 1, 1 ) = 'P' ) ) OR ( SUBSTRING(TAYD91C0_NELEMC08, 1, 1 ) = 2 AND SUBSTRING( TAYD91C0_NELEMC12, 14,1 ) = 'S' ) ) </t>
  </si>
  <si>
    <t>SELECT CONF_GENERAL_CONVERTER.CDM_VALUE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CONF_GENERAL_CONVERTER.CODE CATEGORY = 'transaction_type_code' AND CONF_GENERAL_CONVERTER.SOURCE_CODE = 'CR' AND CONF_GENERAL_CONVERTER.SOURCE_VALUE = '' AND CONF_GENERAL_CONVERTER.PRIORITY_LEVEL = '1'</t>
  </si>
  <si>
    <t>SELECT '1'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</si>
  <si>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SELECT IF( TRIM( CRT90_TBMOVDEB_NEW.CRT90DL_PAN ) = '', NULL, CRT90_TBMOVDEB_NEW.CRT90DL_PAN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</si>
  <si>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CRT09_TBTARJET.NUMBENCTA) = '', NULL, CAST( ( CRT09_TBTARJET.NUMBENCTA- 1 ) AS INT ) )
WHERE CRT07_TBCTATAR.FECBAJA = 0 AND TAYD91C0_CTABELA = '593' AND ( ( SUBSTRING( TAYD91C0_NELEMC08, 1, 1 ) = 2 AND ( SUBSTRING( TAYD91C0_NELEMC17, 1, 1 ) = 'N' OR SUBSTRING( TAYD91C0_NELEMC17, 1, 1 ) = 'P' ) ) OR ( SUBSTRING(TAYD91C0_NELEMC08, 1, 1 ) = 2 AND SUBSTRING( TAYD91C0_NELEMC12, 14,1 ) = 'S' ) )</t>
  </si>
  <si>
    <t>SELECT IF( ( TRIM( CRT90_TBMOVDEB_NEW.CRT90DL_CNATOPR ) = '' OR CRT90_TBMOVDEB_NEW.CRT90DL_CNATOPR IS NULL ), 
    NULL, 
    IF( CRT90_TBMOVDEB_NEW.CRT90DL_CNATOPR IN ( '52', '57' ),
        '1',
        '0')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</si>
  <si>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SELECT CAST( IF( TRIM( CRT90_TBMOVDEB_NEW.CRT90DL_INDESTR ) = '', 
    NULL, 
    CRT90_TBMOVDEB_NEW.CRT90DL_INDESTR ) AS STRING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</si>
  <si>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CAST( IF( ( TRIM( CRT53.TIPOAUT ) = '' OR CRT53.TIPOAUT IS NULL ),
    NULL,
    IF( SUBSTRING( CRT53.TIPOAUT, 1, 1 ) IN ( '1', '4', '8' ),
        '1',
        '0' ) ) AS STRING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</si>
  <si>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CRT53.TIPOAUT ) = '', NULL, CRT53.TIPOAUT )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</si>
  <si>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SELECT IF( TRIM( CRT90_TBMOVDEB_NEW.CRT90DL_CLAMON ) = '', NULL, CRT90_TBMOVDEB_NEW.CRT90DL_CLAMON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</si>
  <si>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CRT90_TBMOVDEB_NEW.CRT90DL_CLAMONEUR ) = '', NULL, CRT90_TBMOVDEB_NEW.CRT90DL_CLAMONEUR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</si>
  <si>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</si>
  <si>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</si>
  <si>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CRT90_TBMOVDEB_NEW.CRT90DL_CLAMON != '978', CAST( CONCAT( CRT44_TBTIPFAC.SIGNO, CRT90_TBMOVDEB_NEW.CRT90DL_IMPDIV ) AS DECIMAL( 23, 6 ) ), CAST( CONCAT( CRT44_TBTIPFAC.signo, CRT90_TBMOVDEB_NEW.CRT90DL_IMPFAC ) AS DECIMAL( 23, 6 ) ) )
WHERE CRT07_TBCTATAR.FECBAJA = 0 AND TAYD91C0_CTABELA = '593' AND ( ( SUBSTRING( TAYD91C0_NELEMC08, 1, 1 ) = 2 AND ( SUBSTRING( TAYD91C0_NELEMC17, 1, 1 ) = 'N' OR SUBSTRING( TAYD91C0_NELEMC17, 1, 1 ) = 'P' ) ) OR ( SUBSTRING(TAYD91C0_NELEMC08, 1, 1 ) = 2 AND SUBSTRING( TAYD91C0_NELEMC12, 14,1 ) = 'S' ) )</t>
  </si>
  <si>
    <t>CONCAT( (2)SIGNO, (1)IMPDIV ) || CONCAT( (2)SIGNO, (1)IMPFAC )</t>
  </si>
  <si>
    <t xml:space="preserve">SELECT IF( TRIM( CONCAT( CRT44_TBTIPFAC.SIGNO, CRT90_TBMOVDEB_NEW.CRT90DL_IMPFAC ) ) = '', NULL, CAST( CONCAT( CRT44_TBTIPFAC.SIGNO, CRT90_TBMOVDEB_NEW.CRT90DL_IMPFAC ) AS DECIMAL( 23, 6 )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</si>
  <si>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CRT90_TBMOVDEB_NEW.CRT90DL_BANAPOIO ) = '', NULL, CRT90_TBMOVDEB_NEW.CRT90DL_BANAPOIO )
WHERE CRT07_TBCTATAR.FECBAJA = 0 AND TAYD91C0_CTABELA = '593' AND ( ( SUBSTRING( TAYD91C0_NELEMC08, 1, 1 ) = 2 AND ( SUBSTRING( TAYD91C0_NELEMC17, 1, 1 ) = 'N' OR SUBSTRING( TAYD91C0_NELEMC17, 1, 1 ) = 'P' ) ) OR ( SUBSTRING(TAYD91C0_NELEMC08, 1, 1 ) = 2 AND SUBSTRING( TAYD91C0_NELEMC12, 14,1 ) = 'S' ) )</t>
  </si>
  <si>
    <t>BANAPOIO || N\A</t>
  </si>
  <si>
    <t>SELECT IF( TRIM( CRT90_TBMOVDEB_NEW.CRT90DL_NOMCOMRED ) = '', NULL, CRT90_TBMOVDEB_NEW.CRT90DL_NOMCOMRED )
WHERE CRT07_TBCTATAR.FECBAJA = 0 AND TAYD91C0_CTABELA = '593' AND ( ( SUBSTRING( TAYD91C0_NELEMC08, 1, 1 ) = 2 AND ( SUBSTRING( TAYD91C0_NELEMC17, 1, 1 ) = 'N' OR SUBSTRING( TAYD91C0_NELEMC17, 1, 1 ) = 'P' ) ) OR ( SUBSTRING(TAYD91C0_NELEMC08, 1, 1 ) = 2 AND SUBSTRING( TAYD91C0_NELEMC12, 14,1 ) = 'S' ) )</t>
  </si>
  <si>
    <t>SELECT IF( CRT90_TBMOVDEB_NEW.CRT90DL_GRUPO = 'A',
    IF( TRIM( CRT90_TBMOVDEB_NEW.CRT90DL_CODCOM ) = '',
        NULL,
        CRT90_TBMOVDEB_NEW.CRT90DL_CODCOM ),
    '#N/A' )
WHERE CRT07_TBCTATAR.FECBAJA = 0 AND TAYD91C0_CTABELA = '593' AND ( ( SUBSTRING( TAYD91C0_NELEMC08, 1, 1 ) = 2 AND ( SUBSTRING( TAYD91C0_NELEMC17, 1, 1 ) = 'N' OR SUBSTRING( TAYD91C0_NELEMC17, 1, 1 ) = 'P' ) ) OR ( SUBSTRING(TAYD91C0_NELEMC08, 1, 1 ) = 2 AND SUBSTRING( TAYD91C0_NELEMC12, 14,1 ) = 'S' ) )</t>
  </si>
  <si>
    <t>SELECT IF( CRT90_TBMOVDEB_NEW.CRT90DL_GRUPO IN ( 'B', 'P', 'Z' ),
    IF( TRIM( CRT90_TBMOVDEB_NEW.CRT90DL_CODCOM ) = '',
        NULL,
        CRT90_TBMOVDEB_NEW.CRT90DL_CODCOM ),
    '#N/A' )
WHERE CRT07_TBCTATAR.FECBAJA = 0 AND TAYD91C0_CTABELA = '593' AND ( ( SUBSTRING( TAYD91C0_NELEMC08, 1, 1 ) = 2 AND ( SUBSTRING( TAYD91C0_NELEMC17, 1, 1 ) = 'N' OR SUBSTRING( TAYD91C0_NELEMC17, 1, 1 ) = 'P' ) ) OR ( SUBSTRING(TAYD91C0_NELEMC08, 1, 1 ) = 2 AND SUBSTRING( TAYD91C0_NELEMC12, 14,1 ) = 'S' ) )</t>
  </si>
  <si>
    <t>SELECT IF( TRIM( CRT98_ELPS.IDCOMEMP ) = '', NULL, CRT98_ELPS.IDCOMEMP )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</si>
  <si>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SELECT IF( TRIM( CRT90_TBMOVDEB_NEW.CRT90DL_CODACT ) = '', NULL, CRT90_TBMOVDEB_NEW.CRT90DL_CODACT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</si>
  <si>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'CR'
WHERE CRT07_TBCTATAR.FECBAJA = 0 AND TAYD91C0_CTABELA = '593' AND ( ( SUBSTRING( TAYD91C0_NELEMC08, 1, 1 ) = 2 AND ( SUBSTRING( TAYD91C0_NELEMC17, 1, 1 ) = 'N' OR SUBSTRING( TAYD91C0_NELEMC17, 1, 1 ) = 'P' ) ) OR ( SUBSTRING(TAYD91C0_NELEMC08, 1, 1 ) = 2 AND SUBSTRING( TAYD91C0_NELEMC12, 14,1 ) = 'S' ) )</t>
  </si>
  <si>
    <t>SELECT CRT90_TBMOVDEB_NEW.DATA_DATE_PART
WHERE 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</si>
  <si>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N\A
</t>
  </si>
  <si>
    <t>SELECT NOW()
WHERE CRT07_TBCTATAR.FECBAJA = 0 AND TAYD91C0_CTABELA = '593' AND ( ( SUBSTRING( TAYD91C0_NELEMC08, 1, 1 ) = 2 AND ( SUBSTRING( TAYD91C0_NELEMC17, 1, 1 ) = 'N' OR SUBSTRING( TAYD91C0_NELEMC17, 1, 1 ) = 'P' ) ) OR ( SUBSTRING(TAYD91C0_NELEMC08, 1, 1 ) = 2 AND SUBSTRING( TAYD91C0_NELEMC12, 14,1 ) = 'S' ) )</t>
  </si>
  <si>
    <t>common_contracts_savingsaccounts</t>
  </si>
  <si>
    <t>Saving Account Transaction</t>
  </si>
  <si>
    <t>saving_account_transaction</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</si>
  <si>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</si>
  <si>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</si>
  <si>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</si>
  <si>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</si>
  <si>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t>SELECT CONF_GENERAL_CODE_CONVERTER.CDM_VALUE
WHERE DP_DPYR0550_DEPOSITOS.DCYR8101_CSITCTA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</si>
  <si>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</si>
  <si>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
CURATED_INTERNAL_MAINFRAME_DEPOSITOSPRAZO</t>
  </si>
  <si>
    <t>DP_DPYR0550_DEPOSITOS
DP_DPYR0580_MOVIMENTOS</t>
  </si>
  <si>
    <t xml:space="preserve">SELECT CONCAT( DP_DPYR0580_MOVIMENTOS.CKBALCAO, DP_DPYR0580_MOVIMENTOS.CKNUMCTA, SUBSTRING( DP_DPYR0580_MOVIMENTOS.ZDEPOSIT, 2, 6 ), '000000000' )
WHERE DP_DPYR0550_DEPOSITOS.DCYR8101_CSITCTA = 'NR' </t>
  </si>
  <si>
    <t>DPYR058O</t>
  </si>
  <si>
    <t>CONCAT ( CKBALCAO, CKNUMCTA, ZDEPOSIT( 2, 6 ) )</t>
  </si>
  <si>
    <t>N\A
NUMMOVIM</t>
  </si>
  <si>
    <t xml:space="preserve">SELECT CAST( DP_DPYR0580_MOVIMENTOS.NUMMOVIM AS BIGINT )
WHERE DP_DPYR0550_DEPOSITOS.DCYR8101_CSITCTA = 'NR' </t>
  </si>
  <si>
    <t>NUMMOVIM</t>
  </si>
  <si>
    <t xml:space="preserve">SELECT CAST( 1 AS BIGINT )
WHERE DP_DPYR0550_DEPOSITOS.DCYR8101_CSITCTA = 'NR' </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</si>
  <si>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</si>
  <si>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</si>
  <si>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CONF_GENERAL_CONVERTER</t>
  </si>
  <si>
    <t>SELECT CONF_GENERAL_CONVERTER.CDM_VALUE
WHERE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CONF_GENERAL_CONVERTER.CODE CATEGORY = 'transaction_type_code' AND CONF_GENERAL_CONVERTER.SOURCE_CODE = 'DP' AND CONF_GENERAL_CONVERTER.SOURCE_VALUE = '' AND CONF_GENERAL_CONVERTER.PRIORITY_LEVEL = '1'</t>
  </si>
  <si>
    <t>CONCAT( OPERBAS, OPERBAN )</t>
  </si>
  <si>
    <t>DP_DPYR0550_DEPOSITOS
DP_DPYR0580_MOVIMENTOS
CONF_FINANCIAL_FLOW_CONVERTER
CONF_GENERAL_CONVERTER</t>
  </si>
  <si>
    <t>SELECT CAST( CONF_FINANCIAL_FLOW_CONVERTER.CDM_VALUE AS STRING )
WHERE DP_DPYR0550_DEPOSITOS.DCYR8101_CSITCTA = 'NR'  AND CONF_FINANCIAL_FLOW_CONVERTER.SOURCE_TRANSACTION_TYPE_CODE = 'obb' AND COMF_FINANCIAL_FLOW_CONVERTER.SOURCE_CODE = 'DP' AND AND CONF_FINANCIAL_FLOW_CONVERTER.SOURCE_VALUE =  CONCAT( DP_DPYR0580_MOVIMENTOS.DPYR0580_OPERBAS, DP_DPYR0580_MOVIMENTOS.DPYR0580_OPERBAN )</t>
  </si>
  <si>
    <t>Currency:
TAT91 - CTABELA 901; CURATED_INTERNAL_MAINFRAME_ESTRUTURAIS.TAT91_TABELAS - TAYD91C0_CTABELA 901</t>
  </si>
  <si>
    <t>N\A
MONOPER</t>
  </si>
  <si>
    <t xml:space="preserve">SELECT IF( TRIM( DP_DPYR0580_MOVIMENTOS.MONOPER ) = '', NULL, DP_DPYR0580_MOVIMENTOS.MONOPER )
WHERE DP_DPYR0550_DEPOSITOS.DCYR8101_CSITCTA = 'NR'  </t>
  </si>
  <si>
    <t>MONOPER</t>
  </si>
  <si>
    <t>N\A
FECHAENT</t>
  </si>
  <si>
    <t xml:space="preserve">SELECT IF( TRIM( DP_DPYR0580_MOVIMENTOS.FECHAENT ) = '', NULL, DP_DPYR0580_MOVIMENTOS.FECHAENT )
WHERE DP_DPYR0550_DEPOSITOS.DCYR8101_CSITCTA = 'NR'  </t>
  </si>
  <si>
    <t>FECHAENT</t>
  </si>
  <si>
    <t>N\A
DDIAOP</t>
  </si>
  <si>
    <t xml:space="preserve">SELECT IF( TRIM( DP_DPYR0580_MOVIMENTOS.DDIAOP ) = '', NULL, DP_DPYR0580_MOVIMENTOS.DDIAOP )
WHERE DP_DPYR0550_DEPOSITOS.DCYR8101_CSITCTA = 'NR'  </t>
  </si>
  <si>
    <t>N\A
MMOVIM</t>
  </si>
  <si>
    <t xml:space="preserve">SELECT CAST( DP_DPYR0580_MOVIMENTOS.MMOVIM AS DECIMAL( 23, 6 ) )
WHERE DP_DPYR0550_DEPOSITOS.DCYR8101_CSITCTA = 'NR'  </t>
  </si>
  <si>
    <t xml:space="preserve">SELECT 'DP'
WHERE DP_DPYR0550_DEPOSITOS.DCYR8101_CSITCTA = 'NR'  </t>
  </si>
  <si>
    <t>"DP"</t>
  </si>
  <si>
    <t xml:space="preserve">SELECT DP_DPYR0580_MOVIMENTOS.DATA_DATE_PART
WHERE DP_DPYR0550_DEPOSITOS.DCYR8101_CSITCTA = 'NR'  </t>
  </si>
  <si>
    <t xml:space="preserve">SELECT NOW()
WHERE DP_DPYR0550_DEPOSITOS.DCYR8101_CSITCTA = 'NR'  </t>
  </si>
  <si>
    <t>common_contracts_tradefinance</t>
  </si>
  <si>
    <t>Trade Finance Transaction</t>
  </si>
  <si>
    <t>trade_finance_transaction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</si>
  <si>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</si>
  <si>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</si>
  <si>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</si>
  <si>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</si>
  <si>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</si>
  <si>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</si>
  <si>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</si>
  <si>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</si>
  <si>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</si>
  <si>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</si>
  <si>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</si>
  <si>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</si>
  <si>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</si>
  <si>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</si>
  <si>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</si>
  <si>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</si>
  <si>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</si>
  <si>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</si>
  <si>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</si>
  <si>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</si>
  <si>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</si>
  <si>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</si>
  <si>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</si>
  <si>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</si>
  <si>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</si>
  <si>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</si>
  <si>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</si>
  <si>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</si>
  <si>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</si>
  <si>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</si>
  <si>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</si>
  <si>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</si>
  <si>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</si>
  <si>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</si>
  <si>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</si>
  <si>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</si>
  <si>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</si>
  <si>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</si>
  <si>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</si>
  <si>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</si>
  <si>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</si>
  <si>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</si>
  <si>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</si>
  <si>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</si>
  <si>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</si>
  <si>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</si>
  <si>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</si>
  <si>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</si>
  <si>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</si>
  <si>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</si>
  <si>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</si>
  <si>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</si>
  <si>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</si>
  <si>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</si>
  <si>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</si>
  <si>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</si>
  <si>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</si>
  <si>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</si>
  <si>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</si>
  <si>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</si>
  <si>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</si>
  <si>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</si>
  <si>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</si>
  <si>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</si>
  <si>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</si>
  <si>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</si>
  <si>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</si>
  <si>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</si>
  <si>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</si>
  <si>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</si>
  <si>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</si>
  <si>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</si>
  <si>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</si>
  <si>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</si>
  <si>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</si>
  <si>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</si>
  <si>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</si>
  <si>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</si>
  <si>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</si>
  <si>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</si>
  <si>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</si>
  <si>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</si>
  <si>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</si>
  <si>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</si>
  <si>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</si>
  <si>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</si>
  <si>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</si>
  <si>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</si>
  <si>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</si>
  <si>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</si>
  <si>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</si>
  <si>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</si>
  <si>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</si>
  <si>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</si>
  <si>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</si>
  <si>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</si>
  <si>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</si>
  <si>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</si>
  <si>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</si>
  <si>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</si>
  <si>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</si>
  <si>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</si>
  <si>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</si>
  <si>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</si>
  <si>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</si>
  <si>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</si>
  <si>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</si>
  <si>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</si>
  <si>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</si>
  <si>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</si>
  <si>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</si>
  <si>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</si>
  <si>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</si>
  <si>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</si>
  <si>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</si>
  <si>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</si>
  <si>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</si>
  <si>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</si>
  <si>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</si>
  <si>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</si>
  <si>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</si>
  <si>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</si>
  <si>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</si>
  <si>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</si>
  <si>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</si>
  <si>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</si>
  <si>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</si>
  <si>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</si>
  <si>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</si>
  <si>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</si>
  <si>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</si>
  <si>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</si>
  <si>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</si>
  <si>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</si>
  <si>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</si>
  <si>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</si>
  <si>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</si>
  <si>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</si>
  <si>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</si>
  <si>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</si>
  <si>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</si>
  <si>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</si>
  <si>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</si>
  <si>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</si>
  <si>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</si>
  <si>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</si>
  <si>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</si>
  <si>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</si>
  <si>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</si>
  <si>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</si>
  <si>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</si>
  <si>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</si>
  <si>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</si>
  <si>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</si>
  <si>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</si>
  <si>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</si>
  <si>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</si>
  <si>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</si>
  <si>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</si>
  <si>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</si>
  <si>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</si>
  <si>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</si>
  <si>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</si>
  <si>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</si>
  <si>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</si>
  <si>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</si>
  <si>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</si>
  <si>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</si>
  <si>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credit_card_account_plan_transaction</t>
  </si>
  <si>
    <t>crt12_tbmovext_new</t>
  </si>
  <si>
    <t>crt12_tbmovext_new.crt12_codent = crt07_tbctatar.codent and crt12_tbmovext_new.crt12_numctatar = crt07_tbctatar.numctatar</t>
  </si>
  <si>
    <t>concat( lpad( crt07_tbctatar.codmar, 2, '0' ), lpad( crt07_tbctatar.indtipt, 2, '0' ) ) = tat91_tabelas.tat593_filter.tayd91c0_celemtab and crt07_tbctatar.cmarca = tat91_tabelas.tayd91c0_cempmarc</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</si>
  <si>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</si>
  <si>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</si>
  <si>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</si>
  <si>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</si>
  <si>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</si>
  <si>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</si>
  <si>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interface_dct01.dcyr8101_ckbalcao = movimentos_consolidados.dcyr9750_ckbalcao and interface_dct01.dcyr8101_cknumcta = movimentos_consolidados.dcyr9750_cknumcta</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</si>
  <si>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</si>
  <si>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</si>
  <si>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</si>
  <si>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</si>
  <si>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</si>
  <si>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t>
  </si>
  <si>
    <t>curated_internal_mainframe_emprestimos</t>
  </si>
  <si>
    <t>ept07_movcta</t>
  </si>
  <si>
    <t>ept01_contas</t>
  </si>
  <si>
    <t>ept01_contas.ckbalcao = ept07_movcta.ckbalcao and ept01_contas.cknumcta = ept07_movcta.cknumcta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</si>
  <si>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</si>
  <si>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</si>
  <si>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</si>
  <si>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</si>
  <si>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</si>
  <si>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</si>
  <si>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ept99_movimento</t>
  </si>
  <si>
    <t>coint_ctoloc_p.e2616_idcent_l = ept99_movimento.ckbalcao and coint_ctoloc_p.e2616_idcont_l =  ept99_movimento.cknumcta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</si>
  <si>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</si>
  <si>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</si>
  <si>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</si>
  <si>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</si>
  <si>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</si>
  <si>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</si>
  <si>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</si>
  <si>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</si>
  <si>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</si>
  <si>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</si>
  <si>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</si>
  <si>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</si>
  <si>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</si>
  <si>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</si>
  <si>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</si>
  <si>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</si>
  <si>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</si>
  <si>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</si>
  <si>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</si>
  <si>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</si>
  <si>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</si>
  <si>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</si>
  <si>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</si>
  <si>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</si>
  <si>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</si>
  <si>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</si>
  <si>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</si>
  <si>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</si>
  <si>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</si>
  <si>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</si>
  <si>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</si>
  <si>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</si>
  <si>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</si>
  <si>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</si>
  <si>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</si>
  <si>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</si>
  <si>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</si>
  <si>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</si>
  <si>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</si>
  <si>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</si>
  <si>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</si>
  <si>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</si>
  <si>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</si>
  <si>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</si>
  <si>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</si>
  <si>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</si>
  <si>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</si>
  <si>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</si>
  <si>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</si>
  <si>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</si>
  <si>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</si>
  <si>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</si>
  <si>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</si>
  <si>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</si>
  <si>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</si>
  <si>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</si>
  <si>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</si>
  <si>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</si>
  <si>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</si>
  <si>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</si>
  <si>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</si>
  <si>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</si>
  <si>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'213' )</t>
  </si>
  <si>
    <t>tct72_movcta.ckbalcao and tct72_movcta.cknumcta exists in ( tct09_opercn.isituac = 1 and crt07_tbctatar.fecbaja = 0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</si>
  <si>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</si>
  <si>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</si>
  <si>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</si>
  <si>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</si>
  <si>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</si>
  <si>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</si>
  <si>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</si>
  <si>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</si>
  <si>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</si>
  <si>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</si>
  <si>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</si>
  <si>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</si>
  <si>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</si>
  <si>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</si>
  <si>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</si>
  <si>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</si>
  <si>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</si>
  <si>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</si>
  <si>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</si>
  <si>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</si>
  <si>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</si>
  <si>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</si>
  <si>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</si>
  <si>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</si>
  <si>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</si>
  <si>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</si>
  <si>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</si>
  <si>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</si>
  <si>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</si>
  <si>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</si>
  <si>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</si>
  <si>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</si>
  <si>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</si>
  <si>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</si>
  <si>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</si>
  <si>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</si>
  <si>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</si>
  <si>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</si>
  <si>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</si>
  <si>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</si>
  <si>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</si>
  <si>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</si>
  <si>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</si>
  <si>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</si>
  <si>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</si>
  <si>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</si>
  <si>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</si>
  <si>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</si>
  <si>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</si>
  <si>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</si>
  <si>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</si>
  <si>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</si>
  <si>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</si>
  <si>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</si>
  <si>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</si>
  <si>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</si>
  <si>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</si>
  <si>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</si>
  <si>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</si>
  <si>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</si>
  <si>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</si>
  <si>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</si>
  <si>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</si>
  <si>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</si>
  <si>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</si>
  <si>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</si>
  <si>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</si>
  <si>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</si>
  <si>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</si>
  <si>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</si>
  <si>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</si>
  <si>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</si>
  <si>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</si>
  <si>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</si>
  <si>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</si>
  <si>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</si>
  <si>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</si>
  <si>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</si>
  <si>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</si>
  <si>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</si>
  <si>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</si>
  <si>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</si>
  <si>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</si>
  <si>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</si>
  <si>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</si>
  <si>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</si>
  <si>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</si>
  <si>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</si>
  <si>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</si>
  <si>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</si>
  <si>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</si>
  <si>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</si>
  <si>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</si>
  <si>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</si>
  <si>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</si>
  <si>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</si>
  <si>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</si>
  <si>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</si>
  <si>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</si>
  <si>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</si>
  <si>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</si>
  <si>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</si>
  <si>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</si>
  <si>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</si>
  <si>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</si>
  <si>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</si>
  <si>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</si>
  <si>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</si>
  <si>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</si>
  <si>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</si>
  <si>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</si>
  <si>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</si>
  <si>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</si>
  <si>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</si>
  <si>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</si>
  <si>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</si>
  <si>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</si>
  <si>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</si>
  <si>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</si>
  <si>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</si>
  <si>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</si>
  <si>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</si>
  <si>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</si>
  <si>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</si>
  <si>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</si>
  <si>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</si>
  <si>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</si>
  <si>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</si>
  <si>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</si>
  <si>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</si>
  <si>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</si>
  <si>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</si>
  <si>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</si>
  <si>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</si>
  <si>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</si>
  <si>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</si>
  <si>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</si>
  <si>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</si>
  <si>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</si>
  <si>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</si>
  <si>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</si>
  <si>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</si>
  <si>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</si>
  <si>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</si>
  <si>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</si>
  <si>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</si>
  <si>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</si>
  <si>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</si>
  <si>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</si>
  <si>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</si>
  <si>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</si>
  <si>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</si>
  <si>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</si>
  <si>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</si>
  <si>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</si>
  <si>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</si>
  <si>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</si>
  <si>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</si>
  <si>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</si>
  <si>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</si>
  <si>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</si>
  <si>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</si>
  <si>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</si>
  <si>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</si>
  <si>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</si>
  <si>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</si>
  <si>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</si>
  <si>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</si>
  <si>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</si>
  <si>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</si>
  <si>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</si>
  <si>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</si>
  <si>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</si>
  <si>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</si>
  <si>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</si>
  <si>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</si>
  <si>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</si>
  <si>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</si>
  <si>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</si>
  <si>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</si>
  <si>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</si>
  <si>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</si>
  <si>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</si>
  <si>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</si>
  <si>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</si>
  <si>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</si>
  <si>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</si>
  <si>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</si>
  <si>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</si>
  <si>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</si>
  <si>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</si>
  <si>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</si>
  <si>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</si>
  <si>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</si>
  <si>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</si>
  <si>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</si>
  <si>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</si>
  <si>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</si>
  <si>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</si>
  <si>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</si>
  <si>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</si>
  <si>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</si>
  <si>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</si>
  <si>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</si>
  <si>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</si>
  <si>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</si>
  <si>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</si>
  <si>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</si>
  <si>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</si>
  <si>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</si>
  <si>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</si>
  <si>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</si>
  <si>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</si>
  <si>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</si>
  <si>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2024-08-08T11:24:49.872+00:00</t>
  </si>
  <si>
    <t>1904077</t>
  </si>
  <si>
    <t>2024-08-08T11:25:01.710+00:00</t>
  </si>
  <si>
    <t>2024-08-08T11:25:09.593+00:00</t>
  </si>
  <si>
    <t>2024-08-08T11:25:25.534+00:00</t>
  </si>
  <si>
    <t>2024-08-08T11:25:30.662+00:00</t>
  </si>
  <si>
    <t>2024-08-08T11:25:35.723+00:00</t>
  </si>
  <si>
    <t>2024-08-08 11:10:15.628000</t>
  </si>
  <si>
    <t>2024-08-08T11:26:16.449+00:00</t>
  </si>
  <si>
    <t>2024-08-08 11:25:37.961000</t>
  </si>
  <si>
    <t>2024-08-08T11:26:21.800+00:00</t>
  </si>
  <si>
    <t>última mensalidade-42305826</t>
  </si>
  <si>
    <t>fte 141/024</t>
  </si>
  <si>
    <t>TC</t>
  </si>
  <si>
    <t>2024-08-08T11:27:02.191+00:00</t>
  </si>
  <si>
    <t>2024-08-08 11:26:24.194000</t>
  </si>
  <si>
    <t>2024-08-08T11:27:15.098+00:00</t>
  </si>
  <si>
    <t>0.933333</t>
  </si>
  <si>
    <t>2024-08-08T11:27:18.487+00:00</t>
  </si>
  <si>
    <t>2024-08-08T11:27:24.819+00:00</t>
  </si>
  <si>
    <t>2024-08-08T11:34:51.966+00:00</t>
  </si>
  <si>
    <t>2024-08-08T11:35:23.806+00:00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</si>
  <si>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</si>
  <si>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</si>
  <si>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</si>
  <si>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</si>
  <si>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</si>
  <si>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</si>
  <si>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</si>
  <si>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</si>
  <si>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</si>
  <si>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</si>
  <si>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</si>
  <si>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</si>
  <si>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</si>
  <si>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</si>
  <si>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</si>
  <si>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</si>
  <si>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</si>
  <si>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</si>
  <si>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</si>
  <si>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</si>
  <si>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</si>
  <si>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</si>
  <si>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</si>
  <si>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</si>
  <si>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</si>
  <si>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</si>
  <si>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</si>
  <si>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</si>
  <si>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</si>
  <si>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</si>
  <si>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</si>
  <si>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</si>
  <si>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</si>
  <si>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</si>
  <si>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</si>
  <si>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</si>
  <si>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</si>
  <si>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</si>
  <si>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</si>
  <si>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</si>
  <si>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</si>
  <si>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</si>
  <si>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</si>
  <si>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</si>
  <si>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</si>
  <si>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</si>
  <si>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</si>
  <si>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</si>
  <si>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</si>
  <si>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</si>
  <si>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</si>
  <si>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</si>
  <si>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</si>
  <si>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</si>
  <si>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</si>
  <si>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</si>
  <si>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</si>
  <si>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</si>
  <si>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</si>
  <si>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</si>
  <si>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</si>
  <si>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</si>
  <si>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</si>
  <si>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</si>
  <si>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</si>
  <si>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</si>
  <si>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</si>
  <si>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</si>
  <si>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</si>
  <si>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</si>
  <si>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</si>
  <si>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</si>
  <si>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</si>
  <si>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</si>
  <si>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</si>
  <si>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</si>
  <si>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</si>
  <si>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</si>
  <si>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</si>
  <si>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</si>
  <si>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</si>
  <si>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</si>
  <si>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</si>
  <si>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</si>
  <si>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</si>
  <si>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</si>
  <si>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</si>
  <si>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</si>
  <si>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</si>
  <si>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</si>
  <si>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</si>
  <si>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</si>
  <si>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</si>
  <si>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</si>
  <si>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</si>
  <si>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</si>
  <si>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</si>
  <si>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</si>
  <si>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</si>
  <si>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</si>
  <si>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</si>
  <si>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</si>
  <si>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</si>
  <si>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</si>
  <si>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</si>
  <si>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</si>
  <si>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</si>
  <si>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</si>
  <si>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</si>
  <si>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</si>
  <si>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</si>
  <si>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</si>
  <si>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</si>
  <si>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</si>
  <si>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</si>
  <si>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</si>
  <si>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</si>
  <si>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</si>
  <si>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</si>
  <si>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</si>
  <si>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</si>
  <si>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</si>
  <si>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</si>
  <si>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</si>
  <si>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</si>
  <si>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</si>
  <si>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</si>
  <si>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</si>
  <si>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</si>
  <si>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</si>
  <si>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</si>
  <si>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</si>
  <si>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</si>
  <si>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</si>
  <si>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</si>
  <si>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</si>
  <si>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</si>
  <si>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</si>
  <si>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</si>
  <si>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</si>
  <si>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</si>
  <si>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</si>
  <si>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</si>
  <si>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</si>
  <si>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</si>
  <si>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</si>
  <si>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</si>
  <si>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</si>
  <si>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</si>
  <si>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</si>
  <si>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</si>
  <si>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</si>
  <si>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</si>
  <si>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</si>
  <si>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</si>
  <si>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</si>
  <si>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</si>
  <si>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</si>
  <si>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</si>
  <si>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</si>
  <si>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</si>
  <si>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</si>
  <si>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</si>
  <si>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</si>
  <si>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</si>
  <si>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</si>
  <si>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</si>
  <si>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</si>
  <si>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</si>
  <si>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</si>
  <si>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</si>
  <si>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</si>
  <si>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</si>
  <si>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</si>
  <si>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</si>
  <si>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</si>
  <si>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</si>
  <si>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</si>
  <si>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</si>
  <si>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</si>
  <si>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</si>
  <si>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</si>
  <si>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</si>
  <si>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</si>
  <si>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</si>
  <si>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</si>
  <si>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</si>
  <si>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</si>
  <si>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</si>
  <si>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</si>
  <si>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</si>
  <si>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</si>
  <si>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</si>
  <si>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</si>
  <si>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</si>
  <si>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</si>
  <si>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</si>
  <si>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</si>
  <si>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</si>
  <si>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</si>
  <si>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</si>
  <si>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</si>
  <si>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</si>
  <si>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</si>
  <si>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</si>
  <si>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</si>
  <si>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</si>
  <si>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</si>
  <si>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</si>
  <si>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</si>
  <si>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</si>
  <si>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</si>
  <si>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</si>
  <si>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</si>
  <si>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</si>
  <si>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</si>
  <si>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</si>
  <si>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</si>
  <si>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</si>
  <si>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</si>
  <si>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</si>
  <si>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</si>
  <si>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</si>
  <si>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</si>
  <si>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</si>
  <si>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</si>
  <si>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</si>
  <si>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</si>
  <si>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</si>
  <si>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</si>
  <si>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</si>
  <si>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</si>
  <si>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</si>
  <si>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</si>
  <si>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</si>
  <si>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</si>
  <si>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</si>
  <si>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</si>
  <si>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</si>
  <si>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</si>
  <si>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</si>
  <si>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</si>
  <si>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</si>
  <si>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</si>
  <si>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</si>
  <si>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</si>
  <si>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</si>
  <si>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</si>
  <si>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</si>
  <si>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</si>
  <si>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</si>
  <si>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</si>
  <si>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</si>
  <si>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</si>
  <si>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</si>
  <si>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</si>
  <si>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</si>
  <si>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</si>
  <si>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</si>
  <si>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</si>
  <si>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</si>
  <si>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</si>
  <si>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</si>
  <si>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</si>
  <si>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</si>
  <si>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</si>
  <si>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</si>
  <si>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</si>
  <si>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</si>
  <si>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</si>
  <si>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</si>
  <si>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</si>
  <si>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</si>
  <si>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</si>
  <si>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</si>
  <si>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</si>
  <si>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</si>
  <si>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</si>
  <si>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</si>
  <si>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</si>
  <si>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</si>
  <si>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</si>
  <si>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</si>
  <si>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</si>
  <si>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</si>
  <si>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</si>
  <si>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</si>
  <si>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</si>
  <si>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</si>
  <si>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</si>
  <si>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</si>
  <si>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</si>
  <si>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</si>
  <si>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</si>
  <si>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</si>
  <si>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</si>
  <si>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</si>
  <si>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</si>
  <si>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</si>
  <si>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</si>
  <si>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</si>
  <si>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</si>
  <si>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</si>
  <si>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</si>
  <si>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</si>
  <si>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</si>
  <si>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</si>
  <si>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2024-09-05T10:45:06.222+00:00</t>
  </si>
  <si>
    <t>2024-09-05T10:45:11.614+00:00</t>
  </si>
  <si>
    <t>2024-09-05T10:45:22.164+00:00</t>
  </si>
  <si>
    <t>2024-09-05T10:45:26.400+00:00</t>
  </si>
  <si>
    <t>Total: 17944
1 - 17944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</si>
</sst>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8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50">
    <dxf>
      <font>
        <color rgb="FF9C0006"/>
      </font>
      <fill>
        <patternFill patternType="solid">
          <bgColor theme="5" tint="0.79998168889431442"/>
        </patternFill>
      </fill>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2.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49" tableBorderDxfId="548" totalsRowBorderDxfId="547">
  <autoFilter ref="B5:D40" xr:uid="{00000000-0009-0000-0100-000001000000}"/>
  <sortState xmlns:xlrd2="http://schemas.microsoft.com/office/spreadsheetml/2017/richdata2" ref="B6:D40">
    <sortCondition ref="B5:B40"/>
  </sortState>
  <tableColumns count="3">
    <tableColumn id="1" xr3:uid="{00000000-0010-0000-0000-000001000000}" name="Schema" dataDxfId="546"/>
    <tableColumn id="2" xr3:uid="{00000000-0010-0000-0000-000002000000}" name="Tabela " dataDxfId="545"/>
    <tableColumn id="3" xr3:uid="{00000000-0010-0000-0000-000003000000}" name="Descrição" dataDxfId="54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81" totalsRowShown="0" headerRowDxfId="543" tableBorderDxfId="542">
  <autoFilter ref="B7:AA281" xr:uid="{E005BC36-6E9E-40C7-82DB-D8159E0040FF}">
    <filterColumn colId="18">
      <filters>
        <filter val="EPT01_CONTAS_x000a_EPT07_MOVCTA_x000a_CONTBACH_PRESTM_x000a_EH_REL_REC_OPER_x000a_EH_OPER_CONTR_x000a_EPT99_MOVIMENTO_x000a_TCT09_OPERN_x000a_TCT72_MOVCTA"/>
        <filter val="EPT07_MOVCTA_x000a_EPT01_CONTAS_x000a_CONTBACH_PRESTM_x000a_EH_REL_REC_OPER_x000a_TCT09_OPERN_x000a_TCT72_MOVCTA"/>
      </filters>
    </filterColumn>
  </autoFilter>
  <sortState xmlns:xlrd2="http://schemas.microsoft.com/office/spreadsheetml/2017/richdata2" ref="B8:AA281">
    <sortCondition ref="I7:I281"/>
  </sortState>
  <tableColumns count="26">
    <tableColumn id="1" xr3:uid="{B202AB96-6DBE-4E4C-9212-5291A005DCC8}" name="NOME BD" dataDxfId="541"/>
    <tableColumn id="2" xr3:uid="{3FF272FE-C1A4-450E-9322-82A40048A5EF}" name="NOME TABELA" dataDxfId="540"/>
    <tableColumn id="3" xr3:uid="{26DB6D8C-2119-4367-9ACD-A86BC22D445C}" name="NOME FÍSICO TABELA" dataDxfId="539"/>
    <tableColumn id="4" xr3:uid="{60A5A59F-94A2-4615-9F04-C165925EB3B6}" name="NÍVEL TABELA" dataDxfId="538"/>
    <tableColumn id="5" xr3:uid="{99056714-3624-4BA3-B5A7-6BDD481A1DEB}" name="NOME CAMPO" dataDxfId="537"/>
    <tableColumn id="6" xr3:uid="{4C98432E-2A24-41E9-B6FC-71598F3E676F}" name="NOME FÍSICO CAMPO" dataDxfId="536"/>
    <tableColumn id="7" xr3:uid="{92AC0881-9A14-49A2-A29D-9BED4AFDA816}" name="BLOCO" dataDxfId="535"/>
    <tableColumn id="8" xr3:uid="{BC3C5233-9C1C-47BA-AC7E-8677BFB2FA92}" name="ORDEM" dataDxfId="534"/>
    <tableColumn id="9" xr3:uid="{1478D91D-09B4-4FD3-9F29-2F6725837886}" name="FORMATO" dataDxfId="533"/>
    <tableColumn id="10" xr3:uid="{A83FF87E-BBA6-48DB-9A4E-9F7F2C09E4F0}" name="COMP_ CAMPO" dataDxfId="532"/>
    <tableColumn id="11" xr3:uid="{772632A4-2B44-47CA-984B-1C730DA4890D}" name="NUM_ DECIMAIS" dataDxfId="531"/>
    <tableColumn id="12" xr3:uid="{471996C0-15F0-4E14-B764-EB98E1753CB2}" name="DESCRIÇÃO FUNCIONAL (ENG)" dataDxfId="530"/>
    <tableColumn id="13" xr3:uid="{FFC8F48C-3714-4D77-81FE-18E32D92B3FD}" name="DESCRIÇÃO FUNCIONAL (PT)" dataDxfId="529"/>
    <tableColumn id="14" xr3:uid="{D66780C9-11A6-49A3-9875-909B37CE31C1}" name="CHAVE PRIMÁRIA" dataDxfId="528"/>
    <tableColumn id="15" xr3:uid="{C402404C-88D5-4A87-9DF6-7061CDC0BCE4}" name="DADOS REFERÊNCIA" dataDxfId="527"/>
    <tableColumn id="16" xr3:uid="{7C91699D-B62B-46CC-9FA1-A1FAE1FDDFEA}" name="NOME TABELA ONEFCC" dataDxfId="526"/>
    <tableColumn id="17" xr3:uid="{CF71C61F-E023-4FCB-9C32-313981132DA4}" name="NOME CAMPO ONEFCC" dataDxfId="525"/>
    <tableColumn id="18" xr3:uid="{7E0E556B-76E6-4319-AA8B-769944D58DEB}" name="NOME BD CURATED" dataDxfId="524"/>
    <tableColumn id="19" xr3:uid="{38C5F91A-6455-4725-AA96-00F5B14E5CB4}" name="NOME FISICO TABELA CURATED" dataDxfId="523"/>
    <tableColumn id="20" xr3:uid="{E19AC285-873B-4F14-990D-D6D2A954449D}" name="NOME FISICO CAMPO CURATED" dataDxfId="522"/>
    <tableColumn id="21" xr3:uid="{EC9098AB-88AE-4292-AB27-A1D5290FB03F}" name="CODIÇÃO CURATED - CDM" dataDxfId="521"/>
    <tableColumn id="22" xr3:uid="{69274326-591E-4269-AD87-6A327AD281D0}" name="TABELA / FICHEIRO" dataDxfId="520"/>
    <tableColumn id="23" xr3:uid="{DA01B157-095B-4031-BA99-AB04551A286E}" name="ID APLICAÇÂO TÉCNICA" dataDxfId="519"/>
    <tableColumn id="24" xr3:uid="{360A5020-0CC7-4F12-B934-23440ED055B3}" name="NOME FISICO TABELA FONTE" dataDxfId="518"/>
    <tableColumn id="25" xr3:uid="{7E2C2EBF-3460-4D1A-854B-58E91F400A35}" name="NOME FISICO CAMPO FONTE" dataDxfId="517"/>
    <tableColumn id="26" xr3:uid="{F065C47E-DAFE-46CD-B602-C1462F00CD11}" name="VALOR MANUAL FONTE" dataDxfId="5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1" totalsRowShown="0" headerRowDxfId="515" tableBorderDxfId="514">
  <autoFilter ref="B2:I71" xr:uid="{C81C153A-084F-452D-9936-E389B95C8041}">
    <filterColumn colId="1">
      <filters>
        <filter val="current_account_transaction"/>
      </filters>
    </filterColumn>
  </autoFilter>
  <tableColumns count="8">
    <tableColumn id="1" xr3:uid="{06E7CF65-89C4-4C03-A2D9-58E1CB6CA968}" name="NOME BD " dataDxfId="513"/>
    <tableColumn id="2" xr3:uid="{D49216BB-D0A3-43A6-B06D-C34159B9758A}" name="NOME FÍSICO TABELA" dataDxfId="512"/>
    <tableColumn id="3" xr3:uid="{C0112372-EF0A-4438-B1B8-54CF801D93D9}" name="NOME FÍSICO BD FONTE ESQUERDA" dataDxfId="511"/>
    <tableColumn id="4" xr3:uid="{5A89F741-E410-4CB4-B41B-FC9E70DE4858}" name="NOME FÍSICO TABELA FONTE ESQUERDA" dataDxfId="510"/>
    <tableColumn id="5" xr3:uid="{D32AF77C-D23B-4C56-8393-EF099EB50493}" name="NOME FÍSICO BD FONTE DIREITA" dataDxfId="509"/>
    <tableColumn id="6" xr3:uid="{54DFD2BC-9B47-4A8C-A7AF-25160F1ACBFE}" name="NOME FÍSICO TABELA FONTE DIREITA" dataDxfId="508"/>
    <tableColumn id="7" xr3:uid="{4423439B-7591-4483-92BC-E252D48B50C4}" name="REGRA DE CRUZAMENTO" dataDxfId="507"/>
    <tableColumn id="8" xr3:uid="{24F76732-91FB-46BD-8755-D2353FA4E9AC}" name="TIPO CRUZAMENTO" dataDxfId="50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5" totalsRowShown="0" headerRowDxfId="505" dataDxfId="504" tableBorderDxfId="503">
  <autoFilter ref="B2:H35" xr:uid="{2B1516AE-868D-4EFA-82B3-3AFB7642D723}">
    <filterColumn colId="1">
      <filters>
        <filter val="bank_guarantee_transaction"/>
        <filter val="trade_finance_transaction"/>
      </filters>
    </filterColumn>
  </autoFilter>
  <sortState xmlns:xlrd2="http://schemas.microsoft.com/office/spreadsheetml/2017/richdata2" ref="B3:H15">
    <sortCondition ref="B2:B15"/>
  </sortState>
  <tableColumns count="7">
    <tableColumn id="1" xr3:uid="{16926414-B272-4706-9CD7-50DD28B23310}" name="NOME BD" dataDxfId="502"/>
    <tableColumn id="2" xr3:uid="{47CDFEFB-27C1-46BE-8C9E-E3B250579357}" name="NOME FÍSICO TABELA" dataDxfId="501"/>
    <tableColumn id="3" xr3:uid="{B95E573E-16FB-44CF-BED0-98B83C7D482A}" name="NOME FÍSICO BD FONTE" dataDxfId="500"/>
    <tableColumn id="4" xr3:uid="{8282954B-BD06-4FB6-AEC4-B735FBAE2410}" name="NOME FÍSICO TABELA FONTE" dataDxfId="499"/>
    <tableColumn id="5" xr3:uid="{D662E194-7821-4AC4-958D-74DEFDDB324F}" name="REGRA DE ATAQUE" dataDxfId="498"/>
    <tableColumn id="6" xr3:uid="{3076BB36-67AB-4F3B-9767-D3F3855F8D55}" name="DESCRIÇÃO ESTADOS CONSIDERADOS" dataDxfId="497"/>
    <tableColumn id="7" xr3:uid="{5F0F8382-5BBA-4407-AD43-63A2F23AC57A}" name="DESCRIÇÃO ESTADOS DESCONSIDERADOS" dataDxfId="49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495" dataDxfId="493" headerRowBorderDxfId="494" tableBorderDxfId="492" totalsRowBorderDxfId="491">
  <autoFilter ref="B2:E23" xr:uid="{6A73D132-650B-4772-ACDF-A52D806EDDCD}"/>
  <tableColumns count="4">
    <tableColumn id="1" xr3:uid="{B1674CDC-3CAF-416B-816C-636935125A50}" name="ID" dataDxfId="490"/>
    <tableColumn id="2" xr3:uid="{79FDEBE0-C7B7-40C8-A102-BA62D73D9369}" name="Case Test" dataDxfId="489"/>
    <tableColumn id="3" xr3:uid="{4F5538FB-DAC4-43DF-8756-97915831D95C}" name="Description" dataDxfId="488"/>
    <tableColumn id="4" xr3:uid="{0AABCA40-B966-48E4-BB94-247FC70D297B}" name="Observation" dataDxfId="48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486" dataDxfId="485">
  <autoFilter ref="B2:AD21" xr:uid="{98F99B18-A7DF-4D30-9CD9-BD3142DEEEDB}"/>
  <tableColumns count="29">
    <tableColumn id="1" xr3:uid="{0BF13A4F-5F5D-4C79-9CBE-79CD9C9F673B}" name="Case_Test" dataDxfId="484"/>
    <tableColumn id="2" xr3:uid="{702EFC72-B820-44C5-A112-307E01781909}" name="test_id" dataDxfId="483"/>
    <tableColumn id="3" xr3:uid="{1BD251D4-3942-4E50-988C-06F2C8F172AE}" name="test_timestamp" dataDxfId="482"/>
    <tableColumn id="4" xr3:uid="{FA83CC27-CCEA-453C-BEF7-7A97C9DA0003}" name="query_driver_data_date_part" dataDxfId="481"/>
    <tableColumn id="5" xr3:uid="{E73E24A0-7030-4193-9E42-7D2873A42FCE}" name="test_number" dataDxfId="480"/>
    <tableColumn id="6" xr3:uid="{8CD9A7A2-30E6-41D1-B310-38ED2E70A2FC}" name="score" dataDxfId="479"/>
    <tableColumn id="7" xr3:uid="{CAB1ECE3-AAD5-45A6-9CBF-F7DB92DE71A6}" name="general_result" dataDxfId="478"/>
    <tableColumn id="8" xr3:uid="{F45697FD-C480-4C96-AFFA-9627310D49EB}" name="bank_id" dataDxfId="477"/>
    <tableColumn id="9" xr3:uid="{4B0EB268-93C5-425D-BEE7-A70789BDF797}" name="contract_id" dataDxfId="476"/>
    <tableColumn id="10" xr3:uid="{171C5CF7-CF15-4383-BF3C-EF4EE744AEE4}" name="order_number" dataDxfId="475"/>
    <tableColumn id="11" xr3:uid="{F81D341B-8BE7-4A0E-A206-F124DA9DC553}" name="order_number_stage" dataDxfId="474"/>
    <tableColumn id="30" xr3:uid="{E96AD31F-0D99-43B9-958D-14304ED5DE04}" name="transaction_type_code" dataDxfId="473"/>
    <tableColumn id="25" xr3:uid="{BED0A457-AA19-4F7A-9110-C27BE95DB39F}" name="transaction_date" dataDxfId="472"/>
    <tableColumn id="24" xr3:uid="{961419AA-BFF6-4431-B7DF-A6FCEB565DC7}" name="amount" dataDxfId="471"/>
    <tableColumn id="12" xr3:uid="{362D7200-4FC2-42B1-B256-4EB88E6CB85D}" name="process_bank_id" dataDxfId="470"/>
    <tableColumn id="13" xr3:uid="{76627027-09E4-4CCB-8AF6-6E86CBC030A1}" name="process_id" dataDxfId="469"/>
    <tableColumn id="15" xr3:uid="{CBC6FB51-83F3-41F0-92AB-FB83687F6CBE}" name="financial_flow_indicator" dataDxfId="468"/>
    <tableColumn id="16" xr3:uid="{88934195-1A5C-4203-861F-3347907B2A2F}" name="party_id" dataDxfId="467"/>
    <tableColumn id="17" xr3:uid="{1C7D138E-2A09-44C1-99D8-6E70097C8E84}" name="party_current_account_bank_id" dataDxfId="466"/>
    <tableColumn id="18" xr3:uid="{403C77E6-0974-447A-B5A9-420FD15F0F89}" name="party_cur_account_contract_id" dataDxfId="465"/>
    <tableColumn id="19" xr3:uid="{58D59EB2-9B27-4AE0-AF44-1376D47F7A49}" name="party_current_account_iban" dataDxfId="464"/>
    <tableColumn id="20" xr3:uid="{C62911A6-20E8-4C10-9B96-B19135DC0831}" name="chargeback_indicator" dataDxfId="463"/>
    <tableColumn id="21" xr3:uid="{221A7D3B-CFA4-41E9-B24C-E8CF0170B08C}" name="billing_indicator" dataDxfId="462"/>
    <tableColumn id="22" xr3:uid="{671B114D-4DDB-4BC4-B930-7A5E9EC637ED}" name="currency_code" dataDxfId="461"/>
    <tableColumn id="23" xr3:uid="{7C86CC56-3E26-4217-8366-6DA55EF97B50}" name="transaction_execution_date" dataDxfId="460"/>
    <tableColumn id="26" xr3:uid="{38949D8C-E9FF-46A0-898A-FFD1343FE644}" name="billing_document_id" dataDxfId="459"/>
    <tableColumn id="27" xr3:uid="{B2D76DD5-980F-4861-A2B4-6B55AB9D0706}" name="source_code" dataDxfId="458"/>
    <tableColumn id="28" xr3:uid="{01A3CAEA-A672-4CB7-AEE9-644B7DF2BF88}" name="data_date_part" dataDxfId="457"/>
    <tableColumn id="29" xr3:uid="{9B4B0F8C-1891-45ED-B585-64327D94CE53}" name="data_timestamp_part" dataDxfId="456"/>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455" dataDxfId="454" tableBorderDxfId="453">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52"/>
    <tableColumn id="2" xr3:uid="{FD64B458-DB53-4873-BC58-34365FB74091}" name="Field" dataDxfId="451"/>
    <tableColumn id="3" xr3:uid="{3A7579B9-0DD8-4AA5-9688-1EBEAC3DC8CC}" name="Justification" dataDxfId="450"/>
    <tableColumn id="4" xr3:uid="{7541CEA6-1484-4CDC-AF7F-C7EE0E131E35}" name="Number of Occurences" dataDxfId="449"/>
    <tableColumn id="5" xr3:uid="{3A673375-5320-48F2-B13A-D75E04A9870F}" name="Justification State" dataDxfId="448"/>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47" dataDxfId="446">
  <autoFilter ref="B2:U21" xr:uid="{98F99B18-A7DF-4D30-9CD9-BD3142DEEEDB}"/>
  <tableColumns count="20">
    <tableColumn id="1" xr3:uid="{150F1CE6-82E9-4AEF-ABBC-D678EFC231FA}" name="Case_Test" dataDxfId="445"/>
    <tableColumn id="2" xr3:uid="{F327A45E-0E38-4FD9-B815-F2B606DB276B}" name="test_id" dataDxfId="444"/>
    <tableColumn id="3" xr3:uid="{0A22115F-0938-4D19-9B70-2D4E104EBE15}" name="test_timestamp" dataDxfId="443"/>
    <tableColumn id="4" xr3:uid="{200A2A1B-DC85-4C5D-852F-CFE2DB539767}" name="query_driver_data_date_part" dataDxfId="442"/>
    <tableColumn id="5" xr3:uid="{CB2A7ED8-44B6-4F4E-A624-13242BFBA7F7}" name="test_number" dataDxfId="441"/>
    <tableColumn id="6" xr3:uid="{5345718C-D40A-4CF6-93F4-A8C3E6294F30}" name="score" dataDxfId="440"/>
    <tableColumn id="7" xr3:uid="{5B6E9E29-BCA4-4933-A52A-6FAC5926D3B9}" name="general_result" dataDxfId="439"/>
    <tableColumn id="8" xr3:uid="{5E8CB2AA-3058-4CF5-BD39-03087CC75AB7}" name="bank_id" dataDxfId="438"/>
    <tableColumn id="9" xr3:uid="{E459B9CE-CE18-4295-B006-08B84E0FFCA2}" name="contract_id" dataDxfId="437"/>
    <tableColumn id="10" xr3:uid="{B4C6EE25-0C4B-4740-B277-E14E857BC1AB}" name="order_number" dataDxfId="436"/>
    <tableColumn id="11" xr3:uid="{5492B3ED-09A8-4C97-A9F2-EC0472D0BB3C}" name="order_number_stage" dataDxfId="435"/>
    <tableColumn id="12" xr3:uid="{725F2EC4-037C-4D12-A5E3-FA9F2801C604}" name="transaction_date" dataDxfId="434"/>
    <tableColumn id="13" xr3:uid="{BBF4F1B4-D430-4153-BCF0-C98244D443D6}" name="amount" dataDxfId="433"/>
    <tableColumn id="14" xr3:uid="{5182EADC-09FA-4BB6-86EA-D1490064C594}" name="transaction_type_code" dataDxfId="432"/>
    <tableColumn id="15" xr3:uid="{C94EE8CF-5E90-4CF6-8CD4-51997E1DCD77}" name="financial_flow_indicator" dataDxfId="431"/>
    <tableColumn id="16" xr3:uid="{5CFE0E90-7385-45FD-9BC6-80FB5AB3DEC6}" name="currency_code" dataDxfId="430"/>
    <tableColumn id="17" xr3:uid="{FE4998D1-513B-448A-8929-7E35F1D79B1A}" name="transaction_execution_date" dataDxfId="429"/>
    <tableColumn id="18" xr3:uid="{D9A6ABC2-CE3A-4288-B74C-6B39A454F7A1}" name="source_code" dataDxfId="428"/>
    <tableColumn id="19" xr3:uid="{DA916E53-748F-4266-AAE2-BEA41DFE69F3}" name="data_date_part" dataDxfId="427"/>
    <tableColumn id="20" xr3:uid="{E9BCA295-4854-469D-B385-13B82C5383E7}" name="data_timestamp_part" dataDxfId="42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25" dataDxfId="424" tableBorderDxfId="423">
  <autoFilter ref="B29:F35" xr:uid="{9121FEBE-5052-4C33-8556-5048BDB999FA}"/>
  <sortState xmlns:xlrd2="http://schemas.microsoft.com/office/spreadsheetml/2017/richdata2" ref="B30:F34">
    <sortCondition ref="B29:B34"/>
  </sortState>
  <tableColumns count="5">
    <tableColumn id="1" xr3:uid="{632F9DD3-C2E8-4C25-970D-55559260FACA}" name="Test ID" dataDxfId="422"/>
    <tableColumn id="2" xr3:uid="{007A71A9-883B-4ECC-A490-FC95A2992F77}" name="Field" dataDxfId="421"/>
    <tableColumn id="3" xr3:uid="{404B2586-DB1E-4698-AB59-D383500C6B18}" name="Justification" dataDxfId="420"/>
    <tableColumn id="4" xr3:uid="{B3026D2B-8B46-410B-90DF-4E765F64EE1D}" name="Number of Occurences" dataDxfId="419"/>
    <tableColumn id="5" xr3:uid="{093ED586-E4FA-4ECD-BF74-8BF15AD8CD82}" name="Justification State" dataDxfId="41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17" dataDxfId="416">
  <autoFilter ref="B2:U21" xr:uid="{8354E80B-4384-45ED-85F9-36C8F1253042}"/>
  <tableColumns count="20">
    <tableColumn id="1" xr3:uid="{D4684C5C-81D1-42FC-BEFA-1661CE929FE5}" name="case_test" dataDxfId="415"/>
    <tableColumn id="2" xr3:uid="{A1935713-2A78-4885-B2B5-823E91361369}" name="test_id" dataDxfId="414"/>
    <tableColumn id="3" xr3:uid="{35A53578-754C-4627-ACD2-B353E5BF9F24}" name="test_timestamp" dataDxfId="413"/>
    <tableColumn id="4" xr3:uid="{4B705C7D-DC8C-4459-B730-B62E5BD461DF}" name="query_driver_data_date_part" dataDxfId="412"/>
    <tableColumn id="5" xr3:uid="{36032182-0D46-450E-8A08-F18A1D650377}" name="test_number" dataDxfId="411"/>
    <tableColumn id="6" xr3:uid="{F1DF9373-1D0E-4541-AB4F-223183153D6D}" name="score" dataDxfId="410"/>
    <tableColumn id="7" xr3:uid="{43F24F7E-6B3C-4F05-9015-6B46A44FC1B5}" name="general_result" dataDxfId="409"/>
    <tableColumn id="8" xr3:uid="{8DB5E048-F03A-4F25-AE8B-F73F05D312B5}" name="bank_id" dataDxfId="408"/>
    <tableColumn id="9" xr3:uid="{9A755778-0F44-488C-B58B-900B942B9887}" name="contract_id" dataDxfId="407"/>
    <tableColumn id="10" xr3:uid="{C38ACEB5-696C-4EF7-A856-54209A80A463}" name="order_number" dataDxfId="406"/>
    <tableColumn id="11" xr3:uid="{5A58A6A0-FA38-4945-8E46-E5C891E5DE4B}" name="order_number_stage" dataDxfId="405"/>
    <tableColumn id="12" xr3:uid="{C0916945-C4CF-4C2E-AAEE-88B37ED5F4A3}" name="transaction_type_code" dataDxfId="404"/>
    <tableColumn id="13" xr3:uid="{EA96BAA3-0D50-4CC9-9D84-36112A36EF4C}" name="financial_flow_indicator" dataDxfId="403"/>
    <tableColumn id="14" xr3:uid="{3D44235C-6DB2-4BDE-A9A4-983E43AF7CCE}" name="currency_code" dataDxfId="402"/>
    <tableColumn id="15" xr3:uid="{69276CF2-7FAD-42E1-8DF7-04903058F9AC}" name="transaction_date" dataDxfId="401"/>
    <tableColumn id="16" xr3:uid="{0E1FEA56-506E-4C0F-AAC1-23A4C1A43CB8}" name="transaction_execution_date" dataDxfId="400"/>
    <tableColumn id="17" xr3:uid="{9217D865-AD91-4CC6-8303-E5FA1598FFEC}" name="amount" dataDxfId="399"/>
    <tableColumn id="18" xr3:uid="{11043013-799C-49F7-96E3-28365F0194E8}" name="source_code" dataDxfId="398"/>
    <tableColumn id="19" xr3:uid="{3FC5C2C9-F16F-4713-8123-59947C26D78C}" name="data_date_part" dataDxfId="397"/>
    <tableColumn id="20" xr3:uid="{0E903AD1-6B96-4891-B33C-A0C1F7AD847F}" name="data_timestamp_part" dataDxfId="396"/>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395" dataDxfId="393" headerRowBorderDxfId="394" tableBorderDxfId="392">
  <autoFilter ref="B29:F35" xr:uid="{21F781DC-071C-4F39-BC5F-D8B54BF119E3}"/>
  <sortState xmlns:xlrd2="http://schemas.microsoft.com/office/spreadsheetml/2017/richdata2" ref="B30:F31">
    <sortCondition ref="B29:B31"/>
  </sortState>
  <tableColumns count="5">
    <tableColumn id="1" xr3:uid="{B620E0A3-978F-48FD-811B-A2FE9A2A7158}" name="Test ID" dataDxfId="391"/>
    <tableColumn id="2" xr3:uid="{8BCAE36C-7840-4E67-B42B-A3BDEE0D243F}" name="Field" dataDxfId="390"/>
    <tableColumn id="3" xr3:uid="{06661F9C-77CB-4FDE-A5DC-21F459426B10}" name="Justification" dataDxfId="389"/>
    <tableColumn id="4" xr3:uid="{79F21EE9-69A3-40F0-A231-B3B3205358BD}" name="Number of Occurences" dataDxfId="388"/>
    <tableColumn id="5" xr3:uid="{F515B111-8F0E-42B4-8FFA-8B413642FAD6}" name="Justification State" dataDxfId="38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W21" totalsRowShown="0" headerRowDxfId="386" dataDxfId="385">
  <autoFilter ref="B2:W21" xr:uid="{98F99B18-A7DF-4D30-9CD9-BD3142DEEEDB}"/>
  <tableColumns count="22">
    <tableColumn id="1" xr3:uid="{A56DC95F-BA02-4189-A97B-3E107C442CA5}" name="Case_Test" dataDxfId="384"/>
    <tableColumn id="2" xr3:uid="{1C86658D-7B35-4335-A23B-E988177F002C}" name="test_id" dataDxfId="383"/>
    <tableColumn id="3" xr3:uid="{139BC6C4-6630-44E5-936A-409C495CDF6C}" name="test_timestamp" dataDxfId="382"/>
    <tableColumn id="4" xr3:uid="{30EFC6BE-F9DB-4269-8669-A244E78FFC54}" name="query_driver_data_date_part" dataDxfId="381"/>
    <tableColumn id="5" xr3:uid="{F46D54E2-8655-494D-8CEB-F34CD04A6331}" name="test_number" dataDxfId="380"/>
    <tableColumn id="6" xr3:uid="{4D97938B-B226-4994-A65C-A29B2D010B47}" name="score" dataDxfId="379"/>
    <tableColumn id="7" xr3:uid="{99A6EED2-1D5F-4C70-B9DF-9160EB4D5C5C}" name="general_result" dataDxfId="378"/>
    <tableColumn id="8" xr3:uid="{02EE734E-77E3-4E16-A627-D61ADD85A602}" name="bank_id" dataDxfId="377"/>
    <tableColumn id="9" xr3:uid="{2285C739-7D13-4B0B-88FC-6B5991691F71}" name="contract_id" dataDxfId="376"/>
    <tableColumn id="10" xr3:uid="{5C8ABA7D-5849-44DC-AE4D-7491E2B32C83}" name="order_number" dataDxfId="375"/>
    <tableColumn id="11" xr3:uid="{67361930-48C3-4B6A-8825-ABA569964543}" name="order_number_stage" dataDxfId="374"/>
    <tableColumn id="12" xr3:uid="{04EA5A77-5CE6-4258-86D3-0CCADD7D65B3}" name="transaction_type_code" dataDxfId="373"/>
    <tableColumn id="13" xr3:uid="{E15D68B7-D367-4908-9A4F-5D1AC8DA279C}" name="transaction_execution_date" dataDxfId="372"/>
    <tableColumn id="14" xr3:uid="{21706388-3DEC-464A-AD3E-C087AD4CBD43}" name="amount" dataDxfId="371"/>
    <tableColumn id="15" xr3:uid="{3A73FC5C-CF00-4929-89A4-3832577F18EE}" name="financial_flow_indicator" dataDxfId="370"/>
    <tableColumn id="16" xr3:uid="{8ECCAF08-C933-4BD9-BF3F-E4FF6413C99D}" name="currency_code" dataDxfId="369"/>
    <tableColumn id="17" xr3:uid="{FF5CDC3B-3F01-40D8-B698-5D7ACA9E9881}" name="transaction_date" dataDxfId="368"/>
    <tableColumn id="18" xr3:uid="{C048AD66-692B-47E4-864A-C07FBE359716}" name="description" dataDxfId="367"/>
    <tableColumn id="19" xr3:uid="{4441C6CF-A47A-4B91-908F-75D638A33CB7}" name="comment" dataDxfId="366"/>
    <tableColumn id="20" xr3:uid="{5F39FE5B-0114-4840-AB38-A9F048C1F969}" name="source_code" dataDxfId="365"/>
    <tableColumn id="21" xr3:uid="{6B80C012-2C01-4475-B34B-EEB9F5A60E38}" name="data_date_part" dataDxfId="364"/>
    <tableColumn id="22" xr3:uid="{FC20F41F-73F9-49B7-A9B7-70DC3F30D054}" name="data_timestamp_part" dataDxfId="36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362" dataDxfId="361" tableBorderDxfId="360">
  <autoFilter ref="B30:F36" xr:uid="{9121FEBE-5052-4C33-8556-5048BDB999FA}"/>
  <sortState xmlns:xlrd2="http://schemas.microsoft.com/office/spreadsheetml/2017/richdata2" ref="B31:F36">
    <sortCondition ref="B30:B36"/>
  </sortState>
  <tableColumns count="5">
    <tableColumn id="1" xr3:uid="{F69C0283-5B97-464B-AD99-94075126EB2F}" name="Test ID" dataDxfId="359"/>
    <tableColumn id="2" xr3:uid="{1817D71C-7540-4F40-843E-CE8E361C1022}" name="Field" dataDxfId="358"/>
    <tableColumn id="3" xr3:uid="{5DF37EFB-B83C-4A10-B636-545D858D1B27}" name="Justification" dataDxfId="357"/>
    <tableColumn id="4" xr3:uid="{E2359272-3336-4591-BC2D-02BF39DA1192}" name="Number of Occurences" dataDxfId="356"/>
    <tableColumn id="5" xr3:uid="{189A05AE-B5CB-4279-837B-9E4C390F4918}" name="Justification State" dataDxfId="355"/>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54" dataDxfId="353">
  <autoFilter ref="B2:V21" xr:uid="{98F99B18-A7DF-4D30-9CD9-BD3142DEEEDB}"/>
  <tableColumns count="21">
    <tableColumn id="1" xr3:uid="{DB9DEB41-507D-4213-8943-38E97CC5F134}" name="Case_Test" dataDxfId="352"/>
    <tableColumn id="2" xr3:uid="{8B1EC659-59D6-4D5C-90BB-2989BB1CA229}" name="test_id" dataDxfId="351"/>
    <tableColumn id="3" xr3:uid="{75E1924D-DE2E-4DEE-B77A-36E44120D0D1}" name="test_timestamp" dataDxfId="350"/>
    <tableColumn id="4" xr3:uid="{6A5050D2-1441-48C4-8B2E-B3D8C19D96E6}" name="query_driver_data_date_part" dataDxfId="349"/>
    <tableColumn id="5" xr3:uid="{9AEEFA90-8A26-4E0D-BE12-5DBD06F60C63}" name="test_number" dataDxfId="348"/>
    <tableColumn id="6" xr3:uid="{D2132B16-AB9B-4008-8259-0B43B791093E}" name="score" dataDxfId="347"/>
    <tableColumn id="7" xr3:uid="{8A856261-EE5D-4213-BCC9-496A26F692D5}" name="general_result" dataDxfId="346"/>
    <tableColumn id="8" xr3:uid="{B30A8488-19D0-4733-AE7A-58AB670FFC9E}" name="bank_id" dataDxfId="345"/>
    <tableColumn id="9" xr3:uid="{713F1D59-DDFC-4315-9A09-A135D967C82E}" name="contract_id" dataDxfId="344"/>
    <tableColumn id="10" xr3:uid="{1AE63236-6D3B-4E3C-A926-AB36A753E46A}" name="order_number" dataDxfId="343"/>
    <tableColumn id="11" xr3:uid="{753B6E17-CEFB-49A9-B8CF-6E56B3175CBC}" name="order_number_stage" dataDxfId="342"/>
    <tableColumn id="12" xr3:uid="{18098FA1-1580-4822-B794-05101D55C4EB}" name="transaction_execution_date" dataDxfId="341"/>
    <tableColumn id="22" xr3:uid="{DB7E96E5-9DDD-4076-8BDC-C19BDDE4A2F8}" name="amount" dataDxfId="340"/>
    <tableColumn id="13" xr3:uid="{EB093913-F26D-45B9-A5F0-893FAFD5D2A0}" name="transaction_type_code" dataDxfId="339"/>
    <tableColumn id="14" xr3:uid="{BA1AB8B5-009C-452B-B202-DCFC35A8FDF2}" name="financial_flow_indicator" dataDxfId="338"/>
    <tableColumn id="15" xr3:uid="{8B3AD108-FD0A-43B3-B9C9-7E256E2654D7}" name="currency_code" dataDxfId="337"/>
    <tableColumn id="16" xr3:uid="{2A5E3B2C-CA57-49CC-AE1C-11E24B5060F0}" name="transaction_date" dataDxfId="336"/>
    <tableColumn id="17" xr3:uid="{FA8EFCB5-4319-459F-B92B-23A6E356CCAA}" name="description" dataDxfId="335"/>
    <tableColumn id="19" xr3:uid="{DB871489-8C12-4B1D-919C-0C4D9B033495}" name="source_code" dataDxfId="334"/>
    <tableColumn id="20" xr3:uid="{95EAE03E-BC94-477F-946A-35148BD037FD}" name="data_date_part" dataDxfId="333"/>
    <tableColumn id="21" xr3:uid="{C60761E3-D7D9-4CDD-A3E6-F96A4CAA5E0D}" name="data_timestamp_part" dataDxfId="33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31" dataDxfId="330" tableBorderDxfId="329">
  <autoFilter ref="B30:F32" xr:uid="{9121FEBE-5052-4C33-8556-5048BDB999FA}"/>
  <tableColumns count="5">
    <tableColumn id="1" xr3:uid="{EC0B0645-1909-49AF-AAA1-E8866D7EC8E2}" name="Test ID" dataDxfId="328"/>
    <tableColumn id="2" xr3:uid="{BF2EA3B4-EFEE-42DC-AE90-8CBCAAF9B009}" name="Field" dataDxfId="327"/>
    <tableColumn id="3" xr3:uid="{5BE4A0CC-0FEE-4F6E-A035-B3541958236D}" name="Justification" dataDxfId="326"/>
    <tableColumn id="4" xr3:uid="{9C96D9D5-0751-4F87-ACC2-EAE38593185E}" name="Number of Occurences" dataDxfId="325"/>
    <tableColumn id="5" xr3:uid="{D7A794D6-2603-414E-AF0E-9F95E06A4963}" name="Justification State" dataDxfId="32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23" dataDxfId="322">
  <autoFilter ref="B2:AI21" xr:uid="{98F99B18-A7DF-4D30-9CD9-BD3142DEEEDB}"/>
  <tableColumns count="34">
    <tableColumn id="1" xr3:uid="{32AC2FAA-8B3D-41C0-B535-9912F1D4F696}" name="Case_Test" dataDxfId="321"/>
    <tableColumn id="2" xr3:uid="{2968C1F7-F10E-47F4-8D52-7876F88D66C8}" name="test_id" dataDxfId="320"/>
    <tableColumn id="3" xr3:uid="{7612E1DE-78D5-405C-872D-BB036273C469}" name="test_timestamp" dataDxfId="319"/>
    <tableColumn id="4" xr3:uid="{06AC1904-F29C-40A4-B4E7-58AAF0742512}" name="query_driver_data_date_part" dataDxfId="318"/>
    <tableColumn id="5" xr3:uid="{5C0E55F4-36F1-48A5-AC4E-B3760CC50938}" name="test_number" dataDxfId="317"/>
    <tableColumn id="6" xr3:uid="{C8A81828-370E-4376-A42D-AAAE755EFC50}" name="score" dataDxfId="316"/>
    <tableColumn id="7" xr3:uid="{0F541DA5-7164-4A98-AEBF-B91931AE1858}" name="general_result" dataDxfId="315"/>
    <tableColumn id="8" xr3:uid="{C33FB17C-D906-4CDA-AFB9-290D3ED94085}" name="bank_id" dataDxfId="314"/>
    <tableColumn id="9" xr3:uid="{1B2AE918-D894-4FC3-B366-27A7D006ACF9}" name="contract_id" dataDxfId="313"/>
    <tableColumn id="10" xr3:uid="{F4293476-89CB-479C-B46A-6606AFF7E635}" name="order_number" dataDxfId="312"/>
    <tableColumn id="11" xr3:uid="{6235D6FF-31A2-4331-9242-DB0F2D41AFB3}" name="order_number_stage" dataDxfId="311"/>
    <tableColumn id="12" xr3:uid="{65CCC869-2473-4101-A968-164A6719E55B}" name="transaction_type_code" dataDxfId="310"/>
    <tableColumn id="13" xr3:uid="{D4DD383B-A628-4813-ADDB-FD21792BA614}" name="financial_flow_indicator" dataDxfId="309"/>
    <tableColumn id="14" xr3:uid="{B400A6C3-2DE4-40BA-8653-5E12619489AB}" name="card_number" dataDxfId="308"/>
    <tableColumn id="15" xr3:uid="{4D934146-4002-41A2-A710-6CFEE0DBFD01}" name="beneficiary_order_number" dataDxfId="307"/>
    <tableColumn id="16" xr3:uid="{B186ACF8-CBE9-4416-BFC1-4256F0E01979}" name="recurring_transaction_indicator" dataDxfId="306"/>
    <tableColumn id="17" xr3:uid="{D65A18FD-EB4B-4859-8BED-1048BEC752C9}" name="chargeback_indicator" dataDxfId="305"/>
    <tableColumn id="18" xr3:uid="{996FB65C-F2C7-49BA-A6CA-C16ED18ADAC2}" name="card_presence_indicator" dataDxfId="304"/>
    <tableColumn id="19" xr3:uid="{A759515C-63FE-4BB3-9258-C0FAFB438E3F}" name="authentication_type_code" dataDxfId="303"/>
    <tableColumn id="20" xr3:uid="{97570BCC-A682-4A37-83BD-DED41BE2FA77}" name="original_currency_code" dataDxfId="302"/>
    <tableColumn id="21" xr3:uid="{C44C6859-6434-451D-B907-FF81527DBB62}" name="currency_code" dataDxfId="301"/>
    <tableColumn id="22" xr3:uid="{DCEF34AE-F5CA-466B-933C-D2A9DC116868}" name="transaction_date" dataDxfId="300"/>
    <tableColumn id="23" xr3:uid="{4D6F992B-BF96-4E69-AAB6-0AEEB5CA4E2F}" name="transaction_execution_date" dataDxfId="299"/>
    <tableColumn id="24" xr3:uid="{4A57D397-0C32-46CD-857B-6C230B7CE800}" name="original_amount" dataDxfId="298"/>
    <tableColumn id="25" xr3:uid="{28E3D694-62B3-4C7E-BB24-5DD188408251}" name="amount" dataDxfId="297"/>
    <tableColumn id="26" xr3:uid="{8DFB6961-FECA-4C2F-853B-C703B9499481}" name="terminal_organization_id" dataDxfId="296"/>
    <tableColumn id="27" xr3:uid="{9F1F1EF7-FCE3-495B-887B-AB5E2EA55303}" name="terminal_description" dataDxfId="295"/>
    <tableColumn id="28" xr3:uid="{25DDB822-CB99-498A-8ADB-71C22E5FD9C5}" name="atm_terminal_id" dataDxfId="294"/>
    <tableColumn id="29" xr3:uid="{95B09128-CB4F-4E57-A76B-564901451D61}" name="pos_terminal_id" dataDxfId="293"/>
    <tableColumn id="30" xr3:uid="{4EA39686-4FE0-4ABE-83F6-1CBC10340B44}" name="merchant_id" dataDxfId="292"/>
    <tableColumn id="31" xr3:uid="{F14DF3BB-1D0B-4A50-9ADD-129649D5FE02}" name="merchant_type_code" dataDxfId="291"/>
    <tableColumn id="32" xr3:uid="{7A899050-ED66-42CB-B562-E2CD0187393F}" name="source_code" dataDxfId="290"/>
    <tableColumn id="33" xr3:uid="{A70588D6-0CB7-479B-8CFA-301F3C530760}" name="data_date_part" dataDxfId="289"/>
    <tableColumn id="34" xr3:uid="{DFD7C820-DB13-4476-A9E4-2614E4DB38C2}" name="data_timestamp_part" dataDxfId="28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287" dataDxfId="286" tableBorderDxfId="285">
  <autoFilter ref="B30:F37" xr:uid="{9121FEBE-5052-4C33-8556-5048BDB999FA}"/>
  <sortState xmlns:xlrd2="http://schemas.microsoft.com/office/spreadsheetml/2017/richdata2" ref="B31:F32">
    <sortCondition ref="B30:B32"/>
  </sortState>
  <tableColumns count="5">
    <tableColumn id="1" xr3:uid="{59F71672-58D0-4647-A6EF-7BCCE0F068CB}" name="Test ID" dataDxfId="284"/>
    <tableColumn id="2" xr3:uid="{29E9C52E-652C-46B2-98A7-F396EDA13B56}" name="Field" dataDxfId="283"/>
    <tableColumn id="3" xr3:uid="{B4A99768-C287-44F6-AF17-7376C9028354}" name="Justification" dataDxfId="282"/>
    <tableColumn id="4" xr3:uid="{564F8B54-E4BD-425E-B841-7F0B2773D3B2}" name="Number of Occurences" dataDxfId="281"/>
    <tableColumn id="5" xr3:uid="{7F7B9DC9-724B-4D23-A300-52A4565A36CB}" name="Justification State" dataDxfId="28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279" dataDxfId="278">
  <autoFilter ref="B2:AI21" xr:uid="{98F99B18-A7DF-4D30-9CD9-BD3142DEEEDB}"/>
  <tableColumns count="34">
    <tableColumn id="1" xr3:uid="{390161C3-F15A-4C90-9848-32480241474F}" name="Case_Test" dataDxfId="277"/>
    <tableColumn id="2" xr3:uid="{282BA6DD-5914-4C33-8BE2-F939910D3EDE}" name="test_id" dataDxfId="276"/>
    <tableColumn id="3" xr3:uid="{4DF92EB7-2CD3-42B1-BA73-0E1239D5DE08}" name="test_timestamp" dataDxfId="275"/>
    <tableColumn id="4" xr3:uid="{FF190206-57D9-4E56-A98F-0314D03B29C7}" name="query_driver_data_date_part" dataDxfId="274"/>
    <tableColumn id="5" xr3:uid="{261F69D0-9561-4F60-BA85-ABC373B28B99}" name="test_number" dataDxfId="273"/>
    <tableColumn id="6" xr3:uid="{52922647-0CD8-4A91-A96D-9E769068039A}" name="score" dataDxfId="272"/>
    <tableColumn id="7" xr3:uid="{66966B0A-80EB-4A52-ACFB-F84428E2CAFC}" name="general_result" dataDxfId="271"/>
    <tableColumn id="8" xr3:uid="{FF5218F6-0D3D-47B7-B2AA-CBBEC1B651B1}" name="bank_id" dataDxfId="270"/>
    <tableColumn id="9" xr3:uid="{2183F0D9-C3A0-4BF8-BF0F-972E5E123755}" name="contract_id" dataDxfId="269"/>
    <tableColumn id="10" xr3:uid="{B7405AE8-DF5F-402A-95F9-B318605682F7}" name="order_number" dataDxfId="268"/>
    <tableColumn id="11" xr3:uid="{EDD169E1-1570-47FE-9EE1-571FA04A1691}" name="order_number_stage" dataDxfId="267"/>
    <tableColumn id="12" xr3:uid="{6441117B-C2E0-4326-9251-3C78B0D585B8}" name="transaction_type_code" dataDxfId="266"/>
    <tableColumn id="13" xr3:uid="{D7DB84FE-39E5-4478-B22A-F86AB90BCE1A}" name="financial_flow_indicator" dataDxfId="265"/>
    <tableColumn id="14" xr3:uid="{78461BC1-F8A3-4B45-82DD-FC92F3CB7CD9}" name="card_number" dataDxfId="264"/>
    <tableColumn id="15" xr3:uid="{9E140D28-E1F0-4FAC-AC55-B8791AD52FA4}" name="beneficiary_order_number" dataDxfId="263"/>
    <tableColumn id="16" xr3:uid="{C193CBD7-EA31-4EEE-8826-38C98C7E7F52}" name="recurring_transaction_indicator" dataDxfId="262"/>
    <tableColumn id="17" xr3:uid="{4741E761-C15B-4B4C-8ECD-D7135ACACFB3}" name="chargeback_indicator" dataDxfId="261"/>
    <tableColumn id="18" xr3:uid="{A7F45A4E-14AD-44B6-86B7-CD114E2B7BBF}" name="card_presence_indicator" dataDxfId="260"/>
    <tableColumn id="19" xr3:uid="{948E0054-B43E-4C76-9276-998D20DFD777}" name="authentication_type_code" dataDxfId="259"/>
    <tableColumn id="20" xr3:uid="{4CCEC06A-BDFB-484A-BB42-69A5D56FF0F6}" name="original_currency_code" dataDxfId="258"/>
    <tableColumn id="21" xr3:uid="{EC5CC640-97D8-4B5E-B4CD-15392B4E43DD}" name="currency_code" dataDxfId="257"/>
    <tableColumn id="22" xr3:uid="{8A5EC714-197B-4B36-BDC7-B1AC15C1C2C1}" name="transaction_date" dataDxfId="256"/>
    <tableColumn id="23" xr3:uid="{3722A01E-18A7-4B94-8945-926A08E4F914}" name="transaction_execution_date" dataDxfId="255"/>
    <tableColumn id="24" xr3:uid="{6F9F5A0A-2E88-495E-9489-0F6D6397E118}" name="original_amount" dataDxfId="254"/>
    <tableColumn id="25" xr3:uid="{6A6AF8EC-B533-469A-9D49-1490E0998E5B}" name="amount" dataDxfId="253"/>
    <tableColumn id="26" xr3:uid="{5D4582D1-75F6-4B2D-8E41-A73A721F4A10}" name="terminal_organization_id" dataDxfId="252"/>
    <tableColumn id="27" xr3:uid="{832BF45C-10B8-4762-8F54-F4B3986599E7}" name="terminal_description" dataDxfId="251"/>
    <tableColumn id="28" xr3:uid="{9FA0A8C6-C1E4-4182-AA63-BE8F59E65305}" name="atm_terminal_id" dataDxfId="250"/>
    <tableColumn id="29" xr3:uid="{48108370-E9F5-4478-8884-E8F867B158D2}" name="pos_terminal_id" dataDxfId="249"/>
    <tableColumn id="30" xr3:uid="{D8D5C23C-CB82-446D-9C61-B67BF497D648}" name="merchant_id" dataDxfId="248"/>
    <tableColumn id="31" xr3:uid="{F29A1F1F-F3CC-4C03-9795-25FC34952847}" name="merchant_type_code" dataDxfId="247"/>
    <tableColumn id="32" xr3:uid="{2A3519D8-D43E-438F-AE9A-F8E02E9036EA}" name="source_code" dataDxfId="246"/>
    <tableColumn id="33" xr3:uid="{007BCB4F-D149-4CE4-996A-67FABD0142A6}" name="data_date_part" dataDxfId="245"/>
    <tableColumn id="34" xr3:uid="{ACCA8722-FE13-4057-B234-327C0A2C3CFF}" name="data_timestamp_part" dataDxfId="244"/>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43" dataDxfId="242" tableBorderDxfId="241">
  <autoFilter ref="B30:F35" xr:uid="{9121FEBE-5052-4C33-8556-5048BDB999FA}"/>
  <sortState xmlns:xlrd2="http://schemas.microsoft.com/office/spreadsheetml/2017/richdata2" ref="B31:F32">
    <sortCondition ref="B30:B32"/>
  </sortState>
  <tableColumns count="5">
    <tableColumn id="1" xr3:uid="{00FA21F0-81BF-430D-9BBE-DF03FD47FFB3}" name="Test ID" dataDxfId="240"/>
    <tableColumn id="2" xr3:uid="{5BD32E6B-2B9F-4BAF-9E99-B673171FA1CD}" name="Field" dataDxfId="239"/>
    <tableColumn id="3" xr3:uid="{84B220B6-2871-404E-8CEB-BB0F71663C2F}" name="Justification" dataDxfId="238"/>
    <tableColumn id="4" xr3:uid="{F5912715-2C26-43E9-8229-AF5522556751}" name="Number of Occurences" dataDxfId="237"/>
    <tableColumn id="5" xr3:uid="{082D5718-CD1A-4DFA-B8ED-D4280E934785}" name="Justification State" dataDxfId="236"/>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35" dataDxfId="234">
  <autoFilter ref="B2:AI21" xr:uid="{98F99B18-A7DF-4D30-9CD9-BD3142DEEEDB}"/>
  <tableColumns count="34">
    <tableColumn id="1" xr3:uid="{55AC8386-227A-4913-944D-0102C310CCBD}" name="Case_Test" dataDxfId="233"/>
    <tableColumn id="2" xr3:uid="{76D2AF99-9CB8-4618-BCB7-E5B997D7E43E}" name="test_id" dataDxfId="232"/>
    <tableColumn id="3" xr3:uid="{ED700BF7-A1C5-4562-B2EE-3F7C1D47C69E}" name="test_timestamp" dataDxfId="231"/>
    <tableColumn id="4" xr3:uid="{54516FA7-29CE-4717-81F0-6EFBDA6111F0}" name="query_driver_data_date_part" dataDxfId="230"/>
    <tableColumn id="5" xr3:uid="{BC90141C-9D24-496A-8E6A-D471C32C369E}" name="test_number" dataDxfId="229"/>
    <tableColumn id="6" xr3:uid="{B6B68227-72B9-4BDC-9A33-053D6705CB4A}" name="score" dataDxfId="228"/>
    <tableColumn id="7" xr3:uid="{F42CD6E4-96B5-42C7-8DD9-663905A2604D}" name="general_result" dataDxfId="227"/>
    <tableColumn id="8" xr3:uid="{259E53EC-DF38-40B7-AF38-32C02EB0FA98}" name="bank_id" dataDxfId="226"/>
    <tableColumn id="9" xr3:uid="{BF564BA7-59AF-41A6-9E24-31CCD959BD69}" name="contract_id" dataDxfId="225"/>
    <tableColumn id="10" xr3:uid="{B30BB6C4-AFC9-49E9-8278-066D0BD20EDA}" name="order_number" dataDxfId="224"/>
    <tableColumn id="11" xr3:uid="{E341ED0F-1C67-411E-B594-DEAFEB43FF98}" name="order_number_stage" dataDxfId="223"/>
    <tableColumn id="12" xr3:uid="{C58B5E8D-088A-47AD-8CD3-6CDEBA5572BD}" name="transaction_type_code" dataDxfId="222"/>
    <tableColumn id="34" xr3:uid="{C8A540FC-1976-44E3-B03F-63AFDEE19CAC}" name="financial_flow_indicator" dataDxfId="221"/>
    <tableColumn id="13" xr3:uid="{EB196534-D1C4-4648-B5A6-9928DFDC8411}" name="card_number" dataDxfId="220"/>
    <tableColumn id="14" xr3:uid="{005AC1B1-A041-4089-9FD6-7E6DEBCBDF4F}" name="beneficiary_order_number" dataDxfId="219"/>
    <tableColumn id="15" xr3:uid="{560838C2-8136-4CD3-9243-C6489C68D8F1}" name="recurring_transaction_indicator" dataDxfId="218"/>
    <tableColumn id="16" xr3:uid="{C5221579-8534-4F1B-BD60-F2F0E587A1AF}" name="chargeback_indicator" dataDxfId="217"/>
    <tableColumn id="17" xr3:uid="{1FF6D795-0B06-4A37-A451-42B88EE9DC88}" name="card_presence_indicator" dataDxfId="216"/>
    <tableColumn id="18" xr3:uid="{0A9FFCC8-9B12-4FE3-A6AF-3FF618B68760}" name="authentication_type_code" dataDxfId="215"/>
    <tableColumn id="19" xr3:uid="{ED31327C-EC8B-4936-847B-0115A60629D1}" name="original_currency_code" dataDxfId="214"/>
    <tableColumn id="20" xr3:uid="{5190705C-2485-42E7-818D-B09B659F65C6}" name="currency_code" dataDxfId="213"/>
    <tableColumn id="21" xr3:uid="{8E4F7046-1DD9-4E18-94EB-20283492C0D8}" name="transaction_date" dataDxfId="212"/>
    <tableColumn id="22" xr3:uid="{E8796625-D1CD-4ACC-A692-AEC5B70122EF}" name="transaction_execution_date" dataDxfId="211"/>
    <tableColumn id="23" xr3:uid="{EF2911AA-50E0-492A-AD7A-B346164FD465}" name="original_amount" dataDxfId="210"/>
    <tableColumn id="24" xr3:uid="{D0DC8BF4-A5BA-421F-A34C-B456C58006BD}" name="amount" dataDxfId="209"/>
    <tableColumn id="25" xr3:uid="{CA5793C7-2D40-4936-91E9-EE53E8E03AFC}" name="terminal_organization_id" dataDxfId="208"/>
    <tableColumn id="26" xr3:uid="{9C8C2ED3-B91E-4BA0-A6C5-9ACD07926E5E}" name="atm_terminal_id" dataDxfId="207"/>
    <tableColumn id="27" xr3:uid="{14794463-73A4-402D-807A-7A80848BE091}" name="terminal_description" dataDxfId="206"/>
    <tableColumn id="28" xr3:uid="{8ADD8A71-E28E-48C1-8894-2F9C8D73A6CC}" name="pos_terminal_id" dataDxfId="205"/>
    <tableColumn id="29" xr3:uid="{2AC11CCC-1EF6-4955-BE2E-166A6998FE2C}" name="merchant_type_code" dataDxfId="204"/>
    <tableColumn id="30" xr3:uid="{23D6BDD5-0E88-4B3D-9328-3F40E390D299}" name="merchant_id" dataDxfId="203"/>
    <tableColumn id="31" xr3:uid="{05DA1B5C-66E6-4512-9F68-6C9EFD04A7B1}" name="source_code" dataDxfId="202"/>
    <tableColumn id="32" xr3:uid="{67934C25-1550-4196-8E8A-04EB523F5180}" name="data_date_part" dataDxfId="201"/>
    <tableColumn id="33" xr3:uid="{61854520-06AA-4B35-9728-0C71112CA6BD}" name="data_timestamp_part" dataDxfId="20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199" dataDxfId="198" tableBorderDxfId="197">
  <autoFilter ref="B30:F37" xr:uid="{9121FEBE-5052-4C33-8556-5048BDB999FA}"/>
  <sortState xmlns:xlrd2="http://schemas.microsoft.com/office/spreadsheetml/2017/richdata2" ref="B31:F31">
    <sortCondition ref="B30:B31"/>
  </sortState>
  <tableColumns count="5">
    <tableColumn id="1" xr3:uid="{209084B5-002E-45F4-8757-72035F78901C}" name="Test ID" dataDxfId="196"/>
    <tableColumn id="2" xr3:uid="{D469BEFF-2169-43A8-8C49-57803B36E203}" name="Field" dataDxfId="195"/>
    <tableColumn id="3" xr3:uid="{C0E33CAF-9582-4DA5-945B-4766434DC000}" name="Justification" dataDxfId="194"/>
    <tableColumn id="4" xr3:uid="{387EBDCC-4D81-4879-A892-001BAE7F8340}" name="Number of Occurences" dataDxfId="193"/>
    <tableColumn id="5" xr3:uid="{F79DDA3B-476A-4DC5-9400-F2F5759EB320}" name="Justification State" dataDxfId="19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191" dataDxfId="190">
  <autoFilter ref="B2:U21" xr:uid="{98F99B18-A7DF-4D30-9CD9-BD3142DEEEDB}"/>
  <tableColumns count="20">
    <tableColumn id="1" xr3:uid="{14770AF0-B73A-4511-A43F-795CECA7F4C3}" name="Case_Test" dataDxfId="189"/>
    <tableColumn id="2" xr3:uid="{3B8D66AF-F31F-42C7-8CFF-7EF5A1B6D94E}" name="test_id" dataDxfId="188"/>
    <tableColumn id="3" xr3:uid="{2FFDCE77-6A38-43DA-9C4C-A27E33260132}" name="test_timestamp" dataDxfId="187"/>
    <tableColumn id="4" xr3:uid="{08BE8540-1415-4E80-A5BC-CBB6DD943FF0}" name="query_driver_data_date_part" dataDxfId="186"/>
    <tableColumn id="5" xr3:uid="{4D3697A2-1B6D-46F9-9B2B-70D121055267}" name="test_number" dataDxfId="185"/>
    <tableColumn id="6" xr3:uid="{E56D53B5-EDF3-4620-B7C0-F2B1613B7876}" name="score" dataDxfId="184"/>
    <tableColumn id="7" xr3:uid="{5AD8A322-311C-456A-90B1-799C1B86E037}" name="general_result" dataDxfId="183"/>
    <tableColumn id="8" xr3:uid="{59A8845A-59B2-405A-A24F-0D52623C0212}" name="bank_id" dataDxfId="182"/>
    <tableColumn id="9" xr3:uid="{DC2F6310-32CD-47F7-9AAE-EB73B0953BCF}" name="contract_id" dataDxfId="181"/>
    <tableColumn id="10" xr3:uid="{ADA584E0-2AFA-43CE-8725-987DD9F1A005}" name="order_number" dataDxfId="180"/>
    <tableColumn id="11" xr3:uid="{9E00E73D-E2E7-4E27-92E9-FF49E7DC15DA}" name="order_number_stage" dataDxfId="179"/>
    <tableColumn id="12" xr3:uid="{37AA1A64-65F8-40E0-86EC-9DD5CE183DAE}" name="transaction_type_code" dataDxfId="178"/>
    <tableColumn id="34" xr3:uid="{69F98A8A-B5BB-483C-A9B9-0F3142648484}" name="financial_flow_indicator" dataDxfId="177"/>
    <tableColumn id="13" xr3:uid="{5B410CA3-3331-4321-937D-5F7E7E612679}" name="currency_code" dataDxfId="176"/>
    <tableColumn id="14" xr3:uid="{1C1951D2-C2DF-4813-B35C-BE8DFF69DB68}" name="transaction_date" dataDxfId="175"/>
    <tableColumn id="15" xr3:uid="{BBFF5CDE-DA50-46C0-A388-12B81618F5E1}" name="transaction_execution_date" dataDxfId="174"/>
    <tableColumn id="16" xr3:uid="{16E4CB6C-1DC5-421C-9A64-30412D6B079A}" name="amount" dataDxfId="173"/>
    <tableColumn id="17" xr3:uid="{AB44A910-E449-4217-A128-DA0A883FCB05}" name="source_code" dataDxfId="172"/>
    <tableColumn id="18" xr3:uid="{7A3FCA76-E3E4-4662-864C-EF817C062F51}" name="data_date_part" dataDxfId="171"/>
    <tableColumn id="19" xr3:uid="{F5A432F0-4750-4FC3-ADE8-F935C5E8F864}" name="data_timestamp_part" dataDxfId="170"/>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169" dataDxfId="168" tableBorderDxfId="167">
  <autoFilter ref="B30:F34" xr:uid="{9121FEBE-5052-4C33-8556-5048BDB999FA}"/>
  <sortState xmlns:xlrd2="http://schemas.microsoft.com/office/spreadsheetml/2017/richdata2" ref="B31:F31">
    <sortCondition ref="B30:B31"/>
  </sortState>
  <tableColumns count="5">
    <tableColumn id="1" xr3:uid="{C37A5F7E-6234-4811-B795-93C37273D1EE}" name="Test ID" dataDxfId="166"/>
    <tableColumn id="2" xr3:uid="{9D81219A-03C8-4755-BFA6-135A58421106}" name="Field" dataDxfId="165"/>
    <tableColumn id="3" xr3:uid="{A73A2536-8948-47B1-BD0E-3D0C14047049}" name="Justification" dataDxfId="164"/>
    <tableColumn id="4" xr3:uid="{2F6861D7-25D0-405B-976F-35093ABB20CB}" name="Number of Occurences" dataDxfId="163"/>
    <tableColumn id="5" xr3:uid="{9C7B1BA8-7223-4F18-9F7E-20C72246B6EE}" name="Justification State" dataDxfId="16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161" dataDxfId="160">
  <autoFilter ref="B2:X21" xr:uid="{98F99B18-A7DF-4D30-9CD9-BD3142DEEEDB}"/>
  <tableColumns count="23">
    <tableColumn id="1" xr3:uid="{52CA5B72-0398-44F4-BC22-2EAEA50321DE}" name="Case_Test" dataDxfId="159"/>
    <tableColumn id="2" xr3:uid="{D0235CD5-970B-4EDE-ABC7-2C16BBCAFE0B}" name="test_id" dataDxfId="158"/>
    <tableColumn id="3" xr3:uid="{AE877707-1ED5-4658-97A7-ED5DF0E5ED36}" name="test_timestamp" dataDxfId="157"/>
    <tableColumn id="4" xr3:uid="{8F187913-F589-4757-8D6A-6AD5F78F912D}" name="query_driver_data_date_part" dataDxfId="156"/>
    <tableColumn id="5" xr3:uid="{04C955C7-2DB3-454D-B698-FD38442E9396}" name="test_number" dataDxfId="155"/>
    <tableColumn id="6" xr3:uid="{41566357-D956-4759-BB2D-072CB7A45F86}" name="score" dataDxfId="154"/>
    <tableColumn id="7" xr3:uid="{FB765165-0BE3-4CB5-AA11-9AA0DA730BED}" name="general_result" dataDxfId="153"/>
    <tableColumn id="8" xr3:uid="{D3E89A1A-1026-41C7-AEAD-A925113F218A}" name="bank_id" dataDxfId="152"/>
    <tableColumn id="9" xr3:uid="{4CE0E53B-74DA-468D-AEEC-4AFA27EA34A9}" name="contract_id" dataDxfId="151"/>
    <tableColumn id="10" xr3:uid="{33AD990B-C1C3-46F9-BD68-9ADC877B547C}" name="order_number" dataDxfId="150"/>
    <tableColumn id="11" xr3:uid="{28E9A788-F1D6-4146-9EF7-24E9D84003C1}" name="order_number_stage" dataDxfId="149"/>
    <tableColumn id="12" xr3:uid="{76BE2F1E-B046-4058-86E3-88F5E5FD6BCB}" name="transaction_type_code" dataDxfId="148"/>
    <tableColumn id="34" xr3:uid="{982C7667-91B1-4DDE-9F3D-A93300C84C95}" name="financial_flow_indicator" dataDxfId="147"/>
    <tableColumn id="13" xr3:uid="{68DB0596-60FA-49D4-8BF9-AA5CAA2BC2E7}" name="currency_code" dataDxfId="146"/>
    <tableColumn id="14" xr3:uid="{26255F14-B311-4781-8AD4-531365CE197D}" name="installment_number" dataDxfId="145"/>
    <tableColumn id="15" xr3:uid="{4523FBE2-FD35-4E35-B05D-6060408CC5A3}" name="chargeback_indicator" dataDxfId="144"/>
    <tableColumn id="16" xr3:uid="{8B841018-8ED9-4603-94D9-393BA09FAC6B}" name="chargeback_date" dataDxfId="143"/>
    <tableColumn id="17" xr3:uid="{99BD3879-EA10-4621-99D6-88DAFE07A71F}" name="transaction_date" dataDxfId="142"/>
    <tableColumn id="18" xr3:uid="{C8E7B287-2D44-47C4-8E61-43E7C3FDE420}" name="transaction_execution_date" dataDxfId="141"/>
    <tableColumn id="19" xr3:uid="{E55E983B-4224-4A54-83BD-341E5ECEABFC}" name="amount" dataDxfId="140"/>
    <tableColumn id="20" xr3:uid="{C021A244-DA87-4DC9-AB25-6E4FE52D7A8E}" name="source_code" dataDxfId="139"/>
    <tableColumn id="21" xr3:uid="{8E95793B-0AC2-493D-9F7F-92810809B088}" name="data_date_part" dataDxfId="138"/>
    <tableColumn id="22" xr3:uid="{1F23191F-5BD5-4079-873E-D9C14CC37556}" name="data_timestamp_part" dataDxfId="13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36" dataDxfId="135" tableBorderDxfId="134">
  <autoFilter ref="B30:F45" xr:uid="{9121FEBE-5052-4C33-8556-5048BDB999FA}"/>
  <sortState xmlns:xlrd2="http://schemas.microsoft.com/office/spreadsheetml/2017/richdata2" ref="B31:F31">
    <sortCondition ref="B30:B31"/>
  </sortState>
  <tableColumns count="5">
    <tableColumn id="1" xr3:uid="{E30F72FD-3B8F-4E2C-A792-3B4A05A8DBE3}" name="Test ID" dataDxfId="133"/>
    <tableColumn id="2" xr3:uid="{300A289B-0D5D-450C-AFB0-BA03810F7A00}" name="Field" dataDxfId="132"/>
    <tableColumn id="3" xr3:uid="{BD672909-B98A-45EC-BF95-B94B995A265E}" name="Justification" dataDxfId="131"/>
    <tableColumn id="4" xr3:uid="{09434DF9-480F-49FB-BFD4-7E6F60042230}" name="Number of Occurences" dataDxfId="130"/>
    <tableColumn id="5" xr3:uid="{55E47F65-267C-4706-8B30-F0AD1B86B987}" name="Justification State" dataDxfId="129"/>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28" dataDxfId="127">
  <autoFilter ref="B2:X21" xr:uid="{98F99B18-A7DF-4D30-9CD9-BD3142DEEEDB}"/>
  <tableColumns count="23">
    <tableColumn id="1" xr3:uid="{FF220F84-8ED1-40A7-9ED9-75158518D2DB}" name="Case_Test" dataDxfId="126"/>
    <tableColumn id="2" xr3:uid="{AF15E24C-7FEF-4B0C-A366-4B9A3EB3E194}" name="test_id" dataDxfId="125"/>
    <tableColumn id="3" xr3:uid="{C6118EE6-89DE-4857-A048-2B1FF409FE02}" name="test_timestamp" dataDxfId="124"/>
    <tableColumn id="4" xr3:uid="{667A31E0-24F8-465E-A523-C18B206FDB58}" name="query_driver_data_date_part" dataDxfId="123"/>
    <tableColumn id="5" xr3:uid="{0FB6D1FB-A481-4527-BBC9-E5FAE02332D0}" name="test_number" dataDxfId="122"/>
    <tableColumn id="6" xr3:uid="{BEA0F25F-F092-4894-8D32-D517C1C24AF4}" name="score" dataDxfId="121"/>
    <tableColumn id="7" xr3:uid="{46D6F052-CC52-4B50-AAE0-DE6FFB821A0D}" name="general_result" dataDxfId="120"/>
    <tableColumn id="8" xr3:uid="{C567C2D1-75D6-465E-AF95-6B691167E9ED}" name="bank_id" dataDxfId="119"/>
    <tableColumn id="9" xr3:uid="{7AC4BC24-3ABB-4798-BBA2-FB0E28999FDB}" name="contract_id" dataDxfId="118"/>
    <tableColumn id="10" xr3:uid="{23824B64-5B59-4230-A6DF-4F8637E3A973}" name="order_number" dataDxfId="117"/>
    <tableColumn id="11" xr3:uid="{DD36AC3E-91CB-4388-8033-FAAE5DD35A62}" name="order_number_stage" dataDxfId="116"/>
    <tableColumn id="12" xr3:uid="{90A9454A-E804-42C3-97A6-F7C5E55DB37D}" name="transaction_type_code" dataDxfId="115"/>
    <tableColumn id="34" xr3:uid="{0A446977-E1AC-45ED-962A-0E28B378D1E7}" name="transaction_execution_date" dataDxfId="114"/>
    <tableColumn id="13" xr3:uid="{16876B73-E993-4F55-A0BD-16E3B3325C76}" name="amount" dataDxfId="113"/>
    <tableColumn id="14" xr3:uid="{B63B2004-9B34-4A0A-81F6-69D12D340A2F}" name="financial_flow_indicator" dataDxfId="112"/>
    <tableColumn id="15" xr3:uid="{E9387724-F562-479B-908B-AD979FD1C9C8}" name="currency_code" dataDxfId="111"/>
    <tableColumn id="16" xr3:uid="{9B0ADC85-EC84-484D-B48E-129EA7D545CA}" name="transaction_date" dataDxfId="110"/>
    <tableColumn id="17" xr3:uid="{18204970-6C7E-4840-BB5A-3DCE61D7F100}" name="transfer_reference" dataDxfId="109"/>
    <tableColumn id="18" xr3:uid="{F3FE4189-7257-4AC0-9916-54B0C408BC81}" name="description" dataDxfId="108"/>
    <tableColumn id="19" xr3:uid="{0A1A633D-EF5C-40EE-A071-AAC9F6F9B6C0}" name="comment" dataDxfId="107"/>
    <tableColumn id="20" xr3:uid="{F57C4B18-57EF-4C0B-AB97-1974CD2407E5}" name="source_code" dataDxfId="106"/>
    <tableColumn id="21" xr3:uid="{476799A6-0FB9-42CF-B3F8-D3C24EE29CE2}" name="data_date_part" dataDxfId="105"/>
    <tableColumn id="22" xr3:uid="{77432B93-EDC5-4996-A6D7-4585225EB088}" name="data_timestamp_part" dataDxfId="104"/>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03" dataDxfId="102" tableBorderDxfId="101">
  <autoFilter ref="B30:F32" xr:uid="{9121FEBE-5052-4C33-8556-5048BDB999FA}"/>
  <sortState xmlns:xlrd2="http://schemas.microsoft.com/office/spreadsheetml/2017/richdata2" ref="B31:F31">
    <sortCondition ref="B30:B31"/>
  </sortState>
  <tableColumns count="5">
    <tableColumn id="1" xr3:uid="{2D1FF1F0-BA2E-4806-BE73-008A47C96DA3}" name="Test ID" dataDxfId="100"/>
    <tableColumn id="2" xr3:uid="{D0C3C08D-B789-47A8-8CAE-0C5142C6E6FC}" name="Field" dataDxfId="99"/>
    <tableColumn id="3" xr3:uid="{C379CD12-2745-4A7E-9CDE-8151A73B56D3}" name="Justification" dataDxfId="98"/>
    <tableColumn id="4" xr3:uid="{070F3DE3-B495-4D19-9FB5-20C8F8354EAB}" name="Number of Occurences" dataDxfId="97"/>
    <tableColumn id="5" xr3:uid="{DB7A4CEC-5489-4092-A7FC-A54ABC0ABEDD}" name="Justification State" dataDxfId="9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95" dataDxfId="94">
  <autoFilter ref="B2:X21" xr:uid="{98F99B18-A7DF-4D30-9CD9-BD3142DEEEDB}"/>
  <tableColumns count="23">
    <tableColumn id="1" xr3:uid="{6CA41FD2-9335-4959-ABC5-AED8F8EBB743}" name="Case_Test" dataDxfId="93"/>
    <tableColumn id="2" xr3:uid="{99477B50-ACE8-4DB8-AC01-E59EBF0DB4BA}" name="test_id" dataDxfId="92"/>
    <tableColumn id="3" xr3:uid="{0FF43701-57EF-4983-A6B4-435D5606D763}" name="test_timestamp" dataDxfId="91"/>
    <tableColumn id="4" xr3:uid="{663C3136-2B52-4100-AB35-92A4FAE5CB9B}" name="query_driver_data_date_part" dataDxfId="90"/>
    <tableColumn id="5" xr3:uid="{A0F17DEE-F247-44A2-80E8-738434E8BE2D}" name="test_number" dataDxfId="89"/>
    <tableColumn id="6" xr3:uid="{3089C3ED-98E8-4EB5-A286-1E660F6F2B6D}" name="score" dataDxfId="88"/>
    <tableColumn id="7" xr3:uid="{F9C8A4FF-DDC1-4774-A900-EBF23B65DB63}" name="general_result" dataDxfId="87"/>
    <tableColumn id="8" xr3:uid="{2E070DB3-FBB2-4F90-9601-1843151897AC}" name="bank_id" dataDxfId="86"/>
    <tableColumn id="9" xr3:uid="{1851B9F6-3B5F-4DB2-93A5-DCB0CB613788}" name="contract_id" dataDxfId="85"/>
    <tableColumn id="10" xr3:uid="{0140C575-45A4-4382-87A8-B5FEB067114B}" name="order_number" dataDxfId="84"/>
    <tableColumn id="11" xr3:uid="{BD3A50C7-4F75-4A84-A24C-EB91B62EF731}" name="order_number_stage" dataDxfId="83"/>
    <tableColumn id="12" xr3:uid="{B6ACA7AE-05E3-407B-9BE6-391A69EB3098}" name="transaction_type_code" dataDxfId="82"/>
    <tableColumn id="34" xr3:uid="{CA9FBB78-659C-4D79-9317-286D35C15076}" name="transaction_execution_date" dataDxfId="81"/>
    <tableColumn id="13" xr3:uid="{2C998628-E849-4C1C-8FDF-3A52962148A0}" name="amount" dataDxfId="80"/>
    <tableColumn id="14" xr3:uid="{57376A41-A47D-4DB7-BC70-4D3A67C0C616}" name="financial_flow_indicator" dataDxfId="79"/>
    <tableColumn id="15" xr3:uid="{DD1DB830-2F5B-4902-A9EE-A2CC31078FE1}" name="currency_code" dataDxfId="78"/>
    <tableColumn id="16" xr3:uid="{95A16F3A-2889-4C5C-9772-997A6EF642B9}" name="transaction_date" dataDxfId="77"/>
    <tableColumn id="17" xr3:uid="{73D6B7FC-41BF-443F-8B48-1A6372B4EC05}" name="transfer_reference" dataDxfId="76"/>
    <tableColumn id="18" xr3:uid="{8A1CF097-9AA2-43F5-ADE9-8DD1AC0AA149}" name="description" dataDxfId="75"/>
    <tableColumn id="19" xr3:uid="{A80286E5-B7D2-44B1-805F-AE5337C84C2A}" name="comment" dataDxfId="74"/>
    <tableColumn id="20" xr3:uid="{778AB9AE-E212-4257-A6D9-A8FB1FEAEC29}" name="source_code" dataDxfId="73"/>
    <tableColumn id="21" xr3:uid="{DFE7FCAE-C788-49B6-9415-E48FDDF9BE17}" name="data_date_part" dataDxfId="72"/>
    <tableColumn id="22" xr3:uid="{2443BBB4-C4DC-49CE-81D8-044536E1B3AD}" name="data_timestamp_part" dataDxfId="71"/>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70" dataDxfId="69" tableBorderDxfId="68">
  <autoFilter ref="B30:F32" xr:uid="{9121FEBE-5052-4C33-8556-5048BDB999FA}"/>
  <sortState xmlns:xlrd2="http://schemas.microsoft.com/office/spreadsheetml/2017/richdata2" ref="B31:F31">
    <sortCondition ref="B30:B31"/>
  </sortState>
  <tableColumns count="5">
    <tableColumn id="1" xr3:uid="{79C36966-065E-45DB-A3E2-57447BD4B509}" name="Test ID" dataDxfId="67"/>
    <tableColumn id="2" xr3:uid="{C96A2014-9FB5-41E4-BFC8-75F9CC46715D}" name="Field" dataDxfId="66"/>
    <tableColumn id="3" xr3:uid="{1D37B1BB-BDD4-4186-9C09-56D72C48B4F7}" name="Justification" dataDxfId="65"/>
    <tableColumn id="4" xr3:uid="{2653B484-E3C5-4F7E-A4BC-8637EF73C0AD}" name="Number of Occurences" dataDxfId="64"/>
    <tableColumn id="5" xr3:uid="{78BF3B10-F16E-4E4F-B984-A982DA0F4482}" name="Justification State" dataDxfId="63"/>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62" dataDxfId="61">
  <autoFilter ref="B2:U21" xr:uid="{98F99B18-A7DF-4D30-9CD9-BD3142DEEEDB}"/>
  <tableColumns count="20">
    <tableColumn id="1" xr3:uid="{68648D85-3DB9-4DE3-9CA8-138309B3B3B1}" name="Case_Test" dataDxfId="60"/>
    <tableColumn id="2" xr3:uid="{C82D909C-96D1-4B85-B4C5-239025CA6642}" name="test_id" dataDxfId="59"/>
    <tableColumn id="3" xr3:uid="{03BC5EA5-F341-460F-AAC0-3DFF792A4B32}" name="test_timestamp" dataDxfId="58"/>
    <tableColumn id="4" xr3:uid="{62D116BE-2435-491E-BC88-60E719B97FA6}" name="query_driver_data_date_part" dataDxfId="57"/>
    <tableColumn id="5" xr3:uid="{57DF49A2-1A30-4A57-B766-B93F9A085018}" name="test_number" dataDxfId="56"/>
    <tableColumn id="6" xr3:uid="{1F713611-8BC0-4487-8819-0AA171D40072}" name="score" dataDxfId="55"/>
    <tableColumn id="7" xr3:uid="{2FD321AE-D28D-4E5C-B9F5-EB083DB77528}" name="general_result" dataDxfId="54"/>
    <tableColumn id="8" xr3:uid="{63EEAEC8-62E3-48A0-B467-49BCACBF788F}" name="bank_id" dataDxfId="53"/>
    <tableColumn id="9" xr3:uid="{507F9F5B-88D6-4628-AE6A-908140DA868F}" name="contract_id" dataDxfId="52"/>
    <tableColumn id="10" xr3:uid="{32D04ABF-026D-495B-BC6B-FAA986FA21C6}" name="order_number" dataDxfId="51"/>
    <tableColumn id="11" xr3:uid="{EC2AACEE-E1A3-4579-A1A1-3D90FC8F524D}" name="order_number_stage" dataDxfId="50"/>
    <tableColumn id="12" xr3:uid="{DD523ECE-2F53-452A-BB12-3ABACACA8BD8}" name="transaction_type_code" dataDxfId="49"/>
    <tableColumn id="34" xr3:uid="{0EACAF4F-9347-416F-8124-965F392AC182}" name="currency_code" dataDxfId="48"/>
    <tableColumn id="13" xr3:uid="{1D9D23E7-8320-44A6-BF50-BEA1EEE9A693}" name="chargeback_indicator" dataDxfId="47"/>
    <tableColumn id="14" xr3:uid="{647602CC-4C28-4DCF-AA9C-C7AAF5BF5163}" name="transaction_date" dataDxfId="46"/>
    <tableColumn id="15" xr3:uid="{B08BE334-6623-4A16-997C-1D4F93159A93}" name="transaction_execution_date" dataDxfId="45"/>
    <tableColumn id="16" xr3:uid="{3EF3A11F-E38B-4A13-9543-D7E1460F9AF5}" name="amount" dataDxfId="44"/>
    <tableColumn id="17" xr3:uid="{1D3468FB-4FE8-4A20-A2AF-D0837FB43FA7}" name="source_code" dataDxfId="43"/>
    <tableColumn id="18" xr3:uid="{E84B736A-CCA3-44E0-9370-414BB744F7A6}" name="data_date_part" dataDxfId="42"/>
    <tableColumn id="19" xr3:uid="{5BF5491C-2DE7-43A8-9AE9-192AC010E3F9}" name="data_timestamp_part" dataDxfId="4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40" dataDxfId="39" tableBorderDxfId="38">
  <autoFilter ref="B30:F34" xr:uid="{9121FEBE-5052-4C33-8556-5048BDB999FA}"/>
  <sortState xmlns:xlrd2="http://schemas.microsoft.com/office/spreadsheetml/2017/richdata2" ref="B31:F31">
    <sortCondition ref="B30:B31"/>
  </sortState>
  <tableColumns count="5">
    <tableColumn id="1" xr3:uid="{8891F8E8-2D8D-4528-ACC5-56501E6F4F40}" name="Test ID" dataDxfId="37"/>
    <tableColumn id="2" xr3:uid="{A826CB3F-C1D5-4AB8-9D8A-D92D962B41DB}" name="Field" dataDxfId="36"/>
    <tableColumn id="3" xr3:uid="{551F8D3E-B5EC-462C-B486-8E9DF7427BF8}" name="Justification" dataDxfId="35"/>
    <tableColumn id="4" xr3:uid="{90ABE433-A14A-4481-843F-2DDB0D3B4640}" name="Number of Occurences" dataDxfId="34"/>
    <tableColumn id="5" xr3:uid="{1C80C9D1-6583-42FE-9283-359E7A1C2FA0}" name="Justification State" dataDxfId="3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32" dataDxfId="31">
  <autoFilter ref="B2:W21" xr:uid="{98F99B18-A7DF-4D30-9CD9-BD3142DEEEDB}"/>
  <tableColumns count="22">
    <tableColumn id="1" xr3:uid="{FAA96F9C-8DCB-43E6-84A0-F0EBDDA13149}" name="Case_Test" dataDxfId="30"/>
    <tableColumn id="2" xr3:uid="{DDDA9758-752B-4616-B699-F84CAC3E02EE}" name="test_id" dataDxfId="29"/>
    <tableColumn id="3" xr3:uid="{D3F15EF7-37E6-4A85-84C7-AEA0A068E0F7}" name="test_timestamp" dataDxfId="28"/>
    <tableColumn id="4" xr3:uid="{09D8A96F-4B25-47DE-AD65-2E1BCAAAA753}" name="query_driver_data_date_part" dataDxfId="27"/>
    <tableColumn id="5" xr3:uid="{8126C8DC-E277-4E7B-BFA3-1AA71BCF4E2E}" name="test_number" dataDxfId="26"/>
    <tableColumn id="6" xr3:uid="{99DB9C7D-EB8F-41B8-B42E-93114B2A2F3F}" name="score" dataDxfId="25"/>
    <tableColumn id="7" xr3:uid="{EE4C38ED-6FA1-4D87-B54A-5E2BC2C98CB7}" name="general_result" dataDxfId="24"/>
    <tableColumn id="8" xr3:uid="{848A33A1-D059-4128-82F6-614ED3DF4461}" name="bank_id" dataDxfId="23"/>
    <tableColumn id="9" xr3:uid="{D84F5507-E11F-43B3-9002-D7ED989DB8D9}" name="contract_id" dataDxfId="22"/>
    <tableColumn id="10" xr3:uid="{BF367105-A2DD-4B22-8253-B35A2A54A98A}" name="order_number" dataDxfId="21"/>
    <tableColumn id="11" xr3:uid="{1810687E-4DB2-4619-B4B1-E64755839C40}" name="order_number_stage" dataDxfId="20"/>
    <tableColumn id="12" xr3:uid="{367DBBE9-C7AD-434B-9FD9-971CF291DFCA}" name="transaction_type_code" dataDxfId="19"/>
    <tableColumn id="34" xr3:uid="{2F84C2C3-EEE8-4F5F-AC50-1473ADAB57D5}" name="financial_flow_indicator" dataDxfId="18"/>
    <tableColumn id="13" xr3:uid="{55368004-4186-4DBE-9F85-17FB3D170D7C}" name="recurring_transaction_indicator" dataDxfId="17"/>
    <tableColumn id="14" xr3:uid="{E5BFBB8C-584F-446E-8556-A0C476F8FDCB}" name="currency_code" dataDxfId="16"/>
    <tableColumn id="15" xr3:uid="{1E36511C-7D2D-48B9-9177-02CE4F9DEB5F}" name="transaction_date" dataDxfId="15"/>
    <tableColumn id="16" xr3:uid="{D3AC6298-8813-4B01-B1C1-300B0629DDAB}" name="transaction_execution_date" dataDxfId="14"/>
    <tableColumn id="17" xr3:uid="{4B57418A-9C7A-46E5-B618-8F2BD9CEAA16}" name="amount" dataDxfId="13"/>
    <tableColumn id="18" xr3:uid="{726F55B3-84D1-4F51-800C-A805E8A8C7C7}" name="comment" dataDxfId="12"/>
    <tableColumn id="19" xr3:uid="{CA288062-E6DF-4D52-94A3-2A64803005A3}" name="source_code" dataDxfId="11"/>
    <tableColumn id="20" xr3:uid="{A38A65CA-04D4-4F99-8BA1-9322C28950D5}" name="data_date_part" dataDxfId="10"/>
    <tableColumn id="21" xr3:uid="{F7C6BC53-9534-4289-A242-1926CD3DA7ED}" name="data_timestamp_part" dataDxfId="9"/>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8" dataDxfId="7" tableBorderDxfId="6">
  <autoFilter ref="B30:F32" xr:uid="{9121FEBE-5052-4C33-8556-5048BDB999FA}"/>
  <sortState xmlns:xlrd2="http://schemas.microsoft.com/office/spreadsheetml/2017/richdata2" ref="B31:F31">
    <sortCondition ref="B30:B31"/>
  </sortState>
  <tableColumns count="5">
    <tableColumn id="1" xr3:uid="{2EF8348A-D986-40B6-B370-DFF6AECA2586}" name="Test ID" dataDxfId="5"/>
    <tableColumn id="2" xr3:uid="{DADB2555-8F6A-441B-96D3-3664E846F4DC}" name="Field" dataDxfId="4"/>
    <tableColumn id="3" xr3:uid="{EA622EC1-6CE6-4B7A-A642-3A3A6722FE24}" name="Justification" dataDxfId="3"/>
    <tableColumn id="4" xr3:uid="{43A233EE-44DD-4EAD-ADB9-9148156701E0}" name="Number of Occurences" dataDxfId="2"/>
    <tableColumn id="5" xr3:uid="{99B542CB-69AD-492B-B314-ED6341144473}"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2"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1</v>
      </c>
      <c r="E1" s="23"/>
      <c r="F1" s="23"/>
      <c r="G1" s="23"/>
      <c r="H1" s="23" t="s">
        <v>2</v>
      </c>
      <c r="I1" s="34"/>
      <c r="J1" s="23"/>
      <c r="K1" s="23"/>
      <c r="L1" s="23"/>
      <c r="M1" s="23"/>
      <c r="N1" s="23" t="s">
        <v>3</v>
      </c>
      <c r="O1" s="23"/>
      <c r="P1" s="23"/>
      <c r="Q1" s="23"/>
    </row>
    <row r="2" spans="2:17" x14ac:dyDescent="0.25">
      <c r="B2" s="23" t="s">
        <v>4</v>
      </c>
      <c r="C2" s="23" t="s">
        <v>5</v>
      </c>
      <c r="D2" s="23" t="s">
        <v>6</v>
      </c>
      <c r="E2" s="23">
        <v>1</v>
      </c>
      <c r="F2" s="23">
        <v>500</v>
      </c>
      <c r="G2" s="23">
        <v>500</v>
      </c>
      <c r="H2" s="23"/>
      <c r="I2" s="34"/>
      <c r="J2" s="23" t="s">
        <v>5</v>
      </c>
      <c r="K2" s="23">
        <v>1</v>
      </c>
      <c r="L2" s="23">
        <v>500</v>
      </c>
      <c r="M2" s="23">
        <v>500</v>
      </c>
      <c r="N2" s="23"/>
      <c r="O2" s="23"/>
      <c r="P2" s="23" t="s">
        <v>7</v>
      </c>
      <c r="Q2" s="23" t="s">
        <v>6</v>
      </c>
    </row>
    <row r="3" spans="2:17" x14ac:dyDescent="0.25">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x14ac:dyDescent="0.25">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x14ac:dyDescent="0.25">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x14ac:dyDescent="0.25">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x14ac:dyDescent="0.25">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x14ac:dyDescent="0.25">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x14ac:dyDescent="0.25">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x14ac:dyDescent="0.25">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x14ac:dyDescent="0.25">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x14ac:dyDescent="0.25">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x14ac:dyDescent="0.25">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x14ac:dyDescent="0.25">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x14ac:dyDescent="0.25">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x14ac:dyDescent="0.25">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x14ac:dyDescent="0.25">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x14ac:dyDescent="0.25">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x14ac:dyDescent="0.25">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x14ac:dyDescent="0.25">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x14ac:dyDescent="0.25">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x14ac:dyDescent="0.25">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x14ac:dyDescent="0.25">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x14ac:dyDescent="0.25">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x14ac:dyDescent="0.25">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x14ac:dyDescent="0.25">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x14ac:dyDescent="0.25">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x14ac:dyDescent="0.2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x14ac:dyDescent="0.25">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x14ac:dyDescent="0.25">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x14ac:dyDescent="0.25">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x14ac:dyDescent="0.25">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x14ac:dyDescent="0.25">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x14ac:dyDescent="0.25">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x14ac:dyDescent="0.25">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x14ac:dyDescent="0.25">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x14ac:dyDescent="0.25">
      <c r="B39" s="23"/>
      <c r="C39" s="23"/>
      <c r="D39" s="23"/>
      <c r="E39" s="23"/>
      <c r="F39" s="23"/>
      <c r="G39" s="23"/>
      <c r="H39" s="23"/>
      <c r="I39" s="34"/>
      <c r="J39" s="23"/>
      <c r="K39" s="23"/>
      <c r="L39" s="23"/>
      <c r="M39" s="23"/>
      <c r="N39" s="23"/>
      <c r="O39" s="23"/>
      <c r="P39" s="23"/>
      <c r="Q39" s="23"/>
    </row>
    <row r="43" spans="2:17" x14ac:dyDescent="0.25">
      <c r="B43" t="s">
        <v>127</v>
      </c>
      <c r="C43" t="s">
        <v>120</v>
      </c>
      <c r="E43">
        <v>1</v>
      </c>
      <c r="F43" t="s">
        <v>6</v>
      </c>
      <c r="G43">
        <v>500</v>
      </c>
      <c r="K43">
        <v>1</v>
      </c>
      <c r="L43" t="s">
        <v>6</v>
      </c>
      <c r="M43">
        <v>500</v>
      </c>
      <c r="P43" t="s">
        <v>7</v>
      </c>
      <c r="Q43" t="s">
        <v>6</v>
      </c>
    </row>
    <row r="44" spans="2:17" x14ac:dyDescent="0.25">
      <c r="B44" t="s">
        <v>128</v>
      </c>
      <c r="C44" t="s">
        <v>129</v>
      </c>
      <c r="E44">
        <v>25</v>
      </c>
      <c r="F44">
        <v>29</v>
      </c>
      <c r="G44">
        <v>5</v>
      </c>
      <c r="K44">
        <v>228</v>
      </c>
      <c r="L44">
        <v>232</v>
      </c>
      <c r="M44">
        <v>5</v>
      </c>
      <c r="N44" t="s">
        <v>130</v>
      </c>
      <c r="P44" t="s">
        <v>131</v>
      </c>
      <c r="Q44" t="s">
        <v>19</v>
      </c>
    </row>
    <row r="45" spans="2:17" x14ac:dyDescent="0.25">
      <c r="B45" t="s">
        <v>132</v>
      </c>
      <c r="C45" t="s">
        <v>133</v>
      </c>
      <c r="E45">
        <v>30</v>
      </c>
      <c r="F45">
        <v>34</v>
      </c>
      <c r="G45">
        <v>5</v>
      </c>
      <c r="K45">
        <v>228</v>
      </c>
      <c r="L45">
        <v>232</v>
      </c>
      <c r="M45">
        <v>5</v>
      </c>
      <c r="N45" t="s">
        <v>130</v>
      </c>
      <c r="P45" t="s">
        <v>131</v>
      </c>
      <c r="Q45" t="s">
        <v>12</v>
      </c>
    </row>
    <row r="48" spans="2:17" x14ac:dyDescent="0.25">
      <c r="B48" t="s">
        <v>134</v>
      </c>
      <c r="C48" t="s">
        <v>135</v>
      </c>
      <c r="D48" t="s">
        <v>6</v>
      </c>
      <c r="E48">
        <v>1</v>
      </c>
      <c r="F48">
        <v>300</v>
      </c>
      <c r="G48">
        <v>300</v>
      </c>
      <c r="K48">
        <v>1</v>
      </c>
      <c r="L48">
        <v>300</v>
      </c>
      <c r="M48">
        <v>300</v>
      </c>
      <c r="P48" t="s">
        <v>7</v>
      </c>
    </row>
    <row r="49" spans="2:17" x14ac:dyDescent="0.25">
      <c r="B49" t="s">
        <v>136</v>
      </c>
      <c r="C49" t="s">
        <v>135</v>
      </c>
      <c r="D49">
        <v>1</v>
      </c>
      <c r="E49">
        <v>1</v>
      </c>
      <c r="F49">
        <v>5</v>
      </c>
      <c r="G49">
        <v>5</v>
      </c>
      <c r="H49" t="s">
        <v>137</v>
      </c>
      <c r="K49">
        <v>160</v>
      </c>
      <c r="L49">
        <v>161</v>
      </c>
      <c r="M49">
        <v>2</v>
      </c>
      <c r="N49" t="s">
        <v>138</v>
      </c>
      <c r="P49" t="s">
        <v>139</v>
      </c>
      <c r="Q49" t="s">
        <v>12</v>
      </c>
    </row>
    <row r="50" spans="2:17" x14ac:dyDescent="0.25">
      <c r="B50" t="s">
        <v>140</v>
      </c>
      <c r="C50" t="s">
        <v>135</v>
      </c>
      <c r="D50">
        <v>12</v>
      </c>
      <c r="E50">
        <v>57</v>
      </c>
      <c r="F50">
        <v>61</v>
      </c>
      <c r="G50">
        <v>5</v>
      </c>
      <c r="H50" t="s">
        <v>141</v>
      </c>
      <c r="K50">
        <v>182</v>
      </c>
      <c r="L50">
        <v>185</v>
      </c>
      <c r="M50">
        <v>4</v>
      </c>
      <c r="N50" t="s">
        <v>142</v>
      </c>
      <c r="P50" t="s">
        <v>143</v>
      </c>
      <c r="Q50" t="s">
        <v>12</v>
      </c>
    </row>
    <row r="51" spans="2:17" x14ac:dyDescent="0.25">
      <c r="B51" t="s">
        <v>144</v>
      </c>
      <c r="C51" t="s">
        <v>135</v>
      </c>
      <c r="D51">
        <v>12</v>
      </c>
      <c r="E51">
        <v>62</v>
      </c>
      <c r="F51">
        <v>66</v>
      </c>
      <c r="G51">
        <v>5</v>
      </c>
      <c r="H51" t="s">
        <v>145</v>
      </c>
      <c r="K51">
        <v>182</v>
      </c>
      <c r="L51">
        <v>185</v>
      </c>
      <c r="M51">
        <v>4</v>
      </c>
      <c r="N51" t="s">
        <v>142</v>
      </c>
      <c r="P51" t="s">
        <v>143</v>
      </c>
      <c r="Q51" t="s">
        <v>19</v>
      </c>
    </row>
    <row r="55" spans="2:17" x14ac:dyDescent="0.25">
      <c r="B55" t="s">
        <v>146</v>
      </c>
      <c r="C55" t="s">
        <v>137</v>
      </c>
      <c r="D55">
        <v>1</v>
      </c>
      <c r="E55">
        <v>1</v>
      </c>
      <c r="F55">
        <v>5</v>
      </c>
      <c r="G55">
        <v>5</v>
      </c>
      <c r="K55">
        <v>264</v>
      </c>
      <c r="L55">
        <v>265</v>
      </c>
      <c r="M55">
        <v>2</v>
      </c>
      <c r="N55" t="s">
        <v>138</v>
      </c>
      <c r="P55" t="s">
        <v>139</v>
      </c>
    </row>
    <row r="56" spans="2:17" x14ac:dyDescent="0.25">
      <c r="B56" t="s">
        <v>147</v>
      </c>
      <c r="C56" t="s">
        <v>148</v>
      </c>
      <c r="D56">
        <v>2</v>
      </c>
      <c r="E56">
        <v>164</v>
      </c>
      <c r="F56">
        <v>168</v>
      </c>
      <c r="G56">
        <v>5</v>
      </c>
      <c r="K56">
        <v>276</v>
      </c>
      <c r="L56">
        <v>278</v>
      </c>
      <c r="M56">
        <v>3</v>
      </c>
      <c r="N56" t="s">
        <v>149</v>
      </c>
      <c r="P56" t="s">
        <v>150</v>
      </c>
    </row>
    <row r="57" spans="2:17" x14ac:dyDescent="0.25">
      <c r="B57" t="s">
        <v>151</v>
      </c>
      <c r="C57" t="s">
        <v>152</v>
      </c>
      <c r="D57">
        <v>18</v>
      </c>
      <c r="E57">
        <v>212</v>
      </c>
      <c r="F57">
        <v>216</v>
      </c>
      <c r="G57">
        <v>5</v>
      </c>
      <c r="K57">
        <v>279</v>
      </c>
      <c r="L57">
        <v>283</v>
      </c>
      <c r="M57">
        <v>5</v>
      </c>
      <c r="N57" t="s">
        <v>153</v>
      </c>
      <c r="P57" t="s">
        <v>154</v>
      </c>
    </row>
    <row r="58" spans="2:17" x14ac:dyDescent="0.25">
      <c r="B58" t="s">
        <v>155</v>
      </c>
      <c r="C58" t="s">
        <v>156</v>
      </c>
      <c r="D58">
        <v>18</v>
      </c>
      <c r="E58">
        <v>217</v>
      </c>
      <c r="F58">
        <v>221</v>
      </c>
      <c r="G58">
        <v>5</v>
      </c>
      <c r="K58">
        <v>284</v>
      </c>
      <c r="L58">
        <v>288</v>
      </c>
      <c r="M58">
        <v>5</v>
      </c>
      <c r="N58" t="s">
        <v>157</v>
      </c>
      <c r="P58" t="s">
        <v>154</v>
      </c>
    </row>
    <row r="59" spans="2:17" x14ac:dyDescent="0.25">
      <c r="B59" t="s">
        <v>158</v>
      </c>
      <c r="C59" t="s">
        <v>159</v>
      </c>
      <c r="D59">
        <v>18</v>
      </c>
      <c r="E59">
        <v>222</v>
      </c>
      <c r="F59">
        <v>226</v>
      </c>
      <c r="G59">
        <v>5</v>
      </c>
      <c r="K59">
        <v>289</v>
      </c>
      <c r="L59">
        <v>293</v>
      </c>
      <c r="M59">
        <v>5</v>
      </c>
      <c r="N59" t="s">
        <v>160</v>
      </c>
      <c r="P59" t="s">
        <v>154</v>
      </c>
    </row>
    <row r="62" spans="2:17" x14ac:dyDescent="0.25">
      <c r="B62" t="s">
        <v>161</v>
      </c>
      <c r="C62" t="s">
        <v>137</v>
      </c>
      <c r="D62">
        <v>1</v>
      </c>
      <c r="E62">
        <v>1</v>
      </c>
      <c r="F62">
        <v>5</v>
      </c>
      <c r="K62">
        <v>59</v>
      </c>
      <c r="L62">
        <v>60</v>
      </c>
      <c r="M62">
        <v>2</v>
      </c>
      <c r="N62" t="s">
        <v>138</v>
      </c>
      <c r="P62" t="s">
        <v>139</v>
      </c>
    </row>
    <row r="63" spans="2:17" x14ac:dyDescent="0.25">
      <c r="B63" t="s">
        <v>162</v>
      </c>
      <c r="C63" t="s">
        <v>163</v>
      </c>
      <c r="D63">
        <v>58</v>
      </c>
      <c r="E63">
        <v>34</v>
      </c>
      <c r="F63">
        <v>38</v>
      </c>
      <c r="K63">
        <v>91</v>
      </c>
      <c r="L63">
        <v>91</v>
      </c>
      <c r="M63">
        <v>1</v>
      </c>
      <c r="N63" t="s">
        <v>164</v>
      </c>
      <c r="P63" t="s">
        <v>165</v>
      </c>
    </row>
    <row r="65" spans="2:16" x14ac:dyDescent="0.25">
      <c r="B65" t="s">
        <v>166</v>
      </c>
      <c r="C65" t="s">
        <v>120</v>
      </c>
      <c r="D65" t="s">
        <v>6</v>
      </c>
      <c r="E65">
        <v>1</v>
      </c>
      <c r="F65">
        <v>250</v>
      </c>
      <c r="G65">
        <v>250</v>
      </c>
      <c r="K65">
        <v>1</v>
      </c>
      <c r="L65">
        <v>250</v>
      </c>
      <c r="M65">
        <v>250</v>
      </c>
      <c r="P65" t="s">
        <v>7</v>
      </c>
    </row>
    <row r="66" spans="2:16" x14ac:dyDescent="0.25">
      <c r="B66" t="s">
        <v>167</v>
      </c>
      <c r="C66" t="s">
        <v>137</v>
      </c>
      <c r="D66">
        <v>1</v>
      </c>
      <c r="E66">
        <v>1</v>
      </c>
      <c r="F66">
        <v>5</v>
      </c>
      <c r="G66">
        <v>5</v>
      </c>
      <c r="K66">
        <v>113</v>
      </c>
      <c r="L66">
        <v>114</v>
      </c>
      <c r="M66">
        <v>2</v>
      </c>
      <c r="N66" t="s">
        <v>138</v>
      </c>
      <c r="P66" t="s">
        <v>139</v>
      </c>
    </row>
    <row r="67" spans="2:16" x14ac:dyDescent="0.25">
      <c r="B67" t="s">
        <v>168</v>
      </c>
      <c r="C67" t="s">
        <v>152</v>
      </c>
      <c r="D67">
        <v>18</v>
      </c>
      <c r="E67">
        <v>88</v>
      </c>
      <c r="F67">
        <v>92</v>
      </c>
      <c r="G67">
        <v>5</v>
      </c>
      <c r="K67">
        <v>135</v>
      </c>
      <c r="L67">
        <v>139</v>
      </c>
      <c r="M67">
        <v>5</v>
      </c>
      <c r="N67" t="s">
        <v>153</v>
      </c>
      <c r="P67" t="s">
        <v>154</v>
      </c>
    </row>
    <row r="68" spans="2:16" x14ac:dyDescent="0.25">
      <c r="B68" t="s">
        <v>169</v>
      </c>
      <c r="C68" t="s">
        <v>156</v>
      </c>
      <c r="D68">
        <v>18</v>
      </c>
      <c r="E68">
        <v>93</v>
      </c>
      <c r="F68">
        <v>97</v>
      </c>
      <c r="G68">
        <v>5</v>
      </c>
      <c r="K68">
        <v>140</v>
      </c>
      <c r="L68">
        <v>144</v>
      </c>
      <c r="M68">
        <v>5</v>
      </c>
      <c r="N68" t="s">
        <v>157</v>
      </c>
      <c r="P68" t="s">
        <v>154</v>
      </c>
    </row>
    <row r="69" spans="2:16" x14ac:dyDescent="0.25">
      <c r="B69" t="s">
        <v>170</v>
      </c>
      <c r="C69" t="s">
        <v>159</v>
      </c>
      <c r="D69">
        <v>67</v>
      </c>
      <c r="E69">
        <v>98</v>
      </c>
      <c r="F69">
        <v>102</v>
      </c>
      <c r="G69">
        <v>5</v>
      </c>
      <c r="K69">
        <v>145</v>
      </c>
      <c r="L69">
        <v>149</v>
      </c>
      <c r="M69">
        <v>5</v>
      </c>
      <c r="N69" t="s">
        <v>160</v>
      </c>
      <c r="P69" t="s">
        <v>171</v>
      </c>
    </row>
    <row r="76" spans="2:16" x14ac:dyDescent="0.25">
      <c r="B76" t="s">
        <v>172</v>
      </c>
      <c r="C76" t="s">
        <v>173</v>
      </c>
    </row>
    <row r="77" spans="2:16" x14ac:dyDescent="0.25">
      <c r="B77" t="s">
        <v>174</v>
      </c>
      <c r="C77" t="s">
        <v>175</v>
      </c>
    </row>
    <row r="78" spans="2:16" x14ac:dyDescent="0.25">
      <c r="B78" t="s">
        <v>176</v>
      </c>
      <c r="C78" t="s">
        <v>177</v>
      </c>
    </row>
    <row r="82" spans="2:5" x14ac:dyDescent="0.25">
      <c r="B82" t="s">
        <v>178</v>
      </c>
      <c r="C82" t="s">
        <v>179</v>
      </c>
      <c r="D82" t="s">
        <v>180</v>
      </c>
      <c r="E82" t="s">
        <v>181</v>
      </c>
    </row>
    <row r="83" spans="2:5" x14ac:dyDescent="0.25">
      <c r="C83" t="s">
        <v>182</v>
      </c>
      <c r="D83" t="s">
        <v>183</v>
      </c>
    </row>
    <row r="85" spans="2:5" x14ac:dyDescent="0.25">
      <c r="B85" t="s">
        <v>184</v>
      </c>
      <c r="C85" t="s">
        <v>185</v>
      </c>
      <c r="D85" t="s">
        <v>186</v>
      </c>
    </row>
    <row r="86" spans="2:5" x14ac:dyDescent="0.25">
      <c r="C86" t="s">
        <v>187</v>
      </c>
      <c r="D86" t="s">
        <v>188</v>
      </c>
      <c r="E86" t="s">
        <v>189</v>
      </c>
    </row>
    <row r="88" spans="2:5" x14ac:dyDescent="0.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191</v>
      </c>
    </row>
    <row r="2" spans="1:5" x14ac:dyDescent="0.25">
      <c r="A2">
        <v>5</v>
      </c>
      <c r="B2" t="s">
        <v>6</v>
      </c>
      <c r="C2" s="37" t="s">
        <v>192</v>
      </c>
      <c r="D2" s="37" t="s">
        <v>193</v>
      </c>
    </row>
    <row r="3" spans="1:5" x14ac:dyDescent="0.25">
      <c r="A3">
        <v>9</v>
      </c>
      <c r="B3" t="s">
        <v>6</v>
      </c>
      <c r="C3" s="37" t="s">
        <v>194</v>
      </c>
      <c r="D3" s="37" t="s">
        <v>195</v>
      </c>
    </row>
    <row r="4" spans="1:5" x14ac:dyDescent="0.25">
      <c r="A4">
        <v>13</v>
      </c>
      <c r="B4" t="s">
        <v>6</v>
      </c>
      <c r="C4" s="37" t="s">
        <v>196</v>
      </c>
      <c r="D4" s="37" t="s">
        <v>197</v>
      </c>
    </row>
    <row r="5" spans="1:5" x14ac:dyDescent="0.25">
      <c r="A5">
        <v>17</v>
      </c>
      <c r="B5" t="s">
        <v>6</v>
      </c>
      <c r="C5" s="37" t="s">
        <v>198</v>
      </c>
      <c r="D5" s="37" t="s">
        <v>199</v>
      </c>
    </row>
    <row r="6" spans="1:5" x14ac:dyDescent="0.25">
      <c r="A6">
        <v>21</v>
      </c>
      <c r="B6" t="s">
        <v>6</v>
      </c>
      <c r="C6" s="37" t="s">
        <v>200</v>
      </c>
      <c r="D6" s="37" t="s">
        <v>201</v>
      </c>
    </row>
    <row r="7" spans="1:5" x14ac:dyDescent="0.25">
      <c r="A7">
        <v>25</v>
      </c>
      <c r="B7" t="s">
        <v>6</v>
      </c>
      <c r="C7" s="37" t="s">
        <v>202</v>
      </c>
      <c r="D7" s="37" t="s">
        <v>203</v>
      </c>
    </row>
    <row r="8" spans="1:5" x14ac:dyDescent="0.25">
      <c r="A8">
        <v>29</v>
      </c>
      <c r="B8" t="s">
        <v>6</v>
      </c>
      <c r="C8" s="37" t="s">
        <v>204</v>
      </c>
      <c r="D8" s="37" t="s">
        <v>205</v>
      </c>
    </row>
    <row r="9" spans="1:5" x14ac:dyDescent="0.25">
      <c r="A9">
        <v>33</v>
      </c>
      <c r="B9" t="s">
        <v>6</v>
      </c>
      <c r="C9" s="37" t="s">
        <v>206</v>
      </c>
      <c r="D9" s="37" t="s">
        <v>207</v>
      </c>
    </row>
    <row r="10" spans="1:5" x14ac:dyDescent="0.25">
      <c r="A10">
        <v>37</v>
      </c>
      <c r="B10" t="s">
        <v>6</v>
      </c>
      <c r="C10" s="37" t="s">
        <v>208</v>
      </c>
      <c r="D10" s="37" t="s">
        <v>209</v>
      </c>
    </row>
    <row r="11" spans="1:5" x14ac:dyDescent="0.25">
      <c r="A11">
        <v>41</v>
      </c>
      <c r="B11" t="s">
        <v>6</v>
      </c>
      <c r="C11" s="37" t="s">
        <v>210</v>
      </c>
      <c r="D11" s="37" t="s">
        <v>211</v>
      </c>
    </row>
    <row r="12" spans="1:5" x14ac:dyDescent="0.25">
      <c r="A12">
        <v>45</v>
      </c>
      <c r="B12" t="s">
        <v>6</v>
      </c>
      <c r="C12" s="37" t="s">
        <v>212</v>
      </c>
      <c r="D12" s="37" t="s">
        <v>213</v>
      </c>
    </row>
    <row r="13" spans="1:5" x14ac:dyDescent="0.25">
      <c r="A13">
        <v>49</v>
      </c>
      <c r="B13" t="s">
        <v>6</v>
      </c>
      <c r="C13" s="37" t="s">
        <v>214</v>
      </c>
      <c r="D13" s="37" t="s">
        <v>215</v>
      </c>
    </row>
    <row r="14" spans="1:5" x14ac:dyDescent="0.25">
      <c r="A14">
        <v>56</v>
      </c>
      <c r="B14" t="s">
        <v>6</v>
      </c>
      <c r="C14" s="37" t="s">
        <v>216</v>
      </c>
      <c r="D14" s="37" t="s">
        <v>217</v>
      </c>
    </row>
    <row r="15" spans="1:5" x14ac:dyDescent="0.25">
      <c r="A15">
        <v>60</v>
      </c>
      <c r="B15" t="s">
        <v>6</v>
      </c>
      <c r="C15" s="37" t="s">
        <v>218</v>
      </c>
      <c r="D15" s="37" t="s">
        <v>219</v>
      </c>
    </row>
    <row r="16" spans="1:5" x14ac:dyDescent="0.25">
      <c r="A16">
        <v>64</v>
      </c>
      <c r="B16" t="s">
        <v>6</v>
      </c>
      <c r="C16" s="37" t="s">
        <v>220</v>
      </c>
      <c r="D16" s="37" t="s">
        <v>221</v>
      </c>
    </row>
    <row r="17" spans="1:4" x14ac:dyDescent="0.25">
      <c r="A17">
        <v>68</v>
      </c>
      <c r="B17" t="s">
        <v>6</v>
      </c>
      <c r="C17" s="37" t="s">
        <v>222</v>
      </c>
      <c r="D17" s="37" t="s">
        <v>223</v>
      </c>
    </row>
    <row r="18" spans="1:4" x14ac:dyDescent="0.25">
      <c r="A18">
        <v>72</v>
      </c>
      <c r="B18" t="s">
        <v>6</v>
      </c>
      <c r="C18" s="37" t="s">
        <v>224</v>
      </c>
      <c r="D18" s="37" t="s">
        <v>225</v>
      </c>
    </row>
    <row r="19" spans="1:4" x14ac:dyDescent="0.25">
      <c r="A19">
        <v>73</v>
      </c>
      <c r="B19" t="s">
        <v>6</v>
      </c>
      <c r="C19" s="37" t="s">
        <v>6</v>
      </c>
      <c r="D19" s="37" t="s">
        <v>226</v>
      </c>
    </row>
    <row r="20" spans="1:4" x14ac:dyDescent="0.25">
      <c r="A20">
        <v>74</v>
      </c>
      <c r="B20" t="s">
        <v>6</v>
      </c>
      <c r="D20" s="37" t="s">
        <v>227</v>
      </c>
    </row>
    <row r="21" spans="1:4" x14ac:dyDescent="0.25">
      <c r="A21">
        <v>75</v>
      </c>
      <c r="B21" t="s">
        <v>6</v>
      </c>
      <c r="D21" s="37" t="s">
        <v>228</v>
      </c>
    </row>
    <row r="22" spans="1:4" x14ac:dyDescent="0.25">
      <c r="A22">
        <v>79</v>
      </c>
      <c r="B22" t="s">
        <v>6</v>
      </c>
      <c r="C22" s="37" t="s">
        <v>229</v>
      </c>
      <c r="D22" s="37" t="s">
        <v>230</v>
      </c>
    </row>
    <row r="23" spans="1:4" x14ac:dyDescent="0.25">
      <c r="A23">
        <v>83</v>
      </c>
      <c r="B23" t="s">
        <v>6</v>
      </c>
      <c r="C23" s="37" t="s">
        <v>231</v>
      </c>
      <c r="D23" s="37" t="s">
        <v>232</v>
      </c>
    </row>
    <row r="24" spans="1:4" x14ac:dyDescent="0.25">
      <c r="A24">
        <v>87</v>
      </c>
      <c r="B24" t="s">
        <v>6</v>
      </c>
      <c r="C24" s="37" t="s">
        <v>233</v>
      </c>
      <c r="D24" s="37" t="s">
        <v>234</v>
      </c>
    </row>
    <row r="25" spans="1:4" x14ac:dyDescent="0.25">
      <c r="A25">
        <v>91</v>
      </c>
      <c r="B25" t="s">
        <v>6</v>
      </c>
      <c r="C25" s="37" t="s">
        <v>235</v>
      </c>
      <c r="D25" s="37" t="s">
        <v>236</v>
      </c>
    </row>
    <row r="26" spans="1:4" x14ac:dyDescent="0.25">
      <c r="A26">
        <v>95</v>
      </c>
      <c r="B26" t="s">
        <v>6</v>
      </c>
      <c r="C26" s="37" t="s">
        <v>237</v>
      </c>
      <c r="D26" s="37" t="s">
        <v>238</v>
      </c>
    </row>
    <row r="27" spans="1:4" x14ac:dyDescent="0.25">
      <c r="A27">
        <v>96</v>
      </c>
      <c r="B27" t="s">
        <v>6</v>
      </c>
      <c r="C27" s="37" t="s">
        <v>6</v>
      </c>
      <c r="D27" s="37" t="s">
        <v>239</v>
      </c>
    </row>
    <row r="28" spans="1:4" x14ac:dyDescent="0.25">
      <c r="A28">
        <v>97</v>
      </c>
      <c r="B28" t="s">
        <v>6</v>
      </c>
      <c r="D28" s="37" t="s">
        <v>240</v>
      </c>
    </row>
    <row r="29" spans="1:4" x14ac:dyDescent="0.25">
      <c r="A29">
        <v>98</v>
      </c>
      <c r="B29" t="s">
        <v>6</v>
      </c>
      <c r="D29" s="37" t="s">
        <v>241</v>
      </c>
    </row>
    <row r="30" spans="1:4" x14ac:dyDescent="0.25">
      <c r="A30">
        <v>99</v>
      </c>
      <c r="B30" t="s">
        <v>6</v>
      </c>
      <c r="D30" s="37" t="s">
        <v>242</v>
      </c>
    </row>
    <row r="31" spans="1:4" x14ac:dyDescent="0.25">
      <c r="A31">
        <v>100</v>
      </c>
      <c r="B31" t="s">
        <v>6</v>
      </c>
      <c r="D31" s="37" t="s">
        <v>243</v>
      </c>
    </row>
    <row r="32" spans="1:4" x14ac:dyDescent="0.25">
      <c r="A32">
        <v>101</v>
      </c>
      <c r="B32" t="s">
        <v>6</v>
      </c>
      <c r="D32" s="37" t="s">
        <v>244</v>
      </c>
    </row>
    <row r="33" spans="1:4" x14ac:dyDescent="0.25">
      <c r="A33">
        <v>102</v>
      </c>
      <c r="B33" t="s">
        <v>6</v>
      </c>
      <c r="D33" s="37" t="s">
        <v>245</v>
      </c>
    </row>
    <row r="34" spans="1:4" x14ac:dyDescent="0.25">
      <c r="A34">
        <v>103</v>
      </c>
      <c r="B34" t="s">
        <v>6</v>
      </c>
      <c r="D34" s="37" t="s">
        <v>246</v>
      </c>
    </row>
    <row r="35" spans="1:4" x14ac:dyDescent="0.25">
      <c r="A35">
        <v>104</v>
      </c>
      <c r="B35" t="s">
        <v>6</v>
      </c>
      <c r="D35" s="37" t="s">
        <v>247</v>
      </c>
    </row>
    <row r="36" spans="1:4" x14ac:dyDescent="0.25">
      <c r="A36">
        <v>105</v>
      </c>
      <c r="B36" t="s">
        <v>6</v>
      </c>
      <c r="D36" s="37" t="s">
        <v>248</v>
      </c>
    </row>
    <row r="37" spans="1:4" x14ac:dyDescent="0.25">
      <c r="A37">
        <v>112</v>
      </c>
      <c r="B37" t="s">
        <v>6</v>
      </c>
      <c r="C37" s="37" t="s">
        <v>249</v>
      </c>
      <c r="D37" s="37" t="s">
        <v>250</v>
      </c>
    </row>
    <row r="38" spans="1:4" x14ac:dyDescent="0.25">
      <c r="A38">
        <v>116</v>
      </c>
      <c r="B38" t="s">
        <v>6</v>
      </c>
      <c r="C38" s="37" t="s">
        <v>251</v>
      </c>
      <c r="D38" s="37" t="s">
        <v>252</v>
      </c>
    </row>
    <row r="39" spans="1:4" x14ac:dyDescent="0.25">
      <c r="A39">
        <v>117</v>
      </c>
      <c r="B39" t="s">
        <v>6</v>
      </c>
      <c r="C39" s="37" t="s">
        <v>6</v>
      </c>
      <c r="D39" s="37" t="s">
        <v>253</v>
      </c>
    </row>
    <row r="40" spans="1:4" x14ac:dyDescent="0.25">
      <c r="A40">
        <v>118</v>
      </c>
      <c r="B40" t="s">
        <v>6</v>
      </c>
      <c r="D40" s="37" t="s">
        <v>254</v>
      </c>
    </row>
    <row r="41" spans="1:4" x14ac:dyDescent="0.25">
      <c r="A41">
        <v>119</v>
      </c>
      <c r="B41" t="s">
        <v>6</v>
      </c>
      <c r="D41" s="37" t="s">
        <v>255</v>
      </c>
    </row>
    <row r="42" spans="1:4" x14ac:dyDescent="0.25">
      <c r="A42">
        <v>120</v>
      </c>
      <c r="B42" t="s">
        <v>6</v>
      </c>
      <c r="D42" s="37" t="s">
        <v>256</v>
      </c>
    </row>
    <row r="43" spans="1:4" x14ac:dyDescent="0.25">
      <c r="A43">
        <v>121</v>
      </c>
      <c r="B43" t="s">
        <v>6</v>
      </c>
      <c r="D43" s="37" t="s">
        <v>257</v>
      </c>
    </row>
    <row r="44" spans="1:4" x14ac:dyDescent="0.25">
      <c r="A44">
        <v>122</v>
      </c>
      <c r="B44" t="s">
        <v>6</v>
      </c>
      <c r="D44" s="37" t="s">
        <v>258</v>
      </c>
    </row>
    <row r="45" spans="1:4" x14ac:dyDescent="0.25">
      <c r="A45">
        <v>123</v>
      </c>
      <c r="B45" t="s">
        <v>6</v>
      </c>
      <c r="D45" s="37" t="s">
        <v>259</v>
      </c>
    </row>
    <row r="46" spans="1:4" x14ac:dyDescent="0.25">
      <c r="A46">
        <v>124</v>
      </c>
      <c r="B46" t="s">
        <v>6</v>
      </c>
      <c r="D46" s="37" t="s">
        <v>260</v>
      </c>
    </row>
    <row r="47" spans="1:4" x14ac:dyDescent="0.25">
      <c r="A47">
        <v>125</v>
      </c>
      <c r="B47" t="s">
        <v>6</v>
      </c>
      <c r="D47" s="37" t="s">
        <v>261</v>
      </c>
    </row>
    <row r="48" spans="1:4" x14ac:dyDescent="0.25">
      <c r="A48">
        <v>129</v>
      </c>
      <c r="B48" t="s">
        <v>6</v>
      </c>
      <c r="C48" s="37" t="s">
        <v>262</v>
      </c>
      <c r="D48" s="37" t="s">
        <v>263</v>
      </c>
    </row>
    <row r="49" spans="1:4" x14ac:dyDescent="0.25">
      <c r="A49">
        <v>130</v>
      </c>
      <c r="B49" t="s">
        <v>6</v>
      </c>
      <c r="C49" s="37" t="s">
        <v>6</v>
      </c>
      <c r="D49" s="37" t="s">
        <v>264</v>
      </c>
    </row>
    <row r="50" spans="1:4" x14ac:dyDescent="0.25">
      <c r="A50">
        <v>134</v>
      </c>
      <c r="B50" t="s">
        <v>6</v>
      </c>
      <c r="C50" s="37" t="s">
        <v>265</v>
      </c>
      <c r="D50" s="37" t="s">
        <v>266</v>
      </c>
    </row>
    <row r="51" spans="1:4" x14ac:dyDescent="0.25">
      <c r="A51">
        <v>138</v>
      </c>
      <c r="B51" t="s">
        <v>6</v>
      </c>
      <c r="C51" s="37" t="s">
        <v>267</v>
      </c>
      <c r="D51" s="37" t="s">
        <v>268</v>
      </c>
    </row>
    <row r="52" spans="1:4" x14ac:dyDescent="0.25">
      <c r="A52">
        <v>142</v>
      </c>
      <c r="B52" t="s">
        <v>6</v>
      </c>
      <c r="C52" s="37" t="s">
        <v>269</v>
      </c>
      <c r="D52" s="37" t="s">
        <v>270</v>
      </c>
    </row>
    <row r="53" spans="1:4" x14ac:dyDescent="0.25">
      <c r="A53">
        <v>146</v>
      </c>
      <c r="B53" t="s">
        <v>6</v>
      </c>
      <c r="C53" s="37" t="s">
        <v>271</v>
      </c>
      <c r="D53" s="37" t="s">
        <v>272</v>
      </c>
    </row>
    <row r="54" spans="1:4" x14ac:dyDescent="0.25">
      <c r="A54">
        <v>150</v>
      </c>
      <c r="B54" t="s">
        <v>6</v>
      </c>
      <c r="C54" s="37" t="s">
        <v>273</v>
      </c>
      <c r="D54" s="37" t="s">
        <v>274</v>
      </c>
    </row>
    <row r="55" spans="1:4" x14ac:dyDescent="0.25">
      <c r="A55">
        <v>154</v>
      </c>
      <c r="B55" t="s">
        <v>6</v>
      </c>
      <c r="C55" s="37" t="s">
        <v>275</v>
      </c>
      <c r="D55" s="37" t="s">
        <v>276</v>
      </c>
    </row>
    <row r="56" spans="1:4" x14ac:dyDescent="0.25">
      <c r="A56">
        <v>158</v>
      </c>
      <c r="B56" t="s">
        <v>6</v>
      </c>
      <c r="C56" s="37" t="s">
        <v>277</v>
      </c>
      <c r="D56" s="37" t="s">
        <v>278</v>
      </c>
    </row>
    <row r="57" spans="1:4" x14ac:dyDescent="0.25">
      <c r="A57">
        <v>159</v>
      </c>
      <c r="B57" t="s">
        <v>6</v>
      </c>
      <c r="C57" s="37" t="s">
        <v>6</v>
      </c>
      <c r="D57" s="37" t="s">
        <v>279</v>
      </c>
    </row>
    <row r="58" spans="1:4" x14ac:dyDescent="0.25">
      <c r="A58">
        <v>166</v>
      </c>
      <c r="B58" t="s">
        <v>6</v>
      </c>
      <c r="C58" s="37" t="s">
        <v>280</v>
      </c>
      <c r="D58" s="37" t="s">
        <v>281</v>
      </c>
    </row>
    <row r="59" spans="1:4" x14ac:dyDescent="0.25">
      <c r="A59">
        <v>167</v>
      </c>
      <c r="B59" t="s">
        <v>6</v>
      </c>
      <c r="C59" s="37" t="s">
        <v>6</v>
      </c>
      <c r="D59" s="37" t="s">
        <v>282</v>
      </c>
    </row>
    <row r="60" spans="1:4" x14ac:dyDescent="0.25">
      <c r="A60">
        <v>171</v>
      </c>
      <c r="B60" t="s">
        <v>6</v>
      </c>
      <c r="C60" s="37" t="s">
        <v>283</v>
      </c>
      <c r="D60" s="37" t="s">
        <v>284</v>
      </c>
    </row>
    <row r="61" spans="1:4" x14ac:dyDescent="0.25">
      <c r="A61">
        <v>172</v>
      </c>
      <c r="B61" t="s">
        <v>6</v>
      </c>
      <c r="C61" s="37" t="s">
        <v>6</v>
      </c>
      <c r="D61" s="37" t="s">
        <v>285</v>
      </c>
    </row>
    <row r="62" spans="1:4" x14ac:dyDescent="0.25">
      <c r="A62">
        <v>173</v>
      </c>
      <c r="B62" t="s">
        <v>6</v>
      </c>
      <c r="D62" s="37" t="s">
        <v>286</v>
      </c>
    </row>
    <row r="63" spans="1:4" x14ac:dyDescent="0.25">
      <c r="A63">
        <v>177</v>
      </c>
      <c r="B63" t="s">
        <v>6</v>
      </c>
      <c r="C63" s="37" t="s">
        <v>287</v>
      </c>
      <c r="D63" s="37" t="s">
        <v>288</v>
      </c>
    </row>
    <row r="64" spans="1:4" x14ac:dyDescent="0.25">
      <c r="A64">
        <v>178</v>
      </c>
      <c r="B64" t="s">
        <v>6</v>
      </c>
      <c r="C64" s="37" t="s">
        <v>6</v>
      </c>
      <c r="D64" s="37" t="s">
        <v>289</v>
      </c>
    </row>
    <row r="65" spans="1:4" x14ac:dyDescent="0.25">
      <c r="A65">
        <v>182</v>
      </c>
      <c r="B65" t="s">
        <v>6</v>
      </c>
      <c r="C65" s="37" t="s">
        <v>290</v>
      </c>
      <c r="D65" s="37" t="s">
        <v>291</v>
      </c>
    </row>
    <row r="66" spans="1:4" x14ac:dyDescent="0.25">
      <c r="A66">
        <v>183</v>
      </c>
      <c r="B66" t="s">
        <v>6</v>
      </c>
      <c r="C66" s="37" t="s">
        <v>6</v>
      </c>
      <c r="D66" s="37" t="s">
        <v>292</v>
      </c>
    </row>
    <row r="67" spans="1:4" x14ac:dyDescent="0.25">
      <c r="A67">
        <v>184</v>
      </c>
      <c r="B67" t="s">
        <v>6</v>
      </c>
      <c r="D67" s="37" t="s">
        <v>293</v>
      </c>
    </row>
    <row r="68" spans="1:4" x14ac:dyDescent="0.25">
      <c r="A68">
        <v>185</v>
      </c>
      <c r="B68" t="s">
        <v>6</v>
      </c>
      <c r="D68" s="37" t="s">
        <v>294</v>
      </c>
    </row>
    <row r="69" spans="1:4" x14ac:dyDescent="0.25">
      <c r="A69">
        <v>186</v>
      </c>
      <c r="B69" t="s">
        <v>6</v>
      </c>
      <c r="D69" s="37" t="s">
        <v>295</v>
      </c>
    </row>
    <row r="70" spans="1:4" x14ac:dyDescent="0.25">
      <c r="A70">
        <v>190</v>
      </c>
      <c r="B70" t="s">
        <v>6</v>
      </c>
      <c r="C70" s="37" t="s">
        <v>296</v>
      </c>
      <c r="D70" s="37" t="s">
        <v>297</v>
      </c>
    </row>
    <row r="71" spans="1:4" x14ac:dyDescent="0.25">
      <c r="A71">
        <v>191</v>
      </c>
      <c r="B71" t="s">
        <v>6</v>
      </c>
      <c r="C71" s="37" t="s">
        <v>6</v>
      </c>
      <c r="D71" s="37" t="s">
        <v>298</v>
      </c>
    </row>
    <row r="72" spans="1:4" x14ac:dyDescent="0.25">
      <c r="A72">
        <v>192</v>
      </c>
      <c r="B72" t="s">
        <v>6</v>
      </c>
      <c r="D72" s="37" t="s">
        <v>299</v>
      </c>
    </row>
    <row r="73" spans="1:4" x14ac:dyDescent="0.25">
      <c r="A73">
        <v>196</v>
      </c>
      <c r="B73" t="s">
        <v>6</v>
      </c>
      <c r="C73" s="37" t="s">
        <v>300</v>
      </c>
      <c r="D73" s="37" t="s">
        <v>301</v>
      </c>
    </row>
    <row r="74" spans="1:4" x14ac:dyDescent="0.25">
      <c r="A74">
        <v>197</v>
      </c>
      <c r="B74" t="s">
        <v>6</v>
      </c>
      <c r="C74" s="37" t="s">
        <v>6</v>
      </c>
      <c r="D74" s="37" t="s">
        <v>302</v>
      </c>
    </row>
    <row r="75" spans="1:4" x14ac:dyDescent="0.25">
      <c r="A75">
        <v>198</v>
      </c>
      <c r="B75" t="s">
        <v>6</v>
      </c>
      <c r="D75" s="37" t="s">
        <v>303</v>
      </c>
    </row>
    <row r="76" spans="1:4" x14ac:dyDescent="0.25">
      <c r="A76">
        <v>202</v>
      </c>
      <c r="B76" t="s">
        <v>6</v>
      </c>
      <c r="C76" s="37" t="s">
        <v>304</v>
      </c>
      <c r="D76" s="37" t="s">
        <v>305</v>
      </c>
    </row>
    <row r="77" spans="1:4" x14ac:dyDescent="0.25">
      <c r="A77">
        <v>203</v>
      </c>
      <c r="B77" t="s">
        <v>6</v>
      </c>
      <c r="C77" s="37" t="s">
        <v>6</v>
      </c>
      <c r="D77" s="37" t="s">
        <v>306</v>
      </c>
    </row>
    <row r="78" spans="1:4" x14ac:dyDescent="0.25">
      <c r="A78">
        <v>207</v>
      </c>
      <c r="B78" t="s">
        <v>6</v>
      </c>
      <c r="C78" s="37" t="s">
        <v>307</v>
      </c>
      <c r="D78" s="37" t="s">
        <v>308</v>
      </c>
    </row>
    <row r="79" spans="1:4" x14ac:dyDescent="0.25">
      <c r="A79">
        <v>208</v>
      </c>
      <c r="B79" t="s">
        <v>6</v>
      </c>
      <c r="C79" s="37" t="s">
        <v>6</v>
      </c>
      <c r="D79" s="37" t="s">
        <v>309</v>
      </c>
    </row>
    <row r="80" spans="1:4" x14ac:dyDescent="0.25">
      <c r="A80">
        <v>209</v>
      </c>
      <c r="B80" t="s">
        <v>6</v>
      </c>
      <c r="D80" s="37" t="s">
        <v>310</v>
      </c>
    </row>
    <row r="81" spans="1:4" x14ac:dyDescent="0.25">
      <c r="A81">
        <v>210</v>
      </c>
      <c r="B81" t="s">
        <v>6</v>
      </c>
      <c r="D81" s="37" t="s">
        <v>311</v>
      </c>
    </row>
    <row r="82" spans="1:4" x14ac:dyDescent="0.25">
      <c r="A82">
        <v>211</v>
      </c>
      <c r="B82" t="s">
        <v>6</v>
      </c>
      <c r="D82" s="37" t="s">
        <v>312</v>
      </c>
    </row>
    <row r="83" spans="1:4" x14ac:dyDescent="0.25">
      <c r="A83">
        <v>212</v>
      </c>
      <c r="B83" t="s">
        <v>6</v>
      </c>
      <c r="D83" s="37" t="s">
        <v>313</v>
      </c>
    </row>
    <row r="84" spans="1:4" x14ac:dyDescent="0.25">
      <c r="A84">
        <v>213</v>
      </c>
      <c r="B84" t="s">
        <v>6</v>
      </c>
      <c r="D84" s="37" t="s">
        <v>314</v>
      </c>
    </row>
    <row r="85" spans="1:4" x14ac:dyDescent="0.25">
      <c r="A85">
        <v>214</v>
      </c>
      <c r="B85" t="s">
        <v>6</v>
      </c>
      <c r="D85" s="37" t="s">
        <v>315</v>
      </c>
    </row>
    <row r="86" spans="1:4" x14ac:dyDescent="0.25">
      <c r="A86">
        <v>215</v>
      </c>
      <c r="B86" t="s">
        <v>6</v>
      </c>
    </row>
    <row r="87" spans="1:4" x14ac:dyDescent="0.25">
      <c r="A87">
        <v>216</v>
      </c>
      <c r="B87" t="s">
        <v>6</v>
      </c>
    </row>
    <row r="88" spans="1:4" x14ac:dyDescent="0.25">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316</v>
      </c>
      <c r="B2" s="24" t="s">
        <v>120</v>
      </c>
      <c r="C2" s="24" t="s">
        <v>6</v>
      </c>
      <c r="D2" s="24">
        <v>1</v>
      </c>
      <c r="E2" s="24" t="s">
        <v>6</v>
      </c>
      <c r="F2" s="24">
        <v>732</v>
      </c>
      <c r="I2">
        <v>1</v>
      </c>
      <c r="J2" t="s">
        <v>6</v>
      </c>
      <c r="K2">
        <v>732</v>
      </c>
      <c r="L2" t="s">
        <v>7</v>
      </c>
      <c r="M2" t="s">
        <v>6</v>
      </c>
    </row>
    <row r="3" spans="1:13" x14ac:dyDescent="0.25">
      <c r="A3" s="24" t="s">
        <v>317</v>
      </c>
      <c r="B3" s="24" t="s">
        <v>318</v>
      </c>
      <c r="C3" s="24">
        <v>1</v>
      </c>
      <c r="D3" s="24">
        <v>11</v>
      </c>
      <c r="E3" s="24">
        <v>15</v>
      </c>
      <c r="F3" s="24">
        <v>5</v>
      </c>
      <c r="I3">
        <v>542</v>
      </c>
      <c r="J3">
        <v>543</v>
      </c>
      <c r="K3">
        <v>2</v>
      </c>
      <c r="L3" t="s">
        <v>139</v>
      </c>
      <c r="M3" t="s">
        <v>12</v>
      </c>
    </row>
    <row r="4" spans="1:13" x14ac:dyDescent="0.25">
      <c r="A4" s="24" t="s">
        <v>319</v>
      </c>
      <c r="B4" s="24" t="s">
        <v>320</v>
      </c>
      <c r="C4" s="24">
        <v>3</v>
      </c>
      <c r="D4" s="24">
        <v>314</v>
      </c>
      <c r="E4" s="24">
        <v>318</v>
      </c>
      <c r="F4" s="24">
        <v>5</v>
      </c>
      <c r="H4" t="s">
        <v>67</v>
      </c>
      <c r="I4">
        <v>724</v>
      </c>
      <c r="J4">
        <v>726</v>
      </c>
      <c r="K4">
        <v>3</v>
      </c>
      <c r="L4" t="s">
        <v>68</v>
      </c>
      <c r="M4" t="s">
        <v>12</v>
      </c>
    </row>
    <row r="5" spans="1:13" x14ac:dyDescent="0.25">
      <c r="A5" s="24" t="s">
        <v>321</v>
      </c>
      <c r="B5" s="24" t="s">
        <v>322</v>
      </c>
      <c r="C5" s="24">
        <v>112</v>
      </c>
      <c r="D5" s="24">
        <v>358</v>
      </c>
      <c r="E5" s="24">
        <v>362</v>
      </c>
      <c r="F5" s="24">
        <v>5</v>
      </c>
      <c r="H5" t="s">
        <v>323</v>
      </c>
      <c r="I5">
        <v>727</v>
      </c>
      <c r="J5">
        <v>727</v>
      </c>
      <c r="K5">
        <v>1</v>
      </c>
      <c r="L5" t="s">
        <v>324</v>
      </c>
      <c r="M5" t="s">
        <v>12</v>
      </c>
    </row>
    <row r="6" spans="1:13" x14ac:dyDescent="0.25">
      <c r="A6" s="24" t="s">
        <v>325</v>
      </c>
      <c r="B6" s="24" t="s">
        <v>326</v>
      </c>
      <c r="C6" s="24">
        <v>113</v>
      </c>
      <c r="D6" s="24">
        <v>492</v>
      </c>
      <c r="E6" s="24">
        <v>496</v>
      </c>
      <c r="F6" s="24">
        <v>5</v>
      </c>
      <c r="H6" t="s">
        <v>327</v>
      </c>
      <c r="I6">
        <v>728</v>
      </c>
      <c r="J6">
        <v>729</v>
      </c>
      <c r="K6">
        <v>2</v>
      </c>
      <c r="L6" t="s">
        <v>328</v>
      </c>
      <c r="M6" t="s">
        <v>12</v>
      </c>
    </row>
    <row r="7" spans="1:13" x14ac:dyDescent="0.25">
      <c r="A7" s="24" t="s">
        <v>329</v>
      </c>
      <c r="B7" s="24" t="s">
        <v>330</v>
      </c>
      <c r="C7" s="24">
        <v>6</v>
      </c>
      <c r="D7" s="24">
        <v>598</v>
      </c>
      <c r="E7" s="24">
        <v>602</v>
      </c>
      <c r="F7" s="24">
        <v>3</v>
      </c>
      <c r="H7" t="s">
        <v>331</v>
      </c>
      <c r="I7">
        <v>730</v>
      </c>
      <c r="J7">
        <v>732</v>
      </c>
      <c r="K7">
        <v>3</v>
      </c>
      <c r="L7" t="s">
        <v>332</v>
      </c>
      <c r="M7" t="s">
        <v>12</v>
      </c>
    </row>
    <row r="9" spans="1:13" x14ac:dyDescent="0.25">
      <c r="D9" t="s">
        <v>333</v>
      </c>
    </row>
    <row r="10" spans="1:13" x14ac:dyDescent="0.25">
      <c r="A10" s="31" t="s">
        <v>334</v>
      </c>
      <c r="B10" s="43" t="s">
        <v>335</v>
      </c>
      <c r="C10" t="s">
        <v>335</v>
      </c>
      <c r="D10" t="s">
        <v>336</v>
      </c>
      <c r="E10" t="s">
        <v>337</v>
      </c>
    </row>
    <row r="11" spans="1:13" x14ac:dyDescent="0.25">
      <c r="A11" s="31" t="s">
        <v>338</v>
      </c>
      <c r="B11" t="s">
        <v>339</v>
      </c>
      <c r="C11" t="s">
        <v>340</v>
      </c>
      <c r="D11" t="s">
        <v>318</v>
      </c>
      <c r="E11" t="s">
        <v>341</v>
      </c>
    </row>
    <row r="12" spans="1:13" x14ac:dyDescent="0.25">
      <c r="A12" s="31" t="s">
        <v>342</v>
      </c>
      <c r="B12" t="s">
        <v>343</v>
      </c>
      <c r="C12" t="s">
        <v>344</v>
      </c>
      <c r="D12" t="s">
        <v>345</v>
      </c>
      <c r="E12" s="50" t="s">
        <v>346</v>
      </c>
    </row>
    <row r="13" spans="1:13" x14ac:dyDescent="0.25">
      <c r="A13" s="31" t="s">
        <v>347</v>
      </c>
      <c r="B13" t="s">
        <v>348</v>
      </c>
      <c r="C13" t="s">
        <v>327</v>
      </c>
      <c r="D13" t="s">
        <v>349</v>
      </c>
      <c r="E13" s="49" t="s">
        <v>350</v>
      </c>
    </row>
    <row r="14" spans="1:13" x14ac:dyDescent="0.25">
      <c r="A14" s="29" t="s">
        <v>351</v>
      </c>
      <c r="B14" t="s">
        <v>323</v>
      </c>
      <c r="C14" t="s">
        <v>323</v>
      </c>
      <c r="D14" t="s">
        <v>352</v>
      </c>
      <c r="E14" s="35" t="s">
        <v>353</v>
      </c>
    </row>
    <row r="15" spans="1:13" x14ac:dyDescent="0.25">
      <c r="A15" s="29" t="s">
        <v>354</v>
      </c>
      <c r="B15" t="s">
        <v>355</v>
      </c>
      <c r="C15" t="s">
        <v>356</v>
      </c>
      <c r="D15" t="s">
        <v>357</v>
      </c>
      <c r="E15" s="35" t="s">
        <v>358</v>
      </c>
    </row>
    <row r="16" spans="1:13" x14ac:dyDescent="0.25">
      <c r="A16" s="32" t="s">
        <v>359</v>
      </c>
      <c r="B16" t="s">
        <v>360</v>
      </c>
      <c r="C16" t="s">
        <v>361</v>
      </c>
      <c r="D16" t="s">
        <v>362</v>
      </c>
      <c r="E16" s="45" t="s">
        <v>363</v>
      </c>
      <c r="F16" s="45" t="s">
        <v>364</v>
      </c>
      <c r="G16" s="45"/>
    </row>
    <row r="17" spans="1:8" x14ac:dyDescent="0.25">
      <c r="A17" s="29" t="s">
        <v>365</v>
      </c>
      <c r="B17" t="s">
        <v>366</v>
      </c>
      <c r="C17" t="s">
        <v>366</v>
      </c>
      <c r="D17" t="s">
        <v>320</v>
      </c>
      <c r="E17" s="35" t="s">
        <v>367</v>
      </c>
    </row>
    <row r="18" spans="1:8" x14ac:dyDescent="0.25">
      <c r="A18" s="29" t="s">
        <v>368</v>
      </c>
      <c r="B18" t="s">
        <v>369</v>
      </c>
      <c r="C18" t="s">
        <v>370</v>
      </c>
      <c r="D18" t="s">
        <v>371</v>
      </c>
      <c r="E18" s="35" t="s">
        <v>372</v>
      </c>
    </row>
    <row r="19" spans="1:8" x14ac:dyDescent="0.25">
      <c r="A19" s="29" t="s">
        <v>373</v>
      </c>
      <c r="B19" t="s">
        <v>374</v>
      </c>
      <c r="C19" t="s">
        <v>375</v>
      </c>
      <c r="D19" t="s">
        <v>376</v>
      </c>
      <c r="E19" s="47" t="s">
        <v>377</v>
      </c>
    </row>
    <row r="20" spans="1:8" x14ac:dyDescent="0.25">
      <c r="A20" s="29" t="s">
        <v>378</v>
      </c>
      <c r="B20" t="s">
        <v>379</v>
      </c>
      <c r="C20" t="s">
        <v>380</v>
      </c>
      <c r="D20" t="s">
        <v>381</v>
      </c>
      <c r="E20" s="47" t="s">
        <v>382</v>
      </c>
      <c r="H20" t="s">
        <v>383</v>
      </c>
    </row>
    <row r="21" spans="1:8" x14ac:dyDescent="0.25">
      <c r="A21" s="29" t="s">
        <v>384</v>
      </c>
      <c r="B21" t="s">
        <v>385</v>
      </c>
      <c r="C21" t="s">
        <v>386</v>
      </c>
      <c r="D21" t="s">
        <v>387</v>
      </c>
      <c r="E21" s="47" t="s">
        <v>388</v>
      </c>
      <c r="G21">
        <v>6</v>
      </c>
    </row>
    <row r="22" spans="1:8" x14ac:dyDescent="0.25">
      <c r="A22" s="29" t="s">
        <v>389</v>
      </c>
      <c r="B22" t="s">
        <v>390</v>
      </c>
      <c r="C22" t="s">
        <v>391</v>
      </c>
      <c r="D22" t="s">
        <v>392</v>
      </c>
      <c r="E22" s="47" t="s">
        <v>393</v>
      </c>
      <c r="G22">
        <v>10</v>
      </c>
    </row>
    <row r="23" spans="1:8" x14ac:dyDescent="0.25">
      <c r="A23" s="32" t="s">
        <v>394</v>
      </c>
      <c r="B23" t="s">
        <v>395</v>
      </c>
      <c r="C23" t="s">
        <v>396</v>
      </c>
      <c r="D23" t="s">
        <v>397</v>
      </c>
      <c r="G23">
        <v>3</v>
      </c>
    </row>
    <row r="24" spans="1:8" x14ac:dyDescent="0.25">
      <c r="A24" s="29" t="s">
        <v>398</v>
      </c>
      <c r="B24" t="s">
        <v>399</v>
      </c>
      <c r="C24" s="49" t="s">
        <v>400</v>
      </c>
      <c r="D24" t="s">
        <v>322</v>
      </c>
      <c r="E24" s="35" t="s">
        <v>401</v>
      </c>
      <c r="G24">
        <v>2</v>
      </c>
    </row>
    <row r="25" spans="1:8" x14ac:dyDescent="0.25">
      <c r="A25" s="29" t="s">
        <v>402</v>
      </c>
      <c r="B25" t="s">
        <v>403</v>
      </c>
      <c r="C25" t="s">
        <v>404</v>
      </c>
      <c r="D25" t="s">
        <v>405</v>
      </c>
      <c r="E25" s="35" t="s">
        <v>406</v>
      </c>
      <c r="G25">
        <v>1</v>
      </c>
    </row>
    <row r="26" spans="1:8" x14ac:dyDescent="0.25">
      <c r="A26" s="29" t="s">
        <v>407</v>
      </c>
      <c r="B26" s="48" t="s">
        <v>408</v>
      </c>
      <c r="C26" s="45" t="s">
        <v>409</v>
      </c>
      <c r="D26" t="s">
        <v>410</v>
      </c>
      <c r="E26" s="47" t="s">
        <v>411</v>
      </c>
      <c r="G26">
        <v>2</v>
      </c>
    </row>
    <row r="27" spans="1:8" x14ac:dyDescent="0.25">
      <c r="A27" s="29" t="s">
        <v>412</v>
      </c>
      <c r="B27" t="s">
        <v>413</v>
      </c>
      <c r="C27" s="45" t="s">
        <v>414</v>
      </c>
      <c r="D27" t="s">
        <v>415</v>
      </c>
      <c r="E27" s="47" t="s">
        <v>416</v>
      </c>
      <c r="G27">
        <v>10</v>
      </c>
    </row>
    <row r="28" spans="1:8" x14ac:dyDescent="0.25">
      <c r="A28" s="31" t="s">
        <v>417</v>
      </c>
      <c r="B28" t="s">
        <v>418</v>
      </c>
      <c r="C28" s="45" t="s">
        <v>419</v>
      </c>
      <c r="D28" t="s">
        <v>420</v>
      </c>
      <c r="E28" t="s">
        <v>421</v>
      </c>
      <c r="G28">
        <v>4</v>
      </c>
    </row>
    <row r="29" spans="1:8" x14ac:dyDescent="0.25">
      <c r="A29" s="29" t="s">
        <v>422</v>
      </c>
      <c r="B29" t="s">
        <v>423</v>
      </c>
      <c r="C29" t="s">
        <v>424</v>
      </c>
      <c r="D29" t="s">
        <v>425</v>
      </c>
      <c r="E29" s="35" t="s">
        <v>426</v>
      </c>
      <c r="G29">
        <v>11</v>
      </c>
    </row>
    <row r="30" spans="1:8" x14ac:dyDescent="0.25">
      <c r="A30" s="29" t="s">
        <v>427</v>
      </c>
      <c r="B30" t="s">
        <v>428</v>
      </c>
      <c r="C30" s="45" t="s">
        <v>429</v>
      </c>
      <c r="D30" t="s">
        <v>430</v>
      </c>
      <c r="E30" s="47" t="s">
        <v>431</v>
      </c>
      <c r="G30">
        <v>10</v>
      </c>
    </row>
    <row r="31" spans="1:8" x14ac:dyDescent="0.25">
      <c r="A31" s="32" t="s">
        <v>432</v>
      </c>
      <c r="B31" t="s">
        <v>433</v>
      </c>
      <c r="C31" t="s">
        <v>434</v>
      </c>
      <c r="D31" t="s">
        <v>435</v>
      </c>
      <c r="E31" s="45" t="s">
        <v>436</v>
      </c>
      <c r="G31">
        <v>5</v>
      </c>
    </row>
    <row r="32" spans="1:8" x14ac:dyDescent="0.25">
      <c r="A32" s="32" t="s">
        <v>437</v>
      </c>
      <c r="B32" s="44" t="s">
        <v>438</v>
      </c>
      <c r="C32" t="s">
        <v>439</v>
      </c>
      <c r="D32" t="s">
        <v>440</v>
      </c>
      <c r="E32" s="45" t="s">
        <v>441</v>
      </c>
      <c r="G32">
        <v>4</v>
      </c>
    </row>
    <row r="33" spans="1:7" x14ac:dyDescent="0.25">
      <c r="A33" s="29" t="s">
        <v>442</v>
      </c>
      <c r="B33" t="s">
        <v>443</v>
      </c>
      <c r="C33" t="s">
        <v>444</v>
      </c>
      <c r="D33" t="s">
        <v>326</v>
      </c>
      <c r="E33" s="35" t="s">
        <v>445</v>
      </c>
      <c r="G33">
        <v>9</v>
      </c>
    </row>
    <row r="34" spans="1:7" x14ac:dyDescent="0.25">
      <c r="A34" s="29" t="s">
        <v>446</v>
      </c>
      <c r="B34" t="s">
        <v>447</v>
      </c>
      <c r="C34" t="s">
        <v>448</v>
      </c>
      <c r="D34" t="s">
        <v>449</v>
      </c>
      <c r="E34" s="35" t="s">
        <v>450</v>
      </c>
      <c r="G34">
        <v>4</v>
      </c>
    </row>
    <row r="35" spans="1:7" x14ac:dyDescent="0.25">
      <c r="A35" s="31" t="s">
        <v>451</v>
      </c>
      <c r="C35" s="45" t="s">
        <v>323</v>
      </c>
      <c r="D35" t="s">
        <v>452</v>
      </c>
      <c r="E35" t="s">
        <v>453</v>
      </c>
      <c r="G35">
        <v>5</v>
      </c>
    </row>
    <row r="36" spans="1:7" x14ac:dyDescent="0.25">
      <c r="A36" s="31" t="s">
        <v>454</v>
      </c>
      <c r="C36" s="45" t="s">
        <v>327</v>
      </c>
      <c r="D36" t="s">
        <v>455</v>
      </c>
      <c r="E36" t="s">
        <v>456</v>
      </c>
      <c r="G36">
        <v>7</v>
      </c>
    </row>
    <row r="37" spans="1:7" x14ac:dyDescent="0.25">
      <c r="A37" s="29" t="s">
        <v>457</v>
      </c>
      <c r="C37" s="45" t="s">
        <v>458</v>
      </c>
      <c r="D37" t="s">
        <v>459</v>
      </c>
      <c r="E37" s="35" t="s">
        <v>460</v>
      </c>
      <c r="G37">
        <v>6</v>
      </c>
    </row>
    <row r="38" spans="1:7" x14ac:dyDescent="0.25">
      <c r="A38" s="31" t="s">
        <v>461</v>
      </c>
      <c r="C38" t="s">
        <v>366</v>
      </c>
      <c r="D38" t="s">
        <v>462</v>
      </c>
      <c r="E38" t="s">
        <v>463</v>
      </c>
      <c r="G38">
        <v>10</v>
      </c>
    </row>
    <row r="39" spans="1:7" x14ac:dyDescent="0.25">
      <c r="A39" s="29" t="s">
        <v>464</v>
      </c>
      <c r="C39" t="s">
        <v>370</v>
      </c>
      <c r="D39" t="s">
        <v>330</v>
      </c>
      <c r="E39" s="35" t="s">
        <v>465</v>
      </c>
      <c r="G39">
        <v>17</v>
      </c>
    </row>
    <row r="40" spans="1:7" x14ac:dyDescent="0.25">
      <c r="A40" s="29" t="s">
        <v>466</v>
      </c>
      <c r="C40" t="s">
        <v>375</v>
      </c>
      <c r="D40" t="s">
        <v>467</v>
      </c>
      <c r="E40" s="35" t="s">
        <v>468</v>
      </c>
      <c r="G40">
        <v>17</v>
      </c>
    </row>
    <row r="41" spans="1:7" x14ac:dyDescent="0.25">
      <c r="A41" s="29" t="s">
        <v>469</v>
      </c>
      <c r="C41" t="s">
        <v>380</v>
      </c>
      <c r="D41" t="s">
        <v>469</v>
      </c>
      <c r="E41" s="47" t="s">
        <v>470</v>
      </c>
      <c r="G41">
        <v>10</v>
      </c>
    </row>
    <row r="42" spans="1:7" x14ac:dyDescent="0.25">
      <c r="A42" s="29" t="s">
        <v>471</v>
      </c>
      <c r="C42" s="46" t="s">
        <v>472</v>
      </c>
      <c r="D42" t="s">
        <v>473</v>
      </c>
      <c r="E42" s="47" t="s">
        <v>474</v>
      </c>
      <c r="G42">
        <v>1</v>
      </c>
    </row>
    <row r="43" spans="1:7" x14ac:dyDescent="0.25">
      <c r="A43" s="29" t="s">
        <v>475</v>
      </c>
      <c r="C43" s="46" t="s">
        <v>476</v>
      </c>
      <c r="D43" t="s">
        <v>477</v>
      </c>
      <c r="E43" s="35" t="s">
        <v>478</v>
      </c>
      <c r="G43">
        <v>4</v>
      </c>
    </row>
    <row r="44" spans="1:7" x14ac:dyDescent="0.25">
      <c r="A44" s="29" t="s">
        <v>479</v>
      </c>
      <c r="C44" s="46" t="s">
        <v>480</v>
      </c>
      <c r="D44" t="s">
        <v>481</v>
      </c>
      <c r="E44" s="47" t="s">
        <v>482</v>
      </c>
      <c r="G44">
        <v>50</v>
      </c>
    </row>
    <row r="45" spans="1:7" x14ac:dyDescent="0.25">
      <c r="A45" s="29" t="s">
        <v>483</v>
      </c>
      <c r="D45" t="s">
        <v>484</v>
      </c>
      <c r="E45" s="47" t="s">
        <v>485</v>
      </c>
      <c r="G45">
        <v>10</v>
      </c>
    </row>
    <row r="46" spans="1:7" x14ac:dyDescent="0.25">
      <c r="A46" s="31"/>
      <c r="C46" t="s">
        <v>486</v>
      </c>
      <c r="D46" t="s">
        <v>487</v>
      </c>
      <c r="E46" s="50" t="s">
        <v>488</v>
      </c>
      <c r="G46">
        <v>1</v>
      </c>
    </row>
    <row r="47" spans="1:7" x14ac:dyDescent="0.25">
      <c r="A47" s="31"/>
      <c r="C47" t="s">
        <v>489</v>
      </c>
      <c r="D47" t="s">
        <v>490</v>
      </c>
      <c r="E47" s="49" t="s">
        <v>491</v>
      </c>
      <c r="G47">
        <v>2</v>
      </c>
    </row>
    <row r="48" spans="1:7" x14ac:dyDescent="0.25">
      <c r="A48" s="31"/>
      <c r="C48" t="s">
        <v>492</v>
      </c>
      <c r="D48" t="s">
        <v>493</v>
      </c>
      <c r="E48" t="s">
        <v>494</v>
      </c>
      <c r="G48">
        <v>3</v>
      </c>
    </row>
    <row r="49" spans="1:8" x14ac:dyDescent="0.25">
      <c r="A49" s="31"/>
      <c r="C49" t="s">
        <v>495</v>
      </c>
      <c r="D49" t="s">
        <v>496</v>
      </c>
      <c r="E49" t="s">
        <v>497</v>
      </c>
      <c r="G49">
        <v>15</v>
      </c>
    </row>
    <row r="50" spans="1:8" x14ac:dyDescent="0.25">
      <c r="A50" s="31" t="s">
        <v>498</v>
      </c>
      <c r="C50" t="s">
        <v>499</v>
      </c>
      <c r="D50" t="s">
        <v>500</v>
      </c>
      <c r="E50" s="45" t="s">
        <v>501</v>
      </c>
      <c r="G50">
        <v>10</v>
      </c>
    </row>
    <row r="51" spans="1:8" x14ac:dyDescent="0.25">
      <c r="C51" t="s">
        <v>502</v>
      </c>
      <c r="E51" s="45" t="s">
        <v>503</v>
      </c>
      <c r="G51">
        <v>5</v>
      </c>
    </row>
    <row r="52" spans="1:8" x14ac:dyDescent="0.25">
      <c r="C52" t="s">
        <v>504</v>
      </c>
      <c r="E52" s="45" t="s">
        <v>505</v>
      </c>
      <c r="G52">
        <v>4</v>
      </c>
    </row>
    <row r="53" spans="1:8" x14ac:dyDescent="0.25">
      <c r="C53" t="s">
        <v>506</v>
      </c>
      <c r="E53" s="45" t="s">
        <v>507</v>
      </c>
      <c r="G53">
        <v>11</v>
      </c>
    </row>
    <row r="54" spans="1:8" x14ac:dyDescent="0.25">
      <c r="C54" s="49" t="s">
        <v>508</v>
      </c>
      <c r="E54" s="45" t="s">
        <v>509</v>
      </c>
      <c r="G54">
        <v>2</v>
      </c>
      <c r="H54">
        <f>SUM(G21:G54)</f>
        <v>271</v>
      </c>
    </row>
    <row r="55" spans="1:8" x14ac:dyDescent="0.25">
      <c r="C55" s="49" t="s">
        <v>510</v>
      </c>
      <c r="E55" s="45" t="s">
        <v>511</v>
      </c>
    </row>
    <row r="56" spans="1:8" x14ac:dyDescent="0.25">
      <c r="C56" t="s">
        <v>512</v>
      </c>
      <c r="E56" s="45" t="s">
        <v>513</v>
      </c>
    </row>
    <row r="57" spans="1:8" x14ac:dyDescent="0.25">
      <c r="C57" t="s">
        <v>514</v>
      </c>
    </row>
    <row r="58" spans="1:8" x14ac:dyDescent="0.25">
      <c r="C58" t="s">
        <v>515</v>
      </c>
    </row>
    <row r="59" spans="1:8" x14ac:dyDescent="0.25">
      <c r="C59" t="s">
        <v>516</v>
      </c>
    </row>
    <row r="61" spans="1:8" x14ac:dyDescent="0.25">
      <c r="B61" t="s">
        <v>517</v>
      </c>
      <c r="C61" s="45" t="s">
        <v>518</v>
      </c>
    </row>
    <row r="62" spans="1:8" x14ac:dyDescent="0.25">
      <c r="C62" s="45" t="s">
        <v>519</v>
      </c>
    </row>
    <row r="63" spans="1:8" x14ac:dyDescent="0.25">
      <c r="C63" s="45" t="s">
        <v>67</v>
      </c>
    </row>
    <row r="64" spans="1:8" x14ac:dyDescent="0.25">
      <c r="C64" s="45" t="s">
        <v>331</v>
      </c>
    </row>
    <row r="65" spans="2:3" x14ac:dyDescent="0.25">
      <c r="C65" t="s">
        <v>520</v>
      </c>
    </row>
    <row r="66" spans="2:3" x14ac:dyDescent="0.25">
      <c r="C66" t="s">
        <v>521</v>
      </c>
    </row>
    <row r="67" spans="2:3" x14ac:dyDescent="0.25">
      <c r="C67" s="45" t="s">
        <v>522</v>
      </c>
    </row>
    <row r="68" spans="2:3" x14ac:dyDescent="0.25">
      <c r="C68" t="s">
        <v>345</v>
      </c>
    </row>
    <row r="70" spans="2:3" x14ac:dyDescent="0.25">
      <c r="B70" t="s">
        <v>523</v>
      </c>
      <c r="C70" s="50" t="s">
        <v>524</v>
      </c>
    </row>
    <row r="71" spans="2:3" x14ac:dyDescent="0.25">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525</v>
      </c>
      <c r="B1" s="40" t="s">
        <v>526</v>
      </c>
      <c r="C1" s="34" t="s">
        <v>527</v>
      </c>
      <c r="D1" s="34" t="s">
        <v>528</v>
      </c>
      <c r="E1" s="34" t="s">
        <v>529</v>
      </c>
      <c r="F1" s="34" t="s">
        <v>528</v>
      </c>
    </row>
    <row r="2" spans="1:7" ht="30" x14ac:dyDescent="0.25">
      <c r="A2" s="264" t="s">
        <v>530</v>
      </c>
      <c r="B2" s="39" t="s">
        <v>531</v>
      </c>
      <c r="C2" s="30"/>
      <c r="D2" s="41"/>
      <c r="E2" s="30" t="s">
        <v>532</v>
      </c>
      <c r="F2" s="41" t="s">
        <v>533</v>
      </c>
    </row>
    <row r="3" spans="1:7" ht="30" x14ac:dyDescent="0.25">
      <c r="A3" s="265"/>
      <c r="B3" s="40" t="s">
        <v>534</v>
      </c>
      <c r="C3" s="34" t="s">
        <v>535</v>
      </c>
      <c r="D3" s="34" t="s">
        <v>536</v>
      </c>
      <c r="E3" s="34" t="s">
        <v>537</v>
      </c>
      <c r="F3" s="34" t="s">
        <v>533</v>
      </c>
    </row>
    <row r="4" spans="1:7" ht="30" x14ac:dyDescent="0.25">
      <c r="A4" s="266"/>
      <c r="B4" s="24" t="s">
        <v>538</v>
      </c>
      <c r="C4" s="34" t="s">
        <v>539</v>
      </c>
      <c r="D4" s="34"/>
      <c r="E4" s="34" t="s">
        <v>540</v>
      </c>
      <c r="F4" s="34" t="s">
        <v>533</v>
      </c>
    </row>
    <row r="5" spans="1:7" ht="30" x14ac:dyDescent="0.25">
      <c r="A5" s="34" t="s">
        <v>541</v>
      </c>
      <c r="B5" s="28" t="s">
        <v>542</v>
      </c>
      <c r="C5" s="28" t="s">
        <v>543</v>
      </c>
      <c r="D5" s="34" t="s">
        <v>544</v>
      </c>
      <c r="E5" s="34"/>
      <c r="F5" s="34"/>
    </row>
    <row r="6" spans="1:7" x14ac:dyDescent="0.25">
      <c r="A6" s="34"/>
      <c r="B6" s="34"/>
      <c r="C6" s="34"/>
      <c r="D6" s="34"/>
      <c r="E6" s="34"/>
      <c r="F6" s="34"/>
    </row>
    <row r="7" spans="1:7" ht="30" x14ac:dyDescent="0.25">
      <c r="A7" s="34"/>
      <c r="B7" s="28"/>
      <c r="C7" s="28" t="s">
        <v>545</v>
      </c>
      <c r="D7" s="34"/>
      <c r="E7" s="34"/>
      <c r="F7" s="34"/>
      <c r="G7" s="34" t="s">
        <v>546</v>
      </c>
    </row>
    <row r="8" spans="1:7" x14ac:dyDescent="0.25">
      <c r="A8" s="34"/>
      <c r="B8" s="34"/>
      <c r="C8" s="34"/>
      <c r="D8" s="34"/>
      <c r="E8" s="34"/>
      <c r="F8" s="34"/>
    </row>
    <row r="9" spans="1:7" x14ac:dyDescent="0.25">
      <c r="A9" s="34" t="s">
        <v>547</v>
      </c>
      <c r="B9" s="34"/>
      <c r="C9" s="34" t="s">
        <v>548</v>
      </c>
      <c r="D9" s="34"/>
      <c r="E9" s="34"/>
      <c r="F9" s="34"/>
    </row>
    <row r="10" spans="1:7" x14ac:dyDescent="0.25">
      <c r="A10" s="42"/>
      <c r="B10" s="42"/>
      <c r="C10" s="42"/>
      <c r="D10" s="42"/>
      <c r="E10" s="34"/>
      <c r="F10" s="34"/>
    </row>
    <row r="11" spans="1:7" x14ac:dyDescent="0.25">
      <c r="A11" s="34" t="s">
        <v>549</v>
      </c>
      <c r="B11" s="34"/>
      <c r="C11" s="34" t="s">
        <v>550</v>
      </c>
      <c r="D11" s="34"/>
      <c r="E11" s="34"/>
      <c r="F11" s="34"/>
    </row>
    <row r="12" spans="1:7" x14ac:dyDescent="0.25">
      <c r="A12" s="34" t="s">
        <v>549</v>
      </c>
      <c r="B12" s="34"/>
      <c r="C12" s="34" t="s">
        <v>551</v>
      </c>
      <c r="D12" s="34"/>
      <c r="E12" s="34"/>
      <c r="F12" s="34"/>
    </row>
    <row r="13" spans="1:7" x14ac:dyDescent="0.25">
      <c r="A13" s="34" t="s">
        <v>549</v>
      </c>
      <c r="B13" s="34" t="s">
        <v>552</v>
      </c>
      <c r="C13" s="34" t="s">
        <v>553</v>
      </c>
      <c r="D13" s="34"/>
      <c r="E13" s="34" t="s">
        <v>554</v>
      </c>
      <c r="F13" s="34"/>
    </row>
    <row r="14" spans="1:7" x14ac:dyDescent="0.25">
      <c r="A14" s="34" t="s">
        <v>549</v>
      </c>
      <c r="B14" s="34" t="s">
        <v>555</v>
      </c>
      <c r="C14" s="34" t="s">
        <v>556</v>
      </c>
      <c r="D14" s="34"/>
      <c r="E14" s="34" t="s">
        <v>557</v>
      </c>
      <c r="F14" s="34"/>
    </row>
    <row r="15" spans="1:7" x14ac:dyDescent="0.25">
      <c r="A15" s="34"/>
      <c r="B15" s="34"/>
      <c r="C15" s="34"/>
      <c r="D15" s="34"/>
      <c r="E15" s="34"/>
      <c r="F15" s="34"/>
    </row>
    <row r="16" spans="1:7" x14ac:dyDescent="0.25">
      <c r="A16" s="264" t="s">
        <v>558</v>
      </c>
      <c r="B16" s="264" t="s">
        <v>559</v>
      </c>
      <c r="C16" s="34" t="s">
        <v>560</v>
      </c>
      <c r="D16" s="34" t="s">
        <v>176</v>
      </c>
      <c r="E16" s="34" t="s">
        <v>561</v>
      </c>
      <c r="F16" s="34"/>
    </row>
    <row r="17" spans="1:6" x14ac:dyDescent="0.25">
      <c r="A17" s="265"/>
      <c r="B17" s="265"/>
      <c r="C17" s="34" t="s">
        <v>562</v>
      </c>
      <c r="D17" s="34" t="s">
        <v>176</v>
      </c>
      <c r="E17" s="34" t="s">
        <v>563</v>
      </c>
      <c r="F17" s="34"/>
    </row>
    <row r="18" spans="1:6" x14ac:dyDescent="0.25">
      <c r="A18" s="265"/>
      <c r="B18" s="265"/>
      <c r="C18" s="34" t="s">
        <v>564</v>
      </c>
      <c r="D18" s="34" t="s">
        <v>176</v>
      </c>
      <c r="E18" s="34" t="s">
        <v>565</v>
      </c>
      <c r="F18" s="34"/>
    </row>
    <row r="19" spans="1:6" x14ac:dyDescent="0.25">
      <c r="A19" s="266"/>
      <c r="B19" s="266"/>
      <c r="C19" s="34" t="s">
        <v>566</v>
      </c>
      <c r="D19" s="34" t="s">
        <v>176</v>
      </c>
      <c r="E19" s="34" t="s">
        <v>567</v>
      </c>
      <c r="F19" s="34"/>
    </row>
    <row r="20" spans="1:6" x14ac:dyDescent="0.25">
      <c r="A20" s="34"/>
      <c r="B20" s="34"/>
      <c r="C20" s="34"/>
      <c r="D20" s="34"/>
      <c r="E20" s="34"/>
      <c r="F20" s="34"/>
    </row>
    <row r="21" spans="1:6" ht="30" x14ac:dyDescent="0.25">
      <c r="A21" s="34" t="s">
        <v>568</v>
      </c>
      <c r="B21" s="34" t="s">
        <v>569</v>
      </c>
      <c r="C21" s="34" t="s">
        <v>570</v>
      </c>
      <c r="D21" s="34" t="s">
        <v>571</v>
      </c>
      <c r="E21" s="34" t="s">
        <v>572</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525</v>
      </c>
      <c r="B1" s="25" t="s">
        <v>526</v>
      </c>
      <c r="C1" s="23" t="s">
        <v>527</v>
      </c>
      <c r="D1" s="23" t="s">
        <v>528</v>
      </c>
      <c r="E1" s="23" t="s">
        <v>529</v>
      </c>
      <c r="F1" s="23" t="s">
        <v>528</v>
      </c>
    </row>
    <row r="2" spans="1:6" x14ac:dyDescent="0.25">
      <c r="A2" s="267" t="s">
        <v>530</v>
      </c>
      <c r="B2" s="38" t="s">
        <v>531</v>
      </c>
      <c r="C2" s="28"/>
      <c r="D2" s="23"/>
      <c r="E2" s="28" t="s">
        <v>532</v>
      </c>
      <c r="F2" s="23" t="s">
        <v>533</v>
      </c>
    </row>
    <row r="3" spans="1:6" x14ac:dyDescent="0.25">
      <c r="A3" s="268"/>
      <c r="B3" s="25" t="s">
        <v>534</v>
      </c>
      <c r="C3" s="23" t="s">
        <v>535</v>
      </c>
      <c r="D3" s="23" t="s">
        <v>536</v>
      </c>
      <c r="E3" s="23" t="s">
        <v>537</v>
      </c>
      <c r="F3" s="23" t="s">
        <v>533</v>
      </c>
    </row>
    <row r="4" spans="1:6" x14ac:dyDescent="0.25">
      <c r="A4" s="269"/>
      <c r="B4" t="s">
        <v>538</v>
      </c>
      <c r="C4" s="34" t="s">
        <v>539</v>
      </c>
      <c r="D4" s="23"/>
      <c r="E4" s="34" t="s">
        <v>540</v>
      </c>
      <c r="F4" s="23" t="s">
        <v>533</v>
      </c>
    </row>
    <row r="5" spans="1:6" x14ac:dyDescent="0.25">
      <c r="A5" s="23"/>
      <c r="B5" s="25"/>
      <c r="C5" s="23"/>
      <c r="D5" s="23"/>
      <c r="E5" s="23"/>
      <c r="F5" s="23"/>
    </row>
    <row r="6" spans="1:6" x14ac:dyDescent="0.25">
      <c r="A6" s="270" t="s">
        <v>573</v>
      </c>
      <c r="B6" s="23"/>
      <c r="C6" s="23" t="s">
        <v>574</v>
      </c>
      <c r="D6" s="23"/>
      <c r="E6" s="23" t="s">
        <v>575</v>
      </c>
      <c r="F6" s="25"/>
    </row>
    <row r="7" spans="1:6" x14ac:dyDescent="0.25">
      <c r="A7" s="270"/>
      <c r="B7" s="23"/>
      <c r="C7" s="23" t="s">
        <v>576</v>
      </c>
      <c r="D7" s="23"/>
      <c r="E7" s="23" t="s">
        <v>577</v>
      </c>
      <c r="F7" s="25"/>
    </row>
    <row r="8" spans="1:6" x14ac:dyDescent="0.25">
      <c r="A8" s="270"/>
      <c r="B8" s="23"/>
      <c r="C8" s="23" t="s">
        <v>578</v>
      </c>
      <c r="D8" s="23"/>
      <c r="E8" s="23" t="s">
        <v>579</v>
      </c>
    </row>
    <row r="9" spans="1:6" x14ac:dyDescent="0.25">
      <c r="A9" s="270"/>
      <c r="B9" s="23"/>
      <c r="C9" s="23" t="s">
        <v>580</v>
      </c>
      <c r="D9" s="23"/>
      <c r="E9" s="23" t="s">
        <v>581</v>
      </c>
    </row>
    <row r="10" spans="1:6" x14ac:dyDescent="0.25">
      <c r="A10" s="270"/>
      <c r="B10" s="23"/>
      <c r="C10" s="23" t="s">
        <v>582</v>
      </c>
      <c r="D10" s="23"/>
      <c r="E10" s="23" t="s">
        <v>583</v>
      </c>
    </row>
    <row r="11" spans="1:6" x14ac:dyDescent="0.25">
      <c r="A11" s="270"/>
      <c r="B11" s="23"/>
      <c r="C11" s="23" t="s">
        <v>584</v>
      </c>
      <c r="D11" s="23"/>
      <c r="E11" s="23" t="s">
        <v>585</v>
      </c>
    </row>
    <row r="12" spans="1:6" x14ac:dyDescent="0.25">
      <c r="A12" s="270"/>
      <c r="B12" s="23"/>
      <c r="C12" s="23" t="s">
        <v>586</v>
      </c>
      <c r="D12" s="23"/>
      <c r="E12" s="23" t="s">
        <v>587</v>
      </c>
    </row>
    <row r="13" spans="1:6" x14ac:dyDescent="0.25">
      <c r="A13" s="270"/>
      <c r="B13" s="23"/>
      <c r="C13" s="23" t="s">
        <v>588</v>
      </c>
      <c r="D13" s="23"/>
      <c r="E13" s="23" t="s">
        <v>589</v>
      </c>
    </row>
    <row r="14" spans="1:6" x14ac:dyDescent="0.25">
      <c r="A14" s="270"/>
      <c r="B14" s="23"/>
      <c r="C14" s="23" t="s">
        <v>590</v>
      </c>
      <c r="D14" s="23"/>
      <c r="E14" s="23" t="s">
        <v>591</v>
      </c>
    </row>
    <row r="15" spans="1:6" x14ac:dyDescent="0.25">
      <c r="A15" s="270"/>
      <c r="B15" s="23"/>
      <c r="C15" s="23" t="s">
        <v>592</v>
      </c>
      <c r="D15" s="23"/>
      <c r="E15" s="23" t="s">
        <v>593</v>
      </c>
    </row>
    <row r="16" spans="1:6" x14ac:dyDescent="0.25">
      <c r="A16" s="270"/>
      <c r="B16" s="23"/>
      <c r="C16" s="23" t="s">
        <v>594</v>
      </c>
      <c r="D16" s="23"/>
      <c r="E16" s="23" t="s">
        <v>595</v>
      </c>
    </row>
    <row r="17" spans="1:5" x14ac:dyDescent="0.25">
      <c r="A17" s="270"/>
      <c r="B17" s="23"/>
      <c r="C17" s="23" t="s">
        <v>596</v>
      </c>
      <c r="D17" s="23"/>
      <c r="E17" s="23" t="s">
        <v>597</v>
      </c>
    </row>
    <row r="18" spans="1:5" x14ac:dyDescent="0.25">
      <c r="A18" s="270"/>
      <c r="B18" s="23"/>
      <c r="C18" s="23" t="s">
        <v>598</v>
      </c>
      <c r="D18" s="23"/>
      <c r="E18" s="23" t="s">
        <v>599</v>
      </c>
    </row>
    <row r="19" spans="1:5" x14ac:dyDescent="0.25">
      <c r="A19" s="270"/>
      <c r="B19" s="23"/>
      <c r="C19" s="23" t="s">
        <v>600</v>
      </c>
      <c r="D19" s="23"/>
      <c r="E19" s="23" t="s">
        <v>601</v>
      </c>
    </row>
    <row r="20" spans="1:5" x14ac:dyDescent="0.25">
      <c r="A20" s="267" t="s">
        <v>602</v>
      </c>
      <c r="B20" s="23"/>
      <c r="C20" s="23" t="s">
        <v>603</v>
      </c>
      <c r="D20" s="23"/>
      <c r="E20" s="23" t="s">
        <v>604</v>
      </c>
    </row>
    <row r="21" spans="1:5" x14ac:dyDescent="0.25">
      <c r="A21" s="268"/>
      <c r="B21" s="23"/>
      <c r="C21" s="23" t="s">
        <v>605</v>
      </c>
      <c r="D21" s="23"/>
      <c r="E21" s="23" t="s">
        <v>606</v>
      </c>
    </row>
    <row r="22" spans="1:5" x14ac:dyDescent="0.25">
      <c r="A22" s="268"/>
      <c r="B22" s="23"/>
      <c r="C22" s="23" t="s">
        <v>607</v>
      </c>
      <c r="D22" s="23"/>
      <c r="E22" s="23" t="s">
        <v>608</v>
      </c>
    </row>
    <row r="23" spans="1:5" x14ac:dyDescent="0.25">
      <c r="A23" s="268"/>
      <c r="B23" s="23"/>
      <c r="C23" s="23" t="s">
        <v>609</v>
      </c>
      <c r="D23" s="23"/>
      <c r="E23" s="23" t="s">
        <v>610</v>
      </c>
    </row>
    <row r="24" spans="1:5" x14ac:dyDescent="0.25">
      <c r="A24" s="268"/>
      <c r="B24" s="23"/>
      <c r="C24" s="23" t="s">
        <v>611</v>
      </c>
      <c r="D24" s="23"/>
      <c r="E24" s="23" t="s">
        <v>612</v>
      </c>
    </row>
    <row r="25" spans="1:5" x14ac:dyDescent="0.25">
      <c r="A25" s="268"/>
      <c r="B25" s="23"/>
      <c r="C25" s="23" t="s">
        <v>613</v>
      </c>
      <c r="D25" s="23"/>
      <c r="E25" s="23" t="s">
        <v>614</v>
      </c>
    </row>
    <row r="26" spans="1:5" x14ac:dyDescent="0.25">
      <c r="A26" s="268"/>
      <c r="B26" s="23"/>
      <c r="C26" s="23" t="s">
        <v>615</v>
      </c>
      <c r="D26" s="23"/>
      <c r="E26" s="23" t="s">
        <v>616</v>
      </c>
    </row>
    <row r="27" spans="1:5" x14ac:dyDescent="0.25">
      <c r="A27" s="268"/>
      <c r="B27" s="23"/>
      <c r="C27" s="23" t="s">
        <v>617</v>
      </c>
      <c r="D27" s="23"/>
      <c r="E27" s="23" t="s">
        <v>618</v>
      </c>
    </row>
    <row r="28" spans="1:5" x14ac:dyDescent="0.25">
      <c r="A28" s="268"/>
      <c r="B28" s="23"/>
      <c r="C28" s="23" t="s">
        <v>619</v>
      </c>
      <c r="D28" s="23"/>
      <c r="E28" s="23" t="s">
        <v>620</v>
      </c>
    </row>
    <row r="29" spans="1:5" x14ac:dyDescent="0.25">
      <c r="A29" s="268"/>
      <c r="B29" s="23"/>
      <c r="C29" s="23" t="s">
        <v>621</v>
      </c>
      <c r="D29" s="23"/>
      <c r="E29" s="23" t="s">
        <v>622</v>
      </c>
    </row>
    <row r="30" spans="1:5" x14ac:dyDescent="0.25">
      <c r="A30" s="269"/>
      <c r="B30" s="23"/>
      <c r="C30" s="23" t="s">
        <v>623</v>
      </c>
      <c r="D30" s="23"/>
      <c r="E30" s="23" t="s">
        <v>624</v>
      </c>
    </row>
    <row r="31" spans="1:5" x14ac:dyDescent="0.25">
      <c r="A31" s="23"/>
      <c r="B31" s="23"/>
      <c r="C31" s="23" t="s">
        <v>625</v>
      </c>
      <c r="D31" s="23"/>
      <c r="E31" s="23" t="s">
        <v>626</v>
      </c>
    </row>
    <row r="32" spans="1:5" x14ac:dyDescent="0.25">
      <c r="A32" s="23"/>
      <c r="B32" s="23"/>
      <c r="C32" s="23" t="s">
        <v>627</v>
      </c>
      <c r="D32" s="23"/>
      <c r="E32" s="23" t="s">
        <v>628</v>
      </c>
    </row>
    <row r="33" spans="1:5" x14ac:dyDescent="0.25">
      <c r="A33" s="23"/>
      <c r="B33" s="23"/>
      <c r="C33" s="23" t="s">
        <v>629</v>
      </c>
      <c r="D33" s="23"/>
      <c r="E33" s="23" t="s">
        <v>630</v>
      </c>
    </row>
    <row r="34" spans="1:5" x14ac:dyDescent="0.25">
      <c r="A34" s="23"/>
      <c r="B34" s="23"/>
      <c r="C34" s="23" t="s">
        <v>631</v>
      </c>
      <c r="D34" s="23"/>
      <c r="E34" s="23" t="s">
        <v>632</v>
      </c>
    </row>
    <row r="35" spans="1:5" x14ac:dyDescent="0.25">
      <c r="A35" s="23"/>
      <c r="B35" s="23"/>
      <c r="C35" s="23" t="s">
        <v>633</v>
      </c>
      <c r="D35" s="23"/>
      <c r="E35" s="23" t="s">
        <v>634</v>
      </c>
    </row>
    <row r="36" spans="1:5" x14ac:dyDescent="0.25">
      <c r="A36" s="23"/>
      <c r="B36" s="23"/>
      <c r="C36" s="23" t="s">
        <v>635</v>
      </c>
      <c r="D36" s="23"/>
      <c r="E36" s="23" t="s">
        <v>636</v>
      </c>
    </row>
    <row r="37" spans="1:5" x14ac:dyDescent="0.25">
      <c r="A37" s="23"/>
      <c r="B37" s="23"/>
      <c r="C37" s="23" t="s">
        <v>637</v>
      </c>
      <c r="D37" s="23"/>
      <c r="E37" s="23" t="s">
        <v>638</v>
      </c>
    </row>
    <row r="38" spans="1:5" x14ac:dyDescent="0.25">
      <c r="A38" s="23"/>
      <c r="B38" s="23"/>
      <c r="C38" s="23" t="s">
        <v>639</v>
      </c>
      <c r="D38" s="23"/>
      <c r="E38" s="23" t="s">
        <v>640</v>
      </c>
    </row>
    <row r="39" spans="1:5" x14ac:dyDescent="0.25">
      <c r="A39" s="23"/>
      <c r="B39" s="23"/>
      <c r="C39" s="23" t="s">
        <v>641</v>
      </c>
      <c r="D39" s="23"/>
      <c r="E39" s="23" t="s">
        <v>642</v>
      </c>
    </row>
    <row r="40" spans="1:5" x14ac:dyDescent="0.25">
      <c r="A40" s="23"/>
      <c r="B40" s="23"/>
      <c r="C40" s="23"/>
      <c r="D40" s="23"/>
      <c r="E40" s="23"/>
    </row>
    <row r="41" spans="1:5" x14ac:dyDescent="0.25">
      <c r="A41" s="23"/>
      <c r="B41" s="28"/>
      <c r="C41" s="28" t="s">
        <v>545</v>
      </c>
      <c r="D41" s="23"/>
      <c r="E41" s="23" t="s">
        <v>546</v>
      </c>
    </row>
    <row r="42" spans="1:5" x14ac:dyDescent="0.25">
      <c r="A42" s="23"/>
      <c r="B42" s="23"/>
      <c r="C42" s="23"/>
      <c r="D42" s="23"/>
      <c r="E42" s="23"/>
    </row>
    <row r="43" spans="1:5" x14ac:dyDescent="0.25">
      <c r="A43" s="23" t="s">
        <v>643</v>
      </c>
      <c r="B43" s="23"/>
      <c r="C43" s="23" t="s">
        <v>644</v>
      </c>
      <c r="D43" s="23"/>
      <c r="E43" s="23"/>
    </row>
    <row r="44" spans="1:5" x14ac:dyDescent="0.25">
      <c r="A44" s="23"/>
      <c r="B44" s="23"/>
      <c r="C44" s="23"/>
      <c r="D44" s="23"/>
      <c r="E44" s="23"/>
    </row>
    <row r="45" spans="1:5" x14ac:dyDescent="0.25">
      <c r="A45" s="23" t="s">
        <v>547</v>
      </c>
      <c r="B45" s="23"/>
      <c r="C45" s="23" t="s">
        <v>548</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3" workbookViewId="0">
      <selection activeCell="D13" sqref="D13"/>
    </sheetView>
  </sheetViews>
  <sheetFormatPr defaultColWidth="0" defaultRowHeight="15" x14ac:dyDescent="0.2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55" t="s">
        <v>645</v>
      </c>
      <c r="C5" s="56" t="s">
        <v>646</v>
      </c>
      <c r="D5" s="57" t="s">
        <v>647</v>
      </c>
      <c r="E5" s="21"/>
    </row>
    <row r="6" spans="1:5" x14ac:dyDescent="0.25">
      <c r="A6" s="21"/>
      <c r="B6" s="53" t="s">
        <v>648</v>
      </c>
      <c r="C6" s="51" t="s">
        <v>649</v>
      </c>
      <c r="D6" s="54" t="s">
        <v>650</v>
      </c>
      <c r="E6" s="21"/>
    </row>
    <row r="7" spans="1:5" x14ac:dyDescent="0.25">
      <c r="A7" s="21"/>
      <c r="B7" s="53" t="s">
        <v>651</v>
      </c>
      <c r="C7" s="51" t="s">
        <v>652</v>
      </c>
      <c r="D7" s="54" t="s">
        <v>653</v>
      </c>
      <c r="E7" s="21"/>
    </row>
    <row r="8" spans="1:5" x14ac:dyDescent="0.25">
      <c r="A8" s="21"/>
      <c r="B8" s="53"/>
      <c r="C8" s="51"/>
      <c r="D8" s="54"/>
      <c r="E8" s="21"/>
    </row>
    <row r="9" spans="1:5" x14ac:dyDescent="0.25">
      <c r="A9" s="21"/>
      <c r="B9" s="53"/>
      <c r="C9" s="51"/>
      <c r="D9" s="54"/>
      <c r="E9" s="21"/>
    </row>
    <row r="10" spans="1:5" x14ac:dyDescent="0.25">
      <c r="A10" s="21"/>
      <c r="B10" s="53"/>
      <c r="C10" s="51"/>
      <c r="D10" s="54"/>
      <c r="E10" s="21"/>
    </row>
    <row r="11" spans="1:5" x14ac:dyDescent="0.25">
      <c r="B11" s="53"/>
      <c r="C11" s="51"/>
      <c r="D11" s="54"/>
    </row>
    <row r="12" spans="1:5" x14ac:dyDescent="0.25">
      <c r="B12" s="53"/>
      <c r="C12" s="51"/>
      <c r="D12" s="54"/>
    </row>
    <row r="13" spans="1:5" x14ac:dyDescent="0.25">
      <c r="B13" s="53"/>
      <c r="C13" s="51"/>
      <c r="D13" s="54"/>
    </row>
    <row r="14" spans="1:5" s="4" customFormat="1" x14ac:dyDescent="0.25">
      <c r="B14" s="53"/>
      <c r="C14" s="51"/>
      <c r="D14" s="54"/>
    </row>
    <row r="15" spans="1:5" s="4" customFormat="1" x14ac:dyDescent="0.25">
      <c r="B15" s="53"/>
      <c r="C15" s="51"/>
      <c r="D15" s="54"/>
    </row>
    <row r="16" spans="1:5" s="4" customFormat="1" x14ac:dyDescent="0.25">
      <c r="B16" s="53"/>
      <c r="C16" s="51"/>
      <c r="D16" s="54"/>
    </row>
    <row r="17" spans="2:4" s="4" customFormat="1" x14ac:dyDescent="0.25">
      <c r="B17" s="53"/>
      <c r="C17" s="51"/>
      <c r="D17" s="54"/>
    </row>
    <row r="18" spans="2:4" s="4" customFormat="1" x14ac:dyDescent="0.25">
      <c r="B18" s="53"/>
      <c r="C18" s="51"/>
      <c r="D18" s="54"/>
    </row>
    <row r="19" spans="2:4" s="4" customFormat="1" x14ac:dyDescent="0.25">
      <c r="B19" s="53"/>
      <c r="C19" s="51"/>
      <c r="D19" s="54"/>
    </row>
    <row r="20" spans="2:4" s="4" customFormat="1" x14ac:dyDescent="0.25">
      <c r="B20" s="53"/>
      <c r="C20" s="51"/>
      <c r="D20" s="54"/>
    </row>
    <row r="21" spans="2:4" s="4" customFormat="1" x14ac:dyDescent="0.25">
      <c r="B21" s="53"/>
      <c r="C21" s="51"/>
      <c r="D21" s="54"/>
    </row>
    <row r="22" spans="2:4" s="4" customFormat="1" x14ac:dyDescent="0.25">
      <c r="B22" s="53"/>
      <c r="C22" s="51"/>
      <c r="D22" s="54"/>
    </row>
    <row r="23" spans="2:4" s="4" customFormat="1" x14ac:dyDescent="0.25">
      <c r="B23" s="53"/>
      <c r="C23" s="51"/>
      <c r="D23" s="54"/>
    </row>
    <row r="24" spans="2:4" s="4" customFormat="1" x14ac:dyDescent="0.25">
      <c r="B24" s="53"/>
      <c r="C24" s="51"/>
      <c r="D24" s="54"/>
    </row>
    <row r="25" spans="2:4" s="4" customFormat="1" x14ac:dyDescent="0.25">
      <c r="B25" s="53"/>
      <c r="C25" s="51"/>
      <c r="D25" s="54"/>
    </row>
    <row r="26" spans="2:4" s="4" customFormat="1" x14ac:dyDescent="0.25">
      <c r="B26" s="53"/>
      <c r="C26" s="51"/>
      <c r="D26" s="54"/>
    </row>
    <row r="27" spans="2:4" s="4" customFormat="1" x14ac:dyDescent="0.25">
      <c r="B27" s="53"/>
      <c r="C27" s="51"/>
      <c r="D27" s="54"/>
    </row>
    <row r="28" spans="2:4" s="4" customFormat="1" x14ac:dyDescent="0.25">
      <c r="B28" s="53"/>
      <c r="C28" s="51"/>
      <c r="D28" s="54"/>
    </row>
    <row r="29" spans="2:4" s="4" customFormat="1" x14ac:dyDescent="0.25">
      <c r="B29" s="53"/>
      <c r="C29" s="51"/>
      <c r="D29" s="54"/>
    </row>
    <row r="30" spans="2:4" s="4" customFormat="1" x14ac:dyDescent="0.25">
      <c r="B30" s="53"/>
      <c r="C30" s="51"/>
      <c r="D30" s="54"/>
    </row>
    <row r="31" spans="2:4" s="4" customFormat="1" x14ac:dyDescent="0.25">
      <c r="B31" s="53"/>
      <c r="C31" s="51"/>
      <c r="D31" s="54"/>
    </row>
    <row r="32" spans="2:4" s="4" customFormat="1" x14ac:dyDescent="0.25">
      <c r="B32" s="53"/>
      <c r="C32" s="51"/>
      <c r="D32" s="54"/>
    </row>
    <row r="33" spans="2:4" s="4" customFormat="1" x14ac:dyDescent="0.25">
      <c r="B33" s="53"/>
      <c r="C33" s="51"/>
      <c r="D33" s="54"/>
    </row>
    <row r="34" spans="2:4" s="4" customFormat="1" x14ac:dyDescent="0.25">
      <c r="B34" s="53"/>
      <c r="C34" s="51"/>
      <c r="D34" s="54"/>
    </row>
    <row r="35" spans="2:4" s="4" customFormat="1" x14ac:dyDescent="0.25">
      <c r="B35" s="53"/>
      <c r="C35" s="51"/>
      <c r="D35" s="54"/>
    </row>
    <row r="36" spans="2:4" s="4" customFormat="1" x14ac:dyDescent="0.25">
      <c r="B36" s="53"/>
      <c r="C36" s="51"/>
      <c r="D36" s="54"/>
    </row>
    <row r="37" spans="2:4" s="4" customFormat="1" x14ac:dyDescent="0.25">
      <c r="B37" s="53"/>
      <c r="C37" s="51"/>
      <c r="D37" s="54"/>
    </row>
    <row r="38" spans="2:4" s="4" customFormat="1" x14ac:dyDescent="0.25">
      <c r="B38" s="53"/>
      <c r="C38" s="51"/>
      <c r="D38" s="54"/>
    </row>
    <row r="39" spans="2:4" s="4" customFormat="1" x14ac:dyDescent="0.25">
      <c r="B39" s="53"/>
      <c r="C39" s="51"/>
      <c r="D39" s="54"/>
    </row>
    <row r="40" spans="2:4" s="4" customFormat="1" x14ac:dyDescent="0.25">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68"/>
  <sheetViews>
    <sheetView showGridLines="0" tabSelected="1" topLeftCell="R6" zoomScale="85" zoomScaleNormal="85" workbookViewId="0">
      <selection activeCell="U187" sqref="U187"/>
    </sheetView>
  </sheetViews>
  <sheetFormatPr defaultColWidth="8.5703125" defaultRowHeight="15" customHeight="1" x14ac:dyDescent="0.25"/>
  <cols>
    <col min="1" max="1" width="2.42578125" style="27" customWidth="1"/>
    <col min="2" max="2" width="48.85546875" style="64" customWidth="1"/>
    <col min="3" max="3" width="37.42578125" style="33" customWidth="1"/>
    <col min="4" max="4" width="40.5703125" style="33" customWidth="1"/>
    <col min="5" max="5" width="18.85546875" style="33" customWidth="1"/>
    <col min="6" max="6" width="49.85546875" style="33" customWidth="1"/>
    <col min="7" max="7" width="39" style="65" customWidth="1"/>
    <col min="8" max="8" width="28.5703125" style="33" customWidth="1"/>
    <col min="9" max="9" width="21.5703125" style="65" customWidth="1"/>
    <col min="10" max="10" width="22.28515625" style="66" customWidth="1"/>
    <col min="11" max="11" width="20.140625" style="65" customWidth="1"/>
    <col min="12" max="12" width="20.140625" style="67" customWidth="1"/>
    <col min="13" max="13" width="34.7109375" style="67" customWidth="1"/>
    <col min="14" max="14" width="65.5703125" style="64" customWidth="1"/>
    <col min="15" max="15" width="36.7109375" style="66" customWidth="1"/>
    <col min="16" max="16" width="175.7109375" style="66" customWidth="1"/>
    <col min="17" max="17" width="50.7109375" style="66" customWidth="1"/>
    <col min="18" max="18" width="50.7109375" style="33" customWidth="1"/>
    <col min="19" max="19" width="78.28515625" style="33" customWidth="1"/>
    <col min="20" max="20" width="39" style="33" customWidth="1"/>
    <col min="21" max="21" width="56.7109375" style="67" customWidth="1"/>
    <col min="22" max="22" width="154.28515625" style="67" customWidth="1"/>
    <col min="23" max="23" width="29.140625" style="67" customWidth="1"/>
    <col min="24" max="24" width="48" style="67" customWidth="1"/>
    <col min="25" max="25" width="103.5703125" style="33" customWidth="1"/>
    <col min="26" max="26" width="174.7109375" style="33" customWidth="1"/>
    <col min="27" max="27" width="28.5703125" style="74" customWidth="1"/>
  </cols>
  <sheetData>
    <row r="1" spans="1:27" s="33" customFormat="1" x14ac:dyDescent="0.25">
      <c r="A1" s="27"/>
      <c r="B1" s="64"/>
      <c r="G1" s="65"/>
      <c r="I1" s="65"/>
      <c r="J1" s="66"/>
      <c r="K1" s="65"/>
      <c r="L1" s="67"/>
      <c r="M1" s="67"/>
      <c r="N1" s="64"/>
      <c r="O1" s="66"/>
      <c r="P1" s="66"/>
      <c r="Q1" s="66"/>
      <c r="U1" s="67"/>
      <c r="V1" s="67"/>
      <c r="W1" s="67"/>
      <c r="X1" s="67"/>
      <c r="AA1" s="65"/>
    </row>
    <row r="2" spans="1:27" s="33" customFormat="1" x14ac:dyDescent="0.25">
      <c r="A2" s="27"/>
      <c r="B2" s="64"/>
      <c r="G2" s="65"/>
      <c r="I2" s="65"/>
      <c r="J2" s="66"/>
      <c r="K2" s="65"/>
      <c r="L2" s="67"/>
      <c r="M2" s="67"/>
      <c r="N2" s="64"/>
      <c r="O2" s="66"/>
      <c r="P2" s="66"/>
      <c r="Q2" s="66"/>
      <c r="U2" s="67"/>
      <c r="V2" s="67"/>
      <c r="W2" s="67"/>
      <c r="X2" s="67"/>
      <c r="AA2" s="65"/>
    </row>
    <row r="3" spans="1:27" s="33" customFormat="1" x14ac:dyDescent="0.2">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x14ac:dyDescent="0.25">
      <c r="A4" s="27"/>
      <c r="B4" s="64"/>
      <c r="G4" s="65"/>
      <c r="I4" s="65"/>
      <c r="J4" s="66"/>
      <c r="K4" s="65"/>
      <c r="L4" s="67"/>
      <c r="M4" s="67"/>
      <c r="N4" s="64"/>
      <c r="O4" s="66"/>
      <c r="P4" s="66"/>
      <c r="Q4" s="66"/>
      <c r="U4" s="67"/>
      <c r="V4" s="67"/>
      <c r="W4" s="67"/>
      <c r="X4" s="67"/>
      <c r="AA4" s="65"/>
    </row>
    <row r="5" spans="1:27" s="65" customFormat="1" ht="30" customHeight="1" x14ac:dyDescent="0.25">
      <c r="B5" s="274" t="s">
        <v>654</v>
      </c>
      <c r="C5" s="275"/>
      <c r="D5" s="275"/>
      <c r="E5" s="275"/>
      <c r="F5" s="275"/>
      <c r="G5" s="275"/>
      <c r="H5" s="275"/>
      <c r="I5" s="275"/>
      <c r="J5" s="275"/>
      <c r="K5" s="275"/>
      <c r="L5" s="275"/>
      <c r="M5" s="275"/>
      <c r="N5" s="275"/>
      <c r="O5" s="275"/>
      <c r="P5" s="276"/>
      <c r="Q5" s="280" t="s">
        <v>655</v>
      </c>
      <c r="R5" s="281"/>
      <c r="S5" s="284" t="s">
        <v>656</v>
      </c>
      <c r="T5" s="285"/>
      <c r="U5" s="285"/>
      <c r="V5" s="285"/>
      <c r="W5" s="283"/>
      <c r="X5" s="271" t="s">
        <v>657</v>
      </c>
      <c r="Y5" s="271"/>
      <c r="Z5" s="271"/>
      <c r="AA5" s="271"/>
    </row>
    <row r="6" spans="1:27" s="33" customFormat="1" ht="30" customHeight="1" x14ac:dyDescent="0.25">
      <c r="A6" s="27"/>
      <c r="B6" s="277" t="s">
        <v>658</v>
      </c>
      <c r="C6" s="278"/>
      <c r="D6" s="278"/>
      <c r="E6" s="278"/>
      <c r="F6" s="278"/>
      <c r="G6" s="278"/>
      <c r="H6" s="278"/>
      <c r="I6" s="278"/>
      <c r="J6" s="278"/>
      <c r="K6" s="278"/>
      <c r="L6" s="278"/>
      <c r="M6" s="278"/>
      <c r="N6" s="278"/>
      <c r="O6" s="278"/>
      <c r="P6" s="279"/>
      <c r="Q6" s="280" t="s">
        <v>659</v>
      </c>
      <c r="R6" s="281"/>
      <c r="S6" s="282" t="s">
        <v>660</v>
      </c>
      <c r="T6" s="283"/>
      <c r="U6" s="283"/>
      <c r="V6" s="283"/>
      <c r="W6" s="63" t="s">
        <v>661</v>
      </c>
      <c r="X6" s="272" t="s">
        <v>662</v>
      </c>
      <c r="Y6" s="272"/>
      <c r="Z6" s="272"/>
      <c r="AA6" s="273"/>
    </row>
    <row r="7" spans="1:27" s="64" customFormat="1" ht="69.75" customHeight="1" x14ac:dyDescent="0.25">
      <c r="B7" s="156" t="s">
        <v>663</v>
      </c>
      <c r="C7" s="156" t="s">
        <v>664</v>
      </c>
      <c r="D7" s="156" t="s">
        <v>665</v>
      </c>
      <c r="E7" s="156" t="s">
        <v>666</v>
      </c>
      <c r="F7" s="156" t="s">
        <v>667</v>
      </c>
      <c r="G7" s="156" t="s">
        <v>668</v>
      </c>
      <c r="H7" s="156" t="s">
        <v>669</v>
      </c>
      <c r="I7" s="156" t="s">
        <v>670</v>
      </c>
      <c r="J7" s="156" t="s">
        <v>671</v>
      </c>
      <c r="K7" s="156" t="s">
        <v>672</v>
      </c>
      <c r="L7" s="156" t="s">
        <v>673</v>
      </c>
      <c r="M7" s="156" t="s">
        <v>674</v>
      </c>
      <c r="N7" s="156" t="s">
        <v>675</v>
      </c>
      <c r="O7" s="156" t="s">
        <v>676</v>
      </c>
      <c r="P7" s="156" t="s">
        <v>677</v>
      </c>
      <c r="Q7" s="156" t="s">
        <v>678</v>
      </c>
      <c r="R7" s="156" t="s">
        <v>679</v>
      </c>
      <c r="S7" s="156" t="s">
        <v>680</v>
      </c>
      <c r="T7" s="156" t="s">
        <v>681</v>
      </c>
      <c r="U7" s="156" t="s">
        <v>682</v>
      </c>
      <c r="V7" s="156" t="s">
        <v>683</v>
      </c>
      <c r="W7" s="156" t="s">
        <v>684</v>
      </c>
      <c r="X7" s="156" t="s">
        <v>685</v>
      </c>
      <c r="Y7" s="156" t="s">
        <v>686</v>
      </c>
      <c r="Z7" s="156" t="s">
        <v>687</v>
      </c>
      <c r="AA7" s="241" t="s">
        <v>688</v>
      </c>
    </row>
    <row r="8" spans="1:27" s="33" customFormat="1" ht="225.75" hidden="1" customHeight="1" x14ac:dyDescent="0.25">
      <c r="A8" s="27"/>
      <c r="B8" s="84" t="s">
        <v>648</v>
      </c>
      <c r="C8" s="84" t="s">
        <v>689</v>
      </c>
      <c r="D8" s="84" t="s">
        <v>649</v>
      </c>
      <c r="E8" s="131">
        <v>2</v>
      </c>
      <c r="F8" s="84" t="s">
        <v>690</v>
      </c>
      <c r="G8" s="84" t="s">
        <v>691</v>
      </c>
      <c r="H8" s="75" t="s">
        <v>692</v>
      </c>
      <c r="I8" s="76">
        <v>1</v>
      </c>
      <c r="J8" s="77" t="s">
        <v>693</v>
      </c>
      <c r="K8" s="76">
        <v>4</v>
      </c>
      <c r="L8" s="76"/>
      <c r="M8" s="84" t="s">
        <v>694</v>
      </c>
      <c r="N8" s="75"/>
      <c r="O8" s="76" t="s">
        <v>695</v>
      </c>
      <c r="P8" s="77"/>
      <c r="Q8" s="130" t="s">
        <v>696</v>
      </c>
      <c r="R8" s="133" t="s">
        <v>697</v>
      </c>
      <c r="S8" s="87" t="s">
        <v>698</v>
      </c>
      <c r="T8" s="87" t="s">
        <v>699</v>
      </c>
      <c r="U8" s="87" t="s">
        <v>700</v>
      </c>
      <c r="V8" s="87" t="s">
        <v>701</v>
      </c>
      <c r="W8" s="75"/>
      <c r="X8" s="87" t="s">
        <v>702</v>
      </c>
      <c r="Y8" s="84" t="s">
        <v>703</v>
      </c>
      <c r="Z8" s="84" t="s">
        <v>703</v>
      </c>
      <c r="AA8" s="239" t="s">
        <v>704</v>
      </c>
    </row>
    <row r="9" spans="1:27" s="33" customFormat="1" ht="219.75" hidden="1" customHeight="1" x14ac:dyDescent="0.25">
      <c r="A9" s="27"/>
      <c r="B9" s="84" t="s">
        <v>648</v>
      </c>
      <c r="C9" s="84" t="s">
        <v>689</v>
      </c>
      <c r="D9" s="84" t="s">
        <v>649</v>
      </c>
      <c r="E9" s="131">
        <v>2</v>
      </c>
      <c r="F9" s="84" t="s">
        <v>705</v>
      </c>
      <c r="G9" s="84" t="s">
        <v>706</v>
      </c>
      <c r="H9" s="75" t="s">
        <v>692</v>
      </c>
      <c r="I9" s="76">
        <v>2</v>
      </c>
      <c r="J9" s="77" t="s">
        <v>693</v>
      </c>
      <c r="K9" s="76">
        <v>30</v>
      </c>
      <c r="L9" s="76"/>
      <c r="M9" s="84" t="s">
        <v>707</v>
      </c>
      <c r="N9" s="75"/>
      <c r="O9" s="76" t="s">
        <v>695</v>
      </c>
      <c r="P9" s="77"/>
      <c r="Q9" s="130" t="s">
        <v>696</v>
      </c>
      <c r="R9" s="133" t="s">
        <v>697</v>
      </c>
      <c r="S9" s="87" t="s">
        <v>708</v>
      </c>
      <c r="T9" s="87" t="s">
        <v>709</v>
      </c>
      <c r="U9" s="87" t="s">
        <v>710</v>
      </c>
      <c r="V9" s="87" t="s">
        <v>711</v>
      </c>
      <c r="W9" s="75"/>
      <c r="X9" s="87" t="s">
        <v>712</v>
      </c>
      <c r="Y9" s="84" t="s">
        <v>713</v>
      </c>
      <c r="Z9" s="86" t="s">
        <v>714</v>
      </c>
      <c r="AA9" s="131" t="s">
        <v>703</v>
      </c>
    </row>
    <row r="10" spans="1:27" s="33" customFormat="1" ht="183.75" hidden="1" customHeight="1" x14ac:dyDescent="0.25">
      <c r="A10" s="27"/>
      <c r="B10" s="84" t="s">
        <v>648</v>
      </c>
      <c r="C10" s="84" t="s">
        <v>689</v>
      </c>
      <c r="D10" s="84" t="s">
        <v>649</v>
      </c>
      <c r="E10" s="131">
        <v>2</v>
      </c>
      <c r="F10" s="84" t="s">
        <v>715</v>
      </c>
      <c r="G10" s="84" t="s">
        <v>716</v>
      </c>
      <c r="H10" s="75" t="s">
        <v>717</v>
      </c>
      <c r="I10" s="76">
        <v>3</v>
      </c>
      <c r="J10" s="75" t="s">
        <v>718</v>
      </c>
      <c r="K10" s="76"/>
      <c r="L10" s="76"/>
      <c r="M10" s="84" t="s">
        <v>719</v>
      </c>
      <c r="N10" s="75"/>
      <c r="O10" s="76" t="s">
        <v>695</v>
      </c>
      <c r="P10" s="77"/>
      <c r="Q10" s="130" t="s">
        <v>720</v>
      </c>
      <c r="R10" s="133" t="s">
        <v>721</v>
      </c>
      <c r="S10" s="87" t="s">
        <v>722</v>
      </c>
      <c r="T10" s="87" t="s">
        <v>723</v>
      </c>
      <c r="U10" s="87" t="s">
        <v>724</v>
      </c>
      <c r="V10" s="87" t="s">
        <v>725</v>
      </c>
      <c r="W10" s="75"/>
      <c r="X10" s="87" t="s">
        <v>702</v>
      </c>
      <c r="Y10" s="84" t="s">
        <v>726</v>
      </c>
      <c r="Z10" s="84" t="s">
        <v>727</v>
      </c>
      <c r="AA10" s="131" t="s">
        <v>703</v>
      </c>
    </row>
    <row r="11" spans="1:27" s="33" customFormat="1" ht="152.25" hidden="1" customHeight="1" x14ac:dyDescent="0.25">
      <c r="A11" s="27"/>
      <c r="B11" s="84" t="s">
        <v>648</v>
      </c>
      <c r="C11" s="84" t="s">
        <v>689</v>
      </c>
      <c r="D11" s="84" t="s">
        <v>649</v>
      </c>
      <c r="E11" s="131">
        <v>2</v>
      </c>
      <c r="F11" s="84" t="s">
        <v>728</v>
      </c>
      <c r="G11" s="84" t="s">
        <v>729</v>
      </c>
      <c r="H11" s="75" t="s">
        <v>717</v>
      </c>
      <c r="I11" s="76">
        <v>4</v>
      </c>
      <c r="J11" s="75" t="s">
        <v>718</v>
      </c>
      <c r="K11" s="76"/>
      <c r="L11" s="76"/>
      <c r="M11" s="84" t="s">
        <v>730</v>
      </c>
      <c r="N11" s="75"/>
      <c r="O11" s="76" t="s">
        <v>695</v>
      </c>
      <c r="P11" s="77"/>
      <c r="Q11" s="130" t="s">
        <v>720</v>
      </c>
      <c r="R11" s="133" t="s">
        <v>721</v>
      </c>
      <c r="S11" s="87" t="s">
        <v>722</v>
      </c>
      <c r="T11" s="87" t="s">
        <v>723</v>
      </c>
      <c r="U11" s="87" t="s">
        <v>731</v>
      </c>
      <c r="V11" s="87" t="s">
        <v>732</v>
      </c>
      <c r="W11" s="75"/>
      <c r="X11" s="87" t="s">
        <v>702</v>
      </c>
      <c r="Y11" s="159" t="s">
        <v>733</v>
      </c>
      <c r="Z11" s="159" t="s">
        <v>734</v>
      </c>
      <c r="AA11" s="131" t="s">
        <v>735</v>
      </c>
    </row>
    <row r="12" spans="1:27" s="33" customFormat="1" ht="213.75" hidden="1" customHeight="1" x14ac:dyDescent="0.25">
      <c r="A12" s="27"/>
      <c r="B12" s="84" t="s">
        <v>648</v>
      </c>
      <c r="C12" s="84" t="s">
        <v>689</v>
      </c>
      <c r="D12" s="84" t="s">
        <v>649</v>
      </c>
      <c r="E12" s="131">
        <v>2</v>
      </c>
      <c r="F12" s="159" t="s">
        <v>736</v>
      </c>
      <c r="G12" s="159" t="s">
        <v>737</v>
      </c>
      <c r="H12" s="75" t="s">
        <v>738</v>
      </c>
      <c r="I12" s="76">
        <v>5</v>
      </c>
      <c r="J12" s="75" t="s">
        <v>693</v>
      </c>
      <c r="K12" s="76">
        <v>4</v>
      </c>
      <c r="L12" s="76"/>
      <c r="M12" s="159" t="s">
        <v>739</v>
      </c>
      <c r="N12" s="75"/>
      <c r="O12" s="76" t="s">
        <v>695</v>
      </c>
      <c r="P12" s="87" t="s">
        <v>740</v>
      </c>
      <c r="Q12" s="130" t="s">
        <v>741</v>
      </c>
      <c r="R12" s="133" t="s">
        <v>742</v>
      </c>
      <c r="S12" s="87" t="s">
        <v>722</v>
      </c>
      <c r="T12" s="87" t="s">
        <v>723</v>
      </c>
      <c r="U12" s="130" t="s">
        <v>743</v>
      </c>
      <c r="V12" s="130" t="s">
        <v>744</v>
      </c>
      <c r="W12" s="75"/>
      <c r="X12" s="87" t="s">
        <v>702</v>
      </c>
      <c r="Y12" s="84" t="s">
        <v>745</v>
      </c>
      <c r="Z12" s="86" t="s">
        <v>746</v>
      </c>
      <c r="AA12" s="131" t="s">
        <v>747</v>
      </c>
    </row>
    <row r="13" spans="1:27" s="33" customFormat="1" ht="185.25" hidden="1" customHeight="1" x14ac:dyDescent="0.25">
      <c r="A13" s="27"/>
      <c r="B13" s="84" t="s">
        <v>648</v>
      </c>
      <c r="C13" s="84" t="s">
        <v>689</v>
      </c>
      <c r="D13" s="84" t="s">
        <v>649</v>
      </c>
      <c r="E13" s="131">
        <v>2</v>
      </c>
      <c r="F13" s="84" t="s">
        <v>748</v>
      </c>
      <c r="G13" s="84" t="s">
        <v>749</v>
      </c>
      <c r="H13" s="75" t="s">
        <v>750</v>
      </c>
      <c r="I13" s="76">
        <v>6</v>
      </c>
      <c r="J13" s="75" t="s">
        <v>693</v>
      </c>
      <c r="K13" s="76">
        <v>10</v>
      </c>
      <c r="L13" s="76"/>
      <c r="M13" s="84" t="s">
        <v>751</v>
      </c>
      <c r="N13" s="75"/>
      <c r="O13" s="76" t="s">
        <v>695</v>
      </c>
      <c r="P13" s="77"/>
      <c r="Q13" s="130" t="s">
        <v>752</v>
      </c>
      <c r="R13" s="133" t="s">
        <v>753</v>
      </c>
      <c r="S13" s="87" t="s">
        <v>722</v>
      </c>
      <c r="T13" s="87" t="s">
        <v>723</v>
      </c>
      <c r="U13" s="87" t="s">
        <v>754</v>
      </c>
      <c r="V13" s="87" t="s">
        <v>755</v>
      </c>
      <c r="W13" s="75"/>
      <c r="X13" s="87" t="s">
        <v>702</v>
      </c>
      <c r="Y13" s="84" t="s">
        <v>726</v>
      </c>
      <c r="Z13" s="84" t="s">
        <v>756</v>
      </c>
      <c r="AA13" s="131" t="s">
        <v>703</v>
      </c>
    </row>
    <row r="14" spans="1:27" s="33" customFormat="1" ht="321" hidden="1" customHeight="1" x14ac:dyDescent="0.25">
      <c r="A14" s="27"/>
      <c r="B14" s="84" t="s">
        <v>648</v>
      </c>
      <c r="C14" s="84" t="s">
        <v>689</v>
      </c>
      <c r="D14" s="84" t="s">
        <v>649</v>
      </c>
      <c r="E14" s="131">
        <v>2</v>
      </c>
      <c r="F14" s="84" t="s">
        <v>757</v>
      </c>
      <c r="G14" s="84" t="s">
        <v>758</v>
      </c>
      <c r="H14" s="75" t="s">
        <v>759</v>
      </c>
      <c r="I14" s="76">
        <v>7</v>
      </c>
      <c r="J14" s="75" t="s">
        <v>760</v>
      </c>
      <c r="K14" s="76">
        <v>23</v>
      </c>
      <c r="L14" s="76">
        <v>6</v>
      </c>
      <c r="M14" s="84" t="s">
        <v>761</v>
      </c>
      <c r="N14" s="75"/>
      <c r="O14" s="76" t="s">
        <v>695</v>
      </c>
      <c r="P14" s="77"/>
      <c r="Q14" s="130" t="s">
        <v>752</v>
      </c>
      <c r="R14" s="133" t="s">
        <v>762</v>
      </c>
      <c r="S14" s="87" t="s">
        <v>722</v>
      </c>
      <c r="T14" s="87" t="s">
        <v>723</v>
      </c>
      <c r="U14" s="87" t="s">
        <v>763</v>
      </c>
      <c r="V14" s="87" t="s">
        <v>764</v>
      </c>
      <c r="W14" s="75"/>
      <c r="X14" s="87" t="s">
        <v>702</v>
      </c>
      <c r="Y14" s="84" t="s">
        <v>726</v>
      </c>
      <c r="Z14" s="84" t="s">
        <v>765</v>
      </c>
      <c r="AA14" s="131" t="s">
        <v>703</v>
      </c>
    </row>
    <row r="15" spans="1:27" s="33" customFormat="1" ht="321" hidden="1" customHeight="1" x14ac:dyDescent="0.25">
      <c r="A15" s="27"/>
      <c r="B15" s="84" t="s">
        <v>648</v>
      </c>
      <c r="C15" s="84" t="s">
        <v>689</v>
      </c>
      <c r="D15" s="84" t="s">
        <v>649</v>
      </c>
      <c r="E15" s="131">
        <v>2</v>
      </c>
      <c r="F15" s="194" t="s">
        <v>766</v>
      </c>
      <c r="G15" s="194" t="s">
        <v>767</v>
      </c>
      <c r="H15" s="75" t="s">
        <v>768</v>
      </c>
      <c r="I15" s="76">
        <v>8</v>
      </c>
      <c r="J15" s="75" t="s">
        <v>693</v>
      </c>
      <c r="K15" s="76">
        <v>4</v>
      </c>
      <c r="L15" s="76"/>
      <c r="M15" s="159" t="s">
        <v>769</v>
      </c>
      <c r="N15" s="75"/>
      <c r="O15" s="76"/>
      <c r="P15" s="77"/>
      <c r="Q15" s="193"/>
      <c r="R15" s="193"/>
      <c r="S15" s="130" t="s">
        <v>770</v>
      </c>
      <c r="T15" s="130" t="s">
        <v>771</v>
      </c>
      <c r="U15" s="130" t="s">
        <v>772</v>
      </c>
      <c r="V15" s="130" t="s">
        <v>773</v>
      </c>
      <c r="W15" s="75"/>
      <c r="X15" s="87" t="s">
        <v>702</v>
      </c>
      <c r="Y15" s="194" t="s">
        <v>774</v>
      </c>
      <c r="Z15" s="194" t="s">
        <v>775</v>
      </c>
      <c r="AA15" s="195" t="s">
        <v>776</v>
      </c>
    </row>
    <row r="16" spans="1:27" s="33" customFormat="1" ht="229.5" hidden="1" customHeight="1" x14ac:dyDescent="0.25">
      <c r="A16" s="27"/>
      <c r="B16" s="84" t="s">
        <v>648</v>
      </c>
      <c r="C16" s="84" t="s">
        <v>689</v>
      </c>
      <c r="D16" s="84" t="s">
        <v>649</v>
      </c>
      <c r="E16" s="131">
        <v>2</v>
      </c>
      <c r="F16" s="159" t="s">
        <v>777</v>
      </c>
      <c r="G16" s="159" t="s">
        <v>778</v>
      </c>
      <c r="H16" s="75" t="s">
        <v>779</v>
      </c>
      <c r="I16" s="76">
        <v>9</v>
      </c>
      <c r="J16" s="75" t="s">
        <v>693</v>
      </c>
      <c r="K16" s="76">
        <v>4</v>
      </c>
      <c r="L16" s="76"/>
      <c r="M16" s="84" t="s">
        <v>780</v>
      </c>
      <c r="N16" s="75"/>
      <c r="O16" s="76"/>
      <c r="P16" s="87" t="s">
        <v>781</v>
      </c>
      <c r="Q16" s="130" t="s">
        <v>752</v>
      </c>
      <c r="R16" s="133" t="s">
        <v>782</v>
      </c>
      <c r="S16" s="87" t="s">
        <v>783</v>
      </c>
      <c r="T16" s="87" t="s">
        <v>784</v>
      </c>
      <c r="U16" s="87" t="s">
        <v>785</v>
      </c>
      <c r="V16" s="87" t="s">
        <v>786</v>
      </c>
      <c r="W16" s="75"/>
      <c r="X16" s="87" t="s">
        <v>712</v>
      </c>
      <c r="Y16" s="84" t="s">
        <v>787</v>
      </c>
      <c r="Z16" s="84" t="s">
        <v>788</v>
      </c>
      <c r="AA16" s="131" t="s">
        <v>789</v>
      </c>
    </row>
    <row r="17" spans="1:27" s="33" customFormat="1" ht="186.75" hidden="1" customHeight="1" x14ac:dyDescent="0.25">
      <c r="A17" s="27"/>
      <c r="B17" s="84" t="s">
        <v>648</v>
      </c>
      <c r="C17" s="84" t="s">
        <v>689</v>
      </c>
      <c r="D17" s="84" t="s">
        <v>649</v>
      </c>
      <c r="E17" s="131">
        <v>2</v>
      </c>
      <c r="F17" s="84" t="s">
        <v>790</v>
      </c>
      <c r="G17" s="84" t="s">
        <v>791</v>
      </c>
      <c r="H17" s="75" t="s">
        <v>750</v>
      </c>
      <c r="I17" s="76">
        <v>10</v>
      </c>
      <c r="J17" s="75" t="s">
        <v>693</v>
      </c>
      <c r="K17" s="76">
        <v>10</v>
      </c>
      <c r="L17" s="76"/>
      <c r="M17" s="84" t="s">
        <v>792</v>
      </c>
      <c r="N17" s="75"/>
      <c r="O17" s="76" t="s">
        <v>695</v>
      </c>
      <c r="P17" s="77"/>
      <c r="Q17" s="130" t="s">
        <v>752</v>
      </c>
      <c r="R17" s="133" t="s">
        <v>793</v>
      </c>
      <c r="S17" s="87" t="s">
        <v>722</v>
      </c>
      <c r="T17" s="87" t="s">
        <v>723</v>
      </c>
      <c r="U17" s="87" t="s">
        <v>794</v>
      </c>
      <c r="V17" s="87" t="s">
        <v>795</v>
      </c>
      <c r="W17" s="75"/>
      <c r="X17" s="87" t="s">
        <v>702</v>
      </c>
      <c r="Y17" s="84" t="s">
        <v>726</v>
      </c>
      <c r="Z17" s="84" t="s">
        <v>796</v>
      </c>
      <c r="AA17" s="131" t="s">
        <v>703</v>
      </c>
    </row>
    <row r="18" spans="1:27" s="33" customFormat="1" ht="204.75" hidden="1" customHeight="1" x14ac:dyDescent="0.25">
      <c r="A18" s="27"/>
      <c r="B18" s="84" t="s">
        <v>648</v>
      </c>
      <c r="C18" s="84" t="s">
        <v>689</v>
      </c>
      <c r="D18" s="84" t="s">
        <v>649</v>
      </c>
      <c r="E18" s="131">
        <v>2</v>
      </c>
      <c r="F18" s="77" t="s">
        <v>797</v>
      </c>
      <c r="G18" s="77" t="s">
        <v>798</v>
      </c>
      <c r="H18" s="77" t="s">
        <v>799</v>
      </c>
      <c r="I18" s="76">
        <v>11</v>
      </c>
      <c r="J18" s="77" t="s">
        <v>693</v>
      </c>
      <c r="K18" s="76">
        <v>2</v>
      </c>
      <c r="L18" s="76"/>
      <c r="M18" s="86" t="s">
        <v>800</v>
      </c>
      <c r="N18" s="86"/>
      <c r="O18" s="76"/>
      <c r="P18" s="86" t="s">
        <v>801</v>
      </c>
      <c r="Q18" s="87"/>
      <c r="R18" s="77"/>
      <c r="S18" s="87" t="s">
        <v>722</v>
      </c>
      <c r="T18" s="87" t="s">
        <v>723</v>
      </c>
      <c r="U18" s="87" t="s">
        <v>802</v>
      </c>
      <c r="V18" s="87" t="s">
        <v>803</v>
      </c>
      <c r="W18" s="76"/>
      <c r="X18" s="87" t="s">
        <v>702</v>
      </c>
      <c r="Y18" s="84" t="s">
        <v>703</v>
      </c>
      <c r="Z18" s="84" t="s">
        <v>703</v>
      </c>
      <c r="AA18" s="201" t="s">
        <v>804</v>
      </c>
    </row>
    <row r="19" spans="1:27" s="33" customFormat="1" ht="204" hidden="1" customHeight="1" x14ac:dyDescent="0.25">
      <c r="A19" s="27"/>
      <c r="B19" s="84" t="s">
        <v>648</v>
      </c>
      <c r="C19" s="84" t="s">
        <v>689</v>
      </c>
      <c r="D19" s="84" t="s">
        <v>649</v>
      </c>
      <c r="E19" s="131">
        <v>2</v>
      </c>
      <c r="F19" s="84" t="s">
        <v>805</v>
      </c>
      <c r="G19" s="84" t="s">
        <v>806</v>
      </c>
      <c r="H19" s="75" t="s">
        <v>807</v>
      </c>
      <c r="I19" s="76">
        <v>12</v>
      </c>
      <c r="J19" s="75" t="s">
        <v>693</v>
      </c>
      <c r="K19" s="76">
        <v>10</v>
      </c>
      <c r="L19" s="76"/>
      <c r="M19" s="86" t="s">
        <v>808</v>
      </c>
      <c r="N19" s="75"/>
      <c r="O19" s="76" t="s">
        <v>695</v>
      </c>
      <c r="P19" s="77"/>
      <c r="Q19" s="84"/>
      <c r="R19" s="84"/>
      <c r="S19" s="87" t="s">
        <v>722</v>
      </c>
      <c r="T19" s="87" t="s">
        <v>723</v>
      </c>
      <c r="U19" s="87" t="s">
        <v>809</v>
      </c>
      <c r="V19" s="87" t="s">
        <v>810</v>
      </c>
      <c r="W19" s="75"/>
      <c r="X19" s="84" t="s">
        <v>811</v>
      </c>
      <c r="Y19" s="84" t="s">
        <v>703</v>
      </c>
      <c r="Z19" s="84" t="s">
        <v>703</v>
      </c>
      <c r="AA19" s="131" t="s">
        <v>703</v>
      </c>
    </row>
    <row r="20" spans="1:27" s="33" customFormat="1" ht="158.25" hidden="1" customHeight="1" x14ac:dyDescent="0.25">
      <c r="A20" s="27"/>
      <c r="B20" s="84" t="s">
        <v>648</v>
      </c>
      <c r="C20" s="84" t="s">
        <v>689</v>
      </c>
      <c r="D20" s="84" t="s">
        <v>649</v>
      </c>
      <c r="E20" s="131">
        <v>2</v>
      </c>
      <c r="F20" s="84" t="s">
        <v>812</v>
      </c>
      <c r="G20" s="84" t="s">
        <v>813</v>
      </c>
      <c r="H20" s="75" t="s">
        <v>814</v>
      </c>
      <c r="I20" s="76">
        <v>13</v>
      </c>
      <c r="J20" s="75" t="s">
        <v>815</v>
      </c>
      <c r="K20" s="76">
        <v>23</v>
      </c>
      <c r="L20" s="76"/>
      <c r="M20" s="86" t="s">
        <v>816</v>
      </c>
      <c r="N20" s="75"/>
      <c r="O20" s="76"/>
      <c r="P20" s="77"/>
      <c r="Q20" s="84"/>
      <c r="R20" s="84"/>
      <c r="S20" s="87" t="s">
        <v>722</v>
      </c>
      <c r="T20" s="87" t="s">
        <v>723</v>
      </c>
      <c r="U20" s="87" t="s">
        <v>802</v>
      </c>
      <c r="V20" s="87" t="s">
        <v>817</v>
      </c>
      <c r="W20" s="75"/>
      <c r="X20" s="84" t="s">
        <v>811</v>
      </c>
      <c r="Y20" s="84" t="s">
        <v>703</v>
      </c>
      <c r="Z20" s="84" t="s">
        <v>703</v>
      </c>
      <c r="AA20" s="131" t="s">
        <v>818</v>
      </c>
    </row>
    <row r="21" spans="1:27" s="33" customFormat="1" ht="171" hidden="1" customHeight="1" x14ac:dyDescent="0.25">
      <c r="A21" s="27"/>
      <c r="B21" s="84" t="s">
        <v>651</v>
      </c>
      <c r="C21" s="84" t="s">
        <v>819</v>
      </c>
      <c r="D21" s="84" t="s">
        <v>652</v>
      </c>
      <c r="E21" s="131">
        <v>2</v>
      </c>
      <c r="F21" s="84" t="s">
        <v>690</v>
      </c>
      <c r="G21" s="84" t="s">
        <v>691</v>
      </c>
      <c r="H21" s="75" t="s">
        <v>692</v>
      </c>
      <c r="I21" s="76">
        <v>1</v>
      </c>
      <c r="J21" s="77" t="s">
        <v>693</v>
      </c>
      <c r="K21" s="76">
        <v>4</v>
      </c>
      <c r="L21" s="76"/>
      <c r="M21" s="84" t="s">
        <v>694</v>
      </c>
      <c r="N21" s="75"/>
      <c r="O21" s="76" t="s">
        <v>695</v>
      </c>
      <c r="P21" s="77"/>
      <c r="Q21" s="130" t="s">
        <v>820</v>
      </c>
      <c r="R21" s="133" t="s">
        <v>821</v>
      </c>
      <c r="S21" s="86" t="s">
        <v>822</v>
      </c>
      <c r="T21" s="86" t="s">
        <v>823</v>
      </c>
      <c r="U21" s="87" t="s">
        <v>824</v>
      </c>
      <c r="V21" s="86" t="s">
        <v>825</v>
      </c>
      <c r="W21" s="75"/>
      <c r="X21" s="84" t="s">
        <v>826</v>
      </c>
      <c r="Y21" s="84" t="s">
        <v>811</v>
      </c>
      <c r="Z21" s="84" t="s">
        <v>811</v>
      </c>
      <c r="AA21" s="131" t="s">
        <v>827</v>
      </c>
    </row>
    <row r="22" spans="1:27" s="33" customFormat="1" ht="120" hidden="1" customHeight="1" x14ac:dyDescent="0.25">
      <c r="A22" s="27"/>
      <c r="B22" s="84" t="s">
        <v>651</v>
      </c>
      <c r="C22" s="84" t="s">
        <v>819</v>
      </c>
      <c r="D22" s="84" t="s">
        <v>652</v>
      </c>
      <c r="E22" s="131">
        <v>2</v>
      </c>
      <c r="F22" s="84" t="s">
        <v>705</v>
      </c>
      <c r="G22" s="84" t="s">
        <v>706</v>
      </c>
      <c r="H22" s="75" t="s">
        <v>692</v>
      </c>
      <c r="I22" s="76">
        <v>2</v>
      </c>
      <c r="J22" s="77" t="s">
        <v>693</v>
      </c>
      <c r="K22" s="76">
        <v>30</v>
      </c>
      <c r="L22" s="76"/>
      <c r="M22" s="84" t="s">
        <v>707</v>
      </c>
      <c r="N22" s="75"/>
      <c r="O22" s="76" t="s">
        <v>695</v>
      </c>
      <c r="P22" s="77"/>
      <c r="Q22" s="130" t="s">
        <v>820</v>
      </c>
      <c r="R22" s="133" t="s">
        <v>821</v>
      </c>
      <c r="S22" s="86" t="s">
        <v>828</v>
      </c>
      <c r="T22" s="86" t="s">
        <v>829</v>
      </c>
      <c r="U22" s="87" t="s">
        <v>830</v>
      </c>
      <c r="V22" s="86" t="s">
        <v>831</v>
      </c>
      <c r="W22" s="75"/>
      <c r="X22" s="84" t="s">
        <v>826</v>
      </c>
      <c r="Y22" s="84" t="s">
        <v>832</v>
      </c>
      <c r="Z22" s="209" t="s">
        <v>833</v>
      </c>
      <c r="AA22" s="131" t="s">
        <v>811</v>
      </c>
    </row>
    <row r="23" spans="1:27" s="33" customFormat="1" ht="99.75" hidden="1" customHeight="1" x14ac:dyDescent="0.25">
      <c r="A23" s="27"/>
      <c r="B23" s="84" t="s">
        <v>651</v>
      </c>
      <c r="C23" s="84" t="s">
        <v>819</v>
      </c>
      <c r="D23" s="84" t="s">
        <v>652</v>
      </c>
      <c r="E23" s="131">
        <v>2</v>
      </c>
      <c r="F23" s="84" t="s">
        <v>715</v>
      </c>
      <c r="G23" s="84" t="s">
        <v>716</v>
      </c>
      <c r="H23" s="75" t="s">
        <v>717</v>
      </c>
      <c r="I23" s="76">
        <v>3</v>
      </c>
      <c r="J23" s="75" t="s">
        <v>718</v>
      </c>
      <c r="K23" s="76"/>
      <c r="L23" s="76"/>
      <c r="M23" s="84" t="s">
        <v>834</v>
      </c>
      <c r="N23" s="75"/>
      <c r="O23" s="76" t="s">
        <v>695</v>
      </c>
      <c r="P23" s="77"/>
      <c r="Q23" s="130" t="s">
        <v>720</v>
      </c>
      <c r="R23" s="84" t="s">
        <v>721</v>
      </c>
      <c r="S23" s="86" t="s">
        <v>828</v>
      </c>
      <c r="T23" s="86" t="s">
        <v>829</v>
      </c>
      <c r="U23" s="84" t="s">
        <v>835</v>
      </c>
      <c r="V23" s="86" t="s">
        <v>836</v>
      </c>
      <c r="W23" s="75"/>
      <c r="X23" s="84" t="s">
        <v>826</v>
      </c>
      <c r="Y23" s="84" t="s">
        <v>832</v>
      </c>
      <c r="Z23" s="84" t="s">
        <v>837</v>
      </c>
      <c r="AA23" s="131" t="s">
        <v>811</v>
      </c>
    </row>
    <row r="24" spans="1:27" s="33" customFormat="1" ht="99.75" hidden="1" customHeight="1" x14ac:dyDescent="0.25">
      <c r="A24" s="27"/>
      <c r="B24" s="84" t="s">
        <v>651</v>
      </c>
      <c r="C24" s="84" t="s">
        <v>819</v>
      </c>
      <c r="D24" s="84" t="s">
        <v>652</v>
      </c>
      <c r="E24" s="131">
        <v>2</v>
      </c>
      <c r="F24" s="84" t="s">
        <v>728</v>
      </c>
      <c r="G24" s="84" t="s">
        <v>729</v>
      </c>
      <c r="H24" s="75" t="s">
        <v>717</v>
      </c>
      <c r="I24" s="76">
        <v>4</v>
      </c>
      <c r="J24" s="75" t="s">
        <v>718</v>
      </c>
      <c r="K24" s="76"/>
      <c r="L24" s="76"/>
      <c r="M24" s="84" t="s">
        <v>730</v>
      </c>
      <c r="N24" s="75"/>
      <c r="O24" s="76" t="s">
        <v>695</v>
      </c>
      <c r="P24" s="77"/>
      <c r="Q24" s="130" t="s">
        <v>720</v>
      </c>
      <c r="R24" s="84" t="s">
        <v>721</v>
      </c>
      <c r="S24" s="86" t="s">
        <v>828</v>
      </c>
      <c r="T24" s="86" t="s">
        <v>829</v>
      </c>
      <c r="U24" s="84" t="s">
        <v>838</v>
      </c>
      <c r="V24" s="86" t="s">
        <v>839</v>
      </c>
      <c r="W24" s="75"/>
      <c r="X24" s="84" t="s">
        <v>826</v>
      </c>
      <c r="Y24" s="84" t="s">
        <v>832</v>
      </c>
      <c r="Z24" s="84" t="s">
        <v>840</v>
      </c>
      <c r="AA24" s="131" t="s">
        <v>811</v>
      </c>
    </row>
    <row r="25" spans="1:27" s="33" customFormat="1" ht="157.5" hidden="1" customHeight="1" x14ac:dyDescent="0.25">
      <c r="A25" s="27"/>
      <c r="B25" s="84" t="s">
        <v>651</v>
      </c>
      <c r="C25" s="84" t="s">
        <v>819</v>
      </c>
      <c r="D25" s="84" t="s">
        <v>652</v>
      </c>
      <c r="E25" s="131">
        <v>2</v>
      </c>
      <c r="F25" s="159" t="s">
        <v>736</v>
      </c>
      <c r="G25" s="159" t="s">
        <v>737</v>
      </c>
      <c r="H25" s="75" t="s">
        <v>779</v>
      </c>
      <c r="I25" s="76">
        <v>5</v>
      </c>
      <c r="J25" s="75" t="s">
        <v>693</v>
      </c>
      <c r="K25" s="76">
        <v>4</v>
      </c>
      <c r="L25" s="76"/>
      <c r="M25" s="159" t="s">
        <v>739</v>
      </c>
      <c r="N25" s="75"/>
      <c r="O25" s="76" t="s">
        <v>695</v>
      </c>
      <c r="P25" s="87" t="s">
        <v>841</v>
      </c>
      <c r="Q25" s="130" t="s">
        <v>842</v>
      </c>
      <c r="R25" s="133" t="s">
        <v>843</v>
      </c>
      <c r="S25" s="86" t="s">
        <v>844</v>
      </c>
      <c r="T25" s="86" t="s">
        <v>845</v>
      </c>
      <c r="U25" s="86" t="s">
        <v>846</v>
      </c>
      <c r="V25" s="86" t="s">
        <v>847</v>
      </c>
      <c r="W25" s="75"/>
      <c r="X25" s="84" t="s">
        <v>826</v>
      </c>
      <c r="Y25" s="84" t="s">
        <v>832</v>
      </c>
      <c r="Z25" s="86" t="s">
        <v>848</v>
      </c>
      <c r="AA25" s="131" t="s">
        <v>811</v>
      </c>
    </row>
    <row r="26" spans="1:27" s="33" customFormat="1" ht="99.75" hidden="1" customHeight="1" x14ac:dyDescent="0.25">
      <c r="A26" s="27"/>
      <c r="B26" s="194" t="s">
        <v>651</v>
      </c>
      <c r="C26" s="194" t="s">
        <v>819</v>
      </c>
      <c r="D26" s="194" t="s">
        <v>652</v>
      </c>
      <c r="E26" s="195">
        <v>2</v>
      </c>
      <c r="F26" s="194" t="s">
        <v>766</v>
      </c>
      <c r="G26" s="194" t="s">
        <v>767</v>
      </c>
      <c r="H26" s="75" t="s">
        <v>768</v>
      </c>
      <c r="I26" s="76">
        <v>6</v>
      </c>
      <c r="J26" s="75" t="s">
        <v>693</v>
      </c>
      <c r="K26" s="76">
        <v>4</v>
      </c>
      <c r="L26" s="76"/>
      <c r="M26" s="159" t="s">
        <v>769</v>
      </c>
      <c r="N26" s="75"/>
      <c r="O26" s="76"/>
      <c r="P26" s="77"/>
      <c r="Q26" s="193"/>
      <c r="R26" s="193"/>
      <c r="S26" s="86" t="s">
        <v>844</v>
      </c>
      <c r="T26" s="86" t="s">
        <v>849</v>
      </c>
      <c r="U26" s="86" t="s">
        <v>824</v>
      </c>
      <c r="V26" s="242" t="s">
        <v>850</v>
      </c>
      <c r="W26" s="75"/>
      <c r="X26" s="84" t="s">
        <v>826</v>
      </c>
      <c r="Y26" s="84" t="s">
        <v>832</v>
      </c>
      <c r="Z26" s="86" t="s">
        <v>848</v>
      </c>
      <c r="AA26" s="131" t="s">
        <v>811</v>
      </c>
    </row>
    <row r="27" spans="1:27" s="33" customFormat="1" ht="99.75" hidden="1" customHeight="1" x14ac:dyDescent="0.25">
      <c r="A27" s="27"/>
      <c r="B27" s="84" t="s">
        <v>651</v>
      </c>
      <c r="C27" s="84" t="s">
        <v>819</v>
      </c>
      <c r="D27" s="84" t="s">
        <v>652</v>
      </c>
      <c r="E27" s="131">
        <v>2</v>
      </c>
      <c r="F27" s="159" t="s">
        <v>777</v>
      </c>
      <c r="G27" s="159" t="s">
        <v>778</v>
      </c>
      <c r="H27" s="75" t="s">
        <v>779</v>
      </c>
      <c r="I27" s="76">
        <v>7</v>
      </c>
      <c r="J27" s="75" t="s">
        <v>693</v>
      </c>
      <c r="K27" s="76">
        <v>4</v>
      </c>
      <c r="L27" s="76"/>
      <c r="M27" s="84" t="s">
        <v>780</v>
      </c>
      <c r="N27" s="75"/>
      <c r="O27" s="76"/>
      <c r="P27" s="86" t="s">
        <v>851</v>
      </c>
      <c r="Q27" s="130" t="s">
        <v>752</v>
      </c>
      <c r="R27" s="133" t="s">
        <v>782</v>
      </c>
      <c r="S27" s="86" t="s">
        <v>828</v>
      </c>
      <c r="T27" s="86" t="s">
        <v>829</v>
      </c>
      <c r="U27" s="84" t="s">
        <v>852</v>
      </c>
      <c r="V27" s="86" t="s">
        <v>853</v>
      </c>
      <c r="W27" s="75"/>
      <c r="X27" s="84" t="s">
        <v>826</v>
      </c>
      <c r="Y27" s="84" t="s">
        <v>832</v>
      </c>
      <c r="Z27" s="84" t="s">
        <v>854</v>
      </c>
      <c r="AA27" s="131" t="s">
        <v>811</v>
      </c>
    </row>
    <row r="28" spans="1:27" s="33" customFormat="1" ht="99.75" hidden="1" customHeight="1" x14ac:dyDescent="0.25">
      <c r="A28" s="27"/>
      <c r="B28" s="84" t="s">
        <v>651</v>
      </c>
      <c r="C28" s="84" t="s">
        <v>819</v>
      </c>
      <c r="D28" s="84" t="s">
        <v>652</v>
      </c>
      <c r="E28" s="131">
        <v>2</v>
      </c>
      <c r="F28" s="84" t="s">
        <v>790</v>
      </c>
      <c r="G28" s="84" t="s">
        <v>791</v>
      </c>
      <c r="H28" s="75" t="s">
        <v>750</v>
      </c>
      <c r="I28" s="76">
        <v>8</v>
      </c>
      <c r="J28" s="75" t="s">
        <v>693</v>
      </c>
      <c r="K28" s="76">
        <v>10</v>
      </c>
      <c r="L28" s="76"/>
      <c r="M28" s="84" t="s">
        <v>792</v>
      </c>
      <c r="N28" s="75"/>
      <c r="O28" s="76"/>
      <c r="P28" s="77"/>
      <c r="Q28" s="130" t="s">
        <v>752</v>
      </c>
      <c r="R28" s="133" t="s">
        <v>793</v>
      </c>
      <c r="S28" s="86" t="s">
        <v>828</v>
      </c>
      <c r="T28" s="86" t="s">
        <v>829</v>
      </c>
      <c r="U28" s="84" t="s">
        <v>855</v>
      </c>
      <c r="V28" s="86" t="s">
        <v>856</v>
      </c>
      <c r="W28" s="75"/>
      <c r="X28" s="84" t="s">
        <v>826</v>
      </c>
      <c r="Y28" s="84" t="s">
        <v>832</v>
      </c>
      <c r="Z28" s="84" t="s">
        <v>857</v>
      </c>
      <c r="AA28" s="131" t="s">
        <v>811</v>
      </c>
    </row>
    <row r="29" spans="1:27" s="33" customFormat="1" ht="99.75" hidden="1" customHeight="1" x14ac:dyDescent="0.25">
      <c r="A29" s="27"/>
      <c r="B29" s="84" t="s">
        <v>651</v>
      </c>
      <c r="C29" s="84" t="s">
        <v>819</v>
      </c>
      <c r="D29" s="84" t="s">
        <v>652</v>
      </c>
      <c r="E29" s="131">
        <v>2</v>
      </c>
      <c r="F29" s="84" t="s">
        <v>748</v>
      </c>
      <c r="G29" s="84" t="s">
        <v>749</v>
      </c>
      <c r="H29" s="75" t="s">
        <v>750</v>
      </c>
      <c r="I29" s="76">
        <v>9</v>
      </c>
      <c r="J29" s="75" t="s">
        <v>693</v>
      </c>
      <c r="K29" s="76">
        <v>10</v>
      </c>
      <c r="L29" s="76"/>
      <c r="M29" s="84" t="s">
        <v>751</v>
      </c>
      <c r="N29" s="75"/>
      <c r="O29" s="76"/>
      <c r="P29" s="77"/>
      <c r="Q29" s="130" t="s">
        <v>752</v>
      </c>
      <c r="R29" s="133" t="s">
        <v>753</v>
      </c>
      <c r="S29" s="86" t="s">
        <v>828</v>
      </c>
      <c r="T29" s="86" t="s">
        <v>829</v>
      </c>
      <c r="U29" s="191" t="s">
        <v>858</v>
      </c>
      <c r="V29" s="86" t="s">
        <v>859</v>
      </c>
      <c r="W29" s="75"/>
      <c r="X29" s="84" t="s">
        <v>826</v>
      </c>
      <c r="Y29" s="84" t="s">
        <v>832</v>
      </c>
      <c r="Z29" s="191" t="s">
        <v>860</v>
      </c>
      <c r="AA29" s="131" t="s">
        <v>811</v>
      </c>
    </row>
    <row r="30" spans="1:27" s="33" customFormat="1" ht="99.75" hidden="1" customHeight="1" x14ac:dyDescent="0.25">
      <c r="A30" s="27"/>
      <c r="B30" s="84" t="s">
        <v>651</v>
      </c>
      <c r="C30" s="84" t="s">
        <v>819</v>
      </c>
      <c r="D30" s="84" t="s">
        <v>652</v>
      </c>
      <c r="E30" s="131">
        <v>2</v>
      </c>
      <c r="F30" s="84" t="s">
        <v>757</v>
      </c>
      <c r="G30" s="84" t="s">
        <v>758</v>
      </c>
      <c r="H30" s="75" t="s">
        <v>759</v>
      </c>
      <c r="I30" s="76">
        <v>10</v>
      </c>
      <c r="J30" s="75" t="s">
        <v>760</v>
      </c>
      <c r="K30" s="76">
        <v>23</v>
      </c>
      <c r="L30" s="76">
        <v>6</v>
      </c>
      <c r="M30" s="84" t="s">
        <v>761</v>
      </c>
      <c r="N30" s="75"/>
      <c r="O30" s="76"/>
      <c r="P30" s="77"/>
      <c r="Q30" s="130" t="s">
        <v>752</v>
      </c>
      <c r="R30" s="133" t="s">
        <v>762</v>
      </c>
      <c r="S30" s="86" t="s">
        <v>828</v>
      </c>
      <c r="T30" s="86" t="s">
        <v>829</v>
      </c>
      <c r="U30" s="84" t="s">
        <v>861</v>
      </c>
      <c r="V30" s="86" t="s">
        <v>862</v>
      </c>
      <c r="W30" s="75"/>
      <c r="X30" s="84" t="s">
        <v>826</v>
      </c>
      <c r="Y30" s="84" t="s">
        <v>832</v>
      </c>
      <c r="Z30" s="84" t="s">
        <v>863</v>
      </c>
      <c r="AA30" s="131" t="s">
        <v>811</v>
      </c>
    </row>
    <row r="31" spans="1:27" s="33" customFormat="1" ht="99.75" hidden="1" customHeight="1" x14ac:dyDescent="0.25">
      <c r="A31" s="27"/>
      <c r="B31" s="84" t="s">
        <v>651</v>
      </c>
      <c r="C31" s="84" t="s">
        <v>819</v>
      </c>
      <c r="D31" s="84" t="s">
        <v>652</v>
      </c>
      <c r="E31" s="131">
        <v>2</v>
      </c>
      <c r="F31" s="77" t="s">
        <v>797</v>
      </c>
      <c r="G31" s="77" t="s">
        <v>798</v>
      </c>
      <c r="H31" s="77" t="s">
        <v>799</v>
      </c>
      <c r="I31" s="76">
        <v>11</v>
      </c>
      <c r="J31" s="77" t="s">
        <v>693</v>
      </c>
      <c r="K31" s="76">
        <v>2</v>
      </c>
      <c r="L31" s="76"/>
      <c r="M31" s="86" t="s">
        <v>800</v>
      </c>
      <c r="N31" s="86"/>
      <c r="O31" s="76"/>
      <c r="P31" s="86" t="s">
        <v>801</v>
      </c>
      <c r="Q31" s="87"/>
      <c r="R31" s="77"/>
      <c r="S31" s="86" t="s">
        <v>828</v>
      </c>
      <c r="T31" s="86" t="s">
        <v>829</v>
      </c>
      <c r="U31" s="87" t="s">
        <v>818</v>
      </c>
      <c r="V31" s="86" t="s">
        <v>864</v>
      </c>
      <c r="W31" s="76"/>
      <c r="X31" s="84" t="s">
        <v>826</v>
      </c>
      <c r="Y31" s="87" t="s">
        <v>811</v>
      </c>
      <c r="Z31" s="87" t="s">
        <v>811</v>
      </c>
      <c r="AA31" s="201" t="s">
        <v>865</v>
      </c>
    </row>
    <row r="32" spans="1:27" s="33" customFormat="1" ht="99.75" hidden="1" customHeight="1" x14ac:dyDescent="0.25">
      <c r="A32" s="27"/>
      <c r="B32" s="84" t="s">
        <v>651</v>
      </c>
      <c r="C32" s="84" t="s">
        <v>819</v>
      </c>
      <c r="D32" s="84" t="s">
        <v>652</v>
      </c>
      <c r="E32" s="131">
        <v>2</v>
      </c>
      <c r="F32" s="84" t="s">
        <v>805</v>
      </c>
      <c r="G32" s="84" t="s">
        <v>806</v>
      </c>
      <c r="H32" s="75" t="s">
        <v>807</v>
      </c>
      <c r="I32" s="76">
        <v>12</v>
      </c>
      <c r="J32" s="75" t="s">
        <v>693</v>
      </c>
      <c r="K32" s="76">
        <v>10</v>
      </c>
      <c r="L32" s="76"/>
      <c r="M32" s="84" t="s">
        <v>808</v>
      </c>
      <c r="N32" s="75"/>
      <c r="O32" s="76" t="s">
        <v>695</v>
      </c>
      <c r="P32" s="77"/>
      <c r="Q32" s="130"/>
      <c r="R32" s="133"/>
      <c r="S32" s="86" t="s">
        <v>828</v>
      </c>
      <c r="T32" s="86" t="s">
        <v>829</v>
      </c>
      <c r="U32" s="87" t="s">
        <v>866</v>
      </c>
      <c r="V32" s="86" t="s">
        <v>867</v>
      </c>
      <c r="W32" s="75"/>
      <c r="X32" s="87" t="s">
        <v>811</v>
      </c>
      <c r="Y32" s="87" t="s">
        <v>811</v>
      </c>
      <c r="Z32" s="87" t="s">
        <v>811</v>
      </c>
      <c r="AA32" s="131" t="s">
        <v>811</v>
      </c>
    </row>
    <row r="33" spans="1:27" s="33" customFormat="1" ht="99.75" hidden="1" customHeight="1" x14ac:dyDescent="0.25">
      <c r="A33" s="27"/>
      <c r="B33" s="84" t="s">
        <v>651</v>
      </c>
      <c r="C33" s="84" t="s">
        <v>819</v>
      </c>
      <c r="D33" s="84" t="s">
        <v>652</v>
      </c>
      <c r="E33" s="131">
        <v>2</v>
      </c>
      <c r="F33" s="84" t="s">
        <v>812</v>
      </c>
      <c r="G33" s="84" t="s">
        <v>813</v>
      </c>
      <c r="H33" s="75" t="s">
        <v>814</v>
      </c>
      <c r="I33" s="76">
        <v>13</v>
      </c>
      <c r="J33" s="75" t="s">
        <v>815</v>
      </c>
      <c r="K33" s="76">
        <v>23</v>
      </c>
      <c r="L33" s="76"/>
      <c r="M33" s="84" t="s">
        <v>816</v>
      </c>
      <c r="N33" s="75"/>
      <c r="O33" s="76"/>
      <c r="P33" s="77"/>
      <c r="Q33" s="84"/>
      <c r="R33" s="84"/>
      <c r="S33" s="86" t="s">
        <v>828</v>
      </c>
      <c r="T33" s="86" t="s">
        <v>829</v>
      </c>
      <c r="U33" s="87" t="s">
        <v>818</v>
      </c>
      <c r="V33" s="86" t="s">
        <v>868</v>
      </c>
      <c r="W33" s="75"/>
      <c r="X33" s="87" t="s">
        <v>811</v>
      </c>
      <c r="Y33" s="87" t="s">
        <v>811</v>
      </c>
      <c r="Z33" s="87" t="s">
        <v>811</v>
      </c>
      <c r="AA33" s="131" t="s">
        <v>811</v>
      </c>
    </row>
    <row r="34" spans="1:27" s="33" customFormat="1" ht="387.75" hidden="1" customHeight="1" x14ac:dyDescent="0.25">
      <c r="A34" s="27"/>
      <c r="B34" s="84" t="s">
        <v>869</v>
      </c>
      <c r="C34" s="159" t="s">
        <v>870</v>
      </c>
      <c r="D34" s="84" t="s">
        <v>871</v>
      </c>
      <c r="E34" s="131">
        <v>2</v>
      </c>
      <c r="F34" s="84" t="s">
        <v>690</v>
      </c>
      <c r="G34" s="84" t="s">
        <v>691</v>
      </c>
      <c r="H34" s="75" t="s">
        <v>872</v>
      </c>
      <c r="I34" s="76">
        <v>1</v>
      </c>
      <c r="J34" s="77" t="s">
        <v>693</v>
      </c>
      <c r="K34" s="76">
        <v>4</v>
      </c>
      <c r="L34" s="76"/>
      <c r="M34" s="84" t="s">
        <v>694</v>
      </c>
      <c r="N34" s="75"/>
      <c r="O34" s="76" t="s">
        <v>695</v>
      </c>
      <c r="P34" s="77"/>
      <c r="Q34" s="130" t="s">
        <v>873</v>
      </c>
      <c r="R34" s="133" t="s">
        <v>874</v>
      </c>
      <c r="S34" s="86" t="s">
        <v>875</v>
      </c>
      <c r="T34" s="86" t="s">
        <v>876</v>
      </c>
      <c r="U34" s="87" t="s">
        <v>877</v>
      </c>
      <c r="V34" s="86" t="s">
        <v>878</v>
      </c>
      <c r="W34" s="75"/>
      <c r="X34" s="87" t="s">
        <v>879</v>
      </c>
      <c r="Y34" s="84" t="s">
        <v>818</v>
      </c>
      <c r="Z34" s="84" t="s">
        <v>818</v>
      </c>
      <c r="AA34" s="131" t="s">
        <v>880</v>
      </c>
    </row>
    <row r="35" spans="1:27" s="33" customFormat="1" ht="262.5" hidden="1" customHeight="1" x14ac:dyDescent="0.25">
      <c r="A35" s="27"/>
      <c r="B35" s="84" t="s">
        <v>869</v>
      </c>
      <c r="C35" s="159" t="s">
        <v>870</v>
      </c>
      <c r="D35" s="84" t="s">
        <v>871</v>
      </c>
      <c r="E35" s="131">
        <v>2</v>
      </c>
      <c r="F35" s="84" t="s">
        <v>705</v>
      </c>
      <c r="G35" s="84" t="s">
        <v>706</v>
      </c>
      <c r="H35" s="75" t="s">
        <v>872</v>
      </c>
      <c r="I35" s="76">
        <v>2</v>
      </c>
      <c r="J35" s="77" t="s">
        <v>693</v>
      </c>
      <c r="K35" s="76">
        <v>30</v>
      </c>
      <c r="L35" s="76"/>
      <c r="M35" s="84" t="s">
        <v>707</v>
      </c>
      <c r="N35" s="75"/>
      <c r="O35" s="76" t="s">
        <v>695</v>
      </c>
      <c r="P35" s="77"/>
      <c r="Q35" s="130" t="s">
        <v>873</v>
      </c>
      <c r="R35" s="133" t="s">
        <v>874</v>
      </c>
      <c r="S35" s="86" t="s">
        <v>881</v>
      </c>
      <c r="T35" s="86" t="s">
        <v>882</v>
      </c>
      <c r="U35" s="87" t="s">
        <v>883</v>
      </c>
      <c r="V35" s="86" t="s">
        <v>884</v>
      </c>
      <c r="W35" s="75"/>
      <c r="X35" s="87" t="s">
        <v>879</v>
      </c>
      <c r="Y35" s="84" t="s">
        <v>885</v>
      </c>
      <c r="Z35" s="84" t="s">
        <v>886</v>
      </c>
      <c r="AA35" s="131" t="s">
        <v>818</v>
      </c>
    </row>
    <row r="36" spans="1:27" s="33" customFormat="1" ht="255" hidden="1" customHeight="1" x14ac:dyDescent="0.25">
      <c r="A36" s="27"/>
      <c r="B36" s="84" t="s">
        <v>869</v>
      </c>
      <c r="C36" s="159" t="s">
        <v>870</v>
      </c>
      <c r="D36" s="84" t="s">
        <v>871</v>
      </c>
      <c r="E36" s="131">
        <v>2</v>
      </c>
      <c r="F36" s="84" t="s">
        <v>715</v>
      </c>
      <c r="G36" s="84" t="s">
        <v>716</v>
      </c>
      <c r="H36" s="75" t="s">
        <v>759</v>
      </c>
      <c r="I36" s="76">
        <v>3</v>
      </c>
      <c r="J36" s="75" t="s">
        <v>887</v>
      </c>
      <c r="K36" s="76"/>
      <c r="L36" s="76"/>
      <c r="M36" s="84" t="s">
        <v>888</v>
      </c>
      <c r="N36" s="75"/>
      <c r="O36" s="76" t="s">
        <v>695</v>
      </c>
      <c r="P36" s="77"/>
      <c r="Q36" s="130" t="s">
        <v>889</v>
      </c>
      <c r="R36" s="133" t="s">
        <v>721</v>
      </c>
      <c r="S36" s="86" t="s">
        <v>881</v>
      </c>
      <c r="T36" s="86" t="s">
        <v>882</v>
      </c>
      <c r="U36" s="86" t="s">
        <v>890</v>
      </c>
      <c r="V36" s="86" t="s">
        <v>891</v>
      </c>
      <c r="W36" s="75"/>
      <c r="X36" s="87" t="s">
        <v>879</v>
      </c>
      <c r="Y36" s="86" t="s">
        <v>892</v>
      </c>
      <c r="Z36" s="84" t="s">
        <v>893</v>
      </c>
      <c r="AA36" s="131" t="s">
        <v>818</v>
      </c>
    </row>
    <row r="37" spans="1:27" s="33" customFormat="1" ht="246" hidden="1" customHeight="1" x14ac:dyDescent="0.25">
      <c r="A37" s="27"/>
      <c r="B37" s="84" t="s">
        <v>869</v>
      </c>
      <c r="C37" s="159" t="s">
        <v>870</v>
      </c>
      <c r="D37" s="84" t="s">
        <v>871</v>
      </c>
      <c r="E37" s="131">
        <v>2</v>
      </c>
      <c r="F37" s="84" t="s">
        <v>728</v>
      </c>
      <c r="G37" s="84" t="s">
        <v>729</v>
      </c>
      <c r="H37" s="75" t="s">
        <v>894</v>
      </c>
      <c r="I37" s="76">
        <v>4</v>
      </c>
      <c r="J37" s="75" t="s">
        <v>718</v>
      </c>
      <c r="K37" s="76"/>
      <c r="L37" s="76"/>
      <c r="M37" s="84" t="s">
        <v>895</v>
      </c>
      <c r="N37" s="75"/>
      <c r="O37" s="76" t="s">
        <v>695</v>
      </c>
      <c r="P37" s="77"/>
      <c r="Q37" s="130" t="s">
        <v>889</v>
      </c>
      <c r="R37" s="133" t="s">
        <v>721</v>
      </c>
      <c r="S37" s="86" t="s">
        <v>881</v>
      </c>
      <c r="T37" s="86" t="s">
        <v>882</v>
      </c>
      <c r="U37" s="86" t="s">
        <v>896</v>
      </c>
      <c r="V37" s="86" t="s">
        <v>897</v>
      </c>
      <c r="W37" s="75"/>
      <c r="X37" s="87" t="s">
        <v>879</v>
      </c>
      <c r="Y37" s="86" t="s">
        <v>892</v>
      </c>
      <c r="Z37" s="84" t="s">
        <v>898</v>
      </c>
      <c r="AA37" s="131" t="s">
        <v>818</v>
      </c>
    </row>
    <row r="38" spans="1:27" s="33" customFormat="1" ht="405.75" hidden="1" customHeight="1" x14ac:dyDescent="0.25">
      <c r="A38" s="27"/>
      <c r="B38" s="84" t="s">
        <v>869</v>
      </c>
      <c r="C38" s="159" t="s">
        <v>870</v>
      </c>
      <c r="D38" s="84" t="s">
        <v>871</v>
      </c>
      <c r="E38" s="131">
        <v>2</v>
      </c>
      <c r="F38" s="159" t="s">
        <v>736</v>
      </c>
      <c r="G38" s="159" t="s">
        <v>737</v>
      </c>
      <c r="H38" s="75" t="s">
        <v>779</v>
      </c>
      <c r="I38" s="76">
        <v>5</v>
      </c>
      <c r="J38" s="75" t="s">
        <v>693</v>
      </c>
      <c r="K38" s="76">
        <v>4</v>
      </c>
      <c r="L38" s="76"/>
      <c r="M38" s="159" t="s">
        <v>739</v>
      </c>
      <c r="N38" s="75"/>
      <c r="O38" s="76"/>
      <c r="P38" s="87" t="s">
        <v>899</v>
      </c>
      <c r="Q38" s="130" t="s">
        <v>842</v>
      </c>
      <c r="R38" s="133" t="s">
        <v>843</v>
      </c>
      <c r="S38" s="86" t="s">
        <v>900</v>
      </c>
      <c r="T38" s="86" t="s">
        <v>901</v>
      </c>
      <c r="U38" s="87" t="s">
        <v>902</v>
      </c>
      <c r="V38" s="86" t="s">
        <v>903</v>
      </c>
      <c r="W38" s="75"/>
      <c r="X38" s="87" t="s">
        <v>879</v>
      </c>
      <c r="Y38" s="86" t="s">
        <v>892</v>
      </c>
      <c r="Z38" s="84" t="s">
        <v>904</v>
      </c>
      <c r="AA38" s="131" t="s">
        <v>905</v>
      </c>
    </row>
    <row r="39" spans="1:27" s="33" customFormat="1" ht="263.25" hidden="1" customHeight="1" x14ac:dyDescent="0.25">
      <c r="A39" s="27"/>
      <c r="B39" s="84" t="s">
        <v>869</v>
      </c>
      <c r="C39" s="159" t="s">
        <v>870</v>
      </c>
      <c r="D39" s="84" t="s">
        <v>871</v>
      </c>
      <c r="E39" s="131">
        <v>2</v>
      </c>
      <c r="F39" s="194" t="s">
        <v>766</v>
      </c>
      <c r="G39" s="194" t="s">
        <v>767</v>
      </c>
      <c r="H39" s="75" t="s">
        <v>768</v>
      </c>
      <c r="I39" s="76">
        <v>6</v>
      </c>
      <c r="J39" s="75" t="s">
        <v>693</v>
      </c>
      <c r="K39" s="76">
        <v>4</v>
      </c>
      <c r="L39" s="76"/>
      <c r="M39" s="159" t="s">
        <v>769</v>
      </c>
      <c r="N39" s="75"/>
      <c r="O39" s="76"/>
      <c r="P39" s="77"/>
      <c r="Q39" s="193"/>
      <c r="R39" s="193"/>
      <c r="S39" s="86" t="s">
        <v>900</v>
      </c>
      <c r="T39" s="86" t="s">
        <v>906</v>
      </c>
      <c r="U39" s="87" t="s">
        <v>907</v>
      </c>
      <c r="V39" s="86" t="s">
        <v>908</v>
      </c>
      <c r="W39" s="75"/>
      <c r="X39" s="87" t="s">
        <v>879</v>
      </c>
      <c r="Y39" s="86" t="s">
        <v>909</v>
      </c>
      <c r="Z39" s="194" t="s">
        <v>910</v>
      </c>
      <c r="AA39" s="195" t="s">
        <v>911</v>
      </c>
    </row>
    <row r="40" spans="1:27" s="33" customFormat="1" ht="240" hidden="1" customHeight="1" x14ac:dyDescent="0.25">
      <c r="A40" s="27"/>
      <c r="B40" s="84" t="s">
        <v>869</v>
      </c>
      <c r="C40" s="159" t="s">
        <v>870</v>
      </c>
      <c r="D40" s="84" t="s">
        <v>871</v>
      </c>
      <c r="E40" s="131">
        <v>2</v>
      </c>
      <c r="F40" s="84" t="s">
        <v>912</v>
      </c>
      <c r="G40" s="84" t="s">
        <v>913</v>
      </c>
      <c r="H40" s="75" t="s">
        <v>914</v>
      </c>
      <c r="I40" s="76">
        <v>7</v>
      </c>
      <c r="J40" s="75" t="s">
        <v>693</v>
      </c>
      <c r="K40" s="76">
        <v>16</v>
      </c>
      <c r="L40" s="76"/>
      <c r="M40" s="84" t="s">
        <v>915</v>
      </c>
      <c r="N40" s="75"/>
      <c r="O40" s="76"/>
      <c r="P40" s="77"/>
      <c r="Q40" s="130" t="s">
        <v>916</v>
      </c>
      <c r="R40" s="133" t="s">
        <v>912</v>
      </c>
      <c r="S40" s="86" t="s">
        <v>881</v>
      </c>
      <c r="T40" s="86" t="s">
        <v>882</v>
      </c>
      <c r="U40" s="86" t="s">
        <v>917</v>
      </c>
      <c r="V40" s="86" t="s">
        <v>918</v>
      </c>
      <c r="W40" s="75"/>
      <c r="X40" s="87" t="s">
        <v>879</v>
      </c>
      <c r="Y40" s="86" t="s">
        <v>919</v>
      </c>
      <c r="Z40" s="84" t="s">
        <v>920</v>
      </c>
      <c r="AA40" s="131" t="s">
        <v>921</v>
      </c>
    </row>
    <row r="41" spans="1:27" s="33" customFormat="1" ht="221.25" hidden="1" customHeight="1" x14ac:dyDescent="0.25">
      <c r="A41" s="27"/>
      <c r="B41" s="130" t="s">
        <v>869</v>
      </c>
      <c r="C41" s="159" t="s">
        <v>870</v>
      </c>
      <c r="D41" s="84" t="s">
        <v>871</v>
      </c>
      <c r="E41" s="131">
        <v>2</v>
      </c>
      <c r="F41" s="84" t="s">
        <v>922</v>
      </c>
      <c r="G41" s="84" t="s">
        <v>923</v>
      </c>
      <c r="H41" s="75" t="s">
        <v>924</v>
      </c>
      <c r="I41" s="76">
        <v>8</v>
      </c>
      <c r="J41" s="75" t="s">
        <v>693</v>
      </c>
      <c r="K41" s="76"/>
      <c r="L41" s="76"/>
      <c r="M41" s="86" t="s">
        <v>925</v>
      </c>
      <c r="N41" s="75"/>
      <c r="O41" s="76"/>
      <c r="P41" s="77"/>
      <c r="Q41" s="130"/>
      <c r="R41" s="133"/>
      <c r="S41" s="86" t="s">
        <v>926</v>
      </c>
      <c r="T41" s="86" t="s">
        <v>927</v>
      </c>
      <c r="U41" s="86" t="s">
        <v>928</v>
      </c>
      <c r="V41" s="86" t="s">
        <v>929</v>
      </c>
      <c r="W41" s="75"/>
      <c r="X41" s="87" t="s">
        <v>879</v>
      </c>
      <c r="Y41" s="86" t="s">
        <v>919</v>
      </c>
      <c r="Z41" s="86" t="s">
        <v>930</v>
      </c>
      <c r="AA41" s="131" t="s">
        <v>931</v>
      </c>
    </row>
    <row r="42" spans="1:27" s="33" customFormat="1" ht="342.75" hidden="1" customHeight="1" x14ac:dyDescent="0.25">
      <c r="A42" s="27"/>
      <c r="B42" s="84" t="s">
        <v>869</v>
      </c>
      <c r="C42" s="159" t="s">
        <v>870</v>
      </c>
      <c r="D42" s="84" t="s">
        <v>871</v>
      </c>
      <c r="E42" s="131">
        <v>2</v>
      </c>
      <c r="F42" s="84" t="s">
        <v>932</v>
      </c>
      <c r="G42" s="84" t="s">
        <v>933</v>
      </c>
      <c r="H42" s="75" t="s">
        <v>768</v>
      </c>
      <c r="I42" s="76">
        <v>9</v>
      </c>
      <c r="J42" s="75" t="s">
        <v>693</v>
      </c>
      <c r="K42" s="76">
        <v>4</v>
      </c>
      <c r="L42" s="76"/>
      <c r="M42" s="84" t="s">
        <v>934</v>
      </c>
      <c r="N42" s="75"/>
      <c r="O42" s="76"/>
      <c r="P42" s="77"/>
      <c r="Q42" s="84" t="s">
        <v>752</v>
      </c>
      <c r="R42" s="84" t="s">
        <v>935</v>
      </c>
      <c r="S42" s="86" t="s">
        <v>881</v>
      </c>
      <c r="T42" s="86" t="s">
        <v>882</v>
      </c>
      <c r="U42" s="86" t="s">
        <v>936</v>
      </c>
      <c r="V42" s="86" t="s">
        <v>937</v>
      </c>
      <c r="W42" s="75"/>
      <c r="X42" s="87" t="s">
        <v>879</v>
      </c>
      <c r="Y42" s="86" t="s">
        <v>919</v>
      </c>
      <c r="Z42" s="84" t="s">
        <v>938</v>
      </c>
      <c r="AA42" s="131" t="s">
        <v>939</v>
      </c>
    </row>
    <row r="43" spans="1:27" s="33" customFormat="1" ht="270.75" hidden="1" customHeight="1" x14ac:dyDescent="0.25">
      <c r="A43" s="27"/>
      <c r="B43" s="84" t="s">
        <v>869</v>
      </c>
      <c r="C43" s="159" t="s">
        <v>870</v>
      </c>
      <c r="D43" s="84" t="s">
        <v>871</v>
      </c>
      <c r="E43" s="131">
        <v>2</v>
      </c>
      <c r="F43" s="84" t="s">
        <v>940</v>
      </c>
      <c r="G43" s="84" t="s">
        <v>941</v>
      </c>
      <c r="H43" s="75" t="s">
        <v>768</v>
      </c>
      <c r="I43" s="76">
        <v>10</v>
      </c>
      <c r="J43" s="75" t="s">
        <v>693</v>
      </c>
      <c r="K43" s="76">
        <v>4</v>
      </c>
      <c r="L43" s="76"/>
      <c r="M43" s="84" t="s">
        <v>942</v>
      </c>
      <c r="N43" s="75"/>
      <c r="O43" s="76"/>
      <c r="P43" s="77"/>
      <c r="Q43" s="130" t="s">
        <v>752</v>
      </c>
      <c r="R43" s="133" t="s">
        <v>943</v>
      </c>
      <c r="S43" s="86" t="s">
        <v>881</v>
      </c>
      <c r="T43" s="86" t="s">
        <v>882</v>
      </c>
      <c r="U43" s="86" t="s">
        <v>944</v>
      </c>
      <c r="V43" s="86" t="s">
        <v>945</v>
      </c>
      <c r="W43" s="75"/>
      <c r="X43" s="87" t="s">
        <v>879</v>
      </c>
      <c r="Y43" s="86" t="s">
        <v>919</v>
      </c>
      <c r="Z43" s="84" t="s">
        <v>946</v>
      </c>
      <c r="AA43" s="131" t="s">
        <v>931</v>
      </c>
    </row>
    <row r="44" spans="1:27" s="33" customFormat="1" ht="351.75" hidden="1" customHeight="1" x14ac:dyDescent="0.25">
      <c r="A44" s="27"/>
      <c r="B44" s="84" t="s">
        <v>869</v>
      </c>
      <c r="C44" s="159" t="s">
        <v>870</v>
      </c>
      <c r="D44" s="84" t="s">
        <v>871</v>
      </c>
      <c r="E44" s="131">
        <v>2</v>
      </c>
      <c r="F44" s="84" t="s">
        <v>947</v>
      </c>
      <c r="G44" s="84" t="s">
        <v>948</v>
      </c>
      <c r="H44" s="75" t="s">
        <v>949</v>
      </c>
      <c r="I44" s="76">
        <v>11</v>
      </c>
      <c r="J44" s="75" t="s">
        <v>693</v>
      </c>
      <c r="K44" s="76">
        <v>4</v>
      </c>
      <c r="L44" s="76"/>
      <c r="M44" s="84" t="s">
        <v>950</v>
      </c>
      <c r="N44" s="75"/>
      <c r="O44" s="76"/>
      <c r="P44" s="77"/>
      <c r="Q44" s="130" t="s">
        <v>916</v>
      </c>
      <c r="R44" s="133" t="s">
        <v>951</v>
      </c>
      <c r="S44" s="86" t="s">
        <v>881</v>
      </c>
      <c r="T44" s="86" t="s">
        <v>952</v>
      </c>
      <c r="U44" s="86" t="s">
        <v>953</v>
      </c>
      <c r="V44" s="86" t="s">
        <v>954</v>
      </c>
      <c r="W44" s="75"/>
      <c r="X44" s="87" t="s">
        <v>879</v>
      </c>
      <c r="Y44" s="86" t="s">
        <v>955</v>
      </c>
      <c r="Z44" s="84" t="s">
        <v>956</v>
      </c>
      <c r="AA44" s="131" t="s">
        <v>921</v>
      </c>
    </row>
    <row r="45" spans="1:27" s="33" customFormat="1" ht="252" hidden="1" customHeight="1" x14ac:dyDescent="0.25">
      <c r="A45" s="27"/>
      <c r="B45" s="84" t="s">
        <v>869</v>
      </c>
      <c r="C45" s="159" t="s">
        <v>870</v>
      </c>
      <c r="D45" s="84" t="s">
        <v>871</v>
      </c>
      <c r="E45" s="131">
        <v>2</v>
      </c>
      <c r="F45" s="84" t="s">
        <v>957</v>
      </c>
      <c r="G45" s="84" t="s">
        <v>958</v>
      </c>
      <c r="H45" s="75" t="s">
        <v>959</v>
      </c>
      <c r="I45" s="76">
        <v>12</v>
      </c>
      <c r="J45" s="75" t="s">
        <v>693</v>
      </c>
      <c r="K45" s="76">
        <v>4</v>
      </c>
      <c r="L45" s="76"/>
      <c r="M45" s="84" t="s">
        <v>960</v>
      </c>
      <c r="N45" s="75"/>
      <c r="O45" s="76"/>
      <c r="P45" s="87" t="s">
        <v>961</v>
      </c>
      <c r="Q45" s="130" t="s">
        <v>916</v>
      </c>
      <c r="R45" s="133" t="s">
        <v>962</v>
      </c>
      <c r="S45" s="86" t="s">
        <v>881</v>
      </c>
      <c r="T45" s="86" t="s">
        <v>952</v>
      </c>
      <c r="U45" s="86" t="s">
        <v>953</v>
      </c>
      <c r="V45" s="86" t="s">
        <v>963</v>
      </c>
      <c r="W45" s="75"/>
      <c r="X45" s="87" t="s">
        <v>879</v>
      </c>
      <c r="Y45" s="86" t="s">
        <v>955</v>
      </c>
      <c r="Z45" s="84" t="s">
        <v>956</v>
      </c>
      <c r="AA45" s="131" t="s">
        <v>921</v>
      </c>
    </row>
    <row r="46" spans="1:27" s="33" customFormat="1" ht="228.75" hidden="1" customHeight="1" x14ac:dyDescent="0.25">
      <c r="A46" s="27"/>
      <c r="B46" s="84" t="s">
        <v>869</v>
      </c>
      <c r="C46" s="159" t="s">
        <v>870</v>
      </c>
      <c r="D46" s="84" t="s">
        <v>871</v>
      </c>
      <c r="E46" s="131">
        <v>2</v>
      </c>
      <c r="F46" s="158" t="s">
        <v>964</v>
      </c>
      <c r="G46" s="158" t="s">
        <v>965</v>
      </c>
      <c r="H46" s="75" t="s">
        <v>779</v>
      </c>
      <c r="I46" s="76">
        <v>13</v>
      </c>
      <c r="J46" s="75" t="s">
        <v>693</v>
      </c>
      <c r="K46" s="76">
        <v>4</v>
      </c>
      <c r="L46" s="76"/>
      <c r="M46" s="84" t="s">
        <v>966</v>
      </c>
      <c r="N46" s="75"/>
      <c r="O46" s="76"/>
      <c r="P46" s="87" t="s">
        <v>967</v>
      </c>
      <c r="Q46" s="130" t="s">
        <v>752</v>
      </c>
      <c r="R46" s="200" t="s">
        <v>968</v>
      </c>
      <c r="S46" s="86" t="s">
        <v>881</v>
      </c>
      <c r="T46" s="86" t="s">
        <v>882</v>
      </c>
      <c r="U46" s="86" t="s">
        <v>969</v>
      </c>
      <c r="V46" s="86" t="s">
        <v>970</v>
      </c>
      <c r="W46" s="75"/>
      <c r="X46" s="87" t="s">
        <v>879</v>
      </c>
      <c r="Y46" s="86" t="s">
        <v>919</v>
      </c>
      <c r="Z46" s="84" t="s">
        <v>971</v>
      </c>
      <c r="AA46" s="131" t="s">
        <v>921</v>
      </c>
    </row>
    <row r="47" spans="1:27" s="33" customFormat="1" ht="254.25" hidden="1" customHeight="1" x14ac:dyDescent="0.25">
      <c r="A47" s="27"/>
      <c r="B47" s="84" t="s">
        <v>869</v>
      </c>
      <c r="C47" s="159" t="s">
        <v>870</v>
      </c>
      <c r="D47" s="84" t="s">
        <v>871</v>
      </c>
      <c r="E47" s="131">
        <v>2</v>
      </c>
      <c r="F47" s="159" t="s">
        <v>777</v>
      </c>
      <c r="G47" s="159" t="s">
        <v>778</v>
      </c>
      <c r="H47" s="75" t="s">
        <v>779</v>
      </c>
      <c r="I47" s="76">
        <v>14</v>
      </c>
      <c r="J47" s="75" t="s">
        <v>693</v>
      </c>
      <c r="K47" s="76">
        <v>4</v>
      </c>
      <c r="L47" s="76"/>
      <c r="M47" s="84" t="s">
        <v>780</v>
      </c>
      <c r="N47" s="75"/>
      <c r="O47" s="76"/>
      <c r="P47" s="87" t="s">
        <v>972</v>
      </c>
      <c r="Q47" s="130" t="s">
        <v>752</v>
      </c>
      <c r="R47" s="133" t="s">
        <v>782</v>
      </c>
      <c r="S47" s="86" t="s">
        <v>881</v>
      </c>
      <c r="T47" s="86" t="s">
        <v>882</v>
      </c>
      <c r="U47" s="86" t="s">
        <v>973</v>
      </c>
      <c r="V47" s="86" t="s">
        <v>974</v>
      </c>
      <c r="W47" s="75"/>
      <c r="X47" s="87" t="s">
        <v>879</v>
      </c>
      <c r="Y47" s="86" t="s">
        <v>892</v>
      </c>
      <c r="Z47" s="84" t="s">
        <v>975</v>
      </c>
      <c r="AA47" s="131" t="s">
        <v>818</v>
      </c>
    </row>
    <row r="48" spans="1:27" s="33" customFormat="1" ht="369.75" hidden="1" customHeight="1" x14ac:dyDescent="0.25">
      <c r="A48" s="27"/>
      <c r="B48" s="84" t="s">
        <v>869</v>
      </c>
      <c r="C48" s="159" t="s">
        <v>870</v>
      </c>
      <c r="D48" s="84" t="s">
        <v>871</v>
      </c>
      <c r="E48" s="131">
        <v>2</v>
      </c>
      <c r="F48" s="84" t="s">
        <v>790</v>
      </c>
      <c r="G48" s="84" t="s">
        <v>791</v>
      </c>
      <c r="H48" s="75" t="s">
        <v>750</v>
      </c>
      <c r="I48" s="76">
        <v>15</v>
      </c>
      <c r="J48" s="75" t="s">
        <v>693</v>
      </c>
      <c r="K48" s="76">
        <v>10</v>
      </c>
      <c r="L48" s="76"/>
      <c r="M48" s="84" t="s">
        <v>792</v>
      </c>
      <c r="N48" s="75"/>
      <c r="O48" s="76"/>
      <c r="P48" s="77"/>
      <c r="Q48" s="130" t="s">
        <v>752</v>
      </c>
      <c r="R48" s="133" t="s">
        <v>793</v>
      </c>
      <c r="S48" s="86" t="s">
        <v>881</v>
      </c>
      <c r="T48" s="86" t="s">
        <v>882</v>
      </c>
      <c r="U48" s="86" t="s">
        <v>976</v>
      </c>
      <c r="V48" s="86" t="s">
        <v>977</v>
      </c>
      <c r="W48" s="75"/>
      <c r="X48" s="87" t="s">
        <v>879</v>
      </c>
      <c r="Y48" s="86" t="s">
        <v>892</v>
      </c>
      <c r="Z48" s="84" t="s">
        <v>978</v>
      </c>
      <c r="AA48" s="131" t="s">
        <v>818</v>
      </c>
    </row>
    <row r="49" spans="1:27" s="33" customFormat="1" ht="372.75" hidden="1" customHeight="1" x14ac:dyDescent="0.25">
      <c r="A49" s="27"/>
      <c r="B49" s="84" t="s">
        <v>869</v>
      </c>
      <c r="C49" s="159" t="s">
        <v>870</v>
      </c>
      <c r="D49" s="84" t="s">
        <v>871</v>
      </c>
      <c r="E49" s="131">
        <v>2</v>
      </c>
      <c r="F49" s="84" t="s">
        <v>748</v>
      </c>
      <c r="G49" s="84" t="s">
        <v>749</v>
      </c>
      <c r="H49" s="75" t="s">
        <v>750</v>
      </c>
      <c r="I49" s="76">
        <v>16</v>
      </c>
      <c r="J49" s="75" t="s">
        <v>693</v>
      </c>
      <c r="K49" s="76">
        <v>10</v>
      </c>
      <c r="L49" s="76"/>
      <c r="M49" s="84" t="s">
        <v>751</v>
      </c>
      <c r="N49" s="75"/>
      <c r="O49" s="76"/>
      <c r="P49" s="77"/>
      <c r="Q49" s="130" t="s">
        <v>752</v>
      </c>
      <c r="R49" s="133" t="s">
        <v>753</v>
      </c>
      <c r="S49" s="86" t="s">
        <v>881</v>
      </c>
      <c r="T49" s="86" t="s">
        <v>882</v>
      </c>
      <c r="U49" s="86" t="s">
        <v>979</v>
      </c>
      <c r="V49" s="86" t="s">
        <v>980</v>
      </c>
      <c r="W49" s="75"/>
      <c r="X49" s="87" t="s">
        <v>879</v>
      </c>
      <c r="Y49" s="86" t="s">
        <v>892</v>
      </c>
      <c r="Z49" s="84" t="s">
        <v>981</v>
      </c>
      <c r="AA49" s="131" t="s">
        <v>818</v>
      </c>
    </row>
    <row r="50" spans="1:27" s="33" customFormat="1" ht="244.5" hidden="1" customHeight="1" x14ac:dyDescent="0.25">
      <c r="A50" s="27"/>
      <c r="B50" s="84" t="s">
        <v>869</v>
      </c>
      <c r="C50" s="159" t="s">
        <v>870</v>
      </c>
      <c r="D50" s="84" t="s">
        <v>871</v>
      </c>
      <c r="E50" s="131">
        <v>2</v>
      </c>
      <c r="F50" s="158" t="s">
        <v>982</v>
      </c>
      <c r="G50" s="158" t="s">
        <v>983</v>
      </c>
      <c r="H50" s="75" t="s">
        <v>759</v>
      </c>
      <c r="I50" s="76">
        <v>17</v>
      </c>
      <c r="J50" s="75" t="s">
        <v>693</v>
      </c>
      <c r="K50" s="76"/>
      <c r="L50" s="76"/>
      <c r="M50" s="84" t="s">
        <v>984</v>
      </c>
      <c r="N50" s="75"/>
      <c r="O50" s="76"/>
      <c r="P50" s="77"/>
      <c r="Q50" s="130" t="s">
        <v>752</v>
      </c>
      <c r="R50" s="200" t="s">
        <v>985</v>
      </c>
      <c r="S50" s="86" t="s">
        <v>926</v>
      </c>
      <c r="T50" s="86" t="s">
        <v>986</v>
      </c>
      <c r="U50" s="86" t="s">
        <v>987</v>
      </c>
      <c r="V50" s="86" t="s">
        <v>988</v>
      </c>
      <c r="W50" s="75"/>
      <c r="X50" s="87" t="s">
        <v>879</v>
      </c>
      <c r="Y50" s="86" t="s">
        <v>989</v>
      </c>
      <c r="Z50" s="84" t="s">
        <v>990</v>
      </c>
      <c r="AA50" s="131" t="s">
        <v>991</v>
      </c>
    </row>
    <row r="51" spans="1:27" s="33" customFormat="1" ht="240" hidden="1" customHeight="1" x14ac:dyDescent="0.25">
      <c r="A51" s="27"/>
      <c r="B51" s="84" t="s">
        <v>869</v>
      </c>
      <c r="C51" s="159" t="s">
        <v>870</v>
      </c>
      <c r="D51" s="84" t="s">
        <v>871</v>
      </c>
      <c r="E51" s="131">
        <v>2</v>
      </c>
      <c r="F51" s="84" t="s">
        <v>757</v>
      </c>
      <c r="G51" s="84" t="s">
        <v>758</v>
      </c>
      <c r="H51" s="75" t="s">
        <v>759</v>
      </c>
      <c r="I51" s="76">
        <v>18</v>
      </c>
      <c r="J51" s="75" t="s">
        <v>760</v>
      </c>
      <c r="K51" s="76">
        <v>23</v>
      </c>
      <c r="L51" s="76">
        <v>6</v>
      </c>
      <c r="M51" s="84" t="s">
        <v>761</v>
      </c>
      <c r="N51" s="75"/>
      <c r="O51" s="76"/>
      <c r="P51" s="77"/>
      <c r="Q51" s="130" t="s">
        <v>752</v>
      </c>
      <c r="R51" s="133" t="s">
        <v>762</v>
      </c>
      <c r="S51" s="86" t="s">
        <v>926</v>
      </c>
      <c r="T51" s="86" t="s">
        <v>986</v>
      </c>
      <c r="U51" s="86" t="s">
        <v>992</v>
      </c>
      <c r="V51" s="86" t="s">
        <v>993</v>
      </c>
      <c r="W51" s="75"/>
      <c r="X51" s="87" t="s">
        <v>879</v>
      </c>
      <c r="Y51" s="86" t="s">
        <v>994</v>
      </c>
      <c r="Z51" s="84" t="s">
        <v>995</v>
      </c>
      <c r="AA51" s="131" t="s">
        <v>818</v>
      </c>
    </row>
    <row r="52" spans="1:27" s="33" customFormat="1" ht="250.5" hidden="1" customHeight="1" x14ac:dyDescent="0.25">
      <c r="A52" s="27"/>
      <c r="B52" s="84" t="s">
        <v>869</v>
      </c>
      <c r="C52" s="159" t="s">
        <v>870</v>
      </c>
      <c r="D52" s="84" t="s">
        <v>871</v>
      </c>
      <c r="E52" s="131">
        <v>2</v>
      </c>
      <c r="F52" s="158" t="s">
        <v>996</v>
      </c>
      <c r="G52" s="158" t="s">
        <v>997</v>
      </c>
      <c r="H52" s="75" t="s">
        <v>998</v>
      </c>
      <c r="I52" s="76">
        <v>19</v>
      </c>
      <c r="J52" s="75" t="s">
        <v>693</v>
      </c>
      <c r="K52" s="76">
        <v>4</v>
      </c>
      <c r="L52" s="76"/>
      <c r="M52" s="84" t="s">
        <v>999</v>
      </c>
      <c r="N52" s="75"/>
      <c r="O52" s="76"/>
      <c r="P52" s="87" t="s">
        <v>1000</v>
      </c>
      <c r="Q52" s="75" t="s">
        <v>916</v>
      </c>
      <c r="R52" s="75" t="s">
        <v>1001</v>
      </c>
      <c r="S52" s="86" t="s">
        <v>881</v>
      </c>
      <c r="T52" s="86" t="s">
        <v>882</v>
      </c>
      <c r="U52" s="86" t="s">
        <v>1002</v>
      </c>
      <c r="V52" s="86" t="s">
        <v>1003</v>
      </c>
      <c r="W52" s="75"/>
      <c r="X52" s="87" t="s">
        <v>879</v>
      </c>
      <c r="Y52" s="86" t="s">
        <v>1004</v>
      </c>
      <c r="Z52" s="86" t="s">
        <v>1005</v>
      </c>
      <c r="AA52" s="131" t="s">
        <v>1006</v>
      </c>
    </row>
    <row r="53" spans="1:27" s="33" customFormat="1" ht="230.25" hidden="1" customHeight="1" x14ac:dyDescent="0.25">
      <c r="A53" s="27"/>
      <c r="B53" s="84" t="s">
        <v>869</v>
      </c>
      <c r="C53" s="159" t="s">
        <v>870</v>
      </c>
      <c r="D53" s="84" t="s">
        <v>871</v>
      </c>
      <c r="E53" s="131">
        <v>2</v>
      </c>
      <c r="F53" s="158" t="s">
        <v>1007</v>
      </c>
      <c r="G53" s="158" t="s">
        <v>1008</v>
      </c>
      <c r="H53" s="75" t="s">
        <v>1009</v>
      </c>
      <c r="I53" s="76">
        <v>20</v>
      </c>
      <c r="J53" s="75" t="s">
        <v>693</v>
      </c>
      <c r="K53" s="76"/>
      <c r="L53" s="76"/>
      <c r="M53" s="84" t="s">
        <v>1010</v>
      </c>
      <c r="N53" s="75"/>
      <c r="O53" s="76"/>
      <c r="P53" s="77"/>
      <c r="Q53" s="86" t="s">
        <v>889</v>
      </c>
      <c r="R53" s="86" t="s">
        <v>1011</v>
      </c>
      <c r="S53" s="86" t="s">
        <v>881</v>
      </c>
      <c r="T53" s="86" t="s">
        <v>882</v>
      </c>
      <c r="U53" s="86" t="s">
        <v>1012</v>
      </c>
      <c r="V53" s="86" t="s">
        <v>1013</v>
      </c>
      <c r="W53" s="75"/>
      <c r="X53" s="87" t="s">
        <v>879</v>
      </c>
      <c r="Y53" s="86" t="s">
        <v>1014</v>
      </c>
      <c r="Z53" s="86" t="s">
        <v>1015</v>
      </c>
      <c r="AA53" s="131" t="s">
        <v>1016</v>
      </c>
    </row>
    <row r="54" spans="1:27" s="33" customFormat="1" ht="338.25" hidden="1" customHeight="1" x14ac:dyDescent="0.25">
      <c r="A54" s="27"/>
      <c r="B54" s="84" t="s">
        <v>869</v>
      </c>
      <c r="C54" s="159" t="s">
        <v>870</v>
      </c>
      <c r="D54" s="84" t="s">
        <v>871</v>
      </c>
      <c r="E54" s="131">
        <v>2</v>
      </c>
      <c r="F54" s="84" t="s">
        <v>1017</v>
      </c>
      <c r="G54" s="84" t="s">
        <v>1018</v>
      </c>
      <c r="H54" s="75" t="s">
        <v>998</v>
      </c>
      <c r="I54" s="76">
        <v>21</v>
      </c>
      <c r="J54" s="75" t="s">
        <v>693</v>
      </c>
      <c r="K54" s="76">
        <v>10</v>
      </c>
      <c r="L54" s="76"/>
      <c r="M54" s="84" t="s">
        <v>1019</v>
      </c>
      <c r="N54" s="75"/>
      <c r="O54" s="76"/>
      <c r="P54" s="87" t="s">
        <v>1020</v>
      </c>
      <c r="Q54" s="130" t="s">
        <v>916</v>
      </c>
      <c r="R54" s="133" t="s">
        <v>1017</v>
      </c>
      <c r="S54" s="86" t="s">
        <v>881</v>
      </c>
      <c r="T54" s="86" t="s">
        <v>882</v>
      </c>
      <c r="U54" s="86" t="s">
        <v>1021</v>
      </c>
      <c r="V54" s="86" t="s">
        <v>1022</v>
      </c>
      <c r="W54" s="75"/>
      <c r="X54" s="87" t="s">
        <v>879</v>
      </c>
      <c r="Y54" s="86" t="s">
        <v>1004</v>
      </c>
      <c r="Z54" s="84" t="s">
        <v>1023</v>
      </c>
      <c r="AA54" s="131" t="s">
        <v>1024</v>
      </c>
    </row>
    <row r="55" spans="1:27" s="33" customFormat="1" ht="326.25" hidden="1" customHeight="1" x14ac:dyDescent="0.25">
      <c r="A55" s="27"/>
      <c r="B55" s="84" t="s">
        <v>869</v>
      </c>
      <c r="C55" s="159" t="s">
        <v>870</v>
      </c>
      <c r="D55" s="84" t="s">
        <v>871</v>
      </c>
      <c r="E55" s="131">
        <v>2</v>
      </c>
      <c r="F55" s="84" t="s">
        <v>1025</v>
      </c>
      <c r="G55" s="84" t="s">
        <v>1026</v>
      </c>
      <c r="H55" s="75" t="s">
        <v>1027</v>
      </c>
      <c r="I55" s="76">
        <v>22</v>
      </c>
      <c r="J55" s="75" t="s">
        <v>693</v>
      </c>
      <c r="K55" s="76">
        <v>10</v>
      </c>
      <c r="L55" s="76"/>
      <c r="M55" s="84" t="s">
        <v>1028</v>
      </c>
      <c r="N55" s="75"/>
      <c r="O55" s="76"/>
      <c r="P55" s="87" t="s">
        <v>1029</v>
      </c>
      <c r="Q55" s="130" t="s">
        <v>916</v>
      </c>
      <c r="R55" s="133" t="s">
        <v>1025</v>
      </c>
      <c r="S55" s="86" t="s">
        <v>881</v>
      </c>
      <c r="T55" s="86" t="s">
        <v>882</v>
      </c>
      <c r="U55" s="86" t="s">
        <v>1021</v>
      </c>
      <c r="V55" s="86" t="s">
        <v>1030</v>
      </c>
      <c r="W55" s="75"/>
      <c r="X55" s="87" t="s">
        <v>879</v>
      </c>
      <c r="Y55" s="86" t="s">
        <v>1014</v>
      </c>
      <c r="Z55" s="84" t="s">
        <v>1023</v>
      </c>
      <c r="AA55" s="131" t="s">
        <v>1024</v>
      </c>
    </row>
    <row r="56" spans="1:27" s="33" customFormat="1" ht="245.25" hidden="1" customHeight="1" x14ac:dyDescent="0.25">
      <c r="A56" s="27"/>
      <c r="B56" s="84" t="s">
        <v>869</v>
      </c>
      <c r="C56" s="159" t="s">
        <v>870</v>
      </c>
      <c r="D56" s="84" t="s">
        <v>871</v>
      </c>
      <c r="E56" s="131">
        <v>2</v>
      </c>
      <c r="F56" s="84" t="s">
        <v>1031</v>
      </c>
      <c r="G56" s="84" t="s">
        <v>1032</v>
      </c>
      <c r="H56" s="75" t="s">
        <v>1033</v>
      </c>
      <c r="I56" s="76">
        <v>23</v>
      </c>
      <c r="J56" s="75" t="s">
        <v>693</v>
      </c>
      <c r="K56" s="76">
        <v>20</v>
      </c>
      <c r="L56" s="76"/>
      <c r="M56" s="84" t="s">
        <v>1034</v>
      </c>
      <c r="N56" s="75"/>
      <c r="O56" s="76"/>
      <c r="P56" s="87"/>
      <c r="Q56" s="130" t="s">
        <v>916</v>
      </c>
      <c r="R56" s="133" t="s">
        <v>1031</v>
      </c>
      <c r="S56" s="173" t="s">
        <v>926</v>
      </c>
      <c r="T56" s="173" t="s">
        <v>1035</v>
      </c>
      <c r="U56" s="173" t="s">
        <v>1036</v>
      </c>
      <c r="V56" s="86" t="s">
        <v>1037</v>
      </c>
      <c r="W56" s="75"/>
      <c r="X56" s="87" t="s">
        <v>879</v>
      </c>
      <c r="Y56" s="84" t="s">
        <v>1038</v>
      </c>
      <c r="Z56" s="84" t="s">
        <v>1039</v>
      </c>
      <c r="AA56" s="131" t="s">
        <v>1016</v>
      </c>
    </row>
    <row r="57" spans="1:27" s="33" customFormat="1" ht="227.25" hidden="1" customHeight="1" x14ac:dyDescent="0.25">
      <c r="A57" s="27"/>
      <c r="B57" s="84" t="s">
        <v>869</v>
      </c>
      <c r="C57" s="159" t="s">
        <v>870</v>
      </c>
      <c r="D57" s="84" t="s">
        <v>871</v>
      </c>
      <c r="E57" s="131">
        <v>2</v>
      </c>
      <c r="F57" s="84" t="s">
        <v>1040</v>
      </c>
      <c r="G57" s="84" t="s">
        <v>1041</v>
      </c>
      <c r="H57" s="75" t="s">
        <v>1042</v>
      </c>
      <c r="I57" s="76">
        <v>24</v>
      </c>
      <c r="J57" s="75" t="s">
        <v>693</v>
      </c>
      <c r="K57" s="76">
        <v>10</v>
      </c>
      <c r="L57" s="76"/>
      <c r="M57" s="84" t="s">
        <v>1043</v>
      </c>
      <c r="N57" s="75"/>
      <c r="O57" s="76"/>
      <c r="P57" s="87" t="s">
        <v>1044</v>
      </c>
      <c r="Q57" s="130" t="s">
        <v>916</v>
      </c>
      <c r="R57" s="133" t="s">
        <v>1045</v>
      </c>
      <c r="S57" s="86" t="s">
        <v>881</v>
      </c>
      <c r="T57" s="86" t="s">
        <v>882</v>
      </c>
      <c r="U57" s="86" t="s">
        <v>1046</v>
      </c>
      <c r="V57" s="86" t="s">
        <v>1047</v>
      </c>
      <c r="W57" s="75"/>
      <c r="X57" s="87" t="s">
        <v>879</v>
      </c>
      <c r="Y57" s="86" t="s">
        <v>1014</v>
      </c>
      <c r="Z57" s="84" t="s">
        <v>1048</v>
      </c>
      <c r="AA57" s="239" t="s">
        <v>1016</v>
      </c>
    </row>
    <row r="58" spans="1:27" s="33" customFormat="1" ht="284.25" hidden="1" customHeight="1" x14ac:dyDescent="0.25">
      <c r="A58" s="27"/>
      <c r="B58" s="84" t="s">
        <v>869</v>
      </c>
      <c r="C58" s="159" t="s">
        <v>870</v>
      </c>
      <c r="D58" s="84" t="s">
        <v>871</v>
      </c>
      <c r="E58" s="131">
        <v>2</v>
      </c>
      <c r="F58" s="77" t="s">
        <v>797</v>
      </c>
      <c r="G58" s="77" t="s">
        <v>798</v>
      </c>
      <c r="H58" s="77" t="s">
        <v>799</v>
      </c>
      <c r="I58" s="76">
        <v>25</v>
      </c>
      <c r="J58" s="77" t="s">
        <v>693</v>
      </c>
      <c r="K58" s="76">
        <v>2</v>
      </c>
      <c r="L58" s="76"/>
      <c r="M58" s="86" t="s">
        <v>800</v>
      </c>
      <c r="N58" s="86"/>
      <c r="O58" s="76"/>
      <c r="P58" s="86" t="s">
        <v>1049</v>
      </c>
      <c r="Q58" s="87"/>
      <c r="R58" s="77"/>
      <c r="S58" s="86" t="s">
        <v>881</v>
      </c>
      <c r="T58" s="86" t="s">
        <v>882</v>
      </c>
      <c r="U58" s="86" t="s">
        <v>1050</v>
      </c>
      <c r="V58" s="86" t="s">
        <v>1051</v>
      </c>
      <c r="W58" s="76"/>
      <c r="X58" s="87" t="s">
        <v>879</v>
      </c>
      <c r="Y58" s="87" t="s">
        <v>818</v>
      </c>
      <c r="Z58" s="87" t="s">
        <v>818</v>
      </c>
      <c r="AA58" s="201" t="s">
        <v>1052</v>
      </c>
    </row>
    <row r="59" spans="1:27" s="33" customFormat="1" ht="272.25" hidden="1" customHeight="1" x14ac:dyDescent="0.25">
      <c r="A59" s="27"/>
      <c r="B59" s="84" t="s">
        <v>869</v>
      </c>
      <c r="C59" s="159" t="s">
        <v>870</v>
      </c>
      <c r="D59" s="84" t="s">
        <v>871</v>
      </c>
      <c r="E59" s="131">
        <v>2</v>
      </c>
      <c r="F59" s="84" t="s">
        <v>805</v>
      </c>
      <c r="G59" s="84" t="s">
        <v>806</v>
      </c>
      <c r="H59" s="75" t="s">
        <v>807</v>
      </c>
      <c r="I59" s="76">
        <v>26</v>
      </c>
      <c r="J59" s="75" t="s">
        <v>693</v>
      </c>
      <c r="K59" s="76">
        <v>10</v>
      </c>
      <c r="L59" s="76"/>
      <c r="M59" s="84" t="s">
        <v>808</v>
      </c>
      <c r="N59" s="75"/>
      <c r="O59" s="76" t="s">
        <v>695</v>
      </c>
      <c r="P59" s="77"/>
      <c r="Q59" s="84"/>
      <c r="R59" s="84"/>
      <c r="S59" s="86" t="s">
        <v>881</v>
      </c>
      <c r="T59" s="86" t="s">
        <v>882</v>
      </c>
      <c r="U59" s="86" t="s">
        <v>1053</v>
      </c>
      <c r="V59" s="86" t="s">
        <v>1054</v>
      </c>
      <c r="W59" s="75"/>
      <c r="X59" s="87" t="s">
        <v>879</v>
      </c>
      <c r="Y59" s="87" t="s">
        <v>818</v>
      </c>
      <c r="Z59" s="87" t="s">
        <v>818</v>
      </c>
      <c r="AA59" s="131" t="s">
        <v>818</v>
      </c>
    </row>
    <row r="60" spans="1:27" s="33" customFormat="1" ht="209.25" hidden="1" customHeight="1" x14ac:dyDescent="0.25">
      <c r="A60" s="27"/>
      <c r="B60" s="84" t="s">
        <v>869</v>
      </c>
      <c r="C60" s="159" t="s">
        <v>870</v>
      </c>
      <c r="D60" s="84" t="s">
        <v>871</v>
      </c>
      <c r="E60" s="131">
        <v>2</v>
      </c>
      <c r="F60" s="84" t="s">
        <v>812</v>
      </c>
      <c r="G60" s="84" t="s">
        <v>813</v>
      </c>
      <c r="H60" s="75" t="s">
        <v>814</v>
      </c>
      <c r="I60" s="76">
        <v>27</v>
      </c>
      <c r="J60" s="75" t="s">
        <v>815</v>
      </c>
      <c r="K60" s="76">
        <v>23</v>
      </c>
      <c r="L60" s="76"/>
      <c r="M60" s="84" t="s">
        <v>816</v>
      </c>
      <c r="N60" s="75"/>
      <c r="O60" s="76"/>
      <c r="P60" s="77"/>
      <c r="Q60" s="84"/>
      <c r="R60" s="84"/>
      <c r="S60" s="86" t="s">
        <v>881</v>
      </c>
      <c r="T60" s="86" t="s">
        <v>882</v>
      </c>
      <c r="U60" s="86" t="s">
        <v>1050</v>
      </c>
      <c r="V60" s="86" t="s">
        <v>1055</v>
      </c>
      <c r="W60" s="75"/>
      <c r="X60" s="87" t="s">
        <v>879</v>
      </c>
      <c r="Y60" s="87" t="s">
        <v>818</v>
      </c>
      <c r="Z60" s="87" t="s">
        <v>818</v>
      </c>
      <c r="AA60" s="131" t="s">
        <v>818</v>
      </c>
    </row>
    <row r="61" spans="1:27" s="33" customFormat="1" ht="126.75" hidden="1" customHeight="1" x14ac:dyDescent="0.25">
      <c r="A61" s="27"/>
      <c r="B61" s="75" t="s">
        <v>1056</v>
      </c>
      <c r="C61" s="75" t="s">
        <v>1057</v>
      </c>
      <c r="D61" s="75" t="s">
        <v>1058</v>
      </c>
      <c r="E61" s="76">
        <v>2</v>
      </c>
      <c r="F61" s="75" t="s">
        <v>690</v>
      </c>
      <c r="G61" s="75" t="s">
        <v>691</v>
      </c>
      <c r="H61" s="75" t="s">
        <v>872</v>
      </c>
      <c r="I61" s="76">
        <v>1</v>
      </c>
      <c r="J61" s="77" t="s">
        <v>693</v>
      </c>
      <c r="K61" s="76">
        <v>4</v>
      </c>
      <c r="L61" s="76"/>
      <c r="M61" s="86" t="s">
        <v>694</v>
      </c>
      <c r="N61" s="75"/>
      <c r="O61" s="76" t="s">
        <v>695</v>
      </c>
      <c r="P61" s="77"/>
      <c r="Q61" s="86" t="s">
        <v>1059</v>
      </c>
      <c r="R61" s="86" t="s">
        <v>1060</v>
      </c>
      <c r="S61" s="86" t="s">
        <v>1061</v>
      </c>
      <c r="T61" s="86" t="s">
        <v>1062</v>
      </c>
      <c r="U61" s="86" t="s">
        <v>824</v>
      </c>
      <c r="V61" s="86" t="s">
        <v>1063</v>
      </c>
      <c r="W61" s="75"/>
      <c r="X61" s="84" t="s">
        <v>1064</v>
      </c>
      <c r="Y61" s="86" t="s">
        <v>1065</v>
      </c>
      <c r="Z61" s="86" t="s">
        <v>811</v>
      </c>
      <c r="AA61" s="201" t="s">
        <v>827</v>
      </c>
    </row>
    <row r="62" spans="1:27" s="33" customFormat="1" ht="99.75" hidden="1" customHeight="1" x14ac:dyDescent="0.25">
      <c r="A62" s="27"/>
      <c r="B62" s="75" t="s">
        <v>1056</v>
      </c>
      <c r="C62" s="75" t="s">
        <v>1057</v>
      </c>
      <c r="D62" s="75" t="s">
        <v>1058</v>
      </c>
      <c r="E62" s="76">
        <v>2</v>
      </c>
      <c r="F62" s="75" t="s">
        <v>705</v>
      </c>
      <c r="G62" s="75" t="s">
        <v>706</v>
      </c>
      <c r="H62" s="75" t="s">
        <v>872</v>
      </c>
      <c r="I62" s="76">
        <v>2</v>
      </c>
      <c r="J62" s="77" t="s">
        <v>693</v>
      </c>
      <c r="K62" s="76">
        <v>30</v>
      </c>
      <c r="L62" s="76"/>
      <c r="M62" s="86" t="s">
        <v>707</v>
      </c>
      <c r="N62" s="75"/>
      <c r="O62" s="76" t="s">
        <v>695</v>
      </c>
      <c r="P62" s="77"/>
      <c r="Q62" s="86" t="s">
        <v>1059</v>
      </c>
      <c r="R62" s="86" t="s">
        <v>1060</v>
      </c>
      <c r="S62" s="86" t="s">
        <v>1066</v>
      </c>
      <c r="T62" s="86" t="s">
        <v>1067</v>
      </c>
      <c r="U62" s="86" t="s">
        <v>1068</v>
      </c>
      <c r="V62" s="86" t="s">
        <v>1069</v>
      </c>
      <c r="W62" s="75"/>
      <c r="X62" s="84" t="s">
        <v>1064</v>
      </c>
      <c r="Y62" s="86" t="s">
        <v>1070</v>
      </c>
      <c r="Z62" s="86" t="s">
        <v>1071</v>
      </c>
      <c r="AA62" s="131" t="s">
        <v>811</v>
      </c>
    </row>
    <row r="63" spans="1:27" s="33" customFormat="1" ht="99.75" hidden="1" customHeight="1" x14ac:dyDescent="0.25">
      <c r="A63" s="27"/>
      <c r="B63" s="75" t="s">
        <v>1056</v>
      </c>
      <c r="C63" s="75" t="s">
        <v>1057</v>
      </c>
      <c r="D63" s="75" t="s">
        <v>1058</v>
      </c>
      <c r="E63" s="131">
        <v>2</v>
      </c>
      <c r="F63" s="84" t="s">
        <v>715</v>
      </c>
      <c r="G63" s="84" t="s">
        <v>716</v>
      </c>
      <c r="H63" s="75" t="s">
        <v>894</v>
      </c>
      <c r="I63" s="76">
        <v>3</v>
      </c>
      <c r="J63" s="75" t="s">
        <v>718</v>
      </c>
      <c r="K63" s="76"/>
      <c r="L63" s="76"/>
      <c r="M63" s="84" t="s">
        <v>1072</v>
      </c>
      <c r="N63" s="75"/>
      <c r="O63" s="76" t="s">
        <v>695</v>
      </c>
      <c r="P63" s="77"/>
      <c r="Q63" s="130" t="s">
        <v>1073</v>
      </c>
      <c r="R63" s="133" t="s">
        <v>1074</v>
      </c>
      <c r="S63" s="86" t="s">
        <v>1066</v>
      </c>
      <c r="T63" s="86" t="s">
        <v>1067</v>
      </c>
      <c r="U63" s="86" t="s">
        <v>1075</v>
      </c>
      <c r="V63" s="86" t="s">
        <v>1076</v>
      </c>
      <c r="W63" s="75"/>
      <c r="X63" s="84" t="s">
        <v>1064</v>
      </c>
      <c r="Y63" s="86" t="s">
        <v>1070</v>
      </c>
      <c r="Z63" s="84" t="s">
        <v>837</v>
      </c>
      <c r="AA63" s="131" t="s">
        <v>811</v>
      </c>
    </row>
    <row r="64" spans="1:27" s="33" customFormat="1" ht="99.75" hidden="1" customHeight="1" x14ac:dyDescent="0.25">
      <c r="A64" s="27"/>
      <c r="B64" s="75" t="s">
        <v>1056</v>
      </c>
      <c r="C64" s="75" t="s">
        <v>1057</v>
      </c>
      <c r="D64" s="75" t="s">
        <v>1058</v>
      </c>
      <c r="E64" s="131">
        <v>2</v>
      </c>
      <c r="F64" s="84" t="s">
        <v>728</v>
      </c>
      <c r="G64" s="84" t="s">
        <v>729</v>
      </c>
      <c r="H64" s="75" t="s">
        <v>894</v>
      </c>
      <c r="I64" s="76">
        <v>4</v>
      </c>
      <c r="J64" s="75" t="s">
        <v>718</v>
      </c>
      <c r="K64" s="76"/>
      <c r="L64" s="76"/>
      <c r="M64" s="84" t="s">
        <v>730</v>
      </c>
      <c r="N64" s="75"/>
      <c r="O64" s="76" t="s">
        <v>695</v>
      </c>
      <c r="P64" s="77"/>
      <c r="Q64" s="193"/>
      <c r="R64" s="193"/>
      <c r="S64" s="86" t="s">
        <v>1066</v>
      </c>
      <c r="T64" s="86" t="s">
        <v>1067</v>
      </c>
      <c r="U64" s="86" t="s">
        <v>1077</v>
      </c>
      <c r="V64" s="86" t="s">
        <v>1078</v>
      </c>
      <c r="W64" s="75"/>
      <c r="X64" s="84" t="s">
        <v>1064</v>
      </c>
      <c r="Y64" s="86" t="s">
        <v>1070</v>
      </c>
      <c r="Z64" s="194" t="s">
        <v>1079</v>
      </c>
      <c r="AA64" s="195" t="s">
        <v>1080</v>
      </c>
    </row>
    <row r="65" spans="1:27" s="33" customFormat="1" ht="216" hidden="1" customHeight="1" x14ac:dyDescent="0.25">
      <c r="A65" s="27"/>
      <c r="B65" s="77" t="s">
        <v>1056</v>
      </c>
      <c r="C65" s="75" t="s">
        <v>1057</v>
      </c>
      <c r="D65" s="75" t="s">
        <v>1058</v>
      </c>
      <c r="E65" s="76">
        <v>2</v>
      </c>
      <c r="F65" s="159" t="s">
        <v>736</v>
      </c>
      <c r="G65" s="159" t="s">
        <v>737</v>
      </c>
      <c r="H65" s="75" t="s">
        <v>779</v>
      </c>
      <c r="I65" s="76">
        <v>5</v>
      </c>
      <c r="J65" s="75" t="s">
        <v>693</v>
      </c>
      <c r="K65" s="76">
        <v>4</v>
      </c>
      <c r="L65" s="76"/>
      <c r="M65" s="159" t="s">
        <v>739</v>
      </c>
      <c r="N65" s="75"/>
      <c r="O65" s="76" t="s">
        <v>695</v>
      </c>
      <c r="P65" s="87" t="s">
        <v>1081</v>
      </c>
      <c r="Q65" s="130" t="s">
        <v>842</v>
      </c>
      <c r="R65" s="133" t="s">
        <v>843</v>
      </c>
      <c r="S65" s="86" t="s">
        <v>1082</v>
      </c>
      <c r="T65" s="86" t="s">
        <v>1083</v>
      </c>
      <c r="U65" s="86" t="s">
        <v>846</v>
      </c>
      <c r="V65" s="86" t="s">
        <v>1084</v>
      </c>
      <c r="W65" s="75"/>
      <c r="X65" s="84" t="s">
        <v>1064</v>
      </c>
      <c r="Y65" s="84" t="s">
        <v>1085</v>
      </c>
      <c r="Z65" s="161" t="s">
        <v>1086</v>
      </c>
      <c r="AA65" s="131" t="s">
        <v>1087</v>
      </c>
    </row>
    <row r="66" spans="1:27" s="33" customFormat="1" ht="99.75" hidden="1" customHeight="1" x14ac:dyDescent="0.25">
      <c r="A66" s="27"/>
      <c r="B66" s="75" t="s">
        <v>1056</v>
      </c>
      <c r="C66" s="75" t="s">
        <v>1057</v>
      </c>
      <c r="D66" s="75" t="s">
        <v>1058</v>
      </c>
      <c r="E66" s="76">
        <v>2</v>
      </c>
      <c r="F66" s="84" t="s">
        <v>748</v>
      </c>
      <c r="G66" s="84" t="s">
        <v>749</v>
      </c>
      <c r="H66" s="75" t="s">
        <v>750</v>
      </c>
      <c r="I66" s="76">
        <v>6</v>
      </c>
      <c r="J66" s="75" t="s">
        <v>693</v>
      </c>
      <c r="K66" s="76">
        <v>10</v>
      </c>
      <c r="L66" s="76"/>
      <c r="M66" s="84" t="s">
        <v>751</v>
      </c>
      <c r="N66" s="75"/>
      <c r="O66" s="76" t="s">
        <v>695</v>
      </c>
      <c r="P66" s="77"/>
      <c r="Q66" s="210" t="s">
        <v>1073</v>
      </c>
      <c r="R66" s="210" t="s">
        <v>1088</v>
      </c>
      <c r="S66" s="86" t="s">
        <v>1066</v>
      </c>
      <c r="T66" s="86" t="s">
        <v>1067</v>
      </c>
      <c r="U66" s="86" t="s">
        <v>1089</v>
      </c>
      <c r="V66" s="86" t="s">
        <v>1090</v>
      </c>
      <c r="W66" s="75"/>
      <c r="X66" s="84" t="s">
        <v>1064</v>
      </c>
      <c r="Y66" s="86" t="s">
        <v>1070</v>
      </c>
      <c r="Z66" s="86" t="s">
        <v>860</v>
      </c>
      <c r="AA66" s="131" t="s">
        <v>811</v>
      </c>
    </row>
    <row r="67" spans="1:27" s="33" customFormat="1" ht="155.25" hidden="1" customHeight="1" x14ac:dyDescent="0.25">
      <c r="A67" s="27"/>
      <c r="B67" s="75" t="s">
        <v>1056</v>
      </c>
      <c r="C67" s="75" t="s">
        <v>1057</v>
      </c>
      <c r="D67" s="75" t="s">
        <v>1058</v>
      </c>
      <c r="E67" s="76">
        <v>2</v>
      </c>
      <c r="F67" s="75" t="s">
        <v>757</v>
      </c>
      <c r="G67" s="84" t="s">
        <v>758</v>
      </c>
      <c r="H67" s="75" t="s">
        <v>759</v>
      </c>
      <c r="I67" s="76">
        <v>7</v>
      </c>
      <c r="J67" s="75" t="s">
        <v>760</v>
      </c>
      <c r="K67" s="76">
        <v>23</v>
      </c>
      <c r="L67" s="76">
        <v>6</v>
      </c>
      <c r="M67" s="84" t="s">
        <v>761</v>
      </c>
      <c r="N67" s="75"/>
      <c r="O67" s="76" t="s">
        <v>695</v>
      </c>
      <c r="P67" s="77"/>
      <c r="Q67" s="75" t="s">
        <v>752</v>
      </c>
      <c r="R67" s="86" t="s">
        <v>762</v>
      </c>
      <c r="S67" s="86" t="s">
        <v>1066</v>
      </c>
      <c r="T67" s="86" t="s">
        <v>1067</v>
      </c>
      <c r="U67" s="86" t="s">
        <v>1091</v>
      </c>
      <c r="V67" s="86" t="s">
        <v>1092</v>
      </c>
      <c r="W67" s="75"/>
      <c r="X67" s="84" t="s">
        <v>1064</v>
      </c>
      <c r="Y67" s="86" t="s">
        <v>1070</v>
      </c>
      <c r="Z67" s="161" t="s">
        <v>863</v>
      </c>
      <c r="AA67" s="131" t="s">
        <v>811</v>
      </c>
    </row>
    <row r="68" spans="1:27" s="33" customFormat="1" ht="99.75" hidden="1" customHeight="1" x14ac:dyDescent="0.25">
      <c r="A68" s="27"/>
      <c r="B68" s="75" t="s">
        <v>1056</v>
      </c>
      <c r="C68" s="75" t="s">
        <v>1057</v>
      </c>
      <c r="D68" s="75" t="s">
        <v>1058</v>
      </c>
      <c r="E68" s="131">
        <v>2</v>
      </c>
      <c r="F68" s="194" t="s">
        <v>766</v>
      </c>
      <c r="G68" s="194" t="s">
        <v>767</v>
      </c>
      <c r="H68" s="75" t="s">
        <v>768</v>
      </c>
      <c r="I68" s="76">
        <v>8</v>
      </c>
      <c r="J68" s="75" t="s">
        <v>693</v>
      </c>
      <c r="K68" s="76">
        <v>4</v>
      </c>
      <c r="L68" s="76"/>
      <c r="M68" s="159" t="s">
        <v>769</v>
      </c>
      <c r="N68" s="75"/>
      <c r="O68" s="76"/>
      <c r="P68" s="77"/>
      <c r="Q68" s="193"/>
      <c r="R68" s="193"/>
      <c r="S68" s="130" t="s">
        <v>1093</v>
      </c>
      <c r="T68" s="130" t="s">
        <v>1094</v>
      </c>
      <c r="U68" s="130" t="s">
        <v>1095</v>
      </c>
      <c r="V68" s="130" t="s">
        <v>1096</v>
      </c>
      <c r="W68" s="75"/>
      <c r="X68" s="84" t="s">
        <v>1064</v>
      </c>
      <c r="Y68" s="86" t="s">
        <v>1070</v>
      </c>
      <c r="Z68" s="161" t="s">
        <v>811</v>
      </c>
      <c r="AA68" s="195" t="s">
        <v>1080</v>
      </c>
    </row>
    <row r="69" spans="1:27" s="33" customFormat="1" ht="99.75" hidden="1" customHeight="1" x14ac:dyDescent="0.25">
      <c r="A69" s="27"/>
      <c r="B69" s="75" t="s">
        <v>1056</v>
      </c>
      <c r="C69" s="75" t="s">
        <v>1057</v>
      </c>
      <c r="D69" s="75" t="s">
        <v>1058</v>
      </c>
      <c r="E69" s="76">
        <v>2</v>
      </c>
      <c r="F69" s="75" t="s">
        <v>777</v>
      </c>
      <c r="G69" s="159" t="s">
        <v>778</v>
      </c>
      <c r="H69" s="75" t="s">
        <v>779</v>
      </c>
      <c r="I69" s="76">
        <v>9</v>
      </c>
      <c r="J69" s="75" t="s">
        <v>693</v>
      </c>
      <c r="K69" s="76">
        <v>4</v>
      </c>
      <c r="L69" s="76"/>
      <c r="M69" s="84" t="s">
        <v>780</v>
      </c>
      <c r="N69" s="75"/>
      <c r="O69" s="76"/>
      <c r="P69" s="87" t="s">
        <v>851</v>
      </c>
      <c r="Q69" s="86" t="s">
        <v>752</v>
      </c>
      <c r="R69" s="86" t="s">
        <v>782</v>
      </c>
      <c r="S69" s="86" t="s">
        <v>1066</v>
      </c>
      <c r="T69" s="86" t="s">
        <v>1067</v>
      </c>
      <c r="U69" s="86" t="s">
        <v>1097</v>
      </c>
      <c r="V69" s="86" t="s">
        <v>1098</v>
      </c>
      <c r="W69" s="75"/>
      <c r="X69" s="84" t="s">
        <v>1064</v>
      </c>
      <c r="Y69" s="86" t="s">
        <v>1070</v>
      </c>
      <c r="Z69" s="86" t="s">
        <v>854</v>
      </c>
      <c r="AA69" s="131" t="s">
        <v>811</v>
      </c>
    </row>
    <row r="70" spans="1:27" s="33" customFormat="1" ht="99.75" hidden="1" customHeight="1" x14ac:dyDescent="0.25">
      <c r="A70" s="27"/>
      <c r="B70" s="75" t="s">
        <v>1056</v>
      </c>
      <c r="C70" s="75" t="s">
        <v>1057</v>
      </c>
      <c r="D70" s="75" t="s">
        <v>1058</v>
      </c>
      <c r="E70" s="76">
        <v>2</v>
      </c>
      <c r="F70" s="84" t="s">
        <v>790</v>
      </c>
      <c r="G70" s="84" t="s">
        <v>791</v>
      </c>
      <c r="H70" s="75" t="s">
        <v>750</v>
      </c>
      <c r="I70" s="76">
        <v>10</v>
      </c>
      <c r="J70" s="75" t="s">
        <v>693</v>
      </c>
      <c r="K70" s="76">
        <v>10</v>
      </c>
      <c r="L70" s="76"/>
      <c r="M70" s="84" t="s">
        <v>792</v>
      </c>
      <c r="N70" s="75"/>
      <c r="O70" s="211"/>
      <c r="P70" s="77"/>
      <c r="Q70" s="86" t="s">
        <v>752</v>
      </c>
      <c r="R70" s="86" t="s">
        <v>793</v>
      </c>
      <c r="S70" s="86" t="s">
        <v>1066</v>
      </c>
      <c r="T70" s="86" t="s">
        <v>1067</v>
      </c>
      <c r="U70" s="86" t="s">
        <v>1099</v>
      </c>
      <c r="V70" s="86" t="s">
        <v>1100</v>
      </c>
      <c r="W70" s="75"/>
      <c r="X70" s="84" t="s">
        <v>1064</v>
      </c>
      <c r="Y70" s="86" t="s">
        <v>1070</v>
      </c>
      <c r="Z70" s="86" t="s">
        <v>857</v>
      </c>
      <c r="AA70" s="131" t="s">
        <v>811</v>
      </c>
    </row>
    <row r="71" spans="1:27" s="33" customFormat="1" ht="99.75" hidden="1" customHeight="1" x14ac:dyDescent="0.25">
      <c r="A71" s="27"/>
      <c r="B71" s="75" t="s">
        <v>1056</v>
      </c>
      <c r="C71" s="75" t="s">
        <v>1057</v>
      </c>
      <c r="D71" s="75" t="s">
        <v>1058</v>
      </c>
      <c r="E71" s="76">
        <v>2</v>
      </c>
      <c r="F71" s="194" t="s">
        <v>1101</v>
      </c>
      <c r="G71" s="194" t="s">
        <v>1102</v>
      </c>
      <c r="H71" s="75" t="s">
        <v>1103</v>
      </c>
      <c r="I71" s="76">
        <v>11</v>
      </c>
      <c r="J71" s="75" t="s">
        <v>693</v>
      </c>
      <c r="K71" s="76">
        <v>4</v>
      </c>
      <c r="L71" s="76"/>
      <c r="M71" s="84" t="s">
        <v>1104</v>
      </c>
      <c r="N71" s="75"/>
      <c r="O71" s="211"/>
      <c r="P71" s="77"/>
      <c r="Q71" s="193"/>
      <c r="R71" s="193"/>
      <c r="S71" s="86" t="s">
        <v>1066</v>
      </c>
      <c r="T71" s="86" t="s">
        <v>1067</v>
      </c>
      <c r="U71" s="86" t="s">
        <v>1105</v>
      </c>
      <c r="V71" s="86" t="s">
        <v>1106</v>
      </c>
      <c r="W71" s="75"/>
      <c r="X71" s="84" t="s">
        <v>1064</v>
      </c>
      <c r="Y71" s="86" t="s">
        <v>1070</v>
      </c>
      <c r="Z71" s="161" t="s">
        <v>848</v>
      </c>
      <c r="AA71" s="131" t="s">
        <v>811</v>
      </c>
    </row>
    <row r="72" spans="1:27" s="33" customFormat="1" ht="99.75" hidden="1" customHeight="1" x14ac:dyDescent="0.25">
      <c r="A72" s="27"/>
      <c r="B72" s="75" t="s">
        <v>1056</v>
      </c>
      <c r="C72" s="75" t="s">
        <v>1057</v>
      </c>
      <c r="D72" s="75" t="s">
        <v>1058</v>
      </c>
      <c r="E72" s="76">
        <v>2</v>
      </c>
      <c r="F72" s="194" t="s">
        <v>1107</v>
      </c>
      <c r="G72" s="194" t="s">
        <v>1108</v>
      </c>
      <c r="H72" s="75" t="s">
        <v>1103</v>
      </c>
      <c r="I72" s="76">
        <v>12</v>
      </c>
      <c r="J72" s="75" t="s">
        <v>693</v>
      </c>
      <c r="K72" s="76">
        <v>4</v>
      </c>
      <c r="L72" s="76"/>
      <c r="M72" s="84" t="s">
        <v>1109</v>
      </c>
      <c r="N72" s="75"/>
      <c r="O72" s="211"/>
      <c r="P72" s="77"/>
      <c r="Q72" s="193"/>
      <c r="R72" s="193"/>
      <c r="S72" s="86" t="s">
        <v>1066</v>
      </c>
      <c r="T72" s="86" t="s">
        <v>1067</v>
      </c>
      <c r="U72" s="86" t="s">
        <v>1110</v>
      </c>
      <c r="V72" s="86" t="s">
        <v>1111</v>
      </c>
      <c r="W72" s="75"/>
      <c r="X72" s="84" t="s">
        <v>1064</v>
      </c>
      <c r="Y72" s="86" t="s">
        <v>1070</v>
      </c>
      <c r="Z72" s="194" t="s">
        <v>1112</v>
      </c>
      <c r="AA72" s="131" t="s">
        <v>811</v>
      </c>
    </row>
    <row r="73" spans="1:27" s="33" customFormat="1" ht="99.75" hidden="1" customHeight="1" x14ac:dyDescent="0.25">
      <c r="A73" s="27"/>
      <c r="B73" s="75" t="s">
        <v>1056</v>
      </c>
      <c r="C73" s="75" t="s">
        <v>1057</v>
      </c>
      <c r="D73" s="75" t="s">
        <v>1058</v>
      </c>
      <c r="E73" s="76">
        <v>2</v>
      </c>
      <c r="F73" s="194" t="s">
        <v>1113</v>
      </c>
      <c r="G73" s="194" t="s">
        <v>1114</v>
      </c>
      <c r="H73" s="75" t="s">
        <v>1103</v>
      </c>
      <c r="I73" s="76">
        <v>13</v>
      </c>
      <c r="J73" s="75" t="s">
        <v>693</v>
      </c>
      <c r="K73" s="76">
        <v>4</v>
      </c>
      <c r="L73" s="76"/>
      <c r="M73" s="84" t="s">
        <v>1115</v>
      </c>
      <c r="N73" s="75"/>
      <c r="O73" s="211"/>
      <c r="P73" s="77"/>
      <c r="Q73" s="193"/>
      <c r="R73" s="193"/>
      <c r="S73" s="86" t="s">
        <v>1066</v>
      </c>
      <c r="T73" s="86" t="s">
        <v>1067</v>
      </c>
      <c r="U73" s="86" t="s">
        <v>1116</v>
      </c>
      <c r="V73" s="86" t="s">
        <v>1117</v>
      </c>
      <c r="W73" s="75"/>
      <c r="X73" s="84" t="s">
        <v>1064</v>
      </c>
      <c r="Y73" s="86" t="s">
        <v>1070</v>
      </c>
      <c r="Z73" s="161" t="s">
        <v>1118</v>
      </c>
      <c r="AA73" s="195" t="s">
        <v>1119</v>
      </c>
    </row>
    <row r="74" spans="1:27" s="33" customFormat="1" ht="99.75" hidden="1" customHeight="1" x14ac:dyDescent="0.25">
      <c r="A74" s="27"/>
      <c r="B74" s="75" t="s">
        <v>1056</v>
      </c>
      <c r="C74" s="75" t="s">
        <v>1057</v>
      </c>
      <c r="D74" s="75" t="s">
        <v>1058</v>
      </c>
      <c r="E74" s="76">
        <v>2</v>
      </c>
      <c r="F74" s="194" t="s">
        <v>1120</v>
      </c>
      <c r="G74" s="194" t="s">
        <v>1121</v>
      </c>
      <c r="H74" s="75" t="s">
        <v>1122</v>
      </c>
      <c r="I74" s="76">
        <v>14</v>
      </c>
      <c r="J74" s="75" t="s">
        <v>693</v>
      </c>
      <c r="K74" s="76">
        <v>10</v>
      </c>
      <c r="L74" s="76"/>
      <c r="M74" s="84" t="s">
        <v>1123</v>
      </c>
      <c r="N74" s="75"/>
      <c r="O74" s="211"/>
      <c r="P74" s="77"/>
      <c r="Q74" s="193"/>
      <c r="R74" s="193"/>
      <c r="S74" s="86" t="s">
        <v>1066</v>
      </c>
      <c r="T74" s="86" t="s">
        <v>1067</v>
      </c>
      <c r="U74" s="86" t="s">
        <v>1124</v>
      </c>
      <c r="V74" s="86" t="s">
        <v>1125</v>
      </c>
      <c r="W74" s="75"/>
      <c r="X74" s="84" t="s">
        <v>1064</v>
      </c>
      <c r="Y74" s="86" t="s">
        <v>1126</v>
      </c>
      <c r="Z74" s="194" t="s">
        <v>1127</v>
      </c>
      <c r="AA74" s="131" t="s">
        <v>1128</v>
      </c>
    </row>
    <row r="75" spans="1:27" s="33" customFormat="1" ht="99.75" hidden="1" customHeight="1" x14ac:dyDescent="0.25">
      <c r="A75" s="27"/>
      <c r="B75" s="75" t="s">
        <v>1056</v>
      </c>
      <c r="C75" s="75" t="s">
        <v>1057</v>
      </c>
      <c r="D75" s="75" t="s">
        <v>1058</v>
      </c>
      <c r="E75" s="195">
        <v>2</v>
      </c>
      <c r="F75" s="194" t="s">
        <v>1129</v>
      </c>
      <c r="G75" s="194" t="s">
        <v>1130</v>
      </c>
      <c r="H75" s="75" t="s">
        <v>1122</v>
      </c>
      <c r="I75" s="76">
        <v>15</v>
      </c>
      <c r="J75" s="75" t="s">
        <v>693</v>
      </c>
      <c r="K75" s="76"/>
      <c r="L75" s="76"/>
      <c r="M75" s="84" t="s">
        <v>1131</v>
      </c>
      <c r="N75" s="75"/>
      <c r="O75" s="211"/>
      <c r="P75" s="77"/>
      <c r="Q75" s="193"/>
      <c r="R75" s="193"/>
      <c r="S75" s="86" t="s">
        <v>1066</v>
      </c>
      <c r="T75" s="86" t="s">
        <v>1067</v>
      </c>
      <c r="U75" s="86" t="s">
        <v>1132</v>
      </c>
      <c r="V75" s="86" t="s">
        <v>1133</v>
      </c>
      <c r="W75" s="75"/>
      <c r="X75" s="84" t="s">
        <v>1064</v>
      </c>
      <c r="Y75" s="86" t="s">
        <v>1070</v>
      </c>
      <c r="Z75" s="194" t="s">
        <v>1134</v>
      </c>
      <c r="AA75" s="131" t="s">
        <v>811</v>
      </c>
    </row>
    <row r="76" spans="1:27" s="33" customFormat="1" ht="99.75" hidden="1" customHeight="1" x14ac:dyDescent="0.25">
      <c r="A76" s="27"/>
      <c r="B76" s="75" t="s">
        <v>1056</v>
      </c>
      <c r="C76" s="75" t="s">
        <v>1057</v>
      </c>
      <c r="D76" s="75" t="s">
        <v>1058</v>
      </c>
      <c r="E76" s="76">
        <v>2</v>
      </c>
      <c r="F76" s="75" t="s">
        <v>1135</v>
      </c>
      <c r="G76" s="75" t="s">
        <v>1136</v>
      </c>
      <c r="H76" s="75" t="s">
        <v>1122</v>
      </c>
      <c r="I76" s="76">
        <v>16</v>
      </c>
      <c r="J76" s="75" t="s">
        <v>693</v>
      </c>
      <c r="K76" s="76">
        <v>30</v>
      </c>
      <c r="L76" s="76"/>
      <c r="M76" s="86" t="s">
        <v>1137</v>
      </c>
      <c r="N76" s="75"/>
      <c r="O76" s="76"/>
      <c r="P76" s="77"/>
      <c r="Q76" s="75"/>
      <c r="R76" s="75"/>
      <c r="S76" s="86" t="s">
        <v>1066</v>
      </c>
      <c r="T76" s="86" t="s">
        <v>1067</v>
      </c>
      <c r="U76" s="86" t="s">
        <v>1138</v>
      </c>
      <c r="V76" s="86" t="s">
        <v>1139</v>
      </c>
      <c r="W76" s="75"/>
      <c r="X76" s="84" t="s">
        <v>1064</v>
      </c>
      <c r="Y76" s="86" t="s">
        <v>1126</v>
      </c>
      <c r="Z76" s="86" t="s">
        <v>1140</v>
      </c>
      <c r="AA76" s="131" t="s">
        <v>1141</v>
      </c>
    </row>
    <row r="77" spans="1:27" s="33" customFormat="1" ht="99.75" hidden="1" customHeight="1" x14ac:dyDescent="0.25">
      <c r="A77" s="27"/>
      <c r="B77" s="75" t="s">
        <v>1056</v>
      </c>
      <c r="C77" s="75" t="s">
        <v>1057</v>
      </c>
      <c r="D77" s="75" t="s">
        <v>1058</v>
      </c>
      <c r="E77" s="76">
        <v>2</v>
      </c>
      <c r="F77" s="194" t="s">
        <v>1142</v>
      </c>
      <c r="G77" s="194" t="s">
        <v>1143</v>
      </c>
      <c r="H77" s="75" t="s">
        <v>1122</v>
      </c>
      <c r="I77" s="76">
        <v>17</v>
      </c>
      <c r="J77" s="75" t="s">
        <v>693</v>
      </c>
      <c r="K77" s="76"/>
      <c r="L77" s="76"/>
      <c r="M77" s="86" t="s">
        <v>1144</v>
      </c>
      <c r="N77" s="75"/>
      <c r="O77" s="76"/>
      <c r="P77" s="77"/>
      <c r="Q77" s="193"/>
      <c r="R77" s="193"/>
      <c r="S77" s="86" t="s">
        <v>1066</v>
      </c>
      <c r="T77" s="86" t="s">
        <v>1067</v>
      </c>
      <c r="U77" s="86" t="s">
        <v>1145</v>
      </c>
      <c r="V77" s="86" t="s">
        <v>1146</v>
      </c>
      <c r="W77" s="75"/>
      <c r="X77" s="84" t="s">
        <v>1064</v>
      </c>
      <c r="Y77" s="86" t="s">
        <v>1126</v>
      </c>
      <c r="Z77" s="194" t="s">
        <v>1147</v>
      </c>
      <c r="AA77" s="131" t="s">
        <v>1141</v>
      </c>
    </row>
    <row r="78" spans="1:27" s="33" customFormat="1" ht="99.75" hidden="1" customHeight="1" x14ac:dyDescent="0.25">
      <c r="A78" s="27"/>
      <c r="B78" s="75" t="s">
        <v>1056</v>
      </c>
      <c r="C78" s="75" t="s">
        <v>1057</v>
      </c>
      <c r="D78" s="75" t="s">
        <v>1058</v>
      </c>
      <c r="E78" s="195">
        <v>2</v>
      </c>
      <c r="F78" s="194" t="s">
        <v>1148</v>
      </c>
      <c r="G78" s="194" t="s">
        <v>1149</v>
      </c>
      <c r="H78" s="75" t="s">
        <v>1122</v>
      </c>
      <c r="I78" s="76">
        <v>18</v>
      </c>
      <c r="J78" s="75" t="s">
        <v>693</v>
      </c>
      <c r="K78" s="76"/>
      <c r="L78" s="76"/>
      <c r="M78" s="86" t="s">
        <v>1150</v>
      </c>
      <c r="N78" s="75"/>
      <c r="O78" s="76"/>
      <c r="P78" s="77"/>
      <c r="Q78" s="193"/>
      <c r="R78" s="193"/>
      <c r="S78" s="86" t="s">
        <v>1066</v>
      </c>
      <c r="T78" s="86" t="s">
        <v>1067</v>
      </c>
      <c r="U78" s="86" t="s">
        <v>1151</v>
      </c>
      <c r="V78" s="86" t="s">
        <v>1152</v>
      </c>
      <c r="W78" s="75"/>
      <c r="X78" s="84" t="s">
        <v>1064</v>
      </c>
      <c r="Y78" s="86" t="s">
        <v>1126</v>
      </c>
      <c r="Z78" s="194" t="s">
        <v>1153</v>
      </c>
      <c r="AA78" s="131" t="s">
        <v>1141</v>
      </c>
    </row>
    <row r="79" spans="1:27" s="33" customFormat="1" ht="99.75" hidden="1" customHeight="1" x14ac:dyDescent="0.25">
      <c r="A79" s="27"/>
      <c r="B79" s="75" t="s">
        <v>1056</v>
      </c>
      <c r="C79" s="75" t="s">
        <v>1057</v>
      </c>
      <c r="D79" s="75" t="s">
        <v>1058</v>
      </c>
      <c r="E79" s="195">
        <v>2</v>
      </c>
      <c r="F79" s="194" t="s">
        <v>1154</v>
      </c>
      <c r="G79" s="194" t="s">
        <v>1155</v>
      </c>
      <c r="H79" s="75" t="s">
        <v>1122</v>
      </c>
      <c r="I79" s="76">
        <v>19</v>
      </c>
      <c r="J79" s="75" t="s">
        <v>693</v>
      </c>
      <c r="K79" s="76">
        <v>4</v>
      </c>
      <c r="L79" s="76"/>
      <c r="M79" s="86" t="s">
        <v>1156</v>
      </c>
      <c r="N79" s="75"/>
      <c r="O79" s="76"/>
      <c r="P79" s="77"/>
      <c r="Q79" s="193"/>
      <c r="R79" s="193"/>
      <c r="S79" s="86" t="s">
        <v>1066</v>
      </c>
      <c r="T79" s="86" t="s">
        <v>1067</v>
      </c>
      <c r="U79" s="86" t="s">
        <v>1157</v>
      </c>
      <c r="V79" s="86" t="s">
        <v>1158</v>
      </c>
      <c r="W79" s="75"/>
      <c r="X79" s="84" t="s">
        <v>1064</v>
      </c>
      <c r="Y79" s="86" t="s">
        <v>1070</v>
      </c>
      <c r="Z79" s="194" t="s">
        <v>1159</v>
      </c>
      <c r="AA79" s="131" t="s">
        <v>811</v>
      </c>
    </row>
    <row r="80" spans="1:27" s="33" customFormat="1" ht="99.75" hidden="1" customHeight="1" x14ac:dyDescent="0.25">
      <c r="A80" s="27"/>
      <c r="B80" s="75" t="s">
        <v>1056</v>
      </c>
      <c r="C80" s="75" t="s">
        <v>1057</v>
      </c>
      <c r="D80" s="75" t="s">
        <v>1058</v>
      </c>
      <c r="E80" s="195">
        <v>2</v>
      </c>
      <c r="F80" s="194" t="s">
        <v>1160</v>
      </c>
      <c r="G80" s="194" t="s">
        <v>1161</v>
      </c>
      <c r="H80" s="75" t="s">
        <v>1122</v>
      </c>
      <c r="I80" s="76">
        <v>20</v>
      </c>
      <c r="J80" s="75" t="s">
        <v>693</v>
      </c>
      <c r="K80" s="76"/>
      <c r="L80" s="76"/>
      <c r="M80" s="86" t="s">
        <v>1162</v>
      </c>
      <c r="N80" s="75"/>
      <c r="O80" s="76"/>
      <c r="P80" s="77"/>
      <c r="Q80" s="193"/>
      <c r="R80" s="193"/>
      <c r="S80" s="86" t="s">
        <v>1066</v>
      </c>
      <c r="T80" s="86" t="s">
        <v>1067</v>
      </c>
      <c r="U80" s="86" t="s">
        <v>1163</v>
      </c>
      <c r="V80" s="86" t="s">
        <v>1164</v>
      </c>
      <c r="W80" s="75"/>
      <c r="X80" s="84" t="s">
        <v>1064</v>
      </c>
      <c r="Y80" s="86" t="s">
        <v>1126</v>
      </c>
      <c r="Z80" s="194" t="s">
        <v>1165</v>
      </c>
      <c r="AA80" s="131" t="s">
        <v>1119</v>
      </c>
    </row>
    <row r="81" spans="1:27" s="33" customFormat="1" ht="99.75" hidden="1" customHeight="1" x14ac:dyDescent="0.25">
      <c r="A81" s="27"/>
      <c r="B81" s="75" t="s">
        <v>1056</v>
      </c>
      <c r="C81" s="75" t="s">
        <v>1057</v>
      </c>
      <c r="D81" s="75" t="s">
        <v>1058</v>
      </c>
      <c r="E81" s="76">
        <v>2</v>
      </c>
      <c r="F81" s="77" t="s">
        <v>797</v>
      </c>
      <c r="G81" s="77" t="s">
        <v>798</v>
      </c>
      <c r="H81" s="77" t="s">
        <v>799</v>
      </c>
      <c r="I81" s="76">
        <v>21</v>
      </c>
      <c r="J81" s="77" t="s">
        <v>693</v>
      </c>
      <c r="K81" s="76">
        <v>2</v>
      </c>
      <c r="L81" s="76"/>
      <c r="M81" s="86" t="s">
        <v>800</v>
      </c>
      <c r="N81" s="86"/>
      <c r="O81" s="76"/>
      <c r="P81" s="86" t="s">
        <v>801</v>
      </c>
      <c r="Q81" s="87"/>
      <c r="R81" s="77"/>
      <c r="S81" s="86" t="s">
        <v>1066</v>
      </c>
      <c r="T81" s="86" t="s">
        <v>1067</v>
      </c>
      <c r="U81" s="87" t="s">
        <v>818</v>
      </c>
      <c r="V81" s="87" t="s">
        <v>1166</v>
      </c>
      <c r="W81" s="76"/>
      <c r="X81" s="84" t="s">
        <v>1064</v>
      </c>
      <c r="Y81" s="86" t="s">
        <v>811</v>
      </c>
      <c r="Z81" s="86" t="s">
        <v>811</v>
      </c>
      <c r="AA81" s="201" t="s">
        <v>1167</v>
      </c>
    </row>
    <row r="82" spans="1:27" s="33" customFormat="1" ht="99.75" hidden="1" customHeight="1" x14ac:dyDescent="0.25">
      <c r="A82" s="27"/>
      <c r="B82" s="75" t="s">
        <v>1056</v>
      </c>
      <c r="C82" s="75" t="s">
        <v>1057</v>
      </c>
      <c r="D82" s="75" t="s">
        <v>1058</v>
      </c>
      <c r="E82" s="76">
        <v>2</v>
      </c>
      <c r="F82" s="84" t="s">
        <v>805</v>
      </c>
      <c r="G82" s="75" t="s">
        <v>806</v>
      </c>
      <c r="H82" s="75" t="s">
        <v>807</v>
      </c>
      <c r="I82" s="76">
        <v>22</v>
      </c>
      <c r="J82" s="75" t="s">
        <v>693</v>
      </c>
      <c r="K82" s="76">
        <v>10</v>
      </c>
      <c r="L82" s="76"/>
      <c r="M82" s="86" t="s">
        <v>808</v>
      </c>
      <c r="N82" s="75"/>
      <c r="O82" s="76" t="s">
        <v>695</v>
      </c>
      <c r="P82" s="77"/>
      <c r="Q82" s="75"/>
      <c r="R82" s="75"/>
      <c r="S82" s="86" t="s">
        <v>1066</v>
      </c>
      <c r="T82" s="86" t="s">
        <v>1067</v>
      </c>
      <c r="U82" s="86" t="s">
        <v>866</v>
      </c>
      <c r="V82" s="87" t="s">
        <v>1168</v>
      </c>
      <c r="W82" s="75"/>
      <c r="X82" s="86" t="s">
        <v>811</v>
      </c>
      <c r="Y82" s="86" t="s">
        <v>811</v>
      </c>
      <c r="Z82" s="86" t="s">
        <v>811</v>
      </c>
      <c r="AA82" s="131" t="s">
        <v>811</v>
      </c>
    </row>
    <row r="83" spans="1:27" s="33" customFormat="1" ht="99.75" hidden="1" customHeight="1" x14ac:dyDescent="0.25">
      <c r="A83" s="27"/>
      <c r="B83" s="75" t="s">
        <v>1056</v>
      </c>
      <c r="C83" s="75" t="s">
        <v>1057</v>
      </c>
      <c r="D83" s="75" t="s">
        <v>1058</v>
      </c>
      <c r="E83" s="76">
        <v>2</v>
      </c>
      <c r="F83" s="84" t="s">
        <v>812</v>
      </c>
      <c r="G83" s="75" t="s">
        <v>813</v>
      </c>
      <c r="H83" s="75" t="s">
        <v>814</v>
      </c>
      <c r="I83" s="76">
        <v>23</v>
      </c>
      <c r="J83" s="75" t="s">
        <v>815</v>
      </c>
      <c r="K83" s="76">
        <v>23</v>
      </c>
      <c r="L83" s="76"/>
      <c r="M83" s="86" t="s">
        <v>816</v>
      </c>
      <c r="N83" s="75"/>
      <c r="O83" s="76"/>
      <c r="P83" s="77"/>
      <c r="Q83" s="75"/>
      <c r="R83" s="75"/>
      <c r="S83" s="86" t="s">
        <v>1066</v>
      </c>
      <c r="T83" s="86" t="s">
        <v>1067</v>
      </c>
      <c r="U83" s="87" t="s">
        <v>818</v>
      </c>
      <c r="V83" s="87" t="s">
        <v>1169</v>
      </c>
      <c r="W83" s="75"/>
      <c r="X83" s="86" t="s">
        <v>811</v>
      </c>
      <c r="Y83" s="86" t="s">
        <v>811</v>
      </c>
      <c r="Z83" s="86" t="s">
        <v>811</v>
      </c>
      <c r="AA83" s="131" t="s">
        <v>811</v>
      </c>
    </row>
    <row r="84" spans="1:27" s="33" customFormat="1" ht="99.75" hidden="1" customHeight="1" x14ac:dyDescent="0.25">
      <c r="A84" s="27"/>
      <c r="B84" s="157" t="s">
        <v>1170</v>
      </c>
      <c r="C84" s="158" t="s">
        <v>1171</v>
      </c>
      <c r="D84" s="158" t="s">
        <v>1172</v>
      </c>
      <c r="E84" s="160">
        <v>2</v>
      </c>
      <c r="F84" s="158" t="s">
        <v>690</v>
      </c>
      <c r="G84" s="158" t="s">
        <v>691</v>
      </c>
      <c r="H84" s="75" t="s">
        <v>872</v>
      </c>
      <c r="I84" s="76">
        <v>1</v>
      </c>
      <c r="J84" s="75" t="s">
        <v>693</v>
      </c>
      <c r="K84" s="76">
        <v>4</v>
      </c>
      <c r="L84" s="76"/>
      <c r="M84" s="84" t="s">
        <v>694</v>
      </c>
      <c r="N84" s="75"/>
      <c r="O84" s="76" t="s">
        <v>695</v>
      </c>
      <c r="P84" s="77"/>
      <c r="Q84" s="130" t="s">
        <v>873</v>
      </c>
      <c r="R84" s="133" t="s">
        <v>874</v>
      </c>
      <c r="S84" s="86" t="s">
        <v>1173</v>
      </c>
      <c r="T84" s="86" t="s">
        <v>1174</v>
      </c>
      <c r="U84" s="86" t="s">
        <v>1175</v>
      </c>
      <c r="V84" s="86" t="s">
        <v>1176</v>
      </c>
      <c r="W84" s="75"/>
      <c r="X84" s="87" t="s">
        <v>1177</v>
      </c>
      <c r="Y84" s="84" t="s">
        <v>1178</v>
      </c>
      <c r="Z84" s="84" t="s">
        <v>1178</v>
      </c>
      <c r="AA84" s="131" t="s">
        <v>1179</v>
      </c>
    </row>
    <row r="85" spans="1:27" s="33" customFormat="1" ht="99.75" hidden="1" customHeight="1" x14ac:dyDescent="0.25">
      <c r="A85" s="27"/>
      <c r="B85" s="157" t="s">
        <v>1170</v>
      </c>
      <c r="C85" s="158" t="s">
        <v>1171</v>
      </c>
      <c r="D85" s="158" t="s">
        <v>1172</v>
      </c>
      <c r="E85" s="160">
        <v>2</v>
      </c>
      <c r="F85" s="84" t="s">
        <v>705</v>
      </c>
      <c r="G85" s="84" t="s">
        <v>706</v>
      </c>
      <c r="H85" s="75" t="s">
        <v>872</v>
      </c>
      <c r="I85" s="76">
        <v>2</v>
      </c>
      <c r="J85" s="77" t="s">
        <v>693</v>
      </c>
      <c r="K85" s="76">
        <v>15</v>
      </c>
      <c r="L85" s="76"/>
      <c r="M85" s="84" t="s">
        <v>707</v>
      </c>
      <c r="N85" s="75"/>
      <c r="O85" s="76" t="s">
        <v>695</v>
      </c>
      <c r="P85" s="77"/>
      <c r="Q85" s="130" t="s">
        <v>873</v>
      </c>
      <c r="R85" s="133" t="s">
        <v>874</v>
      </c>
      <c r="S85" s="86" t="s">
        <v>1180</v>
      </c>
      <c r="T85" s="86" t="s">
        <v>1181</v>
      </c>
      <c r="U85" s="86" t="s">
        <v>1182</v>
      </c>
      <c r="V85" s="87" t="s">
        <v>1183</v>
      </c>
      <c r="W85" s="75"/>
      <c r="X85" s="87" t="s">
        <v>1177</v>
      </c>
      <c r="Y85" s="84" t="s">
        <v>1184</v>
      </c>
      <c r="Z85" s="84" t="s">
        <v>1185</v>
      </c>
      <c r="AA85" s="131" t="s">
        <v>1178</v>
      </c>
    </row>
    <row r="86" spans="1:27" s="33" customFormat="1" ht="99.75" hidden="1" customHeight="1" x14ac:dyDescent="0.25">
      <c r="A86" s="27"/>
      <c r="B86" s="157" t="s">
        <v>1170</v>
      </c>
      <c r="C86" s="158" t="s">
        <v>1171</v>
      </c>
      <c r="D86" s="158" t="s">
        <v>1172</v>
      </c>
      <c r="E86" s="160">
        <v>2</v>
      </c>
      <c r="F86" s="84" t="s">
        <v>715</v>
      </c>
      <c r="G86" s="84" t="s">
        <v>716</v>
      </c>
      <c r="H86" s="75" t="s">
        <v>759</v>
      </c>
      <c r="I86" s="76">
        <v>3</v>
      </c>
      <c r="J86" s="75" t="s">
        <v>887</v>
      </c>
      <c r="K86" s="76"/>
      <c r="L86" s="76"/>
      <c r="M86" s="84" t="s">
        <v>888</v>
      </c>
      <c r="N86" s="75"/>
      <c r="O86" s="76" t="s">
        <v>695</v>
      </c>
      <c r="P86" s="77"/>
      <c r="Q86" s="130" t="s">
        <v>889</v>
      </c>
      <c r="R86" s="133" t="s">
        <v>721</v>
      </c>
      <c r="S86" s="86" t="s">
        <v>1180</v>
      </c>
      <c r="T86" s="86" t="s">
        <v>1181</v>
      </c>
      <c r="U86" s="86" t="s">
        <v>1186</v>
      </c>
      <c r="V86" s="86" t="s">
        <v>1187</v>
      </c>
      <c r="W86" s="75" t="s">
        <v>6</v>
      </c>
      <c r="X86" s="87" t="s">
        <v>1177</v>
      </c>
      <c r="Y86" s="161" t="s">
        <v>1188</v>
      </c>
      <c r="Z86" s="84" t="s">
        <v>1189</v>
      </c>
      <c r="AA86" s="131" t="s">
        <v>1178</v>
      </c>
    </row>
    <row r="87" spans="1:27" s="33" customFormat="1" ht="99.75" hidden="1" customHeight="1" x14ac:dyDescent="0.25">
      <c r="A87" s="27"/>
      <c r="B87" s="157" t="s">
        <v>1170</v>
      </c>
      <c r="C87" s="158" t="s">
        <v>1171</v>
      </c>
      <c r="D87" s="158" t="s">
        <v>1172</v>
      </c>
      <c r="E87" s="160">
        <v>2</v>
      </c>
      <c r="F87" s="84" t="s">
        <v>728</v>
      </c>
      <c r="G87" s="84" t="s">
        <v>729</v>
      </c>
      <c r="H87" s="75" t="s">
        <v>894</v>
      </c>
      <c r="I87" s="76">
        <v>4</v>
      </c>
      <c r="J87" s="75" t="s">
        <v>718</v>
      </c>
      <c r="K87" s="76"/>
      <c r="L87" s="76"/>
      <c r="M87" s="84" t="s">
        <v>895</v>
      </c>
      <c r="N87" s="75"/>
      <c r="O87" s="76" t="s">
        <v>695</v>
      </c>
      <c r="P87" s="77"/>
      <c r="Q87" s="130" t="s">
        <v>889</v>
      </c>
      <c r="R87" s="133" t="s">
        <v>721</v>
      </c>
      <c r="S87" s="86" t="s">
        <v>1180</v>
      </c>
      <c r="T87" s="86" t="s">
        <v>1181</v>
      </c>
      <c r="U87" s="86" t="s">
        <v>1190</v>
      </c>
      <c r="V87" s="86" t="s">
        <v>1191</v>
      </c>
      <c r="W87" s="75"/>
      <c r="X87" s="87" t="s">
        <v>1177</v>
      </c>
      <c r="Y87" s="161" t="s">
        <v>1188</v>
      </c>
      <c r="Z87" s="84" t="s">
        <v>1192</v>
      </c>
      <c r="AA87" s="131" t="s">
        <v>1178</v>
      </c>
    </row>
    <row r="88" spans="1:27" s="33" customFormat="1" ht="129.75" hidden="1" customHeight="1" x14ac:dyDescent="0.25">
      <c r="A88" s="27"/>
      <c r="B88" s="157" t="s">
        <v>1170</v>
      </c>
      <c r="C88" s="158" t="s">
        <v>1171</v>
      </c>
      <c r="D88" s="158" t="s">
        <v>1172</v>
      </c>
      <c r="E88" s="160">
        <v>2</v>
      </c>
      <c r="F88" s="212" t="s">
        <v>736</v>
      </c>
      <c r="G88" s="159" t="s">
        <v>737</v>
      </c>
      <c r="H88" s="75" t="s">
        <v>779</v>
      </c>
      <c r="I88" s="76">
        <v>5</v>
      </c>
      <c r="J88" s="75" t="s">
        <v>693</v>
      </c>
      <c r="K88" s="76">
        <v>4</v>
      </c>
      <c r="L88" s="76"/>
      <c r="M88" s="159" t="s">
        <v>739</v>
      </c>
      <c r="N88" s="75"/>
      <c r="O88" s="76"/>
      <c r="P88" s="87" t="s">
        <v>1193</v>
      </c>
      <c r="Q88" s="130" t="s">
        <v>842</v>
      </c>
      <c r="R88" s="133" t="s">
        <v>843</v>
      </c>
      <c r="S88" s="86" t="s">
        <v>1194</v>
      </c>
      <c r="T88" s="86" t="s">
        <v>1195</v>
      </c>
      <c r="U88" s="86" t="s">
        <v>824</v>
      </c>
      <c r="V88" s="86" t="s">
        <v>1196</v>
      </c>
      <c r="W88" s="75"/>
      <c r="X88" s="87" t="s">
        <v>1177</v>
      </c>
      <c r="Y88" s="161" t="s">
        <v>1188</v>
      </c>
      <c r="Z88" s="84" t="s">
        <v>1197</v>
      </c>
      <c r="AA88" s="131" t="s">
        <v>1178</v>
      </c>
    </row>
    <row r="89" spans="1:27" s="33" customFormat="1" ht="99.75" hidden="1" customHeight="1" x14ac:dyDescent="0.25">
      <c r="A89" s="27"/>
      <c r="B89" s="157" t="s">
        <v>1170</v>
      </c>
      <c r="C89" s="158" t="s">
        <v>1171</v>
      </c>
      <c r="D89" s="158" t="s">
        <v>1172</v>
      </c>
      <c r="E89" s="131">
        <v>2</v>
      </c>
      <c r="F89" s="194" t="s">
        <v>766</v>
      </c>
      <c r="G89" s="194" t="s">
        <v>767</v>
      </c>
      <c r="H89" s="75" t="s">
        <v>768</v>
      </c>
      <c r="I89" s="76">
        <v>6</v>
      </c>
      <c r="J89" s="75" t="s">
        <v>693</v>
      </c>
      <c r="K89" s="76">
        <v>4</v>
      </c>
      <c r="L89" s="76"/>
      <c r="M89" s="159" t="s">
        <v>769</v>
      </c>
      <c r="N89" s="75"/>
      <c r="O89" s="76"/>
      <c r="P89" s="77"/>
      <c r="Q89" s="193" t="s">
        <v>1198</v>
      </c>
      <c r="R89" s="193" t="s">
        <v>1199</v>
      </c>
      <c r="S89" s="86" t="s">
        <v>1180</v>
      </c>
      <c r="T89" s="86" t="s">
        <v>1181</v>
      </c>
      <c r="U89" s="86" t="s">
        <v>703</v>
      </c>
      <c r="V89" s="86" t="s">
        <v>1200</v>
      </c>
      <c r="W89" s="75"/>
      <c r="X89" s="87" t="s">
        <v>1177</v>
      </c>
      <c r="Y89" s="86" t="s">
        <v>1178</v>
      </c>
      <c r="Z89" s="194" t="s">
        <v>1178</v>
      </c>
      <c r="AA89" s="195" t="s">
        <v>1201</v>
      </c>
    </row>
    <row r="90" spans="1:27" s="33" customFormat="1" ht="99.75" hidden="1" customHeight="1" x14ac:dyDescent="0.25">
      <c r="A90" s="27"/>
      <c r="B90" s="157" t="s">
        <v>1170</v>
      </c>
      <c r="C90" s="158" t="s">
        <v>1171</v>
      </c>
      <c r="D90" s="158" t="s">
        <v>1172</v>
      </c>
      <c r="E90" s="160">
        <v>2</v>
      </c>
      <c r="F90" s="84" t="s">
        <v>912</v>
      </c>
      <c r="G90" s="84" t="s">
        <v>913</v>
      </c>
      <c r="H90" s="75" t="s">
        <v>914</v>
      </c>
      <c r="I90" s="76">
        <v>7</v>
      </c>
      <c r="J90" s="75" t="s">
        <v>693</v>
      </c>
      <c r="K90" s="76">
        <v>16</v>
      </c>
      <c r="L90" s="76"/>
      <c r="M90" s="84" t="s">
        <v>915</v>
      </c>
      <c r="N90" s="75"/>
      <c r="O90" s="76"/>
      <c r="P90" s="77"/>
      <c r="Q90" s="130" t="s">
        <v>916</v>
      </c>
      <c r="R90" s="133" t="s">
        <v>912</v>
      </c>
      <c r="S90" s="86" t="s">
        <v>1180</v>
      </c>
      <c r="T90" s="86" t="s">
        <v>1181</v>
      </c>
      <c r="U90" s="86" t="s">
        <v>1202</v>
      </c>
      <c r="V90" s="86" t="s">
        <v>1203</v>
      </c>
      <c r="W90" s="75"/>
      <c r="X90" s="87" t="s">
        <v>1177</v>
      </c>
      <c r="Y90" s="161" t="s">
        <v>1188</v>
      </c>
      <c r="Z90" s="84" t="s">
        <v>1204</v>
      </c>
      <c r="AA90" s="131" t="s">
        <v>1178</v>
      </c>
    </row>
    <row r="91" spans="1:27" s="33" customFormat="1" ht="99.75" hidden="1" customHeight="1" x14ac:dyDescent="0.25">
      <c r="A91" s="27"/>
      <c r="B91" s="157" t="s">
        <v>1170</v>
      </c>
      <c r="C91" s="158" t="s">
        <v>1171</v>
      </c>
      <c r="D91" s="158" t="s">
        <v>1172</v>
      </c>
      <c r="E91" s="160">
        <v>2</v>
      </c>
      <c r="F91" s="84" t="s">
        <v>922</v>
      </c>
      <c r="G91" s="84" t="s">
        <v>923</v>
      </c>
      <c r="H91" s="75" t="s">
        <v>924</v>
      </c>
      <c r="I91" s="76">
        <v>8</v>
      </c>
      <c r="J91" s="75" t="s">
        <v>1205</v>
      </c>
      <c r="K91" s="76"/>
      <c r="L91" s="76"/>
      <c r="M91" s="86" t="s">
        <v>925</v>
      </c>
      <c r="N91" s="75"/>
      <c r="O91" s="76"/>
      <c r="P91" s="77"/>
      <c r="Q91" s="158"/>
      <c r="R91" s="200"/>
      <c r="S91" s="86" t="s">
        <v>1206</v>
      </c>
      <c r="T91" s="86" t="s">
        <v>1207</v>
      </c>
      <c r="U91" s="86" t="s">
        <v>1208</v>
      </c>
      <c r="V91" s="86" t="s">
        <v>1209</v>
      </c>
      <c r="W91" s="75"/>
      <c r="X91" s="87" t="s">
        <v>1177</v>
      </c>
      <c r="Y91" s="86" t="s">
        <v>1210</v>
      </c>
      <c r="Z91" s="86" t="s">
        <v>1211</v>
      </c>
      <c r="AA91" s="131" t="s">
        <v>1178</v>
      </c>
    </row>
    <row r="92" spans="1:27" s="33" customFormat="1" ht="158.25" hidden="1" customHeight="1" x14ac:dyDescent="0.25">
      <c r="A92" s="27"/>
      <c r="B92" s="157" t="s">
        <v>1170</v>
      </c>
      <c r="C92" s="158" t="s">
        <v>1171</v>
      </c>
      <c r="D92" s="158" t="s">
        <v>1172</v>
      </c>
      <c r="E92" s="160">
        <v>2</v>
      </c>
      <c r="F92" s="84" t="s">
        <v>932</v>
      </c>
      <c r="G92" s="84" t="s">
        <v>933</v>
      </c>
      <c r="H92" s="75" t="s">
        <v>768</v>
      </c>
      <c r="I92" s="76">
        <v>9</v>
      </c>
      <c r="J92" s="75" t="s">
        <v>693</v>
      </c>
      <c r="K92" s="76">
        <v>4</v>
      </c>
      <c r="L92" s="76"/>
      <c r="M92" s="84" t="s">
        <v>934</v>
      </c>
      <c r="N92" s="75"/>
      <c r="O92" s="76"/>
      <c r="P92" s="77"/>
      <c r="Q92" s="84" t="s">
        <v>752</v>
      </c>
      <c r="R92" s="84" t="s">
        <v>935</v>
      </c>
      <c r="S92" s="86" t="s">
        <v>1180</v>
      </c>
      <c r="T92" s="86" t="s">
        <v>1181</v>
      </c>
      <c r="U92" s="86" t="s">
        <v>1212</v>
      </c>
      <c r="V92" s="86" t="s">
        <v>1213</v>
      </c>
      <c r="W92" s="75"/>
      <c r="X92" s="87" t="s">
        <v>1177</v>
      </c>
      <c r="Y92" s="86" t="s">
        <v>1214</v>
      </c>
      <c r="Z92" s="84" t="s">
        <v>1215</v>
      </c>
      <c r="AA92" s="131" t="s">
        <v>1178</v>
      </c>
    </row>
    <row r="93" spans="1:27" s="33" customFormat="1" ht="251.25" hidden="1" customHeight="1" x14ac:dyDescent="0.25">
      <c r="A93" s="27"/>
      <c r="B93" s="157" t="s">
        <v>1170</v>
      </c>
      <c r="C93" s="158" t="s">
        <v>1171</v>
      </c>
      <c r="D93" s="158" t="s">
        <v>1172</v>
      </c>
      <c r="E93" s="160">
        <v>2</v>
      </c>
      <c r="F93" s="84" t="s">
        <v>940</v>
      </c>
      <c r="G93" s="84" t="s">
        <v>941</v>
      </c>
      <c r="H93" s="75" t="s">
        <v>768</v>
      </c>
      <c r="I93" s="76">
        <v>10</v>
      </c>
      <c r="J93" s="75" t="s">
        <v>693</v>
      </c>
      <c r="K93" s="76">
        <v>4</v>
      </c>
      <c r="L93" s="76"/>
      <c r="M93" s="84" t="s">
        <v>942</v>
      </c>
      <c r="N93" s="75"/>
      <c r="O93" s="76"/>
      <c r="P93" s="77"/>
      <c r="Q93" s="130" t="s">
        <v>752</v>
      </c>
      <c r="R93" s="133" t="s">
        <v>943</v>
      </c>
      <c r="S93" s="86" t="s">
        <v>1180</v>
      </c>
      <c r="T93" s="86" t="s">
        <v>1181</v>
      </c>
      <c r="U93" s="86" t="s">
        <v>1216</v>
      </c>
      <c r="V93" s="86" t="s">
        <v>1217</v>
      </c>
      <c r="W93" s="75"/>
      <c r="X93" s="87" t="s">
        <v>1177</v>
      </c>
      <c r="Y93" s="161" t="s">
        <v>1188</v>
      </c>
      <c r="Z93" s="84" t="s">
        <v>1218</v>
      </c>
      <c r="AA93" s="131" t="s">
        <v>1178</v>
      </c>
    </row>
    <row r="94" spans="1:27" s="33" customFormat="1" ht="99.75" hidden="1" customHeight="1" x14ac:dyDescent="0.25">
      <c r="A94" s="27"/>
      <c r="B94" s="157" t="s">
        <v>1170</v>
      </c>
      <c r="C94" s="158" t="s">
        <v>1171</v>
      </c>
      <c r="D94" s="158" t="s">
        <v>1172</v>
      </c>
      <c r="E94" s="160">
        <v>2</v>
      </c>
      <c r="F94" s="84" t="s">
        <v>947</v>
      </c>
      <c r="G94" s="84" t="s">
        <v>948</v>
      </c>
      <c r="H94" s="75" t="s">
        <v>949</v>
      </c>
      <c r="I94" s="76">
        <v>11</v>
      </c>
      <c r="J94" s="75" t="s">
        <v>693</v>
      </c>
      <c r="K94" s="76">
        <v>4</v>
      </c>
      <c r="L94" s="76"/>
      <c r="M94" s="84" t="s">
        <v>950</v>
      </c>
      <c r="N94" s="75"/>
      <c r="O94" s="76"/>
      <c r="P94" s="87" t="s">
        <v>1219</v>
      </c>
      <c r="Q94" s="130" t="s">
        <v>916</v>
      </c>
      <c r="R94" s="133" t="s">
        <v>951</v>
      </c>
      <c r="S94" s="86" t="s">
        <v>1206</v>
      </c>
      <c r="T94" s="86" t="s">
        <v>1220</v>
      </c>
      <c r="U94" s="86" t="s">
        <v>1221</v>
      </c>
      <c r="V94" s="86" t="s">
        <v>1222</v>
      </c>
      <c r="W94" s="75"/>
      <c r="X94" s="87" t="s">
        <v>1177</v>
      </c>
      <c r="Y94" s="86" t="s">
        <v>1223</v>
      </c>
      <c r="Z94" s="84" t="s">
        <v>1224</v>
      </c>
      <c r="AA94" s="131" t="s">
        <v>1178</v>
      </c>
    </row>
    <row r="95" spans="1:27" s="33" customFormat="1" ht="99.75" hidden="1" customHeight="1" x14ac:dyDescent="0.25">
      <c r="A95" s="27"/>
      <c r="B95" s="157" t="s">
        <v>1170</v>
      </c>
      <c r="C95" s="158" t="s">
        <v>1171</v>
      </c>
      <c r="D95" s="158" t="s">
        <v>1172</v>
      </c>
      <c r="E95" s="160">
        <v>2</v>
      </c>
      <c r="F95" s="84" t="s">
        <v>957</v>
      </c>
      <c r="G95" s="84" t="s">
        <v>958</v>
      </c>
      <c r="H95" s="75" t="s">
        <v>959</v>
      </c>
      <c r="I95" s="76">
        <v>12</v>
      </c>
      <c r="J95" s="75" t="s">
        <v>693</v>
      </c>
      <c r="K95" s="76">
        <v>4</v>
      </c>
      <c r="L95" s="76"/>
      <c r="M95" s="84" t="s">
        <v>960</v>
      </c>
      <c r="N95" s="75"/>
      <c r="O95" s="76"/>
      <c r="P95" s="87" t="s">
        <v>1219</v>
      </c>
      <c r="Q95" s="130" t="s">
        <v>916</v>
      </c>
      <c r="R95" s="133" t="s">
        <v>962</v>
      </c>
      <c r="S95" s="86" t="s">
        <v>1206</v>
      </c>
      <c r="T95" s="86" t="s">
        <v>1220</v>
      </c>
      <c r="U95" s="86" t="s">
        <v>1221</v>
      </c>
      <c r="V95" s="86" t="s">
        <v>1225</v>
      </c>
      <c r="W95" s="75"/>
      <c r="X95" s="87" t="s">
        <v>1177</v>
      </c>
      <c r="Y95" s="86" t="s">
        <v>1226</v>
      </c>
      <c r="Z95" s="84" t="s">
        <v>1227</v>
      </c>
      <c r="AA95" s="131" t="s">
        <v>1178</v>
      </c>
    </row>
    <row r="96" spans="1:27" s="33" customFormat="1" ht="204.75" hidden="1" customHeight="1" x14ac:dyDescent="0.25">
      <c r="A96" s="27"/>
      <c r="B96" s="157" t="s">
        <v>1170</v>
      </c>
      <c r="C96" s="158" t="s">
        <v>1171</v>
      </c>
      <c r="D96" s="158" t="s">
        <v>1172</v>
      </c>
      <c r="E96" s="131">
        <v>2</v>
      </c>
      <c r="F96" s="158" t="s">
        <v>964</v>
      </c>
      <c r="G96" s="158" t="s">
        <v>965</v>
      </c>
      <c r="H96" s="75" t="s">
        <v>779</v>
      </c>
      <c r="I96" s="76">
        <v>13</v>
      </c>
      <c r="J96" s="75" t="s">
        <v>693</v>
      </c>
      <c r="K96" s="76">
        <v>4</v>
      </c>
      <c r="L96" s="76"/>
      <c r="M96" s="84" t="s">
        <v>966</v>
      </c>
      <c r="N96" s="75"/>
      <c r="O96" s="76"/>
      <c r="P96" s="87" t="s">
        <v>1228</v>
      </c>
      <c r="Q96" s="130" t="s">
        <v>752</v>
      </c>
      <c r="R96" s="200" t="s">
        <v>968</v>
      </c>
      <c r="S96" s="86" t="s">
        <v>1180</v>
      </c>
      <c r="T96" s="86" t="s">
        <v>1181</v>
      </c>
      <c r="U96" s="86" t="s">
        <v>1229</v>
      </c>
      <c r="V96" s="86" t="s">
        <v>1230</v>
      </c>
      <c r="W96" s="75"/>
      <c r="X96" s="87" t="s">
        <v>1177</v>
      </c>
      <c r="Y96" s="161" t="s">
        <v>1188</v>
      </c>
      <c r="Z96" s="84" t="s">
        <v>1231</v>
      </c>
      <c r="AA96" s="131" t="s">
        <v>1178</v>
      </c>
    </row>
    <row r="97" spans="1:27" s="33" customFormat="1" ht="99.75" hidden="1" customHeight="1" x14ac:dyDescent="0.25">
      <c r="A97" s="27"/>
      <c r="B97" s="157" t="s">
        <v>1170</v>
      </c>
      <c r="C97" s="158" t="s">
        <v>1171</v>
      </c>
      <c r="D97" s="158" t="s">
        <v>1172</v>
      </c>
      <c r="E97" s="131">
        <v>2</v>
      </c>
      <c r="F97" s="159" t="s">
        <v>777</v>
      </c>
      <c r="G97" s="159" t="s">
        <v>778</v>
      </c>
      <c r="H97" s="75" t="s">
        <v>779</v>
      </c>
      <c r="I97" s="76">
        <v>14</v>
      </c>
      <c r="J97" s="75" t="s">
        <v>693</v>
      </c>
      <c r="K97" s="76">
        <v>4</v>
      </c>
      <c r="L97" s="76"/>
      <c r="M97" s="84" t="s">
        <v>780</v>
      </c>
      <c r="N97" s="75"/>
      <c r="O97" s="76"/>
      <c r="P97" s="87" t="s">
        <v>1228</v>
      </c>
      <c r="Q97" s="130" t="s">
        <v>752</v>
      </c>
      <c r="R97" s="133" t="s">
        <v>782</v>
      </c>
      <c r="S97" s="86" t="s">
        <v>1180</v>
      </c>
      <c r="T97" s="86" t="s">
        <v>1181</v>
      </c>
      <c r="U97" s="86" t="s">
        <v>1232</v>
      </c>
      <c r="V97" s="86" t="s">
        <v>1233</v>
      </c>
      <c r="W97" s="75"/>
      <c r="X97" s="87" t="s">
        <v>1177</v>
      </c>
      <c r="Y97" s="161" t="s">
        <v>1188</v>
      </c>
      <c r="Z97" s="84" t="s">
        <v>1234</v>
      </c>
      <c r="AA97" s="131" t="s">
        <v>1178</v>
      </c>
    </row>
    <row r="98" spans="1:27" s="33" customFormat="1" ht="216" hidden="1" customHeight="1" x14ac:dyDescent="0.25">
      <c r="A98" s="27"/>
      <c r="B98" s="157" t="s">
        <v>1170</v>
      </c>
      <c r="C98" s="158" t="s">
        <v>1171</v>
      </c>
      <c r="D98" s="158" t="s">
        <v>1172</v>
      </c>
      <c r="E98" s="160">
        <v>2</v>
      </c>
      <c r="F98" s="84" t="s">
        <v>790</v>
      </c>
      <c r="G98" s="84" t="s">
        <v>791</v>
      </c>
      <c r="H98" s="75" t="s">
        <v>750</v>
      </c>
      <c r="I98" s="76">
        <v>15</v>
      </c>
      <c r="J98" s="75" t="s">
        <v>693</v>
      </c>
      <c r="K98" s="76">
        <v>10</v>
      </c>
      <c r="L98" s="76"/>
      <c r="M98" s="84" t="s">
        <v>792</v>
      </c>
      <c r="N98" s="75"/>
      <c r="O98" s="76"/>
      <c r="P98" s="77"/>
      <c r="Q98" s="130" t="s">
        <v>752</v>
      </c>
      <c r="R98" s="133" t="s">
        <v>793</v>
      </c>
      <c r="S98" s="86" t="s">
        <v>1180</v>
      </c>
      <c r="T98" s="86" t="s">
        <v>1181</v>
      </c>
      <c r="U98" s="86" t="s">
        <v>1235</v>
      </c>
      <c r="V98" s="86" t="s">
        <v>1236</v>
      </c>
      <c r="W98" s="75"/>
      <c r="X98" s="87" t="s">
        <v>1177</v>
      </c>
      <c r="Y98" s="161" t="s">
        <v>1188</v>
      </c>
      <c r="Z98" s="84" t="s">
        <v>1237</v>
      </c>
      <c r="AA98" s="131" t="s">
        <v>1178</v>
      </c>
    </row>
    <row r="99" spans="1:27" s="33" customFormat="1" ht="166.5" hidden="1" customHeight="1" x14ac:dyDescent="0.25">
      <c r="A99" s="27"/>
      <c r="B99" s="157" t="s">
        <v>1170</v>
      </c>
      <c r="C99" s="158" t="s">
        <v>1171</v>
      </c>
      <c r="D99" s="158" t="s">
        <v>1172</v>
      </c>
      <c r="E99" s="160">
        <v>2</v>
      </c>
      <c r="F99" s="84" t="s">
        <v>748</v>
      </c>
      <c r="G99" s="84" t="s">
        <v>749</v>
      </c>
      <c r="H99" s="75" t="s">
        <v>750</v>
      </c>
      <c r="I99" s="76">
        <v>16</v>
      </c>
      <c r="J99" s="75" t="s">
        <v>693</v>
      </c>
      <c r="K99" s="76">
        <v>10</v>
      </c>
      <c r="L99" s="76"/>
      <c r="M99" s="84" t="s">
        <v>751</v>
      </c>
      <c r="N99" s="75"/>
      <c r="O99" s="76"/>
      <c r="P99" s="77"/>
      <c r="Q99" s="130" t="s">
        <v>752</v>
      </c>
      <c r="R99" s="133" t="s">
        <v>753</v>
      </c>
      <c r="S99" s="86" t="s">
        <v>1180</v>
      </c>
      <c r="T99" s="86" t="s">
        <v>1181</v>
      </c>
      <c r="U99" s="86" t="s">
        <v>1238</v>
      </c>
      <c r="V99" s="86" t="s">
        <v>1239</v>
      </c>
      <c r="W99" s="75"/>
      <c r="X99" s="87" t="s">
        <v>1177</v>
      </c>
      <c r="Y99" s="161" t="s">
        <v>1188</v>
      </c>
      <c r="Z99" s="84" t="s">
        <v>1240</v>
      </c>
      <c r="AA99" s="131" t="s">
        <v>1178</v>
      </c>
    </row>
    <row r="100" spans="1:27" s="33" customFormat="1" ht="99.75" hidden="1" customHeight="1" x14ac:dyDescent="0.25">
      <c r="A100" s="27"/>
      <c r="B100" s="157" t="s">
        <v>1170</v>
      </c>
      <c r="C100" s="158" t="s">
        <v>1171</v>
      </c>
      <c r="D100" s="158" t="s">
        <v>1172</v>
      </c>
      <c r="E100" s="131">
        <v>2</v>
      </c>
      <c r="F100" s="158" t="s">
        <v>982</v>
      </c>
      <c r="G100" s="158" t="s">
        <v>983</v>
      </c>
      <c r="H100" s="75" t="s">
        <v>759</v>
      </c>
      <c r="I100" s="76">
        <v>17</v>
      </c>
      <c r="J100" s="75" t="s">
        <v>760</v>
      </c>
      <c r="K100" s="76">
        <v>23</v>
      </c>
      <c r="L100" s="76">
        <v>6</v>
      </c>
      <c r="M100" s="84" t="s">
        <v>984</v>
      </c>
      <c r="N100" s="75"/>
      <c r="O100" s="76"/>
      <c r="P100" s="77"/>
      <c r="Q100" s="130" t="s">
        <v>752</v>
      </c>
      <c r="R100" s="200" t="s">
        <v>985</v>
      </c>
      <c r="S100" s="86" t="s">
        <v>1206</v>
      </c>
      <c r="T100" s="86" t="s">
        <v>1241</v>
      </c>
      <c r="U100" s="233" t="s">
        <v>1242</v>
      </c>
      <c r="V100" s="86" t="s">
        <v>1243</v>
      </c>
      <c r="W100" s="75" t="s">
        <v>6</v>
      </c>
      <c r="X100" s="87" t="s">
        <v>1177</v>
      </c>
      <c r="Y100" s="86" t="s">
        <v>1244</v>
      </c>
      <c r="Z100" s="84" t="s">
        <v>1245</v>
      </c>
      <c r="AA100" s="131" t="s">
        <v>1246</v>
      </c>
    </row>
    <row r="101" spans="1:27" s="33" customFormat="1" ht="99.75" hidden="1" customHeight="1" x14ac:dyDescent="0.25">
      <c r="A101" s="27"/>
      <c r="B101" s="157" t="s">
        <v>1170</v>
      </c>
      <c r="C101" s="158" t="s">
        <v>1171</v>
      </c>
      <c r="D101" s="158" t="s">
        <v>1172</v>
      </c>
      <c r="E101" s="131">
        <v>2</v>
      </c>
      <c r="F101" s="84" t="s">
        <v>757</v>
      </c>
      <c r="G101" s="84" t="s">
        <v>758</v>
      </c>
      <c r="H101" s="75" t="s">
        <v>759</v>
      </c>
      <c r="I101" s="76">
        <v>18</v>
      </c>
      <c r="J101" s="75" t="s">
        <v>760</v>
      </c>
      <c r="K101" s="76">
        <v>23</v>
      </c>
      <c r="L101" s="76">
        <v>6</v>
      </c>
      <c r="M101" s="84" t="s">
        <v>761</v>
      </c>
      <c r="N101" s="75"/>
      <c r="O101" s="76"/>
      <c r="P101" s="77"/>
      <c r="Q101" s="130" t="s">
        <v>752</v>
      </c>
      <c r="R101" s="133" t="s">
        <v>762</v>
      </c>
      <c r="S101" s="86" t="s">
        <v>1206</v>
      </c>
      <c r="T101" s="86" t="s">
        <v>1241</v>
      </c>
      <c r="U101" s="233" t="s">
        <v>1247</v>
      </c>
      <c r="V101" s="86" t="s">
        <v>1248</v>
      </c>
      <c r="W101" s="75"/>
      <c r="X101" s="87" t="s">
        <v>1177</v>
      </c>
      <c r="Y101" s="161" t="s">
        <v>1249</v>
      </c>
      <c r="Z101" s="84" t="s">
        <v>1250</v>
      </c>
      <c r="AA101" s="131" t="s">
        <v>1178</v>
      </c>
    </row>
    <row r="102" spans="1:27" s="33" customFormat="1" ht="99.75" hidden="1" customHeight="1" x14ac:dyDescent="0.25">
      <c r="A102" s="27"/>
      <c r="B102" s="157" t="s">
        <v>1170</v>
      </c>
      <c r="C102" s="158" t="s">
        <v>1171</v>
      </c>
      <c r="D102" s="158" t="s">
        <v>1172</v>
      </c>
      <c r="E102" s="131">
        <v>2</v>
      </c>
      <c r="F102" s="158" t="s">
        <v>996</v>
      </c>
      <c r="G102" s="158" t="s">
        <v>997</v>
      </c>
      <c r="H102" s="75" t="s">
        <v>998</v>
      </c>
      <c r="I102" s="76">
        <v>19</v>
      </c>
      <c r="J102" s="75" t="s">
        <v>693</v>
      </c>
      <c r="K102" s="76">
        <v>4</v>
      </c>
      <c r="L102" s="76"/>
      <c r="M102" s="84" t="s">
        <v>999</v>
      </c>
      <c r="N102" s="75"/>
      <c r="O102" s="76"/>
      <c r="P102" s="87" t="s">
        <v>1251</v>
      </c>
      <c r="Q102" s="75" t="s">
        <v>916</v>
      </c>
      <c r="R102" s="75" t="s">
        <v>1001</v>
      </c>
      <c r="S102" s="86" t="s">
        <v>1180</v>
      </c>
      <c r="T102" s="86" t="s">
        <v>1181</v>
      </c>
      <c r="U102" s="86" t="s">
        <v>1252</v>
      </c>
      <c r="V102" s="86" t="s">
        <v>1253</v>
      </c>
      <c r="W102" s="75"/>
      <c r="X102" s="87" t="s">
        <v>1177</v>
      </c>
      <c r="Y102" s="161" t="s">
        <v>1188</v>
      </c>
      <c r="Z102" s="86" t="s">
        <v>1254</v>
      </c>
      <c r="AA102" s="131" t="s">
        <v>1178</v>
      </c>
    </row>
    <row r="103" spans="1:27" s="33" customFormat="1" ht="99.75" hidden="1" customHeight="1" x14ac:dyDescent="0.25">
      <c r="A103" s="27"/>
      <c r="B103" s="157" t="s">
        <v>1170</v>
      </c>
      <c r="C103" s="158" t="s">
        <v>1171</v>
      </c>
      <c r="D103" s="158" t="s">
        <v>1172</v>
      </c>
      <c r="E103" s="131">
        <v>2</v>
      </c>
      <c r="F103" s="158" t="s">
        <v>1007</v>
      </c>
      <c r="G103" s="158" t="s">
        <v>1008</v>
      </c>
      <c r="H103" s="75" t="s">
        <v>1009</v>
      </c>
      <c r="I103" s="76">
        <v>20</v>
      </c>
      <c r="J103" s="75" t="s">
        <v>693</v>
      </c>
      <c r="K103" s="76"/>
      <c r="L103" s="76"/>
      <c r="M103" s="84" t="s">
        <v>1010</v>
      </c>
      <c r="N103" s="75"/>
      <c r="O103" s="76"/>
      <c r="P103" s="77"/>
      <c r="Q103" s="86" t="s">
        <v>889</v>
      </c>
      <c r="R103" s="86" t="s">
        <v>1011</v>
      </c>
      <c r="S103" s="86" t="s">
        <v>1180</v>
      </c>
      <c r="T103" s="86" t="s">
        <v>1181</v>
      </c>
      <c r="U103" s="86" t="s">
        <v>1255</v>
      </c>
      <c r="V103" s="86" t="s">
        <v>1256</v>
      </c>
      <c r="W103" s="75"/>
      <c r="X103" s="87" t="s">
        <v>1177</v>
      </c>
      <c r="Y103" s="161" t="s">
        <v>1188</v>
      </c>
      <c r="Z103" s="86" t="s">
        <v>1257</v>
      </c>
      <c r="AA103" s="131" t="s">
        <v>1178</v>
      </c>
    </row>
    <row r="104" spans="1:27" s="33" customFormat="1" ht="132" hidden="1" customHeight="1" x14ac:dyDescent="0.25">
      <c r="A104" s="27"/>
      <c r="B104" s="157" t="s">
        <v>1170</v>
      </c>
      <c r="C104" s="158" t="s">
        <v>1171</v>
      </c>
      <c r="D104" s="158" t="s">
        <v>1172</v>
      </c>
      <c r="E104" s="131">
        <v>2</v>
      </c>
      <c r="F104" s="84" t="s">
        <v>1017</v>
      </c>
      <c r="G104" s="84" t="s">
        <v>1018</v>
      </c>
      <c r="H104" s="75" t="s">
        <v>998</v>
      </c>
      <c r="I104" s="76">
        <v>21</v>
      </c>
      <c r="J104" s="75" t="s">
        <v>693</v>
      </c>
      <c r="K104" s="76">
        <v>10</v>
      </c>
      <c r="L104" s="76"/>
      <c r="M104" s="84" t="s">
        <v>1019</v>
      </c>
      <c r="N104" s="75"/>
      <c r="O104" s="76"/>
      <c r="P104" s="87" t="s">
        <v>1258</v>
      </c>
      <c r="Q104" s="130" t="s">
        <v>916</v>
      </c>
      <c r="R104" s="133" t="s">
        <v>1017</v>
      </c>
      <c r="S104" s="86" t="s">
        <v>1180</v>
      </c>
      <c r="T104" s="86" t="s">
        <v>1181</v>
      </c>
      <c r="U104" s="86" t="s">
        <v>1259</v>
      </c>
      <c r="V104" s="86" t="s">
        <v>1260</v>
      </c>
      <c r="W104" s="75"/>
      <c r="X104" s="87" t="s">
        <v>1177</v>
      </c>
      <c r="Y104" s="161" t="s">
        <v>1261</v>
      </c>
      <c r="Z104" s="84" t="s">
        <v>1262</v>
      </c>
      <c r="AA104" s="131" t="s">
        <v>1263</v>
      </c>
    </row>
    <row r="105" spans="1:27" s="33" customFormat="1" ht="156" hidden="1" customHeight="1" x14ac:dyDescent="0.25">
      <c r="A105" s="27"/>
      <c r="B105" s="157" t="s">
        <v>1170</v>
      </c>
      <c r="C105" s="158" t="s">
        <v>1171</v>
      </c>
      <c r="D105" s="158" t="s">
        <v>1172</v>
      </c>
      <c r="E105" s="131">
        <v>2</v>
      </c>
      <c r="F105" s="84" t="s">
        <v>1025</v>
      </c>
      <c r="G105" s="84" t="s">
        <v>1026</v>
      </c>
      <c r="H105" s="75" t="s">
        <v>1027</v>
      </c>
      <c r="I105" s="76">
        <v>22</v>
      </c>
      <c r="J105" s="75" t="s">
        <v>693</v>
      </c>
      <c r="K105" s="76">
        <v>10</v>
      </c>
      <c r="L105" s="76"/>
      <c r="M105" s="84" t="s">
        <v>1028</v>
      </c>
      <c r="N105" s="75"/>
      <c r="O105" s="76"/>
      <c r="P105" s="87" t="s">
        <v>1264</v>
      </c>
      <c r="Q105" s="130" t="s">
        <v>916</v>
      </c>
      <c r="R105" s="133" t="s">
        <v>1025</v>
      </c>
      <c r="S105" s="86" t="s">
        <v>1180</v>
      </c>
      <c r="T105" s="86" t="s">
        <v>1181</v>
      </c>
      <c r="U105" s="86" t="s">
        <v>1259</v>
      </c>
      <c r="V105" s="86" t="s">
        <v>1265</v>
      </c>
      <c r="W105" s="75"/>
      <c r="X105" s="87" t="s">
        <v>1177</v>
      </c>
      <c r="Y105" s="161" t="s">
        <v>1261</v>
      </c>
      <c r="Z105" s="84" t="s">
        <v>1262</v>
      </c>
      <c r="AA105" s="131" t="s">
        <v>1263</v>
      </c>
    </row>
    <row r="106" spans="1:27" s="33" customFormat="1" ht="99.75" hidden="1" customHeight="1" x14ac:dyDescent="0.25">
      <c r="A106" s="27"/>
      <c r="B106" s="157" t="s">
        <v>1170</v>
      </c>
      <c r="C106" s="158" t="s">
        <v>1171</v>
      </c>
      <c r="D106" s="158" t="s">
        <v>1172</v>
      </c>
      <c r="E106" s="160">
        <v>2</v>
      </c>
      <c r="F106" s="84" t="s">
        <v>1031</v>
      </c>
      <c r="G106" s="84" t="s">
        <v>1032</v>
      </c>
      <c r="H106" s="75" t="s">
        <v>1033</v>
      </c>
      <c r="I106" s="76">
        <v>23</v>
      </c>
      <c r="J106" s="75" t="s">
        <v>693</v>
      </c>
      <c r="K106" s="76">
        <v>20</v>
      </c>
      <c r="L106" s="76"/>
      <c r="M106" s="84" t="s">
        <v>1034</v>
      </c>
      <c r="N106" s="75"/>
      <c r="O106" s="76"/>
      <c r="P106" s="87"/>
      <c r="Q106" s="130" t="s">
        <v>916</v>
      </c>
      <c r="R106" s="133" t="s">
        <v>1031</v>
      </c>
      <c r="S106" s="86" t="s">
        <v>1180</v>
      </c>
      <c r="T106" s="86" t="s">
        <v>1266</v>
      </c>
      <c r="U106" s="86" t="s">
        <v>1267</v>
      </c>
      <c r="V106" s="173" t="s">
        <v>1268</v>
      </c>
      <c r="W106" s="75"/>
      <c r="X106" s="87" t="s">
        <v>1177</v>
      </c>
      <c r="Y106" s="84" t="s">
        <v>1269</v>
      </c>
      <c r="Z106" s="84" t="s">
        <v>1270</v>
      </c>
      <c r="AA106" s="131" t="s">
        <v>1178</v>
      </c>
    </row>
    <row r="107" spans="1:27" s="33" customFormat="1" ht="99.75" hidden="1" customHeight="1" x14ac:dyDescent="0.25">
      <c r="A107" s="27"/>
      <c r="B107" s="157" t="s">
        <v>1170</v>
      </c>
      <c r="C107" s="158" t="s">
        <v>1171</v>
      </c>
      <c r="D107" s="158" t="s">
        <v>1172</v>
      </c>
      <c r="E107" s="160">
        <v>2</v>
      </c>
      <c r="F107" s="84" t="s">
        <v>1040</v>
      </c>
      <c r="G107" s="84" t="s">
        <v>1041</v>
      </c>
      <c r="H107" s="75" t="s">
        <v>1042</v>
      </c>
      <c r="I107" s="76">
        <v>24</v>
      </c>
      <c r="J107" s="75" t="s">
        <v>693</v>
      </c>
      <c r="K107" s="76">
        <v>10</v>
      </c>
      <c r="L107" s="76"/>
      <c r="M107" s="84" t="s">
        <v>1043</v>
      </c>
      <c r="N107" s="75"/>
      <c r="O107" s="76"/>
      <c r="P107" s="87" t="s">
        <v>1271</v>
      </c>
      <c r="Q107" s="130" t="s">
        <v>916</v>
      </c>
      <c r="R107" s="133" t="s">
        <v>1045</v>
      </c>
      <c r="S107" s="86" t="s">
        <v>1180</v>
      </c>
      <c r="T107" s="86" t="s">
        <v>1181</v>
      </c>
      <c r="U107" s="86" t="s">
        <v>1272</v>
      </c>
      <c r="V107" s="86" t="s">
        <v>1273</v>
      </c>
      <c r="W107" s="75"/>
      <c r="X107" s="87" t="s">
        <v>1177</v>
      </c>
      <c r="Y107" s="161" t="s">
        <v>1188</v>
      </c>
      <c r="Z107" s="84" t="s">
        <v>1274</v>
      </c>
      <c r="AA107" s="131" t="s">
        <v>1178</v>
      </c>
    </row>
    <row r="108" spans="1:27" s="33" customFormat="1" ht="99.75" hidden="1" customHeight="1" x14ac:dyDescent="0.25">
      <c r="A108" s="27"/>
      <c r="B108" s="157" t="s">
        <v>1170</v>
      </c>
      <c r="C108" s="158" t="s">
        <v>1171</v>
      </c>
      <c r="D108" s="158" t="s">
        <v>1172</v>
      </c>
      <c r="E108" s="160">
        <v>2</v>
      </c>
      <c r="F108" s="77" t="s">
        <v>797</v>
      </c>
      <c r="G108" s="77" t="s">
        <v>798</v>
      </c>
      <c r="H108" s="77" t="s">
        <v>799</v>
      </c>
      <c r="I108" s="76">
        <v>25</v>
      </c>
      <c r="J108" s="77" t="s">
        <v>693</v>
      </c>
      <c r="K108" s="76">
        <v>2</v>
      </c>
      <c r="L108" s="76"/>
      <c r="M108" s="86" t="s">
        <v>800</v>
      </c>
      <c r="N108" s="86"/>
      <c r="O108" s="76"/>
      <c r="P108" s="86" t="s">
        <v>1275</v>
      </c>
      <c r="Q108" s="87"/>
      <c r="R108" s="77"/>
      <c r="S108" s="86" t="s">
        <v>1180</v>
      </c>
      <c r="T108" s="86" t="s">
        <v>1181</v>
      </c>
      <c r="U108" s="86" t="s">
        <v>703</v>
      </c>
      <c r="V108" s="86" t="s">
        <v>1276</v>
      </c>
      <c r="W108" s="76"/>
      <c r="X108" s="87" t="s">
        <v>1177</v>
      </c>
      <c r="Y108" s="87" t="s">
        <v>1178</v>
      </c>
      <c r="Z108" s="87" t="s">
        <v>1178</v>
      </c>
      <c r="AA108" s="201" t="s">
        <v>1277</v>
      </c>
    </row>
    <row r="109" spans="1:27" s="33" customFormat="1" ht="99.75" hidden="1" customHeight="1" x14ac:dyDescent="0.25">
      <c r="A109" s="27"/>
      <c r="B109" s="157" t="s">
        <v>1170</v>
      </c>
      <c r="C109" s="158" t="s">
        <v>1171</v>
      </c>
      <c r="D109" s="158" t="s">
        <v>1172</v>
      </c>
      <c r="E109" s="160">
        <v>2</v>
      </c>
      <c r="F109" s="84" t="s">
        <v>805</v>
      </c>
      <c r="G109" s="84" t="s">
        <v>806</v>
      </c>
      <c r="H109" s="75" t="s">
        <v>807</v>
      </c>
      <c r="I109" s="76">
        <v>26</v>
      </c>
      <c r="J109" s="75" t="s">
        <v>693</v>
      </c>
      <c r="K109" s="76">
        <v>10</v>
      </c>
      <c r="L109" s="76"/>
      <c r="M109" s="84" t="s">
        <v>808</v>
      </c>
      <c r="N109" s="75"/>
      <c r="O109" s="76" t="s">
        <v>695</v>
      </c>
      <c r="P109" s="77"/>
      <c r="Q109" s="84"/>
      <c r="R109" s="84"/>
      <c r="S109" s="86" t="s">
        <v>1180</v>
      </c>
      <c r="T109" s="86" t="s">
        <v>1181</v>
      </c>
      <c r="U109" s="86" t="s">
        <v>1278</v>
      </c>
      <c r="V109" s="86" t="s">
        <v>1279</v>
      </c>
      <c r="W109" s="75"/>
      <c r="X109" s="87" t="s">
        <v>1178</v>
      </c>
      <c r="Y109" s="87" t="s">
        <v>1178</v>
      </c>
      <c r="Z109" s="87" t="s">
        <v>1178</v>
      </c>
      <c r="AA109" s="131" t="s">
        <v>1178</v>
      </c>
    </row>
    <row r="110" spans="1:27" s="33" customFormat="1" ht="99.75" hidden="1" customHeight="1" x14ac:dyDescent="0.25">
      <c r="A110" s="27"/>
      <c r="B110" s="157" t="s">
        <v>1170</v>
      </c>
      <c r="C110" s="158" t="s">
        <v>1171</v>
      </c>
      <c r="D110" s="158" t="s">
        <v>1172</v>
      </c>
      <c r="E110" s="160">
        <v>2</v>
      </c>
      <c r="F110" s="84" t="s">
        <v>812</v>
      </c>
      <c r="G110" s="84" t="s">
        <v>813</v>
      </c>
      <c r="H110" s="75" t="s">
        <v>814</v>
      </c>
      <c r="I110" s="76">
        <v>27</v>
      </c>
      <c r="J110" s="75" t="s">
        <v>815</v>
      </c>
      <c r="K110" s="76">
        <v>23</v>
      </c>
      <c r="L110" s="76"/>
      <c r="M110" s="84" t="s">
        <v>816</v>
      </c>
      <c r="N110" s="75"/>
      <c r="O110" s="76"/>
      <c r="P110" s="77"/>
      <c r="Q110" s="84"/>
      <c r="R110" s="84"/>
      <c r="S110" s="86" t="s">
        <v>1180</v>
      </c>
      <c r="T110" s="86" t="s">
        <v>1181</v>
      </c>
      <c r="U110" s="86" t="s">
        <v>703</v>
      </c>
      <c r="V110" s="86" t="s">
        <v>1280</v>
      </c>
      <c r="W110" s="75"/>
      <c r="X110" s="87" t="s">
        <v>1178</v>
      </c>
      <c r="Y110" s="87" t="s">
        <v>1178</v>
      </c>
      <c r="Z110" s="87" t="s">
        <v>1178</v>
      </c>
      <c r="AA110" s="131" t="s">
        <v>1178</v>
      </c>
    </row>
    <row r="111" spans="1:27" s="33" customFormat="1" ht="280.5" hidden="1" customHeight="1" x14ac:dyDescent="0.25">
      <c r="A111" s="27"/>
      <c r="B111" s="84" t="s">
        <v>1281</v>
      </c>
      <c r="C111" s="84" t="s">
        <v>1282</v>
      </c>
      <c r="D111" s="84" t="s">
        <v>1283</v>
      </c>
      <c r="E111" s="131">
        <v>2</v>
      </c>
      <c r="F111" s="84" t="s">
        <v>690</v>
      </c>
      <c r="G111" s="84" t="s">
        <v>691</v>
      </c>
      <c r="H111" s="75" t="s">
        <v>872</v>
      </c>
      <c r="I111" s="76">
        <v>1</v>
      </c>
      <c r="J111" s="75" t="s">
        <v>693</v>
      </c>
      <c r="K111" s="76">
        <v>4</v>
      </c>
      <c r="L111" s="76"/>
      <c r="M111" s="86" t="s">
        <v>694</v>
      </c>
      <c r="N111" s="75"/>
      <c r="O111" s="76" t="s">
        <v>695</v>
      </c>
      <c r="P111" s="77"/>
      <c r="Q111" s="130" t="s">
        <v>1284</v>
      </c>
      <c r="R111" s="133" t="s">
        <v>1285</v>
      </c>
      <c r="S111" s="86" t="s">
        <v>1286</v>
      </c>
      <c r="T111" s="86" t="s">
        <v>1287</v>
      </c>
      <c r="U111" s="86" t="s">
        <v>877</v>
      </c>
      <c r="V111" s="86" t="s">
        <v>1288</v>
      </c>
      <c r="W111" s="75"/>
      <c r="X111" s="84" t="s">
        <v>1289</v>
      </c>
      <c r="Y111" s="84" t="s">
        <v>1290</v>
      </c>
      <c r="Z111" s="84" t="s">
        <v>1290</v>
      </c>
      <c r="AA111" s="131" t="s">
        <v>1291</v>
      </c>
    </row>
    <row r="112" spans="1:27" s="33" customFormat="1" ht="306.75" hidden="1" customHeight="1" x14ac:dyDescent="0.25">
      <c r="A112" s="27"/>
      <c r="B112" s="84" t="s">
        <v>1281</v>
      </c>
      <c r="C112" s="84" t="s">
        <v>1282</v>
      </c>
      <c r="D112" s="84" t="s">
        <v>1283</v>
      </c>
      <c r="E112" s="131">
        <v>2</v>
      </c>
      <c r="F112" s="84" t="s">
        <v>705</v>
      </c>
      <c r="G112" s="84" t="s">
        <v>706</v>
      </c>
      <c r="H112" s="75" t="s">
        <v>872</v>
      </c>
      <c r="I112" s="76">
        <v>2</v>
      </c>
      <c r="J112" s="77" t="s">
        <v>693</v>
      </c>
      <c r="K112" s="76">
        <v>30</v>
      </c>
      <c r="L112" s="76"/>
      <c r="M112" s="86" t="s">
        <v>707</v>
      </c>
      <c r="N112" s="75"/>
      <c r="O112" s="76" t="s">
        <v>695</v>
      </c>
      <c r="P112" s="77"/>
      <c r="Q112" s="130" t="s">
        <v>1284</v>
      </c>
      <c r="R112" s="133" t="s">
        <v>1285</v>
      </c>
      <c r="S112" s="86" t="s">
        <v>1292</v>
      </c>
      <c r="T112" s="86" t="s">
        <v>1293</v>
      </c>
      <c r="U112" s="86" t="s">
        <v>1294</v>
      </c>
      <c r="V112" s="86" t="s">
        <v>1295</v>
      </c>
      <c r="W112" s="75"/>
      <c r="X112" s="84" t="s">
        <v>1289</v>
      </c>
      <c r="Y112" s="84" t="s">
        <v>1296</v>
      </c>
      <c r="Z112" s="84" t="s">
        <v>1297</v>
      </c>
      <c r="AA112" s="131" t="s">
        <v>1298</v>
      </c>
    </row>
    <row r="113" spans="1:27" s="33" customFormat="1" ht="213" hidden="1" customHeight="1" x14ac:dyDescent="0.25">
      <c r="A113" s="27"/>
      <c r="B113" s="84" t="s">
        <v>1281</v>
      </c>
      <c r="C113" s="84" t="s">
        <v>1282</v>
      </c>
      <c r="D113" s="84" t="s">
        <v>1283</v>
      </c>
      <c r="E113" s="131">
        <v>2</v>
      </c>
      <c r="F113" s="84" t="s">
        <v>715</v>
      </c>
      <c r="G113" s="84" t="s">
        <v>716</v>
      </c>
      <c r="H113" s="75" t="s">
        <v>894</v>
      </c>
      <c r="I113" s="76">
        <v>3</v>
      </c>
      <c r="J113" s="75" t="s">
        <v>718</v>
      </c>
      <c r="K113" s="76"/>
      <c r="L113" s="76"/>
      <c r="M113" s="84" t="s">
        <v>1299</v>
      </c>
      <c r="N113" s="75"/>
      <c r="O113" s="76" t="s">
        <v>695</v>
      </c>
      <c r="P113" s="77"/>
      <c r="Q113" s="130" t="s">
        <v>720</v>
      </c>
      <c r="R113" s="133" t="s">
        <v>721</v>
      </c>
      <c r="S113" s="86" t="s">
        <v>1292</v>
      </c>
      <c r="T113" s="86" t="s">
        <v>1293</v>
      </c>
      <c r="U113" s="86" t="s">
        <v>1300</v>
      </c>
      <c r="V113" s="86" t="s">
        <v>1301</v>
      </c>
      <c r="W113" s="75"/>
      <c r="X113" s="84" t="s">
        <v>1289</v>
      </c>
      <c r="Y113" s="84" t="s">
        <v>1302</v>
      </c>
      <c r="Z113" s="84" t="s">
        <v>1303</v>
      </c>
      <c r="AA113" s="131" t="s">
        <v>703</v>
      </c>
    </row>
    <row r="114" spans="1:27" s="33" customFormat="1" ht="240" hidden="1" customHeight="1" x14ac:dyDescent="0.25">
      <c r="A114" s="27"/>
      <c r="B114" s="84" t="s">
        <v>1281</v>
      </c>
      <c r="C114" s="84" t="s">
        <v>1282</v>
      </c>
      <c r="D114" s="84" t="s">
        <v>1283</v>
      </c>
      <c r="E114" s="131">
        <v>2</v>
      </c>
      <c r="F114" s="84" t="s">
        <v>728</v>
      </c>
      <c r="G114" s="84" t="s">
        <v>729</v>
      </c>
      <c r="H114" s="75" t="s">
        <v>894</v>
      </c>
      <c r="I114" s="76">
        <v>4</v>
      </c>
      <c r="J114" s="75" t="s">
        <v>718</v>
      </c>
      <c r="K114" s="76"/>
      <c r="L114" s="76"/>
      <c r="M114" s="84" t="s">
        <v>1304</v>
      </c>
      <c r="N114" s="75"/>
      <c r="O114" s="76" t="s">
        <v>695</v>
      </c>
      <c r="P114" s="77"/>
      <c r="Q114" s="130" t="s">
        <v>720</v>
      </c>
      <c r="R114" s="133" t="s">
        <v>721</v>
      </c>
      <c r="S114" s="86" t="s">
        <v>1292</v>
      </c>
      <c r="T114" s="86" t="s">
        <v>1293</v>
      </c>
      <c r="U114" s="86" t="s">
        <v>1305</v>
      </c>
      <c r="V114" s="86" t="s">
        <v>1306</v>
      </c>
      <c r="W114" s="75"/>
      <c r="X114" s="84" t="s">
        <v>1289</v>
      </c>
      <c r="Y114" s="159" t="s">
        <v>733</v>
      </c>
      <c r="Z114" s="159" t="s">
        <v>734</v>
      </c>
      <c r="AA114" s="131" t="s">
        <v>735</v>
      </c>
    </row>
    <row r="115" spans="1:27" s="33" customFormat="1" ht="267" hidden="1" customHeight="1" x14ac:dyDescent="0.25">
      <c r="A115" s="27"/>
      <c r="B115" s="84" t="s">
        <v>1281</v>
      </c>
      <c r="C115" s="84" t="s">
        <v>1282</v>
      </c>
      <c r="D115" s="84" t="s">
        <v>1283</v>
      </c>
      <c r="E115" s="131">
        <v>2</v>
      </c>
      <c r="F115" s="212" t="s">
        <v>736</v>
      </c>
      <c r="G115" s="159" t="s">
        <v>737</v>
      </c>
      <c r="H115" s="75" t="s">
        <v>779</v>
      </c>
      <c r="I115" s="76">
        <v>5</v>
      </c>
      <c r="J115" s="75" t="s">
        <v>693</v>
      </c>
      <c r="K115" s="76">
        <v>4</v>
      </c>
      <c r="L115" s="76"/>
      <c r="M115" s="159" t="s">
        <v>739</v>
      </c>
      <c r="N115" s="75"/>
      <c r="O115" s="76" t="s">
        <v>695</v>
      </c>
      <c r="P115" s="87" t="s">
        <v>1307</v>
      </c>
      <c r="Q115" s="130" t="s">
        <v>842</v>
      </c>
      <c r="R115" s="214" t="s">
        <v>843</v>
      </c>
      <c r="S115" s="86" t="s">
        <v>1308</v>
      </c>
      <c r="T115" s="86" t="s">
        <v>1309</v>
      </c>
      <c r="U115" s="86" t="s">
        <v>907</v>
      </c>
      <c r="V115" s="86" t="s">
        <v>1310</v>
      </c>
      <c r="W115" s="75"/>
      <c r="X115" s="84" t="s">
        <v>1289</v>
      </c>
      <c r="Y115" s="84" t="s">
        <v>1311</v>
      </c>
      <c r="Z115" s="84" t="s">
        <v>1312</v>
      </c>
      <c r="AA115" s="131" t="s">
        <v>747</v>
      </c>
    </row>
    <row r="116" spans="1:27" s="33" customFormat="1" ht="256.5" hidden="1" customHeight="1" x14ac:dyDescent="0.25">
      <c r="A116" s="27"/>
      <c r="B116" s="84" t="s">
        <v>1281</v>
      </c>
      <c r="C116" s="84" t="s">
        <v>1282</v>
      </c>
      <c r="D116" s="84" t="s">
        <v>1283</v>
      </c>
      <c r="E116" s="131">
        <v>2</v>
      </c>
      <c r="F116" s="84" t="s">
        <v>748</v>
      </c>
      <c r="G116" s="84" t="s">
        <v>749</v>
      </c>
      <c r="H116" s="75" t="s">
        <v>750</v>
      </c>
      <c r="I116" s="76">
        <v>6</v>
      </c>
      <c r="J116" s="75" t="s">
        <v>693</v>
      </c>
      <c r="K116" s="76">
        <v>10</v>
      </c>
      <c r="L116" s="76"/>
      <c r="M116" s="84" t="s">
        <v>751</v>
      </c>
      <c r="N116" s="75"/>
      <c r="O116" s="76" t="s">
        <v>695</v>
      </c>
      <c r="P116" s="77"/>
      <c r="Q116" s="130" t="s">
        <v>752</v>
      </c>
      <c r="R116" s="133" t="s">
        <v>753</v>
      </c>
      <c r="S116" s="86" t="s">
        <v>1292</v>
      </c>
      <c r="T116" s="86" t="s">
        <v>1293</v>
      </c>
      <c r="U116" s="86" t="s">
        <v>1313</v>
      </c>
      <c r="V116" s="86" t="s">
        <v>1314</v>
      </c>
      <c r="W116" s="75"/>
      <c r="X116" s="84" t="s">
        <v>1289</v>
      </c>
      <c r="Y116" s="84" t="s">
        <v>1302</v>
      </c>
      <c r="Z116" s="175" t="s">
        <v>1315</v>
      </c>
      <c r="AA116" s="131" t="s">
        <v>703</v>
      </c>
    </row>
    <row r="117" spans="1:27" s="33" customFormat="1" ht="232.5" hidden="1" customHeight="1" x14ac:dyDescent="0.25">
      <c r="A117" s="27"/>
      <c r="B117" s="84" t="s">
        <v>1281</v>
      </c>
      <c r="C117" s="84" t="s">
        <v>1282</v>
      </c>
      <c r="D117" s="84" t="s">
        <v>1283</v>
      </c>
      <c r="E117" s="131">
        <v>2</v>
      </c>
      <c r="F117" s="84" t="s">
        <v>757</v>
      </c>
      <c r="G117" s="84" t="s">
        <v>758</v>
      </c>
      <c r="H117" s="75" t="s">
        <v>759</v>
      </c>
      <c r="I117" s="76">
        <v>7</v>
      </c>
      <c r="J117" s="75" t="s">
        <v>760</v>
      </c>
      <c r="K117" s="76">
        <v>23</v>
      </c>
      <c r="L117" s="76">
        <v>6</v>
      </c>
      <c r="M117" s="84" t="s">
        <v>761</v>
      </c>
      <c r="N117" s="75"/>
      <c r="O117" s="76" t="s">
        <v>695</v>
      </c>
      <c r="P117" s="77"/>
      <c r="Q117" s="130" t="s">
        <v>752</v>
      </c>
      <c r="R117" s="133" t="s">
        <v>762</v>
      </c>
      <c r="S117" s="86" t="s">
        <v>1292</v>
      </c>
      <c r="T117" s="86" t="s">
        <v>1293</v>
      </c>
      <c r="U117" s="86" t="s">
        <v>1316</v>
      </c>
      <c r="V117" s="86" t="s">
        <v>1317</v>
      </c>
      <c r="W117" s="75"/>
      <c r="X117" s="84" t="s">
        <v>1289</v>
      </c>
      <c r="Y117" s="84" t="s">
        <v>1302</v>
      </c>
      <c r="Z117" s="196" t="s">
        <v>1318</v>
      </c>
      <c r="AA117" s="131" t="s">
        <v>703</v>
      </c>
    </row>
    <row r="118" spans="1:27" s="33" customFormat="1" ht="214.5" hidden="1" customHeight="1" x14ac:dyDescent="0.25">
      <c r="A118" s="27"/>
      <c r="B118" s="84" t="s">
        <v>1281</v>
      </c>
      <c r="C118" s="84" t="s">
        <v>1282</v>
      </c>
      <c r="D118" s="84" t="s">
        <v>1283</v>
      </c>
      <c r="E118" s="131">
        <v>2</v>
      </c>
      <c r="F118" s="77" t="s">
        <v>1319</v>
      </c>
      <c r="G118" s="77" t="s">
        <v>1320</v>
      </c>
      <c r="H118" s="75" t="s">
        <v>872</v>
      </c>
      <c r="I118" s="76">
        <v>8</v>
      </c>
      <c r="J118" s="77" t="s">
        <v>693</v>
      </c>
      <c r="K118" s="76">
        <v>4</v>
      </c>
      <c r="L118" s="76"/>
      <c r="M118" s="86" t="s">
        <v>1321</v>
      </c>
      <c r="N118" s="86"/>
      <c r="O118" s="76"/>
      <c r="P118" s="77"/>
      <c r="Q118" s="87"/>
      <c r="R118" s="87" t="s">
        <v>1322</v>
      </c>
      <c r="S118" s="86" t="s">
        <v>1286</v>
      </c>
      <c r="T118" s="86" t="s">
        <v>1287</v>
      </c>
      <c r="U118" s="86" t="s">
        <v>877</v>
      </c>
      <c r="V118" s="86" t="s">
        <v>1323</v>
      </c>
      <c r="W118" s="76"/>
      <c r="X118" s="84" t="s">
        <v>1289</v>
      </c>
      <c r="Y118" s="84" t="s">
        <v>1324</v>
      </c>
      <c r="Z118" s="84" t="s">
        <v>703</v>
      </c>
      <c r="AA118" s="131" t="s">
        <v>1325</v>
      </c>
    </row>
    <row r="119" spans="1:27" s="62" customFormat="1" ht="226.5" hidden="1" customHeight="1" x14ac:dyDescent="0.25">
      <c r="A119" s="61"/>
      <c r="B119" s="84" t="s">
        <v>1281</v>
      </c>
      <c r="C119" s="84" t="s">
        <v>1282</v>
      </c>
      <c r="D119" s="84" t="s">
        <v>1283</v>
      </c>
      <c r="E119" s="131">
        <v>2</v>
      </c>
      <c r="F119" s="77" t="s">
        <v>1326</v>
      </c>
      <c r="G119" s="77" t="s">
        <v>1327</v>
      </c>
      <c r="H119" s="77" t="s">
        <v>872</v>
      </c>
      <c r="I119" s="76">
        <v>9</v>
      </c>
      <c r="J119" s="77" t="s">
        <v>693</v>
      </c>
      <c r="K119" s="76">
        <v>15</v>
      </c>
      <c r="L119" s="76"/>
      <c r="M119" s="86" t="s">
        <v>1328</v>
      </c>
      <c r="N119" s="86"/>
      <c r="O119" s="76"/>
      <c r="P119" s="77"/>
      <c r="Q119" s="87"/>
      <c r="R119" s="77"/>
      <c r="S119" s="86" t="s">
        <v>1292</v>
      </c>
      <c r="T119" s="86" t="s">
        <v>1293</v>
      </c>
      <c r="U119" s="87" t="s">
        <v>1329</v>
      </c>
      <c r="V119" s="87" t="s">
        <v>1330</v>
      </c>
      <c r="W119" s="76"/>
      <c r="X119" s="84" t="s">
        <v>1289</v>
      </c>
      <c r="Y119" s="84" t="s">
        <v>1324</v>
      </c>
      <c r="Z119" s="86" t="s">
        <v>1331</v>
      </c>
      <c r="AA119" s="131" t="s">
        <v>1332</v>
      </c>
    </row>
    <row r="120" spans="1:27" s="62" customFormat="1" ht="99.75" hidden="1" customHeight="1" x14ac:dyDescent="0.25">
      <c r="A120" s="61"/>
      <c r="B120" s="84" t="s">
        <v>1281</v>
      </c>
      <c r="C120" s="84" t="s">
        <v>1282</v>
      </c>
      <c r="D120" s="84" t="s">
        <v>1283</v>
      </c>
      <c r="E120" s="195">
        <v>2</v>
      </c>
      <c r="F120" s="194" t="s">
        <v>766</v>
      </c>
      <c r="G120" s="194" t="s">
        <v>767</v>
      </c>
      <c r="H120" s="75" t="s">
        <v>768</v>
      </c>
      <c r="I120" s="76">
        <v>10</v>
      </c>
      <c r="J120" s="75" t="s">
        <v>693</v>
      </c>
      <c r="K120" s="76">
        <v>4</v>
      </c>
      <c r="L120" s="76"/>
      <c r="M120" s="159" t="s">
        <v>769</v>
      </c>
      <c r="N120" s="75"/>
      <c r="O120" s="76"/>
      <c r="P120" s="77"/>
      <c r="Q120" s="193"/>
      <c r="R120" s="193"/>
      <c r="S120" s="86" t="s">
        <v>1308</v>
      </c>
      <c r="T120" s="86" t="s">
        <v>1333</v>
      </c>
      <c r="U120" s="242" t="s">
        <v>1334</v>
      </c>
      <c r="V120" s="242" t="s">
        <v>1335</v>
      </c>
      <c r="W120" s="75"/>
      <c r="X120" s="84" t="s">
        <v>1289</v>
      </c>
      <c r="Y120" s="84" t="s">
        <v>1336</v>
      </c>
      <c r="Z120" s="87" t="s">
        <v>1337</v>
      </c>
      <c r="AA120" s="131" t="s">
        <v>1338</v>
      </c>
    </row>
    <row r="121" spans="1:27" s="62" customFormat="1" ht="225.75" hidden="1" customHeight="1" x14ac:dyDescent="0.25">
      <c r="A121" s="61"/>
      <c r="B121" s="84" t="s">
        <v>1281</v>
      </c>
      <c r="C121" s="84" t="s">
        <v>1282</v>
      </c>
      <c r="D121" s="84" t="s">
        <v>1283</v>
      </c>
      <c r="E121" s="131">
        <v>2</v>
      </c>
      <c r="F121" s="84" t="s">
        <v>1339</v>
      </c>
      <c r="G121" s="84" t="s">
        <v>1340</v>
      </c>
      <c r="H121" s="75" t="s">
        <v>924</v>
      </c>
      <c r="I121" s="76">
        <v>11</v>
      </c>
      <c r="J121" s="75" t="s">
        <v>693</v>
      </c>
      <c r="K121" s="76">
        <v>10</v>
      </c>
      <c r="L121" s="76"/>
      <c r="M121" s="84" t="s">
        <v>1341</v>
      </c>
      <c r="N121" s="75"/>
      <c r="O121" s="76"/>
      <c r="P121" s="77"/>
      <c r="Q121" s="130" t="s">
        <v>752</v>
      </c>
      <c r="R121" s="133" t="s">
        <v>1339</v>
      </c>
      <c r="S121" s="86" t="s">
        <v>1292</v>
      </c>
      <c r="T121" s="86" t="s">
        <v>1293</v>
      </c>
      <c r="U121" s="86" t="s">
        <v>1342</v>
      </c>
      <c r="V121" s="86" t="s">
        <v>1343</v>
      </c>
      <c r="W121" s="75"/>
      <c r="X121" s="84" t="s">
        <v>1289</v>
      </c>
      <c r="Y121" s="196" t="s">
        <v>1344</v>
      </c>
      <c r="Z121" s="84" t="s">
        <v>1345</v>
      </c>
      <c r="AA121" s="131" t="s">
        <v>1346</v>
      </c>
    </row>
    <row r="122" spans="1:27" s="62" customFormat="1" ht="199.5" hidden="1" customHeight="1" x14ac:dyDescent="0.25">
      <c r="A122" s="61"/>
      <c r="B122" s="84" t="s">
        <v>1281</v>
      </c>
      <c r="C122" s="84" t="s">
        <v>1282</v>
      </c>
      <c r="D122" s="84" t="s">
        <v>1283</v>
      </c>
      <c r="E122" s="131">
        <v>2</v>
      </c>
      <c r="F122" s="77" t="s">
        <v>1347</v>
      </c>
      <c r="G122" s="77" t="s">
        <v>1348</v>
      </c>
      <c r="H122" s="75" t="s">
        <v>872</v>
      </c>
      <c r="I122" s="76">
        <v>12</v>
      </c>
      <c r="J122" s="77" t="s">
        <v>693</v>
      </c>
      <c r="K122" s="76">
        <v>4</v>
      </c>
      <c r="L122" s="76"/>
      <c r="M122" s="202" t="s">
        <v>1349</v>
      </c>
      <c r="N122" s="86"/>
      <c r="O122" s="76"/>
      <c r="P122" s="75"/>
      <c r="Q122" s="87"/>
      <c r="R122" s="77"/>
      <c r="S122" s="86" t="s">
        <v>1286</v>
      </c>
      <c r="T122" s="86" t="s">
        <v>1287</v>
      </c>
      <c r="U122" s="86" t="s">
        <v>877</v>
      </c>
      <c r="V122" s="86" t="s">
        <v>1350</v>
      </c>
      <c r="W122" s="76"/>
      <c r="X122" s="84" t="s">
        <v>1289</v>
      </c>
      <c r="Y122" s="84" t="s">
        <v>703</v>
      </c>
      <c r="Z122" s="84" t="s">
        <v>703</v>
      </c>
      <c r="AA122" s="131" t="s">
        <v>1351</v>
      </c>
    </row>
    <row r="123" spans="1:27" s="62" customFormat="1" ht="238.5" hidden="1" customHeight="1" x14ac:dyDescent="0.25">
      <c r="A123" s="61"/>
      <c r="B123" s="84" t="s">
        <v>1281</v>
      </c>
      <c r="C123" s="84" t="s">
        <v>1282</v>
      </c>
      <c r="D123" s="84" t="s">
        <v>1283</v>
      </c>
      <c r="E123" s="131">
        <v>2</v>
      </c>
      <c r="F123" s="77" t="s">
        <v>1352</v>
      </c>
      <c r="G123" s="77" t="s">
        <v>1353</v>
      </c>
      <c r="H123" s="75" t="s">
        <v>872</v>
      </c>
      <c r="I123" s="76">
        <v>13</v>
      </c>
      <c r="J123" s="77" t="s">
        <v>693</v>
      </c>
      <c r="K123" s="76">
        <v>30</v>
      </c>
      <c r="L123" s="76"/>
      <c r="M123" s="202" t="s">
        <v>1354</v>
      </c>
      <c r="N123" s="86" t="s">
        <v>1355</v>
      </c>
      <c r="O123" s="76"/>
      <c r="P123" s="75"/>
      <c r="Q123" s="87" t="s">
        <v>1356</v>
      </c>
      <c r="R123" s="77" t="s">
        <v>1357</v>
      </c>
      <c r="S123" s="86" t="s">
        <v>1292</v>
      </c>
      <c r="T123" s="86" t="s">
        <v>1293</v>
      </c>
      <c r="U123" s="86" t="s">
        <v>1358</v>
      </c>
      <c r="V123" s="86" t="s">
        <v>1359</v>
      </c>
      <c r="W123" s="76"/>
      <c r="X123" s="84" t="s">
        <v>1289</v>
      </c>
      <c r="Y123" s="84" t="s">
        <v>1360</v>
      </c>
      <c r="Z123" s="209" t="s">
        <v>1361</v>
      </c>
      <c r="AA123" s="131" t="s">
        <v>1362</v>
      </c>
    </row>
    <row r="124" spans="1:27" s="33" customFormat="1" ht="274.5" hidden="1" customHeight="1" x14ac:dyDescent="0.25">
      <c r="A124" s="27"/>
      <c r="B124" s="84" t="s">
        <v>1281</v>
      </c>
      <c r="C124" s="84" t="s">
        <v>1282</v>
      </c>
      <c r="D124" s="84" t="s">
        <v>1283</v>
      </c>
      <c r="E124" s="131">
        <v>2</v>
      </c>
      <c r="F124" s="77" t="s">
        <v>1363</v>
      </c>
      <c r="G124" s="77" t="s">
        <v>1364</v>
      </c>
      <c r="H124" s="75" t="s">
        <v>872</v>
      </c>
      <c r="I124" s="76">
        <v>14</v>
      </c>
      <c r="J124" s="77" t="s">
        <v>693</v>
      </c>
      <c r="K124" s="76">
        <v>34</v>
      </c>
      <c r="L124" s="76"/>
      <c r="M124" s="202" t="s">
        <v>1365</v>
      </c>
      <c r="N124" s="86"/>
      <c r="O124" s="76"/>
      <c r="P124" s="75"/>
      <c r="Q124" s="86"/>
      <c r="R124" s="75"/>
      <c r="S124" s="86" t="s">
        <v>1292</v>
      </c>
      <c r="T124" s="86" t="s">
        <v>1293</v>
      </c>
      <c r="U124" s="86" t="s">
        <v>1358</v>
      </c>
      <c r="V124" s="86" t="s">
        <v>1366</v>
      </c>
      <c r="W124" s="76"/>
      <c r="X124" s="84" t="s">
        <v>1289</v>
      </c>
      <c r="Y124" s="84" t="s">
        <v>1360</v>
      </c>
      <c r="Z124" s="86" t="s">
        <v>1367</v>
      </c>
      <c r="AA124" s="131" t="s">
        <v>1362</v>
      </c>
    </row>
    <row r="125" spans="1:27" s="33" customFormat="1" ht="228.75" hidden="1" customHeight="1" x14ac:dyDescent="0.25">
      <c r="A125" s="27"/>
      <c r="B125" s="84" t="s">
        <v>1281</v>
      </c>
      <c r="C125" s="84" t="s">
        <v>1282</v>
      </c>
      <c r="D125" s="84" t="s">
        <v>1283</v>
      </c>
      <c r="E125" s="131">
        <v>2</v>
      </c>
      <c r="F125" s="84" t="s">
        <v>940</v>
      </c>
      <c r="G125" s="84" t="s">
        <v>941</v>
      </c>
      <c r="H125" s="75" t="s">
        <v>768</v>
      </c>
      <c r="I125" s="76">
        <v>15</v>
      </c>
      <c r="J125" s="75" t="s">
        <v>693</v>
      </c>
      <c r="K125" s="76">
        <v>4</v>
      </c>
      <c r="L125" s="76"/>
      <c r="M125" s="84" t="s">
        <v>942</v>
      </c>
      <c r="N125" s="75"/>
      <c r="O125" s="76"/>
      <c r="P125" s="77"/>
      <c r="Q125" s="130" t="s">
        <v>752</v>
      </c>
      <c r="R125" s="133" t="s">
        <v>943</v>
      </c>
      <c r="S125" s="86" t="s">
        <v>1292</v>
      </c>
      <c r="T125" s="86" t="s">
        <v>1293</v>
      </c>
      <c r="U125" s="86" t="s">
        <v>1368</v>
      </c>
      <c r="V125" s="86" t="s">
        <v>1369</v>
      </c>
      <c r="W125" s="75"/>
      <c r="X125" s="84" t="s">
        <v>1289</v>
      </c>
      <c r="Y125" s="84" t="s">
        <v>1324</v>
      </c>
      <c r="Z125" s="84" t="s">
        <v>1370</v>
      </c>
      <c r="AA125" s="131" t="s">
        <v>1362</v>
      </c>
    </row>
    <row r="126" spans="1:27" s="33" customFormat="1" ht="256.5" hidden="1" customHeight="1" x14ac:dyDescent="0.25">
      <c r="A126" s="27"/>
      <c r="B126" s="84" t="s">
        <v>1281</v>
      </c>
      <c r="C126" s="84" t="s">
        <v>1282</v>
      </c>
      <c r="D126" s="84" t="s">
        <v>1283</v>
      </c>
      <c r="E126" s="131">
        <v>2</v>
      </c>
      <c r="F126" s="212" t="s">
        <v>1371</v>
      </c>
      <c r="G126" s="212" t="s">
        <v>1372</v>
      </c>
      <c r="H126" s="75" t="s">
        <v>768</v>
      </c>
      <c r="I126" s="76">
        <v>16</v>
      </c>
      <c r="J126" s="75" t="s">
        <v>693</v>
      </c>
      <c r="K126" s="76">
        <v>4</v>
      </c>
      <c r="L126" s="76"/>
      <c r="M126" s="213" t="s">
        <v>1373</v>
      </c>
      <c r="N126" s="75"/>
      <c r="O126" s="76"/>
      <c r="P126" s="77"/>
      <c r="Q126" s="130" t="s">
        <v>752</v>
      </c>
      <c r="R126" s="133" t="s">
        <v>1374</v>
      </c>
      <c r="S126" s="86" t="s">
        <v>1292</v>
      </c>
      <c r="T126" s="86" t="s">
        <v>1293</v>
      </c>
      <c r="U126" s="86" t="s">
        <v>1375</v>
      </c>
      <c r="V126" s="86" t="s">
        <v>1376</v>
      </c>
      <c r="W126" s="75"/>
      <c r="X126" s="84" t="s">
        <v>1289</v>
      </c>
      <c r="Y126" s="84" t="s">
        <v>1324</v>
      </c>
      <c r="Z126" s="209" t="s">
        <v>1377</v>
      </c>
      <c r="AA126" s="131" t="s">
        <v>1332</v>
      </c>
    </row>
    <row r="127" spans="1:27" s="33" customFormat="1" ht="231" hidden="1" customHeight="1" x14ac:dyDescent="0.25">
      <c r="A127" s="27"/>
      <c r="B127" s="84" t="s">
        <v>1281</v>
      </c>
      <c r="C127" s="84" t="s">
        <v>1282</v>
      </c>
      <c r="D127" s="84" t="s">
        <v>1283</v>
      </c>
      <c r="E127" s="131">
        <v>2</v>
      </c>
      <c r="F127" s="84" t="s">
        <v>777</v>
      </c>
      <c r="G127" s="159" t="s">
        <v>778</v>
      </c>
      <c r="H127" s="75" t="s">
        <v>779</v>
      </c>
      <c r="I127" s="76">
        <v>17</v>
      </c>
      <c r="J127" s="75" t="s">
        <v>693</v>
      </c>
      <c r="K127" s="76">
        <v>4</v>
      </c>
      <c r="L127" s="76"/>
      <c r="M127" s="84" t="s">
        <v>780</v>
      </c>
      <c r="N127" s="75"/>
      <c r="O127" s="76"/>
      <c r="P127" s="87" t="s">
        <v>1378</v>
      </c>
      <c r="Q127" s="130" t="s">
        <v>752</v>
      </c>
      <c r="R127" s="133" t="s">
        <v>782</v>
      </c>
      <c r="S127" s="86" t="s">
        <v>1292</v>
      </c>
      <c r="T127" s="86" t="s">
        <v>1293</v>
      </c>
      <c r="U127" s="86" t="s">
        <v>1379</v>
      </c>
      <c r="V127" s="86" t="s">
        <v>1380</v>
      </c>
      <c r="W127" s="75"/>
      <c r="X127" s="84" t="s">
        <v>1289</v>
      </c>
      <c r="Y127" s="84" t="s">
        <v>1381</v>
      </c>
      <c r="Z127" s="196" t="s">
        <v>1382</v>
      </c>
      <c r="AA127" s="131" t="s">
        <v>703</v>
      </c>
    </row>
    <row r="128" spans="1:27" s="33" customFormat="1" ht="232.5" hidden="1" customHeight="1" x14ac:dyDescent="0.25">
      <c r="A128" s="27"/>
      <c r="B128" s="84" t="s">
        <v>1281</v>
      </c>
      <c r="C128" s="84" t="s">
        <v>1282</v>
      </c>
      <c r="D128" s="84" t="s">
        <v>1283</v>
      </c>
      <c r="E128" s="131">
        <v>2</v>
      </c>
      <c r="F128" s="84" t="s">
        <v>790</v>
      </c>
      <c r="G128" s="84" t="s">
        <v>791</v>
      </c>
      <c r="H128" s="75" t="s">
        <v>750</v>
      </c>
      <c r="I128" s="76">
        <v>18</v>
      </c>
      <c r="J128" s="75" t="s">
        <v>693</v>
      </c>
      <c r="K128" s="76">
        <v>10</v>
      </c>
      <c r="L128" s="76"/>
      <c r="M128" s="84" t="s">
        <v>792</v>
      </c>
      <c r="N128" s="75"/>
      <c r="O128" s="76"/>
      <c r="P128" s="77"/>
      <c r="Q128" s="130" t="s">
        <v>752</v>
      </c>
      <c r="R128" s="133" t="s">
        <v>793</v>
      </c>
      <c r="S128" s="86" t="s">
        <v>1292</v>
      </c>
      <c r="T128" s="86" t="s">
        <v>1293</v>
      </c>
      <c r="U128" s="86" t="s">
        <v>1383</v>
      </c>
      <c r="V128" s="86" t="s">
        <v>1384</v>
      </c>
      <c r="W128" s="75"/>
      <c r="X128" s="84" t="s">
        <v>1289</v>
      </c>
      <c r="Y128" s="84" t="s">
        <v>1302</v>
      </c>
      <c r="Z128" s="84" t="s">
        <v>1385</v>
      </c>
      <c r="AA128" s="131" t="s">
        <v>703</v>
      </c>
    </row>
    <row r="129" spans="1:27" s="33" customFormat="1" ht="355.5" hidden="1" customHeight="1" x14ac:dyDescent="0.25">
      <c r="A129" s="27"/>
      <c r="B129" s="84" t="s">
        <v>1281</v>
      </c>
      <c r="C129" s="84" t="s">
        <v>1282</v>
      </c>
      <c r="D129" s="84" t="s">
        <v>1283</v>
      </c>
      <c r="E129" s="160">
        <v>2</v>
      </c>
      <c r="F129" s="158" t="s">
        <v>1386</v>
      </c>
      <c r="G129" s="158" t="s">
        <v>1387</v>
      </c>
      <c r="H129" s="75" t="s">
        <v>1388</v>
      </c>
      <c r="I129" s="76">
        <v>19</v>
      </c>
      <c r="J129" s="75" t="s">
        <v>693</v>
      </c>
      <c r="K129" s="76">
        <v>20</v>
      </c>
      <c r="L129" s="76"/>
      <c r="M129" s="86" t="s">
        <v>1389</v>
      </c>
      <c r="N129" s="75"/>
      <c r="O129" s="76"/>
      <c r="P129" s="77"/>
      <c r="Q129" s="159" t="s">
        <v>1356</v>
      </c>
      <c r="R129" s="214" t="s">
        <v>1390</v>
      </c>
      <c r="S129" s="86" t="s">
        <v>1292</v>
      </c>
      <c r="T129" s="86" t="s">
        <v>1293</v>
      </c>
      <c r="U129" s="86" t="s">
        <v>1391</v>
      </c>
      <c r="V129" s="86" t="s">
        <v>1392</v>
      </c>
      <c r="W129" s="75"/>
      <c r="X129" s="84" t="s">
        <v>1289</v>
      </c>
      <c r="Y129" s="84" t="s">
        <v>1324</v>
      </c>
      <c r="Z129" s="84" t="s">
        <v>1393</v>
      </c>
      <c r="AA129" s="131" t="s">
        <v>1332</v>
      </c>
    </row>
    <row r="130" spans="1:27" s="33" customFormat="1" ht="290.25" hidden="1" customHeight="1" x14ac:dyDescent="0.25">
      <c r="A130" s="27"/>
      <c r="B130" s="84" t="s">
        <v>1281</v>
      </c>
      <c r="C130" s="84" t="s">
        <v>1282</v>
      </c>
      <c r="D130" s="84" t="s">
        <v>1283</v>
      </c>
      <c r="E130" s="160">
        <v>2</v>
      </c>
      <c r="F130" s="77" t="s">
        <v>797</v>
      </c>
      <c r="G130" s="77" t="s">
        <v>798</v>
      </c>
      <c r="H130" s="77" t="s">
        <v>799</v>
      </c>
      <c r="I130" s="76">
        <v>20</v>
      </c>
      <c r="J130" s="77" t="s">
        <v>693</v>
      </c>
      <c r="K130" s="76">
        <v>2</v>
      </c>
      <c r="L130" s="76"/>
      <c r="M130" s="86" t="s">
        <v>800</v>
      </c>
      <c r="N130" s="86"/>
      <c r="O130" s="76"/>
      <c r="P130" s="86" t="s">
        <v>801</v>
      </c>
      <c r="Q130" s="87"/>
      <c r="R130" s="77"/>
      <c r="S130" s="86" t="s">
        <v>1292</v>
      </c>
      <c r="T130" s="86" t="s">
        <v>1293</v>
      </c>
      <c r="U130" s="86" t="s">
        <v>1050</v>
      </c>
      <c r="V130" s="86" t="s">
        <v>1394</v>
      </c>
      <c r="W130" s="76"/>
      <c r="X130" s="84" t="s">
        <v>1289</v>
      </c>
      <c r="Y130" s="87" t="s">
        <v>703</v>
      </c>
      <c r="Z130" s="87" t="s">
        <v>703</v>
      </c>
      <c r="AA130" s="201" t="s">
        <v>1395</v>
      </c>
    </row>
    <row r="131" spans="1:27" s="33" customFormat="1" ht="254.25" hidden="1" customHeight="1" x14ac:dyDescent="0.25">
      <c r="A131" s="27"/>
      <c r="B131" s="84" t="s">
        <v>1281</v>
      </c>
      <c r="C131" s="84" t="s">
        <v>1282</v>
      </c>
      <c r="D131" s="84" t="s">
        <v>1283</v>
      </c>
      <c r="E131" s="131">
        <v>2</v>
      </c>
      <c r="F131" s="84" t="s">
        <v>805</v>
      </c>
      <c r="G131" s="84" t="s">
        <v>806</v>
      </c>
      <c r="H131" s="75" t="s">
        <v>807</v>
      </c>
      <c r="I131" s="76">
        <v>21</v>
      </c>
      <c r="J131" s="75" t="s">
        <v>693</v>
      </c>
      <c r="K131" s="76">
        <v>10</v>
      </c>
      <c r="L131" s="76"/>
      <c r="M131" s="86" t="s">
        <v>808</v>
      </c>
      <c r="N131" s="75"/>
      <c r="O131" s="76" t="s">
        <v>695</v>
      </c>
      <c r="P131" s="77"/>
      <c r="Q131" s="84"/>
      <c r="R131" s="84"/>
      <c r="S131" s="86" t="s">
        <v>1292</v>
      </c>
      <c r="T131" s="86" t="s">
        <v>1293</v>
      </c>
      <c r="U131" s="86" t="s">
        <v>1396</v>
      </c>
      <c r="V131" s="86" t="s">
        <v>1397</v>
      </c>
      <c r="W131" s="75"/>
      <c r="X131" s="87" t="s">
        <v>703</v>
      </c>
      <c r="Y131" s="87" t="s">
        <v>703</v>
      </c>
      <c r="Z131" s="87" t="s">
        <v>703</v>
      </c>
      <c r="AA131" s="131" t="s">
        <v>703</v>
      </c>
    </row>
    <row r="132" spans="1:27" s="33" customFormat="1" ht="235.5" hidden="1" customHeight="1" x14ac:dyDescent="0.25">
      <c r="A132" s="27"/>
      <c r="B132" s="84" t="s">
        <v>1281</v>
      </c>
      <c r="C132" s="84" t="s">
        <v>1282</v>
      </c>
      <c r="D132" s="84" t="s">
        <v>1283</v>
      </c>
      <c r="E132" s="131">
        <v>2</v>
      </c>
      <c r="F132" s="84" t="s">
        <v>812</v>
      </c>
      <c r="G132" s="84" t="s">
        <v>813</v>
      </c>
      <c r="H132" s="75" t="s">
        <v>814</v>
      </c>
      <c r="I132" s="76">
        <v>22</v>
      </c>
      <c r="J132" s="75" t="s">
        <v>815</v>
      </c>
      <c r="K132" s="76">
        <v>23</v>
      </c>
      <c r="L132" s="76"/>
      <c r="M132" s="86" t="s">
        <v>816</v>
      </c>
      <c r="N132" s="75"/>
      <c r="O132" s="76"/>
      <c r="P132" s="77"/>
      <c r="Q132" s="84"/>
      <c r="R132" s="84"/>
      <c r="S132" s="86" t="s">
        <v>1292</v>
      </c>
      <c r="T132" s="86" t="s">
        <v>1293</v>
      </c>
      <c r="U132" s="86" t="s">
        <v>1050</v>
      </c>
      <c r="V132" s="86" t="s">
        <v>1398</v>
      </c>
      <c r="W132" s="75"/>
      <c r="X132" s="87" t="s">
        <v>703</v>
      </c>
      <c r="Y132" s="87" t="s">
        <v>703</v>
      </c>
      <c r="Z132" s="87" t="s">
        <v>703</v>
      </c>
      <c r="AA132" s="131" t="s">
        <v>703</v>
      </c>
    </row>
    <row r="133" spans="1:27" s="33" customFormat="1" ht="148.5" hidden="1" customHeight="1" x14ac:dyDescent="0.25">
      <c r="A133" s="27"/>
      <c r="B133" s="84" t="s">
        <v>1399</v>
      </c>
      <c r="C133" s="84" t="s">
        <v>1400</v>
      </c>
      <c r="D133" s="84" t="s">
        <v>1401</v>
      </c>
      <c r="E133" s="76">
        <v>2</v>
      </c>
      <c r="F133" s="75" t="s">
        <v>690</v>
      </c>
      <c r="G133" s="75" t="s">
        <v>691</v>
      </c>
      <c r="H133" s="75" t="s">
        <v>872</v>
      </c>
      <c r="I133" s="76">
        <v>1</v>
      </c>
      <c r="J133" s="77" t="s">
        <v>693</v>
      </c>
      <c r="K133" s="76">
        <v>4</v>
      </c>
      <c r="L133" s="76"/>
      <c r="M133" s="86" t="s">
        <v>694</v>
      </c>
      <c r="N133" s="75"/>
      <c r="O133" s="76" t="s">
        <v>695</v>
      </c>
      <c r="P133" s="77"/>
      <c r="Q133" s="86" t="s">
        <v>820</v>
      </c>
      <c r="R133" s="86" t="s">
        <v>821</v>
      </c>
      <c r="S133" s="86" t="s">
        <v>1402</v>
      </c>
      <c r="T133" s="86" t="s">
        <v>1403</v>
      </c>
      <c r="U133" s="86" t="s">
        <v>1095</v>
      </c>
      <c r="V133" s="86" t="s">
        <v>1404</v>
      </c>
      <c r="W133" s="75"/>
      <c r="X133" s="84" t="s">
        <v>1405</v>
      </c>
      <c r="Y133" s="86" t="s">
        <v>1178</v>
      </c>
      <c r="Z133" s="86" t="s">
        <v>1178</v>
      </c>
      <c r="AA133" s="201" t="s">
        <v>1179</v>
      </c>
    </row>
    <row r="134" spans="1:27" s="33" customFormat="1" ht="99.75" hidden="1" customHeight="1" x14ac:dyDescent="0.25">
      <c r="A134" s="27"/>
      <c r="B134" s="84" t="s">
        <v>1399</v>
      </c>
      <c r="C134" s="84" t="s">
        <v>1400</v>
      </c>
      <c r="D134" s="84" t="s">
        <v>1401</v>
      </c>
      <c r="E134" s="76">
        <v>2</v>
      </c>
      <c r="F134" s="75" t="s">
        <v>705</v>
      </c>
      <c r="G134" s="75" t="s">
        <v>706</v>
      </c>
      <c r="H134" s="75" t="s">
        <v>872</v>
      </c>
      <c r="I134" s="76">
        <v>2</v>
      </c>
      <c r="J134" s="77" t="s">
        <v>693</v>
      </c>
      <c r="K134" s="76">
        <v>30</v>
      </c>
      <c r="L134" s="76"/>
      <c r="M134" s="86" t="s">
        <v>707</v>
      </c>
      <c r="N134" s="75"/>
      <c r="O134" s="76" t="s">
        <v>695</v>
      </c>
      <c r="P134" s="77"/>
      <c r="Q134" s="86" t="s">
        <v>820</v>
      </c>
      <c r="R134" s="86" t="s">
        <v>821</v>
      </c>
      <c r="S134" s="86" t="s">
        <v>1406</v>
      </c>
      <c r="T134" s="86" t="s">
        <v>1407</v>
      </c>
      <c r="U134" s="86" t="s">
        <v>1408</v>
      </c>
      <c r="V134" s="86" t="s">
        <v>1409</v>
      </c>
      <c r="W134" s="75"/>
      <c r="X134" s="84" t="s">
        <v>1405</v>
      </c>
      <c r="Y134" s="86" t="s">
        <v>1410</v>
      </c>
      <c r="Z134" s="86" t="s">
        <v>1411</v>
      </c>
      <c r="AA134" s="131" t="s">
        <v>1178</v>
      </c>
    </row>
    <row r="135" spans="1:27" s="33" customFormat="1" ht="99.75" hidden="1" customHeight="1" x14ac:dyDescent="0.25">
      <c r="A135" s="27"/>
      <c r="B135" s="84" t="s">
        <v>1399</v>
      </c>
      <c r="C135" s="84" t="s">
        <v>1400</v>
      </c>
      <c r="D135" s="84" t="s">
        <v>1401</v>
      </c>
      <c r="E135" s="131">
        <v>2</v>
      </c>
      <c r="F135" s="84" t="s">
        <v>715</v>
      </c>
      <c r="G135" s="84" t="s">
        <v>716</v>
      </c>
      <c r="H135" s="75" t="s">
        <v>894</v>
      </c>
      <c r="I135" s="76">
        <v>3</v>
      </c>
      <c r="J135" s="75" t="s">
        <v>718</v>
      </c>
      <c r="K135" s="76"/>
      <c r="L135" s="76"/>
      <c r="M135" s="84" t="s">
        <v>1072</v>
      </c>
      <c r="N135" s="75"/>
      <c r="O135" s="76" t="s">
        <v>695</v>
      </c>
      <c r="P135" s="77"/>
      <c r="Q135" s="130" t="s">
        <v>720</v>
      </c>
      <c r="R135" s="133" t="s">
        <v>721</v>
      </c>
      <c r="S135" s="86" t="s">
        <v>1406</v>
      </c>
      <c r="T135" s="86" t="s">
        <v>1407</v>
      </c>
      <c r="U135" s="86" t="s">
        <v>1412</v>
      </c>
      <c r="V135" s="86" t="s">
        <v>1413</v>
      </c>
      <c r="W135" s="75"/>
      <c r="X135" s="84" t="s">
        <v>1405</v>
      </c>
      <c r="Y135" s="84" t="s">
        <v>1410</v>
      </c>
      <c r="Z135" s="84" t="s">
        <v>1414</v>
      </c>
      <c r="AA135" s="131" t="s">
        <v>1178</v>
      </c>
    </row>
    <row r="136" spans="1:27" s="33" customFormat="1" ht="99.75" hidden="1" customHeight="1" x14ac:dyDescent="0.25">
      <c r="A136" s="27"/>
      <c r="B136" s="84" t="s">
        <v>1399</v>
      </c>
      <c r="C136" s="84" t="s">
        <v>1400</v>
      </c>
      <c r="D136" s="84" t="s">
        <v>1401</v>
      </c>
      <c r="E136" s="76">
        <v>2</v>
      </c>
      <c r="F136" s="84" t="s">
        <v>728</v>
      </c>
      <c r="G136" s="84" t="s">
        <v>729</v>
      </c>
      <c r="H136" s="75" t="s">
        <v>894</v>
      </c>
      <c r="I136" s="76">
        <v>4</v>
      </c>
      <c r="J136" s="75" t="s">
        <v>718</v>
      </c>
      <c r="K136" s="76"/>
      <c r="L136" s="76"/>
      <c r="M136" s="84" t="s">
        <v>730</v>
      </c>
      <c r="N136" s="75"/>
      <c r="O136" s="76" t="s">
        <v>695</v>
      </c>
      <c r="P136" s="77"/>
      <c r="Q136" s="193"/>
      <c r="R136" s="193"/>
      <c r="S136" s="86" t="s">
        <v>1406</v>
      </c>
      <c r="T136" s="86" t="s">
        <v>1407</v>
      </c>
      <c r="U136" s="86" t="s">
        <v>811</v>
      </c>
      <c r="V136" s="86" t="s">
        <v>1415</v>
      </c>
      <c r="W136" s="75"/>
      <c r="X136" s="84" t="s">
        <v>1405</v>
      </c>
      <c r="Y136" s="84" t="s">
        <v>1410</v>
      </c>
      <c r="Z136" s="194" t="s">
        <v>1178</v>
      </c>
      <c r="AA136" s="195" t="s">
        <v>1201</v>
      </c>
    </row>
    <row r="137" spans="1:27" s="33" customFormat="1" ht="99.75" hidden="1" customHeight="1" x14ac:dyDescent="0.25">
      <c r="A137" s="27"/>
      <c r="B137" s="84" t="s">
        <v>1399</v>
      </c>
      <c r="C137" s="84" t="s">
        <v>1400</v>
      </c>
      <c r="D137" s="84" t="s">
        <v>1401</v>
      </c>
      <c r="E137" s="76">
        <v>2</v>
      </c>
      <c r="F137" s="159" t="s">
        <v>736</v>
      </c>
      <c r="G137" s="159" t="s">
        <v>737</v>
      </c>
      <c r="H137" s="75" t="s">
        <v>779</v>
      </c>
      <c r="I137" s="76">
        <v>5</v>
      </c>
      <c r="J137" s="75" t="s">
        <v>693</v>
      </c>
      <c r="K137" s="76">
        <v>4</v>
      </c>
      <c r="L137" s="76"/>
      <c r="M137" s="159" t="s">
        <v>739</v>
      </c>
      <c r="N137" s="75"/>
      <c r="O137" s="76" t="s">
        <v>695</v>
      </c>
      <c r="P137" s="87" t="s">
        <v>1416</v>
      </c>
      <c r="Q137" s="130" t="s">
        <v>842</v>
      </c>
      <c r="R137" s="133" t="s">
        <v>843</v>
      </c>
      <c r="S137" s="86" t="s">
        <v>1417</v>
      </c>
      <c r="T137" s="86" t="s">
        <v>1418</v>
      </c>
      <c r="U137" s="86" t="s">
        <v>846</v>
      </c>
      <c r="V137" s="86" t="s">
        <v>1419</v>
      </c>
      <c r="W137" s="75"/>
      <c r="X137" s="84" t="s">
        <v>1405</v>
      </c>
      <c r="Y137" s="84" t="s">
        <v>1420</v>
      </c>
      <c r="Z137" s="161" t="s">
        <v>1421</v>
      </c>
      <c r="AA137" s="131" t="s">
        <v>1246</v>
      </c>
    </row>
    <row r="138" spans="1:27" s="33" customFormat="1" ht="99.75" hidden="1" customHeight="1" x14ac:dyDescent="0.25">
      <c r="A138" s="27"/>
      <c r="B138" s="84" t="s">
        <v>1399</v>
      </c>
      <c r="C138" s="84" t="s">
        <v>1400</v>
      </c>
      <c r="D138" s="84" t="s">
        <v>1401</v>
      </c>
      <c r="E138" s="76">
        <v>2</v>
      </c>
      <c r="F138" s="84" t="s">
        <v>748</v>
      </c>
      <c r="G138" s="84" t="s">
        <v>749</v>
      </c>
      <c r="H138" s="75" t="s">
        <v>750</v>
      </c>
      <c r="I138" s="76">
        <v>6</v>
      </c>
      <c r="J138" s="75" t="s">
        <v>693</v>
      </c>
      <c r="K138" s="76">
        <v>10</v>
      </c>
      <c r="L138" s="76"/>
      <c r="M138" s="84" t="s">
        <v>751</v>
      </c>
      <c r="N138" s="75"/>
      <c r="O138" s="76" t="s">
        <v>695</v>
      </c>
      <c r="P138" s="77"/>
      <c r="Q138" s="86" t="s">
        <v>752</v>
      </c>
      <c r="R138" s="86" t="s">
        <v>793</v>
      </c>
      <c r="S138" s="86" t="s">
        <v>1406</v>
      </c>
      <c r="T138" s="86" t="s">
        <v>1407</v>
      </c>
      <c r="U138" s="86" t="s">
        <v>1422</v>
      </c>
      <c r="V138" s="86" t="s">
        <v>1423</v>
      </c>
      <c r="W138" s="75"/>
      <c r="X138" s="84" t="s">
        <v>1405</v>
      </c>
      <c r="Y138" s="86" t="s">
        <v>1410</v>
      </c>
      <c r="Z138" s="86" t="s">
        <v>1424</v>
      </c>
      <c r="AA138" s="131" t="s">
        <v>1178</v>
      </c>
    </row>
    <row r="139" spans="1:27" s="33" customFormat="1" ht="99.75" hidden="1" customHeight="1" x14ac:dyDescent="0.25">
      <c r="A139" s="27"/>
      <c r="B139" s="84" t="s">
        <v>1399</v>
      </c>
      <c r="C139" s="84" t="s">
        <v>1400</v>
      </c>
      <c r="D139" s="84" t="s">
        <v>1401</v>
      </c>
      <c r="E139" s="76">
        <v>2</v>
      </c>
      <c r="F139" s="75" t="s">
        <v>757</v>
      </c>
      <c r="G139" s="84" t="s">
        <v>758</v>
      </c>
      <c r="H139" s="75" t="s">
        <v>759</v>
      </c>
      <c r="I139" s="76">
        <v>7</v>
      </c>
      <c r="J139" s="75" t="s">
        <v>760</v>
      </c>
      <c r="K139" s="76">
        <v>23</v>
      </c>
      <c r="L139" s="76">
        <v>6</v>
      </c>
      <c r="M139" s="84" t="s">
        <v>761</v>
      </c>
      <c r="N139" s="75"/>
      <c r="O139" s="76" t="s">
        <v>695</v>
      </c>
      <c r="P139" s="77"/>
      <c r="Q139" s="75" t="s">
        <v>752</v>
      </c>
      <c r="R139" s="86" t="s">
        <v>762</v>
      </c>
      <c r="S139" s="86" t="s">
        <v>1406</v>
      </c>
      <c r="T139" s="86" t="s">
        <v>1407</v>
      </c>
      <c r="U139" s="86" t="s">
        <v>1425</v>
      </c>
      <c r="V139" s="86" t="s">
        <v>1426</v>
      </c>
      <c r="W139" s="75"/>
      <c r="X139" s="84" t="s">
        <v>1405</v>
      </c>
      <c r="Y139" s="86" t="s">
        <v>1410</v>
      </c>
      <c r="Z139" s="161" t="s">
        <v>1427</v>
      </c>
      <c r="AA139" s="131" t="s">
        <v>1178</v>
      </c>
    </row>
    <row r="140" spans="1:27" s="33" customFormat="1" ht="99.75" hidden="1" customHeight="1" x14ac:dyDescent="0.25">
      <c r="A140" s="27"/>
      <c r="B140" s="84" t="s">
        <v>1399</v>
      </c>
      <c r="C140" s="84" t="s">
        <v>1400</v>
      </c>
      <c r="D140" s="84" t="s">
        <v>1401</v>
      </c>
      <c r="E140" s="131">
        <v>2</v>
      </c>
      <c r="F140" s="194" t="s">
        <v>766</v>
      </c>
      <c r="G140" s="194" t="s">
        <v>767</v>
      </c>
      <c r="H140" s="75" t="s">
        <v>768</v>
      </c>
      <c r="I140" s="76">
        <v>8</v>
      </c>
      <c r="J140" s="75" t="s">
        <v>693</v>
      </c>
      <c r="K140" s="76">
        <v>4</v>
      </c>
      <c r="L140" s="76"/>
      <c r="M140" s="159" t="s">
        <v>769</v>
      </c>
      <c r="N140" s="75"/>
      <c r="O140" s="76"/>
      <c r="P140" s="77"/>
      <c r="Q140" s="193"/>
      <c r="R140" s="193"/>
      <c r="S140" s="86" t="s">
        <v>1406</v>
      </c>
      <c r="T140" s="86" t="s">
        <v>1407</v>
      </c>
      <c r="U140" s="130" t="s">
        <v>811</v>
      </c>
      <c r="V140" s="130" t="s">
        <v>1428</v>
      </c>
      <c r="W140" s="75"/>
      <c r="X140" s="84" t="s">
        <v>1405</v>
      </c>
      <c r="Y140" s="194" t="s">
        <v>1178</v>
      </c>
      <c r="Z140" s="194" t="s">
        <v>1178</v>
      </c>
      <c r="AA140" s="195" t="s">
        <v>1201</v>
      </c>
    </row>
    <row r="141" spans="1:27" s="33" customFormat="1" ht="99.75" hidden="1" customHeight="1" x14ac:dyDescent="0.25">
      <c r="A141" s="27"/>
      <c r="B141" s="84" t="s">
        <v>1399</v>
      </c>
      <c r="C141" s="84" t="s">
        <v>1400</v>
      </c>
      <c r="D141" s="84" t="s">
        <v>1401</v>
      </c>
      <c r="E141" s="76">
        <v>2</v>
      </c>
      <c r="F141" s="75" t="s">
        <v>777</v>
      </c>
      <c r="G141" s="159" t="s">
        <v>778</v>
      </c>
      <c r="H141" s="75" t="s">
        <v>779</v>
      </c>
      <c r="I141" s="76">
        <v>9</v>
      </c>
      <c r="J141" s="75" t="s">
        <v>693</v>
      </c>
      <c r="K141" s="76">
        <v>4</v>
      </c>
      <c r="L141" s="76"/>
      <c r="M141" s="84" t="s">
        <v>780</v>
      </c>
      <c r="N141" s="75"/>
      <c r="O141" s="76"/>
      <c r="P141" s="87" t="s">
        <v>1429</v>
      </c>
      <c r="Q141" s="86" t="s">
        <v>752</v>
      </c>
      <c r="R141" s="86" t="s">
        <v>782</v>
      </c>
      <c r="S141" s="86" t="s">
        <v>1406</v>
      </c>
      <c r="T141" s="86" t="s">
        <v>1407</v>
      </c>
      <c r="U141" s="86" t="s">
        <v>1430</v>
      </c>
      <c r="V141" s="86" t="s">
        <v>1431</v>
      </c>
      <c r="W141" s="75"/>
      <c r="X141" s="84" t="s">
        <v>1405</v>
      </c>
      <c r="Y141" s="86" t="s">
        <v>1410</v>
      </c>
      <c r="Z141" s="86" t="s">
        <v>331</v>
      </c>
      <c r="AA141" s="131" t="s">
        <v>1178</v>
      </c>
    </row>
    <row r="142" spans="1:27" s="33" customFormat="1" ht="99.75" hidden="1" customHeight="1" x14ac:dyDescent="0.25">
      <c r="A142" s="27"/>
      <c r="B142" s="84" t="s">
        <v>1399</v>
      </c>
      <c r="C142" s="84" t="s">
        <v>1400</v>
      </c>
      <c r="D142" s="84" t="s">
        <v>1401</v>
      </c>
      <c r="E142" s="76">
        <v>2</v>
      </c>
      <c r="F142" s="84" t="s">
        <v>790</v>
      </c>
      <c r="G142" s="84" t="s">
        <v>791</v>
      </c>
      <c r="H142" s="75" t="s">
        <v>750</v>
      </c>
      <c r="I142" s="76">
        <v>10</v>
      </c>
      <c r="J142" s="75" t="s">
        <v>693</v>
      </c>
      <c r="K142" s="76">
        <v>10</v>
      </c>
      <c r="L142" s="76"/>
      <c r="M142" s="84" t="s">
        <v>792</v>
      </c>
      <c r="N142" s="75"/>
      <c r="O142" s="211"/>
      <c r="P142" s="77"/>
      <c r="Q142" s="86" t="s">
        <v>752</v>
      </c>
      <c r="R142" s="86" t="s">
        <v>753</v>
      </c>
      <c r="S142" s="86" t="s">
        <v>1406</v>
      </c>
      <c r="T142" s="86" t="s">
        <v>1407</v>
      </c>
      <c r="U142" s="86" t="s">
        <v>1432</v>
      </c>
      <c r="V142" s="86" t="s">
        <v>1433</v>
      </c>
      <c r="W142" s="75"/>
      <c r="X142" s="84" t="s">
        <v>1405</v>
      </c>
      <c r="Y142" s="86" t="s">
        <v>1410</v>
      </c>
      <c r="Z142" s="86" t="s">
        <v>1434</v>
      </c>
      <c r="AA142" s="131" t="s">
        <v>1178</v>
      </c>
    </row>
    <row r="143" spans="1:27" s="33" customFormat="1" ht="99.75" hidden="1" customHeight="1" x14ac:dyDescent="0.25">
      <c r="A143" s="27"/>
      <c r="B143" s="84" t="s">
        <v>1399</v>
      </c>
      <c r="C143" s="84" t="s">
        <v>1400</v>
      </c>
      <c r="D143" s="84" t="s">
        <v>1401</v>
      </c>
      <c r="E143" s="195">
        <v>2</v>
      </c>
      <c r="F143" s="194" t="s">
        <v>1129</v>
      </c>
      <c r="G143" s="194" t="s">
        <v>1130</v>
      </c>
      <c r="H143" s="75" t="s">
        <v>1122</v>
      </c>
      <c r="I143" s="76">
        <v>11</v>
      </c>
      <c r="J143" s="75" t="s">
        <v>693</v>
      </c>
      <c r="K143" s="76"/>
      <c r="L143" s="76"/>
      <c r="M143" s="84" t="s">
        <v>1131</v>
      </c>
      <c r="N143" s="75"/>
      <c r="O143" s="211"/>
      <c r="P143" s="77"/>
      <c r="Q143" s="193"/>
      <c r="R143" s="193"/>
      <c r="S143" s="86" t="s">
        <v>1406</v>
      </c>
      <c r="T143" s="86" t="s">
        <v>1407</v>
      </c>
      <c r="U143" s="86" t="s">
        <v>1435</v>
      </c>
      <c r="V143" s="86" t="s">
        <v>1436</v>
      </c>
      <c r="W143" s="75"/>
      <c r="X143" s="84" t="s">
        <v>1405</v>
      </c>
      <c r="Y143" s="86" t="s">
        <v>1410</v>
      </c>
      <c r="Z143" s="194" t="s">
        <v>1437</v>
      </c>
      <c r="AA143" s="131" t="s">
        <v>1178</v>
      </c>
    </row>
    <row r="144" spans="1:27" s="33" customFormat="1" ht="99.75" hidden="1" customHeight="1" x14ac:dyDescent="0.25">
      <c r="A144" s="27"/>
      <c r="B144" s="84" t="s">
        <v>1399</v>
      </c>
      <c r="C144" s="84" t="s">
        <v>1400</v>
      </c>
      <c r="D144" s="84" t="s">
        <v>1401</v>
      </c>
      <c r="E144" s="76">
        <v>2</v>
      </c>
      <c r="F144" s="75" t="s">
        <v>1135</v>
      </c>
      <c r="G144" s="75" t="s">
        <v>1136</v>
      </c>
      <c r="H144" s="75" t="s">
        <v>1122</v>
      </c>
      <c r="I144" s="76">
        <v>12</v>
      </c>
      <c r="J144" s="75" t="s">
        <v>693</v>
      </c>
      <c r="K144" s="76"/>
      <c r="L144" s="76"/>
      <c r="M144" s="86" t="s">
        <v>1438</v>
      </c>
      <c r="N144" s="75"/>
      <c r="O144" s="76"/>
      <c r="P144" s="77"/>
      <c r="Q144" s="75"/>
      <c r="R144" s="75"/>
      <c r="S144" s="86" t="s">
        <v>1406</v>
      </c>
      <c r="T144" s="86" t="s">
        <v>1407</v>
      </c>
      <c r="U144" s="86" t="s">
        <v>1439</v>
      </c>
      <c r="V144" s="86" t="s">
        <v>1440</v>
      </c>
      <c r="W144" s="75"/>
      <c r="X144" s="84" t="s">
        <v>1405</v>
      </c>
      <c r="Y144" s="86" t="s">
        <v>1410</v>
      </c>
      <c r="Z144" s="86" t="s">
        <v>1441</v>
      </c>
      <c r="AA144" s="131" t="s">
        <v>1178</v>
      </c>
    </row>
    <row r="145" spans="1:27" s="33" customFormat="1" ht="99.75" hidden="1" customHeight="1" x14ac:dyDescent="0.25">
      <c r="A145" s="27"/>
      <c r="B145" s="84" t="s">
        <v>1399</v>
      </c>
      <c r="C145" s="84" t="s">
        <v>1400</v>
      </c>
      <c r="D145" s="84" t="s">
        <v>1401</v>
      </c>
      <c r="E145" s="195">
        <v>2</v>
      </c>
      <c r="F145" s="194" t="s">
        <v>1148</v>
      </c>
      <c r="G145" s="194" t="s">
        <v>1149</v>
      </c>
      <c r="H145" s="75" t="s">
        <v>1122</v>
      </c>
      <c r="I145" s="76">
        <v>13</v>
      </c>
      <c r="J145" s="75" t="s">
        <v>693</v>
      </c>
      <c r="K145" s="76"/>
      <c r="L145" s="76"/>
      <c r="M145" s="86" t="s">
        <v>1150</v>
      </c>
      <c r="N145" s="75"/>
      <c r="O145" s="76"/>
      <c r="P145" s="77"/>
      <c r="Q145" s="193"/>
      <c r="R145" s="193"/>
      <c r="S145" s="86" t="s">
        <v>1406</v>
      </c>
      <c r="T145" s="86" t="s">
        <v>1407</v>
      </c>
      <c r="U145" s="86" t="s">
        <v>1442</v>
      </c>
      <c r="V145" s="86" t="s">
        <v>1443</v>
      </c>
      <c r="W145" s="75"/>
      <c r="X145" s="84" t="s">
        <v>1405</v>
      </c>
      <c r="Y145" s="86" t="s">
        <v>1410</v>
      </c>
      <c r="Z145" s="194" t="s">
        <v>1444</v>
      </c>
      <c r="AA145" s="131" t="s">
        <v>1178</v>
      </c>
    </row>
    <row r="146" spans="1:27" s="33" customFormat="1" ht="99.75" hidden="1" customHeight="1" x14ac:dyDescent="0.25">
      <c r="A146" s="27"/>
      <c r="B146" s="84" t="s">
        <v>1399</v>
      </c>
      <c r="C146" s="84" t="s">
        <v>1400</v>
      </c>
      <c r="D146" s="84" t="s">
        <v>1401</v>
      </c>
      <c r="E146" s="76">
        <v>2</v>
      </c>
      <c r="F146" s="77" t="s">
        <v>797</v>
      </c>
      <c r="G146" s="77" t="s">
        <v>798</v>
      </c>
      <c r="H146" s="77" t="s">
        <v>799</v>
      </c>
      <c r="I146" s="76">
        <v>14</v>
      </c>
      <c r="J146" s="77" t="s">
        <v>693</v>
      </c>
      <c r="K146" s="76">
        <v>2</v>
      </c>
      <c r="L146" s="76"/>
      <c r="M146" s="86" t="s">
        <v>800</v>
      </c>
      <c r="N146" s="86"/>
      <c r="O146" s="76"/>
      <c r="P146" s="86" t="s">
        <v>1275</v>
      </c>
      <c r="Q146" s="87"/>
      <c r="R146" s="77"/>
      <c r="S146" s="86" t="s">
        <v>1406</v>
      </c>
      <c r="T146" s="86" t="s">
        <v>1407</v>
      </c>
      <c r="U146" s="130" t="s">
        <v>811</v>
      </c>
      <c r="V146" s="87" t="s">
        <v>1445</v>
      </c>
      <c r="W146" s="76"/>
      <c r="X146" s="84" t="s">
        <v>1405</v>
      </c>
      <c r="Y146" s="86" t="s">
        <v>1178</v>
      </c>
      <c r="Z146" s="86" t="s">
        <v>1178</v>
      </c>
      <c r="AA146" s="201" t="s">
        <v>1446</v>
      </c>
    </row>
    <row r="147" spans="1:27" s="33" customFormat="1" ht="99.75" hidden="1" customHeight="1" x14ac:dyDescent="0.25">
      <c r="A147" s="27"/>
      <c r="B147" s="84" t="s">
        <v>1399</v>
      </c>
      <c r="C147" s="84" t="s">
        <v>1400</v>
      </c>
      <c r="D147" s="84" t="s">
        <v>1401</v>
      </c>
      <c r="E147" s="76">
        <v>2</v>
      </c>
      <c r="F147" s="84" t="s">
        <v>805</v>
      </c>
      <c r="G147" s="75" t="s">
        <v>806</v>
      </c>
      <c r="H147" s="75" t="s">
        <v>807</v>
      </c>
      <c r="I147" s="76">
        <v>15</v>
      </c>
      <c r="J147" s="75" t="s">
        <v>693</v>
      </c>
      <c r="K147" s="76">
        <v>10</v>
      </c>
      <c r="L147" s="76"/>
      <c r="M147" s="86" t="s">
        <v>808</v>
      </c>
      <c r="N147" s="75"/>
      <c r="O147" s="76" t="s">
        <v>695</v>
      </c>
      <c r="P147" s="77"/>
      <c r="Q147" s="75"/>
      <c r="R147" s="75"/>
      <c r="S147" s="86" t="s">
        <v>1406</v>
      </c>
      <c r="T147" s="86" t="s">
        <v>1407</v>
      </c>
      <c r="U147" s="86" t="s">
        <v>1447</v>
      </c>
      <c r="V147" s="86" t="s">
        <v>1448</v>
      </c>
      <c r="W147" s="75"/>
      <c r="X147" s="86" t="s">
        <v>1178</v>
      </c>
      <c r="Y147" s="86" t="s">
        <v>1178</v>
      </c>
      <c r="Z147" s="86" t="s">
        <v>1178</v>
      </c>
      <c r="AA147" s="131" t="s">
        <v>1178</v>
      </c>
    </row>
    <row r="148" spans="1:27" s="33" customFormat="1" ht="99.75" hidden="1" customHeight="1" x14ac:dyDescent="0.25">
      <c r="A148" s="27"/>
      <c r="B148" s="84" t="s">
        <v>1399</v>
      </c>
      <c r="C148" s="84" t="s">
        <v>1400</v>
      </c>
      <c r="D148" s="84" t="s">
        <v>1401</v>
      </c>
      <c r="E148" s="76">
        <v>2</v>
      </c>
      <c r="F148" s="84" t="s">
        <v>812</v>
      </c>
      <c r="G148" s="75" t="s">
        <v>813</v>
      </c>
      <c r="H148" s="75" t="s">
        <v>814</v>
      </c>
      <c r="I148" s="76">
        <v>16</v>
      </c>
      <c r="J148" s="75" t="s">
        <v>815</v>
      </c>
      <c r="K148" s="76">
        <v>23</v>
      </c>
      <c r="L148" s="76"/>
      <c r="M148" s="86" t="s">
        <v>816</v>
      </c>
      <c r="N148" s="75"/>
      <c r="O148" s="76"/>
      <c r="P148" s="77"/>
      <c r="Q148" s="75"/>
      <c r="R148" s="75"/>
      <c r="S148" s="86" t="s">
        <v>1406</v>
      </c>
      <c r="T148" s="86" t="s">
        <v>1407</v>
      </c>
      <c r="U148" s="130" t="s">
        <v>811</v>
      </c>
      <c r="V148" s="87" t="s">
        <v>1449</v>
      </c>
      <c r="W148" s="75"/>
      <c r="X148" s="86" t="s">
        <v>1178</v>
      </c>
      <c r="Y148" s="86" t="s">
        <v>1178</v>
      </c>
      <c r="Z148" s="86" t="s">
        <v>1178</v>
      </c>
      <c r="AA148" s="131" t="s">
        <v>1178</v>
      </c>
    </row>
    <row r="149" spans="1:27" s="33" customFormat="1" ht="99.75" hidden="1" customHeight="1" x14ac:dyDescent="0.25">
      <c r="A149" s="27"/>
      <c r="B149" s="84" t="s">
        <v>1450</v>
      </c>
      <c r="C149" s="84" t="s">
        <v>1451</v>
      </c>
      <c r="D149" s="159" t="s">
        <v>1452</v>
      </c>
      <c r="E149" s="131">
        <v>2</v>
      </c>
      <c r="F149" s="84" t="s">
        <v>690</v>
      </c>
      <c r="G149" s="84" t="s">
        <v>691</v>
      </c>
      <c r="H149" s="75" t="s">
        <v>872</v>
      </c>
      <c r="I149" s="76">
        <v>1</v>
      </c>
      <c r="J149" s="77" t="s">
        <v>693</v>
      </c>
      <c r="K149" s="76">
        <v>4</v>
      </c>
      <c r="L149" s="76"/>
      <c r="M149" s="86" t="s">
        <v>694</v>
      </c>
      <c r="N149" s="75"/>
      <c r="O149" s="76" t="s">
        <v>695</v>
      </c>
      <c r="P149" s="77"/>
      <c r="Q149" s="84" t="s">
        <v>720</v>
      </c>
      <c r="R149" s="84" t="s">
        <v>1453</v>
      </c>
      <c r="S149" s="87" t="s">
        <v>1454</v>
      </c>
      <c r="T149" s="87" t="s">
        <v>1455</v>
      </c>
      <c r="U149" s="87" t="s">
        <v>1456</v>
      </c>
      <c r="V149" s="87" t="s">
        <v>1457</v>
      </c>
      <c r="W149" s="75"/>
      <c r="X149" s="84" t="s">
        <v>1458</v>
      </c>
      <c r="Y149" s="84" t="s">
        <v>1459</v>
      </c>
      <c r="Z149" s="84" t="s">
        <v>138</v>
      </c>
      <c r="AA149" s="76" t="s">
        <v>1178</v>
      </c>
    </row>
    <row r="150" spans="1:27" s="33" customFormat="1" ht="99.75" hidden="1" customHeight="1" x14ac:dyDescent="0.25">
      <c r="A150" s="27"/>
      <c r="B150" s="84" t="s">
        <v>1450</v>
      </c>
      <c r="C150" s="84" t="s">
        <v>1451</v>
      </c>
      <c r="D150" s="159" t="s">
        <v>1452</v>
      </c>
      <c r="E150" s="131">
        <v>2</v>
      </c>
      <c r="F150" s="84" t="s">
        <v>705</v>
      </c>
      <c r="G150" s="84" t="s">
        <v>706</v>
      </c>
      <c r="H150" s="75" t="s">
        <v>872</v>
      </c>
      <c r="I150" s="76">
        <v>2</v>
      </c>
      <c r="J150" s="77" t="s">
        <v>693</v>
      </c>
      <c r="K150" s="76">
        <v>30</v>
      </c>
      <c r="L150" s="76"/>
      <c r="M150" s="86" t="s">
        <v>707</v>
      </c>
      <c r="N150" s="75"/>
      <c r="O150" s="76" t="s">
        <v>695</v>
      </c>
      <c r="P150" s="77"/>
      <c r="Q150" s="84" t="s">
        <v>720</v>
      </c>
      <c r="R150" s="84" t="s">
        <v>1453</v>
      </c>
      <c r="S150" s="87" t="s">
        <v>1454</v>
      </c>
      <c r="T150" s="87" t="s">
        <v>1455</v>
      </c>
      <c r="U150" s="86" t="s">
        <v>1460</v>
      </c>
      <c r="V150" s="86" t="s">
        <v>1461</v>
      </c>
      <c r="W150" s="75"/>
      <c r="X150" s="84" t="s">
        <v>1458</v>
      </c>
      <c r="Y150" s="84" t="s">
        <v>1462</v>
      </c>
      <c r="Z150" s="84" t="s">
        <v>1463</v>
      </c>
      <c r="AA150" s="76" t="s">
        <v>1178</v>
      </c>
    </row>
    <row r="151" spans="1:27" s="33" customFormat="1" ht="99.75" hidden="1" customHeight="1" x14ac:dyDescent="0.25">
      <c r="A151" s="27"/>
      <c r="B151" s="84" t="s">
        <v>1450</v>
      </c>
      <c r="C151" s="84" t="s">
        <v>1451</v>
      </c>
      <c r="D151" s="159" t="s">
        <v>1452</v>
      </c>
      <c r="E151" s="131">
        <v>2</v>
      </c>
      <c r="F151" s="84" t="s">
        <v>715</v>
      </c>
      <c r="G151" s="84" t="s">
        <v>716</v>
      </c>
      <c r="H151" s="75" t="s">
        <v>894</v>
      </c>
      <c r="I151" s="76">
        <v>3</v>
      </c>
      <c r="J151" s="75" t="s">
        <v>718</v>
      </c>
      <c r="K151" s="76"/>
      <c r="L151" s="76"/>
      <c r="M151" s="84" t="s">
        <v>1464</v>
      </c>
      <c r="N151" s="75"/>
      <c r="O151" s="76" t="s">
        <v>695</v>
      </c>
      <c r="P151" s="77"/>
      <c r="Q151" s="84" t="s">
        <v>752</v>
      </c>
      <c r="R151" s="84" t="s">
        <v>1465</v>
      </c>
      <c r="S151" s="87" t="s">
        <v>1454</v>
      </c>
      <c r="T151" s="87" t="s">
        <v>1455</v>
      </c>
      <c r="U151" s="86" t="s">
        <v>1466</v>
      </c>
      <c r="V151" s="86" t="s">
        <v>1467</v>
      </c>
      <c r="W151" s="75"/>
      <c r="X151" s="84" t="s">
        <v>1458</v>
      </c>
      <c r="Y151" s="84" t="s">
        <v>1468</v>
      </c>
      <c r="Z151" s="84" t="s">
        <v>1469</v>
      </c>
      <c r="AA151" s="76" t="s">
        <v>1178</v>
      </c>
    </row>
    <row r="152" spans="1:27" s="33" customFormat="1" ht="99.75" hidden="1" customHeight="1" x14ac:dyDescent="0.25">
      <c r="A152" s="27"/>
      <c r="B152" s="84" t="s">
        <v>1450</v>
      </c>
      <c r="C152" s="84" t="s">
        <v>1451</v>
      </c>
      <c r="D152" s="159" t="s">
        <v>1452</v>
      </c>
      <c r="E152" s="131">
        <v>2</v>
      </c>
      <c r="F152" s="84" t="s">
        <v>728</v>
      </c>
      <c r="G152" s="84" t="s">
        <v>729</v>
      </c>
      <c r="H152" s="75" t="s">
        <v>894</v>
      </c>
      <c r="I152" s="76">
        <v>4</v>
      </c>
      <c r="J152" s="75" t="s">
        <v>718</v>
      </c>
      <c r="K152" s="76"/>
      <c r="L152" s="76"/>
      <c r="M152" s="84" t="s">
        <v>730</v>
      </c>
      <c r="N152" s="75"/>
      <c r="O152" s="76" t="s">
        <v>695</v>
      </c>
      <c r="P152" s="77"/>
      <c r="Q152" s="193"/>
      <c r="R152" s="193"/>
      <c r="S152" s="87" t="s">
        <v>1454</v>
      </c>
      <c r="T152" s="87" t="s">
        <v>1455</v>
      </c>
      <c r="U152" s="86" t="s">
        <v>1470</v>
      </c>
      <c r="V152" s="86" t="s">
        <v>1471</v>
      </c>
      <c r="W152" s="75"/>
      <c r="X152" s="84" t="s">
        <v>1458</v>
      </c>
      <c r="Y152" s="84" t="s">
        <v>1468</v>
      </c>
      <c r="Z152" s="194" t="s">
        <v>1472</v>
      </c>
      <c r="AA152" s="76" t="s">
        <v>1178</v>
      </c>
    </row>
    <row r="153" spans="1:27" s="33" customFormat="1" ht="99.75" hidden="1" customHeight="1" x14ac:dyDescent="0.25">
      <c r="A153" s="27"/>
      <c r="B153" s="84" t="s">
        <v>1450</v>
      </c>
      <c r="C153" s="84" t="s">
        <v>1451</v>
      </c>
      <c r="D153" s="159" t="s">
        <v>1452</v>
      </c>
      <c r="E153" s="131">
        <v>2</v>
      </c>
      <c r="F153" s="159" t="s">
        <v>736</v>
      </c>
      <c r="G153" s="159" t="s">
        <v>737</v>
      </c>
      <c r="H153" s="75" t="s">
        <v>779</v>
      </c>
      <c r="I153" s="76">
        <v>5</v>
      </c>
      <c r="J153" s="75" t="s">
        <v>693</v>
      </c>
      <c r="K153" s="76">
        <v>4</v>
      </c>
      <c r="L153" s="76"/>
      <c r="M153" s="159" t="s">
        <v>739</v>
      </c>
      <c r="N153" s="75"/>
      <c r="O153" s="76"/>
      <c r="P153" s="87" t="s">
        <v>1473</v>
      </c>
      <c r="Q153" s="84" t="s">
        <v>842</v>
      </c>
      <c r="R153" s="84" t="s">
        <v>843</v>
      </c>
      <c r="S153" s="86" t="s">
        <v>1474</v>
      </c>
      <c r="T153" s="86" t="s">
        <v>1475</v>
      </c>
      <c r="U153" s="86" t="s">
        <v>1476</v>
      </c>
      <c r="V153" s="87" t="s">
        <v>1477</v>
      </c>
      <c r="W153" s="75"/>
      <c r="X153" s="84" t="s">
        <v>1458</v>
      </c>
      <c r="Y153" s="84" t="s">
        <v>1468</v>
      </c>
      <c r="Z153" s="75" t="s">
        <v>1478</v>
      </c>
      <c r="AA153" s="76" t="s">
        <v>1178</v>
      </c>
    </row>
    <row r="154" spans="1:27" s="33" customFormat="1" ht="147" hidden="1" customHeight="1" x14ac:dyDescent="0.25">
      <c r="A154" s="27"/>
      <c r="B154" s="84" t="s">
        <v>1450</v>
      </c>
      <c r="C154" s="84" t="s">
        <v>1451</v>
      </c>
      <c r="D154" s="159" t="s">
        <v>1452</v>
      </c>
      <c r="E154" s="131">
        <v>2</v>
      </c>
      <c r="F154" s="194" t="s">
        <v>766</v>
      </c>
      <c r="G154" s="194" t="s">
        <v>767</v>
      </c>
      <c r="H154" s="75" t="s">
        <v>768</v>
      </c>
      <c r="I154" s="76">
        <v>6</v>
      </c>
      <c r="J154" s="75" t="s">
        <v>693</v>
      </c>
      <c r="K154" s="76">
        <v>4</v>
      </c>
      <c r="L154" s="76"/>
      <c r="M154" s="84"/>
      <c r="N154" s="75"/>
      <c r="O154" s="76"/>
      <c r="P154" s="77"/>
      <c r="Q154" s="84" t="s">
        <v>752</v>
      </c>
      <c r="R154" s="193" t="s">
        <v>1199</v>
      </c>
      <c r="S154" s="87" t="s">
        <v>1454</v>
      </c>
      <c r="T154" s="87" t="s">
        <v>1455</v>
      </c>
      <c r="U154" s="86" t="s">
        <v>1479</v>
      </c>
      <c r="V154" s="86" t="s">
        <v>1480</v>
      </c>
      <c r="W154" s="75"/>
      <c r="X154" s="84" t="s">
        <v>1458</v>
      </c>
      <c r="Y154" s="84" t="s">
        <v>1459</v>
      </c>
      <c r="Z154" s="194" t="s">
        <v>1481</v>
      </c>
      <c r="AA154" s="76" t="s">
        <v>1178</v>
      </c>
    </row>
    <row r="155" spans="1:27" s="33" customFormat="1" ht="174.75" hidden="1" customHeight="1" x14ac:dyDescent="0.25">
      <c r="A155" s="27"/>
      <c r="B155" s="84" t="s">
        <v>1450</v>
      </c>
      <c r="C155" s="84" t="s">
        <v>1451</v>
      </c>
      <c r="D155" s="159" t="s">
        <v>1452</v>
      </c>
      <c r="E155" s="131">
        <v>2</v>
      </c>
      <c r="F155" s="84" t="s">
        <v>932</v>
      </c>
      <c r="G155" s="84" t="s">
        <v>933</v>
      </c>
      <c r="H155" s="75" t="s">
        <v>768</v>
      </c>
      <c r="I155" s="76">
        <v>7</v>
      </c>
      <c r="J155" s="75" t="s">
        <v>693</v>
      </c>
      <c r="K155" s="76">
        <v>4</v>
      </c>
      <c r="L155" s="76"/>
      <c r="M155" s="84" t="s">
        <v>934</v>
      </c>
      <c r="N155" s="75"/>
      <c r="O155" s="76"/>
      <c r="P155" s="77"/>
      <c r="Q155" s="84" t="s">
        <v>752</v>
      </c>
      <c r="R155" s="84" t="s">
        <v>935</v>
      </c>
      <c r="S155" s="87" t="s">
        <v>1454</v>
      </c>
      <c r="T155" s="87" t="s">
        <v>1455</v>
      </c>
      <c r="U155" s="86" t="s">
        <v>1482</v>
      </c>
      <c r="V155" s="86" t="s">
        <v>1483</v>
      </c>
      <c r="W155" s="75"/>
      <c r="X155" s="84" t="s">
        <v>1458</v>
      </c>
      <c r="Y155" s="84" t="s">
        <v>1468</v>
      </c>
      <c r="Z155" s="84" t="s">
        <v>1484</v>
      </c>
      <c r="AA155" s="76" t="s">
        <v>1178</v>
      </c>
    </row>
    <row r="156" spans="1:27" s="33" customFormat="1" ht="99.75" hidden="1" customHeight="1" x14ac:dyDescent="0.25">
      <c r="A156" s="27"/>
      <c r="B156" s="84" t="s">
        <v>1450</v>
      </c>
      <c r="C156" s="84" t="s">
        <v>1451</v>
      </c>
      <c r="D156" s="159" t="s">
        <v>1452</v>
      </c>
      <c r="E156" s="131">
        <v>2</v>
      </c>
      <c r="F156" s="84" t="s">
        <v>777</v>
      </c>
      <c r="G156" s="159" t="s">
        <v>778</v>
      </c>
      <c r="H156" s="75" t="s">
        <v>779</v>
      </c>
      <c r="I156" s="76">
        <v>8</v>
      </c>
      <c r="J156" s="75" t="s">
        <v>693</v>
      </c>
      <c r="K156" s="76">
        <v>4</v>
      </c>
      <c r="L156" s="76"/>
      <c r="M156" s="84" t="s">
        <v>780</v>
      </c>
      <c r="N156" s="75"/>
      <c r="O156" s="76"/>
      <c r="P156" s="87" t="s">
        <v>1228</v>
      </c>
      <c r="Q156" s="84" t="s">
        <v>752</v>
      </c>
      <c r="R156" s="84" t="s">
        <v>782</v>
      </c>
      <c r="S156" s="87" t="s">
        <v>1454</v>
      </c>
      <c r="T156" s="87" t="s">
        <v>1455</v>
      </c>
      <c r="U156" s="86" t="s">
        <v>1485</v>
      </c>
      <c r="V156" s="86" t="s">
        <v>1486</v>
      </c>
      <c r="W156" s="75"/>
      <c r="X156" s="84" t="s">
        <v>1458</v>
      </c>
      <c r="Y156" s="84" t="s">
        <v>1459</v>
      </c>
      <c r="Z156" s="84" t="s">
        <v>1487</v>
      </c>
      <c r="AA156" s="76" t="s">
        <v>1178</v>
      </c>
    </row>
    <row r="157" spans="1:27" s="33" customFormat="1" ht="99.75" hidden="1" customHeight="1" x14ac:dyDescent="0.25">
      <c r="A157" s="27"/>
      <c r="B157" s="84" t="s">
        <v>1450</v>
      </c>
      <c r="C157" s="84" t="s">
        <v>1451</v>
      </c>
      <c r="D157" s="159" t="s">
        <v>1452</v>
      </c>
      <c r="E157" s="131">
        <v>2</v>
      </c>
      <c r="F157" s="84" t="s">
        <v>790</v>
      </c>
      <c r="G157" s="84" t="s">
        <v>791</v>
      </c>
      <c r="H157" s="75" t="s">
        <v>750</v>
      </c>
      <c r="I157" s="76">
        <v>9</v>
      </c>
      <c r="J157" s="75" t="s">
        <v>693</v>
      </c>
      <c r="K157" s="76">
        <v>10</v>
      </c>
      <c r="L157" s="76"/>
      <c r="M157" s="84" t="s">
        <v>792</v>
      </c>
      <c r="N157" s="75"/>
      <c r="O157" s="76"/>
      <c r="P157" s="77"/>
      <c r="Q157" s="84" t="s">
        <v>752</v>
      </c>
      <c r="R157" s="84" t="s">
        <v>793</v>
      </c>
      <c r="S157" s="87" t="s">
        <v>1454</v>
      </c>
      <c r="T157" s="87" t="s">
        <v>1455</v>
      </c>
      <c r="U157" s="86" t="s">
        <v>1488</v>
      </c>
      <c r="V157" s="86" t="s">
        <v>1489</v>
      </c>
      <c r="W157" s="75"/>
      <c r="X157" s="84" t="s">
        <v>1458</v>
      </c>
      <c r="Y157" s="84" t="s">
        <v>1490</v>
      </c>
      <c r="Z157" s="84" t="s">
        <v>1491</v>
      </c>
      <c r="AA157" s="76" t="s">
        <v>1178</v>
      </c>
    </row>
    <row r="158" spans="1:27" s="33" customFormat="1" ht="99.75" hidden="1" customHeight="1" x14ac:dyDescent="0.25">
      <c r="A158" s="27"/>
      <c r="B158" s="84" t="s">
        <v>1450</v>
      </c>
      <c r="C158" s="84" t="s">
        <v>1451</v>
      </c>
      <c r="D158" s="159" t="s">
        <v>1452</v>
      </c>
      <c r="E158" s="131">
        <v>2</v>
      </c>
      <c r="F158" s="84" t="s">
        <v>748</v>
      </c>
      <c r="G158" s="84" t="s">
        <v>749</v>
      </c>
      <c r="H158" s="75" t="s">
        <v>750</v>
      </c>
      <c r="I158" s="76">
        <v>10</v>
      </c>
      <c r="J158" s="75" t="s">
        <v>693</v>
      </c>
      <c r="K158" s="76">
        <v>10</v>
      </c>
      <c r="L158" s="76"/>
      <c r="M158" s="84" t="s">
        <v>751</v>
      </c>
      <c r="N158" s="75"/>
      <c r="O158" s="76"/>
      <c r="P158" s="77"/>
      <c r="Q158" s="84" t="s">
        <v>752</v>
      </c>
      <c r="R158" s="84" t="s">
        <v>753</v>
      </c>
      <c r="S158" s="87" t="s">
        <v>1454</v>
      </c>
      <c r="T158" s="87" t="s">
        <v>1455</v>
      </c>
      <c r="U158" s="86" t="s">
        <v>1492</v>
      </c>
      <c r="V158" s="86" t="s">
        <v>1493</v>
      </c>
      <c r="W158" s="75"/>
      <c r="X158" s="84" t="s">
        <v>1458</v>
      </c>
      <c r="Y158" s="84" t="s">
        <v>1490</v>
      </c>
      <c r="Z158" s="84" t="s">
        <v>1494</v>
      </c>
      <c r="AA158" s="76" t="s">
        <v>1178</v>
      </c>
    </row>
    <row r="159" spans="1:27" ht="99.75" hidden="1" customHeight="1" x14ac:dyDescent="0.25">
      <c r="B159" s="84" t="s">
        <v>1450</v>
      </c>
      <c r="C159" s="84" t="s">
        <v>1451</v>
      </c>
      <c r="D159" s="159" t="s">
        <v>1452</v>
      </c>
      <c r="E159" s="131">
        <v>2</v>
      </c>
      <c r="F159" s="84" t="s">
        <v>757</v>
      </c>
      <c r="G159" s="84" t="s">
        <v>758</v>
      </c>
      <c r="H159" s="75" t="s">
        <v>759</v>
      </c>
      <c r="I159" s="76">
        <v>11</v>
      </c>
      <c r="J159" s="75" t="s">
        <v>760</v>
      </c>
      <c r="K159" s="76">
        <v>23</v>
      </c>
      <c r="L159" s="76">
        <v>6</v>
      </c>
      <c r="M159" s="84" t="s">
        <v>761</v>
      </c>
      <c r="N159" s="75"/>
      <c r="O159" s="76" t="s">
        <v>695</v>
      </c>
      <c r="P159" s="77"/>
      <c r="Q159" s="84" t="s">
        <v>752</v>
      </c>
      <c r="R159" s="84" t="s">
        <v>762</v>
      </c>
      <c r="S159" s="87" t="s">
        <v>1454</v>
      </c>
      <c r="T159" s="87" t="s">
        <v>1455</v>
      </c>
      <c r="U159" s="86" t="s">
        <v>1495</v>
      </c>
      <c r="V159" s="86" t="s">
        <v>1496</v>
      </c>
      <c r="W159" s="75"/>
      <c r="X159" s="84" t="s">
        <v>1458</v>
      </c>
      <c r="Y159" s="84" t="s">
        <v>1490</v>
      </c>
      <c r="Z159" s="84" t="s">
        <v>1497</v>
      </c>
      <c r="AA159" s="76" t="s">
        <v>1178</v>
      </c>
    </row>
    <row r="160" spans="1:27" ht="99.75" hidden="1" customHeight="1" x14ac:dyDescent="0.25">
      <c r="B160" s="84" t="s">
        <v>1450</v>
      </c>
      <c r="C160" s="84" t="s">
        <v>1451</v>
      </c>
      <c r="D160" s="159" t="s">
        <v>1452</v>
      </c>
      <c r="E160" s="131">
        <v>2</v>
      </c>
      <c r="F160" s="194" t="s">
        <v>1148</v>
      </c>
      <c r="G160" s="194" t="s">
        <v>1149</v>
      </c>
      <c r="H160" s="75" t="s">
        <v>759</v>
      </c>
      <c r="I160" s="76">
        <v>12</v>
      </c>
      <c r="J160" s="75" t="s">
        <v>693</v>
      </c>
      <c r="K160" s="76"/>
      <c r="L160" s="76"/>
      <c r="M160" s="84" t="s">
        <v>1498</v>
      </c>
      <c r="N160" s="75"/>
      <c r="O160" s="76"/>
      <c r="P160" s="77"/>
      <c r="Q160" s="193"/>
      <c r="R160" s="193"/>
      <c r="S160" s="87" t="s">
        <v>1454</v>
      </c>
      <c r="T160" s="87" t="s">
        <v>1455</v>
      </c>
      <c r="U160" s="86" t="s">
        <v>1499</v>
      </c>
      <c r="V160" s="86" t="s">
        <v>1500</v>
      </c>
      <c r="W160" s="75"/>
      <c r="X160" s="84" t="s">
        <v>1458</v>
      </c>
      <c r="Y160" s="84" t="s">
        <v>1490</v>
      </c>
      <c r="Z160" s="194" t="s">
        <v>1501</v>
      </c>
      <c r="AA160" s="76" t="s">
        <v>1178</v>
      </c>
    </row>
    <row r="161" spans="2:27" ht="99.75" hidden="1" customHeight="1" x14ac:dyDescent="0.25">
      <c r="B161" s="84" t="s">
        <v>1450</v>
      </c>
      <c r="C161" s="84" t="s">
        <v>1451</v>
      </c>
      <c r="D161" s="159" t="s">
        <v>1452</v>
      </c>
      <c r="E161" s="131">
        <v>2</v>
      </c>
      <c r="F161" s="77" t="s">
        <v>797</v>
      </c>
      <c r="G161" s="77" t="s">
        <v>798</v>
      </c>
      <c r="H161" s="77" t="s">
        <v>799</v>
      </c>
      <c r="I161" s="76">
        <v>13</v>
      </c>
      <c r="J161" s="77" t="s">
        <v>693</v>
      </c>
      <c r="K161" s="76">
        <v>2</v>
      </c>
      <c r="L161" s="76"/>
      <c r="M161" s="86" t="s">
        <v>800</v>
      </c>
      <c r="N161" s="86"/>
      <c r="O161" s="76"/>
      <c r="P161" s="86" t="s">
        <v>1275</v>
      </c>
      <c r="Q161" s="87"/>
      <c r="R161" s="77"/>
      <c r="S161" s="87" t="s">
        <v>1454</v>
      </c>
      <c r="T161" s="87" t="s">
        <v>1455</v>
      </c>
      <c r="U161" s="86" t="s">
        <v>1499</v>
      </c>
      <c r="V161" s="130" t="s">
        <v>1502</v>
      </c>
      <c r="W161" s="76"/>
      <c r="X161" s="84" t="s">
        <v>1503</v>
      </c>
      <c r="Y161" s="84" t="s">
        <v>703</v>
      </c>
      <c r="Z161" s="84" t="s">
        <v>703</v>
      </c>
      <c r="AA161" s="201" t="s">
        <v>1504</v>
      </c>
    </row>
    <row r="162" spans="2:27" ht="99.75" hidden="1" customHeight="1" x14ac:dyDescent="0.25">
      <c r="B162" s="84" t="s">
        <v>1450</v>
      </c>
      <c r="C162" s="84" t="s">
        <v>1451</v>
      </c>
      <c r="D162" s="159" t="s">
        <v>1452</v>
      </c>
      <c r="E162" s="131">
        <v>2</v>
      </c>
      <c r="F162" s="84" t="s">
        <v>805</v>
      </c>
      <c r="G162" s="84" t="s">
        <v>806</v>
      </c>
      <c r="H162" s="75" t="s">
        <v>807</v>
      </c>
      <c r="I162" s="76">
        <v>14</v>
      </c>
      <c r="J162" s="75" t="s">
        <v>693</v>
      </c>
      <c r="K162" s="76">
        <v>10</v>
      </c>
      <c r="L162" s="76"/>
      <c r="M162" s="86" t="s">
        <v>808</v>
      </c>
      <c r="N162" s="75"/>
      <c r="O162" s="76" t="s">
        <v>695</v>
      </c>
      <c r="P162" s="77"/>
      <c r="Q162" s="84"/>
      <c r="R162" s="84"/>
      <c r="S162" s="87" t="s">
        <v>1454</v>
      </c>
      <c r="T162" s="87" t="s">
        <v>1455</v>
      </c>
      <c r="U162" s="86" t="s">
        <v>1505</v>
      </c>
      <c r="V162" s="86" t="s">
        <v>1506</v>
      </c>
      <c r="W162" s="75"/>
      <c r="X162" s="84" t="s">
        <v>1178</v>
      </c>
      <c r="Y162" s="84" t="s">
        <v>1178</v>
      </c>
      <c r="Z162" s="84" t="s">
        <v>1178</v>
      </c>
      <c r="AA162" s="76" t="s">
        <v>1178</v>
      </c>
    </row>
    <row r="163" spans="2:27" ht="99.75" hidden="1" customHeight="1" x14ac:dyDescent="0.25">
      <c r="B163" s="84" t="s">
        <v>1450</v>
      </c>
      <c r="C163" s="84" t="s">
        <v>1451</v>
      </c>
      <c r="D163" s="159" t="s">
        <v>1452</v>
      </c>
      <c r="E163" s="131">
        <v>2</v>
      </c>
      <c r="F163" s="84" t="s">
        <v>812</v>
      </c>
      <c r="G163" s="84" t="s">
        <v>813</v>
      </c>
      <c r="H163" s="75" t="s">
        <v>814</v>
      </c>
      <c r="I163" s="76">
        <v>15</v>
      </c>
      <c r="J163" s="75" t="s">
        <v>815</v>
      </c>
      <c r="K163" s="76">
        <v>23</v>
      </c>
      <c r="L163" s="76"/>
      <c r="M163" s="86" t="s">
        <v>816</v>
      </c>
      <c r="N163" s="75"/>
      <c r="O163" s="76"/>
      <c r="P163" s="77"/>
      <c r="Q163" s="84"/>
      <c r="R163" s="84"/>
      <c r="S163" s="87" t="s">
        <v>1454</v>
      </c>
      <c r="T163" s="87" t="s">
        <v>1455</v>
      </c>
      <c r="U163" s="86" t="s">
        <v>811</v>
      </c>
      <c r="V163" s="86" t="s">
        <v>1507</v>
      </c>
      <c r="W163" s="75"/>
      <c r="X163" s="84" t="s">
        <v>1178</v>
      </c>
      <c r="Y163" s="84" t="s">
        <v>1178</v>
      </c>
      <c r="Z163" s="84" t="s">
        <v>1178</v>
      </c>
      <c r="AA163" s="76" t="s">
        <v>1178</v>
      </c>
    </row>
    <row r="164" spans="2:27" ht="168.75" hidden="1" customHeight="1" x14ac:dyDescent="0.25">
      <c r="B164" s="84" t="s">
        <v>1508</v>
      </c>
      <c r="C164" s="84" t="s">
        <v>1509</v>
      </c>
      <c r="D164" s="84" t="s">
        <v>1510</v>
      </c>
      <c r="E164" s="131">
        <v>2</v>
      </c>
      <c r="F164" s="75" t="s">
        <v>690</v>
      </c>
      <c r="G164" s="75" t="s">
        <v>691</v>
      </c>
      <c r="H164" s="75" t="s">
        <v>872</v>
      </c>
      <c r="I164" s="76">
        <v>1</v>
      </c>
      <c r="J164" s="77" t="s">
        <v>693</v>
      </c>
      <c r="K164" s="76">
        <v>4</v>
      </c>
      <c r="L164" s="76"/>
      <c r="M164" s="86" t="s">
        <v>694</v>
      </c>
      <c r="N164" s="75"/>
      <c r="O164" s="76" t="s">
        <v>695</v>
      </c>
      <c r="P164" s="77"/>
      <c r="Q164" s="86" t="s">
        <v>820</v>
      </c>
      <c r="R164" s="86" t="s">
        <v>821</v>
      </c>
      <c r="S164" s="86" t="s">
        <v>1061</v>
      </c>
      <c r="T164" s="86" t="s">
        <v>1062</v>
      </c>
      <c r="U164" s="86" t="s">
        <v>824</v>
      </c>
      <c r="V164" s="86" t="s">
        <v>1511</v>
      </c>
      <c r="W164" s="75"/>
      <c r="X164" s="84" t="s">
        <v>1064</v>
      </c>
      <c r="Y164" s="86" t="s">
        <v>811</v>
      </c>
      <c r="Z164" s="86" t="s">
        <v>811</v>
      </c>
      <c r="AA164" s="201" t="s">
        <v>827</v>
      </c>
    </row>
    <row r="165" spans="2:27" ht="99.75" hidden="1" customHeight="1" x14ac:dyDescent="0.25">
      <c r="B165" s="84" t="s">
        <v>1508</v>
      </c>
      <c r="C165" s="84" t="s">
        <v>1509</v>
      </c>
      <c r="D165" s="84" t="s">
        <v>1510</v>
      </c>
      <c r="E165" s="131">
        <v>2</v>
      </c>
      <c r="F165" s="75" t="s">
        <v>705</v>
      </c>
      <c r="G165" s="75" t="s">
        <v>706</v>
      </c>
      <c r="H165" s="75" t="s">
        <v>872</v>
      </c>
      <c r="I165" s="76">
        <v>2</v>
      </c>
      <c r="J165" s="77" t="s">
        <v>693</v>
      </c>
      <c r="K165" s="76">
        <v>30</v>
      </c>
      <c r="L165" s="76"/>
      <c r="M165" s="86" t="s">
        <v>707</v>
      </c>
      <c r="N165" s="75"/>
      <c r="O165" s="76" t="s">
        <v>695</v>
      </c>
      <c r="P165" s="77"/>
      <c r="Q165" s="86" t="s">
        <v>820</v>
      </c>
      <c r="R165" s="86" t="s">
        <v>821</v>
      </c>
      <c r="S165" s="86" t="s">
        <v>1066</v>
      </c>
      <c r="T165" s="86" t="s">
        <v>1067</v>
      </c>
      <c r="U165" s="86" t="s">
        <v>1068</v>
      </c>
      <c r="V165" s="86" t="s">
        <v>1512</v>
      </c>
      <c r="W165" s="75"/>
      <c r="X165" s="84" t="s">
        <v>1064</v>
      </c>
      <c r="Y165" s="86" t="s">
        <v>1070</v>
      </c>
      <c r="Z165" s="86" t="s">
        <v>1071</v>
      </c>
      <c r="AA165" s="131" t="s">
        <v>811</v>
      </c>
    </row>
    <row r="166" spans="2:27" ht="99.75" hidden="1" customHeight="1" x14ac:dyDescent="0.25">
      <c r="B166" s="84" t="s">
        <v>1508</v>
      </c>
      <c r="C166" s="84" t="s">
        <v>1509</v>
      </c>
      <c r="D166" s="84" t="s">
        <v>1510</v>
      </c>
      <c r="E166" s="131">
        <v>2</v>
      </c>
      <c r="F166" s="84" t="s">
        <v>715</v>
      </c>
      <c r="G166" s="84" t="s">
        <v>716</v>
      </c>
      <c r="H166" s="75" t="s">
        <v>894</v>
      </c>
      <c r="I166" s="76">
        <v>3</v>
      </c>
      <c r="J166" s="75" t="s">
        <v>887</v>
      </c>
      <c r="K166" s="76"/>
      <c r="L166" s="76"/>
      <c r="M166" s="84" t="s">
        <v>1072</v>
      </c>
      <c r="N166" s="75"/>
      <c r="O166" s="76" t="s">
        <v>695</v>
      </c>
      <c r="P166" s="77"/>
      <c r="Q166" s="130" t="s">
        <v>720</v>
      </c>
      <c r="R166" s="133" t="s">
        <v>721</v>
      </c>
      <c r="S166" s="86" t="s">
        <v>1066</v>
      </c>
      <c r="T166" s="86" t="s">
        <v>1067</v>
      </c>
      <c r="U166" s="86" t="s">
        <v>1075</v>
      </c>
      <c r="V166" s="86" t="s">
        <v>1513</v>
      </c>
      <c r="W166" s="75"/>
      <c r="X166" s="84" t="s">
        <v>1064</v>
      </c>
      <c r="Y166" s="84" t="s">
        <v>1070</v>
      </c>
      <c r="Z166" s="84" t="s">
        <v>837</v>
      </c>
      <c r="AA166" s="131" t="s">
        <v>811</v>
      </c>
    </row>
    <row r="167" spans="2:27" ht="99.75" hidden="1" customHeight="1" x14ac:dyDescent="0.25">
      <c r="B167" s="84" t="s">
        <v>1508</v>
      </c>
      <c r="C167" s="84" t="s">
        <v>1509</v>
      </c>
      <c r="D167" s="84" t="s">
        <v>1510</v>
      </c>
      <c r="E167" s="76">
        <v>2</v>
      </c>
      <c r="F167" s="84" t="s">
        <v>728</v>
      </c>
      <c r="G167" s="84" t="s">
        <v>729</v>
      </c>
      <c r="H167" s="75" t="s">
        <v>894</v>
      </c>
      <c r="I167" s="76">
        <v>4</v>
      </c>
      <c r="J167" s="75" t="s">
        <v>718</v>
      </c>
      <c r="K167" s="76"/>
      <c r="L167" s="76"/>
      <c r="M167" s="84" t="s">
        <v>1514</v>
      </c>
      <c r="N167" s="75"/>
      <c r="O167" s="76" t="s">
        <v>695</v>
      </c>
      <c r="P167" s="77"/>
      <c r="Q167" s="86" t="s">
        <v>720</v>
      </c>
      <c r="R167" s="86" t="s">
        <v>721</v>
      </c>
      <c r="S167" s="86" t="s">
        <v>1066</v>
      </c>
      <c r="T167" s="86" t="s">
        <v>1067</v>
      </c>
      <c r="U167" s="86" t="s">
        <v>1077</v>
      </c>
      <c r="V167" s="86" t="s">
        <v>1515</v>
      </c>
      <c r="W167" s="75"/>
      <c r="X167" s="84" t="s">
        <v>1064</v>
      </c>
      <c r="Y167" s="84" t="s">
        <v>1516</v>
      </c>
      <c r="Z167" s="86" t="s">
        <v>1079</v>
      </c>
      <c r="AA167" s="131" t="s">
        <v>1080</v>
      </c>
    </row>
    <row r="168" spans="2:27" ht="361.5" hidden="1" customHeight="1" x14ac:dyDescent="0.25">
      <c r="B168" s="84" t="s">
        <v>1508</v>
      </c>
      <c r="C168" s="84" t="s">
        <v>1509</v>
      </c>
      <c r="D168" s="84" t="s">
        <v>1510</v>
      </c>
      <c r="E168" s="131">
        <v>2</v>
      </c>
      <c r="F168" s="159" t="s">
        <v>736</v>
      </c>
      <c r="G168" s="159" t="s">
        <v>737</v>
      </c>
      <c r="H168" s="75" t="s">
        <v>779</v>
      </c>
      <c r="I168" s="76">
        <v>5</v>
      </c>
      <c r="J168" s="75" t="s">
        <v>693</v>
      </c>
      <c r="K168" s="76">
        <v>4</v>
      </c>
      <c r="L168" s="76"/>
      <c r="M168" s="159" t="s">
        <v>739</v>
      </c>
      <c r="N168" s="75"/>
      <c r="O168" s="76"/>
      <c r="P168" s="87" t="s">
        <v>1517</v>
      </c>
      <c r="Q168" s="130" t="s">
        <v>842</v>
      </c>
      <c r="R168" s="133" t="s">
        <v>843</v>
      </c>
      <c r="S168" s="86" t="s">
        <v>1082</v>
      </c>
      <c r="T168" s="86" t="s">
        <v>1083</v>
      </c>
      <c r="U168" s="86" t="s">
        <v>846</v>
      </c>
      <c r="V168" s="86" t="s">
        <v>1518</v>
      </c>
      <c r="W168" s="75"/>
      <c r="X168" s="84" t="s">
        <v>1064</v>
      </c>
      <c r="Y168" s="84" t="s">
        <v>1070</v>
      </c>
      <c r="Z168" s="161" t="s">
        <v>1519</v>
      </c>
      <c r="AA168" s="131" t="s">
        <v>1087</v>
      </c>
    </row>
    <row r="169" spans="2:27" ht="99.75" hidden="1" customHeight="1" x14ac:dyDescent="0.25">
      <c r="B169" s="84" t="s">
        <v>1508</v>
      </c>
      <c r="C169" s="84" t="s">
        <v>1509</v>
      </c>
      <c r="D169" s="84" t="s">
        <v>1510</v>
      </c>
      <c r="E169" s="131">
        <v>2</v>
      </c>
      <c r="F169" s="84" t="s">
        <v>748</v>
      </c>
      <c r="G169" s="84" t="s">
        <v>749</v>
      </c>
      <c r="H169" s="75" t="s">
        <v>750</v>
      </c>
      <c r="I169" s="76">
        <v>6</v>
      </c>
      <c r="J169" s="75" t="s">
        <v>693</v>
      </c>
      <c r="K169" s="76">
        <v>10</v>
      </c>
      <c r="L169" s="76"/>
      <c r="M169" s="84" t="s">
        <v>751</v>
      </c>
      <c r="N169" s="75"/>
      <c r="O169" s="76" t="s">
        <v>695</v>
      </c>
      <c r="P169" s="77"/>
      <c r="Q169" s="86" t="s">
        <v>720</v>
      </c>
      <c r="R169" s="86" t="s">
        <v>1520</v>
      </c>
      <c r="S169" s="86" t="s">
        <v>1066</v>
      </c>
      <c r="T169" s="86" t="s">
        <v>1067</v>
      </c>
      <c r="U169" s="86" t="s">
        <v>1089</v>
      </c>
      <c r="V169" s="86" t="s">
        <v>1521</v>
      </c>
      <c r="W169" s="75"/>
      <c r="X169" s="84" t="s">
        <v>1064</v>
      </c>
      <c r="Y169" s="86" t="s">
        <v>1522</v>
      </c>
      <c r="Z169" s="86" t="s">
        <v>860</v>
      </c>
      <c r="AA169" s="131" t="s">
        <v>811</v>
      </c>
    </row>
    <row r="170" spans="2:27" ht="99.75" hidden="1" customHeight="1" x14ac:dyDescent="0.25">
      <c r="B170" s="84" t="s">
        <v>1508</v>
      </c>
      <c r="C170" s="84" t="s">
        <v>1509</v>
      </c>
      <c r="D170" s="84" t="s">
        <v>1510</v>
      </c>
      <c r="E170" s="131">
        <v>2</v>
      </c>
      <c r="F170" s="75" t="s">
        <v>757</v>
      </c>
      <c r="G170" s="84" t="s">
        <v>758</v>
      </c>
      <c r="H170" s="75" t="s">
        <v>759</v>
      </c>
      <c r="I170" s="76">
        <v>7</v>
      </c>
      <c r="J170" s="75" t="s">
        <v>760</v>
      </c>
      <c r="K170" s="76">
        <v>23</v>
      </c>
      <c r="L170" s="76">
        <v>6</v>
      </c>
      <c r="M170" s="84" t="s">
        <v>761</v>
      </c>
      <c r="N170" s="75"/>
      <c r="O170" s="76" t="s">
        <v>695</v>
      </c>
      <c r="P170" s="77"/>
      <c r="Q170" s="75" t="s">
        <v>752</v>
      </c>
      <c r="R170" s="86" t="s">
        <v>762</v>
      </c>
      <c r="S170" s="86" t="s">
        <v>1066</v>
      </c>
      <c r="T170" s="86" t="s">
        <v>1067</v>
      </c>
      <c r="U170" s="86" t="s">
        <v>1091</v>
      </c>
      <c r="V170" s="86" t="s">
        <v>1523</v>
      </c>
      <c r="W170" s="75"/>
      <c r="X170" s="84" t="s">
        <v>1064</v>
      </c>
      <c r="Y170" s="86" t="s">
        <v>1070</v>
      </c>
      <c r="Z170" s="161" t="s">
        <v>863</v>
      </c>
      <c r="AA170" s="131" t="s">
        <v>811</v>
      </c>
    </row>
    <row r="171" spans="2:27" ht="162.75" hidden="1" customHeight="1" x14ac:dyDescent="0.25">
      <c r="B171" s="84" t="s">
        <v>1508</v>
      </c>
      <c r="C171" s="84" t="s">
        <v>1509</v>
      </c>
      <c r="D171" s="194" t="s">
        <v>1510</v>
      </c>
      <c r="E171" s="195">
        <v>2</v>
      </c>
      <c r="F171" s="194" t="s">
        <v>766</v>
      </c>
      <c r="G171" s="194" t="s">
        <v>767</v>
      </c>
      <c r="H171" s="75"/>
      <c r="I171" s="76">
        <v>8</v>
      </c>
      <c r="J171" s="75" t="s">
        <v>693</v>
      </c>
      <c r="K171" s="76">
        <v>4</v>
      </c>
      <c r="L171" s="76"/>
      <c r="M171" s="159"/>
      <c r="N171" s="75"/>
      <c r="O171" s="76"/>
      <c r="P171" s="77"/>
      <c r="Q171" s="193"/>
      <c r="R171" s="193"/>
      <c r="S171" s="130" t="s">
        <v>1093</v>
      </c>
      <c r="T171" s="130" t="s">
        <v>1094</v>
      </c>
      <c r="U171" s="130" t="s">
        <v>1095</v>
      </c>
      <c r="V171" s="130" t="s">
        <v>1524</v>
      </c>
      <c r="W171" s="75"/>
      <c r="X171" s="84" t="s">
        <v>1064</v>
      </c>
      <c r="Y171" s="84" t="s">
        <v>1070</v>
      </c>
      <c r="Z171" s="161" t="s">
        <v>1525</v>
      </c>
      <c r="AA171" s="131" t="s">
        <v>1080</v>
      </c>
    </row>
    <row r="172" spans="2:27" ht="99.75" hidden="1" customHeight="1" x14ac:dyDescent="0.25">
      <c r="B172" s="84" t="s">
        <v>1508</v>
      </c>
      <c r="C172" s="84" t="s">
        <v>1509</v>
      </c>
      <c r="D172" s="84" t="s">
        <v>1510</v>
      </c>
      <c r="E172" s="131">
        <v>2</v>
      </c>
      <c r="F172" s="75" t="s">
        <v>777</v>
      </c>
      <c r="G172" s="159" t="s">
        <v>778</v>
      </c>
      <c r="H172" s="75" t="s">
        <v>779</v>
      </c>
      <c r="I172" s="76">
        <v>9</v>
      </c>
      <c r="J172" s="75" t="s">
        <v>693</v>
      </c>
      <c r="K172" s="76">
        <v>4</v>
      </c>
      <c r="L172" s="76"/>
      <c r="M172" s="84" t="s">
        <v>780</v>
      </c>
      <c r="N172" s="75"/>
      <c r="O172" s="76"/>
      <c r="P172" s="87" t="s">
        <v>1526</v>
      </c>
      <c r="Q172" s="86" t="s">
        <v>752</v>
      </c>
      <c r="R172" s="86" t="s">
        <v>782</v>
      </c>
      <c r="S172" s="86" t="s">
        <v>1066</v>
      </c>
      <c r="T172" s="86" t="s">
        <v>1067</v>
      </c>
      <c r="U172" s="86" t="s">
        <v>1097</v>
      </c>
      <c r="V172" s="86" t="s">
        <v>1527</v>
      </c>
      <c r="W172" s="75"/>
      <c r="X172" s="84" t="s">
        <v>1064</v>
      </c>
      <c r="Y172" s="86" t="s">
        <v>1070</v>
      </c>
      <c r="Z172" s="86" t="s">
        <v>854</v>
      </c>
      <c r="AA172" s="131" t="s">
        <v>811</v>
      </c>
    </row>
    <row r="173" spans="2:27" ht="99.75" hidden="1" customHeight="1" x14ac:dyDescent="0.25">
      <c r="B173" s="84" t="s">
        <v>1508</v>
      </c>
      <c r="C173" s="84" t="s">
        <v>1509</v>
      </c>
      <c r="D173" s="84" t="s">
        <v>1510</v>
      </c>
      <c r="E173" s="131">
        <v>2</v>
      </c>
      <c r="F173" s="84" t="s">
        <v>790</v>
      </c>
      <c r="G173" s="84" t="s">
        <v>791</v>
      </c>
      <c r="H173" s="75" t="s">
        <v>750</v>
      </c>
      <c r="I173" s="76">
        <v>10</v>
      </c>
      <c r="J173" s="75" t="s">
        <v>693</v>
      </c>
      <c r="K173" s="76">
        <v>10</v>
      </c>
      <c r="L173" s="76"/>
      <c r="M173" s="84" t="s">
        <v>792</v>
      </c>
      <c r="N173" s="75"/>
      <c r="O173" s="211"/>
      <c r="P173" s="77"/>
      <c r="Q173" s="86" t="s">
        <v>752</v>
      </c>
      <c r="R173" s="86" t="s">
        <v>793</v>
      </c>
      <c r="S173" s="86" t="s">
        <v>1066</v>
      </c>
      <c r="T173" s="86" t="s">
        <v>1067</v>
      </c>
      <c r="U173" s="86" t="s">
        <v>1099</v>
      </c>
      <c r="V173" s="86" t="s">
        <v>1528</v>
      </c>
      <c r="W173" s="75"/>
      <c r="X173" s="84" t="s">
        <v>1064</v>
      </c>
      <c r="Y173" s="86" t="s">
        <v>1070</v>
      </c>
      <c r="Z173" s="86" t="s">
        <v>857</v>
      </c>
      <c r="AA173" s="131" t="s">
        <v>811</v>
      </c>
    </row>
    <row r="174" spans="2:27" ht="99.75" hidden="1" customHeight="1" x14ac:dyDescent="0.25">
      <c r="B174" s="84" t="s">
        <v>1508</v>
      </c>
      <c r="C174" s="84" t="s">
        <v>1509</v>
      </c>
      <c r="D174" s="84" t="s">
        <v>1510</v>
      </c>
      <c r="E174" s="195">
        <v>2</v>
      </c>
      <c r="F174" s="194" t="s">
        <v>1129</v>
      </c>
      <c r="G174" s="194" t="s">
        <v>1130</v>
      </c>
      <c r="H174" s="75" t="s">
        <v>1122</v>
      </c>
      <c r="I174" s="76">
        <v>11</v>
      </c>
      <c r="J174" s="75" t="s">
        <v>693</v>
      </c>
      <c r="K174" s="76"/>
      <c r="L174" s="76"/>
      <c r="M174" s="84" t="s">
        <v>1131</v>
      </c>
      <c r="N174" s="75"/>
      <c r="O174" s="211"/>
      <c r="P174" s="77"/>
      <c r="Q174" s="193"/>
      <c r="R174" s="193"/>
      <c r="S174" s="86" t="s">
        <v>1406</v>
      </c>
      <c r="T174" s="86" t="s">
        <v>1407</v>
      </c>
      <c r="U174" s="86" t="s">
        <v>1435</v>
      </c>
      <c r="V174" s="86" t="s">
        <v>1529</v>
      </c>
      <c r="W174" s="75"/>
      <c r="X174" s="84" t="s">
        <v>1064</v>
      </c>
      <c r="Y174" s="86" t="s">
        <v>1126</v>
      </c>
      <c r="Z174" s="194" t="s">
        <v>1530</v>
      </c>
      <c r="AA174" s="131" t="s">
        <v>1128</v>
      </c>
    </row>
    <row r="175" spans="2:27" ht="99.75" hidden="1" customHeight="1" x14ac:dyDescent="0.25">
      <c r="B175" s="84" t="s">
        <v>1508</v>
      </c>
      <c r="C175" s="84" t="s">
        <v>1509</v>
      </c>
      <c r="D175" s="84" t="s">
        <v>1510</v>
      </c>
      <c r="E175" s="76">
        <v>2</v>
      </c>
      <c r="F175" s="75" t="s">
        <v>1135</v>
      </c>
      <c r="G175" s="75" t="s">
        <v>1136</v>
      </c>
      <c r="H175" s="75" t="s">
        <v>1122</v>
      </c>
      <c r="I175" s="76">
        <v>12</v>
      </c>
      <c r="J175" s="75" t="s">
        <v>693</v>
      </c>
      <c r="K175" s="76"/>
      <c r="L175" s="76"/>
      <c r="M175" s="86" t="s">
        <v>1438</v>
      </c>
      <c r="N175" s="75"/>
      <c r="O175" s="76"/>
      <c r="P175" s="77"/>
      <c r="Q175" s="75"/>
      <c r="R175" s="75"/>
      <c r="S175" s="86" t="s">
        <v>1406</v>
      </c>
      <c r="T175" s="86" t="s">
        <v>1407</v>
      </c>
      <c r="U175" s="86" t="s">
        <v>1439</v>
      </c>
      <c r="V175" s="86" t="s">
        <v>1531</v>
      </c>
      <c r="W175" s="75"/>
      <c r="X175" s="84" t="s">
        <v>1064</v>
      </c>
      <c r="Y175" s="86" t="s">
        <v>1126</v>
      </c>
      <c r="Z175" s="86" t="s">
        <v>1140</v>
      </c>
      <c r="AA175" s="131" t="s">
        <v>1141</v>
      </c>
    </row>
    <row r="176" spans="2:27" ht="99.75" hidden="1" customHeight="1" x14ac:dyDescent="0.25">
      <c r="B176" s="84" t="s">
        <v>1508</v>
      </c>
      <c r="C176" s="84" t="s">
        <v>1509</v>
      </c>
      <c r="D176" s="84" t="s">
        <v>1510</v>
      </c>
      <c r="E176" s="195">
        <v>2</v>
      </c>
      <c r="F176" s="194" t="s">
        <v>1148</v>
      </c>
      <c r="G176" s="194" t="s">
        <v>1149</v>
      </c>
      <c r="H176" s="75" t="s">
        <v>1122</v>
      </c>
      <c r="I176" s="76">
        <v>13</v>
      </c>
      <c r="J176" s="75" t="s">
        <v>693</v>
      </c>
      <c r="K176" s="76"/>
      <c r="L176" s="76"/>
      <c r="M176" s="86" t="s">
        <v>1150</v>
      </c>
      <c r="N176" s="75"/>
      <c r="O176" s="76"/>
      <c r="P176" s="77"/>
      <c r="Q176" s="193"/>
      <c r="R176" s="193"/>
      <c r="S176" s="86" t="s">
        <v>1406</v>
      </c>
      <c r="T176" s="86" t="s">
        <v>1407</v>
      </c>
      <c r="U176" s="86" t="s">
        <v>1442</v>
      </c>
      <c r="V176" s="86" t="s">
        <v>1532</v>
      </c>
      <c r="W176" s="75"/>
      <c r="X176" s="84" t="s">
        <v>1064</v>
      </c>
      <c r="Y176" s="86" t="s">
        <v>1126</v>
      </c>
      <c r="Z176" s="194" t="s">
        <v>1153</v>
      </c>
      <c r="AA176" s="131" t="s">
        <v>1141</v>
      </c>
    </row>
    <row r="177" spans="2:27" ht="99.75" hidden="1" customHeight="1" x14ac:dyDescent="0.25">
      <c r="B177" s="84" t="s">
        <v>1508</v>
      </c>
      <c r="C177" s="84" t="s">
        <v>1509</v>
      </c>
      <c r="D177" s="84" t="s">
        <v>1510</v>
      </c>
      <c r="E177" s="131">
        <v>2</v>
      </c>
      <c r="F177" s="77" t="s">
        <v>797</v>
      </c>
      <c r="G177" s="77" t="s">
        <v>798</v>
      </c>
      <c r="H177" s="77" t="s">
        <v>799</v>
      </c>
      <c r="I177" s="76">
        <v>14</v>
      </c>
      <c r="J177" s="77" t="s">
        <v>693</v>
      </c>
      <c r="K177" s="76">
        <v>2</v>
      </c>
      <c r="L177" s="76"/>
      <c r="M177" s="86" t="s">
        <v>800</v>
      </c>
      <c r="N177" s="86"/>
      <c r="O177" s="76"/>
      <c r="P177" s="86" t="s">
        <v>801</v>
      </c>
      <c r="Q177" s="87"/>
      <c r="R177" s="77"/>
      <c r="S177" s="86" t="s">
        <v>1066</v>
      </c>
      <c r="T177" s="86" t="s">
        <v>1067</v>
      </c>
      <c r="U177" s="87" t="s">
        <v>818</v>
      </c>
      <c r="V177" s="87" t="s">
        <v>1533</v>
      </c>
      <c r="W177" s="76"/>
      <c r="X177" s="84" t="s">
        <v>1064</v>
      </c>
      <c r="Y177" s="86" t="s">
        <v>811</v>
      </c>
      <c r="Z177" s="86" t="s">
        <v>811</v>
      </c>
      <c r="AA177" s="201" t="s">
        <v>1167</v>
      </c>
    </row>
    <row r="178" spans="2:27" ht="99.75" hidden="1" customHeight="1" x14ac:dyDescent="0.25">
      <c r="B178" s="84" t="s">
        <v>1508</v>
      </c>
      <c r="C178" s="84" t="s">
        <v>1509</v>
      </c>
      <c r="D178" s="84" t="s">
        <v>1510</v>
      </c>
      <c r="E178" s="131">
        <v>2</v>
      </c>
      <c r="F178" s="84" t="s">
        <v>805</v>
      </c>
      <c r="G178" s="75" t="s">
        <v>806</v>
      </c>
      <c r="H178" s="75" t="s">
        <v>807</v>
      </c>
      <c r="I178" s="76">
        <v>15</v>
      </c>
      <c r="J178" s="75" t="s">
        <v>693</v>
      </c>
      <c r="K178" s="76">
        <v>10</v>
      </c>
      <c r="L178" s="76"/>
      <c r="M178" s="86" t="s">
        <v>808</v>
      </c>
      <c r="N178" s="75"/>
      <c r="O178" s="76" t="s">
        <v>695</v>
      </c>
      <c r="P178" s="77"/>
      <c r="Q178" s="75"/>
      <c r="R178" s="75"/>
      <c r="S178" s="86" t="s">
        <v>1066</v>
      </c>
      <c r="T178" s="86" t="s">
        <v>1067</v>
      </c>
      <c r="U178" s="86" t="s">
        <v>866</v>
      </c>
      <c r="V178" s="87" t="s">
        <v>1534</v>
      </c>
      <c r="W178" s="75"/>
      <c r="X178" s="86" t="s">
        <v>811</v>
      </c>
      <c r="Y178" s="86" t="s">
        <v>811</v>
      </c>
      <c r="Z178" s="86" t="s">
        <v>811</v>
      </c>
      <c r="AA178" s="131" t="s">
        <v>811</v>
      </c>
    </row>
    <row r="179" spans="2:27" ht="99.75" hidden="1" customHeight="1" x14ac:dyDescent="0.25">
      <c r="B179" s="84" t="s">
        <v>1508</v>
      </c>
      <c r="C179" s="84" t="s">
        <v>1509</v>
      </c>
      <c r="D179" s="84" t="s">
        <v>1510</v>
      </c>
      <c r="E179" s="131">
        <v>2</v>
      </c>
      <c r="F179" s="84" t="s">
        <v>812</v>
      </c>
      <c r="G179" s="75" t="s">
        <v>813</v>
      </c>
      <c r="H179" s="75" t="s">
        <v>814</v>
      </c>
      <c r="I179" s="76">
        <v>16</v>
      </c>
      <c r="J179" s="75" t="s">
        <v>815</v>
      </c>
      <c r="K179" s="76">
        <v>23</v>
      </c>
      <c r="L179" s="76"/>
      <c r="M179" s="86" t="s">
        <v>816</v>
      </c>
      <c r="N179" s="75"/>
      <c r="O179" s="76"/>
      <c r="P179" s="77"/>
      <c r="Q179" s="75"/>
      <c r="R179" s="75"/>
      <c r="S179" s="86" t="s">
        <v>1066</v>
      </c>
      <c r="T179" s="86" t="s">
        <v>1067</v>
      </c>
      <c r="U179" s="87" t="s">
        <v>818</v>
      </c>
      <c r="V179" s="87" t="s">
        <v>1535</v>
      </c>
      <c r="W179" s="75"/>
      <c r="X179" s="86" t="s">
        <v>811</v>
      </c>
      <c r="Y179" s="86" t="s">
        <v>811</v>
      </c>
      <c r="Z179" s="86" t="s">
        <v>811</v>
      </c>
      <c r="AA179" s="131" t="s">
        <v>811</v>
      </c>
    </row>
    <row r="180" spans="2:27" ht="192" hidden="1" customHeight="1" x14ac:dyDescent="0.25">
      <c r="B180" s="84" t="s">
        <v>1536</v>
      </c>
      <c r="C180" s="84" t="s">
        <v>1537</v>
      </c>
      <c r="D180" s="84" t="s">
        <v>1538</v>
      </c>
      <c r="E180" s="131">
        <v>2</v>
      </c>
      <c r="F180" s="84" t="s">
        <v>690</v>
      </c>
      <c r="G180" s="84" t="s">
        <v>691</v>
      </c>
      <c r="H180" s="75" t="s">
        <v>872</v>
      </c>
      <c r="I180" s="76">
        <v>1</v>
      </c>
      <c r="J180" s="77" t="s">
        <v>693</v>
      </c>
      <c r="K180" s="76">
        <v>4</v>
      </c>
      <c r="L180" s="76"/>
      <c r="M180" s="86" t="s">
        <v>694</v>
      </c>
      <c r="N180" s="75"/>
      <c r="O180" s="76" t="s">
        <v>695</v>
      </c>
      <c r="P180" s="77"/>
      <c r="Q180" s="130" t="s">
        <v>1539</v>
      </c>
      <c r="R180" s="133" t="s">
        <v>1540</v>
      </c>
      <c r="S180" s="84" t="s">
        <v>1541</v>
      </c>
      <c r="T180" s="84" t="s">
        <v>1542</v>
      </c>
      <c r="U180" s="84" t="s">
        <v>1543</v>
      </c>
      <c r="V180" s="130" t="s">
        <v>1544</v>
      </c>
      <c r="W180" s="84"/>
      <c r="X180" s="84" t="s">
        <v>1503</v>
      </c>
      <c r="Y180" s="84" t="s">
        <v>703</v>
      </c>
      <c r="Z180" s="84" t="s">
        <v>703</v>
      </c>
      <c r="AA180" s="131" t="s">
        <v>704</v>
      </c>
    </row>
    <row r="181" spans="2:27" ht="186" hidden="1" customHeight="1" x14ac:dyDescent="0.25">
      <c r="B181" s="84" t="s">
        <v>1536</v>
      </c>
      <c r="C181" s="84" t="s">
        <v>1537</v>
      </c>
      <c r="D181" s="84" t="s">
        <v>1538</v>
      </c>
      <c r="E181" s="131">
        <v>2</v>
      </c>
      <c r="F181" s="84" t="s">
        <v>705</v>
      </c>
      <c r="G181" s="84" t="s">
        <v>706</v>
      </c>
      <c r="H181" s="75" t="s">
        <v>872</v>
      </c>
      <c r="I181" s="76">
        <v>2</v>
      </c>
      <c r="J181" s="75" t="s">
        <v>693</v>
      </c>
      <c r="K181" s="76">
        <v>30</v>
      </c>
      <c r="L181" s="76"/>
      <c r="M181" s="86" t="s">
        <v>707</v>
      </c>
      <c r="N181" s="75"/>
      <c r="O181" s="76" t="s">
        <v>695</v>
      </c>
      <c r="P181" s="77"/>
      <c r="Q181" s="130" t="s">
        <v>1539</v>
      </c>
      <c r="R181" s="133" t="s">
        <v>1540</v>
      </c>
      <c r="S181" s="84" t="s">
        <v>1545</v>
      </c>
      <c r="T181" s="84" t="s">
        <v>1546</v>
      </c>
      <c r="U181" s="84" t="s">
        <v>1547</v>
      </c>
      <c r="V181" s="87" t="s">
        <v>1548</v>
      </c>
      <c r="W181" s="84"/>
      <c r="X181" s="84" t="s">
        <v>1549</v>
      </c>
      <c r="Y181" s="84" t="s">
        <v>1550</v>
      </c>
      <c r="Z181" s="84" t="s">
        <v>1551</v>
      </c>
      <c r="AA181" s="131" t="s">
        <v>1552</v>
      </c>
    </row>
    <row r="182" spans="2:27" ht="149.25" hidden="1" customHeight="1" x14ac:dyDescent="0.25">
      <c r="B182" s="84" t="s">
        <v>1536</v>
      </c>
      <c r="C182" s="84" t="s">
        <v>1537</v>
      </c>
      <c r="D182" s="84" t="s">
        <v>1538</v>
      </c>
      <c r="E182" s="131">
        <v>2</v>
      </c>
      <c r="F182" s="84" t="s">
        <v>715</v>
      </c>
      <c r="G182" s="84" t="s">
        <v>716</v>
      </c>
      <c r="H182" s="75" t="s">
        <v>894</v>
      </c>
      <c r="I182" s="76">
        <v>3</v>
      </c>
      <c r="J182" s="75" t="s">
        <v>887</v>
      </c>
      <c r="K182" s="76"/>
      <c r="L182" s="76"/>
      <c r="M182" s="84" t="s">
        <v>1464</v>
      </c>
      <c r="N182" s="75"/>
      <c r="O182" s="76" t="s">
        <v>695</v>
      </c>
      <c r="P182" s="77"/>
      <c r="Q182" s="130" t="s">
        <v>1284</v>
      </c>
      <c r="R182" s="133"/>
      <c r="S182" s="84" t="s">
        <v>1553</v>
      </c>
      <c r="T182" s="84" t="s">
        <v>1554</v>
      </c>
      <c r="U182" s="84" t="s">
        <v>1555</v>
      </c>
      <c r="V182" s="130" t="s">
        <v>1556</v>
      </c>
      <c r="W182" s="84"/>
      <c r="X182" s="84" t="s">
        <v>1503</v>
      </c>
      <c r="Y182" s="84" t="s">
        <v>1557</v>
      </c>
      <c r="Z182" s="84" t="s">
        <v>1558</v>
      </c>
      <c r="AA182" s="131" t="s">
        <v>703</v>
      </c>
    </row>
    <row r="183" spans="2:27" ht="168" hidden="1" customHeight="1" x14ac:dyDescent="0.25">
      <c r="B183" s="84" t="s">
        <v>1536</v>
      </c>
      <c r="C183" s="84" t="s">
        <v>1537</v>
      </c>
      <c r="D183" s="84" t="s">
        <v>1538</v>
      </c>
      <c r="E183" s="131">
        <v>2</v>
      </c>
      <c r="F183" s="84" t="s">
        <v>728</v>
      </c>
      <c r="G183" s="84" t="s">
        <v>729</v>
      </c>
      <c r="H183" s="75" t="s">
        <v>894</v>
      </c>
      <c r="I183" s="76">
        <v>4</v>
      </c>
      <c r="J183" s="75" t="s">
        <v>718</v>
      </c>
      <c r="K183" s="76"/>
      <c r="L183" s="76"/>
      <c r="M183" s="84" t="s">
        <v>730</v>
      </c>
      <c r="N183" s="75"/>
      <c r="O183" s="76" t="s">
        <v>695</v>
      </c>
      <c r="P183" s="77"/>
      <c r="Q183" s="130" t="s">
        <v>1284</v>
      </c>
      <c r="R183" s="133" t="s">
        <v>1559</v>
      </c>
      <c r="S183" s="84" t="s">
        <v>1560</v>
      </c>
      <c r="T183" s="84" t="s">
        <v>1554</v>
      </c>
      <c r="U183" s="84" t="s">
        <v>1561</v>
      </c>
      <c r="V183" s="87" t="s">
        <v>1562</v>
      </c>
      <c r="W183" s="75"/>
      <c r="X183" s="84" t="s">
        <v>1503</v>
      </c>
      <c r="Y183" s="159" t="s">
        <v>1563</v>
      </c>
      <c r="Z183" s="159" t="s">
        <v>1564</v>
      </c>
      <c r="AA183" s="131" t="s">
        <v>776</v>
      </c>
    </row>
    <row r="184" spans="2:27" ht="281.25" hidden="1" customHeight="1" x14ac:dyDescent="0.25">
      <c r="B184" s="84" t="s">
        <v>1536</v>
      </c>
      <c r="C184" s="84" t="s">
        <v>1537</v>
      </c>
      <c r="D184" s="84" t="s">
        <v>1538</v>
      </c>
      <c r="E184" s="131">
        <v>2</v>
      </c>
      <c r="F184" s="159" t="s">
        <v>736</v>
      </c>
      <c r="G184" s="159" t="s">
        <v>737</v>
      </c>
      <c r="H184" s="75" t="s">
        <v>779</v>
      </c>
      <c r="I184" s="76">
        <v>5</v>
      </c>
      <c r="J184" s="75" t="s">
        <v>693</v>
      </c>
      <c r="K184" s="76">
        <v>4</v>
      </c>
      <c r="L184" s="76"/>
      <c r="M184" s="159" t="s">
        <v>739</v>
      </c>
      <c r="N184" s="75"/>
      <c r="O184" s="76" t="s">
        <v>695</v>
      </c>
      <c r="P184" s="87" t="s">
        <v>1565</v>
      </c>
      <c r="Q184" s="130" t="s">
        <v>842</v>
      </c>
      <c r="R184" s="133" t="s">
        <v>843</v>
      </c>
      <c r="S184" s="86" t="s">
        <v>1566</v>
      </c>
      <c r="T184" s="86" t="s">
        <v>1567</v>
      </c>
      <c r="U184" s="86" t="s">
        <v>1568</v>
      </c>
      <c r="V184" s="87" t="s">
        <v>1569</v>
      </c>
      <c r="W184" s="84"/>
      <c r="X184" s="84" t="s">
        <v>1503</v>
      </c>
      <c r="Y184" s="84" t="s">
        <v>1570</v>
      </c>
      <c r="Z184" s="84" t="s">
        <v>1571</v>
      </c>
      <c r="AA184" s="131" t="s">
        <v>703</v>
      </c>
    </row>
    <row r="185" spans="2:27" ht="310.5" hidden="1" customHeight="1" x14ac:dyDescent="0.25">
      <c r="B185" s="84" t="s">
        <v>1536</v>
      </c>
      <c r="C185" s="84" t="s">
        <v>1537</v>
      </c>
      <c r="D185" s="84" t="s">
        <v>1538</v>
      </c>
      <c r="E185" s="131">
        <v>2</v>
      </c>
      <c r="F185" s="194" t="s">
        <v>766</v>
      </c>
      <c r="G185" s="194" t="s">
        <v>767</v>
      </c>
      <c r="H185" s="75"/>
      <c r="I185" s="76">
        <v>6</v>
      </c>
      <c r="J185" s="75" t="s">
        <v>693</v>
      </c>
      <c r="K185" s="76">
        <v>4</v>
      </c>
      <c r="L185" s="76"/>
      <c r="M185" s="159"/>
      <c r="N185" s="75"/>
      <c r="O185" s="76"/>
      <c r="P185" s="77"/>
      <c r="Q185" s="130" t="s">
        <v>1198</v>
      </c>
      <c r="R185" s="133" t="s">
        <v>1199</v>
      </c>
      <c r="S185" s="86" t="s">
        <v>1572</v>
      </c>
      <c r="T185" s="86" t="s">
        <v>1573</v>
      </c>
      <c r="U185" s="86" t="s">
        <v>1574</v>
      </c>
      <c r="V185" s="87" t="s">
        <v>1575</v>
      </c>
      <c r="W185" s="158"/>
      <c r="X185" s="84" t="s">
        <v>1503</v>
      </c>
      <c r="Y185" s="84" t="s">
        <v>1557</v>
      </c>
      <c r="Z185" s="84" t="s">
        <v>1576</v>
      </c>
      <c r="AA185" s="131" t="s">
        <v>703</v>
      </c>
    </row>
    <row r="186" spans="2:27" ht="181.5" hidden="1" customHeight="1" x14ac:dyDescent="0.25">
      <c r="B186" s="84" t="s">
        <v>1536</v>
      </c>
      <c r="C186" s="84" t="s">
        <v>1537</v>
      </c>
      <c r="D186" s="84" t="s">
        <v>1538</v>
      </c>
      <c r="E186" s="131">
        <v>2</v>
      </c>
      <c r="F186" s="84" t="s">
        <v>777</v>
      </c>
      <c r="G186" s="159" t="s">
        <v>778</v>
      </c>
      <c r="H186" s="75" t="s">
        <v>779</v>
      </c>
      <c r="I186" s="76">
        <v>7</v>
      </c>
      <c r="J186" s="75" t="s">
        <v>693</v>
      </c>
      <c r="K186" s="76">
        <v>4</v>
      </c>
      <c r="L186" s="76"/>
      <c r="M186" s="84" t="s">
        <v>780</v>
      </c>
      <c r="N186" s="75"/>
      <c r="O186" s="76"/>
      <c r="P186" s="87" t="s">
        <v>1577</v>
      </c>
      <c r="Q186" s="130" t="s">
        <v>752</v>
      </c>
      <c r="R186" s="133" t="s">
        <v>782</v>
      </c>
      <c r="S186" s="84" t="s">
        <v>1578</v>
      </c>
      <c r="T186" s="84" t="s">
        <v>1579</v>
      </c>
      <c r="U186" s="84" t="s">
        <v>1580</v>
      </c>
      <c r="V186" s="84" t="s">
        <v>1581</v>
      </c>
      <c r="W186" s="84"/>
      <c r="X186" s="84" t="s">
        <v>1549</v>
      </c>
      <c r="Y186" s="84" t="s">
        <v>1582</v>
      </c>
      <c r="Z186" s="84" t="s">
        <v>1583</v>
      </c>
      <c r="AA186" s="131" t="s">
        <v>1552</v>
      </c>
    </row>
    <row r="187" spans="2:27" ht="145.5" customHeight="1" x14ac:dyDescent="0.25">
      <c r="B187" s="84" t="s">
        <v>1536</v>
      </c>
      <c r="C187" s="84" t="s">
        <v>1537</v>
      </c>
      <c r="D187" s="84" t="s">
        <v>1538</v>
      </c>
      <c r="E187" s="131">
        <v>2</v>
      </c>
      <c r="F187" s="77" t="s">
        <v>1584</v>
      </c>
      <c r="G187" s="77" t="s">
        <v>1585</v>
      </c>
      <c r="H187" s="75" t="s">
        <v>779</v>
      </c>
      <c r="I187" s="76">
        <v>8</v>
      </c>
      <c r="J187" s="77" t="s">
        <v>693</v>
      </c>
      <c r="K187" s="76"/>
      <c r="L187" s="76"/>
      <c r="M187" s="86" t="s">
        <v>1586</v>
      </c>
      <c r="N187" s="86"/>
      <c r="O187" s="76"/>
      <c r="P187" s="75"/>
      <c r="Q187" s="196"/>
      <c r="R187" s="75"/>
      <c r="S187" s="84" t="s">
        <v>1587</v>
      </c>
      <c r="T187" s="84" t="s">
        <v>1588</v>
      </c>
      <c r="U187" s="84" t="s">
        <v>1589</v>
      </c>
      <c r="V187" s="84" t="s">
        <v>1590</v>
      </c>
      <c r="W187" s="215"/>
      <c r="X187" s="84" t="s">
        <v>1503</v>
      </c>
      <c r="Y187" s="86" t="s">
        <v>1591</v>
      </c>
      <c r="Z187" s="86" t="s">
        <v>1592</v>
      </c>
      <c r="AA187" s="131" t="s">
        <v>1593</v>
      </c>
    </row>
    <row r="188" spans="2:27" ht="203.25" hidden="1" customHeight="1" x14ac:dyDescent="0.25">
      <c r="B188" s="84" t="s">
        <v>1536</v>
      </c>
      <c r="C188" s="84" t="s">
        <v>1537</v>
      </c>
      <c r="D188" s="84" t="s">
        <v>1538</v>
      </c>
      <c r="E188" s="131">
        <v>2</v>
      </c>
      <c r="F188" s="84" t="s">
        <v>940</v>
      </c>
      <c r="G188" s="84" t="s">
        <v>941</v>
      </c>
      <c r="H188" s="75" t="s">
        <v>768</v>
      </c>
      <c r="I188" s="76">
        <v>9</v>
      </c>
      <c r="J188" s="75" t="s">
        <v>693</v>
      </c>
      <c r="K188" s="76">
        <v>4</v>
      </c>
      <c r="L188" s="76"/>
      <c r="M188" s="84" t="s">
        <v>942</v>
      </c>
      <c r="N188" s="75"/>
      <c r="O188" s="76"/>
      <c r="P188" s="77"/>
      <c r="Q188" s="130" t="s">
        <v>752</v>
      </c>
      <c r="R188" s="133" t="s">
        <v>943</v>
      </c>
      <c r="S188" s="84" t="s">
        <v>1560</v>
      </c>
      <c r="T188" s="84" t="s">
        <v>1594</v>
      </c>
      <c r="U188" s="84" t="s">
        <v>1595</v>
      </c>
      <c r="V188" s="209" t="s">
        <v>1596</v>
      </c>
      <c r="W188" s="84"/>
      <c r="X188" s="84" t="s">
        <v>1503</v>
      </c>
      <c r="Y188" s="84" t="s">
        <v>1597</v>
      </c>
      <c r="Z188" s="84" t="s">
        <v>1598</v>
      </c>
      <c r="AA188" s="131" t="s">
        <v>1599</v>
      </c>
    </row>
    <row r="189" spans="2:27" ht="219.75" hidden="1" customHeight="1" x14ac:dyDescent="0.25">
      <c r="B189" s="84" t="s">
        <v>1536</v>
      </c>
      <c r="C189" s="84" t="s">
        <v>1537</v>
      </c>
      <c r="D189" s="84" t="s">
        <v>1538</v>
      </c>
      <c r="E189" s="131">
        <v>2</v>
      </c>
      <c r="F189" s="84" t="s">
        <v>1600</v>
      </c>
      <c r="G189" s="84" t="s">
        <v>1601</v>
      </c>
      <c r="H189" s="75" t="s">
        <v>1602</v>
      </c>
      <c r="I189" s="76">
        <v>10</v>
      </c>
      <c r="J189" s="75" t="s">
        <v>693</v>
      </c>
      <c r="K189" s="76">
        <v>10</v>
      </c>
      <c r="L189" s="76"/>
      <c r="M189" s="86" t="s">
        <v>1603</v>
      </c>
      <c r="N189" s="75"/>
      <c r="O189" s="76"/>
      <c r="P189" s="77"/>
      <c r="Q189" s="130" t="s">
        <v>752</v>
      </c>
      <c r="R189" s="133" t="s">
        <v>1604</v>
      </c>
      <c r="S189" s="84" t="s">
        <v>1560</v>
      </c>
      <c r="T189" s="84" t="s">
        <v>1594</v>
      </c>
      <c r="U189" s="84" t="s">
        <v>1605</v>
      </c>
      <c r="V189" s="84" t="s">
        <v>1606</v>
      </c>
      <c r="W189" s="84"/>
      <c r="X189" s="84" t="s">
        <v>1503</v>
      </c>
      <c r="Y189" s="84" t="s">
        <v>1597</v>
      </c>
      <c r="Z189" s="84" t="s">
        <v>1607</v>
      </c>
      <c r="AA189" s="131" t="s">
        <v>1599</v>
      </c>
    </row>
    <row r="190" spans="2:27" ht="168.75" hidden="1" customHeight="1" x14ac:dyDescent="0.25">
      <c r="B190" s="84" t="s">
        <v>1536</v>
      </c>
      <c r="C190" s="84" t="s">
        <v>1537</v>
      </c>
      <c r="D190" s="84" t="s">
        <v>1538</v>
      </c>
      <c r="E190" s="131">
        <v>2</v>
      </c>
      <c r="F190" s="84" t="s">
        <v>790</v>
      </c>
      <c r="G190" s="84" t="s">
        <v>791</v>
      </c>
      <c r="H190" s="75" t="s">
        <v>750</v>
      </c>
      <c r="I190" s="76">
        <v>11</v>
      </c>
      <c r="J190" s="75" t="s">
        <v>693</v>
      </c>
      <c r="K190" s="76">
        <v>10</v>
      </c>
      <c r="L190" s="76"/>
      <c r="M190" s="84" t="s">
        <v>1586</v>
      </c>
      <c r="N190" s="75"/>
      <c r="O190" s="76"/>
      <c r="P190" s="77"/>
      <c r="Q190" s="84" t="s">
        <v>752</v>
      </c>
      <c r="R190" s="84" t="s">
        <v>793</v>
      </c>
      <c r="S190" s="84" t="s">
        <v>1560</v>
      </c>
      <c r="T190" s="84" t="s">
        <v>1594</v>
      </c>
      <c r="U190" s="84" t="s">
        <v>1608</v>
      </c>
      <c r="V190" s="84" t="s">
        <v>1609</v>
      </c>
      <c r="W190" s="84"/>
      <c r="X190" s="84" t="s">
        <v>1503</v>
      </c>
      <c r="Y190" s="84" t="s">
        <v>1557</v>
      </c>
      <c r="Z190" s="84" t="s">
        <v>1610</v>
      </c>
      <c r="AA190" s="131" t="s">
        <v>703</v>
      </c>
    </row>
    <row r="191" spans="2:27" ht="152.25" hidden="1" customHeight="1" x14ac:dyDescent="0.25">
      <c r="B191" s="84" t="s">
        <v>1536</v>
      </c>
      <c r="C191" s="84" t="s">
        <v>1537</v>
      </c>
      <c r="D191" s="84" t="s">
        <v>1538</v>
      </c>
      <c r="E191" s="131">
        <v>2</v>
      </c>
      <c r="F191" s="84" t="s">
        <v>748</v>
      </c>
      <c r="G191" s="84" t="s">
        <v>749</v>
      </c>
      <c r="H191" s="75" t="s">
        <v>750</v>
      </c>
      <c r="I191" s="76">
        <v>12</v>
      </c>
      <c r="J191" s="75" t="s">
        <v>693</v>
      </c>
      <c r="K191" s="76">
        <v>10</v>
      </c>
      <c r="L191" s="76"/>
      <c r="M191" s="84" t="s">
        <v>751</v>
      </c>
      <c r="N191" s="75"/>
      <c r="O191" s="76"/>
      <c r="P191" s="77"/>
      <c r="Q191" s="130" t="s">
        <v>752</v>
      </c>
      <c r="R191" s="133" t="s">
        <v>753</v>
      </c>
      <c r="S191" s="84" t="s">
        <v>1560</v>
      </c>
      <c r="T191" s="84" t="s">
        <v>1594</v>
      </c>
      <c r="U191" s="84" t="s">
        <v>1611</v>
      </c>
      <c r="V191" s="130" t="s">
        <v>1612</v>
      </c>
      <c r="W191" s="84"/>
      <c r="X191" s="84" t="s">
        <v>1503</v>
      </c>
      <c r="Y191" s="84" t="s">
        <v>1557</v>
      </c>
      <c r="Z191" s="84" t="s">
        <v>1613</v>
      </c>
      <c r="AA191" s="131" t="s">
        <v>703</v>
      </c>
    </row>
    <row r="192" spans="2:27" ht="152.25" customHeight="1" x14ac:dyDescent="0.25">
      <c r="B192" s="84" t="s">
        <v>1536</v>
      </c>
      <c r="C192" s="84" t="s">
        <v>1537</v>
      </c>
      <c r="D192" s="84" t="s">
        <v>1538</v>
      </c>
      <c r="E192" s="131">
        <v>2</v>
      </c>
      <c r="F192" s="194" t="s">
        <v>1614</v>
      </c>
      <c r="G192" s="194" t="s">
        <v>1615</v>
      </c>
      <c r="H192" s="75" t="s">
        <v>750</v>
      </c>
      <c r="I192" s="76">
        <v>13</v>
      </c>
      <c r="J192" s="75" t="s">
        <v>693</v>
      </c>
      <c r="K192" s="76">
        <v>10</v>
      </c>
      <c r="L192" s="76"/>
      <c r="M192" s="84" t="s">
        <v>1616</v>
      </c>
      <c r="N192" s="75"/>
      <c r="O192" s="76" t="s">
        <v>695</v>
      </c>
      <c r="P192" s="77"/>
      <c r="Q192" s="193"/>
      <c r="R192" s="193"/>
      <c r="S192" s="84" t="s">
        <v>1560</v>
      </c>
      <c r="T192" s="84" t="s">
        <v>1617</v>
      </c>
      <c r="U192" s="84" t="s">
        <v>1618</v>
      </c>
      <c r="V192" s="84" t="s">
        <v>1619</v>
      </c>
      <c r="W192" s="158"/>
      <c r="X192" s="84" t="s">
        <v>1503</v>
      </c>
      <c r="Y192" s="84" t="s">
        <v>1570</v>
      </c>
      <c r="Z192" s="194" t="s">
        <v>1620</v>
      </c>
      <c r="AA192" s="195" t="s">
        <v>1593</v>
      </c>
    </row>
    <row r="193" spans="2:27" ht="152.25" hidden="1" customHeight="1" x14ac:dyDescent="0.25">
      <c r="B193" s="84" t="s">
        <v>1536</v>
      </c>
      <c r="C193" s="84" t="s">
        <v>1537</v>
      </c>
      <c r="D193" s="84" t="s">
        <v>1538</v>
      </c>
      <c r="E193" s="131">
        <v>2</v>
      </c>
      <c r="F193" s="194" t="s">
        <v>1621</v>
      </c>
      <c r="G193" s="194" t="s">
        <v>1622</v>
      </c>
      <c r="H193" s="75" t="s">
        <v>759</v>
      </c>
      <c r="I193" s="76">
        <v>14</v>
      </c>
      <c r="J193" s="75" t="s">
        <v>760</v>
      </c>
      <c r="K193" s="76">
        <v>23</v>
      </c>
      <c r="L193" s="76">
        <v>6</v>
      </c>
      <c r="M193" s="84" t="s">
        <v>1623</v>
      </c>
      <c r="N193" s="75"/>
      <c r="O193" s="76"/>
      <c r="P193" s="77"/>
      <c r="Q193" s="193"/>
      <c r="R193" s="193"/>
      <c r="S193" s="84" t="s">
        <v>1560</v>
      </c>
      <c r="T193" s="84" t="s">
        <v>1594</v>
      </c>
      <c r="U193" s="84" t="s">
        <v>1624</v>
      </c>
      <c r="V193" s="84" t="s">
        <v>1625</v>
      </c>
      <c r="W193" s="158"/>
      <c r="X193" s="84" t="s">
        <v>1503</v>
      </c>
      <c r="Y193" s="84" t="s">
        <v>1557</v>
      </c>
      <c r="Z193" s="194" t="s">
        <v>1626</v>
      </c>
      <c r="AA193" s="131" t="s">
        <v>703</v>
      </c>
    </row>
    <row r="194" spans="2:27" ht="178.5" customHeight="1" x14ac:dyDescent="0.25">
      <c r="B194" s="84" t="s">
        <v>1536</v>
      </c>
      <c r="C194" s="84" t="s">
        <v>1537</v>
      </c>
      <c r="D194" s="84" t="s">
        <v>1538</v>
      </c>
      <c r="E194" s="131">
        <v>2</v>
      </c>
      <c r="F194" s="84" t="s">
        <v>757</v>
      </c>
      <c r="G194" s="84" t="s">
        <v>758</v>
      </c>
      <c r="H194" s="75" t="s">
        <v>759</v>
      </c>
      <c r="I194" s="76">
        <v>15</v>
      </c>
      <c r="J194" s="75" t="s">
        <v>760</v>
      </c>
      <c r="K194" s="76">
        <v>23</v>
      </c>
      <c r="L194" s="76">
        <v>6</v>
      </c>
      <c r="M194" s="84" t="s">
        <v>1627</v>
      </c>
      <c r="N194" s="75"/>
      <c r="O194" s="76"/>
      <c r="P194" s="77"/>
      <c r="Q194" s="130" t="s">
        <v>752</v>
      </c>
      <c r="R194" s="216" t="s">
        <v>762</v>
      </c>
      <c r="S194" s="84" t="s">
        <v>1560</v>
      </c>
      <c r="T194" s="84" t="s">
        <v>1617</v>
      </c>
      <c r="U194" s="84" t="s">
        <v>1628</v>
      </c>
      <c r="V194" s="130" t="s">
        <v>1629</v>
      </c>
      <c r="W194" s="84"/>
      <c r="X194" s="84" t="s">
        <v>1503</v>
      </c>
      <c r="Y194" s="84" t="s">
        <v>1570</v>
      </c>
      <c r="Z194" s="84" t="s">
        <v>1630</v>
      </c>
      <c r="AA194" s="131" t="s">
        <v>703</v>
      </c>
    </row>
    <row r="195" spans="2:27" ht="173.25" hidden="1" customHeight="1" x14ac:dyDescent="0.25">
      <c r="B195" s="84" t="s">
        <v>1536</v>
      </c>
      <c r="C195" s="84" t="s">
        <v>1537</v>
      </c>
      <c r="D195" s="84" t="s">
        <v>1538</v>
      </c>
      <c r="E195" s="131">
        <v>2</v>
      </c>
      <c r="F195" s="77" t="s">
        <v>797</v>
      </c>
      <c r="G195" s="77" t="s">
        <v>798</v>
      </c>
      <c r="H195" s="77" t="s">
        <v>799</v>
      </c>
      <c r="I195" s="76">
        <v>16</v>
      </c>
      <c r="J195" s="77" t="s">
        <v>693</v>
      </c>
      <c r="K195" s="76">
        <v>2</v>
      </c>
      <c r="L195" s="76"/>
      <c r="M195" s="86" t="s">
        <v>800</v>
      </c>
      <c r="N195" s="86"/>
      <c r="O195" s="76"/>
      <c r="P195" s="86" t="s">
        <v>1631</v>
      </c>
      <c r="Q195" s="87"/>
      <c r="R195" s="77"/>
      <c r="S195" s="84" t="s">
        <v>1560</v>
      </c>
      <c r="T195" s="84" t="s">
        <v>1594</v>
      </c>
      <c r="U195" s="87" t="s">
        <v>1632</v>
      </c>
      <c r="V195" s="130" t="s">
        <v>1633</v>
      </c>
      <c r="W195" s="76"/>
      <c r="X195" s="84" t="s">
        <v>1503</v>
      </c>
      <c r="Y195" s="84" t="s">
        <v>703</v>
      </c>
      <c r="Z195" s="84" t="s">
        <v>703</v>
      </c>
      <c r="AA195" s="201" t="s">
        <v>1504</v>
      </c>
    </row>
    <row r="196" spans="2:27" ht="150" hidden="1" customHeight="1" x14ac:dyDescent="0.25">
      <c r="B196" s="84" t="s">
        <v>1536</v>
      </c>
      <c r="C196" s="84" t="s">
        <v>1537</v>
      </c>
      <c r="D196" s="84" t="s">
        <v>1538</v>
      </c>
      <c r="E196" s="131">
        <v>2</v>
      </c>
      <c r="F196" s="84" t="s">
        <v>805</v>
      </c>
      <c r="G196" s="84" t="s">
        <v>806</v>
      </c>
      <c r="H196" s="75" t="s">
        <v>807</v>
      </c>
      <c r="I196" s="76">
        <v>17</v>
      </c>
      <c r="J196" s="75" t="s">
        <v>693</v>
      </c>
      <c r="K196" s="76">
        <v>10</v>
      </c>
      <c r="L196" s="76"/>
      <c r="M196" s="86" t="s">
        <v>808</v>
      </c>
      <c r="N196" s="75"/>
      <c r="O196" s="76" t="s">
        <v>695</v>
      </c>
      <c r="P196" s="77"/>
      <c r="Q196" s="84"/>
      <c r="R196" s="84"/>
      <c r="S196" s="84" t="s">
        <v>1560</v>
      </c>
      <c r="T196" s="84" t="s">
        <v>1594</v>
      </c>
      <c r="U196" s="87" t="s">
        <v>1634</v>
      </c>
      <c r="V196" s="130" t="s">
        <v>1635</v>
      </c>
      <c r="W196" s="84"/>
      <c r="X196" s="84" t="s">
        <v>703</v>
      </c>
      <c r="Y196" s="84" t="s">
        <v>703</v>
      </c>
      <c r="Z196" s="84" t="s">
        <v>703</v>
      </c>
      <c r="AA196" s="131" t="s">
        <v>703</v>
      </c>
    </row>
    <row r="197" spans="2:27" ht="183.75" hidden="1" customHeight="1" x14ac:dyDescent="0.25">
      <c r="B197" s="84" t="s">
        <v>1536</v>
      </c>
      <c r="C197" s="84" t="s">
        <v>1537</v>
      </c>
      <c r="D197" s="84" t="s">
        <v>1538</v>
      </c>
      <c r="E197" s="131">
        <v>2</v>
      </c>
      <c r="F197" s="84" t="s">
        <v>812</v>
      </c>
      <c r="G197" s="84" t="s">
        <v>813</v>
      </c>
      <c r="H197" s="75" t="s">
        <v>814</v>
      </c>
      <c r="I197" s="76">
        <v>18</v>
      </c>
      <c r="J197" s="75" t="s">
        <v>815</v>
      </c>
      <c r="K197" s="76">
        <v>23</v>
      </c>
      <c r="L197" s="76"/>
      <c r="M197" s="86" t="s">
        <v>816</v>
      </c>
      <c r="N197" s="75"/>
      <c r="O197" s="76"/>
      <c r="P197" s="77"/>
      <c r="Q197" s="84"/>
      <c r="R197" s="84"/>
      <c r="S197" s="84" t="s">
        <v>1560</v>
      </c>
      <c r="T197" s="84" t="s">
        <v>1594</v>
      </c>
      <c r="U197" s="87" t="s">
        <v>1632</v>
      </c>
      <c r="V197" s="130" t="s">
        <v>1636</v>
      </c>
      <c r="W197" s="84"/>
      <c r="X197" s="84" t="s">
        <v>703</v>
      </c>
      <c r="Y197" s="84" t="s">
        <v>703</v>
      </c>
      <c r="Z197" s="84" t="s">
        <v>703</v>
      </c>
      <c r="AA197" s="131" t="s">
        <v>703</v>
      </c>
    </row>
    <row r="198" spans="2:27" ht="147.75" hidden="1" customHeight="1" x14ac:dyDescent="0.25">
      <c r="B198" s="86" t="s">
        <v>1637</v>
      </c>
      <c r="C198" s="86" t="s">
        <v>1638</v>
      </c>
      <c r="D198" s="86" t="s">
        <v>1639</v>
      </c>
      <c r="E198" s="76">
        <v>2</v>
      </c>
      <c r="F198" s="75" t="s">
        <v>690</v>
      </c>
      <c r="G198" s="75" t="s">
        <v>691</v>
      </c>
      <c r="H198" s="75" t="s">
        <v>872</v>
      </c>
      <c r="I198" s="76">
        <v>1</v>
      </c>
      <c r="J198" s="77" t="s">
        <v>693</v>
      </c>
      <c r="K198" s="76">
        <v>4</v>
      </c>
      <c r="L198" s="76"/>
      <c r="M198" s="86" t="s">
        <v>694</v>
      </c>
      <c r="N198" s="75"/>
      <c r="O198" s="76" t="s">
        <v>695</v>
      </c>
      <c r="P198" s="77"/>
      <c r="Q198" s="86" t="s">
        <v>820</v>
      </c>
      <c r="R198" s="86" t="s">
        <v>821</v>
      </c>
      <c r="S198" s="86" t="s">
        <v>1061</v>
      </c>
      <c r="T198" s="86" t="s">
        <v>1062</v>
      </c>
      <c r="U198" s="86" t="s">
        <v>824</v>
      </c>
      <c r="V198" s="86" t="s">
        <v>1640</v>
      </c>
      <c r="W198" s="75"/>
      <c r="X198" s="84" t="s">
        <v>1064</v>
      </c>
      <c r="Y198" s="86" t="s">
        <v>811</v>
      </c>
      <c r="Z198" s="86" t="s">
        <v>811</v>
      </c>
      <c r="AA198" s="201" t="s">
        <v>827</v>
      </c>
    </row>
    <row r="199" spans="2:27" ht="99.75" hidden="1" customHeight="1" x14ac:dyDescent="0.25">
      <c r="B199" s="86" t="s">
        <v>1637</v>
      </c>
      <c r="C199" s="86" t="s">
        <v>1638</v>
      </c>
      <c r="D199" s="86" t="s">
        <v>1639</v>
      </c>
      <c r="E199" s="76">
        <v>2</v>
      </c>
      <c r="F199" s="75" t="s">
        <v>705</v>
      </c>
      <c r="G199" s="75" t="s">
        <v>706</v>
      </c>
      <c r="H199" s="75" t="s">
        <v>872</v>
      </c>
      <c r="I199" s="76">
        <v>2</v>
      </c>
      <c r="J199" s="77" t="s">
        <v>693</v>
      </c>
      <c r="K199" s="76">
        <v>30</v>
      </c>
      <c r="L199" s="76"/>
      <c r="M199" s="86" t="s">
        <v>707</v>
      </c>
      <c r="N199" s="75"/>
      <c r="O199" s="76" t="s">
        <v>695</v>
      </c>
      <c r="P199" s="77"/>
      <c r="Q199" s="86" t="s">
        <v>820</v>
      </c>
      <c r="R199" s="86" t="s">
        <v>821</v>
      </c>
      <c r="S199" s="86" t="s">
        <v>1066</v>
      </c>
      <c r="T199" s="86" t="s">
        <v>1067</v>
      </c>
      <c r="U199" s="86" t="s">
        <v>1068</v>
      </c>
      <c r="V199" s="86" t="s">
        <v>1641</v>
      </c>
      <c r="W199" s="75"/>
      <c r="X199" s="84" t="s">
        <v>1064</v>
      </c>
      <c r="Y199" s="86" t="s">
        <v>1070</v>
      </c>
      <c r="Z199" s="86" t="s">
        <v>1071</v>
      </c>
      <c r="AA199" s="131" t="s">
        <v>811</v>
      </c>
    </row>
    <row r="200" spans="2:27" ht="99.75" hidden="1" customHeight="1" x14ac:dyDescent="0.25">
      <c r="B200" s="86" t="s">
        <v>1637</v>
      </c>
      <c r="C200" s="86" t="s">
        <v>1638</v>
      </c>
      <c r="D200" s="86" t="s">
        <v>1639</v>
      </c>
      <c r="E200" s="131">
        <v>2</v>
      </c>
      <c r="F200" s="84" t="s">
        <v>715</v>
      </c>
      <c r="G200" s="84" t="s">
        <v>716</v>
      </c>
      <c r="H200" s="75" t="s">
        <v>894</v>
      </c>
      <c r="I200" s="76">
        <v>3</v>
      </c>
      <c r="J200" s="75" t="s">
        <v>718</v>
      </c>
      <c r="K200" s="76"/>
      <c r="L200" s="76"/>
      <c r="M200" s="84" t="s">
        <v>1072</v>
      </c>
      <c r="N200" s="75"/>
      <c r="O200" s="76" t="s">
        <v>695</v>
      </c>
      <c r="P200" s="77"/>
      <c r="Q200" s="130" t="s">
        <v>720</v>
      </c>
      <c r="R200" s="133" t="s">
        <v>721</v>
      </c>
      <c r="S200" s="86" t="s">
        <v>1066</v>
      </c>
      <c r="T200" s="86" t="s">
        <v>1067</v>
      </c>
      <c r="U200" s="86" t="s">
        <v>1075</v>
      </c>
      <c r="V200" s="86" t="s">
        <v>1642</v>
      </c>
      <c r="W200" s="75"/>
      <c r="X200" s="84" t="s">
        <v>1064</v>
      </c>
      <c r="Y200" s="84" t="s">
        <v>1070</v>
      </c>
      <c r="Z200" s="84" t="s">
        <v>837</v>
      </c>
      <c r="AA200" s="131" t="s">
        <v>811</v>
      </c>
    </row>
    <row r="201" spans="2:27" ht="99.75" hidden="1" customHeight="1" x14ac:dyDescent="0.25">
      <c r="B201" s="86" t="s">
        <v>1637</v>
      </c>
      <c r="C201" s="86" t="s">
        <v>1638</v>
      </c>
      <c r="D201" s="86" t="s">
        <v>1639</v>
      </c>
      <c r="E201" s="76">
        <v>2</v>
      </c>
      <c r="F201" s="84" t="s">
        <v>728</v>
      </c>
      <c r="G201" s="84" t="s">
        <v>729</v>
      </c>
      <c r="H201" s="75" t="s">
        <v>894</v>
      </c>
      <c r="I201" s="76">
        <v>4</v>
      </c>
      <c r="J201" s="75" t="s">
        <v>718</v>
      </c>
      <c r="K201" s="76"/>
      <c r="L201" s="76"/>
      <c r="M201" s="84" t="s">
        <v>1514</v>
      </c>
      <c r="N201" s="75"/>
      <c r="O201" s="76" t="s">
        <v>695</v>
      </c>
      <c r="P201" s="77"/>
      <c r="Q201" s="130" t="s">
        <v>720</v>
      </c>
      <c r="R201" s="86" t="s">
        <v>721</v>
      </c>
      <c r="S201" s="86" t="s">
        <v>1066</v>
      </c>
      <c r="T201" s="86" t="s">
        <v>1067</v>
      </c>
      <c r="U201" s="86" t="s">
        <v>1077</v>
      </c>
      <c r="V201" s="86" t="s">
        <v>1643</v>
      </c>
      <c r="W201" s="75"/>
      <c r="X201" s="84" t="s">
        <v>1064</v>
      </c>
      <c r="Y201" s="84" t="s">
        <v>1516</v>
      </c>
      <c r="Z201" s="86" t="s">
        <v>1079</v>
      </c>
      <c r="AA201" s="131" t="s">
        <v>1080</v>
      </c>
    </row>
    <row r="202" spans="2:27" ht="342.75" hidden="1" customHeight="1" x14ac:dyDescent="0.25">
      <c r="B202" s="86" t="s">
        <v>1637</v>
      </c>
      <c r="C202" s="86" t="s">
        <v>1638</v>
      </c>
      <c r="D202" s="86" t="s">
        <v>1639</v>
      </c>
      <c r="E202" s="76">
        <v>2</v>
      </c>
      <c r="F202" s="159" t="s">
        <v>736</v>
      </c>
      <c r="G202" s="159" t="s">
        <v>737</v>
      </c>
      <c r="H202" s="75" t="s">
        <v>779</v>
      </c>
      <c r="I202" s="76">
        <v>5</v>
      </c>
      <c r="J202" s="75" t="s">
        <v>693</v>
      </c>
      <c r="K202" s="76">
        <v>4</v>
      </c>
      <c r="L202" s="76"/>
      <c r="M202" s="159" t="s">
        <v>739</v>
      </c>
      <c r="N202" s="75"/>
      <c r="O202" s="76"/>
      <c r="P202" s="87" t="s">
        <v>1644</v>
      </c>
      <c r="Q202" s="130" t="s">
        <v>842</v>
      </c>
      <c r="R202" s="133" t="s">
        <v>843</v>
      </c>
      <c r="S202" s="86" t="s">
        <v>1082</v>
      </c>
      <c r="T202" s="86" t="s">
        <v>1083</v>
      </c>
      <c r="U202" s="86" t="s">
        <v>846</v>
      </c>
      <c r="V202" s="86" t="s">
        <v>1645</v>
      </c>
      <c r="W202" s="75"/>
      <c r="X202" s="84" t="s">
        <v>1064</v>
      </c>
      <c r="Y202" s="84" t="s">
        <v>1085</v>
      </c>
      <c r="Z202" s="161" t="s">
        <v>1086</v>
      </c>
      <c r="AA202" s="131" t="s">
        <v>1087</v>
      </c>
    </row>
    <row r="203" spans="2:27" ht="99.75" hidden="1" customHeight="1" x14ac:dyDescent="0.25">
      <c r="B203" s="86" t="s">
        <v>1637</v>
      </c>
      <c r="C203" s="86" t="s">
        <v>1638</v>
      </c>
      <c r="D203" s="86" t="s">
        <v>1639</v>
      </c>
      <c r="E203" s="76">
        <v>2</v>
      </c>
      <c r="F203" s="84" t="s">
        <v>748</v>
      </c>
      <c r="G203" s="84" t="s">
        <v>749</v>
      </c>
      <c r="H203" s="75" t="s">
        <v>750</v>
      </c>
      <c r="I203" s="76">
        <v>6</v>
      </c>
      <c r="J203" s="75" t="s">
        <v>693</v>
      </c>
      <c r="K203" s="76">
        <v>10</v>
      </c>
      <c r="L203" s="76"/>
      <c r="M203" s="84" t="s">
        <v>751</v>
      </c>
      <c r="N203" s="75"/>
      <c r="O203" s="76" t="s">
        <v>695</v>
      </c>
      <c r="P203" s="77"/>
      <c r="Q203" s="86" t="s">
        <v>720</v>
      </c>
      <c r="R203" s="86" t="s">
        <v>1520</v>
      </c>
      <c r="S203" s="86" t="s">
        <v>1066</v>
      </c>
      <c r="T203" s="86" t="s">
        <v>1067</v>
      </c>
      <c r="U203" s="86" t="s">
        <v>1089</v>
      </c>
      <c r="V203" s="86" t="s">
        <v>1646</v>
      </c>
      <c r="W203" s="75"/>
      <c r="X203" s="84" t="s">
        <v>1064</v>
      </c>
      <c r="Y203" s="86" t="s">
        <v>1070</v>
      </c>
      <c r="Z203" s="86" t="s">
        <v>860</v>
      </c>
      <c r="AA203" s="131" t="s">
        <v>811</v>
      </c>
    </row>
    <row r="204" spans="2:27" ht="99.75" hidden="1" customHeight="1" x14ac:dyDescent="0.25">
      <c r="B204" s="86" t="s">
        <v>1637</v>
      </c>
      <c r="C204" s="86" t="s">
        <v>1638</v>
      </c>
      <c r="D204" s="86" t="s">
        <v>1639</v>
      </c>
      <c r="E204" s="76">
        <v>2</v>
      </c>
      <c r="F204" s="75" t="s">
        <v>757</v>
      </c>
      <c r="G204" s="84" t="s">
        <v>758</v>
      </c>
      <c r="H204" s="75" t="s">
        <v>759</v>
      </c>
      <c r="I204" s="76">
        <v>7</v>
      </c>
      <c r="J204" s="75" t="s">
        <v>760</v>
      </c>
      <c r="K204" s="76">
        <v>23</v>
      </c>
      <c r="L204" s="76">
        <v>6</v>
      </c>
      <c r="M204" s="84" t="s">
        <v>761</v>
      </c>
      <c r="N204" s="75"/>
      <c r="O204" s="76" t="s">
        <v>695</v>
      </c>
      <c r="P204" s="77"/>
      <c r="Q204" s="75" t="s">
        <v>752</v>
      </c>
      <c r="R204" s="86" t="s">
        <v>762</v>
      </c>
      <c r="S204" s="86" t="s">
        <v>1066</v>
      </c>
      <c r="T204" s="86" t="s">
        <v>1067</v>
      </c>
      <c r="U204" s="86" t="s">
        <v>1091</v>
      </c>
      <c r="V204" s="86" t="s">
        <v>1647</v>
      </c>
      <c r="W204" s="75"/>
      <c r="X204" s="84" t="s">
        <v>1064</v>
      </c>
      <c r="Y204" s="86" t="s">
        <v>1070</v>
      </c>
      <c r="Z204" s="161" t="s">
        <v>863</v>
      </c>
      <c r="AA204" s="131" t="s">
        <v>811</v>
      </c>
    </row>
    <row r="205" spans="2:27" ht="99.75" hidden="1" customHeight="1" x14ac:dyDescent="0.25">
      <c r="B205" s="86" t="s">
        <v>1637</v>
      </c>
      <c r="C205" s="86" t="s">
        <v>1638</v>
      </c>
      <c r="D205" s="86" t="s">
        <v>1639</v>
      </c>
      <c r="E205" s="76">
        <v>2</v>
      </c>
      <c r="F205" s="191" t="s">
        <v>766</v>
      </c>
      <c r="G205" s="191" t="s">
        <v>767</v>
      </c>
      <c r="H205" s="212" t="s">
        <v>1648</v>
      </c>
      <c r="I205" s="76">
        <v>8</v>
      </c>
      <c r="J205" s="212" t="s">
        <v>693</v>
      </c>
      <c r="K205" s="256">
        <v>4</v>
      </c>
      <c r="L205" s="230" t="s">
        <v>1648</v>
      </c>
      <c r="M205" s="191" t="s">
        <v>1648</v>
      </c>
      <c r="N205" s="212" t="s">
        <v>1648</v>
      </c>
      <c r="O205" s="212" t="s">
        <v>1648</v>
      </c>
      <c r="P205" s="212" t="s">
        <v>1648</v>
      </c>
      <c r="Q205" s="231" t="s">
        <v>1198</v>
      </c>
      <c r="R205" s="231" t="s">
        <v>1199</v>
      </c>
      <c r="S205" s="130" t="s">
        <v>1093</v>
      </c>
      <c r="T205" s="130" t="s">
        <v>1094</v>
      </c>
      <c r="U205" s="130" t="s">
        <v>1095</v>
      </c>
      <c r="V205" s="130" t="s">
        <v>1649</v>
      </c>
      <c r="W205" s="75"/>
      <c r="X205" s="84" t="s">
        <v>1064</v>
      </c>
      <c r="Y205" s="194" t="s">
        <v>1516</v>
      </c>
      <c r="Z205" s="194" t="s">
        <v>1650</v>
      </c>
      <c r="AA205" s="195" t="s">
        <v>1080</v>
      </c>
    </row>
    <row r="206" spans="2:27" ht="99.75" hidden="1" customHeight="1" x14ac:dyDescent="0.25">
      <c r="B206" s="86" t="s">
        <v>1637</v>
      </c>
      <c r="C206" s="86" t="s">
        <v>1638</v>
      </c>
      <c r="D206" s="86" t="s">
        <v>1639</v>
      </c>
      <c r="E206" s="76">
        <v>2</v>
      </c>
      <c r="F206" s="75" t="s">
        <v>777</v>
      </c>
      <c r="G206" s="159" t="s">
        <v>778</v>
      </c>
      <c r="H206" s="75" t="s">
        <v>779</v>
      </c>
      <c r="I206" s="76">
        <v>9</v>
      </c>
      <c r="J206" s="75" t="s">
        <v>693</v>
      </c>
      <c r="K206" s="76">
        <v>4</v>
      </c>
      <c r="L206" s="76"/>
      <c r="M206" s="84" t="s">
        <v>780</v>
      </c>
      <c r="N206" s="75"/>
      <c r="O206" s="211"/>
      <c r="P206" s="87" t="s">
        <v>1651</v>
      </c>
      <c r="Q206" s="86" t="s">
        <v>752</v>
      </c>
      <c r="R206" s="86" t="s">
        <v>782</v>
      </c>
      <c r="S206" s="86" t="s">
        <v>1066</v>
      </c>
      <c r="T206" s="86" t="s">
        <v>1067</v>
      </c>
      <c r="U206" s="86" t="s">
        <v>1097</v>
      </c>
      <c r="V206" s="86" t="s">
        <v>1652</v>
      </c>
      <c r="W206" s="75"/>
      <c r="X206" s="84" t="s">
        <v>1064</v>
      </c>
      <c r="Y206" s="86" t="s">
        <v>1070</v>
      </c>
      <c r="Z206" s="86" t="s">
        <v>854</v>
      </c>
      <c r="AA206" s="131" t="s">
        <v>811</v>
      </c>
    </row>
    <row r="207" spans="2:27" ht="99.75" hidden="1" customHeight="1" x14ac:dyDescent="0.25">
      <c r="B207" s="86" t="s">
        <v>1637</v>
      </c>
      <c r="C207" s="86" t="s">
        <v>1638</v>
      </c>
      <c r="D207" s="86" t="s">
        <v>1639</v>
      </c>
      <c r="E207" s="76">
        <v>2</v>
      </c>
      <c r="F207" s="84" t="s">
        <v>790</v>
      </c>
      <c r="G207" s="84" t="s">
        <v>791</v>
      </c>
      <c r="H207" s="75" t="s">
        <v>750</v>
      </c>
      <c r="I207" s="76">
        <v>10</v>
      </c>
      <c r="J207" s="75" t="s">
        <v>693</v>
      </c>
      <c r="K207" s="76">
        <v>10</v>
      </c>
      <c r="L207" s="76"/>
      <c r="M207" s="84" t="s">
        <v>792</v>
      </c>
      <c r="N207" s="75"/>
      <c r="O207" s="211"/>
      <c r="P207" s="77"/>
      <c r="Q207" s="86" t="s">
        <v>752</v>
      </c>
      <c r="R207" s="86" t="s">
        <v>793</v>
      </c>
      <c r="S207" s="86" t="s">
        <v>1066</v>
      </c>
      <c r="T207" s="86" t="s">
        <v>1067</v>
      </c>
      <c r="U207" s="86" t="s">
        <v>1099</v>
      </c>
      <c r="V207" s="86" t="s">
        <v>1653</v>
      </c>
      <c r="W207" s="75"/>
      <c r="X207" s="84" t="s">
        <v>1064</v>
      </c>
      <c r="Y207" s="86" t="s">
        <v>1070</v>
      </c>
      <c r="Z207" s="86" t="s">
        <v>857</v>
      </c>
      <c r="AA207" s="131" t="s">
        <v>811</v>
      </c>
    </row>
    <row r="208" spans="2:27" ht="99.75" hidden="1" customHeight="1" x14ac:dyDescent="0.25">
      <c r="B208" s="86" t="s">
        <v>1637</v>
      </c>
      <c r="C208" s="86" t="s">
        <v>1638</v>
      </c>
      <c r="D208" s="86" t="s">
        <v>1639</v>
      </c>
      <c r="E208" s="195">
        <v>2</v>
      </c>
      <c r="F208" s="194" t="s">
        <v>1129</v>
      </c>
      <c r="G208" s="194" t="s">
        <v>1130</v>
      </c>
      <c r="H208" s="75" t="s">
        <v>1122</v>
      </c>
      <c r="I208" s="76">
        <v>11</v>
      </c>
      <c r="J208" s="75" t="s">
        <v>693</v>
      </c>
      <c r="K208" s="76"/>
      <c r="L208" s="76"/>
      <c r="M208" s="84" t="s">
        <v>1131</v>
      </c>
      <c r="N208" s="75"/>
      <c r="O208" s="211"/>
      <c r="P208" s="77"/>
      <c r="Q208" s="193"/>
      <c r="R208" s="193"/>
      <c r="S208" s="86" t="s">
        <v>1406</v>
      </c>
      <c r="T208" s="86" t="s">
        <v>1407</v>
      </c>
      <c r="U208" s="86" t="s">
        <v>1435</v>
      </c>
      <c r="V208" s="86" t="s">
        <v>1654</v>
      </c>
      <c r="W208" s="75"/>
      <c r="X208" s="84" t="s">
        <v>1064</v>
      </c>
      <c r="Y208" s="86" t="s">
        <v>1126</v>
      </c>
      <c r="Z208" s="194" t="s">
        <v>1530</v>
      </c>
      <c r="AA208" s="131" t="s">
        <v>1128</v>
      </c>
    </row>
    <row r="209" spans="2:27" ht="99.75" hidden="1" customHeight="1" x14ac:dyDescent="0.25">
      <c r="B209" s="86" t="s">
        <v>1637</v>
      </c>
      <c r="C209" s="86" t="s">
        <v>1638</v>
      </c>
      <c r="D209" s="86" t="s">
        <v>1639</v>
      </c>
      <c r="E209" s="76">
        <v>2</v>
      </c>
      <c r="F209" s="75" t="s">
        <v>1135</v>
      </c>
      <c r="G209" s="75" t="s">
        <v>1136</v>
      </c>
      <c r="H209" s="75" t="s">
        <v>1122</v>
      </c>
      <c r="I209" s="76">
        <v>12</v>
      </c>
      <c r="J209" s="75" t="s">
        <v>693</v>
      </c>
      <c r="K209" s="76"/>
      <c r="L209" s="76"/>
      <c r="M209" s="86" t="s">
        <v>1438</v>
      </c>
      <c r="N209" s="75"/>
      <c r="O209" s="76"/>
      <c r="P209" s="77"/>
      <c r="Q209" s="75"/>
      <c r="R209" s="75"/>
      <c r="S209" s="86" t="s">
        <v>1406</v>
      </c>
      <c r="T209" s="86" t="s">
        <v>1407</v>
      </c>
      <c r="U209" s="86" t="s">
        <v>1439</v>
      </c>
      <c r="V209" s="86" t="s">
        <v>1655</v>
      </c>
      <c r="W209" s="75"/>
      <c r="X209" s="84" t="s">
        <v>1064</v>
      </c>
      <c r="Y209" s="86" t="s">
        <v>1126</v>
      </c>
      <c r="Z209" s="86" t="s">
        <v>1140</v>
      </c>
      <c r="AA209" s="131" t="s">
        <v>1141</v>
      </c>
    </row>
    <row r="210" spans="2:27" ht="99.75" hidden="1" customHeight="1" x14ac:dyDescent="0.25">
      <c r="B210" s="86" t="s">
        <v>1637</v>
      </c>
      <c r="C210" s="86" t="s">
        <v>1638</v>
      </c>
      <c r="D210" s="86" t="s">
        <v>1639</v>
      </c>
      <c r="E210" s="195">
        <v>2</v>
      </c>
      <c r="F210" s="194" t="s">
        <v>1148</v>
      </c>
      <c r="G210" s="194" t="s">
        <v>1149</v>
      </c>
      <c r="H210" s="75" t="s">
        <v>1122</v>
      </c>
      <c r="I210" s="76">
        <v>13</v>
      </c>
      <c r="J210" s="75" t="s">
        <v>693</v>
      </c>
      <c r="K210" s="76"/>
      <c r="L210" s="76"/>
      <c r="M210" s="86" t="s">
        <v>1150</v>
      </c>
      <c r="N210" s="75"/>
      <c r="O210" s="76"/>
      <c r="P210" s="77"/>
      <c r="Q210" s="193"/>
      <c r="R210" s="193"/>
      <c r="S210" s="86" t="s">
        <v>1406</v>
      </c>
      <c r="T210" s="86" t="s">
        <v>1407</v>
      </c>
      <c r="U210" s="86" t="s">
        <v>1442</v>
      </c>
      <c r="V210" s="86" t="s">
        <v>1656</v>
      </c>
      <c r="W210" s="75"/>
      <c r="X210" s="84" t="s">
        <v>1064</v>
      </c>
      <c r="Y210" s="86" t="s">
        <v>1126</v>
      </c>
      <c r="Z210" s="194" t="s">
        <v>1153</v>
      </c>
      <c r="AA210" s="131" t="s">
        <v>1141</v>
      </c>
    </row>
    <row r="211" spans="2:27" ht="99.75" hidden="1" customHeight="1" x14ac:dyDescent="0.25">
      <c r="B211" s="86" t="s">
        <v>1637</v>
      </c>
      <c r="C211" s="86" t="s">
        <v>1638</v>
      </c>
      <c r="D211" s="86" t="s">
        <v>1639</v>
      </c>
      <c r="E211" s="76">
        <v>2</v>
      </c>
      <c r="F211" s="77" t="s">
        <v>797</v>
      </c>
      <c r="G211" s="77" t="s">
        <v>798</v>
      </c>
      <c r="H211" s="77" t="s">
        <v>799</v>
      </c>
      <c r="I211" s="76">
        <v>14</v>
      </c>
      <c r="J211" s="77" t="s">
        <v>693</v>
      </c>
      <c r="K211" s="76">
        <v>2</v>
      </c>
      <c r="L211" s="76"/>
      <c r="M211" s="86" t="s">
        <v>800</v>
      </c>
      <c r="N211" s="86"/>
      <c r="O211" s="76"/>
      <c r="P211" s="86" t="s">
        <v>801</v>
      </c>
      <c r="Q211" s="87"/>
      <c r="R211" s="77"/>
      <c r="S211" s="86" t="s">
        <v>1066</v>
      </c>
      <c r="T211" s="86" t="s">
        <v>1067</v>
      </c>
      <c r="U211" s="87" t="s">
        <v>818</v>
      </c>
      <c r="V211" s="87" t="s">
        <v>1657</v>
      </c>
      <c r="W211" s="76"/>
      <c r="X211" s="84" t="s">
        <v>1064</v>
      </c>
      <c r="Y211" s="86" t="s">
        <v>811</v>
      </c>
      <c r="Z211" s="86" t="s">
        <v>811</v>
      </c>
      <c r="AA211" s="201" t="s">
        <v>1167</v>
      </c>
    </row>
    <row r="212" spans="2:27" ht="99.75" hidden="1" customHeight="1" x14ac:dyDescent="0.25">
      <c r="B212" s="86" t="s">
        <v>1637</v>
      </c>
      <c r="C212" s="86" t="s">
        <v>1638</v>
      </c>
      <c r="D212" s="86" t="s">
        <v>1639</v>
      </c>
      <c r="E212" s="76">
        <v>2</v>
      </c>
      <c r="F212" s="84" t="s">
        <v>805</v>
      </c>
      <c r="G212" s="75" t="s">
        <v>806</v>
      </c>
      <c r="H212" s="75" t="s">
        <v>807</v>
      </c>
      <c r="I212" s="76">
        <v>15</v>
      </c>
      <c r="J212" s="75" t="s">
        <v>693</v>
      </c>
      <c r="K212" s="76">
        <v>10</v>
      </c>
      <c r="L212" s="76"/>
      <c r="M212" s="86" t="s">
        <v>808</v>
      </c>
      <c r="N212" s="75"/>
      <c r="O212" s="76" t="s">
        <v>695</v>
      </c>
      <c r="P212" s="77"/>
      <c r="Q212" s="75"/>
      <c r="R212" s="75"/>
      <c r="S212" s="86" t="s">
        <v>1066</v>
      </c>
      <c r="T212" s="86" t="s">
        <v>1067</v>
      </c>
      <c r="U212" s="86" t="s">
        <v>866</v>
      </c>
      <c r="V212" s="87" t="s">
        <v>1658</v>
      </c>
      <c r="W212" s="75"/>
      <c r="X212" s="86" t="s">
        <v>811</v>
      </c>
      <c r="Y212" s="86" t="s">
        <v>811</v>
      </c>
      <c r="Z212" s="86" t="s">
        <v>811</v>
      </c>
      <c r="AA212" s="131" t="s">
        <v>811</v>
      </c>
    </row>
    <row r="213" spans="2:27" ht="99.75" hidden="1" customHeight="1" x14ac:dyDescent="0.25">
      <c r="B213" s="86" t="s">
        <v>1637</v>
      </c>
      <c r="C213" s="86" t="s">
        <v>1638</v>
      </c>
      <c r="D213" s="86" t="s">
        <v>1639</v>
      </c>
      <c r="E213" s="76">
        <v>2</v>
      </c>
      <c r="F213" s="84" t="s">
        <v>812</v>
      </c>
      <c r="G213" s="75" t="s">
        <v>813</v>
      </c>
      <c r="H213" s="75" t="s">
        <v>814</v>
      </c>
      <c r="I213" s="211">
        <v>16</v>
      </c>
      <c r="J213" s="75" t="s">
        <v>815</v>
      </c>
      <c r="K213" s="76">
        <v>23</v>
      </c>
      <c r="L213" s="76"/>
      <c r="M213" s="86" t="s">
        <v>816</v>
      </c>
      <c r="N213" s="75"/>
      <c r="O213" s="76"/>
      <c r="P213" s="77"/>
      <c r="Q213" s="75"/>
      <c r="R213" s="75"/>
      <c r="S213" s="86" t="s">
        <v>1066</v>
      </c>
      <c r="T213" s="86" t="s">
        <v>1067</v>
      </c>
      <c r="U213" s="87" t="s">
        <v>818</v>
      </c>
      <c r="V213" s="87" t="s">
        <v>1659</v>
      </c>
      <c r="W213" s="75"/>
      <c r="X213" s="86" t="s">
        <v>811</v>
      </c>
      <c r="Y213" s="86" t="s">
        <v>811</v>
      </c>
      <c r="Z213" s="86" t="s">
        <v>811</v>
      </c>
      <c r="AA213" s="131" t="s">
        <v>811</v>
      </c>
    </row>
    <row r="214" spans="2:27" ht="407.25" hidden="1" customHeight="1" x14ac:dyDescent="0.25">
      <c r="B214" s="84" t="s">
        <v>1660</v>
      </c>
      <c r="C214" s="84" t="s">
        <v>1661</v>
      </c>
      <c r="D214" s="84" t="s">
        <v>1662</v>
      </c>
      <c r="E214" s="131">
        <v>2</v>
      </c>
      <c r="F214" s="84" t="s">
        <v>690</v>
      </c>
      <c r="G214" s="84" t="s">
        <v>691</v>
      </c>
      <c r="H214" s="75" t="s">
        <v>872</v>
      </c>
      <c r="I214" s="76">
        <v>1</v>
      </c>
      <c r="J214" s="77" t="s">
        <v>693</v>
      </c>
      <c r="K214" s="76">
        <v>4</v>
      </c>
      <c r="L214" s="76"/>
      <c r="M214" s="84" t="s">
        <v>694</v>
      </c>
      <c r="N214" s="75"/>
      <c r="O214" s="76" t="s">
        <v>695</v>
      </c>
      <c r="P214" s="77"/>
      <c r="Q214" s="130" t="s">
        <v>873</v>
      </c>
      <c r="R214" s="133" t="s">
        <v>874</v>
      </c>
      <c r="S214" s="86" t="s">
        <v>1173</v>
      </c>
      <c r="T214" s="86" t="s">
        <v>1174</v>
      </c>
      <c r="U214" s="86" t="s">
        <v>1175</v>
      </c>
      <c r="V214" s="86" t="s">
        <v>1663</v>
      </c>
      <c r="W214" s="75"/>
      <c r="X214" s="87" t="s">
        <v>1177</v>
      </c>
      <c r="Y214" s="84" t="s">
        <v>1178</v>
      </c>
      <c r="Z214" s="84" t="s">
        <v>1178</v>
      </c>
      <c r="AA214" s="131" t="s">
        <v>1179</v>
      </c>
    </row>
    <row r="215" spans="2:27" ht="215.25" hidden="1" customHeight="1" x14ac:dyDescent="0.25">
      <c r="B215" s="84" t="s">
        <v>1660</v>
      </c>
      <c r="C215" s="84" t="s">
        <v>1661</v>
      </c>
      <c r="D215" s="84" t="s">
        <v>1662</v>
      </c>
      <c r="E215" s="131">
        <v>2</v>
      </c>
      <c r="F215" s="84" t="s">
        <v>705</v>
      </c>
      <c r="G215" s="84" t="s">
        <v>706</v>
      </c>
      <c r="H215" s="75" t="s">
        <v>872</v>
      </c>
      <c r="I215" s="76">
        <v>2</v>
      </c>
      <c r="J215" s="77" t="s">
        <v>693</v>
      </c>
      <c r="K215" s="76">
        <v>15</v>
      </c>
      <c r="L215" s="76"/>
      <c r="M215" s="84" t="s">
        <v>707</v>
      </c>
      <c r="N215" s="75"/>
      <c r="O215" s="76" t="s">
        <v>695</v>
      </c>
      <c r="P215" s="77"/>
      <c r="Q215" s="130" t="s">
        <v>873</v>
      </c>
      <c r="R215" s="133" t="s">
        <v>874</v>
      </c>
      <c r="S215" s="86" t="s">
        <v>1180</v>
      </c>
      <c r="T215" s="86" t="s">
        <v>1181</v>
      </c>
      <c r="U215" s="86" t="s">
        <v>1182</v>
      </c>
      <c r="V215" s="86" t="s">
        <v>1664</v>
      </c>
      <c r="W215" s="75"/>
      <c r="X215" s="87" t="s">
        <v>1177</v>
      </c>
      <c r="Y215" s="84" t="s">
        <v>1184</v>
      </c>
      <c r="Z215" s="84" t="s">
        <v>1185</v>
      </c>
      <c r="AA215" s="131" t="s">
        <v>1178</v>
      </c>
    </row>
    <row r="216" spans="2:27" ht="99.75" hidden="1" customHeight="1" x14ac:dyDescent="0.25">
      <c r="B216" s="84" t="s">
        <v>1660</v>
      </c>
      <c r="C216" s="84" t="s">
        <v>1661</v>
      </c>
      <c r="D216" s="84" t="s">
        <v>1662</v>
      </c>
      <c r="E216" s="160">
        <v>2</v>
      </c>
      <c r="F216" s="84" t="s">
        <v>715</v>
      </c>
      <c r="G216" s="84" t="s">
        <v>716</v>
      </c>
      <c r="H216" s="75" t="s">
        <v>759</v>
      </c>
      <c r="I216" s="76">
        <v>3</v>
      </c>
      <c r="J216" s="75" t="s">
        <v>887</v>
      </c>
      <c r="K216" s="76"/>
      <c r="L216" s="76"/>
      <c r="M216" s="84" t="s">
        <v>888</v>
      </c>
      <c r="N216" s="75"/>
      <c r="O216" s="76" t="s">
        <v>695</v>
      </c>
      <c r="P216" s="77"/>
      <c r="Q216" s="130" t="s">
        <v>889</v>
      </c>
      <c r="R216" s="133" t="s">
        <v>721</v>
      </c>
      <c r="S216" s="86" t="s">
        <v>1180</v>
      </c>
      <c r="T216" s="86" t="s">
        <v>1181</v>
      </c>
      <c r="U216" s="86" t="s">
        <v>1186</v>
      </c>
      <c r="V216" s="86" t="s">
        <v>1665</v>
      </c>
      <c r="W216" s="75"/>
      <c r="X216" s="87" t="s">
        <v>1177</v>
      </c>
      <c r="Y216" s="161" t="s">
        <v>1188</v>
      </c>
      <c r="Z216" s="84" t="s">
        <v>1189</v>
      </c>
      <c r="AA216" s="131" t="s">
        <v>1178</v>
      </c>
    </row>
    <row r="217" spans="2:27" ht="191.25" hidden="1" customHeight="1" x14ac:dyDescent="0.25">
      <c r="B217" s="84" t="s">
        <v>1660</v>
      </c>
      <c r="C217" s="84" t="s">
        <v>1661</v>
      </c>
      <c r="D217" s="84" t="s">
        <v>1662</v>
      </c>
      <c r="E217" s="160">
        <v>2</v>
      </c>
      <c r="F217" s="84" t="s">
        <v>728</v>
      </c>
      <c r="G217" s="84" t="s">
        <v>729</v>
      </c>
      <c r="H217" s="75" t="s">
        <v>894</v>
      </c>
      <c r="I217" s="76">
        <v>4</v>
      </c>
      <c r="J217" s="75" t="s">
        <v>718</v>
      </c>
      <c r="K217" s="76"/>
      <c r="L217" s="76"/>
      <c r="M217" s="84" t="s">
        <v>895</v>
      </c>
      <c r="N217" s="75"/>
      <c r="O217" s="76" t="s">
        <v>695</v>
      </c>
      <c r="P217" s="77"/>
      <c r="Q217" s="130" t="s">
        <v>889</v>
      </c>
      <c r="R217" s="133" t="s">
        <v>721</v>
      </c>
      <c r="S217" s="86" t="s">
        <v>1180</v>
      </c>
      <c r="T217" s="86" t="s">
        <v>1181</v>
      </c>
      <c r="U217" s="86" t="s">
        <v>1190</v>
      </c>
      <c r="V217" s="86" t="s">
        <v>1666</v>
      </c>
      <c r="W217" s="75"/>
      <c r="X217" s="87" t="s">
        <v>1177</v>
      </c>
      <c r="Y217" s="161" t="s">
        <v>1188</v>
      </c>
      <c r="Z217" s="84" t="s">
        <v>1192</v>
      </c>
      <c r="AA217" s="131" t="s">
        <v>1178</v>
      </c>
    </row>
    <row r="218" spans="2:27" ht="267.75" hidden="1" customHeight="1" x14ac:dyDescent="0.25">
      <c r="B218" s="84" t="s">
        <v>1660</v>
      </c>
      <c r="C218" s="84" t="s">
        <v>1661</v>
      </c>
      <c r="D218" s="84" t="s">
        <v>1662</v>
      </c>
      <c r="E218" s="160">
        <v>2</v>
      </c>
      <c r="F218" s="212" t="s">
        <v>736</v>
      </c>
      <c r="G218" s="159" t="s">
        <v>737</v>
      </c>
      <c r="H218" s="75" t="s">
        <v>779</v>
      </c>
      <c r="I218" s="76">
        <v>5</v>
      </c>
      <c r="J218" s="75" t="s">
        <v>693</v>
      </c>
      <c r="K218" s="76">
        <v>4</v>
      </c>
      <c r="L218" s="76"/>
      <c r="M218" s="159" t="s">
        <v>739</v>
      </c>
      <c r="N218" s="75"/>
      <c r="O218" s="76"/>
      <c r="P218" s="87" t="s">
        <v>1193</v>
      </c>
      <c r="Q218" s="130" t="s">
        <v>842</v>
      </c>
      <c r="R218" s="133" t="s">
        <v>843</v>
      </c>
      <c r="S218" s="86" t="s">
        <v>1194</v>
      </c>
      <c r="T218" s="86" t="s">
        <v>1195</v>
      </c>
      <c r="U218" s="86" t="s">
        <v>824</v>
      </c>
      <c r="V218" s="86" t="s">
        <v>1667</v>
      </c>
      <c r="W218" s="75"/>
      <c r="X218" s="87" t="s">
        <v>1177</v>
      </c>
      <c r="Y218" s="161" t="s">
        <v>1188</v>
      </c>
      <c r="Z218" s="84" t="s">
        <v>1197</v>
      </c>
      <c r="AA218" s="131" t="s">
        <v>1178</v>
      </c>
    </row>
    <row r="219" spans="2:27" ht="99.75" hidden="1" customHeight="1" x14ac:dyDescent="0.25">
      <c r="B219" s="84" t="s">
        <v>1660</v>
      </c>
      <c r="C219" s="84" t="s">
        <v>1661</v>
      </c>
      <c r="D219" s="84" t="s">
        <v>1662</v>
      </c>
      <c r="E219" s="131">
        <v>2</v>
      </c>
      <c r="F219" s="194" t="s">
        <v>766</v>
      </c>
      <c r="G219" s="194" t="s">
        <v>767</v>
      </c>
      <c r="H219" s="75" t="s">
        <v>768</v>
      </c>
      <c r="I219" s="76">
        <v>6</v>
      </c>
      <c r="J219" s="75" t="s">
        <v>693</v>
      </c>
      <c r="K219" s="76">
        <v>4</v>
      </c>
      <c r="L219" s="76"/>
      <c r="M219" s="159" t="s">
        <v>769</v>
      </c>
      <c r="N219" s="75"/>
      <c r="O219" s="76"/>
      <c r="P219" s="77"/>
      <c r="Q219" s="193"/>
      <c r="R219" s="193"/>
      <c r="S219" s="86" t="s">
        <v>1180</v>
      </c>
      <c r="T219" s="86" t="s">
        <v>1181</v>
      </c>
      <c r="U219" s="86" t="s">
        <v>1186</v>
      </c>
      <c r="V219" s="130" t="s">
        <v>1668</v>
      </c>
      <c r="W219" s="75"/>
      <c r="X219" s="87" t="s">
        <v>1177</v>
      </c>
      <c r="Y219" s="86" t="s">
        <v>1178</v>
      </c>
      <c r="Z219" s="194" t="s">
        <v>1178</v>
      </c>
      <c r="AA219" s="195" t="s">
        <v>1201</v>
      </c>
    </row>
    <row r="220" spans="2:27" ht="190.5" hidden="1" customHeight="1" x14ac:dyDescent="0.25">
      <c r="B220" s="84" t="s">
        <v>1660</v>
      </c>
      <c r="C220" s="84" t="s">
        <v>1661</v>
      </c>
      <c r="D220" s="84" t="s">
        <v>1662</v>
      </c>
      <c r="E220" s="131">
        <v>2</v>
      </c>
      <c r="F220" s="84" t="s">
        <v>912</v>
      </c>
      <c r="G220" s="84" t="s">
        <v>913</v>
      </c>
      <c r="H220" s="75" t="s">
        <v>914</v>
      </c>
      <c r="I220" s="76">
        <v>7</v>
      </c>
      <c r="J220" s="75" t="s">
        <v>693</v>
      </c>
      <c r="K220" s="76">
        <v>16</v>
      </c>
      <c r="L220" s="76"/>
      <c r="M220" s="84" t="s">
        <v>915</v>
      </c>
      <c r="N220" s="75"/>
      <c r="O220" s="76"/>
      <c r="P220" s="77"/>
      <c r="Q220" s="130" t="s">
        <v>916</v>
      </c>
      <c r="R220" s="133" t="s">
        <v>912</v>
      </c>
      <c r="S220" s="86" t="s">
        <v>1180</v>
      </c>
      <c r="T220" s="86" t="s">
        <v>1181</v>
      </c>
      <c r="U220" s="86" t="s">
        <v>1202</v>
      </c>
      <c r="V220" s="86" t="s">
        <v>1669</v>
      </c>
      <c r="W220" s="75"/>
      <c r="X220" s="87" t="s">
        <v>1177</v>
      </c>
      <c r="Y220" s="161" t="s">
        <v>1188</v>
      </c>
      <c r="Z220" s="84" t="s">
        <v>1204</v>
      </c>
      <c r="AA220" s="131" t="s">
        <v>1178</v>
      </c>
    </row>
    <row r="221" spans="2:27" ht="241.5" hidden="1" customHeight="1" x14ac:dyDescent="0.25">
      <c r="B221" s="84" t="s">
        <v>1660</v>
      </c>
      <c r="C221" s="84" t="s">
        <v>1661</v>
      </c>
      <c r="D221" s="84" t="s">
        <v>1662</v>
      </c>
      <c r="E221" s="131">
        <v>2</v>
      </c>
      <c r="F221" s="84" t="s">
        <v>922</v>
      </c>
      <c r="G221" s="84" t="s">
        <v>923</v>
      </c>
      <c r="H221" s="75" t="s">
        <v>924</v>
      </c>
      <c r="I221" s="76">
        <v>8</v>
      </c>
      <c r="J221" s="75" t="s">
        <v>1205</v>
      </c>
      <c r="K221" s="76">
        <v>5</v>
      </c>
      <c r="L221" s="76"/>
      <c r="M221" s="86" t="s">
        <v>925</v>
      </c>
      <c r="N221" s="75"/>
      <c r="O221" s="76"/>
      <c r="P221" s="77"/>
      <c r="Q221" s="130"/>
      <c r="R221" s="133"/>
      <c r="S221" s="86" t="s">
        <v>1206</v>
      </c>
      <c r="T221" s="86" t="s">
        <v>1207</v>
      </c>
      <c r="U221" s="86" t="s">
        <v>1208</v>
      </c>
      <c r="V221" s="86" t="s">
        <v>1670</v>
      </c>
      <c r="W221" s="75"/>
      <c r="X221" s="87" t="s">
        <v>1177</v>
      </c>
      <c r="Y221" s="86" t="s">
        <v>1210</v>
      </c>
      <c r="Z221" s="86" t="s">
        <v>1211</v>
      </c>
      <c r="AA221" s="131" t="s">
        <v>1178</v>
      </c>
    </row>
    <row r="222" spans="2:27" ht="54.75" hidden="1" customHeight="1" x14ac:dyDescent="0.25">
      <c r="B222" s="84" t="s">
        <v>1660</v>
      </c>
      <c r="C222" s="84" t="s">
        <v>1661</v>
      </c>
      <c r="D222" s="84" t="s">
        <v>1662</v>
      </c>
      <c r="E222" s="131">
        <v>2</v>
      </c>
      <c r="F222" s="84" t="s">
        <v>932</v>
      </c>
      <c r="G222" s="84" t="s">
        <v>933</v>
      </c>
      <c r="H222" s="75" t="s">
        <v>768</v>
      </c>
      <c r="I222" s="76">
        <v>9</v>
      </c>
      <c r="J222" s="75" t="s">
        <v>693</v>
      </c>
      <c r="K222" s="76">
        <v>4</v>
      </c>
      <c r="L222" s="76"/>
      <c r="M222" s="84" t="s">
        <v>934</v>
      </c>
      <c r="N222" s="75"/>
      <c r="O222" s="76"/>
      <c r="P222" s="77"/>
      <c r="Q222" s="84" t="s">
        <v>752</v>
      </c>
      <c r="R222" s="84" t="s">
        <v>935</v>
      </c>
      <c r="S222" s="86" t="s">
        <v>1180</v>
      </c>
      <c r="T222" s="86" t="s">
        <v>1181</v>
      </c>
      <c r="U222" s="86" t="s">
        <v>1212</v>
      </c>
      <c r="V222" s="86" t="s">
        <v>1671</v>
      </c>
      <c r="W222" s="75"/>
      <c r="X222" s="87" t="s">
        <v>1177</v>
      </c>
      <c r="Y222" s="86" t="s">
        <v>1214</v>
      </c>
      <c r="Z222" s="84" t="s">
        <v>1215</v>
      </c>
      <c r="AA222" s="131" t="s">
        <v>1178</v>
      </c>
    </row>
    <row r="223" spans="2:27" ht="248.25" hidden="1" customHeight="1" x14ac:dyDescent="0.25">
      <c r="B223" s="84" t="s">
        <v>1660</v>
      </c>
      <c r="C223" s="84" t="s">
        <v>1661</v>
      </c>
      <c r="D223" s="84" t="s">
        <v>1662</v>
      </c>
      <c r="E223" s="131">
        <v>2</v>
      </c>
      <c r="F223" s="84" t="s">
        <v>940</v>
      </c>
      <c r="G223" s="84" t="s">
        <v>941</v>
      </c>
      <c r="H223" s="75" t="s">
        <v>768</v>
      </c>
      <c r="I223" s="76">
        <v>10</v>
      </c>
      <c r="J223" s="75" t="s">
        <v>693</v>
      </c>
      <c r="K223" s="76">
        <v>4</v>
      </c>
      <c r="L223" s="76"/>
      <c r="M223" s="84" t="s">
        <v>942</v>
      </c>
      <c r="N223" s="75"/>
      <c r="O223" s="76"/>
      <c r="P223" s="77"/>
      <c r="Q223" s="130" t="s">
        <v>752</v>
      </c>
      <c r="R223" s="133" t="s">
        <v>943</v>
      </c>
      <c r="S223" s="86" t="s">
        <v>1180</v>
      </c>
      <c r="T223" s="86" t="s">
        <v>1181</v>
      </c>
      <c r="U223" s="86" t="s">
        <v>1216</v>
      </c>
      <c r="V223" s="86" t="s">
        <v>1672</v>
      </c>
      <c r="W223" s="75"/>
      <c r="X223" s="87" t="s">
        <v>1177</v>
      </c>
      <c r="Y223" s="161" t="s">
        <v>1188</v>
      </c>
      <c r="Z223" s="84" t="s">
        <v>1218</v>
      </c>
      <c r="AA223" s="131" t="s">
        <v>1178</v>
      </c>
    </row>
    <row r="224" spans="2:27" ht="236.25" hidden="1" customHeight="1" x14ac:dyDescent="0.25">
      <c r="B224" s="84" t="s">
        <v>1660</v>
      </c>
      <c r="C224" s="84" t="s">
        <v>1661</v>
      </c>
      <c r="D224" s="84" t="s">
        <v>1662</v>
      </c>
      <c r="E224" s="131">
        <v>2</v>
      </c>
      <c r="F224" s="84" t="s">
        <v>947</v>
      </c>
      <c r="G224" s="84" t="s">
        <v>948</v>
      </c>
      <c r="H224" s="75" t="s">
        <v>949</v>
      </c>
      <c r="I224" s="76">
        <v>11</v>
      </c>
      <c r="J224" s="75" t="s">
        <v>693</v>
      </c>
      <c r="K224" s="76">
        <v>4</v>
      </c>
      <c r="L224" s="76"/>
      <c r="M224" s="84" t="s">
        <v>950</v>
      </c>
      <c r="N224" s="75"/>
      <c r="O224" s="76"/>
      <c r="P224" s="77"/>
      <c r="Q224" s="130" t="s">
        <v>916</v>
      </c>
      <c r="R224" s="133" t="s">
        <v>951</v>
      </c>
      <c r="S224" s="86" t="s">
        <v>1206</v>
      </c>
      <c r="T224" s="86" t="s">
        <v>1220</v>
      </c>
      <c r="U224" s="86" t="s">
        <v>1221</v>
      </c>
      <c r="V224" s="86" t="s">
        <v>1673</v>
      </c>
      <c r="W224" s="75"/>
      <c r="X224" s="87" t="s">
        <v>1177</v>
      </c>
      <c r="Y224" s="86" t="s">
        <v>1223</v>
      </c>
      <c r="Z224" s="84" t="s">
        <v>1224</v>
      </c>
      <c r="AA224" s="131" t="s">
        <v>1178</v>
      </c>
    </row>
    <row r="225" spans="2:27" ht="99.75" hidden="1" customHeight="1" x14ac:dyDescent="0.25">
      <c r="B225" s="84" t="s">
        <v>1660</v>
      </c>
      <c r="C225" s="84" t="s">
        <v>1661</v>
      </c>
      <c r="D225" s="84" t="s">
        <v>1662</v>
      </c>
      <c r="E225" s="131">
        <v>2</v>
      </c>
      <c r="F225" s="84" t="s">
        <v>957</v>
      </c>
      <c r="G225" s="84" t="s">
        <v>958</v>
      </c>
      <c r="H225" s="75" t="s">
        <v>959</v>
      </c>
      <c r="I225" s="76">
        <v>12</v>
      </c>
      <c r="J225" s="75" t="s">
        <v>693</v>
      </c>
      <c r="K225" s="76">
        <v>4</v>
      </c>
      <c r="L225" s="76"/>
      <c r="M225" s="84" t="s">
        <v>960</v>
      </c>
      <c r="N225" s="75"/>
      <c r="O225" s="76"/>
      <c r="P225" s="87" t="s">
        <v>1219</v>
      </c>
      <c r="Q225" s="130" t="s">
        <v>916</v>
      </c>
      <c r="R225" s="133" t="s">
        <v>962</v>
      </c>
      <c r="S225" s="86" t="s">
        <v>1206</v>
      </c>
      <c r="T225" s="86" t="s">
        <v>1220</v>
      </c>
      <c r="U225" s="86" t="s">
        <v>1221</v>
      </c>
      <c r="V225" s="86" t="s">
        <v>1674</v>
      </c>
      <c r="W225" s="75"/>
      <c r="X225" s="87" t="s">
        <v>1177</v>
      </c>
      <c r="Y225" s="86" t="s">
        <v>1223</v>
      </c>
      <c r="Z225" s="84" t="s">
        <v>1227</v>
      </c>
      <c r="AA225" s="131" t="s">
        <v>1178</v>
      </c>
    </row>
    <row r="226" spans="2:27" ht="190.5" hidden="1" customHeight="1" x14ac:dyDescent="0.25">
      <c r="B226" s="84" t="s">
        <v>1660</v>
      </c>
      <c r="C226" s="84" t="s">
        <v>1661</v>
      </c>
      <c r="D226" s="84" t="s">
        <v>1662</v>
      </c>
      <c r="E226" s="131">
        <v>2</v>
      </c>
      <c r="F226" s="158" t="s">
        <v>964</v>
      </c>
      <c r="G226" s="158" t="s">
        <v>965</v>
      </c>
      <c r="H226" s="75" t="s">
        <v>779</v>
      </c>
      <c r="I226" s="76">
        <v>13</v>
      </c>
      <c r="J226" s="75" t="s">
        <v>693</v>
      </c>
      <c r="K226" s="76">
        <v>4</v>
      </c>
      <c r="L226" s="76"/>
      <c r="M226" s="84" t="s">
        <v>966</v>
      </c>
      <c r="N226" s="75"/>
      <c r="O226" s="76"/>
      <c r="P226" s="87" t="s">
        <v>1228</v>
      </c>
      <c r="Q226" s="130" t="s">
        <v>752</v>
      </c>
      <c r="R226" s="200" t="s">
        <v>968</v>
      </c>
      <c r="S226" s="86" t="s">
        <v>1180</v>
      </c>
      <c r="T226" s="86" t="s">
        <v>1181</v>
      </c>
      <c r="U226" s="86" t="s">
        <v>1229</v>
      </c>
      <c r="V226" s="86" t="s">
        <v>1675</v>
      </c>
      <c r="W226" s="75"/>
      <c r="X226" s="87" t="s">
        <v>1177</v>
      </c>
      <c r="Y226" s="161" t="s">
        <v>1188</v>
      </c>
      <c r="Z226" s="84" t="s">
        <v>1231</v>
      </c>
      <c r="AA226" s="131" t="s">
        <v>1178</v>
      </c>
    </row>
    <row r="227" spans="2:27" ht="207.75" hidden="1" customHeight="1" x14ac:dyDescent="0.25">
      <c r="B227" s="84" t="s">
        <v>1660</v>
      </c>
      <c r="C227" s="84" t="s">
        <v>1661</v>
      </c>
      <c r="D227" s="84" t="s">
        <v>1662</v>
      </c>
      <c r="E227" s="131">
        <v>2</v>
      </c>
      <c r="F227" s="159" t="s">
        <v>777</v>
      </c>
      <c r="G227" s="159" t="s">
        <v>778</v>
      </c>
      <c r="H227" s="75" t="s">
        <v>779</v>
      </c>
      <c r="I227" s="76">
        <v>14</v>
      </c>
      <c r="J227" s="75" t="s">
        <v>693</v>
      </c>
      <c r="K227" s="76">
        <v>4</v>
      </c>
      <c r="L227" s="76"/>
      <c r="M227" s="84" t="s">
        <v>780</v>
      </c>
      <c r="N227" s="75"/>
      <c r="O227" s="76"/>
      <c r="P227" s="87" t="s">
        <v>1228</v>
      </c>
      <c r="Q227" s="130" t="s">
        <v>752</v>
      </c>
      <c r="R227" s="133" t="s">
        <v>782</v>
      </c>
      <c r="S227" s="86" t="s">
        <v>1180</v>
      </c>
      <c r="T227" s="86" t="s">
        <v>1181</v>
      </c>
      <c r="U227" s="86" t="s">
        <v>1232</v>
      </c>
      <c r="V227" s="86" t="s">
        <v>1676</v>
      </c>
      <c r="W227" s="75"/>
      <c r="X227" s="87" t="s">
        <v>1177</v>
      </c>
      <c r="Y227" s="161" t="s">
        <v>1188</v>
      </c>
      <c r="Z227" s="84" t="s">
        <v>1234</v>
      </c>
      <c r="AA227" s="131" t="s">
        <v>1178</v>
      </c>
    </row>
    <row r="228" spans="2:27" ht="99.75" hidden="1" customHeight="1" x14ac:dyDescent="0.25">
      <c r="B228" s="84" t="s">
        <v>1660</v>
      </c>
      <c r="C228" s="84" t="s">
        <v>1661</v>
      </c>
      <c r="D228" s="84" t="s">
        <v>1662</v>
      </c>
      <c r="E228" s="131">
        <v>2</v>
      </c>
      <c r="F228" s="84" t="s">
        <v>790</v>
      </c>
      <c r="G228" s="84" t="s">
        <v>791</v>
      </c>
      <c r="H228" s="75" t="s">
        <v>750</v>
      </c>
      <c r="I228" s="76">
        <v>15</v>
      </c>
      <c r="J228" s="75" t="s">
        <v>693</v>
      </c>
      <c r="K228" s="76">
        <v>10</v>
      </c>
      <c r="L228" s="76"/>
      <c r="M228" s="84" t="s">
        <v>792</v>
      </c>
      <c r="N228" s="75"/>
      <c r="O228" s="76"/>
      <c r="P228" s="77"/>
      <c r="Q228" s="130" t="s">
        <v>752</v>
      </c>
      <c r="R228" s="133" t="s">
        <v>793</v>
      </c>
      <c r="S228" s="86" t="s">
        <v>1180</v>
      </c>
      <c r="T228" s="86" t="s">
        <v>1181</v>
      </c>
      <c r="U228" s="86" t="s">
        <v>1235</v>
      </c>
      <c r="V228" s="86" t="s">
        <v>1677</v>
      </c>
      <c r="W228" s="75"/>
      <c r="X228" s="87" t="s">
        <v>1177</v>
      </c>
      <c r="Y228" s="161" t="s">
        <v>1188</v>
      </c>
      <c r="Z228" s="84" t="s">
        <v>1237</v>
      </c>
      <c r="AA228" s="131" t="s">
        <v>1178</v>
      </c>
    </row>
    <row r="229" spans="2:27" ht="231" hidden="1" customHeight="1" x14ac:dyDescent="0.25">
      <c r="B229" s="84" t="s">
        <v>1660</v>
      </c>
      <c r="C229" s="84" t="s">
        <v>1661</v>
      </c>
      <c r="D229" s="84" t="s">
        <v>1662</v>
      </c>
      <c r="E229" s="160">
        <v>2</v>
      </c>
      <c r="F229" s="84" t="s">
        <v>748</v>
      </c>
      <c r="G229" s="84" t="s">
        <v>749</v>
      </c>
      <c r="H229" s="75" t="s">
        <v>750</v>
      </c>
      <c r="I229" s="76">
        <v>16</v>
      </c>
      <c r="J229" s="75" t="s">
        <v>693</v>
      </c>
      <c r="K229" s="76">
        <v>10</v>
      </c>
      <c r="L229" s="76"/>
      <c r="M229" s="84" t="s">
        <v>751</v>
      </c>
      <c r="N229" s="75"/>
      <c r="O229" s="76"/>
      <c r="P229" s="77"/>
      <c r="Q229" s="75" t="s">
        <v>752</v>
      </c>
      <c r="R229" s="75" t="s">
        <v>753</v>
      </c>
      <c r="S229" s="86" t="s">
        <v>1180</v>
      </c>
      <c r="T229" s="86" t="s">
        <v>1181</v>
      </c>
      <c r="U229" s="86" t="s">
        <v>1238</v>
      </c>
      <c r="V229" s="86" t="s">
        <v>1678</v>
      </c>
      <c r="W229" s="75"/>
      <c r="X229" s="87" t="s">
        <v>1177</v>
      </c>
      <c r="Y229" s="161" t="s">
        <v>1188</v>
      </c>
      <c r="Z229" s="191" t="s">
        <v>1240</v>
      </c>
      <c r="AA229" s="131" t="s">
        <v>1178</v>
      </c>
    </row>
    <row r="230" spans="2:27" ht="262.5" hidden="1" customHeight="1" x14ac:dyDescent="0.25">
      <c r="B230" s="84" t="s">
        <v>1660</v>
      </c>
      <c r="C230" s="84" t="s">
        <v>1661</v>
      </c>
      <c r="D230" s="84" t="s">
        <v>1662</v>
      </c>
      <c r="E230" s="131">
        <v>2</v>
      </c>
      <c r="F230" s="158" t="s">
        <v>982</v>
      </c>
      <c r="G230" s="158" t="s">
        <v>983</v>
      </c>
      <c r="H230" s="75" t="s">
        <v>759</v>
      </c>
      <c r="I230" s="76">
        <v>17</v>
      </c>
      <c r="J230" s="75" t="s">
        <v>760</v>
      </c>
      <c r="K230" s="76">
        <v>23</v>
      </c>
      <c r="L230" s="76">
        <v>6</v>
      </c>
      <c r="M230" s="84" t="s">
        <v>984</v>
      </c>
      <c r="N230" s="75"/>
      <c r="O230" s="76"/>
      <c r="P230" s="77"/>
      <c r="Q230" s="130" t="s">
        <v>752</v>
      </c>
      <c r="R230" s="200" t="s">
        <v>985</v>
      </c>
      <c r="S230" s="86" t="s">
        <v>1206</v>
      </c>
      <c r="T230" s="86" t="s">
        <v>1241</v>
      </c>
      <c r="U230" s="233" t="s">
        <v>1242</v>
      </c>
      <c r="V230" s="86" t="s">
        <v>1679</v>
      </c>
      <c r="W230" s="75"/>
      <c r="X230" s="87" t="s">
        <v>1177</v>
      </c>
      <c r="Y230" s="86" t="s">
        <v>1244</v>
      </c>
      <c r="Z230" s="84" t="s">
        <v>1680</v>
      </c>
      <c r="AA230" s="131" t="s">
        <v>1246</v>
      </c>
    </row>
    <row r="231" spans="2:27" ht="99.75" hidden="1" customHeight="1" x14ac:dyDescent="0.25">
      <c r="B231" s="84" t="s">
        <v>1660</v>
      </c>
      <c r="C231" s="84" t="s">
        <v>1661</v>
      </c>
      <c r="D231" s="84" t="s">
        <v>1662</v>
      </c>
      <c r="E231" s="131">
        <v>2</v>
      </c>
      <c r="F231" s="84" t="s">
        <v>757</v>
      </c>
      <c r="G231" s="84" t="s">
        <v>758</v>
      </c>
      <c r="H231" s="75" t="s">
        <v>759</v>
      </c>
      <c r="I231" s="76">
        <v>18</v>
      </c>
      <c r="J231" s="75" t="s">
        <v>760</v>
      </c>
      <c r="K231" s="76">
        <v>23</v>
      </c>
      <c r="L231" s="76">
        <v>6</v>
      </c>
      <c r="M231" s="84" t="s">
        <v>761</v>
      </c>
      <c r="N231" s="75"/>
      <c r="O231" s="76"/>
      <c r="P231" s="77"/>
      <c r="Q231" s="130" t="s">
        <v>752</v>
      </c>
      <c r="R231" s="133" t="s">
        <v>762</v>
      </c>
      <c r="S231" s="86" t="s">
        <v>1206</v>
      </c>
      <c r="T231" s="86" t="s">
        <v>1241</v>
      </c>
      <c r="U231" s="233" t="s">
        <v>1247</v>
      </c>
      <c r="V231" s="86" t="s">
        <v>1681</v>
      </c>
      <c r="W231" s="75"/>
      <c r="X231" s="87" t="s">
        <v>1177</v>
      </c>
      <c r="Y231" s="161" t="s">
        <v>1249</v>
      </c>
      <c r="Z231" s="84" t="s">
        <v>1250</v>
      </c>
      <c r="AA231" s="131" t="s">
        <v>1178</v>
      </c>
    </row>
    <row r="232" spans="2:27" ht="193.5" hidden="1" customHeight="1" x14ac:dyDescent="0.25">
      <c r="B232" s="84" t="s">
        <v>1660</v>
      </c>
      <c r="C232" s="84" t="s">
        <v>1661</v>
      </c>
      <c r="D232" s="84" t="s">
        <v>1662</v>
      </c>
      <c r="E232" s="131">
        <v>2</v>
      </c>
      <c r="F232" s="158" t="s">
        <v>996</v>
      </c>
      <c r="G232" s="158" t="s">
        <v>997</v>
      </c>
      <c r="H232" s="75" t="s">
        <v>998</v>
      </c>
      <c r="I232" s="76">
        <v>19</v>
      </c>
      <c r="J232" s="75" t="s">
        <v>693</v>
      </c>
      <c r="K232" s="76">
        <v>4</v>
      </c>
      <c r="L232" s="76"/>
      <c r="M232" s="84" t="s">
        <v>999</v>
      </c>
      <c r="N232" s="75"/>
      <c r="O232" s="76"/>
      <c r="P232" s="87" t="s">
        <v>1251</v>
      </c>
      <c r="Q232" s="75" t="s">
        <v>916</v>
      </c>
      <c r="R232" s="75" t="s">
        <v>1001</v>
      </c>
      <c r="S232" s="86" t="s">
        <v>1180</v>
      </c>
      <c r="T232" s="86" t="s">
        <v>1181</v>
      </c>
      <c r="U232" s="86" t="s">
        <v>1252</v>
      </c>
      <c r="V232" s="86" t="s">
        <v>1682</v>
      </c>
      <c r="W232" s="75"/>
      <c r="X232" s="87" t="s">
        <v>1177</v>
      </c>
      <c r="Y232" s="161" t="s">
        <v>1261</v>
      </c>
      <c r="Z232" s="86" t="s">
        <v>1683</v>
      </c>
      <c r="AA232" s="131" t="s">
        <v>1263</v>
      </c>
    </row>
    <row r="233" spans="2:27" ht="213" hidden="1" customHeight="1" x14ac:dyDescent="0.25">
      <c r="B233" s="84" t="s">
        <v>1660</v>
      </c>
      <c r="C233" s="84" t="s">
        <v>1661</v>
      </c>
      <c r="D233" s="84" t="s">
        <v>1662</v>
      </c>
      <c r="E233" s="131">
        <v>2</v>
      </c>
      <c r="F233" s="158" t="s">
        <v>1007</v>
      </c>
      <c r="G233" s="158" t="s">
        <v>1008</v>
      </c>
      <c r="H233" s="75" t="s">
        <v>1009</v>
      </c>
      <c r="I233" s="76">
        <v>20</v>
      </c>
      <c r="J233" s="75" t="s">
        <v>693</v>
      </c>
      <c r="K233" s="76"/>
      <c r="L233" s="76"/>
      <c r="M233" s="84" t="s">
        <v>1010</v>
      </c>
      <c r="N233" s="75"/>
      <c r="O233" s="76"/>
      <c r="P233" s="77"/>
      <c r="Q233" s="86" t="s">
        <v>889</v>
      </c>
      <c r="R233" s="86" t="s">
        <v>1011</v>
      </c>
      <c r="S233" s="86" t="s">
        <v>1180</v>
      </c>
      <c r="T233" s="86" t="s">
        <v>1181</v>
      </c>
      <c r="U233" s="86" t="s">
        <v>1255</v>
      </c>
      <c r="V233" s="86" t="s">
        <v>1684</v>
      </c>
      <c r="W233" s="75"/>
      <c r="X233" s="87" t="s">
        <v>1177</v>
      </c>
      <c r="Y233" s="161" t="s">
        <v>1188</v>
      </c>
      <c r="Z233" s="86" t="s">
        <v>1257</v>
      </c>
      <c r="AA233" s="131" t="s">
        <v>1178</v>
      </c>
    </row>
    <row r="234" spans="2:27" ht="99.75" hidden="1" customHeight="1" x14ac:dyDescent="0.25">
      <c r="B234" s="84" t="s">
        <v>1660</v>
      </c>
      <c r="C234" s="84" t="s">
        <v>1661</v>
      </c>
      <c r="D234" s="84" t="s">
        <v>1662</v>
      </c>
      <c r="E234" s="131">
        <v>2</v>
      </c>
      <c r="F234" s="84" t="s">
        <v>1017</v>
      </c>
      <c r="G234" s="84" t="s">
        <v>1018</v>
      </c>
      <c r="H234" s="75" t="s">
        <v>998</v>
      </c>
      <c r="I234" s="76">
        <v>21</v>
      </c>
      <c r="J234" s="75" t="s">
        <v>693</v>
      </c>
      <c r="K234" s="76">
        <v>10</v>
      </c>
      <c r="L234" s="76"/>
      <c r="M234" s="84" t="s">
        <v>1019</v>
      </c>
      <c r="N234" s="75"/>
      <c r="O234" s="76"/>
      <c r="P234" s="87" t="s">
        <v>1258</v>
      </c>
      <c r="Q234" s="130" t="s">
        <v>916</v>
      </c>
      <c r="R234" s="133" t="s">
        <v>1017</v>
      </c>
      <c r="S234" s="86" t="s">
        <v>1180</v>
      </c>
      <c r="T234" s="86" t="s">
        <v>1181</v>
      </c>
      <c r="U234" s="86" t="s">
        <v>1259</v>
      </c>
      <c r="V234" s="86" t="s">
        <v>1685</v>
      </c>
      <c r="W234" s="75"/>
      <c r="X234" s="87" t="s">
        <v>1177</v>
      </c>
      <c r="Y234" s="161" t="s">
        <v>1261</v>
      </c>
      <c r="Z234" s="84" t="s">
        <v>1262</v>
      </c>
      <c r="AA234" s="131" t="s">
        <v>1263</v>
      </c>
    </row>
    <row r="235" spans="2:27" ht="234.75" hidden="1" customHeight="1" x14ac:dyDescent="0.25">
      <c r="B235" s="84" t="s">
        <v>1660</v>
      </c>
      <c r="C235" s="84" t="s">
        <v>1661</v>
      </c>
      <c r="D235" s="84" t="s">
        <v>1662</v>
      </c>
      <c r="E235" s="131">
        <v>2</v>
      </c>
      <c r="F235" s="84" t="s">
        <v>1025</v>
      </c>
      <c r="G235" s="84" t="s">
        <v>1026</v>
      </c>
      <c r="H235" s="75" t="s">
        <v>1027</v>
      </c>
      <c r="I235" s="76">
        <v>21</v>
      </c>
      <c r="J235" s="75" t="s">
        <v>693</v>
      </c>
      <c r="K235" s="76">
        <v>10</v>
      </c>
      <c r="L235" s="76"/>
      <c r="M235" s="84" t="s">
        <v>1028</v>
      </c>
      <c r="N235" s="75"/>
      <c r="O235" s="76"/>
      <c r="P235" s="87" t="s">
        <v>1264</v>
      </c>
      <c r="Q235" s="130" t="s">
        <v>916</v>
      </c>
      <c r="R235" s="133" t="s">
        <v>1025</v>
      </c>
      <c r="S235" s="86" t="s">
        <v>1180</v>
      </c>
      <c r="T235" s="86" t="s">
        <v>1181</v>
      </c>
      <c r="U235" s="86" t="s">
        <v>1259</v>
      </c>
      <c r="V235" s="86" t="s">
        <v>1686</v>
      </c>
      <c r="W235" s="75"/>
      <c r="X235" s="87" t="s">
        <v>1177</v>
      </c>
      <c r="Y235" s="161" t="s">
        <v>1261</v>
      </c>
      <c r="Z235" s="84" t="s">
        <v>1262</v>
      </c>
      <c r="AA235" s="131" t="s">
        <v>1263</v>
      </c>
    </row>
    <row r="236" spans="2:27" ht="180" hidden="1" customHeight="1" x14ac:dyDescent="0.25">
      <c r="B236" s="84" t="s">
        <v>1660</v>
      </c>
      <c r="C236" s="84" t="s">
        <v>1661</v>
      </c>
      <c r="D236" s="84" t="s">
        <v>1662</v>
      </c>
      <c r="E236" s="131">
        <v>2</v>
      </c>
      <c r="F236" s="84" t="s">
        <v>1031</v>
      </c>
      <c r="G236" s="84" t="s">
        <v>1032</v>
      </c>
      <c r="H236" s="75" t="s">
        <v>1033</v>
      </c>
      <c r="I236" s="76">
        <v>23</v>
      </c>
      <c r="J236" s="75" t="s">
        <v>693</v>
      </c>
      <c r="K236" s="76">
        <v>20</v>
      </c>
      <c r="L236" s="76"/>
      <c r="M236" s="84" t="s">
        <v>1034</v>
      </c>
      <c r="N236" s="75"/>
      <c r="O236" s="76"/>
      <c r="P236" s="87"/>
      <c r="Q236" s="130" t="s">
        <v>916</v>
      </c>
      <c r="R236" s="133" t="s">
        <v>1031</v>
      </c>
      <c r="S236" s="86" t="s">
        <v>1180</v>
      </c>
      <c r="T236" s="86" t="s">
        <v>1266</v>
      </c>
      <c r="U236" s="86" t="s">
        <v>1267</v>
      </c>
      <c r="V236" s="86" t="s">
        <v>1687</v>
      </c>
      <c r="W236" s="75"/>
      <c r="X236" s="87" t="s">
        <v>1177</v>
      </c>
      <c r="Y236" s="84" t="s">
        <v>1269</v>
      </c>
      <c r="Z236" s="84" t="s">
        <v>1270</v>
      </c>
      <c r="AA236" s="131" t="s">
        <v>1178</v>
      </c>
    </row>
    <row r="237" spans="2:27" ht="66" hidden="1" customHeight="1" x14ac:dyDescent="0.25">
      <c r="B237" s="84" t="s">
        <v>1660</v>
      </c>
      <c r="C237" s="84" t="s">
        <v>1661</v>
      </c>
      <c r="D237" s="84" t="s">
        <v>1662</v>
      </c>
      <c r="E237" s="131">
        <v>2</v>
      </c>
      <c r="F237" s="84" t="s">
        <v>1040</v>
      </c>
      <c r="G237" s="84" t="s">
        <v>1041</v>
      </c>
      <c r="H237" s="75" t="s">
        <v>1042</v>
      </c>
      <c r="I237" s="76">
        <v>24</v>
      </c>
      <c r="J237" s="75" t="s">
        <v>693</v>
      </c>
      <c r="K237" s="76">
        <v>20</v>
      </c>
      <c r="L237" s="76"/>
      <c r="M237" s="84" t="s">
        <v>1043</v>
      </c>
      <c r="N237" s="75"/>
      <c r="O237" s="76"/>
      <c r="P237" s="87" t="s">
        <v>1271</v>
      </c>
      <c r="Q237" s="130" t="s">
        <v>916</v>
      </c>
      <c r="R237" s="133" t="s">
        <v>1045</v>
      </c>
      <c r="S237" s="86" t="s">
        <v>1180</v>
      </c>
      <c r="T237" s="86" t="s">
        <v>1181</v>
      </c>
      <c r="U237" s="86" t="s">
        <v>1272</v>
      </c>
      <c r="V237" s="86" t="s">
        <v>1688</v>
      </c>
      <c r="W237" s="75"/>
      <c r="X237" s="87" t="s">
        <v>1177</v>
      </c>
      <c r="Y237" s="161" t="s">
        <v>1188</v>
      </c>
      <c r="Z237" s="84" t="s">
        <v>1274</v>
      </c>
      <c r="AA237" s="131" t="s">
        <v>1178</v>
      </c>
    </row>
    <row r="238" spans="2:27" ht="230.25" hidden="1" customHeight="1" x14ac:dyDescent="0.25">
      <c r="B238" s="84" t="s">
        <v>1660</v>
      </c>
      <c r="C238" s="84" t="s">
        <v>1661</v>
      </c>
      <c r="D238" s="84" t="s">
        <v>1662</v>
      </c>
      <c r="E238" s="131">
        <v>2</v>
      </c>
      <c r="F238" s="77" t="s">
        <v>797</v>
      </c>
      <c r="G238" s="77" t="s">
        <v>798</v>
      </c>
      <c r="H238" s="77" t="s">
        <v>799</v>
      </c>
      <c r="I238" s="76">
        <v>25</v>
      </c>
      <c r="J238" s="77" t="s">
        <v>693</v>
      </c>
      <c r="K238" s="76">
        <v>20</v>
      </c>
      <c r="L238" s="76"/>
      <c r="M238" s="86" t="s">
        <v>800</v>
      </c>
      <c r="N238" s="86"/>
      <c r="O238" s="76"/>
      <c r="P238" s="86" t="s">
        <v>1275</v>
      </c>
      <c r="Q238" s="87"/>
      <c r="R238" s="77"/>
      <c r="S238" s="86" t="s">
        <v>1180</v>
      </c>
      <c r="T238" s="86" t="s">
        <v>1181</v>
      </c>
      <c r="U238" s="86" t="s">
        <v>703</v>
      </c>
      <c r="V238" s="86" t="s">
        <v>1689</v>
      </c>
      <c r="W238" s="76"/>
      <c r="X238" s="87" t="s">
        <v>1177</v>
      </c>
      <c r="Y238" s="87" t="s">
        <v>1178</v>
      </c>
      <c r="Z238" s="87" t="s">
        <v>1178</v>
      </c>
      <c r="AA238" s="201" t="s">
        <v>1277</v>
      </c>
    </row>
    <row r="239" spans="2:27" ht="195" hidden="1" customHeight="1" x14ac:dyDescent="0.25">
      <c r="B239" s="84" t="s">
        <v>1660</v>
      </c>
      <c r="C239" s="84" t="s">
        <v>1661</v>
      </c>
      <c r="D239" s="84" t="s">
        <v>1662</v>
      </c>
      <c r="E239" s="131">
        <v>2</v>
      </c>
      <c r="F239" s="84" t="s">
        <v>805</v>
      </c>
      <c r="G239" s="84" t="s">
        <v>806</v>
      </c>
      <c r="H239" s="75" t="s">
        <v>807</v>
      </c>
      <c r="I239" s="76">
        <v>26</v>
      </c>
      <c r="J239" s="75" t="s">
        <v>693</v>
      </c>
      <c r="K239" s="76">
        <v>10</v>
      </c>
      <c r="L239" s="76"/>
      <c r="M239" s="84" t="s">
        <v>808</v>
      </c>
      <c r="N239" s="75"/>
      <c r="O239" s="76" t="s">
        <v>695</v>
      </c>
      <c r="P239" s="77"/>
      <c r="Q239" s="84"/>
      <c r="R239" s="84"/>
      <c r="S239" s="86" t="s">
        <v>1180</v>
      </c>
      <c r="T239" s="86" t="s">
        <v>1181</v>
      </c>
      <c r="U239" s="86" t="s">
        <v>1278</v>
      </c>
      <c r="V239" s="86" t="s">
        <v>1690</v>
      </c>
      <c r="W239" s="75"/>
      <c r="X239" s="87" t="s">
        <v>1178</v>
      </c>
      <c r="Y239" s="87" t="s">
        <v>1178</v>
      </c>
      <c r="Z239" s="87" t="s">
        <v>1691</v>
      </c>
      <c r="AA239" s="131" t="s">
        <v>1178</v>
      </c>
    </row>
    <row r="240" spans="2:27" ht="99.75" hidden="1" customHeight="1" x14ac:dyDescent="0.25">
      <c r="B240" s="84" t="s">
        <v>1660</v>
      </c>
      <c r="C240" s="84" t="s">
        <v>1661</v>
      </c>
      <c r="D240" s="84" t="s">
        <v>1662</v>
      </c>
      <c r="E240" s="131">
        <v>2</v>
      </c>
      <c r="F240" s="84" t="s">
        <v>812</v>
      </c>
      <c r="G240" s="84" t="s">
        <v>813</v>
      </c>
      <c r="H240" s="75" t="s">
        <v>814</v>
      </c>
      <c r="I240" s="76">
        <v>27</v>
      </c>
      <c r="J240" s="75" t="s">
        <v>815</v>
      </c>
      <c r="K240" s="76">
        <v>23</v>
      </c>
      <c r="L240" s="76"/>
      <c r="M240" s="84" t="s">
        <v>816</v>
      </c>
      <c r="N240" s="75"/>
      <c r="O240" s="76"/>
      <c r="P240" s="77"/>
      <c r="Q240" s="84"/>
      <c r="R240" s="84"/>
      <c r="S240" s="86" t="s">
        <v>1180</v>
      </c>
      <c r="T240" s="86" t="s">
        <v>1181</v>
      </c>
      <c r="U240" s="86" t="s">
        <v>703</v>
      </c>
      <c r="V240" s="86" t="s">
        <v>1692</v>
      </c>
      <c r="W240" s="75"/>
      <c r="X240" s="87" t="s">
        <v>1178</v>
      </c>
      <c r="Y240" s="87" t="s">
        <v>1178</v>
      </c>
      <c r="Z240" s="87" t="s">
        <v>1178</v>
      </c>
      <c r="AA240" s="131" t="s">
        <v>1178</v>
      </c>
    </row>
    <row r="241" spans="2:27" ht="99.75" hidden="1" customHeight="1" x14ac:dyDescent="0.25">
      <c r="B241" s="77" t="s">
        <v>1693</v>
      </c>
      <c r="C241" s="84" t="s">
        <v>1694</v>
      </c>
      <c r="D241" s="84" t="s">
        <v>1695</v>
      </c>
      <c r="E241" s="76">
        <v>2</v>
      </c>
      <c r="F241" s="75" t="s">
        <v>690</v>
      </c>
      <c r="G241" s="75" t="s">
        <v>691</v>
      </c>
      <c r="H241" s="75" t="s">
        <v>872</v>
      </c>
      <c r="I241" s="76">
        <v>1</v>
      </c>
      <c r="J241" s="75" t="s">
        <v>693</v>
      </c>
      <c r="K241" s="76">
        <v>4</v>
      </c>
      <c r="L241" s="76"/>
      <c r="M241" s="86" t="s">
        <v>694</v>
      </c>
      <c r="N241" s="75"/>
      <c r="O241" s="76" t="s">
        <v>695</v>
      </c>
      <c r="P241" s="77"/>
      <c r="Q241" s="86" t="s">
        <v>1696</v>
      </c>
      <c r="R241" s="86" t="s">
        <v>1697</v>
      </c>
      <c r="S241" s="86" t="s">
        <v>1698</v>
      </c>
      <c r="T241" s="86" t="s">
        <v>1699</v>
      </c>
      <c r="U241" s="86" t="s">
        <v>1095</v>
      </c>
      <c r="V241" s="86" t="s">
        <v>1700</v>
      </c>
      <c r="W241" s="75"/>
      <c r="X241" s="86" t="s">
        <v>1701</v>
      </c>
      <c r="Y241" s="86" t="s">
        <v>1178</v>
      </c>
      <c r="Z241" s="86" t="s">
        <v>1178</v>
      </c>
      <c r="AA241" s="131" t="s">
        <v>1179</v>
      </c>
    </row>
    <row r="242" spans="2:27" ht="99.75" hidden="1" customHeight="1" x14ac:dyDescent="0.25">
      <c r="B242" s="77" t="s">
        <v>1693</v>
      </c>
      <c r="C242" s="84" t="s">
        <v>1694</v>
      </c>
      <c r="D242" s="84" t="s">
        <v>1695</v>
      </c>
      <c r="E242" s="76">
        <v>2</v>
      </c>
      <c r="F242" s="75" t="s">
        <v>705</v>
      </c>
      <c r="G242" s="75" t="s">
        <v>706</v>
      </c>
      <c r="H242" s="75" t="s">
        <v>872</v>
      </c>
      <c r="I242" s="76">
        <v>2</v>
      </c>
      <c r="J242" s="77" t="s">
        <v>693</v>
      </c>
      <c r="K242" s="76">
        <v>30</v>
      </c>
      <c r="L242" s="76"/>
      <c r="M242" s="86" t="s">
        <v>707</v>
      </c>
      <c r="N242" s="75"/>
      <c r="O242" s="76" t="s">
        <v>695</v>
      </c>
      <c r="P242" s="77"/>
      <c r="Q242" s="86" t="s">
        <v>1696</v>
      </c>
      <c r="R242" s="86" t="s">
        <v>1697</v>
      </c>
      <c r="S242" s="86" t="s">
        <v>1702</v>
      </c>
      <c r="T242" s="86" t="s">
        <v>1703</v>
      </c>
      <c r="U242" s="86" t="s">
        <v>1460</v>
      </c>
      <c r="V242" s="86" t="s">
        <v>1704</v>
      </c>
      <c r="W242" s="75" t="s">
        <v>6</v>
      </c>
      <c r="X242" s="86" t="s">
        <v>1701</v>
      </c>
      <c r="Y242" s="86" t="s">
        <v>1705</v>
      </c>
      <c r="Z242" s="86" t="s">
        <v>1706</v>
      </c>
      <c r="AA242" s="131" t="s">
        <v>1178</v>
      </c>
    </row>
    <row r="243" spans="2:27" ht="99.75" hidden="1" customHeight="1" x14ac:dyDescent="0.25">
      <c r="B243" s="77" t="s">
        <v>1693</v>
      </c>
      <c r="C243" s="84" t="s">
        <v>1694</v>
      </c>
      <c r="D243" s="84" t="s">
        <v>1695</v>
      </c>
      <c r="E243" s="131">
        <v>2</v>
      </c>
      <c r="F243" s="84" t="s">
        <v>715</v>
      </c>
      <c r="G243" s="84" t="s">
        <v>716</v>
      </c>
      <c r="H243" s="75" t="s">
        <v>894</v>
      </c>
      <c r="I243" s="76">
        <v>3</v>
      </c>
      <c r="J243" s="75" t="s">
        <v>887</v>
      </c>
      <c r="K243" s="76"/>
      <c r="L243" s="76"/>
      <c r="M243" s="84" t="s">
        <v>1072</v>
      </c>
      <c r="N243" s="75"/>
      <c r="O243" s="76" t="s">
        <v>695</v>
      </c>
      <c r="P243" s="77"/>
      <c r="Q243" s="130" t="s">
        <v>752</v>
      </c>
      <c r="R243" s="133" t="s">
        <v>1465</v>
      </c>
      <c r="S243" s="86" t="s">
        <v>1702</v>
      </c>
      <c r="T243" s="86" t="s">
        <v>1703</v>
      </c>
      <c r="U243" s="86" t="s">
        <v>1707</v>
      </c>
      <c r="V243" s="86" t="s">
        <v>1708</v>
      </c>
      <c r="W243" s="75"/>
      <c r="X243" s="86" t="s">
        <v>1701</v>
      </c>
      <c r="Y243" s="86" t="s">
        <v>1705</v>
      </c>
      <c r="Z243" s="84" t="s">
        <v>1709</v>
      </c>
      <c r="AA243" s="131" t="s">
        <v>1178</v>
      </c>
    </row>
    <row r="244" spans="2:27" ht="198.75" hidden="1" customHeight="1" x14ac:dyDescent="0.25">
      <c r="B244" s="77" t="s">
        <v>1693</v>
      </c>
      <c r="C244" s="84" t="s">
        <v>1694</v>
      </c>
      <c r="D244" s="84" t="s">
        <v>1695</v>
      </c>
      <c r="E244" s="131">
        <v>2</v>
      </c>
      <c r="F244" s="84" t="s">
        <v>728</v>
      </c>
      <c r="G244" s="84" t="s">
        <v>729</v>
      </c>
      <c r="H244" s="75" t="s">
        <v>717</v>
      </c>
      <c r="I244" s="76">
        <v>4</v>
      </c>
      <c r="J244" s="75" t="s">
        <v>718</v>
      </c>
      <c r="K244" s="76"/>
      <c r="L244" s="76"/>
      <c r="M244" s="84" t="s">
        <v>730</v>
      </c>
      <c r="N244" s="75"/>
      <c r="O244" s="76" t="s">
        <v>695</v>
      </c>
      <c r="P244" s="77"/>
      <c r="Q244" s="130" t="s">
        <v>720</v>
      </c>
      <c r="R244" s="133" t="s">
        <v>721</v>
      </c>
      <c r="S244" s="86" t="s">
        <v>1702</v>
      </c>
      <c r="T244" s="86" t="s">
        <v>1703</v>
      </c>
      <c r="U244" s="86" t="s">
        <v>811</v>
      </c>
      <c r="V244" s="86" t="s">
        <v>1710</v>
      </c>
      <c r="W244" s="75"/>
      <c r="X244" s="86" t="s">
        <v>1701</v>
      </c>
      <c r="Y244" s="86" t="s">
        <v>1705</v>
      </c>
      <c r="Z244" s="159" t="s">
        <v>1178</v>
      </c>
      <c r="AA244" s="131" t="s">
        <v>1201</v>
      </c>
    </row>
    <row r="245" spans="2:27" ht="99.75" hidden="1" customHeight="1" x14ac:dyDescent="0.25">
      <c r="B245" s="77" t="s">
        <v>1693</v>
      </c>
      <c r="C245" s="84" t="s">
        <v>1694</v>
      </c>
      <c r="D245" s="84" t="s">
        <v>1695</v>
      </c>
      <c r="E245" s="76">
        <v>2</v>
      </c>
      <c r="F245" s="240" t="s">
        <v>736</v>
      </c>
      <c r="G245" s="159" t="s">
        <v>737</v>
      </c>
      <c r="H245" s="75" t="s">
        <v>779</v>
      </c>
      <c r="I245" s="76">
        <v>5</v>
      </c>
      <c r="J245" s="75" t="s">
        <v>693</v>
      </c>
      <c r="K245" s="76">
        <v>4</v>
      </c>
      <c r="L245" s="76"/>
      <c r="M245" s="159" t="s">
        <v>739</v>
      </c>
      <c r="N245" s="75"/>
      <c r="O245" s="76"/>
      <c r="P245" s="87" t="s">
        <v>1711</v>
      </c>
      <c r="Q245" s="130" t="s">
        <v>842</v>
      </c>
      <c r="R245" s="86" t="s">
        <v>843</v>
      </c>
      <c r="S245" s="86" t="s">
        <v>1712</v>
      </c>
      <c r="T245" s="86" t="s">
        <v>1713</v>
      </c>
      <c r="U245" s="86" t="s">
        <v>824</v>
      </c>
      <c r="V245" s="86" t="s">
        <v>1714</v>
      </c>
      <c r="W245" s="75"/>
      <c r="X245" s="86" t="s">
        <v>1701</v>
      </c>
      <c r="Y245" s="86" t="s">
        <v>1705</v>
      </c>
      <c r="Z245" s="194" t="s">
        <v>1715</v>
      </c>
      <c r="AA245" s="131" t="s">
        <v>1178</v>
      </c>
    </row>
    <row r="246" spans="2:27" ht="99.75" hidden="1" customHeight="1" x14ac:dyDescent="0.25">
      <c r="B246" s="77" t="s">
        <v>1693</v>
      </c>
      <c r="C246" s="84" t="s">
        <v>1694</v>
      </c>
      <c r="D246" s="84" t="s">
        <v>1695</v>
      </c>
      <c r="E246" s="76">
        <v>2</v>
      </c>
      <c r="F246" s="194" t="s">
        <v>766</v>
      </c>
      <c r="G246" s="194" t="s">
        <v>767</v>
      </c>
      <c r="H246" s="75"/>
      <c r="I246" s="76">
        <v>6</v>
      </c>
      <c r="J246" s="75" t="s">
        <v>693</v>
      </c>
      <c r="K246" s="76">
        <v>4</v>
      </c>
      <c r="L246" s="76"/>
      <c r="M246" s="159"/>
      <c r="N246" s="75"/>
      <c r="O246" s="76"/>
      <c r="P246" s="77"/>
      <c r="Q246" s="193" t="s">
        <v>1198</v>
      </c>
      <c r="R246" s="193" t="s">
        <v>1199</v>
      </c>
      <c r="S246" s="86" t="s">
        <v>1712</v>
      </c>
      <c r="T246" s="86" t="s">
        <v>1716</v>
      </c>
      <c r="U246" s="86" t="s">
        <v>824</v>
      </c>
      <c r="V246" s="86" t="s">
        <v>1717</v>
      </c>
      <c r="W246" s="75"/>
      <c r="X246" s="86" t="s">
        <v>1701</v>
      </c>
      <c r="Y246" s="86" t="s">
        <v>1705</v>
      </c>
      <c r="Z246" s="194" t="s">
        <v>1715</v>
      </c>
      <c r="AA246" s="131" t="s">
        <v>1178</v>
      </c>
    </row>
    <row r="247" spans="2:27" ht="99.75" hidden="1" customHeight="1" x14ac:dyDescent="0.25">
      <c r="B247" s="77" t="s">
        <v>1693</v>
      </c>
      <c r="C247" s="84" t="s">
        <v>1694</v>
      </c>
      <c r="D247" s="84" t="s">
        <v>1695</v>
      </c>
      <c r="E247" s="76">
        <v>2</v>
      </c>
      <c r="F247" s="75" t="s">
        <v>777</v>
      </c>
      <c r="G247" s="159" t="s">
        <v>778</v>
      </c>
      <c r="H247" s="75" t="s">
        <v>779</v>
      </c>
      <c r="I247" s="223">
        <v>7</v>
      </c>
      <c r="J247" s="75" t="s">
        <v>693</v>
      </c>
      <c r="K247" s="76">
        <v>4</v>
      </c>
      <c r="L247" s="76"/>
      <c r="M247" s="84" t="s">
        <v>780</v>
      </c>
      <c r="N247" s="75"/>
      <c r="O247" s="76"/>
      <c r="P247" s="86" t="s">
        <v>1718</v>
      </c>
      <c r="Q247" s="75" t="s">
        <v>752</v>
      </c>
      <c r="R247" s="75" t="s">
        <v>782</v>
      </c>
      <c r="S247" s="86" t="s">
        <v>1702</v>
      </c>
      <c r="T247" s="86" t="s">
        <v>1703</v>
      </c>
      <c r="U247" s="86" t="s">
        <v>1719</v>
      </c>
      <c r="V247" s="86" t="s">
        <v>1720</v>
      </c>
      <c r="W247" s="75"/>
      <c r="X247" s="86" t="s">
        <v>1701</v>
      </c>
      <c r="Y247" s="86" t="s">
        <v>1705</v>
      </c>
      <c r="Z247" s="86" t="s">
        <v>1721</v>
      </c>
      <c r="AA247" s="131" t="s">
        <v>1178</v>
      </c>
    </row>
    <row r="248" spans="2:27" ht="99.75" hidden="1" customHeight="1" x14ac:dyDescent="0.25">
      <c r="B248" s="77" t="s">
        <v>1693</v>
      </c>
      <c r="C248" s="84" t="s">
        <v>1694</v>
      </c>
      <c r="D248" s="84" t="s">
        <v>1695</v>
      </c>
      <c r="E248" s="76">
        <v>2</v>
      </c>
      <c r="F248" s="84" t="s">
        <v>790</v>
      </c>
      <c r="G248" s="84" t="s">
        <v>791</v>
      </c>
      <c r="H248" s="75" t="s">
        <v>750</v>
      </c>
      <c r="I248" s="76">
        <v>8</v>
      </c>
      <c r="J248" s="75" t="s">
        <v>693</v>
      </c>
      <c r="K248" s="76">
        <v>10</v>
      </c>
      <c r="L248" s="76"/>
      <c r="M248" s="84" t="s">
        <v>792</v>
      </c>
      <c r="N248" s="75"/>
      <c r="O248" s="76"/>
      <c r="P248" s="87"/>
      <c r="Q248" s="75" t="s">
        <v>752</v>
      </c>
      <c r="R248" s="75" t="s">
        <v>793</v>
      </c>
      <c r="S248" s="86" t="s">
        <v>1702</v>
      </c>
      <c r="T248" s="86" t="s">
        <v>1703</v>
      </c>
      <c r="U248" s="86" t="s">
        <v>1722</v>
      </c>
      <c r="V248" s="86" t="s">
        <v>1723</v>
      </c>
      <c r="W248" s="75"/>
      <c r="X248" s="86" t="s">
        <v>1701</v>
      </c>
      <c r="Y248" s="86" t="s">
        <v>1705</v>
      </c>
      <c r="Z248" s="86" t="s">
        <v>1724</v>
      </c>
      <c r="AA248" s="131" t="s">
        <v>1178</v>
      </c>
    </row>
    <row r="249" spans="2:27" ht="69.75" hidden="1" customHeight="1" x14ac:dyDescent="0.25">
      <c r="B249" s="77" t="s">
        <v>1693</v>
      </c>
      <c r="C249" s="84" t="s">
        <v>1694</v>
      </c>
      <c r="D249" s="84" t="s">
        <v>1695</v>
      </c>
      <c r="E249" s="76">
        <v>2</v>
      </c>
      <c r="F249" s="84" t="s">
        <v>748</v>
      </c>
      <c r="G249" s="84" t="s">
        <v>749</v>
      </c>
      <c r="H249" s="75" t="s">
        <v>750</v>
      </c>
      <c r="I249" s="223">
        <v>9</v>
      </c>
      <c r="J249" s="75" t="s">
        <v>693</v>
      </c>
      <c r="K249" s="76">
        <v>10</v>
      </c>
      <c r="L249" s="76"/>
      <c r="M249" s="84" t="s">
        <v>751</v>
      </c>
      <c r="N249" s="75"/>
      <c r="O249" s="76"/>
      <c r="P249" s="77"/>
      <c r="Q249" s="75" t="s">
        <v>752</v>
      </c>
      <c r="R249" s="75" t="s">
        <v>753</v>
      </c>
      <c r="S249" s="86" t="s">
        <v>1702</v>
      </c>
      <c r="T249" s="86" t="s">
        <v>1703</v>
      </c>
      <c r="U249" s="86" t="s">
        <v>1725</v>
      </c>
      <c r="V249" s="86" t="s">
        <v>1726</v>
      </c>
      <c r="W249" s="75"/>
      <c r="X249" s="86" t="s">
        <v>1701</v>
      </c>
      <c r="Y249" s="86" t="s">
        <v>1705</v>
      </c>
      <c r="Z249" s="86" t="s">
        <v>1424</v>
      </c>
      <c r="AA249" s="131" t="s">
        <v>1178</v>
      </c>
    </row>
    <row r="250" spans="2:27" ht="69.75" hidden="1" customHeight="1" x14ac:dyDescent="0.25">
      <c r="B250" s="77" t="s">
        <v>1693</v>
      </c>
      <c r="C250" s="84" t="s">
        <v>1694</v>
      </c>
      <c r="D250" s="84" t="s">
        <v>1695</v>
      </c>
      <c r="E250" s="76">
        <v>2</v>
      </c>
      <c r="F250" s="75" t="s">
        <v>757</v>
      </c>
      <c r="G250" s="84" t="s">
        <v>758</v>
      </c>
      <c r="H250" s="75" t="s">
        <v>759</v>
      </c>
      <c r="I250" s="223">
        <v>10</v>
      </c>
      <c r="J250" s="75" t="s">
        <v>760</v>
      </c>
      <c r="K250" s="76">
        <v>23</v>
      </c>
      <c r="L250" s="76">
        <v>6</v>
      </c>
      <c r="M250" s="84" t="s">
        <v>761</v>
      </c>
      <c r="N250" s="75"/>
      <c r="O250" s="76"/>
      <c r="P250" s="77"/>
      <c r="Q250" s="75" t="s">
        <v>752</v>
      </c>
      <c r="R250" s="75" t="s">
        <v>762</v>
      </c>
      <c r="S250" s="86" t="s">
        <v>1702</v>
      </c>
      <c r="T250" s="86" t="s">
        <v>1703</v>
      </c>
      <c r="U250" s="86" t="s">
        <v>1727</v>
      </c>
      <c r="V250" s="86" t="s">
        <v>1728</v>
      </c>
      <c r="W250" s="75"/>
      <c r="X250" s="86" t="s">
        <v>1701</v>
      </c>
      <c r="Y250" s="86" t="s">
        <v>1705</v>
      </c>
      <c r="Z250" s="86" t="s">
        <v>1427</v>
      </c>
      <c r="AA250" s="131" t="s">
        <v>1178</v>
      </c>
    </row>
    <row r="251" spans="2:27" ht="69.75" hidden="1" customHeight="1" x14ac:dyDescent="0.25">
      <c r="B251" s="77" t="s">
        <v>1693</v>
      </c>
      <c r="C251" s="84" t="s">
        <v>1694</v>
      </c>
      <c r="D251" s="84" t="s">
        <v>1695</v>
      </c>
      <c r="E251" s="76">
        <v>2</v>
      </c>
      <c r="F251" s="77" t="s">
        <v>797</v>
      </c>
      <c r="G251" s="77" t="s">
        <v>798</v>
      </c>
      <c r="H251" s="77" t="s">
        <v>799</v>
      </c>
      <c r="I251" s="223">
        <v>11</v>
      </c>
      <c r="J251" s="77" t="s">
        <v>693</v>
      </c>
      <c r="K251" s="76">
        <v>2</v>
      </c>
      <c r="L251" s="76"/>
      <c r="M251" s="86" t="s">
        <v>800</v>
      </c>
      <c r="N251" s="86"/>
      <c r="O251" s="76"/>
      <c r="P251" s="86" t="s">
        <v>1275</v>
      </c>
      <c r="Q251" s="87"/>
      <c r="R251" s="77"/>
      <c r="S251" s="86" t="s">
        <v>1702</v>
      </c>
      <c r="T251" s="86" t="s">
        <v>1703</v>
      </c>
      <c r="U251" s="86" t="s">
        <v>811</v>
      </c>
      <c r="V251" s="86" t="s">
        <v>1729</v>
      </c>
      <c r="W251" s="76"/>
      <c r="X251" s="86" t="s">
        <v>1701</v>
      </c>
      <c r="Y251" s="86" t="s">
        <v>1178</v>
      </c>
      <c r="Z251" s="86" t="s">
        <v>1178</v>
      </c>
      <c r="AA251" s="201" t="s">
        <v>1730</v>
      </c>
    </row>
    <row r="252" spans="2:27" ht="69.75" hidden="1" customHeight="1" x14ac:dyDescent="0.25">
      <c r="B252" s="77" t="s">
        <v>1693</v>
      </c>
      <c r="C252" s="84" t="s">
        <v>1694</v>
      </c>
      <c r="D252" s="84" t="s">
        <v>1695</v>
      </c>
      <c r="E252" s="76">
        <v>2</v>
      </c>
      <c r="F252" s="84" t="s">
        <v>805</v>
      </c>
      <c r="G252" s="75" t="s">
        <v>806</v>
      </c>
      <c r="H252" s="75" t="s">
        <v>807</v>
      </c>
      <c r="I252" s="223">
        <v>12</v>
      </c>
      <c r="J252" s="75" t="s">
        <v>693</v>
      </c>
      <c r="K252" s="76">
        <v>10</v>
      </c>
      <c r="L252" s="76"/>
      <c r="M252" s="86" t="s">
        <v>808</v>
      </c>
      <c r="N252" s="75"/>
      <c r="O252" s="76" t="s">
        <v>695</v>
      </c>
      <c r="P252" s="77"/>
      <c r="Q252" s="75"/>
      <c r="R252" s="75"/>
      <c r="S252" s="86" t="s">
        <v>1702</v>
      </c>
      <c r="T252" s="86" t="s">
        <v>1703</v>
      </c>
      <c r="U252" s="86" t="s">
        <v>1505</v>
      </c>
      <c r="V252" s="86" t="s">
        <v>1731</v>
      </c>
      <c r="W252" s="75"/>
      <c r="X252" s="86" t="s">
        <v>1178</v>
      </c>
      <c r="Y252" s="86" t="s">
        <v>1178</v>
      </c>
      <c r="Z252" s="86" t="s">
        <v>1178</v>
      </c>
      <c r="AA252" s="131" t="s">
        <v>1178</v>
      </c>
    </row>
    <row r="253" spans="2:27" ht="69.75" hidden="1" customHeight="1" x14ac:dyDescent="0.25">
      <c r="B253" s="77" t="s">
        <v>1693</v>
      </c>
      <c r="C253" s="84" t="s">
        <v>1694</v>
      </c>
      <c r="D253" s="84" t="s">
        <v>1695</v>
      </c>
      <c r="E253" s="76">
        <v>2</v>
      </c>
      <c r="F253" s="84" t="s">
        <v>812</v>
      </c>
      <c r="G253" s="75" t="s">
        <v>813</v>
      </c>
      <c r="H253" s="75" t="s">
        <v>814</v>
      </c>
      <c r="I253" s="223">
        <v>13</v>
      </c>
      <c r="J253" s="75" t="s">
        <v>815</v>
      </c>
      <c r="K253" s="76">
        <v>23</v>
      </c>
      <c r="L253" s="76"/>
      <c r="M253" s="86" t="s">
        <v>816</v>
      </c>
      <c r="N253" s="75"/>
      <c r="O253" s="76"/>
      <c r="P253" s="77"/>
      <c r="Q253" s="75"/>
      <c r="R253" s="75"/>
      <c r="S253" s="86" t="s">
        <v>1702</v>
      </c>
      <c r="T253" s="86" t="s">
        <v>1703</v>
      </c>
      <c r="U253" s="86" t="s">
        <v>811</v>
      </c>
      <c r="V253" s="86" t="s">
        <v>1732</v>
      </c>
      <c r="W253" s="75"/>
      <c r="X253" s="86" t="s">
        <v>1178</v>
      </c>
      <c r="Y253" s="86" t="s">
        <v>1178</v>
      </c>
      <c r="Z253" s="86" t="s">
        <v>1178</v>
      </c>
      <c r="AA253" s="131" t="s">
        <v>1178</v>
      </c>
    </row>
    <row r="254" spans="2:27" ht="409.5" hidden="1" customHeight="1" x14ac:dyDescent="0.25">
      <c r="B254" s="84" t="s">
        <v>1733</v>
      </c>
      <c r="C254" s="84" t="s">
        <v>1734</v>
      </c>
      <c r="D254" s="84" t="s">
        <v>1735</v>
      </c>
      <c r="E254" s="131">
        <v>2</v>
      </c>
      <c r="F254" s="84" t="s">
        <v>690</v>
      </c>
      <c r="G254" s="84" t="s">
        <v>691</v>
      </c>
      <c r="H254" s="75" t="s">
        <v>872</v>
      </c>
      <c r="I254" s="76">
        <v>1</v>
      </c>
      <c r="J254" s="75" t="s">
        <v>693</v>
      </c>
      <c r="K254" s="76">
        <v>4</v>
      </c>
      <c r="L254" s="76"/>
      <c r="M254" s="86" t="s">
        <v>694</v>
      </c>
      <c r="N254" s="75"/>
      <c r="O254" s="76" t="s">
        <v>695</v>
      </c>
      <c r="P254" s="77"/>
      <c r="Q254" s="130" t="s">
        <v>820</v>
      </c>
      <c r="R254" s="133" t="s">
        <v>821</v>
      </c>
      <c r="S254" s="86" t="s">
        <v>1736</v>
      </c>
      <c r="T254" s="86" t="s">
        <v>1737</v>
      </c>
      <c r="U254" s="86" t="s">
        <v>1738</v>
      </c>
      <c r="V254" s="86" t="s">
        <v>1739</v>
      </c>
      <c r="W254" s="75"/>
      <c r="X254" s="196" t="s">
        <v>1740</v>
      </c>
      <c r="Y254" s="86" t="s">
        <v>1632</v>
      </c>
      <c r="Z254" s="86" t="s">
        <v>1632</v>
      </c>
      <c r="AA254" s="131" t="s">
        <v>1741</v>
      </c>
    </row>
    <row r="255" spans="2:27" ht="363.75" hidden="1" customHeight="1" x14ac:dyDescent="0.25">
      <c r="B255" s="84" t="s">
        <v>1733</v>
      </c>
      <c r="C255" s="84" t="s">
        <v>1734</v>
      </c>
      <c r="D255" s="84" t="s">
        <v>1735</v>
      </c>
      <c r="E255" s="131">
        <v>2</v>
      </c>
      <c r="F255" s="84" t="s">
        <v>705</v>
      </c>
      <c r="G255" s="84" t="s">
        <v>706</v>
      </c>
      <c r="H255" s="75" t="s">
        <v>872</v>
      </c>
      <c r="I255" s="76">
        <v>2</v>
      </c>
      <c r="J255" s="75" t="s">
        <v>693</v>
      </c>
      <c r="K255" s="76">
        <v>30</v>
      </c>
      <c r="L255" s="76"/>
      <c r="M255" s="86" t="s">
        <v>707</v>
      </c>
      <c r="N255" s="75"/>
      <c r="O255" s="76" t="s">
        <v>695</v>
      </c>
      <c r="P255" s="77"/>
      <c r="Q255" s="130" t="s">
        <v>820</v>
      </c>
      <c r="R255" s="133" t="s">
        <v>821</v>
      </c>
      <c r="S255" s="86" t="s">
        <v>1742</v>
      </c>
      <c r="T255" s="86" t="s">
        <v>1743</v>
      </c>
      <c r="U255" s="86" t="s">
        <v>1744</v>
      </c>
      <c r="V255" s="86" t="s">
        <v>1745</v>
      </c>
      <c r="W255" s="75"/>
      <c r="X255" s="196" t="s">
        <v>1740</v>
      </c>
      <c r="Y255" s="84" t="s">
        <v>1746</v>
      </c>
      <c r="Z255" s="84" t="s">
        <v>1747</v>
      </c>
      <c r="AA255" s="131" t="s">
        <v>1632</v>
      </c>
    </row>
    <row r="256" spans="2:27" ht="363" hidden="1" customHeight="1" x14ac:dyDescent="0.25">
      <c r="B256" s="84" t="s">
        <v>1733</v>
      </c>
      <c r="C256" s="84" t="s">
        <v>1734</v>
      </c>
      <c r="D256" s="84" t="s">
        <v>1735</v>
      </c>
      <c r="E256" s="131">
        <v>2</v>
      </c>
      <c r="F256" s="84" t="s">
        <v>715</v>
      </c>
      <c r="G256" s="84" t="s">
        <v>716</v>
      </c>
      <c r="H256" s="75" t="s">
        <v>894</v>
      </c>
      <c r="I256" s="76">
        <v>3</v>
      </c>
      <c r="J256" s="75" t="s">
        <v>718</v>
      </c>
      <c r="K256" s="76"/>
      <c r="L256" s="76"/>
      <c r="M256" s="84" t="s">
        <v>1748</v>
      </c>
      <c r="N256" s="75"/>
      <c r="O256" s="76" t="s">
        <v>695</v>
      </c>
      <c r="P256" s="77"/>
      <c r="Q256" s="133" t="s">
        <v>720</v>
      </c>
      <c r="R256" s="133" t="s">
        <v>721</v>
      </c>
      <c r="S256" s="86" t="s">
        <v>1742</v>
      </c>
      <c r="T256" s="86" t="s">
        <v>1743</v>
      </c>
      <c r="U256" s="86" t="s">
        <v>1749</v>
      </c>
      <c r="V256" s="86" t="s">
        <v>1750</v>
      </c>
      <c r="W256" s="75"/>
      <c r="X256" s="196" t="s">
        <v>1740</v>
      </c>
      <c r="Y256" s="84" t="s">
        <v>1746</v>
      </c>
      <c r="Z256" s="84" t="s">
        <v>1751</v>
      </c>
      <c r="AA256" s="131" t="s">
        <v>1632</v>
      </c>
    </row>
    <row r="257" spans="2:27" ht="303.75" hidden="1" customHeight="1" x14ac:dyDescent="0.25">
      <c r="B257" s="84" t="s">
        <v>1733</v>
      </c>
      <c r="C257" s="84" t="s">
        <v>1734</v>
      </c>
      <c r="D257" s="84" t="s">
        <v>1735</v>
      </c>
      <c r="E257" s="131">
        <v>2</v>
      </c>
      <c r="F257" s="84" t="s">
        <v>728</v>
      </c>
      <c r="G257" s="84" t="s">
        <v>729</v>
      </c>
      <c r="H257" s="75" t="s">
        <v>894</v>
      </c>
      <c r="I257" s="76">
        <v>4</v>
      </c>
      <c r="J257" s="75" t="s">
        <v>718</v>
      </c>
      <c r="K257" s="76"/>
      <c r="L257" s="76"/>
      <c r="M257" s="84" t="s">
        <v>1752</v>
      </c>
      <c r="N257" s="75"/>
      <c r="O257" s="76" t="s">
        <v>695</v>
      </c>
      <c r="P257" s="77"/>
      <c r="Q257" s="133" t="s">
        <v>720</v>
      </c>
      <c r="R257" s="133" t="s">
        <v>721</v>
      </c>
      <c r="S257" s="86" t="s">
        <v>1742</v>
      </c>
      <c r="T257" s="86" t="s">
        <v>1743</v>
      </c>
      <c r="U257" s="86" t="s">
        <v>1753</v>
      </c>
      <c r="V257" s="86" t="s">
        <v>1754</v>
      </c>
      <c r="W257" s="75"/>
      <c r="X257" s="196" t="s">
        <v>1740</v>
      </c>
      <c r="Y257" s="84" t="s">
        <v>1746</v>
      </c>
      <c r="Z257" s="84" t="s">
        <v>1755</v>
      </c>
      <c r="AA257" s="131" t="s">
        <v>1756</v>
      </c>
    </row>
    <row r="258" spans="2:27" ht="408.75" hidden="1" customHeight="1" x14ac:dyDescent="0.25">
      <c r="B258" s="84" t="s">
        <v>1733</v>
      </c>
      <c r="C258" s="84" t="s">
        <v>1734</v>
      </c>
      <c r="D258" s="84" t="s">
        <v>1735</v>
      </c>
      <c r="E258" s="131">
        <v>2</v>
      </c>
      <c r="F258" s="159" t="s">
        <v>736</v>
      </c>
      <c r="G258" s="159" t="s">
        <v>737</v>
      </c>
      <c r="H258" s="75" t="s">
        <v>779</v>
      </c>
      <c r="I258" s="76">
        <v>5</v>
      </c>
      <c r="J258" s="75" t="s">
        <v>693</v>
      </c>
      <c r="K258" s="76">
        <v>20</v>
      </c>
      <c r="L258" s="76"/>
      <c r="M258" s="159" t="s">
        <v>739</v>
      </c>
      <c r="N258" s="75"/>
      <c r="O258" s="76"/>
      <c r="P258" s="87" t="s">
        <v>1757</v>
      </c>
      <c r="Q258" s="130" t="s">
        <v>842</v>
      </c>
      <c r="R258" s="133" t="s">
        <v>843</v>
      </c>
      <c r="S258" s="86" t="s">
        <v>1758</v>
      </c>
      <c r="T258" s="86" t="s">
        <v>1759</v>
      </c>
      <c r="U258" s="130" t="s">
        <v>1760</v>
      </c>
      <c r="V258" s="87" t="s">
        <v>1761</v>
      </c>
      <c r="W258" s="75"/>
      <c r="X258" s="196" t="s">
        <v>1740</v>
      </c>
      <c r="Y258" s="84" t="s">
        <v>1746</v>
      </c>
      <c r="Z258" s="196" t="s">
        <v>1762</v>
      </c>
      <c r="AA258" s="131" t="s">
        <v>1632</v>
      </c>
    </row>
    <row r="259" spans="2:27" ht="277.5" hidden="1" customHeight="1" x14ac:dyDescent="0.25">
      <c r="B259" s="84" t="s">
        <v>1733</v>
      </c>
      <c r="C259" s="84" t="s">
        <v>1734</v>
      </c>
      <c r="D259" s="84" t="s">
        <v>1735</v>
      </c>
      <c r="E259" s="131">
        <v>2</v>
      </c>
      <c r="F259" s="84" t="s">
        <v>748</v>
      </c>
      <c r="G259" s="84" t="s">
        <v>749</v>
      </c>
      <c r="H259" s="75" t="s">
        <v>750</v>
      </c>
      <c r="I259" s="76">
        <v>6</v>
      </c>
      <c r="J259" s="75" t="s">
        <v>693</v>
      </c>
      <c r="K259" s="76">
        <v>10</v>
      </c>
      <c r="L259" s="76"/>
      <c r="M259" s="84" t="s">
        <v>751</v>
      </c>
      <c r="N259" s="75"/>
      <c r="O259" s="76"/>
      <c r="P259" s="77"/>
      <c r="Q259" s="75" t="s">
        <v>752</v>
      </c>
      <c r="R259" s="75" t="s">
        <v>753</v>
      </c>
      <c r="S259" s="86" t="s">
        <v>1742</v>
      </c>
      <c r="T259" s="86" t="s">
        <v>1743</v>
      </c>
      <c r="U259" s="263" t="s">
        <v>1763</v>
      </c>
      <c r="V259" s="263" t="s">
        <v>1764</v>
      </c>
      <c r="W259" s="75"/>
      <c r="X259" s="196" t="s">
        <v>1740</v>
      </c>
      <c r="Y259" s="196" t="s">
        <v>1765</v>
      </c>
      <c r="Z259" s="84" t="s">
        <v>1766</v>
      </c>
      <c r="AA259" s="131" t="s">
        <v>1632</v>
      </c>
    </row>
    <row r="260" spans="2:27" ht="249" hidden="1" customHeight="1" x14ac:dyDescent="0.25">
      <c r="B260" s="84" t="s">
        <v>1733</v>
      </c>
      <c r="C260" s="84" t="s">
        <v>1734</v>
      </c>
      <c r="D260" s="84" t="s">
        <v>1735</v>
      </c>
      <c r="E260" s="131">
        <v>2</v>
      </c>
      <c r="F260" s="84" t="s">
        <v>757</v>
      </c>
      <c r="G260" s="84" t="s">
        <v>758</v>
      </c>
      <c r="H260" s="75" t="s">
        <v>759</v>
      </c>
      <c r="I260" s="76">
        <v>7</v>
      </c>
      <c r="J260" s="75" t="s">
        <v>760</v>
      </c>
      <c r="K260" s="76">
        <v>23</v>
      </c>
      <c r="L260" s="76">
        <v>6</v>
      </c>
      <c r="M260" s="84" t="s">
        <v>761</v>
      </c>
      <c r="N260" s="75"/>
      <c r="O260" s="76"/>
      <c r="P260" s="77"/>
      <c r="Q260" s="133" t="s">
        <v>752</v>
      </c>
      <c r="R260" s="133" t="s">
        <v>762</v>
      </c>
      <c r="S260" s="86" t="s">
        <v>1742</v>
      </c>
      <c r="T260" s="86" t="s">
        <v>1743</v>
      </c>
      <c r="U260" s="86" t="s">
        <v>1767</v>
      </c>
      <c r="V260" s="86" t="s">
        <v>1768</v>
      </c>
      <c r="W260" s="75"/>
      <c r="X260" s="196" t="s">
        <v>1740</v>
      </c>
      <c r="Y260" s="196" t="s">
        <v>1765</v>
      </c>
      <c r="Z260" s="196" t="s">
        <v>1769</v>
      </c>
      <c r="AA260" s="131" t="s">
        <v>1632</v>
      </c>
    </row>
    <row r="261" spans="2:27" ht="338.25" hidden="1" customHeight="1" x14ac:dyDescent="0.25">
      <c r="B261" s="84" t="s">
        <v>1733</v>
      </c>
      <c r="C261" s="84" t="s">
        <v>1734</v>
      </c>
      <c r="D261" s="84" t="s">
        <v>1735</v>
      </c>
      <c r="E261" s="131">
        <v>2</v>
      </c>
      <c r="F261" s="194" t="s">
        <v>766</v>
      </c>
      <c r="G261" s="194" t="s">
        <v>767</v>
      </c>
      <c r="H261" s="75" t="s">
        <v>768</v>
      </c>
      <c r="I261" s="76">
        <v>8</v>
      </c>
      <c r="J261" s="75" t="s">
        <v>693</v>
      </c>
      <c r="K261" s="76">
        <v>4</v>
      </c>
      <c r="L261" s="76"/>
      <c r="M261" s="159" t="s">
        <v>769</v>
      </c>
      <c r="N261" s="75"/>
      <c r="O261" s="76"/>
      <c r="P261" s="77"/>
      <c r="Q261" s="193"/>
      <c r="R261" s="193"/>
      <c r="S261" s="86" t="s">
        <v>1736</v>
      </c>
      <c r="T261" s="86" t="s">
        <v>1770</v>
      </c>
      <c r="U261" s="130" t="s">
        <v>1738</v>
      </c>
      <c r="V261" s="130" t="s">
        <v>1771</v>
      </c>
      <c r="W261" s="75"/>
      <c r="X261" s="196" t="s">
        <v>1740</v>
      </c>
      <c r="Y261" s="84" t="s">
        <v>1746</v>
      </c>
      <c r="Z261" s="196" t="s">
        <v>1762</v>
      </c>
      <c r="AA261" s="131" t="s">
        <v>1632</v>
      </c>
    </row>
    <row r="262" spans="2:27" ht="378" hidden="1" customHeight="1" x14ac:dyDescent="0.25">
      <c r="B262" s="84" t="s">
        <v>1733</v>
      </c>
      <c r="C262" s="84" t="s">
        <v>1734</v>
      </c>
      <c r="D262" s="84" t="s">
        <v>1735</v>
      </c>
      <c r="E262" s="131">
        <v>2</v>
      </c>
      <c r="F262" s="84" t="s">
        <v>777</v>
      </c>
      <c r="G262" s="159" t="s">
        <v>778</v>
      </c>
      <c r="H262" s="75" t="s">
        <v>779</v>
      </c>
      <c r="I262" s="76">
        <v>9</v>
      </c>
      <c r="J262" s="75" t="s">
        <v>693</v>
      </c>
      <c r="K262" s="76">
        <v>3</v>
      </c>
      <c r="L262" s="76"/>
      <c r="M262" s="84" t="s">
        <v>780</v>
      </c>
      <c r="N262" s="75"/>
      <c r="O262" s="76"/>
      <c r="P262" s="87" t="s">
        <v>1772</v>
      </c>
      <c r="Q262" s="130" t="s">
        <v>752</v>
      </c>
      <c r="R262" s="133" t="s">
        <v>782</v>
      </c>
      <c r="S262" s="86" t="s">
        <v>1742</v>
      </c>
      <c r="T262" s="86" t="s">
        <v>1743</v>
      </c>
      <c r="U262" s="86" t="s">
        <v>1773</v>
      </c>
      <c r="V262" s="86" t="s">
        <v>1774</v>
      </c>
      <c r="W262" s="75"/>
      <c r="X262" s="196" t="s">
        <v>1740</v>
      </c>
      <c r="Y262" s="196" t="s">
        <v>1765</v>
      </c>
      <c r="Z262" s="196" t="s">
        <v>1775</v>
      </c>
      <c r="AA262" s="131" t="s">
        <v>1632</v>
      </c>
    </row>
    <row r="263" spans="2:27" ht="316.5" hidden="1" customHeight="1" x14ac:dyDescent="0.25">
      <c r="B263" s="84" t="s">
        <v>1733</v>
      </c>
      <c r="C263" s="84" t="s">
        <v>1734</v>
      </c>
      <c r="D263" s="84" t="s">
        <v>1735</v>
      </c>
      <c r="E263" s="131">
        <v>2</v>
      </c>
      <c r="F263" s="84" t="s">
        <v>1776</v>
      </c>
      <c r="G263" s="84" t="s">
        <v>1777</v>
      </c>
      <c r="H263" s="75" t="s">
        <v>750</v>
      </c>
      <c r="I263" s="76">
        <v>10</v>
      </c>
      <c r="J263" s="75" t="s">
        <v>693</v>
      </c>
      <c r="K263" s="76">
        <v>10</v>
      </c>
      <c r="L263" s="76"/>
      <c r="M263" s="84" t="s">
        <v>1778</v>
      </c>
      <c r="N263" s="75"/>
      <c r="O263" s="76"/>
      <c r="P263" s="77"/>
      <c r="Q263" s="75" t="s">
        <v>752</v>
      </c>
      <c r="R263" s="75" t="s">
        <v>793</v>
      </c>
      <c r="S263" s="86" t="s">
        <v>1742</v>
      </c>
      <c r="T263" s="86" t="s">
        <v>1743</v>
      </c>
      <c r="U263" s="86" t="s">
        <v>1779</v>
      </c>
      <c r="V263" s="173" t="s">
        <v>1780</v>
      </c>
      <c r="W263" s="75"/>
      <c r="X263" s="196" t="s">
        <v>1740</v>
      </c>
      <c r="Y263" s="196" t="s">
        <v>1765</v>
      </c>
      <c r="Z263" s="161" t="s">
        <v>1781</v>
      </c>
      <c r="AA263" s="131" t="s">
        <v>1632</v>
      </c>
    </row>
    <row r="264" spans="2:27" ht="268.5" hidden="1" customHeight="1" x14ac:dyDescent="0.25">
      <c r="B264" s="84" t="s">
        <v>1733</v>
      </c>
      <c r="C264" s="84" t="s">
        <v>1734</v>
      </c>
      <c r="D264" s="84" t="s">
        <v>1735</v>
      </c>
      <c r="E264" s="131">
        <v>2</v>
      </c>
      <c r="F264" s="84" t="s">
        <v>1782</v>
      </c>
      <c r="G264" s="84" t="s">
        <v>1783</v>
      </c>
      <c r="H264" s="75" t="s">
        <v>750</v>
      </c>
      <c r="I264" s="76">
        <v>11</v>
      </c>
      <c r="J264" s="75" t="s">
        <v>693</v>
      </c>
      <c r="K264" s="76">
        <v>10</v>
      </c>
      <c r="L264" s="76"/>
      <c r="M264" s="84" t="s">
        <v>1784</v>
      </c>
      <c r="N264" s="75"/>
      <c r="O264" s="76"/>
      <c r="P264" s="77"/>
      <c r="Q264" s="75"/>
      <c r="R264" s="75"/>
      <c r="S264" s="86" t="s">
        <v>1742</v>
      </c>
      <c r="T264" s="86" t="s">
        <v>1743</v>
      </c>
      <c r="U264" s="86" t="s">
        <v>1785</v>
      </c>
      <c r="V264" s="86" t="s">
        <v>1786</v>
      </c>
      <c r="W264" s="75"/>
      <c r="X264" s="196" t="s">
        <v>1740</v>
      </c>
      <c r="Y264" s="196" t="s">
        <v>1765</v>
      </c>
      <c r="Z264" s="161" t="s">
        <v>1787</v>
      </c>
      <c r="AA264" s="131" t="s">
        <v>1788</v>
      </c>
    </row>
    <row r="265" spans="2:27" ht="274.5" hidden="1" customHeight="1" x14ac:dyDescent="0.25">
      <c r="B265" s="84" t="s">
        <v>1733</v>
      </c>
      <c r="C265" s="84" t="s">
        <v>1734</v>
      </c>
      <c r="D265" s="84" t="s">
        <v>1735</v>
      </c>
      <c r="E265" s="131">
        <v>2</v>
      </c>
      <c r="F265" s="77" t="s">
        <v>797</v>
      </c>
      <c r="G265" s="77" t="s">
        <v>798</v>
      </c>
      <c r="H265" s="75" t="s">
        <v>799</v>
      </c>
      <c r="I265" s="76">
        <v>12</v>
      </c>
      <c r="J265" s="75" t="s">
        <v>693</v>
      </c>
      <c r="K265" s="76">
        <v>20</v>
      </c>
      <c r="L265" s="76"/>
      <c r="M265" s="86" t="s">
        <v>800</v>
      </c>
      <c r="N265" s="75"/>
      <c r="O265" s="76"/>
      <c r="P265" s="87" t="s">
        <v>1789</v>
      </c>
      <c r="Q265" s="133"/>
      <c r="R265" s="133"/>
      <c r="S265" s="86" t="s">
        <v>1742</v>
      </c>
      <c r="T265" s="86" t="s">
        <v>1743</v>
      </c>
      <c r="U265" s="86" t="s">
        <v>1753</v>
      </c>
      <c r="V265" s="86" t="s">
        <v>1790</v>
      </c>
      <c r="W265" s="75"/>
      <c r="X265" s="196" t="s">
        <v>1740</v>
      </c>
      <c r="Y265" s="196" t="s">
        <v>1765</v>
      </c>
      <c r="Z265" s="84" t="s">
        <v>1632</v>
      </c>
      <c r="AA265" s="131" t="s">
        <v>1791</v>
      </c>
    </row>
    <row r="266" spans="2:27" ht="273" hidden="1" customHeight="1" x14ac:dyDescent="0.25">
      <c r="B266" s="84" t="s">
        <v>1733</v>
      </c>
      <c r="C266" s="84" t="s">
        <v>1734</v>
      </c>
      <c r="D266" s="84" t="s">
        <v>1735</v>
      </c>
      <c r="E266" s="131">
        <v>2</v>
      </c>
      <c r="F266" s="84" t="s">
        <v>805</v>
      </c>
      <c r="G266" s="84" t="s">
        <v>806</v>
      </c>
      <c r="H266" s="75" t="s">
        <v>807</v>
      </c>
      <c r="I266" s="76">
        <v>13</v>
      </c>
      <c r="J266" s="75" t="s">
        <v>693</v>
      </c>
      <c r="K266" s="76">
        <v>10</v>
      </c>
      <c r="L266" s="76"/>
      <c r="M266" s="86" t="s">
        <v>808</v>
      </c>
      <c r="N266" s="75"/>
      <c r="O266" s="76" t="s">
        <v>695</v>
      </c>
      <c r="P266" s="77"/>
      <c r="Q266" s="133"/>
      <c r="R266" s="133"/>
      <c r="S266" s="86" t="s">
        <v>1742</v>
      </c>
      <c r="T266" s="86" t="s">
        <v>1743</v>
      </c>
      <c r="U266" s="86" t="s">
        <v>1792</v>
      </c>
      <c r="V266" s="86" t="s">
        <v>1793</v>
      </c>
      <c r="W266" s="75"/>
      <c r="X266" s="196" t="s">
        <v>1632</v>
      </c>
      <c r="Y266" s="196" t="s">
        <v>1632</v>
      </c>
      <c r="Z266" s="196" t="s">
        <v>1632</v>
      </c>
      <c r="AA266" s="131" t="s">
        <v>1632</v>
      </c>
    </row>
    <row r="267" spans="2:27" ht="215.25" hidden="1" customHeight="1" x14ac:dyDescent="0.25">
      <c r="B267" s="84" t="s">
        <v>1733</v>
      </c>
      <c r="C267" s="84" t="s">
        <v>1734</v>
      </c>
      <c r="D267" s="84" t="s">
        <v>1735</v>
      </c>
      <c r="E267" s="131">
        <v>2</v>
      </c>
      <c r="F267" s="84" t="s">
        <v>812</v>
      </c>
      <c r="G267" s="84" t="s">
        <v>813</v>
      </c>
      <c r="H267" s="75" t="s">
        <v>814</v>
      </c>
      <c r="I267" s="76">
        <v>14</v>
      </c>
      <c r="J267" s="75" t="s">
        <v>815</v>
      </c>
      <c r="K267" s="76">
        <v>23</v>
      </c>
      <c r="L267" s="76"/>
      <c r="M267" s="86" t="s">
        <v>816</v>
      </c>
      <c r="N267" s="75"/>
      <c r="O267" s="76"/>
      <c r="P267" s="77"/>
      <c r="Q267" s="133"/>
      <c r="R267" s="133"/>
      <c r="S267" s="86" t="s">
        <v>1742</v>
      </c>
      <c r="T267" s="86" t="s">
        <v>1743</v>
      </c>
      <c r="U267" s="86" t="s">
        <v>1753</v>
      </c>
      <c r="V267" s="86" t="s">
        <v>1794</v>
      </c>
      <c r="W267" s="75"/>
      <c r="X267" s="196" t="s">
        <v>1632</v>
      </c>
      <c r="Y267" s="196" t="s">
        <v>1632</v>
      </c>
      <c r="Z267" s="196" t="s">
        <v>1632</v>
      </c>
      <c r="AA267" s="131" t="s">
        <v>1632</v>
      </c>
    </row>
    <row r="268" spans="2:27" ht="69.75" hidden="1" customHeight="1" x14ac:dyDescent="0.25">
      <c r="B268" s="243" t="s">
        <v>1795</v>
      </c>
      <c r="C268" s="243" t="s">
        <v>1796</v>
      </c>
      <c r="D268" s="243" t="s">
        <v>1797</v>
      </c>
      <c r="E268" s="244">
        <v>0</v>
      </c>
      <c r="F268" s="243" t="s">
        <v>690</v>
      </c>
      <c r="G268" s="243" t="s">
        <v>691</v>
      </c>
      <c r="H268" s="246" t="s">
        <v>872</v>
      </c>
      <c r="I268" s="247">
        <v>1</v>
      </c>
      <c r="J268" s="246" t="s">
        <v>693</v>
      </c>
      <c r="K268" s="247">
        <v>4</v>
      </c>
      <c r="L268" s="247"/>
      <c r="M268" s="251" t="s">
        <v>694</v>
      </c>
      <c r="N268" s="246"/>
      <c r="O268" s="247" t="s">
        <v>695</v>
      </c>
      <c r="P268" s="248"/>
      <c r="Q268" s="249"/>
      <c r="R268" s="249"/>
      <c r="S268" s="246"/>
      <c r="T268" s="246"/>
      <c r="U268" s="246"/>
      <c r="V268" s="246"/>
      <c r="W268" s="246"/>
      <c r="X268" s="250" t="s">
        <v>1178</v>
      </c>
      <c r="Y268" s="243" t="s">
        <v>1178</v>
      </c>
      <c r="Z268" s="243" t="s">
        <v>1178</v>
      </c>
      <c r="AA268" s="244" t="s">
        <v>1178</v>
      </c>
    </row>
    <row r="269" spans="2:27" ht="69.75" hidden="1" customHeight="1" x14ac:dyDescent="0.25">
      <c r="B269" s="243" t="s">
        <v>1795</v>
      </c>
      <c r="C269" s="243" t="s">
        <v>1796</v>
      </c>
      <c r="D269" s="243" t="s">
        <v>1797</v>
      </c>
      <c r="E269" s="244">
        <v>0</v>
      </c>
      <c r="F269" s="243" t="s">
        <v>705</v>
      </c>
      <c r="G269" s="243" t="s">
        <v>706</v>
      </c>
      <c r="H269" s="246" t="s">
        <v>872</v>
      </c>
      <c r="I269" s="247">
        <v>2</v>
      </c>
      <c r="J269" s="246" t="s">
        <v>693</v>
      </c>
      <c r="K269" s="247">
        <v>30</v>
      </c>
      <c r="L269" s="247"/>
      <c r="M269" s="251" t="s">
        <v>707</v>
      </c>
      <c r="N269" s="246"/>
      <c r="O269" s="247" t="s">
        <v>695</v>
      </c>
      <c r="P269" s="248"/>
      <c r="Q269" s="249"/>
      <c r="R269" s="249"/>
      <c r="S269" s="246"/>
      <c r="T269" s="246"/>
      <c r="U269" s="246"/>
      <c r="V269" s="246"/>
      <c r="W269" s="246"/>
      <c r="X269" s="250" t="s">
        <v>1178</v>
      </c>
      <c r="Y269" s="243" t="s">
        <v>1178</v>
      </c>
      <c r="Z269" s="243" t="s">
        <v>1178</v>
      </c>
      <c r="AA269" s="244" t="s">
        <v>1178</v>
      </c>
    </row>
    <row r="270" spans="2:27" ht="69.75" hidden="1" customHeight="1" x14ac:dyDescent="0.25">
      <c r="B270" s="243" t="s">
        <v>1795</v>
      </c>
      <c r="C270" s="243" t="s">
        <v>1796</v>
      </c>
      <c r="D270" s="243" t="s">
        <v>1797</v>
      </c>
      <c r="E270" s="244">
        <v>0</v>
      </c>
      <c r="F270" s="243" t="s">
        <v>736</v>
      </c>
      <c r="G270" s="245" t="s">
        <v>737</v>
      </c>
      <c r="H270" s="246" t="s">
        <v>779</v>
      </c>
      <c r="I270" s="247">
        <v>3</v>
      </c>
      <c r="J270" s="246" t="s">
        <v>693</v>
      </c>
      <c r="K270" s="247">
        <v>20</v>
      </c>
      <c r="L270" s="247"/>
      <c r="M270" s="245" t="s">
        <v>739</v>
      </c>
      <c r="N270" s="246"/>
      <c r="O270" s="247" t="s">
        <v>695</v>
      </c>
      <c r="P270" s="248"/>
      <c r="Q270" s="249"/>
      <c r="R270" s="249"/>
      <c r="S270" s="246"/>
      <c r="T270" s="246"/>
      <c r="U270" s="246"/>
      <c r="V270" s="246"/>
      <c r="W270" s="246"/>
      <c r="X270" s="250" t="s">
        <v>1178</v>
      </c>
      <c r="Y270" s="243" t="s">
        <v>1178</v>
      </c>
      <c r="Z270" s="243" t="s">
        <v>1178</v>
      </c>
      <c r="AA270" s="244" t="s">
        <v>1178</v>
      </c>
    </row>
    <row r="271" spans="2:27" ht="69.75" hidden="1" customHeight="1" x14ac:dyDescent="0.25">
      <c r="B271" s="243" t="s">
        <v>1795</v>
      </c>
      <c r="C271" s="243" t="s">
        <v>1796</v>
      </c>
      <c r="D271" s="243" t="s">
        <v>1797</v>
      </c>
      <c r="E271" s="244">
        <v>0</v>
      </c>
      <c r="F271" s="243" t="s">
        <v>715</v>
      </c>
      <c r="G271" s="243" t="s">
        <v>716</v>
      </c>
      <c r="H271" s="246" t="s">
        <v>894</v>
      </c>
      <c r="I271" s="247">
        <v>4</v>
      </c>
      <c r="J271" s="246" t="s">
        <v>887</v>
      </c>
      <c r="K271" s="247"/>
      <c r="L271" s="247"/>
      <c r="M271" s="251" t="s">
        <v>1798</v>
      </c>
      <c r="N271" s="246"/>
      <c r="O271" s="247" t="s">
        <v>695</v>
      </c>
      <c r="P271" s="248"/>
      <c r="Q271" s="249"/>
      <c r="R271" s="249"/>
      <c r="S271" s="246"/>
      <c r="T271" s="246"/>
      <c r="U271" s="246"/>
      <c r="V271" s="246"/>
      <c r="W271" s="246"/>
      <c r="X271" s="250" t="s">
        <v>1178</v>
      </c>
      <c r="Y271" s="243" t="s">
        <v>1178</v>
      </c>
      <c r="Z271" s="243" t="s">
        <v>1178</v>
      </c>
      <c r="AA271" s="244" t="s">
        <v>1178</v>
      </c>
    </row>
    <row r="272" spans="2:27" ht="69.75" hidden="1" customHeight="1" x14ac:dyDescent="0.25">
      <c r="B272" s="243" t="s">
        <v>1795</v>
      </c>
      <c r="C272" s="243" t="s">
        <v>1796</v>
      </c>
      <c r="D272" s="243" t="s">
        <v>1797</v>
      </c>
      <c r="E272" s="244">
        <v>0</v>
      </c>
      <c r="F272" s="243" t="s">
        <v>728</v>
      </c>
      <c r="G272" s="243" t="s">
        <v>729</v>
      </c>
      <c r="H272" s="246" t="s">
        <v>894</v>
      </c>
      <c r="I272" s="247">
        <v>5</v>
      </c>
      <c r="J272" s="246" t="s">
        <v>718</v>
      </c>
      <c r="K272" s="247"/>
      <c r="L272" s="247"/>
      <c r="M272" s="251" t="s">
        <v>1799</v>
      </c>
      <c r="N272" s="246"/>
      <c r="O272" s="247" t="s">
        <v>695</v>
      </c>
      <c r="P272" s="248"/>
      <c r="Q272" s="249"/>
      <c r="R272" s="249"/>
      <c r="S272" s="246"/>
      <c r="T272" s="246"/>
      <c r="U272" s="246"/>
      <c r="V272" s="246"/>
      <c r="W272" s="246"/>
      <c r="X272" s="250" t="s">
        <v>1178</v>
      </c>
      <c r="Y272" s="243" t="s">
        <v>1178</v>
      </c>
      <c r="Z272" s="243" t="s">
        <v>1178</v>
      </c>
      <c r="AA272" s="244" t="s">
        <v>1178</v>
      </c>
    </row>
    <row r="273" spans="2:27" ht="69.75" hidden="1" customHeight="1" x14ac:dyDescent="0.25">
      <c r="B273" s="243" t="s">
        <v>1795</v>
      </c>
      <c r="C273" s="243" t="s">
        <v>1796</v>
      </c>
      <c r="D273" s="243" t="s">
        <v>1797</v>
      </c>
      <c r="E273" s="244">
        <v>0</v>
      </c>
      <c r="F273" s="243" t="s">
        <v>1800</v>
      </c>
      <c r="G273" s="243" t="s">
        <v>1801</v>
      </c>
      <c r="H273" s="246" t="s">
        <v>1802</v>
      </c>
      <c r="I273" s="247">
        <v>6</v>
      </c>
      <c r="J273" s="246" t="s">
        <v>693</v>
      </c>
      <c r="K273" s="247">
        <v>4</v>
      </c>
      <c r="L273" s="247"/>
      <c r="M273" s="251" t="s">
        <v>1803</v>
      </c>
      <c r="N273" s="246" t="s">
        <v>1804</v>
      </c>
      <c r="O273" s="247"/>
      <c r="P273" s="248"/>
      <c r="Q273" s="249"/>
      <c r="R273" s="249"/>
      <c r="S273" s="246"/>
      <c r="T273" s="246"/>
      <c r="U273" s="246"/>
      <c r="V273" s="246"/>
      <c r="W273" s="246"/>
      <c r="X273" s="250" t="s">
        <v>1178</v>
      </c>
      <c r="Y273" s="243" t="s">
        <v>1178</v>
      </c>
      <c r="Z273" s="243" t="s">
        <v>1178</v>
      </c>
      <c r="AA273" s="244" t="s">
        <v>1178</v>
      </c>
    </row>
    <row r="274" spans="2:27" ht="69.75" hidden="1" customHeight="1" x14ac:dyDescent="0.25">
      <c r="B274" s="243" t="s">
        <v>1795</v>
      </c>
      <c r="C274" s="243" t="s">
        <v>1796</v>
      </c>
      <c r="D274" s="243" t="s">
        <v>1797</v>
      </c>
      <c r="E274" s="244">
        <v>0</v>
      </c>
      <c r="F274" s="243" t="s">
        <v>1805</v>
      </c>
      <c r="G274" s="243" t="s">
        <v>1806</v>
      </c>
      <c r="H274" s="246" t="s">
        <v>1802</v>
      </c>
      <c r="I274" s="247">
        <v>7</v>
      </c>
      <c r="J274" s="246" t="s">
        <v>693</v>
      </c>
      <c r="K274" s="247">
        <v>11</v>
      </c>
      <c r="L274" s="247"/>
      <c r="M274" s="251" t="s">
        <v>1807</v>
      </c>
      <c r="N274" s="246" t="s">
        <v>1808</v>
      </c>
      <c r="O274" s="247"/>
      <c r="P274" s="248"/>
      <c r="Q274" s="249"/>
      <c r="R274" s="249"/>
      <c r="S274" s="246"/>
      <c r="T274" s="246"/>
      <c r="U274" s="246"/>
      <c r="V274" s="246"/>
      <c r="W274" s="246"/>
      <c r="X274" s="250" t="s">
        <v>1178</v>
      </c>
      <c r="Y274" s="243" t="s">
        <v>1178</v>
      </c>
      <c r="Z274" s="243" t="s">
        <v>1178</v>
      </c>
      <c r="AA274" s="244" t="s">
        <v>1178</v>
      </c>
    </row>
    <row r="275" spans="2:27" ht="69.75" hidden="1" customHeight="1" x14ac:dyDescent="0.25">
      <c r="B275" s="243" t="s">
        <v>1795</v>
      </c>
      <c r="C275" s="243" t="s">
        <v>1796</v>
      </c>
      <c r="D275" s="243" t="s">
        <v>1797</v>
      </c>
      <c r="E275" s="244">
        <v>0</v>
      </c>
      <c r="F275" s="243" t="s">
        <v>1809</v>
      </c>
      <c r="G275" s="243" t="s">
        <v>1810</v>
      </c>
      <c r="H275" s="246" t="s">
        <v>1802</v>
      </c>
      <c r="I275" s="247">
        <v>8</v>
      </c>
      <c r="J275" s="246" t="s">
        <v>693</v>
      </c>
      <c r="K275" s="247">
        <v>15</v>
      </c>
      <c r="L275" s="247"/>
      <c r="M275" s="251" t="s">
        <v>1811</v>
      </c>
      <c r="N275" s="246" t="s">
        <v>1812</v>
      </c>
      <c r="O275" s="247"/>
      <c r="P275" s="248"/>
      <c r="Q275" s="249"/>
      <c r="R275" s="249"/>
      <c r="S275" s="246"/>
      <c r="T275" s="246"/>
      <c r="U275" s="246"/>
      <c r="V275" s="246"/>
      <c r="W275" s="246"/>
      <c r="X275" s="250" t="s">
        <v>1178</v>
      </c>
      <c r="Y275" s="243" t="s">
        <v>1178</v>
      </c>
      <c r="Z275" s="243" t="s">
        <v>1178</v>
      </c>
      <c r="AA275" s="244" t="s">
        <v>1178</v>
      </c>
    </row>
    <row r="276" spans="2:27" ht="69.75" hidden="1" customHeight="1" x14ac:dyDescent="0.25">
      <c r="B276" s="243" t="s">
        <v>1795</v>
      </c>
      <c r="C276" s="243" t="s">
        <v>1796</v>
      </c>
      <c r="D276" s="243" t="s">
        <v>1797</v>
      </c>
      <c r="E276" s="252">
        <v>0</v>
      </c>
      <c r="F276" s="253" t="s">
        <v>1813</v>
      </c>
      <c r="G276" s="253" t="s">
        <v>1814</v>
      </c>
      <c r="H276" s="246" t="s">
        <v>799</v>
      </c>
      <c r="I276" s="247">
        <v>9</v>
      </c>
      <c r="J276" s="246" t="s">
        <v>693</v>
      </c>
      <c r="K276" s="247">
        <v>3</v>
      </c>
      <c r="L276" s="247"/>
      <c r="M276" s="251" t="s">
        <v>1815</v>
      </c>
      <c r="N276" s="246"/>
      <c r="O276" s="247"/>
      <c r="P276" s="254" t="s">
        <v>1816</v>
      </c>
      <c r="Q276" s="255"/>
      <c r="R276" s="255"/>
      <c r="S276" s="246"/>
      <c r="T276" s="246"/>
      <c r="U276" s="246"/>
      <c r="V276" s="246"/>
      <c r="W276" s="246"/>
      <c r="X276" s="250" t="s">
        <v>1817</v>
      </c>
      <c r="Y276" s="243" t="s">
        <v>1818</v>
      </c>
      <c r="Z276" s="243" t="s">
        <v>1819</v>
      </c>
      <c r="AA276" s="244" t="s">
        <v>1820</v>
      </c>
    </row>
    <row r="277" spans="2:27" ht="69.75" hidden="1" customHeight="1" x14ac:dyDescent="0.25">
      <c r="B277" s="243" t="s">
        <v>1795</v>
      </c>
      <c r="C277" s="243" t="s">
        <v>1796</v>
      </c>
      <c r="D277" s="243" t="s">
        <v>1797</v>
      </c>
      <c r="E277" s="252">
        <v>0</v>
      </c>
      <c r="F277" s="253" t="s">
        <v>1821</v>
      </c>
      <c r="G277" s="253" t="s">
        <v>1822</v>
      </c>
      <c r="H277" s="246" t="s">
        <v>799</v>
      </c>
      <c r="I277" s="247">
        <v>10</v>
      </c>
      <c r="J277" s="246" t="s">
        <v>693</v>
      </c>
      <c r="K277" s="247">
        <v>3</v>
      </c>
      <c r="L277" s="247"/>
      <c r="M277" s="251" t="s">
        <v>1815</v>
      </c>
      <c r="N277" s="246"/>
      <c r="O277" s="247"/>
      <c r="P277" s="254" t="s">
        <v>1823</v>
      </c>
      <c r="Q277" s="255"/>
      <c r="R277" s="255"/>
      <c r="S277" s="246"/>
      <c r="T277" s="246"/>
      <c r="U277" s="246"/>
      <c r="V277" s="246"/>
      <c r="W277" s="246"/>
      <c r="X277" s="250" t="s">
        <v>1817</v>
      </c>
      <c r="Y277" s="243" t="s">
        <v>1824</v>
      </c>
      <c r="Z277" s="243" t="s">
        <v>1825</v>
      </c>
      <c r="AA277" s="244" t="s">
        <v>1820</v>
      </c>
    </row>
    <row r="278" spans="2:27" ht="69.75" hidden="1" customHeight="1" x14ac:dyDescent="0.25">
      <c r="B278" s="243" t="s">
        <v>1795</v>
      </c>
      <c r="C278" s="243" t="s">
        <v>1796</v>
      </c>
      <c r="D278" s="243" t="s">
        <v>1797</v>
      </c>
      <c r="E278" s="252">
        <v>0</v>
      </c>
      <c r="F278" s="253" t="s">
        <v>1826</v>
      </c>
      <c r="G278" s="253" t="s">
        <v>1827</v>
      </c>
      <c r="H278" s="246" t="s">
        <v>1802</v>
      </c>
      <c r="I278" s="247">
        <v>11</v>
      </c>
      <c r="J278" s="246" t="s">
        <v>1205</v>
      </c>
      <c r="K278" s="247"/>
      <c r="L278" s="247"/>
      <c r="M278" s="251" t="s">
        <v>1828</v>
      </c>
      <c r="N278" s="246"/>
      <c r="O278" s="247"/>
      <c r="P278" s="248"/>
      <c r="Q278" s="255"/>
      <c r="R278" s="255"/>
      <c r="S278" s="246"/>
      <c r="T278" s="246"/>
      <c r="U278" s="246"/>
      <c r="V278" s="246"/>
      <c r="W278" s="246"/>
      <c r="X278" s="250" t="s">
        <v>1817</v>
      </c>
      <c r="Y278" s="243" t="s">
        <v>1818</v>
      </c>
      <c r="Z278" s="243" t="s">
        <v>1829</v>
      </c>
      <c r="AA278" s="244" t="s">
        <v>1820</v>
      </c>
    </row>
    <row r="279" spans="2:27" ht="69.75" hidden="1" customHeight="1" x14ac:dyDescent="0.25">
      <c r="B279" s="253" t="s">
        <v>1795</v>
      </c>
      <c r="C279" s="253" t="s">
        <v>1796</v>
      </c>
      <c r="D279" s="243" t="s">
        <v>1797</v>
      </c>
      <c r="E279" s="252">
        <v>0</v>
      </c>
      <c r="F279" s="253" t="s">
        <v>1830</v>
      </c>
      <c r="G279" s="253" t="s">
        <v>1831</v>
      </c>
      <c r="H279" s="246" t="s">
        <v>1802</v>
      </c>
      <c r="I279" s="247">
        <v>12</v>
      </c>
      <c r="J279" s="246" t="s">
        <v>693</v>
      </c>
      <c r="K279" s="247">
        <v>20</v>
      </c>
      <c r="L279" s="247"/>
      <c r="M279" s="251" t="s">
        <v>1832</v>
      </c>
      <c r="N279" s="246" t="s">
        <v>1833</v>
      </c>
      <c r="O279" s="247"/>
      <c r="P279" s="248"/>
      <c r="Q279" s="255"/>
      <c r="R279" s="255"/>
      <c r="S279" s="246"/>
      <c r="T279" s="246"/>
      <c r="U279" s="246"/>
      <c r="V279" s="246"/>
      <c r="W279" s="246"/>
      <c r="X279" s="250" t="s">
        <v>1178</v>
      </c>
      <c r="Y279" s="253" t="s">
        <v>1178</v>
      </c>
      <c r="Z279" s="253" t="s">
        <v>1178</v>
      </c>
      <c r="AA279" s="252" t="s">
        <v>1178</v>
      </c>
    </row>
    <row r="280" spans="2:27" ht="45" hidden="1" customHeight="1" x14ac:dyDescent="0.25">
      <c r="B280" s="253" t="s">
        <v>1795</v>
      </c>
      <c r="C280" s="253" t="s">
        <v>1796</v>
      </c>
      <c r="D280" s="243" t="s">
        <v>1797</v>
      </c>
      <c r="E280" s="252">
        <v>0</v>
      </c>
      <c r="F280" s="243" t="s">
        <v>805</v>
      </c>
      <c r="G280" s="253" t="s">
        <v>806</v>
      </c>
      <c r="H280" s="246" t="s">
        <v>807</v>
      </c>
      <c r="I280" s="247">
        <v>13</v>
      </c>
      <c r="J280" s="246" t="s">
        <v>693</v>
      </c>
      <c r="K280" s="247">
        <v>10</v>
      </c>
      <c r="L280" s="247"/>
      <c r="M280" s="251" t="s">
        <v>808</v>
      </c>
      <c r="N280" s="246" t="s">
        <v>1834</v>
      </c>
      <c r="O280" s="247" t="s">
        <v>695</v>
      </c>
      <c r="P280" s="248"/>
      <c r="Q280" s="255"/>
      <c r="R280" s="255"/>
      <c r="S280" s="246"/>
      <c r="T280" s="246"/>
      <c r="U280" s="246"/>
      <c r="V280" s="246"/>
      <c r="W280" s="246"/>
      <c r="X280" s="250" t="s">
        <v>1178</v>
      </c>
      <c r="Y280" s="253" t="s">
        <v>1178</v>
      </c>
      <c r="Z280" s="253" t="s">
        <v>1178</v>
      </c>
      <c r="AA280" s="252" t="s">
        <v>1178</v>
      </c>
    </row>
    <row r="281" spans="2:27" ht="69.75" hidden="1" customHeight="1" x14ac:dyDescent="0.25">
      <c r="B281" s="253" t="s">
        <v>1795</v>
      </c>
      <c r="C281" s="253" t="s">
        <v>1796</v>
      </c>
      <c r="D281" s="243" t="s">
        <v>1797</v>
      </c>
      <c r="E281" s="252">
        <v>0</v>
      </c>
      <c r="F281" s="243" t="s">
        <v>812</v>
      </c>
      <c r="G281" s="253" t="s">
        <v>813</v>
      </c>
      <c r="H281" s="246" t="s">
        <v>814</v>
      </c>
      <c r="I281" s="247">
        <v>14</v>
      </c>
      <c r="J281" s="246" t="s">
        <v>815</v>
      </c>
      <c r="K281" s="247">
        <v>23</v>
      </c>
      <c r="L281" s="247"/>
      <c r="M281" s="251" t="s">
        <v>816</v>
      </c>
      <c r="N281" s="246" t="s">
        <v>1835</v>
      </c>
      <c r="O281" s="247"/>
      <c r="P281" s="248"/>
      <c r="Q281" s="255"/>
      <c r="R281" s="255"/>
      <c r="S281" s="246"/>
      <c r="T281" s="246"/>
      <c r="U281" s="246"/>
      <c r="V281" s="246"/>
      <c r="W281" s="246"/>
      <c r="X281" s="250" t="s">
        <v>1178</v>
      </c>
      <c r="Y281" s="253" t="s">
        <v>1178</v>
      </c>
      <c r="Z281" s="253" t="s">
        <v>1178</v>
      </c>
      <c r="AA281" s="252" t="s">
        <v>1178</v>
      </c>
    </row>
    <row r="282" spans="2:27" ht="69.75" customHeight="1" x14ac:dyDescent="0.25"/>
    <row r="283" spans="2:27" ht="69.75" customHeight="1" x14ac:dyDescent="0.25"/>
    <row r="284" spans="2:27" ht="69.75" customHeight="1" x14ac:dyDescent="0.25">
      <c r="G284" s="33"/>
    </row>
    <row r="285" spans="2:27" ht="69.75" customHeight="1" x14ac:dyDescent="0.25">
      <c r="G285" s="33"/>
    </row>
    <row r="286" spans="2:27" ht="69.75" customHeight="1" x14ac:dyDescent="0.25">
      <c r="G286" s="33"/>
    </row>
    <row r="287" spans="2:27" ht="69.75" customHeight="1" x14ac:dyDescent="0.25">
      <c r="G287" s="33"/>
    </row>
    <row r="288" spans="2:27" ht="69.75" customHeight="1" x14ac:dyDescent="0.25">
      <c r="G288" s="33"/>
    </row>
    <row r="289" spans="7:7" ht="69.75" customHeight="1" x14ac:dyDescent="0.25">
      <c r="G289" s="33"/>
    </row>
    <row r="290" spans="7:7" x14ac:dyDescent="0.25">
      <c r="G290" s="33"/>
    </row>
    <row r="291" spans="7:7" x14ac:dyDescent="0.25">
      <c r="G291" s="33"/>
    </row>
    <row r="292" spans="7:7" x14ac:dyDescent="0.25">
      <c r="G292" s="33"/>
    </row>
    <row r="293" spans="7:7" x14ac:dyDescent="0.25"/>
    <row r="294" spans="7:7" x14ac:dyDescent="0.25"/>
    <row r="295" spans="7:7" x14ac:dyDescent="0.25"/>
    <row r="296" spans="7:7" x14ac:dyDescent="0.25"/>
    <row r="297" spans="7:7" x14ac:dyDescent="0.25"/>
    <row r="298" spans="7:7" x14ac:dyDescent="0.25"/>
    <row r="299" spans="7:7" x14ac:dyDescent="0.25"/>
    <row r="300" spans="7:7" x14ac:dyDescent="0.25"/>
    <row r="301" spans="7:7" x14ac:dyDescent="0.25"/>
    <row r="302" spans="7:7" x14ac:dyDescent="0.25"/>
    <row r="303" spans="7:7" x14ac:dyDescent="0.25"/>
    <row r="304" spans="7:7"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53" x14ac:dyDescent="0.25"/>
    <row r="654" x14ac:dyDescent="0.25"/>
    <row r="655" x14ac:dyDescent="0.25"/>
    <row r="656" x14ac:dyDescent="0.25"/>
    <row r="657" x14ac:dyDescent="0.25"/>
    <row r="658" x14ac:dyDescent="0.25"/>
    <row r="659" x14ac:dyDescent="0.25"/>
    <row r="660"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sheetData>
  <sortState xmlns:xlrd2="http://schemas.microsoft.com/office/spreadsheetml/2017/richdata2" ref="B8:AA138">
    <sortCondition ref="C8:C138"/>
    <sortCondition ref="G8:G138"/>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3"/>
  <sheetViews>
    <sheetView showGridLines="0" topLeftCell="D13" workbookViewId="0">
      <selection activeCell="E63" sqref="E63"/>
    </sheetView>
  </sheetViews>
  <sheetFormatPr defaultRowHeight="15" x14ac:dyDescent="0.2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x14ac:dyDescent="0.25"/>
    <row r="2" spans="2:9" x14ac:dyDescent="0.25">
      <c r="B2" s="89" t="s">
        <v>1836</v>
      </c>
      <c r="C2" s="89" t="s">
        <v>665</v>
      </c>
      <c r="D2" s="89" t="s">
        <v>1837</v>
      </c>
      <c r="E2" s="89" t="s">
        <v>1838</v>
      </c>
      <c r="F2" s="89" t="s">
        <v>1839</v>
      </c>
      <c r="G2" s="89" t="s">
        <v>1840</v>
      </c>
      <c r="H2" s="90" t="s">
        <v>1841</v>
      </c>
      <c r="I2" s="236" t="s">
        <v>1842</v>
      </c>
    </row>
    <row r="3" spans="2:9" ht="39.75" hidden="1" customHeight="1" x14ac:dyDescent="0.25">
      <c r="B3" s="77" t="s">
        <v>648</v>
      </c>
      <c r="C3" s="77" t="s">
        <v>649</v>
      </c>
      <c r="D3" s="77" t="s">
        <v>1843</v>
      </c>
      <c r="E3" s="77" t="s">
        <v>1844</v>
      </c>
      <c r="F3" s="77" t="s">
        <v>1845</v>
      </c>
      <c r="G3" s="77" t="s">
        <v>1846</v>
      </c>
      <c r="H3" s="87" t="s">
        <v>1847</v>
      </c>
      <c r="I3" s="87" t="s">
        <v>1848</v>
      </c>
    </row>
    <row r="4" spans="2:9" ht="39.75" hidden="1" customHeight="1" x14ac:dyDescent="0.25">
      <c r="B4" s="77" t="s">
        <v>648</v>
      </c>
      <c r="C4" s="77" t="s">
        <v>649</v>
      </c>
      <c r="D4" s="77" t="s">
        <v>1843</v>
      </c>
      <c r="E4" s="77" t="s">
        <v>1844</v>
      </c>
      <c r="F4" s="77" t="s">
        <v>1849</v>
      </c>
      <c r="G4" s="77" t="s">
        <v>1850</v>
      </c>
      <c r="H4" s="87" t="s">
        <v>1851</v>
      </c>
      <c r="I4" s="87" t="s">
        <v>1852</v>
      </c>
    </row>
    <row r="5" spans="2:9" ht="39.75" hidden="1" customHeight="1" x14ac:dyDescent="0.25">
      <c r="B5" s="77" t="s">
        <v>648</v>
      </c>
      <c r="C5" s="77" t="s">
        <v>649</v>
      </c>
      <c r="D5" s="77" t="s">
        <v>1843</v>
      </c>
      <c r="E5" s="77" t="s">
        <v>1844</v>
      </c>
      <c r="F5" s="77" t="s">
        <v>1849</v>
      </c>
      <c r="G5" s="77" t="s">
        <v>1853</v>
      </c>
      <c r="H5" s="87" t="s">
        <v>1854</v>
      </c>
      <c r="I5" s="87" t="s">
        <v>1852</v>
      </c>
    </row>
    <row r="6" spans="2:9" ht="39.75" hidden="1" customHeight="1" x14ac:dyDescent="0.25">
      <c r="B6" s="77" t="s">
        <v>648</v>
      </c>
      <c r="C6" s="77" t="s">
        <v>649</v>
      </c>
      <c r="D6" s="77" t="s">
        <v>1855</v>
      </c>
      <c r="E6" s="77" t="s">
        <v>1856</v>
      </c>
      <c r="F6" s="132" t="s">
        <v>1855</v>
      </c>
      <c r="G6" s="77" t="s">
        <v>1857</v>
      </c>
      <c r="H6" s="87" t="s">
        <v>1858</v>
      </c>
      <c r="I6" s="87" t="s">
        <v>1848</v>
      </c>
    </row>
    <row r="7" spans="2:9" ht="39.75" hidden="1" customHeight="1" x14ac:dyDescent="0.25">
      <c r="B7" s="83" t="s">
        <v>648</v>
      </c>
      <c r="C7" s="77" t="s">
        <v>649</v>
      </c>
      <c r="D7" s="83" t="s">
        <v>1859</v>
      </c>
      <c r="E7" s="83" t="s">
        <v>1860</v>
      </c>
      <c r="F7" s="83" t="s">
        <v>1859</v>
      </c>
      <c r="G7" s="83" t="s">
        <v>1861</v>
      </c>
      <c r="H7" s="91" t="s">
        <v>1862</v>
      </c>
      <c r="I7" s="87" t="s">
        <v>1848</v>
      </c>
    </row>
    <row r="8" spans="2:9" ht="39.75" hidden="1" customHeight="1" x14ac:dyDescent="0.25">
      <c r="B8" s="83" t="s">
        <v>651</v>
      </c>
      <c r="C8" s="83" t="s">
        <v>652</v>
      </c>
      <c r="D8" s="83" t="s">
        <v>1859</v>
      </c>
      <c r="E8" s="83" t="s">
        <v>1860</v>
      </c>
      <c r="F8" s="83" t="s">
        <v>1859</v>
      </c>
      <c r="G8" s="83" t="s">
        <v>1863</v>
      </c>
      <c r="H8" s="91" t="s">
        <v>1864</v>
      </c>
      <c r="I8" s="87" t="s">
        <v>1848</v>
      </c>
    </row>
    <row r="9" spans="2:9" ht="39.75" hidden="1" customHeight="1" x14ac:dyDescent="0.25">
      <c r="B9" s="83" t="s">
        <v>651</v>
      </c>
      <c r="C9" s="83" t="s">
        <v>652</v>
      </c>
      <c r="D9" s="83" t="s">
        <v>1859</v>
      </c>
      <c r="E9" s="83" t="s">
        <v>1861</v>
      </c>
      <c r="F9" s="83" t="s">
        <v>1865</v>
      </c>
      <c r="G9" s="83" t="s">
        <v>1866</v>
      </c>
      <c r="H9" s="91" t="s">
        <v>1867</v>
      </c>
      <c r="I9" s="87" t="s">
        <v>1848</v>
      </c>
    </row>
    <row r="10" spans="2:9" ht="39.75" hidden="1" customHeight="1" x14ac:dyDescent="0.25">
      <c r="B10" s="83" t="s">
        <v>651</v>
      </c>
      <c r="C10" s="83" t="s">
        <v>652</v>
      </c>
      <c r="D10" s="83" t="s">
        <v>1865</v>
      </c>
      <c r="E10" s="77" t="s">
        <v>1868</v>
      </c>
      <c r="F10" s="77" t="s">
        <v>1865</v>
      </c>
      <c r="G10" s="77" t="s">
        <v>1866</v>
      </c>
      <c r="H10" s="87" t="s">
        <v>1869</v>
      </c>
      <c r="I10" s="87" t="s">
        <v>1848</v>
      </c>
    </row>
    <row r="11" spans="2:9" ht="39.75" customHeight="1" x14ac:dyDescent="0.25">
      <c r="B11" s="83" t="s">
        <v>1056</v>
      </c>
      <c r="C11" s="83" t="s">
        <v>1058</v>
      </c>
      <c r="D11" s="83" t="s">
        <v>1855</v>
      </c>
      <c r="E11" s="77" t="s">
        <v>1856</v>
      </c>
      <c r="F11" s="132" t="s">
        <v>1855</v>
      </c>
      <c r="G11" s="77" t="s">
        <v>1857</v>
      </c>
      <c r="H11" s="87" t="s">
        <v>1858</v>
      </c>
      <c r="I11" s="87" t="s">
        <v>1848</v>
      </c>
    </row>
    <row r="12" spans="2:9" ht="39.75" customHeight="1" x14ac:dyDescent="0.25">
      <c r="B12" s="83" t="s">
        <v>1056</v>
      </c>
      <c r="C12" s="83" t="s">
        <v>1058</v>
      </c>
      <c r="D12" s="83" t="s">
        <v>1859</v>
      </c>
      <c r="E12" s="83" t="s">
        <v>1860</v>
      </c>
      <c r="F12" s="83" t="s">
        <v>1859</v>
      </c>
      <c r="G12" s="83" t="s">
        <v>1861</v>
      </c>
      <c r="H12" s="91" t="s">
        <v>1870</v>
      </c>
      <c r="I12" s="87" t="s">
        <v>1848</v>
      </c>
    </row>
    <row r="13" spans="2:9" ht="39.75" customHeight="1" x14ac:dyDescent="0.25">
      <c r="B13" s="83" t="s">
        <v>1056</v>
      </c>
      <c r="C13" s="83" t="s">
        <v>1058</v>
      </c>
      <c r="D13" s="83" t="s">
        <v>1859</v>
      </c>
      <c r="E13" s="83" t="s">
        <v>1861</v>
      </c>
      <c r="F13" s="132" t="s">
        <v>1855</v>
      </c>
      <c r="G13" s="77" t="s">
        <v>1857</v>
      </c>
      <c r="H13" s="91" t="s">
        <v>1871</v>
      </c>
      <c r="I13" s="87" t="s">
        <v>1848</v>
      </c>
    </row>
    <row r="14" spans="2:9" ht="39.75" hidden="1" customHeight="1" x14ac:dyDescent="0.25">
      <c r="B14" s="83" t="s">
        <v>1281</v>
      </c>
      <c r="C14" s="234" t="s">
        <v>1283</v>
      </c>
      <c r="D14" s="83" t="s">
        <v>1872</v>
      </c>
      <c r="E14" s="83" t="s">
        <v>1873</v>
      </c>
      <c r="F14" s="83" t="s">
        <v>1872</v>
      </c>
      <c r="G14" s="83" t="s">
        <v>1874</v>
      </c>
      <c r="H14" s="91" t="s">
        <v>1875</v>
      </c>
      <c r="I14" s="87" t="s">
        <v>1852</v>
      </c>
    </row>
    <row r="15" spans="2:9" ht="39.75" hidden="1" customHeight="1" x14ac:dyDescent="0.25">
      <c r="B15" s="83" t="s">
        <v>1281</v>
      </c>
      <c r="C15" s="79" t="s">
        <v>1283</v>
      </c>
      <c r="D15" s="83" t="s">
        <v>1872</v>
      </c>
      <c r="E15" s="83" t="s">
        <v>1873</v>
      </c>
      <c r="F15" s="83" t="s">
        <v>1872</v>
      </c>
      <c r="G15" s="83" t="s">
        <v>1876</v>
      </c>
      <c r="H15" s="91" t="s">
        <v>1877</v>
      </c>
      <c r="I15" s="87" t="s">
        <v>1852</v>
      </c>
    </row>
    <row r="16" spans="2:9" ht="39.75" hidden="1" customHeight="1" x14ac:dyDescent="0.25">
      <c r="B16" s="83" t="s">
        <v>1281</v>
      </c>
      <c r="C16" s="79" t="s">
        <v>1283</v>
      </c>
      <c r="D16" s="83" t="s">
        <v>1872</v>
      </c>
      <c r="E16" s="83" t="s">
        <v>1873</v>
      </c>
      <c r="F16" s="83" t="s">
        <v>1872</v>
      </c>
      <c r="G16" s="83" t="s">
        <v>1878</v>
      </c>
      <c r="H16" s="91" t="s">
        <v>1879</v>
      </c>
      <c r="I16" s="91" t="s">
        <v>1852</v>
      </c>
    </row>
    <row r="17" spans="2:9" ht="39.75" hidden="1" customHeight="1" x14ac:dyDescent="0.25">
      <c r="B17" s="83" t="s">
        <v>1281</v>
      </c>
      <c r="C17" s="79" t="s">
        <v>1283</v>
      </c>
      <c r="D17" s="83" t="s">
        <v>1872</v>
      </c>
      <c r="E17" s="83" t="s">
        <v>1878</v>
      </c>
      <c r="F17" s="83" t="s">
        <v>1872</v>
      </c>
      <c r="G17" s="83" t="s">
        <v>1880</v>
      </c>
      <c r="H17" s="81" t="s">
        <v>1881</v>
      </c>
      <c r="I17" s="87" t="s">
        <v>1852</v>
      </c>
    </row>
    <row r="18" spans="2:9" ht="39.75" hidden="1" customHeight="1" x14ac:dyDescent="0.25">
      <c r="B18" s="83" t="s">
        <v>1281</v>
      </c>
      <c r="C18" s="79" t="s">
        <v>1283</v>
      </c>
      <c r="D18" s="83" t="s">
        <v>1855</v>
      </c>
      <c r="E18" s="83" t="s">
        <v>1856</v>
      </c>
      <c r="F18" s="83" t="s">
        <v>1855</v>
      </c>
      <c r="G18" s="83" t="s">
        <v>1882</v>
      </c>
      <c r="H18" s="81" t="s">
        <v>1883</v>
      </c>
      <c r="I18" s="77" t="s">
        <v>1848</v>
      </c>
    </row>
    <row r="19" spans="2:9" ht="39.75" hidden="1" customHeight="1" x14ac:dyDescent="0.25">
      <c r="B19" s="83" t="s">
        <v>1281</v>
      </c>
      <c r="C19" s="79" t="s">
        <v>1283</v>
      </c>
      <c r="D19" s="83" t="s">
        <v>1859</v>
      </c>
      <c r="E19" s="83" t="s">
        <v>1860</v>
      </c>
      <c r="F19" s="83" t="s">
        <v>1859</v>
      </c>
      <c r="G19" s="83" t="s">
        <v>1863</v>
      </c>
      <c r="H19" s="81" t="s">
        <v>1862</v>
      </c>
      <c r="I19" s="77" t="s">
        <v>1848</v>
      </c>
    </row>
    <row r="20" spans="2:9" ht="39.75" hidden="1" customHeight="1" x14ac:dyDescent="0.25">
      <c r="B20" s="83" t="s">
        <v>1281</v>
      </c>
      <c r="C20" s="85" t="s">
        <v>1283</v>
      </c>
      <c r="D20" s="83" t="s">
        <v>1872</v>
      </c>
      <c r="E20" s="83" t="s">
        <v>1878</v>
      </c>
      <c r="F20" s="83" t="s">
        <v>1849</v>
      </c>
      <c r="G20" s="83" t="s">
        <v>1884</v>
      </c>
      <c r="H20" s="81" t="s">
        <v>1885</v>
      </c>
      <c r="I20" s="77" t="s">
        <v>1852</v>
      </c>
    </row>
    <row r="21" spans="2:9" ht="39.75" hidden="1" customHeight="1" x14ac:dyDescent="0.25">
      <c r="B21" s="83" t="s">
        <v>1399</v>
      </c>
      <c r="C21" s="82" t="s">
        <v>1401</v>
      </c>
      <c r="D21" s="83" t="s">
        <v>1855</v>
      </c>
      <c r="E21" s="83" t="s">
        <v>1856</v>
      </c>
      <c r="F21" s="235" t="s">
        <v>1855</v>
      </c>
      <c r="G21" s="83" t="s">
        <v>1857</v>
      </c>
      <c r="H21" s="81" t="s">
        <v>1858</v>
      </c>
      <c r="I21" s="87" t="s">
        <v>1848</v>
      </c>
    </row>
    <row r="22" spans="2:9" ht="39.75" hidden="1" customHeight="1" x14ac:dyDescent="0.25">
      <c r="B22" s="77" t="s">
        <v>1170</v>
      </c>
      <c r="C22" s="158" t="s">
        <v>1172</v>
      </c>
      <c r="D22" s="77" t="s">
        <v>1886</v>
      </c>
      <c r="E22" s="77" t="s">
        <v>1887</v>
      </c>
      <c r="F22" s="77" t="s">
        <v>1886</v>
      </c>
      <c r="G22" s="77" t="s">
        <v>1888</v>
      </c>
      <c r="H22" s="199" t="s">
        <v>1889</v>
      </c>
      <c r="I22" s="87" t="s">
        <v>1848</v>
      </c>
    </row>
    <row r="23" spans="2:9" ht="39.75" hidden="1" customHeight="1" x14ac:dyDescent="0.25">
      <c r="B23" s="77" t="s">
        <v>1170</v>
      </c>
      <c r="C23" s="158" t="s">
        <v>1172</v>
      </c>
      <c r="D23" s="77" t="s">
        <v>1886</v>
      </c>
      <c r="E23" s="77" t="s">
        <v>1890</v>
      </c>
      <c r="F23" s="77" t="s">
        <v>1849</v>
      </c>
      <c r="G23" s="77" t="s">
        <v>1891</v>
      </c>
      <c r="H23" s="87" t="s">
        <v>1892</v>
      </c>
      <c r="I23" s="77" t="s">
        <v>1848</v>
      </c>
    </row>
    <row r="24" spans="2:9" ht="39.75" hidden="1" customHeight="1" x14ac:dyDescent="0.25">
      <c r="B24" s="77" t="s">
        <v>1170</v>
      </c>
      <c r="C24" s="158" t="s">
        <v>1172</v>
      </c>
      <c r="D24" s="77" t="s">
        <v>1886</v>
      </c>
      <c r="E24" s="77" t="s">
        <v>1887</v>
      </c>
      <c r="F24" s="77" t="s">
        <v>1886</v>
      </c>
      <c r="G24" s="77" t="s">
        <v>1893</v>
      </c>
      <c r="H24" s="87" t="s">
        <v>1894</v>
      </c>
      <c r="I24" s="87" t="s">
        <v>1852</v>
      </c>
    </row>
    <row r="25" spans="2:9" ht="39.75" hidden="1" customHeight="1" x14ac:dyDescent="0.25">
      <c r="B25" s="77" t="s">
        <v>1170</v>
      </c>
      <c r="C25" s="158" t="s">
        <v>1172</v>
      </c>
      <c r="D25" s="77" t="s">
        <v>1886</v>
      </c>
      <c r="E25" s="77" t="s">
        <v>1887</v>
      </c>
      <c r="F25" s="77" t="s">
        <v>1886</v>
      </c>
      <c r="G25" s="77" t="s">
        <v>1895</v>
      </c>
      <c r="H25" s="87" t="s">
        <v>1896</v>
      </c>
      <c r="I25" s="87" t="s">
        <v>1852</v>
      </c>
    </row>
    <row r="26" spans="2:9" ht="39.75" hidden="1" customHeight="1" x14ac:dyDescent="0.25">
      <c r="B26" s="77" t="s">
        <v>1170</v>
      </c>
      <c r="C26" s="158" t="s">
        <v>1172</v>
      </c>
      <c r="D26" s="77" t="s">
        <v>1886</v>
      </c>
      <c r="E26" s="77" t="s">
        <v>1887</v>
      </c>
      <c r="F26" s="77" t="s">
        <v>1886</v>
      </c>
      <c r="G26" s="77" t="s">
        <v>1897</v>
      </c>
      <c r="H26" s="87" t="s">
        <v>1898</v>
      </c>
      <c r="I26" s="87" t="s">
        <v>1852</v>
      </c>
    </row>
    <row r="27" spans="2:9" ht="39.75" hidden="1" customHeight="1" x14ac:dyDescent="0.25">
      <c r="B27" s="77" t="s">
        <v>1170</v>
      </c>
      <c r="C27" s="158" t="s">
        <v>1172</v>
      </c>
      <c r="D27" s="77" t="s">
        <v>1886</v>
      </c>
      <c r="E27" s="77" t="s">
        <v>1887</v>
      </c>
      <c r="F27" s="87" t="s">
        <v>1899</v>
      </c>
      <c r="G27" s="77" t="s">
        <v>1900</v>
      </c>
      <c r="H27" s="87" t="s">
        <v>1901</v>
      </c>
      <c r="I27" s="87" t="s">
        <v>1852</v>
      </c>
    </row>
    <row r="28" spans="2:9" ht="39.75" hidden="1" customHeight="1" x14ac:dyDescent="0.25">
      <c r="B28" s="83" t="s">
        <v>1170</v>
      </c>
      <c r="C28" s="237" t="s">
        <v>1172</v>
      </c>
      <c r="D28" s="83" t="s">
        <v>1886</v>
      </c>
      <c r="E28" s="83" t="s">
        <v>1887</v>
      </c>
      <c r="F28" s="83" t="s">
        <v>1886</v>
      </c>
      <c r="G28" s="83" t="s">
        <v>1902</v>
      </c>
      <c r="H28" s="91" t="s">
        <v>1903</v>
      </c>
      <c r="I28" s="91" t="s">
        <v>1852</v>
      </c>
    </row>
    <row r="29" spans="2:9" ht="39.75" hidden="1" customHeight="1" x14ac:dyDescent="0.25">
      <c r="B29" s="83" t="s">
        <v>1660</v>
      </c>
      <c r="C29" s="84" t="s">
        <v>1662</v>
      </c>
      <c r="D29" s="77" t="s">
        <v>1886</v>
      </c>
      <c r="E29" s="77" t="s">
        <v>1887</v>
      </c>
      <c r="F29" s="77" t="s">
        <v>1886</v>
      </c>
      <c r="G29" s="77" t="s">
        <v>1888</v>
      </c>
      <c r="H29" s="199" t="s">
        <v>1889</v>
      </c>
      <c r="I29" s="87" t="s">
        <v>1848</v>
      </c>
    </row>
    <row r="30" spans="2:9" ht="39.75" hidden="1" customHeight="1" x14ac:dyDescent="0.25">
      <c r="B30" s="83" t="s">
        <v>1660</v>
      </c>
      <c r="C30" s="84" t="s">
        <v>1662</v>
      </c>
      <c r="D30" s="77" t="s">
        <v>1886</v>
      </c>
      <c r="E30" s="77" t="s">
        <v>1890</v>
      </c>
      <c r="F30" s="77" t="s">
        <v>1849</v>
      </c>
      <c r="G30" s="77" t="s">
        <v>1891</v>
      </c>
      <c r="H30" s="87" t="s">
        <v>1892</v>
      </c>
      <c r="I30" s="77" t="s">
        <v>1848</v>
      </c>
    </row>
    <row r="31" spans="2:9" ht="39.75" hidden="1" customHeight="1" x14ac:dyDescent="0.25">
      <c r="B31" s="83" t="s">
        <v>1660</v>
      </c>
      <c r="C31" s="84" t="s">
        <v>1662</v>
      </c>
      <c r="D31" s="77" t="s">
        <v>1886</v>
      </c>
      <c r="E31" s="77" t="s">
        <v>1887</v>
      </c>
      <c r="F31" s="77" t="s">
        <v>1886</v>
      </c>
      <c r="G31" s="77" t="s">
        <v>1893</v>
      </c>
      <c r="H31" s="87" t="s">
        <v>1894</v>
      </c>
      <c r="I31" s="87" t="s">
        <v>1852</v>
      </c>
    </row>
    <row r="32" spans="2:9" ht="39.75" hidden="1" customHeight="1" x14ac:dyDescent="0.25">
      <c r="B32" s="83" t="s">
        <v>1660</v>
      </c>
      <c r="C32" s="84" t="s">
        <v>1662</v>
      </c>
      <c r="D32" s="77" t="s">
        <v>1886</v>
      </c>
      <c r="E32" s="77" t="s">
        <v>1887</v>
      </c>
      <c r="F32" s="77" t="s">
        <v>1886</v>
      </c>
      <c r="G32" s="77" t="s">
        <v>1895</v>
      </c>
      <c r="H32" s="87" t="s">
        <v>1896</v>
      </c>
      <c r="I32" s="87" t="s">
        <v>1852</v>
      </c>
    </row>
    <row r="33" spans="2:9" ht="39.75" hidden="1" customHeight="1" x14ac:dyDescent="0.25">
      <c r="B33" s="83" t="s">
        <v>1660</v>
      </c>
      <c r="C33" s="84" t="s">
        <v>1662</v>
      </c>
      <c r="D33" s="77" t="s">
        <v>1886</v>
      </c>
      <c r="E33" s="77" t="s">
        <v>1887</v>
      </c>
      <c r="F33" s="77" t="s">
        <v>1886</v>
      </c>
      <c r="G33" s="77" t="s">
        <v>1897</v>
      </c>
      <c r="H33" s="87" t="s">
        <v>1898</v>
      </c>
      <c r="I33" s="87" t="s">
        <v>1852</v>
      </c>
    </row>
    <row r="34" spans="2:9" ht="39.75" hidden="1" customHeight="1" x14ac:dyDescent="0.25">
      <c r="B34" s="83" t="s">
        <v>1660</v>
      </c>
      <c r="C34" s="84" t="s">
        <v>1662</v>
      </c>
      <c r="D34" s="77" t="s">
        <v>1886</v>
      </c>
      <c r="E34" s="77" t="s">
        <v>1887</v>
      </c>
      <c r="F34" s="87" t="s">
        <v>1899</v>
      </c>
      <c r="G34" s="77" t="s">
        <v>1900</v>
      </c>
      <c r="H34" s="87" t="s">
        <v>1901</v>
      </c>
      <c r="I34" s="87" t="s">
        <v>1852</v>
      </c>
    </row>
    <row r="35" spans="2:9" ht="39.75" hidden="1" customHeight="1" x14ac:dyDescent="0.25">
      <c r="B35" s="83" t="s">
        <v>1660</v>
      </c>
      <c r="C35" s="84" t="s">
        <v>1662</v>
      </c>
      <c r="D35" s="83" t="s">
        <v>1886</v>
      </c>
      <c r="E35" s="83" t="s">
        <v>1887</v>
      </c>
      <c r="F35" s="83" t="s">
        <v>1886</v>
      </c>
      <c r="G35" s="83" t="s">
        <v>1902</v>
      </c>
      <c r="H35" s="91" t="s">
        <v>1903</v>
      </c>
      <c r="I35" s="91" t="s">
        <v>1852</v>
      </c>
    </row>
    <row r="36" spans="2:9" ht="51.75" hidden="1" customHeight="1" x14ac:dyDescent="0.25">
      <c r="B36" s="83" t="s">
        <v>869</v>
      </c>
      <c r="C36" s="84" t="s">
        <v>1904</v>
      </c>
      <c r="D36" s="83" t="s">
        <v>1886</v>
      </c>
      <c r="E36" s="83" t="s">
        <v>1905</v>
      </c>
      <c r="F36" s="83" t="s">
        <v>1886</v>
      </c>
      <c r="G36" s="83" t="s">
        <v>1890</v>
      </c>
      <c r="H36" s="91" t="s">
        <v>1906</v>
      </c>
      <c r="I36" s="87" t="s">
        <v>1848</v>
      </c>
    </row>
    <row r="37" spans="2:9" ht="49.5" hidden="1" customHeight="1" x14ac:dyDescent="0.25">
      <c r="B37" s="83" t="s">
        <v>869</v>
      </c>
      <c r="C37" s="84" t="s">
        <v>1904</v>
      </c>
      <c r="D37" s="83" t="s">
        <v>1886</v>
      </c>
      <c r="E37" s="83" t="s">
        <v>1890</v>
      </c>
      <c r="F37" s="83" t="s">
        <v>1849</v>
      </c>
      <c r="G37" s="83" t="s">
        <v>1891</v>
      </c>
      <c r="H37" s="91" t="s">
        <v>1907</v>
      </c>
      <c r="I37" s="87" t="s">
        <v>1848</v>
      </c>
    </row>
    <row r="38" spans="2:9" ht="44.25" hidden="1" customHeight="1" x14ac:dyDescent="0.25">
      <c r="B38" s="83" t="s">
        <v>869</v>
      </c>
      <c r="C38" s="237" t="s">
        <v>1904</v>
      </c>
      <c r="D38" s="83" t="s">
        <v>1886</v>
      </c>
      <c r="E38" s="83" t="s">
        <v>1905</v>
      </c>
      <c r="F38" s="83" t="s">
        <v>1886</v>
      </c>
      <c r="G38" s="83" t="s">
        <v>1902</v>
      </c>
      <c r="H38" s="91" t="s">
        <v>1908</v>
      </c>
      <c r="I38" s="91" t="s">
        <v>1852</v>
      </c>
    </row>
    <row r="39" spans="2:9" ht="43.5" hidden="1" customHeight="1" x14ac:dyDescent="0.25">
      <c r="B39" s="83" t="s">
        <v>869</v>
      </c>
      <c r="C39" s="237" t="s">
        <v>1904</v>
      </c>
      <c r="D39" s="83" t="s">
        <v>1886</v>
      </c>
      <c r="E39" s="83" t="s">
        <v>1905</v>
      </c>
      <c r="F39" s="83" t="s">
        <v>1886</v>
      </c>
      <c r="G39" s="83" t="s">
        <v>1893</v>
      </c>
      <c r="H39" s="91" t="s">
        <v>1909</v>
      </c>
      <c r="I39" s="91" t="s">
        <v>1852</v>
      </c>
    </row>
    <row r="40" spans="2:9" ht="45" hidden="1" x14ac:dyDescent="0.25">
      <c r="B40" s="83" t="s">
        <v>869</v>
      </c>
      <c r="C40" s="237" t="s">
        <v>1904</v>
      </c>
      <c r="D40" s="83" t="s">
        <v>1886</v>
      </c>
      <c r="E40" s="83" t="s">
        <v>1905</v>
      </c>
      <c r="F40" s="83" t="s">
        <v>1886</v>
      </c>
      <c r="G40" s="83" t="s">
        <v>1895</v>
      </c>
      <c r="H40" s="91" t="s">
        <v>1910</v>
      </c>
      <c r="I40" s="91" t="s">
        <v>1852</v>
      </c>
    </row>
    <row r="41" spans="2:9" ht="45.75" hidden="1" customHeight="1" x14ac:dyDescent="0.25">
      <c r="B41" s="83" t="s">
        <v>869</v>
      </c>
      <c r="C41" s="237" t="s">
        <v>1904</v>
      </c>
      <c r="D41" s="83" t="s">
        <v>1886</v>
      </c>
      <c r="E41" s="83" t="s">
        <v>1905</v>
      </c>
      <c r="F41" s="83" t="s">
        <v>1886</v>
      </c>
      <c r="G41" s="83" t="s">
        <v>1897</v>
      </c>
      <c r="H41" s="91" t="s">
        <v>1911</v>
      </c>
      <c r="I41" s="91" t="s">
        <v>1852</v>
      </c>
    </row>
    <row r="42" spans="2:9" ht="55.5" hidden="1" customHeight="1" x14ac:dyDescent="0.25">
      <c r="B42" s="83" t="s">
        <v>869</v>
      </c>
      <c r="C42" s="237" t="s">
        <v>1904</v>
      </c>
      <c r="D42" s="83" t="s">
        <v>1886</v>
      </c>
      <c r="E42" s="83" t="s">
        <v>1887</v>
      </c>
      <c r="F42" s="83" t="s">
        <v>1886</v>
      </c>
      <c r="G42" s="83" t="s">
        <v>1890</v>
      </c>
      <c r="H42" s="91" t="s">
        <v>1889</v>
      </c>
      <c r="I42" s="87" t="s">
        <v>1848</v>
      </c>
    </row>
    <row r="43" spans="2:9" ht="66" hidden="1" customHeight="1" x14ac:dyDescent="0.25">
      <c r="B43" s="83" t="s">
        <v>869</v>
      </c>
      <c r="C43" s="237" t="s">
        <v>1904</v>
      </c>
      <c r="D43" s="83" t="s">
        <v>1886</v>
      </c>
      <c r="E43" s="83" t="s">
        <v>1887</v>
      </c>
      <c r="F43" s="83" t="s">
        <v>1886</v>
      </c>
      <c r="G43" s="83" t="s">
        <v>1902</v>
      </c>
      <c r="H43" s="91" t="s">
        <v>1912</v>
      </c>
      <c r="I43" s="91" t="s">
        <v>1852</v>
      </c>
    </row>
    <row r="44" spans="2:9" ht="66.75" hidden="1" customHeight="1" x14ac:dyDescent="0.25">
      <c r="B44" s="83" t="s">
        <v>869</v>
      </c>
      <c r="C44" s="237" t="s">
        <v>1904</v>
      </c>
      <c r="D44" s="83" t="s">
        <v>1886</v>
      </c>
      <c r="E44" s="83" t="s">
        <v>1887</v>
      </c>
      <c r="F44" s="83" t="s">
        <v>1886</v>
      </c>
      <c r="G44" s="83" t="s">
        <v>1893</v>
      </c>
      <c r="H44" s="91" t="s">
        <v>1894</v>
      </c>
      <c r="I44" s="91" t="s">
        <v>1852</v>
      </c>
    </row>
    <row r="45" spans="2:9" ht="58.5" hidden="1" customHeight="1" x14ac:dyDescent="0.25">
      <c r="B45" s="83" t="s">
        <v>869</v>
      </c>
      <c r="C45" s="237" t="s">
        <v>1904</v>
      </c>
      <c r="D45" s="83" t="s">
        <v>1886</v>
      </c>
      <c r="E45" s="83" t="s">
        <v>1887</v>
      </c>
      <c r="F45" s="83" t="s">
        <v>1886</v>
      </c>
      <c r="G45" s="83" t="s">
        <v>1895</v>
      </c>
      <c r="H45" s="91" t="s">
        <v>1913</v>
      </c>
      <c r="I45" s="91" t="s">
        <v>1852</v>
      </c>
    </row>
    <row r="46" spans="2:9" ht="59.25" hidden="1" customHeight="1" x14ac:dyDescent="0.25">
      <c r="B46" s="83" t="s">
        <v>869</v>
      </c>
      <c r="C46" s="237" t="s">
        <v>1904</v>
      </c>
      <c r="D46" s="83" t="s">
        <v>1886</v>
      </c>
      <c r="E46" s="83" t="s">
        <v>1887</v>
      </c>
      <c r="F46" s="83" t="s">
        <v>1886</v>
      </c>
      <c r="G46" s="83" t="s">
        <v>1897</v>
      </c>
      <c r="H46" s="91" t="s">
        <v>1898</v>
      </c>
      <c r="I46" s="91" t="s">
        <v>1852</v>
      </c>
    </row>
    <row r="47" spans="2:9" ht="45.75" hidden="1" customHeight="1" x14ac:dyDescent="0.25">
      <c r="B47" s="83" t="s">
        <v>869</v>
      </c>
      <c r="C47" s="237" t="s">
        <v>1904</v>
      </c>
      <c r="D47" s="83" t="s">
        <v>1855</v>
      </c>
      <c r="E47" s="83" t="s">
        <v>1856</v>
      </c>
      <c r="F47" s="83" t="s">
        <v>1855</v>
      </c>
      <c r="G47" s="83" t="s">
        <v>1882</v>
      </c>
      <c r="H47" s="91" t="s">
        <v>1914</v>
      </c>
      <c r="I47" s="87" t="s">
        <v>1848</v>
      </c>
    </row>
    <row r="48" spans="2:9" ht="43.5" hidden="1" customHeight="1" x14ac:dyDescent="0.25">
      <c r="B48" s="83" t="s">
        <v>869</v>
      </c>
      <c r="C48" s="237" t="s">
        <v>1904</v>
      </c>
      <c r="D48" s="83" t="s">
        <v>1859</v>
      </c>
      <c r="E48" s="83" t="s">
        <v>1860</v>
      </c>
      <c r="F48" s="83" t="s">
        <v>1859</v>
      </c>
      <c r="G48" s="83" t="s">
        <v>1863</v>
      </c>
      <c r="H48" s="91" t="s">
        <v>1915</v>
      </c>
      <c r="I48" s="91" t="s">
        <v>1852</v>
      </c>
    </row>
    <row r="49" spans="2:9" ht="39" hidden="1" customHeight="1" x14ac:dyDescent="0.25">
      <c r="B49" s="83" t="s">
        <v>869</v>
      </c>
      <c r="C49" s="237" t="s">
        <v>1904</v>
      </c>
      <c r="D49" s="83" t="s">
        <v>1859</v>
      </c>
      <c r="E49" s="83" t="s">
        <v>1860</v>
      </c>
      <c r="F49" s="83" t="s">
        <v>1886</v>
      </c>
      <c r="G49" s="83" t="s">
        <v>1890</v>
      </c>
      <c r="H49" s="91" t="s">
        <v>1916</v>
      </c>
      <c r="I49" s="91" t="s">
        <v>1852</v>
      </c>
    </row>
    <row r="50" spans="2:9" ht="30" hidden="1" x14ac:dyDescent="0.25">
      <c r="B50" s="83" t="s">
        <v>1693</v>
      </c>
      <c r="C50" s="84" t="s">
        <v>1695</v>
      </c>
      <c r="D50" s="83" t="s">
        <v>1917</v>
      </c>
      <c r="E50" s="83" t="s">
        <v>1918</v>
      </c>
      <c r="F50" s="83" t="s">
        <v>1917</v>
      </c>
      <c r="G50" s="83" t="s">
        <v>1919</v>
      </c>
      <c r="H50" s="91" t="s">
        <v>1920</v>
      </c>
      <c r="I50" s="87" t="s">
        <v>1848</v>
      </c>
    </row>
    <row r="51" spans="2:9" ht="83.25" hidden="1" customHeight="1" x14ac:dyDescent="0.25">
      <c r="B51" s="83" t="s">
        <v>1536</v>
      </c>
      <c r="C51" s="84" t="s">
        <v>1538</v>
      </c>
      <c r="D51" s="83" t="s">
        <v>1921</v>
      </c>
      <c r="E51" s="83" t="s">
        <v>1922</v>
      </c>
      <c r="F51" s="83" t="s">
        <v>1921</v>
      </c>
      <c r="G51" s="83" t="s">
        <v>1923</v>
      </c>
      <c r="H51" s="91" t="s">
        <v>1924</v>
      </c>
      <c r="I51" s="91" t="s">
        <v>1848</v>
      </c>
    </row>
    <row r="52" spans="2:9" ht="87.75" hidden="1" customHeight="1" x14ac:dyDescent="0.25">
      <c r="B52" s="83" t="s">
        <v>1536</v>
      </c>
      <c r="C52" s="237" t="s">
        <v>1538</v>
      </c>
      <c r="D52" s="83" t="s">
        <v>1921</v>
      </c>
      <c r="E52" s="83" t="s">
        <v>1925</v>
      </c>
      <c r="F52" s="83" t="s">
        <v>1921</v>
      </c>
      <c r="G52" s="83" t="s">
        <v>1926</v>
      </c>
      <c r="H52" s="91" t="s">
        <v>1927</v>
      </c>
      <c r="I52" s="91" t="s">
        <v>1848</v>
      </c>
    </row>
    <row r="53" spans="2:9" ht="49.5" hidden="1" customHeight="1" x14ac:dyDescent="0.25">
      <c r="B53" s="83" t="s">
        <v>1536</v>
      </c>
      <c r="C53" s="237" t="s">
        <v>1538</v>
      </c>
      <c r="D53" s="83" t="s">
        <v>1921</v>
      </c>
      <c r="E53" s="83" t="s">
        <v>1925</v>
      </c>
      <c r="F53" s="83" t="s">
        <v>1849</v>
      </c>
      <c r="G53" s="83" t="s">
        <v>1884</v>
      </c>
      <c r="H53" s="91" t="s">
        <v>1928</v>
      </c>
      <c r="I53" s="91" t="s">
        <v>1852</v>
      </c>
    </row>
    <row r="54" spans="2:9" ht="55.5" hidden="1" customHeight="1" x14ac:dyDescent="0.25">
      <c r="B54" s="83" t="s">
        <v>1536</v>
      </c>
      <c r="C54" s="237" t="s">
        <v>1538</v>
      </c>
      <c r="D54" s="83" t="s">
        <v>1921</v>
      </c>
      <c r="E54" s="83" t="s">
        <v>1925</v>
      </c>
      <c r="F54" s="83" t="s">
        <v>1921</v>
      </c>
      <c r="G54" s="83" t="s">
        <v>1929</v>
      </c>
      <c r="H54" s="91" t="s">
        <v>1930</v>
      </c>
      <c r="I54" s="91" t="s">
        <v>1852</v>
      </c>
    </row>
    <row r="55" spans="2:9" ht="70.5" hidden="1" customHeight="1" x14ac:dyDescent="0.25">
      <c r="B55" s="83" t="s">
        <v>1536</v>
      </c>
      <c r="C55" s="237" t="s">
        <v>1538</v>
      </c>
      <c r="D55" s="83" t="s">
        <v>1849</v>
      </c>
      <c r="E55" s="83" t="s">
        <v>1853</v>
      </c>
      <c r="F55" s="83" t="s">
        <v>1921</v>
      </c>
      <c r="G55" s="83" t="s">
        <v>1931</v>
      </c>
      <c r="H55" s="91" t="s">
        <v>1932</v>
      </c>
      <c r="I55" s="91" t="s">
        <v>1852</v>
      </c>
    </row>
    <row r="56" spans="2:9" ht="56.25" hidden="1" customHeight="1" x14ac:dyDescent="0.25">
      <c r="B56" s="83" t="s">
        <v>1536</v>
      </c>
      <c r="C56" s="237" t="s">
        <v>1538</v>
      </c>
      <c r="D56" s="83" t="s">
        <v>1859</v>
      </c>
      <c r="E56" s="83" t="s">
        <v>1860</v>
      </c>
      <c r="F56" s="83" t="s">
        <v>1859</v>
      </c>
      <c r="G56" s="83" t="s">
        <v>1863</v>
      </c>
      <c r="H56" s="91" t="s">
        <v>1915</v>
      </c>
      <c r="I56" s="87" t="s">
        <v>1848</v>
      </c>
    </row>
    <row r="57" spans="2:9" ht="68.25" hidden="1" customHeight="1" x14ac:dyDescent="0.25">
      <c r="B57" s="83" t="s">
        <v>1536</v>
      </c>
      <c r="C57" s="237" t="s">
        <v>1538</v>
      </c>
      <c r="D57" s="83" t="s">
        <v>1859</v>
      </c>
      <c r="E57" s="83" t="s">
        <v>1860</v>
      </c>
      <c r="F57" s="83" t="s">
        <v>1921</v>
      </c>
      <c r="G57" s="83" t="s">
        <v>1923</v>
      </c>
      <c r="H57" s="91" t="s">
        <v>1933</v>
      </c>
      <c r="I57" s="91" t="s">
        <v>1848</v>
      </c>
    </row>
    <row r="58" spans="2:9" ht="72.75" hidden="1" customHeight="1" x14ac:dyDescent="0.25">
      <c r="B58" s="83" t="s">
        <v>1536</v>
      </c>
      <c r="C58" s="237" t="s">
        <v>1538</v>
      </c>
      <c r="D58" s="83" t="s">
        <v>1859</v>
      </c>
      <c r="E58" s="83" t="s">
        <v>1860</v>
      </c>
      <c r="F58" s="83" t="s">
        <v>1849</v>
      </c>
      <c r="G58" s="83" t="s">
        <v>1853</v>
      </c>
      <c r="H58" s="91" t="s">
        <v>1934</v>
      </c>
      <c r="I58" s="91" t="s">
        <v>1848</v>
      </c>
    </row>
    <row r="59" spans="2:9" ht="30" x14ac:dyDescent="0.25">
      <c r="B59" s="83" t="s">
        <v>1508</v>
      </c>
      <c r="C59" s="84" t="s">
        <v>1510</v>
      </c>
      <c r="D59" s="83" t="s">
        <v>1855</v>
      </c>
      <c r="E59" s="77" t="s">
        <v>1856</v>
      </c>
      <c r="F59" s="132" t="s">
        <v>1855</v>
      </c>
      <c r="G59" s="77" t="s">
        <v>1857</v>
      </c>
      <c r="H59" s="87" t="s">
        <v>1858</v>
      </c>
      <c r="I59" s="87" t="s">
        <v>1848</v>
      </c>
    </row>
    <row r="60" spans="2:9" ht="30" x14ac:dyDescent="0.25">
      <c r="B60" s="83" t="s">
        <v>1508</v>
      </c>
      <c r="C60" s="84" t="s">
        <v>1510</v>
      </c>
      <c r="D60" s="83" t="s">
        <v>1859</v>
      </c>
      <c r="E60" s="83" t="s">
        <v>1860</v>
      </c>
      <c r="F60" s="83" t="s">
        <v>1859</v>
      </c>
      <c r="G60" s="83" t="s">
        <v>1861</v>
      </c>
      <c r="H60" s="91" t="s">
        <v>1870</v>
      </c>
      <c r="I60" s="87" t="s">
        <v>1848</v>
      </c>
    </row>
    <row r="61" spans="2:9" x14ac:dyDescent="0.25">
      <c r="B61" s="83" t="s">
        <v>1508</v>
      </c>
      <c r="C61" s="84" t="s">
        <v>1510</v>
      </c>
      <c r="D61" s="83" t="s">
        <v>1859</v>
      </c>
      <c r="E61" s="83" t="s">
        <v>1861</v>
      </c>
      <c r="F61" s="235" t="s">
        <v>1855</v>
      </c>
      <c r="G61" s="83" t="s">
        <v>1857</v>
      </c>
      <c r="H61" s="91" t="s">
        <v>1871</v>
      </c>
      <c r="I61" s="91" t="s">
        <v>1848</v>
      </c>
    </row>
    <row r="62" spans="2:9" ht="30" x14ac:dyDescent="0.25">
      <c r="B62" s="83" t="s">
        <v>1637</v>
      </c>
      <c r="C62" s="86" t="s">
        <v>1639</v>
      </c>
      <c r="D62" s="83" t="s">
        <v>1855</v>
      </c>
      <c r="E62" s="77" t="s">
        <v>1856</v>
      </c>
      <c r="F62" s="132" t="s">
        <v>1855</v>
      </c>
      <c r="G62" s="77" t="s">
        <v>1857</v>
      </c>
      <c r="H62" s="87" t="s">
        <v>1858</v>
      </c>
      <c r="I62" s="87" t="s">
        <v>1848</v>
      </c>
    </row>
    <row r="63" spans="2:9" ht="30" x14ac:dyDescent="0.25">
      <c r="B63" s="83" t="s">
        <v>1637</v>
      </c>
      <c r="C63" s="237" t="s">
        <v>1639</v>
      </c>
      <c r="D63" s="83" t="s">
        <v>1859</v>
      </c>
      <c r="E63" s="83" t="s">
        <v>1860</v>
      </c>
      <c r="F63" s="83" t="s">
        <v>1859</v>
      </c>
      <c r="G63" s="83" t="s">
        <v>1861</v>
      </c>
      <c r="H63" s="91" t="s">
        <v>1870</v>
      </c>
      <c r="I63" s="87" t="s">
        <v>1848</v>
      </c>
    </row>
    <row r="64" spans="2:9" x14ac:dyDescent="0.25">
      <c r="B64" s="83" t="s">
        <v>1637</v>
      </c>
      <c r="C64" s="237" t="s">
        <v>1639</v>
      </c>
      <c r="D64" s="83" t="s">
        <v>1859</v>
      </c>
      <c r="E64" s="83" t="s">
        <v>1861</v>
      </c>
      <c r="F64" s="132" t="s">
        <v>1855</v>
      </c>
      <c r="G64" s="77" t="s">
        <v>1857</v>
      </c>
      <c r="H64" s="91" t="s">
        <v>1871</v>
      </c>
      <c r="I64" s="87" t="s">
        <v>1848</v>
      </c>
    </row>
    <row r="65" spans="2:9" ht="30" x14ac:dyDescent="0.25">
      <c r="B65" s="83" t="s">
        <v>1450</v>
      </c>
      <c r="C65" s="159" t="s">
        <v>1452</v>
      </c>
      <c r="D65" s="83" t="s">
        <v>1935</v>
      </c>
      <c r="E65" s="83" t="s">
        <v>1936</v>
      </c>
      <c r="F65" s="83" t="s">
        <v>1935</v>
      </c>
      <c r="G65" s="83" t="s">
        <v>1937</v>
      </c>
      <c r="H65" s="91" t="s">
        <v>1938</v>
      </c>
      <c r="I65" s="87" t="s">
        <v>1848</v>
      </c>
    </row>
    <row r="66" spans="2:9" x14ac:dyDescent="0.25">
      <c r="B66" s="83" t="s">
        <v>1733</v>
      </c>
      <c r="C66" s="84" t="s">
        <v>1735</v>
      </c>
      <c r="D66" s="83" t="s">
        <v>1939</v>
      </c>
      <c r="E66" s="83" t="s">
        <v>1940</v>
      </c>
      <c r="F66" s="83" t="s">
        <v>1939</v>
      </c>
      <c r="G66" s="83" t="s">
        <v>1941</v>
      </c>
      <c r="H66" s="91" t="s">
        <v>1942</v>
      </c>
      <c r="I66" s="87" t="s">
        <v>1848</v>
      </c>
    </row>
    <row r="67" spans="2:9" x14ac:dyDescent="0.25">
      <c r="B67" s="83" t="s">
        <v>1733</v>
      </c>
      <c r="C67" s="237" t="s">
        <v>1735</v>
      </c>
      <c r="D67" s="83" t="s">
        <v>1939</v>
      </c>
      <c r="E67" s="83" t="s">
        <v>1943</v>
      </c>
      <c r="F67" s="83" t="s">
        <v>1939</v>
      </c>
      <c r="G67" s="83" t="s">
        <v>1944</v>
      </c>
      <c r="H67" s="91" t="s">
        <v>1945</v>
      </c>
      <c r="I67" s="87" t="s">
        <v>1848</v>
      </c>
    </row>
    <row r="68" spans="2:9" x14ac:dyDescent="0.25">
      <c r="B68" s="83" t="s">
        <v>1733</v>
      </c>
      <c r="C68" s="237" t="s">
        <v>1735</v>
      </c>
      <c r="D68" s="83" t="s">
        <v>1939</v>
      </c>
      <c r="E68" s="83" t="s">
        <v>1946</v>
      </c>
      <c r="F68" s="83" t="s">
        <v>1939</v>
      </c>
      <c r="G68" s="83" t="s">
        <v>1947</v>
      </c>
      <c r="H68" s="91" t="s">
        <v>1948</v>
      </c>
      <c r="I68" s="87" t="s">
        <v>1848</v>
      </c>
    </row>
    <row r="69" spans="2:9" x14ac:dyDescent="0.25">
      <c r="B69" s="83" t="s">
        <v>1733</v>
      </c>
      <c r="C69" s="237" t="s">
        <v>1735</v>
      </c>
      <c r="D69" s="83" t="s">
        <v>1939</v>
      </c>
      <c r="E69" s="83" t="s">
        <v>1949</v>
      </c>
      <c r="F69" s="83" t="s">
        <v>1939</v>
      </c>
      <c r="G69" s="83" t="s">
        <v>1950</v>
      </c>
      <c r="H69" s="91" t="s">
        <v>1951</v>
      </c>
      <c r="I69" s="87" t="s">
        <v>1848</v>
      </c>
    </row>
    <row r="70" spans="2:9" ht="30" x14ac:dyDescent="0.25">
      <c r="B70" s="83" t="s">
        <v>1733</v>
      </c>
      <c r="C70" s="237" t="s">
        <v>1735</v>
      </c>
      <c r="D70" s="83" t="s">
        <v>1855</v>
      </c>
      <c r="E70" s="83" t="s">
        <v>1856</v>
      </c>
      <c r="F70" s="83" t="s">
        <v>1855</v>
      </c>
      <c r="G70" s="83" t="s">
        <v>1882</v>
      </c>
      <c r="H70" s="91" t="s">
        <v>1914</v>
      </c>
      <c r="I70" s="87" t="s">
        <v>1848</v>
      </c>
    </row>
    <row r="71" spans="2:9" ht="30" x14ac:dyDescent="0.25">
      <c r="B71" s="83" t="s">
        <v>1733</v>
      </c>
      <c r="C71" s="237" t="s">
        <v>1735</v>
      </c>
      <c r="D71" s="83" t="s">
        <v>1859</v>
      </c>
      <c r="E71" s="83" t="s">
        <v>1860</v>
      </c>
      <c r="F71" s="83" t="s">
        <v>1859</v>
      </c>
      <c r="G71" s="83" t="s">
        <v>1863</v>
      </c>
      <c r="H71" s="91" t="s">
        <v>1952</v>
      </c>
      <c r="I71" s="87" t="s">
        <v>1848</v>
      </c>
    </row>
    <row r="72" spans="2:9" x14ac:dyDescent="0.25">
      <c r="B72"/>
      <c r="C72"/>
      <c r="D72"/>
      <c r="E72"/>
      <c r="F72"/>
    </row>
    <row r="73" spans="2:9" x14ac:dyDescent="0.25">
      <c r="B73"/>
      <c r="C73"/>
      <c r="D73"/>
      <c r="E73"/>
      <c r="F73"/>
    </row>
    <row r="74" spans="2:9" x14ac:dyDescent="0.25">
      <c r="B74"/>
      <c r="C74"/>
      <c r="D74"/>
      <c r="E74"/>
      <c r="F74"/>
    </row>
    <row r="75" spans="2:9" x14ac:dyDescent="0.25">
      <c r="B75"/>
      <c r="C75"/>
      <c r="D75"/>
      <c r="E75"/>
      <c r="F75"/>
    </row>
    <row r="76" spans="2:9" x14ac:dyDescent="0.25">
      <c r="B76"/>
      <c r="C76"/>
      <c r="D76"/>
      <c r="E76"/>
      <c r="F76"/>
    </row>
    <row r="77" spans="2:9" x14ac:dyDescent="0.25">
      <c r="B77"/>
      <c r="C77"/>
      <c r="D77"/>
      <c r="E77"/>
      <c r="F77"/>
    </row>
    <row r="78" spans="2:9" x14ac:dyDescent="0.25">
      <c r="B78"/>
      <c r="C78"/>
      <c r="D78"/>
      <c r="E78"/>
      <c r="F78"/>
    </row>
    <row r="79" spans="2:9" x14ac:dyDescent="0.25">
      <c r="B79"/>
      <c r="C79"/>
      <c r="D79"/>
      <c r="E79"/>
      <c r="F79"/>
    </row>
    <row r="80" spans="2:9"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5"/>
  <sheetViews>
    <sheetView showGridLines="0" workbookViewId="0">
      <selection activeCell="B34" sqref="B34:C35"/>
    </sheetView>
  </sheetViews>
  <sheetFormatPr defaultRowHeight="15" x14ac:dyDescent="0.2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x14ac:dyDescent="0.25"/>
    <row r="2" spans="2:8" x14ac:dyDescent="0.25">
      <c r="B2" s="103" t="s">
        <v>663</v>
      </c>
      <c r="C2" s="103" t="s">
        <v>665</v>
      </c>
      <c r="D2" s="103" t="s">
        <v>1953</v>
      </c>
      <c r="E2" s="103" t="s">
        <v>1954</v>
      </c>
      <c r="F2" s="103" t="s">
        <v>1955</v>
      </c>
      <c r="G2" s="103" t="s">
        <v>1956</v>
      </c>
      <c r="H2" s="103" t="s">
        <v>1957</v>
      </c>
    </row>
    <row r="3" spans="2:8" ht="39.75" customHeight="1" x14ac:dyDescent="0.25">
      <c r="B3" s="77" t="s">
        <v>648</v>
      </c>
      <c r="C3" s="77" t="s">
        <v>649</v>
      </c>
      <c r="D3" s="77" t="s">
        <v>1843</v>
      </c>
      <c r="E3" s="77" t="s">
        <v>1844</v>
      </c>
      <c r="F3" s="87" t="s">
        <v>1958</v>
      </c>
      <c r="G3" s="77" t="s">
        <v>1959</v>
      </c>
      <c r="H3" s="142" t="s">
        <v>1960</v>
      </c>
    </row>
    <row r="4" spans="2:8" ht="39.75" customHeight="1" x14ac:dyDescent="0.25">
      <c r="B4" s="83" t="s">
        <v>648</v>
      </c>
      <c r="C4" s="77" t="s">
        <v>649</v>
      </c>
      <c r="D4" s="83" t="s">
        <v>1855</v>
      </c>
      <c r="E4" s="83" t="s">
        <v>1856</v>
      </c>
      <c r="F4" s="91" t="s">
        <v>1961</v>
      </c>
      <c r="G4" s="87" t="s">
        <v>1962</v>
      </c>
      <c r="H4" s="87" t="s">
        <v>1963</v>
      </c>
    </row>
    <row r="5" spans="2:8" ht="39.75" customHeight="1" x14ac:dyDescent="0.25">
      <c r="B5" s="83" t="s">
        <v>648</v>
      </c>
      <c r="C5" s="77" t="s">
        <v>649</v>
      </c>
      <c r="D5" s="83" t="s">
        <v>1859</v>
      </c>
      <c r="E5" s="83" t="s">
        <v>1860</v>
      </c>
      <c r="F5" s="91" t="s">
        <v>1964</v>
      </c>
      <c r="G5" s="77" t="s">
        <v>1965</v>
      </c>
      <c r="H5" s="87" t="s">
        <v>1966</v>
      </c>
    </row>
    <row r="6" spans="2:8" ht="39.75" hidden="1" customHeight="1" x14ac:dyDescent="0.25">
      <c r="B6" s="83" t="s">
        <v>651</v>
      </c>
      <c r="C6" s="83" t="s">
        <v>652</v>
      </c>
      <c r="D6" s="83" t="s">
        <v>1865</v>
      </c>
      <c r="E6" s="83" t="s">
        <v>1868</v>
      </c>
      <c r="F6" s="91" t="s">
        <v>1967</v>
      </c>
      <c r="G6" s="87" t="s">
        <v>1968</v>
      </c>
      <c r="H6" s="87" t="s">
        <v>1969</v>
      </c>
    </row>
    <row r="7" spans="2:8" ht="39.75" hidden="1" customHeight="1" x14ac:dyDescent="0.25">
      <c r="B7" s="83" t="s">
        <v>651</v>
      </c>
      <c r="C7" s="83" t="s">
        <v>652</v>
      </c>
      <c r="D7" s="83" t="s">
        <v>1859</v>
      </c>
      <c r="E7" s="83" t="s">
        <v>1860</v>
      </c>
      <c r="F7" s="91" t="s">
        <v>1970</v>
      </c>
      <c r="G7" s="87" t="s">
        <v>1971</v>
      </c>
      <c r="H7" s="87" t="s">
        <v>1972</v>
      </c>
    </row>
    <row r="8" spans="2:8" ht="39.75" hidden="1" customHeight="1" x14ac:dyDescent="0.25">
      <c r="B8" s="83" t="s">
        <v>1056</v>
      </c>
      <c r="C8" s="83" t="s">
        <v>1058</v>
      </c>
      <c r="D8" s="83" t="s">
        <v>1855</v>
      </c>
      <c r="E8" s="77" t="s">
        <v>1856</v>
      </c>
      <c r="F8" s="91" t="s">
        <v>1973</v>
      </c>
      <c r="G8" s="141" t="s">
        <v>1974</v>
      </c>
      <c r="H8" s="91" t="s">
        <v>1975</v>
      </c>
    </row>
    <row r="9" spans="2:8" ht="39.75" hidden="1" customHeight="1" x14ac:dyDescent="0.25">
      <c r="B9" s="83" t="s">
        <v>1056</v>
      </c>
      <c r="C9" s="83" t="s">
        <v>1058</v>
      </c>
      <c r="D9" s="83" t="s">
        <v>1859</v>
      </c>
      <c r="E9" s="77" t="s">
        <v>1860</v>
      </c>
      <c r="F9" s="91" t="s">
        <v>1976</v>
      </c>
      <c r="G9" s="141" t="s">
        <v>1977</v>
      </c>
      <c r="H9" s="91" t="s">
        <v>1978</v>
      </c>
    </row>
    <row r="10" spans="2:8" ht="39.75" hidden="1" customHeight="1" x14ac:dyDescent="0.25">
      <c r="B10" s="83" t="s">
        <v>1170</v>
      </c>
      <c r="C10" s="237" t="s">
        <v>1172</v>
      </c>
      <c r="D10" s="83" t="s">
        <v>1886</v>
      </c>
      <c r="E10" s="83" t="s">
        <v>1887</v>
      </c>
      <c r="F10" s="91" t="s">
        <v>1979</v>
      </c>
      <c r="G10" s="91" t="s">
        <v>1980</v>
      </c>
      <c r="H10" s="83" t="s">
        <v>1178</v>
      </c>
    </row>
    <row r="11" spans="2:8" ht="39.75" hidden="1" customHeight="1" x14ac:dyDescent="0.25">
      <c r="B11" s="83" t="s">
        <v>1660</v>
      </c>
      <c r="C11" s="84" t="s">
        <v>1662</v>
      </c>
      <c r="D11" s="83" t="s">
        <v>1886</v>
      </c>
      <c r="E11" s="83" t="s">
        <v>1887</v>
      </c>
      <c r="F11" s="91" t="s">
        <v>1981</v>
      </c>
      <c r="G11" s="91" t="s">
        <v>1980</v>
      </c>
      <c r="H11" s="83" t="s">
        <v>1178</v>
      </c>
    </row>
    <row r="12" spans="2:8" ht="39.75" hidden="1" customHeight="1" x14ac:dyDescent="0.25">
      <c r="B12" s="83" t="s">
        <v>1281</v>
      </c>
      <c r="C12" s="155" t="s">
        <v>1283</v>
      </c>
      <c r="D12" s="83" t="s">
        <v>1872</v>
      </c>
      <c r="E12" s="83" t="s">
        <v>1873</v>
      </c>
      <c r="F12" s="91" t="s">
        <v>1982</v>
      </c>
      <c r="G12" s="77" t="s">
        <v>1983</v>
      </c>
      <c r="H12" s="87" t="s">
        <v>1984</v>
      </c>
    </row>
    <row r="13" spans="2:8" ht="39.75" hidden="1" customHeight="1" x14ac:dyDescent="0.25">
      <c r="B13" s="83" t="s">
        <v>1281</v>
      </c>
      <c r="C13" s="203" t="s">
        <v>1283</v>
      </c>
      <c r="D13" s="83" t="s">
        <v>1855</v>
      </c>
      <c r="E13" s="83" t="s">
        <v>1856</v>
      </c>
      <c r="F13" s="91" t="s">
        <v>1985</v>
      </c>
      <c r="G13" s="87" t="s">
        <v>1962</v>
      </c>
      <c r="H13" s="87" t="s">
        <v>1963</v>
      </c>
    </row>
    <row r="14" spans="2:8" ht="39.75" hidden="1" customHeight="1" x14ac:dyDescent="0.25">
      <c r="B14" s="83" t="s">
        <v>1281</v>
      </c>
      <c r="C14" s="203" t="s">
        <v>1283</v>
      </c>
      <c r="D14" s="77" t="s">
        <v>1859</v>
      </c>
      <c r="E14" s="77" t="s">
        <v>1860</v>
      </c>
      <c r="F14" s="87" t="s">
        <v>1986</v>
      </c>
      <c r="G14" s="91" t="s">
        <v>1971</v>
      </c>
      <c r="H14" s="91" t="s">
        <v>1972</v>
      </c>
    </row>
    <row r="15" spans="2:8" ht="39.75" hidden="1" customHeight="1" x14ac:dyDescent="0.25">
      <c r="B15" s="83" t="s">
        <v>1399</v>
      </c>
      <c r="C15" s="83" t="s">
        <v>1401</v>
      </c>
      <c r="D15" s="83" t="s">
        <v>1855</v>
      </c>
      <c r="E15" s="83" t="s">
        <v>1856</v>
      </c>
      <c r="F15" s="91" t="s">
        <v>1987</v>
      </c>
      <c r="G15" s="87" t="s">
        <v>1988</v>
      </c>
      <c r="H15" s="87" t="s">
        <v>1989</v>
      </c>
    </row>
    <row r="16" spans="2:8" ht="65.25" hidden="1" customHeight="1" x14ac:dyDescent="0.25">
      <c r="B16" s="83" t="s">
        <v>869</v>
      </c>
      <c r="C16" s="155" t="s">
        <v>1904</v>
      </c>
      <c r="D16" s="77" t="s">
        <v>1886</v>
      </c>
      <c r="E16" s="83" t="s">
        <v>1905</v>
      </c>
      <c r="F16" s="91" t="s">
        <v>1990</v>
      </c>
      <c r="G16" s="87" t="s">
        <v>1980</v>
      </c>
      <c r="H16" s="77" t="s">
        <v>1178</v>
      </c>
    </row>
    <row r="17" spans="2:8" ht="41.25" hidden="1" customHeight="1" x14ac:dyDescent="0.25">
      <c r="B17" s="83" t="s">
        <v>869</v>
      </c>
      <c r="C17" s="155" t="s">
        <v>1904</v>
      </c>
      <c r="D17" s="83" t="s">
        <v>1886</v>
      </c>
      <c r="E17" s="83" t="s">
        <v>1887</v>
      </c>
      <c r="F17" s="91" t="s">
        <v>1991</v>
      </c>
      <c r="G17" s="87" t="s">
        <v>1980</v>
      </c>
      <c r="H17" s="77" t="s">
        <v>1178</v>
      </c>
    </row>
    <row r="18" spans="2:8" ht="44.25" hidden="1" customHeight="1" x14ac:dyDescent="0.25">
      <c r="B18" s="83" t="s">
        <v>869</v>
      </c>
      <c r="C18" s="155" t="s">
        <v>1904</v>
      </c>
      <c r="D18" s="83" t="s">
        <v>1855</v>
      </c>
      <c r="E18" s="77" t="s">
        <v>1856</v>
      </c>
      <c r="F18" s="91" t="s">
        <v>1992</v>
      </c>
      <c r="G18" s="87" t="s">
        <v>1993</v>
      </c>
      <c r="H18" s="87" t="s">
        <v>1994</v>
      </c>
    </row>
    <row r="19" spans="2:8" ht="60" hidden="1" customHeight="1" x14ac:dyDescent="0.25">
      <c r="B19" s="83" t="s">
        <v>869</v>
      </c>
      <c r="C19" s="155" t="s">
        <v>1904</v>
      </c>
      <c r="D19" s="83" t="s">
        <v>1859</v>
      </c>
      <c r="E19" s="77" t="s">
        <v>1860</v>
      </c>
      <c r="F19" s="91" t="s">
        <v>1995</v>
      </c>
      <c r="G19" s="77" t="s">
        <v>1965</v>
      </c>
      <c r="H19" s="87" t="s">
        <v>1966</v>
      </c>
    </row>
    <row r="20" spans="2:8" ht="37.5" hidden="1" customHeight="1" x14ac:dyDescent="0.25">
      <c r="B20" s="83" t="s">
        <v>869</v>
      </c>
      <c r="C20" s="155" t="s">
        <v>1904</v>
      </c>
      <c r="D20" s="83" t="s">
        <v>1859</v>
      </c>
      <c r="E20" s="83" t="s">
        <v>1860</v>
      </c>
      <c r="F20" s="91" t="s">
        <v>1996</v>
      </c>
      <c r="G20" s="77" t="s">
        <v>1965</v>
      </c>
      <c r="H20" s="87" t="s">
        <v>1966</v>
      </c>
    </row>
    <row r="21" spans="2:8" ht="56.25" hidden="1" customHeight="1" x14ac:dyDescent="0.25">
      <c r="B21" s="83" t="s">
        <v>1693</v>
      </c>
      <c r="C21" s="155" t="s">
        <v>1695</v>
      </c>
      <c r="D21" s="83" t="s">
        <v>1917</v>
      </c>
      <c r="E21" s="83" t="s">
        <v>1918</v>
      </c>
      <c r="F21" s="91" t="s">
        <v>1997</v>
      </c>
      <c r="G21" s="77" t="s">
        <v>1959</v>
      </c>
      <c r="H21" s="87" t="s">
        <v>1998</v>
      </c>
    </row>
    <row r="22" spans="2:8" ht="33" hidden="1" customHeight="1" x14ac:dyDescent="0.25">
      <c r="B22" s="83" t="s">
        <v>1536</v>
      </c>
      <c r="C22" s="155" t="s">
        <v>1538</v>
      </c>
      <c r="D22" s="83" t="s">
        <v>1921</v>
      </c>
      <c r="E22" s="83" t="s">
        <v>1922</v>
      </c>
      <c r="F22" s="91" t="s">
        <v>1999</v>
      </c>
      <c r="G22" s="141" t="s">
        <v>2000</v>
      </c>
      <c r="H22" s="91" t="s">
        <v>2001</v>
      </c>
    </row>
    <row r="23" spans="2:8" ht="32.25" hidden="1" customHeight="1" x14ac:dyDescent="0.25">
      <c r="B23" s="83" t="s">
        <v>1536</v>
      </c>
      <c r="C23" s="155" t="s">
        <v>1538</v>
      </c>
      <c r="D23" s="83" t="s">
        <v>1921</v>
      </c>
      <c r="E23" s="83" t="s">
        <v>1925</v>
      </c>
      <c r="F23" s="91" t="s">
        <v>2002</v>
      </c>
      <c r="G23" s="77" t="s">
        <v>2003</v>
      </c>
      <c r="H23" s="87" t="s">
        <v>2004</v>
      </c>
    </row>
    <row r="24" spans="2:8" ht="66.75" hidden="1" customHeight="1" x14ac:dyDescent="0.25">
      <c r="B24" s="83" t="s">
        <v>1536</v>
      </c>
      <c r="C24" s="155" t="s">
        <v>1538</v>
      </c>
      <c r="D24" s="83" t="s">
        <v>1859</v>
      </c>
      <c r="E24" s="77" t="s">
        <v>1860</v>
      </c>
      <c r="F24" s="91" t="s">
        <v>1976</v>
      </c>
      <c r="G24" s="141" t="s">
        <v>1977</v>
      </c>
      <c r="H24" s="91" t="s">
        <v>1978</v>
      </c>
    </row>
    <row r="25" spans="2:8" ht="204.75" hidden="1" customHeight="1" x14ac:dyDescent="0.25">
      <c r="B25" s="83" t="s">
        <v>1508</v>
      </c>
      <c r="C25" s="155" t="s">
        <v>1510</v>
      </c>
      <c r="D25" s="83" t="s">
        <v>1855</v>
      </c>
      <c r="E25" s="83" t="s">
        <v>1856</v>
      </c>
      <c r="F25" s="91" t="s">
        <v>2005</v>
      </c>
      <c r="G25" s="141" t="s">
        <v>2006</v>
      </c>
      <c r="H25" s="91" t="s">
        <v>2007</v>
      </c>
    </row>
    <row r="26" spans="2:8" ht="181.5" hidden="1" customHeight="1" x14ac:dyDescent="0.25">
      <c r="B26" s="83" t="s">
        <v>1508</v>
      </c>
      <c r="C26" s="155" t="s">
        <v>1510</v>
      </c>
      <c r="D26" s="83" t="s">
        <v>1859</v>
      </c>
      <c r="E26" s="83" t="s">
        <v>1860</v>
      </c>
      <c r="F26" s="91" t="s">
        <v>2008</v>
      </c>
      <c r="G26" s="141" t="s">
        <v>2009</v>
      </c>
      <c r="H26" s="91" t="s">
        <v>2010</v>
      </c>
    </row>
    <row r="27" spans="2:8" ht="409.5" hidden="1" x14ac:dyDescent="0.25">
      <c r="B27" s="83" t="s">
        <v>1637</v>
      </c>
      <c r="C27" s="155" t="s">
        <v>1639</v>
      </c>
      <c r="D27" s="83" t="s">
        <v>1855</v>
      </c>
      <c r="E27" s="83" t="s">
        <v>1856</v>
      </c>
      <c r="F27" s="91" t="s">
        <v>2011</v>
      </c>
      <c r="G27" s="141" t="s">
        <v>2012</v>
      </c>
      <c r="H27" s="91" t="s">
        <v>2013</v>
      </c>
    </row>
    <row r="28" spans="2:8" ht="409.5" hidden="1" x14ac:dyDescent="0.25">
      <c r="B28" s="83" t="s">
        <v>1637</v>
      </c>
      <c r="C28" s="155" t="s">
        <v>1639</v>
      </c>
      <c r="D28" s="83" t="s">
        <v>1859</v>
      </c>
      <c r="E28" s="83" t="s">
        <v>1860</v>
      </c>
      <c r="F28" s="91" t="s">
        <v>2014</v>
      </c>
      <c r="G28" s="141" t="s">
        <v>2015</v>
      </c>
      <c r="H28" s="91" t="s">
        <v>2016</v>
      </c>
    </row>
    <row r="29" spans="2:8" ht="75" hidden="1" x14ac:dyDescent="0.25">
      <c r="B29" s="83" t="s">
        <v>1450</v>
      </c>
      <c r="C29" s="259" t="s">
        <v>1452</v>
      </c>
      <c r="D29" s="83" t="s">
        <v>1935</v>
      </c>
      <c r="E29" s="83" t="s">
        <v>1936</v>
      </c>
      <c r="F29" s="91" t="s">
        <v>2017</v>
      </c>
      <c r="G29" s="87" t="s">
        <v>2018</v>
      </c>
      <c r="H29" s="87" t="s">
        <v>2019</v>
      </c>
    </row>
    <row r="30" spans="2:8" ht="78" customHeight="1" x14ac:dyDescent="0.25">
      <c r="B30" s="83" t="s">
        <v>1733</v>
      </c>
      <c r="C30" s="155" t="s">
        <v>1735</v>
      </c>
      <c r="D30" s="83" t="s">
        <v>1939</v>
      </c>
      <c r="E30" s="83" t="s">
        <v>1940</v>
      </c>
      <c r="F30" s="91" t="s">
        <v>2020</v>
      </c>
      <c r="G30" s="83" t="s">
        <v>1178</v>
      </c>
      <c r="H30" s="83" t="s">
        <v>1178</v>
      </c>
    </row>
    <row r="31" spans="2:8" ht="66.75" customHeight="1" x14ac:dyDescent="0.25">
      <c r="B31" s="83" t="s">
        <v>1733</v>
      </c>
      <c r="C31" s="155" t="s">
        <v>1735</v>
      </c>
      <c r="D31" s="83" t="s">
        <v>1939</v>
      </c>
      <c r="E31" s="83" t="s">
        <v>1943</v>
      </c>
      <c r="F31" s="91" t="s">
        <v>2021</v>
      </c>
      <c r="G31" s="83" t="s">
        <v>1178</v>
      </c>
      <c r="H31" s="83" t="s">
        <v>1178</v>
      </c>
    </row>
    <row r="32" spans="2:8" ht="90" customHeight="1" x14ac:dyDescent="0.25">
      <c r="B32" s="83" t="s">
        <v>1733</v>
      </c>
      <c r="C32" s="155" t="s">
        <v>1735</v>
      </c>
      <c r="D32" s="83" t="s">
        <v>1939</v>
      </c>
      <c r="E32" s="83" t="s">
        <v>1946</v>
      </c>
      <c r="F32" s="91" t="s">
        <v>2022</v>
      </c>
      <c r="G32" s="83" t="s">
        <v>1178</v>
      </c>
      <c r="H32" s="83" t="s">
        <v>1178</v>
      </c>
    </row>
    <row r="33" spans="2:8" ht="36.75" customHeight="1" x14ac:dyDescent="0.25">
      <c r="B33" s="83" t="s">
        <v>1733</v>
      </c>
      <c r="C33" s="155" t="s">
        <v>1735</v>
      </c>
      <c r="D33" s="83" t="s">
        <v>1939</v>
      </c>
      <c r="E33" s="83" t="s">
        <v>1949</v>
      </c>
      <c r="F33" s="91" t="s">
        <v>2023</v>
      </c>
      <c r="G33" s="83" t="s">
        <v>1178</v>
      </c>
      <c r="H33" s="83" t="s">
        <v>1178</v>
      </c>
    </row>
    <row r="34" spans="2:8" ht="45" x14ac:dyDescent="0.25">
      <c r="B34" s="83" t="s">
        <v>1733</v>
      </c>
      <c r="C34" s="155" t="s">
        <v>1735</v>
      </c>
      <c r="D34" s="77" t="s">
        <v>1855</v>
      </c>
      <c r="E34" s="77" t="s">
        <v>1856</v>
      </c>
      <c r="F34" s="87" t="s">
        <v>1961</v>
      </c>
      <c r="G34" s="77" t="s">
        <v>1962</v>
      </c>
      <c r="H34" s="77" t="s">
        <v>1963</v>
      </c>
    </row>
    <row r="35" spans="2:8" ht="30" x14ac:dyDescent="0.25">
      <c r="B35" s="83" t="s">
        <v>1733</v>
      </c>
      <c r="C35" s="155" t="s">
        <v>1735</v>
      </c>
      <c r="D35" s="83" t="s">
        <v>1859</v>
      </c>
      <c r="E35" s="83" t="s">
        <v>1860</v>
      </c>
      <c r="F35" s="91" t="s">
        <v>1964</v>
      </c>
      <c r="G35" s="83" t="s">
        <v>1965</v>
      </c>
      <c r="H35" s="83" t="s">
        <v>1966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H28" sqref="H28"/>
    </sheetView>
  </sheetViews>
  <sheetFormatPr defaultRowHeight="15" x14ac:dyDescent="0.25"/>
  <cols>
    <col min="2" max="2" width="14" style="93" customWidth="1"/>
    <col min="3" max="3" width="35.42578125" customWidth="1"/>
    <col min="4" max="4" width="40.140625" style="24" customWidth="1"/>
    <col min="5" max="5" width="73.7109375" customWidth="1"/>
  </cols>
  <sheetData>
    <row r="1" spans="2:5" ht="45.75" customHeight="1" x14ac:dyDescent="0.25"/>
    <row r="2" spans="2:5" ht="39.75" customHeight="1" x14ac:dyDescent="0.25">
      <c r="B2" s="94" t="s">
        <v>2024</v>
      </c>
      <c r="C2" s="95" t="s">
        <v>2025</v>
      </c>
      <c r="D2" s="95" t="s">
        <v>1135</v>
      </c>
      <c r="E2" s="96" t="s">
        <v>2026</v>
      </c>
    </row>
    <row r="3" spans="2:5" ht="39.75" customHeight="1" x14ac:dyDescent="0.25">
      <c r="B3" s="162">
        <v>1</v>
      </c>
      <c r="C3" s="97" t="s">
        <v>2027</v>
      </c>
      <c r="D3" s="98" t="s">
        <v>2028</v>
      </c>
      <c r="E3" s="97"/>
    </row>
    <row r="4" spans="2:5" ht="39.75" customHeight="1" x14ac:dyDescent="0.25">
      <c r="B4" s="162">
        <v>2</v>
      </c>
      <c r="C4" s="97" t="s">
        <v>2029</v>
      </c>
      <c r="D4" s="98" t="s">
        <v>2030</v>
      </c>
      <c r="E4" s="97"/>
    </row>
    <row r="5" spans="2:5" ht="39.75" customHeight="1" x14ac:dyDescent="0.25">
      <c r="B5" s="162">
        <v>3</v>
      </c>
      <c r="C5" s="97" t="s">
        <v>2031</v>
      </c>
      <c r="D5" s="98" t="s">
        <v>2032</v>
      </c>
      <c r="E5" s="97"/>
    </row>
    <row r="6" spans="2:5" ht="39.75" customHeight="1" x14ac:dyDescent="0.25">
      <c r="B6" s="162">
        <v>4</v>
      </c>
      <c r="C6" s="98" t="s">
        <v>2033</v>
      </c>
      <c r="D6" s="98" t="s">
        <v>2034</v>
      </c>
      <c r="E6" s="97"/>
    </row>
    <row r="7" spans="2:5" ht="39.75" customHeight="1" x14ac:dyDescent="0.25">
      <c r="B7" s="163">
        <v>5</v>
      </c>
      <c r="C7" s="98" t="s">
        <v>2035</v>
      </c>
      <c r="D7" s="98" t="s">
        <v>2034</v>
      </c>
      <c r="E7" s="97"/>
    </row>
    <row r="8" spans="2:5" ht="39.75" customHeight="1" x14ac:dyDescent="0.25">
      <c r="B8" s="163">
        <v>6</v>
      </c>
      <c r="C8" s="98" t="s">
        <v>2036</v>
      </c>
      <c r="D8" s="98" t="s">
        <v>2037</v>
      </c>
      <c r="E8" s="170" t="s">
        <v>2038</v>
      </c>
    </row>
    <row r="9" spans="2:5" ht="39.75" customHeight="1" x14ac:dyDescent="0.25">
      <c r="B9" s="163">
        <v>7</v>
      </c>
      <c r="C9" s="97" t="s">
        <v>2039</v>
      </c>
      <c r="D9" s="98" t="s">
        <v>2040</v>
      </c>
      <c r="E9" s="97" t="s">
        <v>2041</v>
      </c>
    </row>
    <row r="10" spans="2:5" ht="39.75" customHeight="1" x14ac:dyDescent="0.25">
      <c r="B10" s="162">
        <v>8</v>
      </c>
      <c r="C10" s="97" t="s">
        <v>2042</v>
      </c>
      <c r="D10" s="98" t="s">
        <v>2043</v>
      </c>
      <c r="E10" s="97"/>
    </row>
    <row r="11" spans="2:5" ht="39.75" customHeight="1" x14ac:dyDescent="0.25">
      <c r="B11" s="163">
        <v>9</v>
      </c>
      <c r="C11" s="97" t="s">
        <v>2044</v>
      </c>
      <c r="D11" s="98" t="s">
        <v>2045</v>
      </c>
      <c r="E11" s="97"/>
    </row>
    <row r="12" spans="2:5" ht="39.75" customHeight="1" x14ac:dyDescent="0.25">
      <c r="B12" s="162">
        <v>10</v>
      </c>
      <c r="C12" s="98" t="s">
        <v>2046</v>
      </c>
      <c r="D12" s="98" t="s">
        <v>2047</v>
      </c>
      <c r="E12" s="97"/>
    </row>
    <row r="13" spans="2:5" ht="39.75" customHeight="1" x14ac:dyDescent="0.25">
      <c r="B13" s="163">
        <v>11</v>
      </c>
      <c r="C13" s="97" t="s">
        <v>2048</v>
      </c>
      <c r="D13" s="98" t="s">
        <v>2049</v>
      </c>
      <c r="E13" s="97"/>
    </row>
    <row r="14" spans="2:5" ht="39.75" customHeight="1" x14ac:dyDescent="0.25">
      <c r="B14" s="163">
        <v>12</v>
      </c>
      <c r="C14" s="97" t="s">
        <v>2050</v>
      </c>
      <c r="D14" s="98" t="s">
        <v>2051</v>
      </c>
      <c r="E14" s="97"/>
    </row>
    <row r="15" spans="2:5" ht="39.75" customHeight="1" x14ac:dyDescent="0.25">
      <c r="B15" s="163">
        <v>13</v>
      </c>
      <c r="C15" s="97" t="s">
        <v>2052</v>
      </c>
      <c r="D15" s="98" t="s">
        <v>2053</v>
      </c>
      <c r="E15" s="97"/>
    </row>
    <row r="16" spans="2:5" ht="39.75" customHeight="1" x14ac:dyDescent="0.25">
      <c r="B16" s="164">
        <v>14</v>
      </c>
      <c r="C16" s="99" t="s">
        <v>2054</v>
      </c>
      <c r="D16" s="98" t="s">
        <v>2055</v>
      </c>
      <c r="E16" s="97"/>
    </row>
    <row r="17" spans="2:5" ht="39.75" customHeight="1" x14ac:dyDescent="0.25">
      <c r="B17" s="163">
        <v>15</v>
      </c>
      <c r="C17" s="97" t="s">
        <v>2056</v>
      </c>
      <c r="D17" s="98" t="s">
        <v>2057</v>
      </c>
      <c r="E17" s="97"/>
    </row>
    <row r="18" spans="2:5" ht="39.75" customHeight="1" x14ac:dyDescent="0.25">
      <c r="B18" s="163">
        <v>16</v>
      </c>
      <c r="C18" s="97" t="s">
        <v>2058</v>
      </c>
      <c r="D18" s="98" t="s">
        <v>2059</v>
      </c>
      <c r="E18" s="97"/>
    </row>
    <row r="19" spans="2:5" ht="39.75" customHeight="1" x14ac:dyDescent="0.25">
      <c r="B19" s="163">
        <v>17</v>
      </c>
      <c r="C19" s="97" t="s">
        <v>2060</v>
      </c>
      <c r="D19" s="98" t="s">
        <v>2061</v>
      </c>
      <c r="E19" s="97"/>
    </row>
    <row r="20" spans="2:5" ht="39.75" customHeight="1" x14ac:dyDescent="0.25">
      <c r="B20" s="164">
        <v>18</v>
      </c>
      <c r="C20" s="99" t="s">
        <v>2062</v>
      </c>
      <c r="D20" s="100" t="s">
        <v>2063</v>
      </c>
      <c r="E20" s="99"/>
    </row>
    <row r="21" spans="2:5" ht="39.75" customHeight="1" x14ac:dyDescent="0.25">
      <c r="B21" s="164">
        <v>19</v>
      </c>
      <c r="C21" s="99" t="s">
        <v>2064</v>
      </c>
      <c r="D21" s="100" t="s">
        <v>2065</v>
      </c>
      <c r="E21" s="99" t="s">
        <v>2066</v>
      </c>
    </row>
    <row r="22" spans="2:5" ht="39.75" customHeight="1" x14ac:dyDescent="0.25">
      <c r="B22" s="163">
        <v>20</v>
      </c>
      <c r="C22" s="97" t="s">
        <v>2067</v>
      </c>
      <c r="D22" s="98" t="s">
        <v>2068</v>
      </c>
      <c r="E22" s="97" t="s">
        <v>2069</v>
      </c>
    </row>
    <row r="23" spans="2:5" ht="39.75" customHeight="1" x14ac:dyDescent="0.25">
      <c r="B23" s="163">
        <v>21</v>
      </c>
      <c r="C23" s="97" t="s">
        <v>2070</v>
      </c>
      <c r="D23" s="98" t="s">
        <v>2071</v>
      </c>
      <c r="E23" s="97" t="s">
        <v>2072</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x14ac:dyDescent="0.2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x14ac:dyDescent="0.25"/>
    <row r="2" spans="2:30" x14ac:dyDescent="0.25">
      <c r="B2" s="101" t="s">
        <v>2073</v>
      </c>
      <c r="C2" s="101" t="s">
        <v>2074</v>
      </c>
      <c r="D2" s="101" t="s">
        <v>2075</v>
      </c>
      <c r="E2" s="101" t="s">
        <v>2076</v>
      </c>
      <c r="F2" s="101" t="s">
        <v>2077</v>
      </c>
      <c r="G2" s="101" t="s">
        <v>2078</v>
      </c>
      <c r="H2" s="101" t="s">
        <v>2079</v>
      </c>
      <c r="I2" s="151" t="s">
        <v>691</v>
      </c>
      <c r="J2" s="151" t="s">
        <v>706</v>
      </c>
      <c r="K2" s="151" t="s">
        <v>716</v>
      </c>
      <c r="L2" s="151" t="s">
        <v>729</v>
      </c>
      <c r="M2" s="183" t="s">
        <v>737</v>
      </c>
      <c r="N2" s="183" t="s">
        <v>791</v>
      </c>
      <c r="O2" s="183" t="s">
        <v>758</v>
      </c>
      <c r="P2" s="151" t="s">
        <v>1320</v>
      </c>
      <c r="Q2" s="151" t="s">
        <v>1327</v>
      </c>
      <c r="R2" s="151" t="s">
        <v>767</v>
      </c>
      <c r="S2" s="151" t="s">
        <v>1340</v>
      </c>
      <c r="T2" s="151" t="s">
        <v>1348</v>
      </c>
      <c r="U2" s="151" t="s">
        <v>1353</v>
      </c>
      <c r="V2" s="151" t="s">
        <v>1364</v>
      </c>
      <c r="W2" s="151" t="s">
        <v>941</v>
      </c>
      <c r="X2" s="151" t="s">
        <v>1372</v>
      </c>
      <c r="Y2" s="151" t="s">
        <v>778</v>
      </c>
      <c r="Z2" s="183" t="s">
        <v>749</v>
      </c>
      <c r="AA2" s="151" t="s">
        <v>1387</v>
      </c>
      <c r="AB2" s="151" t="s">
        <v>798</v>
      </c>
      <c r="AC2" s="151" t="s">
        <v>806</v>
      </c>
      <c r="AD2" s="151" t="s">
        <v>813</v>
      </c>
    </row>
    <row r="3" spans="2:30" x14ac:dyDescent="0.25">
      <c r="B3" s="145" t="s">
        <v>2027</v>
      </c>
      <c r="C3" s="102">
        <v>1</v>
      </c>
      <c r="D3" s="102" t="s">
        <v>2080</v>
      </c>
      <c r="E3" s="120">
        <v>45513</v>
      </c>
      <c r="F3" s="102">
        <v>1</v>
      </c>
      <c r="G3" s="121">
        <v>1</v>
      </c>
      <c r="H3" s="121">
        <v>1538</v>
      </c>
      <c r="I3" s="150" t="s">
        <v>2081</v>
      </c>
      <c r="J3" s="150" t="s">
        <v>2081</v>
      </c>
      <c r="K3" s="150" t="s">
        <v>2081</v>
      </c>
      <c r="L3" s="150" t="s">
        <v>2081</v>
      </c>
      <c r="M3" s="184" t="s">
        <v>2081</v>
      </c>
      <c r="N3" s="184" t="s">
        <v>2081</v>
      </c>
      <c r="O3" s="184" t="s">
        <v>2081</v>
      </c>
      <c r="P3" s="150" t="s">
        <v>2081</v>
      </c>
      <c r="Q3" s="150" t="s">
        <v>2081</v>
      </c>
      <c r="R3" s="150" t="s">
        <v>2081</v>
      </c>
      <c r="S3" s="150" t="s">
        <v>2081</v>
      </c>
      <c r="T3" s="150" t="s">
        <v>2081</v>
      </c>
      <c r="U3" s="150" t="s">
        <v>2081</v>
      </c>
      <c r="V3" s="150" t="s">
        <v>2081</v>
      </c>
      <c r="W3" s="150" t="s">
        <v>2081</v>
      </c>
      <c r="X3" s="150" t="s">
        <v>2081</v>
      </c>
      <c r="Y3" s="150" t="s">
        <v>2081</v>
      </c>
      <c r="Z3" s="184" t="s">
        <v>2081</v>
      </c>
      <c r="AA3" s="150" t="s">
        <v>2081</v>
      </c>
      <c r="AB3" s="150" t="s">
        <v>2081</v>
      </c>
      <c r="AC3" s="150" t="s">
        <v>2081</v>
      </c>
      <c r="AD3" s="150" t="s">
        <v>2081</v>
      </c>
    </row>
    <row r="4" spans="2:30" x14ac:dyDescent="0.25">
      <c r="B4" s="145" t="s">
        <v>2029</v>
      </c>
      <c r="C4" s="102">
        <v>2</v>
      </c>
      <c r="D4" s="102" t="s">
        <v>2082</v>
      </c>
      <c r="E4" s="120">
        <v>45513</v>
      </c>
      <c r="F4" s="102">
        <v>1</v>
      </c>
      <c r="G4" s="121">
        <v>1</v>
      </c>
      <c r="H4" s="102">
        <v>0</v>
      </c>
      <c r="I4" s="150" t="s">
        <v>2081</v>
      </c>
      <c r="J4" s="150" t="s">
        <v>2081</v>
      </c>
      <c r="K4" s="150" t="s">
        <v>2081</v>
      </c>
      <c r="L4" s="150" t="s">
        <v>2081</v>
      </c>
      <c r="M4" s="184" t="s">
        <v>2081</v>
      </c>
      <c r="N4" s="184" t="s">
        <v>2081</v>
      </c>
      <c r="O4" s="184" t="s">
        <v>2081</v>
      </c>
      <c r="P4" s="150" t="s">
        <v>2081</v>
      </c>
      <c r="Q4" s="150" t="s">
        <v>2081</v>
      </c>
      <c r="R4" s="150" t="s">
        <v>2081</v>
      </c>
      <c r="S4" s="150" t="s">
        <v>2081</v>
      </c>
      <c r="T4" s="150" t="s">
        <v>2081</v>
      </c>
      <c r="U4" s="150" t="s">
        <v>2081</v>
      </c>
      <c r="V4" s="150" t="s">
        <v>2081</v>
      </c>
      <c r="W4" s="150" t="s">
        <v>2081</v>
      </c>
      <c r="X4" s="150" t="s">
        <v>2081</v>
      </c>
      <c r="Y4" s="150" t="s">
        <v>2081</v>
      </c>
      <c r="Z4" s="184" t="s">
        <v>2081</v>
      </c>
      <c r="AA4" s="150" t="s">
        <v>2081</v>
      </c>
      <c r="AB4" s="150" t="s">
        <v>2081</v>
      </c>
      <c r="AC4" s="150" t="s">
        <v>2081</v>
      </c>
      <c r="AD4" s="150" t="s">
        <v>2081</v>
      </c>
    </row>
    <row r="5" spans="2:30" x14ac:dyDescent="0.25">
      <c r="B5" s="145" t="s">
        <v>2031</v>
      </c>
      <c r="C5" s="102">
        <v>3</v>
      </c>
      <c r="D5" s="102" t="s">
        <v>2083</v>
      </c>
      <c r="E5" s="120">
        <v>45513</v>
      </c>
      <c r="F5" s="102">
        <v>1</v>
      </c>
      <c r="G5" s="102">
        <v>0.77777799999999997</v>
      </c>
      <c r="H5" s="121">
        <v>1</v>
      </c>
      <c r="I5" s="150" t="s">
        <v>2084</v>
      </c>
      <c r="J5" s="150" t="s">
        <v>2084</v>
      </c>
      <c r="K5" s="150" t="s">
        <v>2085</v>
      </c>
      <c r="L5" s="150" t="s">
        <v>2085</v>
      </c>
      <c r="M5" s="184" t="s">
        <v>2081</v>
      </c>
      <c r="N5" s="184" t="s">
        <v>2085</v>
      </c>
      <c r="O5" s="184" t="s">
        <v>2085</v>
      </c>
      <c r="P5" s="150" t="s">
        <v>2085</v>
      </c>
      <c r="Q5" s="150" t="s">
        <v>2085</v>
      </c>
      <c r="R5" s="150" t="s">
        <v>2081</v>
      </c>
      <c r="S5" s="150" t="s">
        <v>2081</v>
      </c>
      <c r="T5" s="150" t="s">
        <v>2081</v>
      </c>
      <c r="U5" s="150" t="s">
        <v>2081</v>
      </c>
      <c r="V5" s="150" t="s">
        <v>2081</v>
      </c>
      <c r="W5" s="150" t="s">
        <v>2081</v>
      </c>
      <c r="X5" s="150" t="s">
        <v>2081</v>
      </c>
      <c r="Y5" s="150" t="s">
        <v>2081</v>
      </c>
      <c r="Z5" s="184" t="s">
        <v>2081</v>
      </c>
      <c r="AA5" s="150" t="s">
        <v>2081</v>
      </c>
      <c r="AB5" s="150" t="s">
        <v>2081</v>
      </c>
      <c r="AC5" s="150" t="s">
        <v>2085</v>
      </c>
      <c r="AD5" s="150" t="s">
        <v>2081</v>
      </c>
    </row>
    <row r="6" spans="2:30" x14ac:dyDescent="0.25">
      <c r="B6" s="92" t="s">
        <v>2033</v>
      </c>
      <c r="C6" s="102">
        <v>4</v>
      </c>
      <c r="D6" s="102" t="s">
        <v>2086</v>
      </c>
      <c r="E6" s="120" t="s">
        <v>2081</v>
      </c>
      <c r="F6" s="102">
        <v>1</v>
      </c>
      <c r="G6" s="102" t="s">
        <v>2081</v>
      </c>
      <c r="H6" s="102"/>
      <c r="I6" s="150" t="s">
        <v>2081</v>
      </c>
      <c r="J6" s="150" t="s">
        <v>2081</v>
      </c>
      <c r="K6" s="150" t="s">
        <v>2081</v>
      </c>
      <c r="L6" s="150" t="s">
        <v>2081</v>
      </c>
      <c r="M6" s="184" t="s">
        <v>2081</v>
      </c>
      <c r="N6" s="184" t="s">
        <v>2081</v>
      </c>
      <c r="O6" s="184" t="s">
        <v>2081</v>
      </c>
      <c r="P6" s="150" t="s">
        <v>2081</v>
      </c>
      <c r="Q6" s="150" t="s">
        <v>2081</v>
      </c>
      <c r="R6" s="150" t="s">
        <v>2081</v>
      </c>
      <c r="S6" s="150" t="s">
        <v>2081</v>
      </c>
      <c r="T6" s="150" t="s">
        <v>2081</v>
      </c>
      <c r="U6" s="150" t="s">
        <v>2081</v>
      </c>
      <c r="V6" s="150" t="s">
        <v>2081</v>
      </c>
      <c r="W6" s="150" t="s">
        <v>2081</v>
      </c>
      <c r="X6" s="150" t="s">
        <v>2081</v>
      </c>
      <c r="Y6" s="150" t="s">
        <v>2081</v>
      </c>
      <c r="Z6" s="184" t="s">
        <v>2081</v>
      </c>
      <c r="AA6" s="150" t="s">
        <v>2081</v>
      </c>
      <c r="AB6" s="150" t="s">
        <v>2081</v>
      </c>
      <c r="AC6" s="150" t="s">
        <v>2081</v>
      </c>
      <c r="AD6" s="150" t="s">
        <v>2081</v>
      </c>
    </row>
    <row r="7" spans="2:30" x14ac:dyDescent="0.25">
      <c r="B7" s="92" t="s">
        <v>2035</v>
      </c>
      <c r="C7" s="102">
        <v>5</v>
      </c>
      <c r="D7" s="102" t="s">
        <v>2086</v>
      </c>
      <c r="E7" s="120" t="s">
        <v>2081</v>
      </c>
      <c r="F7" s="102">
        <v>1</v>
      </c>
      <c r="G7" s="102" t="s">
        <v>2081</v>
      </c>
      <c r="H7" s="102"/>
      <c r="I7" s="150" t="s">
        <v>2081</v>
      </c>
      <c r="J7" s="150" t="s">
        <v>2081</v>
      </c>
      <c r="K7" s="150" t="s">
        <v>2081</v>
      </c>
      <c r="L7" s="150" t="s">
        <v>2081</v>
      </c>
      <c r="M7" s="184" t="s">
        <v>2081</v>
      </c>
      <c r="N7" s="184" t="s">
        <v>2081</v>
      </c>
      <c r="O7" s="184" t="s">
        <v>2081</v>
      </c>
      <c r="P7" s="150" t="s">
        <v>2081</v>
      </c>
      <c r="Q7" s="150" t="s">
        <v>2081</v>
      </c>
      <c r="R7" s="150" t="s">
        <v>2081</v>
      </c>
      <c r="S7" s="150" t="s">
        <v>2081</v>
      </c>
      <c r="T7" s="150" t="s">
        <v>2081</v>
      </c>
      <c r="U7" s="150" t="s">
        <v>2081</v>
      </c>
      <c r="V7" s="150" t="s">
        <v>2081</v>
      </c>
      <c r="W7" s="150" t="s">
        <v>2081</v>
      </c>
      <c r="X7" s="150" t="s">
        <v>2081</v>
      </c>
      <c r="Y7" s="150" t="s">
        <v>2081</v>
      </c>
      <c r="Z7" s="184" t="s">
        <v>2081</v>
      </c>
      <c r="AA7" s="150" t="s">
        <v>2081</v>
      </c>
      <c r="AB7" s="150" t="s">
        <v>2081</v>
      </c>
      <c r="AC7" s="150" t="s">
        <v>2081</v>
      </c>
      <c r="AD7" s="150" t="s">
        <v>2081</v>
      </c>
    </row>
    <row r="8" spans="2:30" x14ac:dyDescent="0.25">
      <c r="B8" s="176" t="s">
        <v>2036</v>
      </c>
      <c r="C8" s="102">
        <v>6</v>
      </c>
      <c r="D8" s="102" t="s">
        <v>2087</v>
      </c>
      <c r="E8" s="120">
        <v>45513</v>
      </c>
      <c r="F8" s="102">
        <v>1</v>
      </c>
      <c r="G8" s="102" cm="1">
        <f t="array" ref="G8">SUMPRODUCT(--(I8:AD8&gt;0))/COUNTA(I8:AD8)</f>
        <v>1</v>
      </c>
      <c r="H8" s="102">
        <v>0</v>
      </c>
      <c r="I8" s="102">
        <v>2</v>
      </c>
      <c r="J8" s="102">
        <v>30</v>
      </c>
      <c r="K8" s="102">
        <v>13</v>
      </c>
      <c r="L8" s="102">
        <v>1</v>
      </c>
      <c r="M8" s="146" t="s">
        <v>2088</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x14ac:dyDescent="0.25">
      <c r="B9" s="145" t="s">
        <v>2039</v>
      </c>
      <c r="C9" s="102">
        <v>7</v>
      </c>
      <c r="D9" s="102" t="s">
        <v>2089</v>
      </c>
      <c r="E9" s="120">
        <v>45513</v>
      </c>
      <c r="F9" s="102">
        <v>1</v>
      </c>
      <c r="G9" s="165" cm="1">
        <f t="array" ref="G9">SUMPRODUCT(--(I9:AD9&lt;=I26:AD26))/COUNTA(I9:AD9)</f>
        <v>0.95454545454545459</v>
      </c>
      <c r="H9" s="102">
        <v>0</v>
      </c>
      <c r="I9" s="102">
        <v>2</v>
      </c>
      <c r="J9" s="102">
        <v>30</v>
      </c>
      <c r="K9" s="102">
        <v>13</v>
      </c>
      <c r="L9" s="102">
        <v>1</v>
      </c>
      <c r="M9" s="146" t="s">
        <v>2088</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x14ac:dyDescent="0.25">
      <c r="B10" s="145" t="s">
        <v>2042</v>
      </c>
      <c r="C10" s="102">
        <v>8</v>
      </c>
      <c r="D10" s="102" t="s">
        <v>2090</v>
      </c>
      <c r="E10" s="120">
        <v>45513</v>
      </c>
      <c r="F10" s="102">
        <v>1</v>
      </c>
      <c r="G10" s="150" t="s">
        <v>2081</v>
      </c>
      <c r="H10" s="102">
        <v>0</v>
      </c>
      <c r="I10" s="150" t="s">
        <v>2091</v>
      </c>
      <c r="J10" s="150" t="s">
        <v>2092</v>
      </c>
      <c r="K10" s="150" t="s">
        <v>2093</v>
      </c>
      <c r="L10" s="150" t="s">
        <v>2084</v>
      </c>
      <c r="M10" s="184" t="s">
        <v>2088</v>
      </c>
      <c r="N10" s="187">
        <v>45504</v>
      </c>
      <c r="O10" s="184" t="s">
        <v>2094</v>
      </c>
      <c r="P10" s="150" t="s">
        <v>2091</v>
      </c>
      <c r="Q10" s="150" t="s">
        <v>2095</v>
      </c>
      <c r="R10" s="150" t="s">
        <v>2085</v>
      </c>
      <c r="S10" s="150" t="s">
        <v>2096</v>
      </c>
      <c r="T10" s="150" t="s">
        <v>2097</v>
      </c>
      <c r="U10" s="150" t="s">
        <v>2098</v>
      </c>
      <c r="V10" s="150" t="s">
        <v>2099</v>
      </c>
      <c r="W10" s="102">
        <v>0</v>
      </c>
      <c r="X10" s="150" t="s">
        <v>2085</v>
      </c>
      <c r="Y10" s="150" t="s">
        <v>2100</v>
      </c>
      <c r="Z10" s="184" t="s">
        <v>2101</v>
      </c>
      <c r="AA10" s="150" t="s">
        <v>2085</v>
      </c>
      <c r="AB10" s="150" t="s">
        <v>2102</v>
      </c>
      <c r="AC10" s="150" t="s">
        <v>2103</v>
      </c>
      <c r="AD10" s="150" t="s">
        <v>2104</v>
      </c>
    </row>
    <row r="11" spans="2:30" x14ac:dyDescent="0.25">
      <c r="B11" s="145" t="s">
        <v>2044</v>
      </c>
      <c r="C11" s="102">
        <v>9</v>
      </c>
      <c r="D11" s="102" t="s">
        <v>2105</v>
      </c>
      <c r="E11" s="120">
        <v>45513</v>
      </c>
      <c r="F11" s="102">
        <v>1</v>
      </c>
      <c r="G11" s="102" t="s">
        <v>2081</v>
      </c>
      <c r="H11" s="102">
        <v>0</v>
      </c>
      <c r="I11" s="150" t="s">
        <v>2091</v>
      </c>
      <c r="J11" s="150" t="s">
        <v>2092</v>
      </c>
      <c r="K11" s="150" t="s">
        <v>2093</v>
      </c>
      <c r="L11" s="150" t="s">
        <v>2084</v>
      </c>
      <c r="M11" s="184" t="s">
        <v>2088</v>
      </c>
      <c r="N11" s="187">
        <v>45504</v>
      </c>
      <c r="O11" s="184" t="s">
        <v>2106</v>
      </c>
      <c r="P11" s="150" t="s">
        <v>2097</v>
      </c>
      <c r="Q11" s="150" t="s">
        <v>2095</v>
      </c>
      <c r="R11" s="150" t="s">
        <v>2085</v>
      </c>
      <c r="S11" s="150" t="s">
        <v>2096</v>
      </c>
      <c r="T11" s="150"/>
      <c r="U11" s="150" t="s">
        <v>2107</v>
      </c>
      <c r="V11" s="150" t="s">
        <v>2108</v>
      </c>
      <c r="W11" s="102">
        <v>0</v>
      </c>
      <c r="X11" s="150" t="s">
        <v>2085</v>
      </c>
      <c r="Y11" s="150" t="s">
        <v>2100</v>
      </c>
      <c r="Z11" s="184" t="s">
        <v>2101</v>
      </c>
      <c r="AA11" s="150" t="s">
        <v>2085</v>
      </c>
      <c r="AB11" s="150" t="s">
        <v>2102</v>
      </c>
      <c r="AC11" s="150" t="s">
        <v>2103</v>
      </c>
      <c r="AD11" s="150" t="s">
        <v>2109</v>
      </c>
    </row>
    <row r="12" spans="2:30" x14ac:dyDescent="0.25">
      <c r="B12" s="168" t="s">
        <v>2046</v>
      </c>
      <c r="C12" s="102">
        <v>10</v>
      </c>
      <c r="D12" s="102" t="s">
        <v>2110</v>
      </c>
      <c r="E12" s="120">
        <v>45513</v>
      </c>
      <c r="F12" s="102">
        <v>1</v>
      </c>
      <c r="G12" s="102" t="s">
        <v>2081</v>
      </c>
      <c r="H12" s="102">
        <v>0</v>
      </c>
      <c r="I12" s="150" t="s">
        <v>2091</v>
      </c>
      <c r="J12" s="150" t="s">
        <v>2111</v>
      </c>
      <c r="K12" s="150" t="s">
        <v>2112</v>
      </c>
      <c r="L12" s="150" t="s">
        <v>2084</v>
      </c>
      <c r="M12" s="184" t="s">
        <v>2088</v>
      </c>
      <c r="N12" s="187">
        <v>45513</v>
      </c>
      <c r="O12" s="184" t="s">
        <v>2113</v>
      </c>
      <c r="P12" s="150" t="s">
        <v>2091</v>
      </c>
      <c r="Q12" s="150" t="s">
        <v>2114</v>
      </c>
      <c r="R12" s="150" t="s">
        <v>2084</v>
      </c>
      <c r="S12" s="150" t="s">
        <v>2115</v>
      </c>
      <c r="T12" s="150" t="s">
        <v>2097</v>
      </c>
      <c r="U12" s="150" t="s">
        <v>2116</v>
      </c>
      <c r="V12" s="150" t="s">
        <v>2117</v>
      </c>
      <c r="W12" s="102">
        <v>1</v>
      </c>
      <c r="X12" s="150" t="s">
        <v>2084</v>
      </c>
      <c r="Y12" s="150" t="s">
        <v>2118</v>
      </c>
      <c r="Z12" s="184" t="s">
        <v>2119</v>
      </c>
      <c r="AA12" s="150" t="s">
        <v>2120</v>
      </c>
      <c r="AB12" s="150" t="s">
        <v>2102</v>
      </c>
      <c r="AC12" s="150" t="s">
        <v>2103</v>
      </c>
      <c r="AD12" s="150" t="s">
        <v>2104</v>
      </c>
    </row>
    <row r="13" spans="2:30" x14ac:dyDescent="0.25">
      <c r="B13" s="145" t="s">
        <v>2048</v>
      </c>
      <c r="C13" s="102">
        <v>11</v>
      </c>
      <c r="D13" s="102" t="s">
        <v>2121</v>
      </c>
      <c r="E13" s="120">
        <v>45513</v>
      </c>
      <c r="F13" s="102">
        <v>1</v>
      </c>
      <c r="G13" s="102" t="s">
        <v>2081</v>
      </c>
      <c r="H13" s="102">
        <v>0</v>
      </c>
      <c r="I13" s="150" t="s">
        <v>2091</v>
      </c>
      <c r="J13" s="150" t="s">
        <v>2111</v>
      </c>
      <c r="K13" s="150" t="s">
        <v>2112</v>
      </c>
      <c r="L13" s="150" t="s">
        <v>2084</v>
      </c>
      <c r="M13" s="184" t="s">
        <v>2088</v>
      </c>
      <c r="N13" s="187">
        <v>45513</v>
      </c>
      <c r="O13" s="184" t="s">
        <v>2122</v>
      </c>
      <c r="P13" s="150" t="s">
        <v>2097</v>
      </c>
      <c r="Q13" s="150" t="s">
        <v>2114</v>
      </c>
      <c r="R13" s="150" t="s">
        <v>2084</v>
      </c>
      <c r="S13" s="150" t="s">
        <v>2115</v>
      </c>
      <c r="T13" s="150"/>
      <c r="U13" s="150" t="s">
        <v>2116</v>
      </c>
      <c r="V13" s="150" t="s">
        <v>2117</v>
      </c>
      <c r="W13" s="102">
        <v>1</v>
      </c>
      <c r="X13" s="150" t="s">
        <v>2084</v>
      </c>
      <c r="Y13" s="150" t="s">
        <v>2118</v>
      </c>
      <c r="Z13" s="184" t="s">
        <v>2119</v>
      </c>
      <c r="AA13" s="150" t="s">
        <v>2120</v>
      </c>
      <c r="AB13" s="150" t="s">
        <v>2102</v>
      </c>
      <c r="AC13" s="150" t="s">
        <v>2103</v>
      </c>
      <c r="AD13" s="150" t="s">
        <v>2123</v>
      </c>
    </row>
    <row r="14" spans="2:30" x14ac:dyDescent="0.25">
      <c r="B14" s="145" t="s">
        <v>2050</v>
      </c>
      <c r="C14" s="102">
        <v>12</v>
      </c>
      <c r="D14" s="102" t="s">
        <v>2124</v>
      </c>
      <c r="E14" s="120">
        <v>45513</v>
      </c>
      <c r="F14" s="102">
        <v>1</v>
      </c>
      <c r="G14" s="102">
        <v>0.77272700000000005</v>
      </c>
      <c r="H14" s="102">
        <v>0</v>
      </c>
      <c r="I14" s="150" t="s">
        <v>2084</v>
      </c>
      <c r="J14" s="150" t="s">
        <v>2084</v>
      </c>
      <c r="K14" s="150" t="s">
        <v>2085</v>
      </c>
      <c r="L14" s="150" t="s">
        <v>2085</v>
      </c>
      <c r="M14" s="184" t="s">
        <v>2125</v>
      </c>
      <c r="N14" s="184" t="s">
        <v>2085</v>
      </c>
      <c r="O14" s="184" t="s">
        <v>2085</v>
      </c>
      <c r="P14" s="150" t="s">
        <v>2085</v>
      </c>
      <c r="Q14" s="150" t="s">
        <v>2085</v>
      </c>
      <c r="R14" s="150" t="s">
        <v>2085</v>
      </c>
      <c r="S14" s="150" t="s">
        <v>2085</v>
      </c>
      <c r="T14" s="150" t="s">
        <v>2085</v>
      </c>
      <c r="U14" s="150" t="s">
        <v>2126</v>
      </c>
      <c r="V14" s="150" t="s">
        <v>2126</v>
      </c>
      <c r="W14" s="102">
        <v>0</v>
      </c>
      <c r="X14" s="150" t="s">
        <v>2085</v>
      </c>
      <c r="Y14" s="150" t="s">
        <v>2085</v>
      </c>
      <c r="Z14" s="184" t="s">
        <v>2085</v>
      </c>
      <c r="AA14" s="150" t="s">
        <v>2085</v>
      </c>
      <c r="AB14" s="150" t="s">
        <v>2085</v>
      </c>
      <c r="AC14" s="150" t="s">
        <v>2085</v>
      </c>
      <c r="AD14" s="150" t="s">
        <v>2085</v>
      </c>
    </row>
    <row r="15" spans="2:30" x14ac:dyDescent="0.25">
      <c r="B15" s="145" t="s">
        <v>2052</v>
      </c>
      <c r="C15" s="102">
        <v>13</v>
      </c>
      <c r="D15" s="102" t="s">
        <v>2127</v>
      </c>
      <c r="E15" s="120">
        <v>45513</v>
      </c>
      <c r="F15" s="102">
        <v>1</v>
      </c>
      <c r="G15" s="121">
        <v>1</v>
      </c>
      <c r="H15" s="102">
        <v>0</v>
      </c>
      <c r="I15" s="150" t="s">
        <v>2081</v>
      </c>
      <c r="J15" s="152" t="s">
        <v>2081</v>
      </c>
      <c r="K15" s="150" t="s">
        <v>2081</v>
      </c>
      <c r="L15" s="150" t="s">
        <v>2081</v>
      </c>
      <c r="M15" s="185" t="s">
        <v>2081</v>
      </c>
      <c r="N15" s="185" t="s">
        <v>2085</v>
      </c>
      <c r="O15" s="184" t="s">
        <v>2081</v>
      </c>
      <c r="P15" s="152" t="s">
        <v>2081</v>
      </c>
      <c r="Q15" s="150" t="s">
        <v>2081</v>
      </c>
      <c r="R15" s="152" t="s">
        <v>2081</v>
      </c>
      <c r="S15" s="152" t="s">
        <v>2081</v>
      </c>
      <c r="T15" s="150" t="s">
        <v>2081</v>
      </c>
      <c r="U15" s="150" t="s">
        <v>2081</v>
      </c>
      <c r="V15" s="150" t="s">
        <v>2081</v>
      </c>
      <c r="W15" s="150" t="s">
        <v>2081</v>
      </c>
      <c r="X15" s="150" t="s">
        <v>2081</v>
      </c>
      <c r="Y15" s="150" t="s">
        <v>2081</v>
      </c>
      <c r="Z15" s="185" t="s">
        <v>2085</v>
      </c>
      <c r="AA15" s="150" t="s">
        <v>2081</v>
      </c>
      <c r="AB15" s="150" t="s">
        <v>2081</v>
      </c>
      <c r="AC15" s="150" t="s">
        <v>2081</v>
      </c>
      <c r="AD15" s="150" t="s">
        <v>2081</v>
      </c>
    </row>
    <row r="16" spans="2:30" x14ac:dyDescent="0.25">
      <c r="B16" s="145" t="s">
        <v>2054</v>
      </c>
      <c r="C16" s="102">
        <v>14</v>
      </c>
      <c r="D16" s="102" t="s">
        <v>2128</v>
      </c>
      <c r="E16" s="120">
        <v>45513</v>
      </c>
      <c r="F16" s="102">
        <v>1</v>
      </c>
      <c r="G16" s="121">
        <v>1</v>
      </c>
      <c r="H16" s="102">
        <v>0</v>
      </c>
      <c r="I16" s="150" t="s">
        <v>2085</v>
      </c>
      <c r="J16" s="150" t="s">
        <v>2085</v>
      </c>
      <c r="K16" s="150" t="s">
        <v>2081</v>
      </c>
      <c r="L16" s="150" t="s">
        <v>2081</v>
      </c>
      <c r="M16" s="184" t="s">
        <v>2085</v>
      </c>
      <c r="N16" s="185" t="s">
        <v>2081</v>
      </c>
      <c r="O16" s="184" t="s">
        <v>2081</v>
      </c>
      <c r="P16" s="152" t="s">
        <v>2085</v>
      </c>
      <c r="Q16" s="150" t="s">
        <v>2085</v>
      </c>
      <c r="R16" s="150" t="s">
        <v>2081</v>
      </c>
      <c r="S16" s="152" t="s">
        <v>2085</v>
      </c>
      <c r="T16" s="150" t="s">
        <v>2085</v>
      </c>
      <c r="U16" s="150" t="s">
        <v>2085</v>
      </c>
      <c r="V16" s="150" t="s">
        <v>2085</v>
      </c>
      <c r="W16" s="150" t="s">
        <v>2081</v>
      </c>
      <c r="X16" s="150" t="s">
        <v>2081</v>
      </c>
      <c r="Y16" s="150" t="s">
        <v>2085</v>
      </c>
      <c r="Z16" s="185" t="s">
        <v>2081</v>
      </c>
      <c r="AA16" s="150" t="s">
        <v>2085</v>
      </c>
      <c r="AB16" s="150" t="s">
        <v>2085</v>
      </c>
      <c r="AC16" s="150" t="s">
        <v>2081</v>
      </c>
      <c r="AD16" s="150" t="s">
        <v>2081</v>
      </c>
    </row>
    <row r="17" spans="2:30" x14ac:dyDescent="0.25">
      <c r="B17" s="178" t="s">
        <v>2056</v>
      </c>
      <c r="C17" s="102">
        <v>15</v>
      </c>
      <c r="D17" s="102" t="s">
        <v>2129</v>
      </c>
      <c r="E17" s="120">
        <v>45513</v>
      </c>
      <c r="F17" s="102">
        <v>1</v>
      </c>
      <c r="G17" s="102">
        <v>1</v>
      </c>
      <c r="H17" s="121">
        <v>1538</v>
      </c>
      <c r="I17" s="150" t="s">
        <v>2081</v>
      </c>
      <c r="J17" s="150" t="s">
        <v>2081</v>
      </c>
      <c r="K17" s="150" t="s">
        <v>2081</v>
      </c>
      <c r="L17" s="150" t="s">
        <v>2081</v>
      </c>
      <c r="M17" s="184" t="s">
        <v>2081</v>
      </c>
      <c r="N17" s="184" t="s">
        <v>2081</v>
      </c>
      <c r="O17" s="184" t="s">
        <v>2081</v>
      </c>
      <c r="P17" s="150" t="s">
        <v>2081</v>
      </c>
      <c r="Q17" s="150" t="s">
        <v>2081</v>
      </c>
      <c r="R17" s="150" t="s">
        <v>2081</v>
      </c>
      <c r="S17" s="150" t="s">
        <v>2081</v>
      </c>
      <c r="T17" s="150" t="s">
        <v>2081</v>
      </c>
      <c r="U17" s="150" t="s">
        <v>2081</v>
      </c>
      <c r="V17" s="150" t="s">
        <v>2081</v>
      </c>
      <c r="W17" s="152" t="s">
        <v>2081</v>
      </c>
      <c r="X17" s="152" t="s">
        <v>2081</v>
      </c>
      <c r="Y17" s="150" t="s">
        <v>2081</v>
      </c>
      <c r="Z17" s="184" t="s">
        <v>2081</v>
      </c>
      <c r="AA17" s="150" t="s">
        <v>2081</v>
      </c>
      <c r="AB17" s="150" t="s">
        <v>2081</v>
      </c>
      <c r="AC17" s="150" t="s">
        <v>2081</v>
      </c>
      <c r="AD17" s="150" t="s">
        <v>2081</v>
      </c>
    </row>
    <row r="18" spans="2:30" x14ac:dyDescent="0.25">
      <c r="B18" s="178" t="s">
        <v>2058</v>
      </c>
      <c r="C18" s="102">
        <v>16</v>
      </c>
      <c r="D18" s="102" t="s">
        <v>2129</v>
      </c>
      <c r="E18" s="120">
        <v>45513</v>
      </c>
      <c r="F18" s="102">
        <v>1</v>
      </c>
      <c r="G18" s="102">
        <v>1</v>
      </c>
      <c r="H18" s="121">
        <v>1538</v>
      </c>
      <c r="I18" s="150" t="s">
        <v>2081</v>
      </c>
      <c r="J18" s="150" t="s">
        <v>2081</v>
      </c>
      <c r="K18" s="150" t="s">
        <v>2081</v>
      </c>
      <c r="L18" s="150" t="s">
        <v>2081</v>
      </c>
      <c r="M18" s="184" t="s">
        <v>2081</v>
      </c>
      <c r="N18" s="184" t="s">
        <v>2081</v>
      </c>
      <c r="O18" s="184" t="s">
        <v>2081</v>
      </c>
      <c r="P18" s="150" t="s">
        <v>2081</v>
      </c>
      <c r="Q18" s="150" t="s">
        <v>2081</v>
      </c>
      <c r="R18" s="150" t="s">
        <v>2081</v>
      </c>
      <c r="S18" s="150" t="s">
        <v>2081</v>
      </c>
      <c r="T18" s="150" t="s">
        <v>2081</v>
      </c>
      <c r="U18" s="150" t="s">
        <v>2081</v>
      </c>
      <c r="V18" s="150" t="s">
        <v>2081</v>
      </c>
      <c r="W18" s="152" t="s">
        <v>2081</v>
      </c>
      <c r="X18" s="152" t="s">
        <v>2081</v>
      </c>
      <c r="Y18" s="150" t="s">
        <v>2081</v>
      </c>
      <c r="Z18" s="184" t="s">
        <v>2081</v>
      </c>
      <c r="AA18" s="150" t="s">
        <v>2081</v>
      </c>
      <c r="AB18" s="150" t="s">
        <v>2081</v>
      </c>
      <c r="AC18" s="150" t="s">
        <v>2081</v>
      </c>
      <c r="AD18" s="150" t="s">
        <v>2081</v>
      </c>
    </row>
    <row r="19" spans="2:30" x14ac:dyDescent="0.25">
      <c r="B19" s="145" t="s">
        <v>2064</v>
      </c>
      <c r="C19" s="102">
        <v>19</v>
      </c>
      <c r="D19" s="102" t="s">
        <v>2130</v>
      </c>
      <c r="E19" s="120">
        <v>45513</v>
      </c>
      <c r="F19" s="102">
        <v>1</v>
      </c>
      <c r="G19" s="150" cm="1">
        <f t="array" ref="G19">SUMPRODUCT(--(ISNUMBER((SEARCH(I25:AD25,I19:AD19)))))/COUNTA(I19:AD19)</f>
        <v>1</v>
      </c>
      <c r="H19" s="102">
        <v>0</v>
      </c>
      <c r="I19" s="150" t="s">
        <v>2131</v>
      </c>
      <c r="J19" s="150" t="s">
        <v>2131</v>
      </c>
      <c r="K19" s="150" t="s">
        <v>2132</v>
      </c>
      <c r="L19" s="150" t="s">
        <v>2132</v>
      </c>
      <c r="M19" s="184" t="s">
        <v>2131</v>
      </c>
      <c r="N19" s="184" t="s">
        <v>2131</v>
      </c>
      <c r="O19" s="184" t="s">
        <v>2133</v>
      </c>
      <c r="P19" s="150" t="s">
        <v>2131</v>
      </c>
      <c r="Q19" s="150" t="s">
        <v>2131</v>
      </c>
      <c r="R19" s="150" t="s">
        <v>2131</v>
      </c>
      <c r="S19" s="150" t="s">
        <v>2131</v>
      </c>
      <c r="T19" s="150" t="s">
        <v>2131</v>
      </c>
      <c r="U19" s="150" t="s">
        <v>2131</v>
      </c>
      <c r="V19" s="150" t="s">
        <v>2131</v>
      </c>
      <c r="W19" s="150" t="s">
        <v>2131</v>
      </c>
      <c r="X19" s="150" t="s">
        <v>2131</v>
      </c>
      <c r="Y19" s="150" t="s">
        <v>2131</v>
      </c>
      <c r="Z19" s="184" t="s">
        <v>2131</v>
      </c>
      <c r="AA19" s="150" t="s">
        <v>2131</v>
      </c>
      <c r="AB19" s="150" t="s">
        <v>2131</v>
      </c>
      <c r="AC19" s="150" t="s">
        <v>2131</v>
      </c>
      <c r="AD19" s="150" t="s">
        <v>2134</v>
      </c>
    </row>
    <row r="20" spans="2:30" x14ac:dyDescent="0.25">
      <c r="B20" s="145" t="s">
        <v>2067</v>
      </c>
      <c r="C20" s="102">
        <v>20</v>
      </c>
      <c r="D20" s="102" t="s">
        <v>2130</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x14ac:dyDescent="0.25">
      <c r="B21" s="169" t="s">
        <v>2070</v>
      </c>
      <c r="C21" s="102">
        <v>21</v>
      </c>
      <c r="D21" s="102" t="s">
        <v>2130</v>
      </c>
      <c r="E21" s="120">
        <v>45513</v>
      </c>
      <c r="F21" s="102">
        <v>1</v>
      </c>
      <c r="G21" s="102" cm="1">
        <f t="array" ref="G2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x14ac:dyDescent="0.25">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x14ac:dyDescent="0.25">
      <c r="B23" s="110" t="s">
        <v>2135</v>
      </c>
    </row>
    <row r="24" spans="2:30" x14ac:dyDescent="0.25">
      <c r="B24" s="111" t="s">
        <v>2136</v>
      </c>
      <c r="C24" s="112" t="s">
        <v>2074</v>
      </c>
      <c r="D24" s="112" t="s">
        <v>2075</v>
      </c>
      <c r="E24" s="112" t="s">
        <v>2076</v>
      </c>
      <c r="F24" s="112" t="s">
        <v>2077</v>
      </c>
      <c r="G24" s="112" t="s">
        <v>2078</v>
      </c>
      <c r="H24" s="112" t="s">
        <v>2079</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x14ac:dyDescent="0.25">
      <c r="B25" s="104" t="s">
        <v>2137</v>
      </c>
      <c r="C25" s="117">
        <v>21</v>
      </c>
      <c r="D25" s="106" t="s">
        <v>2138</v>
      </c>
      <c r="E25" s="105" t="s">
        <v>2139</v>
      </c>
      <c r="F25" s="105" t="s">
        <v>1178</v>
      </c>
      <c r="G25" s="105" t="s">
        <v>1178</v>
      </c>
      <c r="H25" s="105" t="s">
        <v>1178</v>
      </c>
      <c r="I25" s="105" t="str" cm="1">
        <f t="array" ref="I25:AD26">TRANSPOSE(_xlfn.SORTBY(_xlfn._xlws.FILTER(IF(Table2[FORMATO]:Table2[COMP_ CAMPO]&lt;&gt;"",Table2[FORMATO]:Table2[COMP_ CAMPO],9999999),Table2[NOME FÍSICO TABELA]="factoring_transaction"), _xlfn._xlws.FILTER(Table2[ORDEM], Table2[NOME FÍSICO TABELA]="factoring_transaction"),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s="105" t="str">
        <v>STRING</v>
      </c>
      <c r="W25" s="105" t="str">
        <v>STRING</v>
      </c>
      <c r="X25" s="105" t="str">
        <v>STRING</v>
      </c>
      <c r="Y25" s="105" t="str">
        <v>STRING</v>
      </c>
      <c r="Z25" s="148" t="str">
        <v>STRING</v>
      </c>
      <c r="AA25" s="105" t="str">
        <v>STRING</v>
      </c>
      <c r="AB25" s="105" t="str">
        <v>STRING</v>
      </c>
      <c r="AC25" s="105" t="str">
        <v>STRING</v>
      </c>
      <c r="AD25" s="116" t="str">
        <v>TIMESTAMP</v>
      </c>
    </row>
    <row r="26" spans="2:30" x14ac:dyDescent="0.25">
      <c r="B26" s="104" t="s">
        <v>2140</v>
      </c>
      <c r="C26" s="117">
        <v>7</v>
      </c>
      <c r="D26" s="106" t="s">
        <v>2138</v>
      </c>
      <c r="E26" s="105" t="s">
        <v>2139</v>
      </c>
      <c r="F26" s="105" t="s">
        <v>1178</v>
      </c>
      <c r="G26" s="105" t="s">
        <v>1178</v>
      </c>
      <c r="H26" s="105" t="s">
        <v>1178</v>
      </c>
      <c r="I26" s="117">
        <v>4</v>
      </c>
      <c r="J26" s="117">
        <v>30</v>
      </c>
      <c r="K26" s="117">
        <v>9999999</v>
      </c>
      <c r="L26" s="117">
        <v>9999999</v>
      </c>
      <c r="M26" s="117">
        <v>4</v>
      </c>
      <c r="N26" s="117">
        <v>10</v>
      </c>
      <c r="O26" s="117">
        <v>23</v>
      </c>
      <c r="P26" s="117">
        <v>4</v>
      </c>
      <c r="Q26" s="117">
        <v>15</v>
      </c>
      <c r="R26" s="117">
        <v>4</v>
      </c>
      <c r="S26" s="117">
        <v>10</v>
      </c>
      <c r="T26" s="117">
        <v>4</v>
      </c>
      <c r="U26" s="117">
        <v>30</v>
      </c>
      <c r="V26" s="117">
        <v>34</v>
      </c>
      <c r="W26" s="117">
        <v>4</v>
      </c>
      <c r="X26" s="117">
        <v>4</v>
      </c>
      <c r="Y26" s="117">
        <v>4</v>
      </c>
      <c r="Z26" s="117">
        <v>10</v>
      </c>
      <c r="AA26" s="117">
        <v>20</v>
      </c>
      <c r="AB26" s="117">
        <v>2</v>
      </c>
      <c r="AC26" s="117">
        <v>10</v>
      </c>
      <c r="AD26" s="118">
        <v>23</v>
      </c>
    </row>
    <row r="29" spans="2:30" x14ac:dyDescent="0.25">
      <c r="B29" s="127" t="s">
        <v>2141</v>
      </c>
    </row>
    <row r="30" spans="2:30" x14ac:dyDescent="0.25">
      <c r="B30" s="136" t="s">
        <v>2142</v>
      </c>
      <c r="C30" s="136" t="s">
        <v>2143</v>
      </c>
      <c r="D30" s="137" t="s">
        <v>2144</v>
      </c>
      <c r="E30" s="136" t="s">
        <v>2145</v>
      </c>
      <c r="F30" s="136" t="s">
        <v>2146</v>
      </c>
    </row>
    <row r="31" spans="2:30" ht="60" x14ac:dyDescent="0.25">
      <c r="B31" s="134" t="s">
        <v>2147</v>
      </c>
      <c r="C31" s="87" t="s">
        <v>737</v>
      </c>
      <c r="D31" s="87" t="s">
        <v>2148</v>
      </c>
      <c r="E31" s="87" t="s">
        <v>2149</v>
      </c>
      <c r="F31" s="135" t="s">
        <v>2150</v>
      </c>
    </row>
    <row r="32" spans="2:30" ht="69.75" customHeight="1" x14ac:dyDescent="0.25">
      <c r="B32" s="238" t="s">
        <v>2151</v>
      </c>
      <c r="C32" s="166" t="s">
        <v>691</v>
      </c>
      <c r="D32" s="175" t="s">
        <v>2152</v>
      </c>
      <c r="E32" s="166" t="s">
        <v>2153</v>
      </c>
      <c r="F32" s="167" t="s">
        <v>2150</v>
      </c>
    </row>
    <row r="33" spans="2:9" ht="69.75" customHeight="1" x14ac:dyDescent="0.25">
      <c r="B33" s="238" t="s">
        <v>2151</v>
      </c>
      <c r="C33" s="166" t="s">
        <v>706</v>
      </c>
      <c r="D33" s="175" t="s">
        <v>2154</v>
      </c>
      <c r="E33" s="166" t="s">
        <v>2153</v>
      </c>
      <c r="F33" s="167" t="s">
        <v>2150</v>
      </c>
      <c r="H33" s="154"/>
    </row>
    <row r="34" spans="2:9" ht="69.75" customHeight="1" x14ac:dyDescent="0.25">
      <c r="B34" s="138" t="s">
        <v>2155</v>
      </c>
      <c r="C34" s="197" t="s">
        <v>691</v>
      </c>
      <c r="D34" s="175" t="s">
        <v>2152</v>
      </c>
      <c r="E34" s="166" t="s">
        <v>2153</v>
      </c>
      <c r="F34" s="198" t="s">
        <v>2150</v>
      </c>
    </row>
    <row r="35" spans="2:9" ht="75" x14ac:dyDescent="0.25">
      <c r="B35" s="138" t="s">
        <v>2155</v>
      </c>
      <c r="C35" s="197" t="s">
        <v>706</v>
      </c>
      <c r="D35" s="175" t="s">
        <v>2154</v>
      </c>
      <c r="E35" s="166" t="s">
        <v>2153</v>
      </c>
      <c r="F35" s="198" t="s">
        <v>2150</v>
      </c>
      <c r="H35" s="154"/>
      <c r="I35" s="154"/>
    </row>
    <row r="36" spans="2:9" ht="60" x14ac:dyDescent="0.25">
      <c r="B36" s="138" t="s">
        <v>2155</v>
      </c>
      <c r="C36" s="87" t="s">
        <v>737</v>
      </c>
      <c r="D36" s="87" t="s">
        <v>2148</v>
      </c>
      <c r="E36" s="87" t="s">
        <v>2156</v>
      </c>
      <c r="F36" s="135" t="s">
        <v>2150</v>
      </c>
      <c r="H36" s="154"/>
      <c r="I36" s="154"/>
    </row>
    <row r="37" spans="2:9" ht="30" x14ac:dyDescent="0.25">
      <c r="B37" s="138" t="s">
        <v>2155</v>
      </c>
      <c r="C37" s="91" t="s">
        <v>1353</v>
      </c>
      <c r="D37" s="141" t="s">
        <v>2157</v>
      </c>
      <c r="E37" s="91" t="s">
        <v>2158</v>
      </c>
      <c r="F37" s="81" t="s">
        <v>2159</v>
      </c>
      <c r="H37" s="154"/>
      <c r="I37" s="154"/>
    </row>
    <row r="38" spans="2:9" ht="30" x14ac:dyDescent="0.25">
      <c r="B38" s="138" t="s">
        <v>2155</v>
      </c>
      <c r="C38" s="91" t="s">
        <v>1364</v>
      </c>
      <c r="D38" s="141" t="s">
        <v>2157</v>
      </c>
      <c r="E38" s="91" t="s">
        <v>2158</v>
      </c>
      <c r="F38" s="81" t="s">
        <v>2150</v>
      </c>
      <c r="H38" s="154"/>
    </row>
    <row r="51" ht="168" customHeight="1" x14ac:dyDescent="0.25"/>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5"/>
  <sheetViews>
    <sheetView showGridLines="0" topLeftCell="A14" workbookViewId="0">
      <selection activeCell="A14" sqref="A14"/>
    </sheetView>
  </sheetViews>
  <sheetFormatPr defaultRowHeight="15" x14ac:dyDescent="0.2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x14ac:dyDescent="0.25"/>
    <row r="2" spans="2:21"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791</v>
      </c>
      <c r="N2" s="113" t="s">
        <v>758</v>
      </c>
      <c r="O2" s="101" t="s">
        <v>737</v>
      </c>
      <c r="P2" s="101" t="s">
        <v>767</v>
      </c>
      <c r="Q2" s="101" t="s">
        <v>778</v>
      </c>
      <c r="R2" s="101" t="s">
        <v>749</v>
      </c>
      <c r="S2" s="101" t="s">
        <v>798</v>
      </c>
      <c r="T2" s="101" t="s">
        <v>806</v>
      </c>
      <c r="U2" s="101" t="s">
        <v>813</v>
      </c>
    </row>
    <row r="3" spans="2:21" x14ac:dyDescent="0.25">
      <c r="B3" s="145" t="s">
        <v>2027</v>
      </c>
      <c r="C3" s="102">
        <v>1</v>
      </c>
      <c r="D3" s="102" t="s">
        <v>2160</v>
      </c>
      <c r="E3" s="120">
        <v>45438</v>
      </c>
      <c r="F3" s="102">
        <v>4</v>
      </c>
      <c r="G3" s="149">
        <v>1</v>
      </c>
      <c r="H3" s="174">
        <v>298</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row>
    <row r="4" spans="2:21" x14ac:dyDescent="0.25">
      <c r="B4" s="145" t="s">
        <v>2029</v>
      </c>
      <c r="C4" s="102">
        <v>2</v>
      </c>
      <c r="D4" s="102" t="s">
        <v>2161</v>
      </c>
      <c r="E4" s="120">
        <v>45438</v>
      </c>
      <c r="F4" s="102">
        <v>4</v>
      </c>
      <c r="G4" s="149">
        <v>1</v>
      </c>
      <c r="H4" s="121">
        <v>0</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row>
    <row r="5" spans="2:21" x14ac:dyDescent="0.25">
      <c r="B5" s="145" t="s">
        <v>2031</v>
      </c>
      <c r="C5" s="102">
        <v>3</v>
      </c>
      <c r="D5" s="102" t="s">
        <v>2162</v>
      </c>
      <c r="E5" s="120">
        <v>45438</v>
      </c>
      <c r="F5" s="102">
        <v>4</v>
      </c>
      <c r="G5" s="149">
        <v>0.875</v>
      </c>
      <c r="H5" s="174">
        <v>298</v>
      </c>
      <c r="I5" s="102">
        <v>0</v>
      </c>
      <c r="J5" s="102">
        <v>0</v>
      </c>
      <c r="K5" s="102">
        <v>0</v>
      </c>
      <c r="L5" s="102">
        <v>0</v>
      </c>
      <c r="M5" s="102">
        <v>0</v>
      </c>
      <c r="N5" s="102">
        <v>0</v>
      </c>
      <c r="O5" s="102">
        <v>298</v>
      </c>
      <c r="P5" s="102" t="s">
        <v>2081</v>
      </c>
      <c r="Q5" s="102" t="s">
        <v>2081</v>
      </c>
      <c r="R5" s="102" t="s">
        <v>2081</v>
      </c>
      <c r="S5" s="102" t="s">
        <v>2081</v>
      </c>
      <c r="T5" s="102">
        <v>0</v>
      </c>
      <c r="U5" s="102" t="s">
        <v>2081</v>
      </c>
    </row>
    <row r="6" spans="2:21" x14ac:dyDescent="0.25">
      <c r="B6" s="145" t="s">
        <v>2033</v>
      </c>
      <c r="C6" s="146">
        <v>4</v>
      </c>
      <c r="D6" s="102" t="s">
        <v>2086</v>
      </c>
      <c r="E6" s="120" t="s">
        <v>2081</v>
      </c>
      <c r="F6" s="102">
        <v>4</v>
      </c>
      <c r="G6" s="149" t="s">
        <v>2081</v>
      </c>
      <c r="H6" s="102"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row>
    <row r="7" spans="2:21" x14ac:dyDescent="0.25">
      <c r="B7" s="145" t="s">
        <v>2035</v>
      </c>
      <c r="C7" s="146">
        <v>5</v>
      </c>
      <c r="D7" s="102" t="s">
        <v>2086</v>
      </c>
      <c r="E7" s="120" t="s">
        <v>2081</v>
      </c>
      <c r="F7" s="102">
        <v>4</v>
      </c>
      <c r="G7" s="149" t="s">
        <v>2081</v>
      </c>
      <c r="H7" s="102"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row>
    <row r="8" spans="2:21" x14ac:dyDescent="0.25">
      <c r="B8" s="168" t="s">
        <v>2036</v>
      </c>
      <c r="C8" s="102">
        <v>6</v>
      </c>
      <c r="D8" s="102" t="s">
        <v>2163</v>
      </c>
      <c r="E8" s="120">
        <v>45438</v>
      </c>
      <c r="F8" s="102">
        <v>4</v>
      </c>
      <c r="G8" s="149" cm="1">
        <f t="array" ref="G8">SUMPRODUCT(--(I8:U8&gt;0))/COUNTA(I8:U8)</f>
        <v>1</v>
      </c>
      <c r="H8" s="121">
        <v>0</v>
      </c>
      <c r="I8" s="102">
        <v>2</v>
      </c>
      <c r="J8" s="102">
        <v>15</v>
      </c>
      <c r="K8" s="102">
        <v>1</v>
      </c>
      <c r="L8" s="102">
        <v>1</v>
      </c>
      <c r="M8" s="102">
        <v>10</v>
      </c>
      <c r="N8" s="102">
        <v>8</v>
      </c>
      <c r="O8" s="102" t="s">
        <v>2088</v>
      </c>
      <c r="P8" s="102">
        <v>1</v>
      </c>
      <c r="Q8" s="102">
        <v>3</v>
      </c>
      <c r="R8" s="102">
        <v>10</v>
      </c>
      <c r="S8" s="102">
        <v>2</v>
      </c>
      <c r="T8" s="102">
        <v>10</v>
      </c>
      <c r="U8" s="102">
        <v>23</v>
      </c>
    </row>
    <row r="9" spans="2:21" x14ac:dyDescent="0.25">
      <c r="B9" s="145" t="s">
        <v>2039</v>
      </c>
      <c r="C9" s="102">
        <v>7</v>
      </c>
      <c r="D9" s="102" t="s">
        <v>2164</v>
      </c>
      <c r="E9" s="120">
        <v>45438</v>
      </c>
      <c r="F9" s="102">
        <v>4</v>
      </c>
      <c r="G9" s="149" cm="1">
        <f t="array" ref="G9">SUMPRODUCT(--(I9:U9 &lt;= I26:U26))/COUNTA(I26:U26)</f>
        <v>0.76923076923076927</v>
      </c>
      <c r="H9" s="121">
        <v>0</v>
      </c>
      <c r="I9" s="102">
        <v>2</v>
      </c>
      <c r="J9" s="102">
        <v>30</v>
      </c>
      <c r="K9" s="102">
        <v>5</v>
      </c>
      <c r="L9" s="102">
        <v>1</v>
      </c>
      <c r="M9" s="102">
        <v>10</v>
      </c>
      <c r="N9" s="102">
        <v>15</v>
      </c>
      <c r="O9" s="102" t="s">
        <v>2088</v>
      </c>
      <c r="P9" s="102">
        <v>1</v>
      </c>
      <c r="Q9" s="102">
        <v>3</v>
      </c>
      <c r="R9" s="102">
        <v>10</v>
      </c>
      <c r="S9" s="102">
        <v>2</v>
      </c>
      <c r="T9" s="102">
        <v>10</v>
      </c>
      <c r="U9" s="102">
        <v>23</v>
      </c>
    </row>
    <row r="10" spans="2:21" x14ac:dyDescent="0.25">
      <c r="B10" s="145" t="s">
        <v>2042</v>
      </c>
      <c r="C10" s="102">
        <v>8</v>
      </c>
      <c r="D10" s="102" t="s">
        <v>2165</v>
      </c>
      <c r="E10" s="120">
        <v>45438</v>
      </c>
      <c r="F10" s="102">
        <v>4</v>
      </c>
      <c r="G10" s="149" t="s">
        <v>2081</v>
      </c>
      <c r="H10" s="121">
        <v>0</v>
      </c>
      <c r="I10" s="102">
        <v>31</v>
      </c>
      <c r="J10" s="102">
        <v>3.1111200102900002E+26</v>
      </c>
      <c r="K10" s="102">
        <v>1</v>
      </c>
      <c r="L10" s="102">
        <v>1</v>
      </c>
      <c r="M10" s="120">
        <v>45483</v>
      </c>
      <c r="N10" s="120" t="s">
        <v>2166</v>
      </c>
      <c r="O10" s="121" t="s">
        <v>2088</v>
      </c>
      <c r="P10" s="120">
        <v>0</v>
      </c>
      <c r="Q10" s="120">
        <v>978</v>
      </c>
      <c r="R10" s="149">
        <v>45483</v>
      </c>
      <c r="S10" s="121" t="s">
        <v>12</v>
      </c>
      <c r="T10" s="120">
        <v>45484</v>
      </c>
      <c r="U10" s="120" t="s">
        <v>2167</v>
      </c>
    </row>
    <row r="11" spans="2:21" x14ac:dyDescent="0.25">
      <c r="B11" s="145" t="s">
        <v>2044</v>
      </c>
      <c r="C11" s="102">
        <v>9</v>
      </c>
      <c r="D11" s="102" t="s">
        <v>2168</v>
      </c>
      <c r="E11" s="120">
        <v>45438</v>
      </c>
      <c r="F11" s="102">
        <v>4</v>
      </c>
      <c r="G11" s="149" t="s">
        <v>2081</v>
      </c>
      <c r="H11" s="121">
        <v>0</v>
      </c>
      <c r="I11" s="102">
        <v>31</v>
      </c>
      <c r="J11" s="102">
        <v>3.1111200102900002E+26</v>
      </c>
      <c r="K11" s="102">
        <v>1</v>
      </c>
      <c r="L11" s="102">
        <v>1</v>
      </c>
      <c r="M11" s="120">
        <v>45483</v>
      </c>
      <c r="N11" s="120" t="s">
        <v>2166</v>
      </c>
      <c r="O11" s="102" t="s">
        <v>2088</v>
      </c>
      <c r="P11" s="120">
        <v>0</v>
      </c>
      <c r="Q11" s="120">
        <v>978</v>
      </c>
      <c r="R11" s="120">
        <v>45483</v>
      </c>
      <c r="S11" s="121" t="s">
        <v>12</v>
      </c>
      <c r="T11" s="120">
        <v>45484</v>
      </c>
      <c r="U11" s="120" t="s">
        <v>2169</v>
      </c>
    </row>
    <row r="12" spans="2:21" x14ac:dyDescent="0.25">
      <c r="B12" s="168" t="s">
        <v>2046</v>
      </c>
      <c r="C12" s="102">
        <v>10</v>
      </c>
      <c r="D12" s="102" t="s">
        <v>2170</v>
      </c>
      <c r="E12" s="120">
        <v>45438</v>
      </c>
      <c r="F12" s="102">
        <v>4</v>
      </c>
      <c r="G12" s="149" t="s">
        <v>2081</v>
      </c>
      <c r="H12" s="121">
        <v>0</v>
      </c>
      <c r="I12" s="102">
        <v>31</v>
      </c>
      <c r="J12" s="102">
        <v>962304890433650</v>
      </c>
      <c r="K12" s="102">
        <v>99999</v>
      </c>
      <c r="L12" s="102">
        <v>1</v>
      </c>
      <c r="M12" s="120">
        <v>45485</v>
      </c>
      <c r="N12" s="120">
        <v>11779599000000</v>
      </c>
      <c r="O12" s="192" t="s">
        <v>2088</v>
      </c>
      <c r="P12" s="120">
        <v>1</v>
      </c>
      <c r="Q12" s="121">
        <v>978</v>
      </c>
      <c r="R12" s="121">
        <v>45485</v>
      </c>
      <c r="S12" s="120" t="s">
        <v>2171</v>
      </c>
      <c r="T12" s="120">
        <v>45484</v>
      </c>
      <c r="U12" s="120" t="s">
        <v>2167</v>
      </c>
    </row>
    <row r="13" spans="2:21" x14ac:dyDescent="0.25">
      <c r="B13" s="145" t="s">
        <v>2048</v>
      </c>
      <c r="C13" s="102">
        <v>11</v>
      </c>
      <c r="D13" s="102" t="s">
        <v>2172</v>
      </c>
      <c r="E13" s="120">
        <v>45438</v>
      </c>
      <c r="F13" s="102">
        <v>4</v>
      </c>
      <c r="G13" s="149" t="s">
        <v>2081</v>
      </c>
      <c r="H13" s="121">
        <v>0</v>
      </c>
      <c r="I13" s="102">
        <v>31</v>
      </c>
      <c r="J13" s="102">
        <v>962304890433650</v>
      </c>
      <c r="K13" s="102">
        <v>99999</v>
      </c>
      <c r="L13" s="102">
        <v>1</v>
      </c>
      <c r="M13" s="120">
        <v>45485</v>
      </c>
      <c r="N13" s="120">
        <v>11779599000000</v>
      </c>
      <c r="O13" s="120" t="s">
        <v>2088</v>
      </c>
      <c r="P13" s="120">
        <v>1</v>
      </c>
      <c r="Q13" s="120">
        <v>978</v>
      </c>
      <c r="R13" s="120">
        <v>45485</v>
      </c>
      <c r="S13" s="120" t="s">
        <v>2171</v>
      </c>
      <c r="T13" s="120">
        <v>45484</v>
      </c>
      <c r="U13" s="120" t="s">
        <v>2173</v>
      </c>
    </row>
    <row r="14" spans="2:21" x14ac:dyDescent="0.25">
      <c r="B14" s="145" t="s">
        <v>2050</v>
      </c>
      <c r="C14" s="102">
        <v>12</v>
      </c>
      <c r="D14" s="102" t="s">
        <v>2174</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x14ac:dyDescent="0.25">
      <c r="B15" s="145" t="s">
        <v>2052</v>
      </c>
      <c r="C15" s="102">
        <v>13</v>
      </c>
      <c r="D15" s="102" t="s">
        <v>2175</v>
      </c>
      <c r="E15" s="120">
        <v>45438</v>
      </c>
      <c r="F15" s="102">
        <v>4</v>
      </c>
      <c r="G15" s="149">
        <v>1</v>
      </c>
      <c r="H15" s="121">
        <v>0</v>
      </c>
      <c r="I15" s="102" t="s">
        <v>2081</v>
      </c>
      <c r="J15" s="102" t="s">
        <v>2081</v>
      </c>
      <c r="K15" s="102" t="s">
        <v>2081</v>
      </c>
      <c r="L15" s="102" t="s">
        <v>2081</v>
      </c>
      <c r="M15" s="102">
        <v>0</v>
      </c>
      <c r="N15" s="102" t="s">
        <v>2081</v>
      </c>
      <c r="O15" s="120" t="s">
        <v>2081</v>
      </c>
      <c r="P15" s="120" t="s">
        <v>2081</v>
      </c>
      <c r="Q15" s="120" t="s">
        <v>2081</v>
      </c>
      <c r="R15" s="102">
        <v>0</v>
      </c>
      <c r="S15" s="120" t="s">
        <v>2081</v>
      </c>
      <c r="T15" s="120" t="s">
        <v>2081</v>
      </c>
      <c r="U15" s="102" t="s">
        <v>2081</v>
      </c>
    </row>
    <row r="16" spans="2:21" s="4" customFormat="1" x14ac:dyDescent="0.25">
      <c r="B16" s="178" t="s">
        <v>2054</v>
      </c>
      <c r="C16" s="165">
        <v>14</v>
      </c>
      <c r="D16" s="165" t="s">
        <v>2176</v>
      </c>
      <c r="E16" s="120">
        <v>45438</v>
      </c>
      <c r="F16" s="165">
        <v>4</v>
      </c>
      <c r="G16" s="179">
        <v>1</v>
      </c>
      <c r="H16" s="121">
        <v>0</v>
      </c>
      <c r="I16" s="165">
        <v>0</v>
      </c>
      <c r="J16" s="165">
        <v>0</v>
      </c>
      <c r="K16" s="165" t="s">
        <v>2081</v>
      </c>
      <c r="L16" s="165" t="s">
        <v>2081</v>
      </c>
      <c r="M16" s="165" t="s">
        <v>2081</v>
      </c>
      <c r="N16" s="165" t="s">
        <v>2081</v>
      </c>
      <c r="O16" s="165">
        <v>0</v>
      </c>
      <c r="P16" s="165" t="s">
        <v>2081</v>
      </c>
      <c r="Q16" s="165">
        <v>0</v>
      </c>
      <c r="R16" s="165" t="s">
        <v>2081</v>
      </c>
      <c r="S16" s="165">
        <v>0</v>
      </c>
      <c r="T16" s="165" t="s">
        <v>2081</v>
      </c>
      <c r="U16" s="165" t="s">
        <v>2081</v>
      </c>
    </row>
    <row r="17" spans="2:21" x14ac:dyDescent="0.25">
      <c r="B17" s="178" t="s">
        <v>2056</v>
      </c>
      <c r="C17" s="102">
        <v>15</v>
      </c>
      <c r="D17" s="165" t="s">
        <v>2177</v>
      </c>
      <c r="E17" s="120">
        <v>45438</v>
      </c>
      <c r="F17" s="102">
        <v>4</v>
      </c>
      <c r="G17" s="149">
        <v>0</v>
      </c>
      <c r="H17" s="174">
        <v>298</v>
      </c>
      <c r="I17" s="102" t="s">
        <v>2081</v>
      </c>
      <c r="J17" s="102" t="s">
        <v>2081</v>
      </c>
      <c r="K17" s="102" t="s">
        <v>2081</v>
      </c>
      <c r="L17" s="102" t="s">
        <v>2081</v>
      </c>
      <c r="M17" s="102" t="s">
        <v>2081</v>
      </c>
      <c r="N17" s="102" t="s">
        <v>2081</v>
      </c>
      <c r="O17" s="92" t="s">
        <v>2081</v>
      </c>
      <c r="P17" s="92" t="s">
        <v>2081</v>
      </c>
      <c r="Q17" s="92" t="s">
        <v>2081</v>
      </c>
      <c r="R17" s="102" t="s">
        <v>2081</v>
      </c>
      <c r="S17" s="102" t="s">
        <v>2081</v>
      </c>
      <c r="T17" s="102" t="s">
        <v>2081</v>
      </c>
      <c r="U17" s="102" t="s">
        <v>2081</v>
      </c>
    </row>
    <row r="18" spans="2:21" x14ac:dyDescent="0.25">
      <c r="B18" s="178" t="s">
        <v>2058</v>
      </c>
      <c r="C18" s="102">
        <v>16</v>
      </c>
      <c r="D18" s="165" t="s">
        <v>2177</v>
      </c>
      <c r="E18" s="120">
        <v>45438</v>
      </c>
      <c r="F18" s="102">
        <v>4</v>
      </c>
      <c r="G18" s="149">
        <v>0</v>
      </c>
      <c r="H18" s="174">
        <v>298</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row>
    <row r="19" spans="2:21" x14ac:dyDescent="0.25">
      <c r="B19" s="145" t="s">
        <v>2064</v>
      </c>
      <c r="C19" s="102">
        <v>19</v>
      </c>
      <c r="D19" s="102" t="s">
        <v>2178</v>
      </c>
      <c r="E19" s="120">
        <v>45438</v>
      </c>
      <c r="F19" s="102">
        <v>4</v>
      </c>
      <c r="G19" s="149" cm="1">
        <f t="array" ref="G19">SUMPRODUCT(--(ISNUMBER((SEARCH(I25:U25,I19:U19)))))/COUNTA(I19:U19)</f>
        <v>0.84615384615384615</v>
      </c>
      <c r="H19" s="121">
        <v>0</v>
      </c>
      <c r="I19" s="102" t="s">
        <v>2131</v>
      </c>
      <c r="J19" s="102" t="s">
        <v>2131</v>
      </c>
      <c r="K19" s="102" t="s">
        <v>2132</v>
      </c>
      <c r="L19" s="102" t="s">
        <v>2132</v>
      </c>
      <c r="M19" s="102" t="s">
        <v>2131</v>
      </c>
      <c r="N19" s="102" t="s">
        <v>2133</v>
      </c>
      <c r="O19" s="102" t="s">
        <v>2131</v>
      </c>
      <c r="P19" s="102" t="s">
        <v>2131</v>
      </c>
      <c r="Q19" s="102" t="s">
        <v>2131</v>
      </c>
      <c r="R19" s="102" t="s">
        <v>2131</v>
      </c>
      <c r="S19" s="102" t="s">
        <v>2131</v>
      </c>
      <c r="T19" s="102" t="s">
        <v>2131</v>
      </c>
      <c r="U19" s="102" t="s">
        <v>2134</v>
      </c>
    </row>
    <row r="20" spans="2:21" x14ac:dyDescent="0.25">
      <c r="B20" s="145" t="s">
        <v>2067</v>
      </c>
      <c r="C20" s="146">
        <v>20</v>
      </c>
      <c r="D20" s="102" t="s">
        <v>2178</v>
      </c>
      <c r="E20" s="120">
        <v>45438</v>
      </c>
      <c r="F20" s="102">
        <v>4</v>
      </c>
      <c r="G20" s="149" cm="1">
        <f t="array" ref="G20">SUM(IF(I2:U2 = I24:U24, 1, 0))/ COUNTA(I2:U2)</f>
        <v>0.69230769230769229</v>
      </c>
      <c r="H20" s="102" t="s">
        <v>2081</v>
      </c>
      <c r="I20" s="102" t="s">
        <v>2081</v>
      </c>
      <c r="J20" s="102" t="s">
        <v>2081</v>
      </c>
      <c r="K20" s="102" t="s">
        <v>2081</v>
      </c>
      <c r="L20" s="102" t="s">
        <v>2081</v>
      </c>
      <c r="M20" s="102" t="s">
        <v>2081</v>
      </c>
      <c r="N20" s="102" t="s">
        <v>2081</v>
      </c>
      <c r="O20" s="102" t="s">
        <v>2081</v>
      </c>
      <c r="P20" s="102" t="s">
        <v>2081</v>
      </c>
      <c r="Q20" s="102" t="s">
        <v>2081</v>
      </c>
      <c r="R20" s="102" t="s">
        <v>2081</v>
      </c>
      <c r="S20" s="102" t="s">
        <v>2081</v>
      </c>
      <c r="T20" s="102" t="s">
        <v>2081</v>
      </c>
      <c r="U20" s="102" t="s">
        <v>2081</v>
      </c>
    </row>
    <row r="21" spans="2:21" x14ac:dyDescent="0.25">
      <c r="B21" s="169" t="s">
        <v>2070</v>
      </c>
      <c r="C21" s="147">
        <v>21</v>
      </c>
      <c r="D21" s="102" t="s">
        <v>2178</v>
      </c>
      <c r="E21" s="120">
        <v>45438</v>
      </c>
      <c r="F21" s="102">
        <v>4</v>
      </c>
      <c r="G21" s="149" cm="1">
        <f t="array" ref="G21">SUM(IF(IF(G3:G20="null",1,G3:G20)=1,1,0))/COUNT(IF(G3:G20="null",1,1))</f>
        <v>0.61111111111111116</v>
      </c>
      <c r="H21" s="102" t="s">
        <v>2081</v>
      </c>
      <c r="I21" s="102" t="s">
        <v>2081</v>
      </c>
      <c r="J21" s="102" t="s">
        <v>2081</v>
      </c>
      <c r="K21" s="102" t="s">
        <v>2081</v>
      </c>
      <c r="L21" s="102" t="s">
        <v>2081</v>
      </c>
      <c r="M21" s="102" t="s">
        <v>2081</v>
      </c>
      <c r="N21" s="102" t="s">
        <v>2081</v>
      </c>
      <c r="O21" s="102" t="s">
        <v>2081</v>
      </c>
      <c r="P21" s="102" t="s">
        <v>2081</v>
      </c>
      <c r="Q21" s="102" t="s">
        <v>2081</v>
      </c>
      <c r="R21" s="102" t="s">
        <v>2081</v>
      </c>
      <c r="S21" s="102" t="s">
        <v>2081</v>
      </c>
      <c r="T21" s="102" t="s">
        <v>2081</v>
      </c>
      <c r="U21" s="102" t="s">
        <v>2081</v>
      </c>
    </row>
    <row r="23" spans="2:21" x14ac:dyDescent="0.25">
      <c r="B23" s="119" t="s">
        <v>2135</v>
      </c>
    </row>
    <row r="24" spans="2:21" x14ac:dyDescent="0.25">
      <c r="B24" s="111" t="s">
        <v>2136</v>
      </c>
      <c r="C24" s="112" t="s">
        <v>2074</v>
      </c>
      <c r="D24" s="112" t="s">
        <v>2075</v>
      </c>
      <c r="E24" s="112" t="s">
        <v>2076</v>
      </c>
      <c r="F24" s="112" t="s">
        <v>2077</v>
      </c>
      <c r="G24" s="112" t="s">
        <v>2078</v>
      </c>
      <c r="H24" s="112" t="s">
        <v>2079</v>
      </c>
      <c r="I24" s="113" t="str" cm="1">
        <f t="array" ref="I24:U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source_code</v>
      </c>
      <c r="T24" s="113" t="str">
        <v>data_date_part</v>
      </c>
      <c r="U24" s="114" t="str">
        <v>data_timestamp_part</v>
      </c>
    </row>
    <row r="25" spans="2:21" x14ac:dyDescent="0.25">
      <c r="B25" s="104" t="s">
        <v>2137</v>
      </c>
      <c r="C25" s="117">
        <v>21</v>
      </c>
      <c r="D25" s="106" t="s">
        <v>2138</v>
      </c>
      <c r="E25" s="105" t="s">
        <v>2139</v>
      </c>
      <c r="F25" s="105" t="s">
        <v>1178</v>
      </c>
      <c r="G25" s="105" t="s">
        <v>1178</v>
      </c>
      <c r="H25" s="105" t="s">
        <v>1178</v>
      </c>
      <c r="I25" s="105" t="str" cm="1">
        <f t="array" ref="I25:U26">TRANSPOSE(_xlfn.SORTBY(_xlfn._xlws.FILTER(IF(Table2[FORMATO]:Table2[COMP_ CAMPO]&lt;&gt;"",Table2[FORMATO]:Table2[COMP_ CAMPO],9999999),Table2[NOME FÍSICO TABELA]="bank_guarantee_transaction"), _xlfn._xlws.FILTER(Table2[ORDEM], Table2[NOME FÍSICO TABELA]="bank_guarantee_transaction"),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16" t="str">
        <v>TIMESTAMP</v>
      </c>
    </row>
    <row r="26" spans="2:21" x14ac:dyDescent="0.25">
      <c r="B26" s="104" t="s">
        <v>2140</v>
      </c>
      <c r="C26" s="117">
        <v>7</v>
      </c>
      <c r="D26" s="106" t="s">
        <v>2138</v>
      </c>
      <c r="E26" s="105" t="s">
        <v>2139</v>
      </c>
      <c r="F26" s="105" t="s">
        <v>1178</v>
      </c>
      <c r="G26" s="105" t="s">
        <v>1178</v>
      </c>
      <c r="H26" s="105" t="s">
        <v>1178</v>
      </c>
      <c r="I26" s="117">
        <v>4</v>
      </c>
      <c r="J26" s="117">
        <v>30</v>
      </c>
      <c r="K26" s="117">
        <v>9999999</v>
      </c>
      <c r="L26" s="117">
        <v>9999999</v>
      </c>
      <c r="M26" s="117">
        <v>4</v>
      </c>
      <c r="N26" s="117">
        <v>10</v>
      </c>
      <c r="O26" s="117">
        <v>23</v>
      </c>
      <c r="P26" s="117">
        <v>4</v>
      </c>
      <c r="Q26" s="117">
        <v>4</v>
      </c>
      <c r="R26" s="117">
        <v>10</v>
      </c>
      <c r="S26" s="117">
        <v>2</v>
      </c>
      <c r="T26" s="117">
        <v>10</v>
      </c>
      <c r="U26" s="118">
        <v>23</v>
      </c>
    </row>
    <row r="28" spans="2:21" x14ac:dyDescent="0.25">
      <c r="B28" s="127" t="s">
        <v>2141</v>
      </c>
    </row>
    <row r="29" spans="2:21" x14ac:dyDescent="0.25">
      <c r="B29" s="136" t="s">
        <v>2142</v>
      </c>
      <c r="C29" s="136" t="s">
        <v>2143</v>
      </c>
      <c r="D29" s="137" t="s">
        <v>2144</v>
      </c>
      <c r="E29" s="136" t="s">
        <v>2145</v>
      </c>
      <c r="F29" s="136" t="s">
        <v>2146</v>
      </c>
    </row>
    <row r="30" spans="2:21" ht="60" x14ac:dyDescent="0.25">
      <c r="B30" s="134" t="s">
        <v>2151</v>
      </c>
      <c r="C30" s="87" t="s">
        <v>737</v>
      </c>
      <c r="D30" s="87" t="s">
        <v>2179</v>
      </c>
      <c r="E30" s="87" t="s">
        <v>2180</v>
      </c>
      <c r="F30" s="135" t="s">
        <v>2150</v>
      </c>
    </row>
    <row r="31" spans="2:21" ht="60" x14ac:dyDescent="0.25">
      <c r="B31" s="134" t="s">
        <v>2155</v>
      </c>
      <c r="C31" s="87" t="s">
        <v>737</v>
      </c>
      <c r="D31" s="87" t="s">
        <v>2179</v>
      </c>
      <c r="E31" s="87" t="s">
        <v>2180</v>
      </c>
      <c r="F31" s="135" t="s">
        <v>2150</v>
      </c>
    </row>
    <row r="32" spans="2:21" ht="60" x14ac:dyDescent="0.25">
      <c r="B32" s="134" t="s">
        <v>2181</v>
      </c>
      <c r="C32" s="87" t="s">
        <v>737</v>
      </c>
      <c r="D32" s="87" t="s">
        <v>2179</v>
      </c>
      <c r="E32" s="87" t="s">
        <v>2180</v>
      </c>
      <c r="F32" s="135" t="s">
        <v>2150</v>
      </c>
    </row>
    <row r="33" spans="2:20" ht="60" x14ac:dyDescent="0.25">
      <c r="B33" s="134" t="s">
        <v>2182</v>
      </c>
      <c r="C33" s="87" t="s">
        <v>737</v>
      </c>
      <c r="D33" s="87" t="s">
        <v>2179</v>
      </c>
      <c r="E33" s="87" t="s">
        <v>2180</v>
      </c>
      <c r="F33" s="135" t="s">
        <v>2150</v>
      </c>
    </row>
    <row r="34" spans="2:20" ht="30" x14ac:dyDescent="0.25">
      <c r="B34" s="138" t="s">
        <v>2147</v>
      </c>
      <c r="C34" s="91" t="s">
        <v>737</v>
      </c>
      <c r="D34" s="87" t="s">
        <v>2183</v>
      </c>
      <c r="E34" s="87" t="s">
        <v>2180</v>
      </c>
      <c r="F34" s="82" t="s">
        <v>2150</v>
      </c>
    </row>
    <row r="35" spans="2:20" x14ac:dyDescent="0.25">
      <c r="B35" s="138"/>
      <c r="C35" s="91"/>
      <c r="D35" s="91"/>
      <c r="E35" s="91"/>
      <c r="F35" s="82"/>
    </row>
    <row r="36" spans="2:20" s="4" customFormat="1" x14ac:dyDescent="0.25">
      <c r="B36"/>
      <c r="C36"/>
      <c r="D36"/>
      <c r="E36" s="143"/>
      <c r="F36"/>
    </row>
    <row r="37" spans="2:20" x14ac:dyDescent="0.25">
      <c r="E37" s="143"/>
      <c r="H37" s="144"/>
    </row>
    <row r="38" spans="2:20" x14ac:dyDescent="0.25">
      <c r="E38" s="143"/>
      <c r="G38" s="144"/>
    </row>
    <row r="39" spans="2:20" x14ac:dyDescent="0.25">
      <c r="E39" s="143"/>
    </row>
    <row r="40" spans="2:20" x14ac:dyDescent="0.25">
      <c r="D40" s="143"/>
      <c r="E40" s="143"/>
      <c r="F40" s="144"/>
      <c r="G40" s="144"/>
    </row>
    <row r="41" spans="2:20" x14ac:dyDescent="0.25">
      <c r="E41" s="143"/>
    </row>
    <row r="42" spans="2:20" x14ac:dyDescent="0.25">
      <c r="E42" s="143"/>
    </row>
    <row r="43" spans="2:20" x14ac:dyDescent="0.25">
      <c r="E43" s="143"/>
      <c r="P43" s="143"/>
      <c r="Q43" s="143"/>
      <c r="R43" s="144"/>
      <c r="T43" s="143"/>
    </row>
    <row r="44" spans="2:20" x14ac:dyDescent="0.25">
      <c r="E44" s="143"/>
      <c r="P44" s="143"/>
      <c r="Q44" s="143"/>
      <c r="T44" s="143"/>
    </row>
    <row r="45" spans="2:20" x14ac:dyDescent="0.25">
      <c r="E45" s="143"/>
      <c r="P45" s="143"/>
      <c r="Q45" s="143"/>
      <c r="R45" s="144"/>
      <c r="T45" s="143"/>
    </row>
    <row r="46" spans="2:20" x14ac:dyDescent="0.25">
      <c r="E46" s="143"/>
      <c r="P46" s="143"/>
      <c r="Q46" s="143"/>
      <c r="T46" s="143"/>
    </row>
    <row r="47" spans="2:20" x14ac:dyDescent="0.25">
      <c r="E47" s="143"/>
      <c r="G47" s="144"/>
    </row>
    <row r="48" spans="2:20" x14ac:dyDescent="0.25">
      <c r="E48" s="143"/>
      <c r="G48" s="144"/>
      <c r="P48" s="24"/>
      <c r="Q48" s="24"/>
    </row>
    <row r="49" spans="5:7" x14ac:dyDescent="0.25">
      <c r="E49" s="143"/>
      <c r="G49" s="144"/>
    </row>
    <row r="50" spans="5:7" x14ac:dyDescent="0.25">
      <c r="E50" s="143"/>
      <c r="G50" s="144"/>
    </row>
    <row r="51" spans="5:7" x14ac:dyDescent="0.25">
      <c r="E51" s="143"/>
      <c r="G51" s="144"/>
    </row>
    <row r="52" spans="5:7" x14ac:dyDescent="0.25">
      <c r="E52" s="143"/>
      <c r="G52" s="144"/>
    </row>
    <row r="53" spans="5:7" x14ac:dyDescent="0.25">
      <c r="E53" s="143"/>
      <c r="G53" s="144"/>
    </row>
    <row r="54" spans="5:7" x14ac:dyDescent="0.25">
      <c r="E54" s="143"/>
      <c r="G54" s="144"/>
    </row>
    <row r="55" spans="5:7" x14ac:dyDescent="0.25">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I1" workbookViewId="0">
      <selection activeCell="A14" sqref="A14:XFD14"/>
    </sheetView>
  </sheetViews>
  <sheetFormatPr defaultRowHeight="15" x14ac:dyDescent="0.2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x14ac:dyDescent="0.25"/>
    <row r="2" spans="2:21" x14ac:dyDescent="0.25">
      <c r="B2" s="93" t="s">
        <v>2136</v>
      </c>
      <c r="C2" s="93" t="s">
        <v>2074</v>
      </c>
      <c r="D2" s="93" t="s">
        <v>2075</v>
      </c>
      <c r="E2" s="93" t="s">
        <v>2076</v>
      </c>
      <c r="F2" s="93" t="s">
        <v>2077</v>
      </c>
      <c r="G2" s="93" t="s">
        <v>2078</v>
      </c>
      <c r="H2" s="93" t="s">
        <v>2079</v>
      </c>
      <c r="I2" s="93" t="s">
        <v>691</v>
      </c>
      <c r="J2" s="93" t="s">
        <v>706</v>
      </c>
      <c r="K2" s="93" t="s">
        <v>716</v>
      </c>
      <c r="L2" s="93" t="s">
        <v>729</v>
      </c>
      <c r="M2" s="93" t="s">
        <v>737</v>
      </c>
      <c r="N2" s="93" t="s">
        <v>767</v>
      </c>
      <c r="O2" s="93" t="s">
        <v>778</v>
      </c>
      <c r="P2" s="93" t="s">
        <v>791</v>
      </c>
      <c r="Q2" s="93" t="s">
        <v>749</v>
      </c>
      <c r="R2" s="93" t="s">
        <v>758</v>
      </c>
      <c r="S2" s="93" t="s">
        <v>798</v>
      </c>
      <c r="T2" s="93" t="s">
        <v>806</v>
      </c>
      <c r="U2" s="93" t="s">
        <v>813</v>
      </c>
    </row>
    <row r="3" spans="2:21" x14ac:dyDescent="0.25">
      <c r="B3" s="145" t="s">
        <v>2027</v>
      </c>
      <c r="C3" s="102">
        <v>1</v>
      </c>
      <c r="D3" s="102" t="s">
        <v>2184</v>
      </c>
      <c r="E3" s="120">
        <v>45517</v>
      </c>
      <c r="F3" s="102">
        <v>5</v>
      </c>
      <c r="G3" s="149">
        <v>1</v>
      </c>
      <c r="H3" s="171">
        <v>132</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row>
    <row r="4" spans="2:21" x14ac:dyDescent="0.25">
      <c r="B4" s="145" t="s">
        <v>2029</v>
      </c>
      <c r="C4" s="102">
        <v>2</v>
      </c>
      <c r="D4" s="102" t="s">
        <v>2185</v>
      </c>
      <c r="E4" s="120">
        <v>45517</v>
      </c>
      <c r="F4" s="102">
        <v>5</v>
      </c>
      <c r="G4" s="149">
        <v>1</v>
      </c>
      <c r="H4" s="102">
        <v>0</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row>
    <row r="5" spans="2:21" x14ac:dyDescent="0.25">
      <c r="B5" s="145" t="s">
        <v>2031</v>
      </c>
      <c r="C5" s="102">
        <v>3</v>
      </c>
      <c r="D5" s="102" t="s">
        <v>2186</v>
      </c>
      <c r="E5" s="120">
        <v>45517</v>
      </c>
      <c r="F5" s="102">
        <v>5</v>
      </c>
      <c r="G5" s="149">
        <v>0.8</v>
      </c>
      <c r="H5" s="102">
        <v>132</v>
      </c>
      <c r="I5" s="102">
        <v>0</v>
      </c>
      <c r="J5" s="102">
        <v>0</v>
      </c>
      <c r="K5" s="102">
        <v>0</v>
      </c>
      <c r="L5" s="102">
        <v>0</v>
      </c>
      <c r="M5" s="102">
        <v>132</v>
      </c>
      <c r="N5" s="102" t="s">
        <v>2081</v>
      </c>
      <c r="O5" s="102" t="s">
        <v>2081</v>
      </c>
      <c r="P5" s="102" t="s">
        <v>2081</v>
      </c>
      <c r="Q5" s="102" t="s">
        <v>2081</v>
      </c>
      <c r="R5" s="102" t="s">
        <v>2081</v>
      </c>
      <c r="S5" s="102" t="s">
        <v>2081</v>
      </c>
      <c r="T5" s="102" t="s">
        <v>2081</v>
      </c>
      <c r="U5" s="102" t="s">
        <v>2081</v>
      </c>
    </row>
    <row r="6" spans="2:21" x14ac:dyDescent="0.25">
      <c r="B6" s="92" t="s">
        <v>2033</v>
      </c>
      <c r="C6" s="102">
        <v>4</v>
      </c>
      <c r="D6" s="102" t="s">
        <v>2086</v>
      </c>
      <c r="E6" s="120" t="s">
        <v>2081</v>
      </c>
      <c r="F6" s="102">
        <v>5</v>
      </c>
      <c r="G6" s="177" t="s">
        <v>2081</v>
      </c>
      <c r="H6" s="177"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row>
    <row r="7" spans="2:21" x14ac:dyDescent="0.25">
      <c r="B7" s="92" t="s">
        <v>2035</v>
      </c>
      <c r="C7" s="102">
        <v>5</v>
      </c>
      <c r="D7" s="102" t="s">
        <v>2086</v>
      </c>
      <c r="E7" s="120" t="s">
        <v>2081</v>
      </c>
      <c r="F7" s="102">
        <v>5</v>
      </c>
      <c r="G7" s="177" t="s">
        <v>2081</v>
      </c>
      <c r="H7" s="177"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row>
    <row r="8" spans="2:21" x14ac:dyDescent="0.25">
      <c r="B8" s="176" t="s">
        <v>2036</v>
      </c>
      <c r="C8" s="102">
        <v>6</v>
      </c>
      <c r="D8" s="102" t="s">
        <v>2187</v>
      </c>
      <c r="E8" s="120">
        <v>45517</v>
      </c>
      <c r="F8" s="102">
        <v>5</v>
      </c>
      <c r="G8" s="149" cm="1">
        <f t="array" ref="G8">SUMPRODUCT(--(I8:U8&gt;0))/COUNTA(I8:U8)</f>
        <v>1</v>
      </c>
      <c r="H8" s="102">
        <v>0</v>
      </c>
      <c r="I8" s="102">
        <v>2</v>
      </c>
      <c r="J8" s="102">
        <v>30</v>
      </c>
      <c r="K8" s="102">
        <v>1</v>
      </c>
      <c r="L8" s="102">
        <v>1</v>
      </c>
      <c r="M8" s="102" t="s">
        <v>2088</v>
      </c>
      <c r="N8" s="102">
        <v>1</v>
      </c>
      <c r="O8" s="102">
        <v>3</v>
      </c>
      <c r="P8" s="102">
        <v>10</v>
      </c>
      <c r="Q8" s="102">
        <v>10</v>
      </c>
      <c r="R8" s="102">
        <v>8</v>
      </c>
      <c r="S8" s="102">
        <v>2</v>
      </c>
      <c r="T8" s="102">
        <v>10</v>
      </c>
      <c r="U8" s="102">
        <v>23</v>
      </c>
    </row>
    <row r="9" spans="2:21" x14ac:dyDescent="0.25">
      <c r="B9" s="145" t="s">
        <v>2039</v>
      </c>
      <c r="C9" s="102">
        <v>7</v>
      </c>
      <c r="D9" s="102" t="s">
        <v>2188</v>
      </c>
      <c r="E9" s="120">
        <v>45517</v>
      </c>
      <c r="F9" s="102">
        <v>5</v>
      </c>
      <c r="G9" s="149" cm="1">
        <f t="array" ref="G9">SUMPRODUCT(--(I9:U9 &lt;= I26:U26))/COUNTA(I26:U26)</f>
        <v>0.92307692307692313</v>
      </c>
      <c r="H9" s="102">
        <v>0</v>
      </c>
      <c r="I9" s="102">
        <v>2</v>
      </c>
      <c r="J9" s="102">
        <v>30</v>
      </c>
      <c r="K9" s="102">
        <v>5</v>
      </c>
      <c r="L9" s="102">
        <v>1</v>
      </c>
      <c r="M9" s="102" t="s">
        <v>2088</v>
      </c>
      <c r="N9" s="102">
        <v>1</v>
      </c>
      <c r="O9" s="102">
        <v>3</v>
      </c>
      <c r="P9" s="102">
        <v>10</v>
      </c>
      <c r="Q9" s="102">
        <v>10</v>
      </c>
      <c r="R9" s="102">
        <v>12</v>
      </c>
      <c r="S9" s="102">
        <v>2</v>
      </c>
      <c r="T9" s="102">
        <v>10</v>
      </c>
      <c r="U9" s="102">
        <v>23</v>
      </c>
    </row>
    <row r="10" spans="2:21" x14ac:dyDescent="0.25">
      <c r="B10" s="145" t="s">
        <v>2042</v>
      </c>
      <c r="C10" s="102">
        <v>8</v>
      </c>
      <c r="D10" s="102" t="s">
        <v>2189</v>
      </c>
      <c r="E10" s="120">
        <v>45517</v>
      </c>
      <c r="F10" s="102">
        <v>5</v>
      </c>
      <c r="G10" s="177" t="s">
        <v>2081</v>
      </c>
      <c r="H10" s="102">
        <v>0</v>
      </c>
      <c r="I10" s="102">
        <v>31</v>
      </c>
      <c r="J10" s="102">
        <v>3.1016768609106898E+26</v>
      </c>
      <c r="K10" s="102">
        <v>3</v>
      </c>
      <c r="L10" s="102">
        <v>1</v>
      </c>
      <c r="M10" s="102" t="s">
        <v>2088</v>
      </c>
      <c r="N10" s="102">
        <v>0</v>
      </c>
      <c r="O10" s="102">
        <v>978</v>
      </c>
      <c r="P10" s="120">
        <v>45510</v>
      </c>
      <c r="Q10" s="120">
        <v>45517</v>
      </c>
      <c r="R10" s="102" t="s">
        <v>2190</v>
      </c>
      <c r="S10" s="102" t="s">
        <v>2191</v>
      </c>
      <c r="T10" s="120">
        <v>45517</v>
      </c>
      <c r="U10" s="102" t="s">
        <v>2192</v>
      </c>
    </row>
    <row r="11" spans="2:21" x14ac:dyDescent="0.25">
      <c r="B11" s="145" t="s">
        <v>2044</v>
      </c>
      <c r="C11" s="102">
        <v>9</v>
      </c>
      <c r="D11" s="102" t="s">
        <v>2193</v>
      </c>
      <c r="E11" s="120">
        <v>45517</v>
      </c>
      <c r="F11" s="102">
        <v>5</v>
      </c>
      <c r="G11" s="177" t="s">
        <v>2081</v>
      </c>
      <c r="H11" s="102">
        <v>0</v>
      </c>
      <c r="I11" s="102"/>
      <c r="J11" s="102">
        <v>3.1016768609106898E+26</v>
      </c>
      <c r="K11" s="102">
        <v>3</v>
      </c>
      <c r="L11" s="102">
        <v>1</v>
      </c>
      <c r="M11" s="102" t="s">
        <v>2088</v>
      </c>
      <c r="N11" s="102">
        <v>0</v>
      </c>
      <c r="O11" s="102">
        <v>978</v>
      </c>
      <c r="P11" s="120">
        <v>45510</v>
      </c>
      <c r="Q11" s="120">
        <v>45517</v>
      </c>
      <c r="R11" s="102" t="s">
        <v>2190</v>
      </c>
      <c r="S11" s="102" t="s">
        <v>2191</v>
      </c>
      <c r="T11" s="120">
        <v>45517</v>
      </c>
      <c r="U11" s="102" t="s">
        <v>2194</v>
      </c>
    </row>
    <row r="12" spans="2:21" x14ac:dyDescent="0.25">
      <c r="B12" s="168" t="s">
        <v>2046</v>
      </c>
      <c r="C12" s="102">
        <v>10</v>
      </c>
      <c r="D12" s="102" t="s">
        <v>2195</v>
      </c>
      <c r="E12" s="120">
        <v>45517</v>
      </c>
      <c r="F12" s="102">
        <v>5</v>
      </c>
      <c r="G12" s="177" t="s">
        <v>2081</v>
      </c>
      <c r="H12" s="102">
        <v>0</v>
      </c>
      <c r="I12" s="102">
        <v>31</v>
      </c>
      <c r="J12" s="102">
        <v>5.2950000010009103E+29</v>
      </c>
      <c r="K12" s="102">
        <v>14280</v>
      </c>
      <c r="L12" s="102">
        <v>7</v>
      </c>
      <c r="M12" s="102" t="s">
        <v>2088</v>
      </c>
      <c r="N12" s="102">
        <v>1</v>
      </c>
      <c r="O12" s="120">
        <v>978</v>
      </c>
      <c r="P12" s="120">
        <v>45517</v>
      </c>
      <c r="Q12" s="120">
        <v>45517</v>
      </c>
      <c r="R12" s="121">
        <v>79969680000</v>
      </c>
      <c r="S12" s="120" t="s">
        <v>2191</v>
      </c>
      <c r="T12" s="120">
        <v>45517</v>
      </c>
      <c r="U12" s="102" t="s">
        <v>2192</v>
      </c>
    </row>
    <row r="13" spans="2:21" x14ac:dyDescent="0.25">
      <c r="B13" s="145" t="s">
        <v>2048</v>
      </c>
      <c r="C13" s="102">
        <v>11</v>
      </c>
      <c r="D13" s="102" t="s">
        <v>2196</v>
      </c>
      <c r="E13" s="120">
        <v>45517</v>
      </c>
      <c r="F13" s="102">
        <v>5</v>
      </c>
      <c r="G13" s="177" t="s">
        <v>2081</v>
      </c>
      <c r="H13" s="102">
        <v>0</v>
      </c>
      <c r="I13" s="102"/>
      <c r="J13" s="102">
        <v>5.2950000010009103E+29</v>
      </c>
      <c r="K13" s="102">
        <v>14280</v>
      </c>
      <c r="L13" s="102">
        <v>7</v>
      </c>
      <c r="M13" s="102" t="s">
        <v>2088</v>
      </c>
      <c r="N13" s="102">
        <v>1</v>
      </c>
      <c r="O13" s="120">
        <v>978</v>
      </c>
      <c r="P13" s="120">
        <v>45517</v>
      </c>
      <c r="Q13" s="120">
        <v>45517</v>
      </c>
      <c r="R13" s="121">
        <v>79969680000</v>
      </c>
      <c r="S13" s="120" t="s">
        <v>2191</v>
      </c>
      <c r="T13" s="120">
        <v>45517</v>
      </c>
      <c r="U13" s="102" t="s">
        <v>2197</v>
      </c>
    </row>
    <row r="14" spans="2:21" x14ac:dyDescent="0.25">
      <c r="B14" s="145" t="s">
        <v>2050</v>
      </c>
      <c r="C14" s="102">
        <v>12</v>
      </c>
      <c r="D14" s="102" t="s">
        <v>2198</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x14ac:dyDescent="0.25">
      <c r="B15" s="145" t="s">
        <v>2052</v>
      </c>
      <c r="C15" s="102">
        <v>13</v>
      </c>
      <c r="D15" s="102" t="s">
        <v>2199</v>
      </c>
      <c r="E15" s="120">
        <v>45517</v>
      </c>
      <c r="F15" s="102">
        <v>5</v>
      </c>
      <c r="G15" s="149">
        <v>1</v>
      </c>
      <c r="H15" s="102">
        <v>0</v>
      </c>
      <c r="I15" s="102" t="s">
        <v>2081</v>
      </c>
      <c r="J15" s="102" t="s">
        <v>2081</v>
      </c>
      <c r="K15" s="102" t="s">
        <v>2081</v>
      </c>
      <c r="L15" s="102" t="s">
        <v>2081</v>
      </c>
      <c r="M15" s="102" t="s">
        <v>2081</v>
      </c>
      <c r="N15" s="102" t="s">
        <v>2081</v>
      </c>
      <c r="O15" s="120" t="s">
        <v>2081</v>
      </c>
      <c r="P15" s="102">
        <v>0</v>
      </c>
      <c r="Q15" s="102">
        <v>0</v>
      </c>
      <c r="R15" s="102" t="s">
        <v>2081</v>
      </c>
      <c r="S15" s="120" t="s">
        <v>2081</v>
      </c>
      <c r="T15" s="120" t="s">
        <v>2081</v>
      </c>
      <c r="U15" s="102" t="s">
        <v>2081</v>
      </c>
    </row>
    <row r="16" spans="2:21" x14ac:dyDescent="0.25">
      <c r="B16" s="145" t="s">
        <v>2054</v>
      </c>
      <c r="C16" s="102">
        <v>14</v>
      </c>
      <c r="D16" s="102" t="s">
        <v>2200</v>
      </c>
      <c r="E16" s="120">
        <v>45517</v>
      </c>
      <c r="F16" s="102">
        <v>5</v>
      </c>
      <c r="G16" s="149">
        <v>1</v>
      </c>
      <c r="H16" s="102">
        <v>0</v>
      </c>
      <c r="I16" s="102">
        <v>0</v>
      </c>
      <c r="J16" s="102">
        <v>0</v>
      </c>
      <c r="K16" s="102" t="s">
        <v>2081</v>
      </c>
      <c r="L16" s="102" t="s">
        <v>2081</v>
      </c>
      <c r="M16" s="102">
        <v>0</v>
      </c>
      <c r="N16" s="102" t="s">
        <v>2081</v>
      </c>
      <c r="O16" s="102">
        <v>0</v>
      </c>
      <c r="P16" s="102" t="s">
        <v>2081</v>
      </c>
      <c r="Q16" s="102" t="s">
        <v>2081</v>
      </c>
      <c r="R16" s="102" t="s">
        <v>2081</v>
      </c>
      <c r="S16" s="102">
        <v>0</v>
      </c>
      <c r="T16" s="102" t="s">
        <v>2081</v>
      </c>
      <c r="U16" s="102" t="s">
        <v>2081</v>
      </c>
    </row>
    <row r="17" spans="2:21" x14ac:dyDescent="0.25">
      <c r="B17" s="178" t="s">
        <v>2056</v>
      </c>
      <c r="C17" s="102">
        <v>15</v>
      </c>
      <c r="D17" s="102" t="s">
        <v>2201</v>
      </c>
      <c r="E17" s="120">
        <v>45517</v>
      </c>
      <c r="F17" s="102">
        <v>5</v>
      </c>
      <c r="G17" s="149">
        <v>0</v>
      </c>
      <c r="H17" s="102">
        <v>132</v>
      </c>
      <c r="I17" s="102" t="s">
        <v>2081</v>
      </c>
      <c r="J17" s="102" t="s">
        <v>2081</v>
      </c>
      <c r="K17" s="102" t="s">
        <v>2081</v>
      </c>
      <c r="L17" s="102" t="s">
        <v>2081</v>
      </c>
      <c r="M17" s="102" t="s">
        <v>2081</v>
      </c>
      <c r="N17" s="102" t="s">
        <v>2081</v>
      </c>
      <c r="O17" s="92" t="s">
        <v>2081</v>
      </c>
      <c r="P17" s="92" t="s">
        <v>2081</v>
      </c>
      <c r="Q17" s="92" t="s">
        <v>2081</v>
      </c>
      <c r="R17" s="102" t="s">
        <v>2081</v>
      </c>
      <c r="S17" s="102" t="s">
        <v>2081</v>
      </c>
      <c r="T17" s="102" t="s">
        <v>2081</v>
      </c>
      <c r="U17" s="102" t="s">
        <v>2081</v>
      </c>
    </row>
    <row r="18" spans="2:21" x14ac:dyDescent="0.25">
      <c r="B18" s="178" t="s">
        <v>2058</v>
      </c>
      <c r="C18" s="102">
        <v>16</v>
      </c>
      <c r="D18" s="102" t="s">
        <v>2201</v>
      </c>
      <c r="E18" s="120">
        <v>45517</v>
      </c>
      <c r="F18" s="102">
        <v>5</v>
      </c>
      <c r="G18" s="149">
        <v>0</v>
      </c>
      <c r="H18" s="102">
        <v>132</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row>
    <row r="19" spans="2:21" x14ac:dyDescent="0.25">
      <c r="B19" s="145" t="s">
        <v>2064</v>
      </c>
      <c r="C19" s="102">
        <v>19</v>
      </c>
      <c r="D19" s="102" t="s">
        <v>2202</v>
      </c>
      <c r="E19" s="120">
        <v>45517</v>
      </c>
      <c r="F19" s="102">
        <v>5</v>
      </c>
      <c r="G19" s="149" cm="1">
        <f t="array" ref="G19">SUMPRODUCT(--(ISNUMBER((SEARCH(I25:U25,I19:U19)))))/COUNTA(I19:U19)</f>
        <v>1</v>
      </c>
      <c r="H19" s="102">
        <v>0</v>
      </c>
      <c r="I19" s="102" t="s">
        <v>2131</v>
      </c>
      <c r="J19" s="102" t="s">
        <v>2131</v>
      </c>
      <c r="K19" s="102" t="s">
        <v>2132</v>
      </c>
      <c r="L19" s="102" t="s">
        <v>2132</v>
      </c>
      <c r="M19" s="102" t="s">
        <v>2131</v>
      </c>
      <c r="N19" s="102" t="s">
        <v>2131</v>
      </c>
      <c r="O19" s="102" t="s">
        <v>2131</v>
      </c>
      <c r="P19" s="102" t="s">
        <v>2131</v>
      </c>
      <c r="Q19" s="102" t="s">
        <v>2131</v>
      </c>
      <c r="R19" s="102" t="s">
        <v>2133</v>
      </c>
      <c r="S19" s="102" t="s">
        <v>2131</v>
      </c>
      <c r="T19" s="102" t="s">
        <v>2131</v>
      </c>
      <c r="U19" s="102" t="s">
        <v>2134</v>
      </c>
    </row>
    <row r="20" spans="2:21" x14ac:dyDescent="0.25">
      <c r="B20" s="145" t="s">
        <v>2067</v>
      </c>
      <c r="C20" s="146">
        <v>20</v>
      </c>
      <c r="D20" s="102" t="s">
        <v>2203</v>
      </c>
      <c r="E20" s="120">
        <v>45433</v>
      </c>
      <c r="F20" s="102">
        <v>1</v>
      </c>
      <c r="G20" s="149" cm="1">
        <f t="array" ref="G20">SUM(IF(I2:U2 = I24:U24, 1, 0))/ COUNTA(I2:U2)</f>
        <v>1</v>
      </c>
      <c r="H20" s="102" t="s">
        <v>2081</v>
      </c>
      <c r="I20" s="102" t="s">
        <v>2081</v>
      </c>
      <c r="J20" s="102" t="s">
        <v>2081</v>
      </c>
      <c r="K20" s="102" t="s">
        <v>2081</v>
      </c>
      <c r="L20" s="102" t="s">
        <v>2081</v>
      </c>
      <c r="M20" s="102" t="s">
        <v>2081</v>
      </c>
      <c r="N20" s="102" t="s">
        <v>2081</v>
      </c>
      <c r="O20" s="102" t="s">
        <v>2081</v>
      </c>
      <c r="P20" s="102" t="s">
        <v>2081</v>
      </c>
      <c r="Q20" s="102" t="s">
        <v>2081</v>
      </c>
      <c r="R20" s="102" t="s">
        <v>2081</v>
      </c>
      <c r="S20" s="102" t="s">
        <v>2081</v>
      </c>
      <c r="T20" s="102" t="s">
        <v>2081</v>
      </c>
      <c r="U20" s="102" t="s">
        <v>2081</v>
      </c>
    </row>
    <row r="21" spans="2:21" x14ac:dyDescent="0.25">
      <c r="B21" s="169" t="s">
        <v>2070</v>
      </c>
      <c r="C21" s="147">
        <v>21</v>
      </c>
      <c r="D21" s="102" t="s">
        <v>2203</v>
      </c>
      <c r="E21" s="120">
        <v>45433</v>
      </c>
      <c r="F21" s="102">
        <v>1</v>
      </c>
      <c r="G21" s="149" cm="1">
        <f t="array" ref="G21">SUM(IF(IF(G3:G20="null",1,G3:G20)=1,1,0))/COUNT(IF(G3:G20="null",1,1))</f>
        <v>0.72222222222222221</v>
      </c>
      <c r="H21" s="102" t="s">
        <v>2081</v>
      </c>
      <c r="I21" s="102" t="s">
        <v>2081</v>
      </c>
      <c r="J21" s="102" t="s">
        <v>2081</v>
      </c>
      <c r="K21" s="102" t="s">
        <v>2081</v>
      </c>
      <c r="L21" s="102" t="s">
        <v>2081</v>
      </c>
      <c r="M21" s="102" t="s">
        <v>2081</v>
      </c>
      <c r="N21" s="102" t="s">
        <v>2081</v>
      </c>
      <c r="O21" s="102" t="s">
        <v>2081</v>
      </c>
      <c r="P21" s="102" t="s">
        <v>2081</v>
      </c>
      <c r="Q21" s="102" t="s">
        <v>2081</v>
      </c>
      <c r="R21" s="102" t="s">
        <v>2081</v>
      </c>
      <c r="S21" s="102" t="s">
        <v>2081</v>
      </c>
      <c r="T21" s="102" t="s">
        <v>2081</v>
      </c>
      <c r="U21" s="102" t="s">
        <v>2081</v>
      </c>
    </row>
    <row r="23" spans="2:21" x14ac:dyDescent="0.25">
      <c r="B23" s="119" t="s">
        <v>2135</v>
      </c>
    </row>
    <row r="24" spans="2:21" x14ac:dyDescent="0.25">
      <c r="B24" s="107" t="s">
        <v>2136</v>
      </c>
      <c r="C24" s="108" t="s">
        <v>2074</v>
      </c>
      <c r="D24" s="108" t="s">
        <v>2075</v>
      </c>
      <c r="E24" s="108" t="s">
        <v>2076</v>
      </c>
      <c r="F24" s="115" t="s">
        <v>2077</v>
      </c>
      <c r="G24" s="115" t="s">
        <v>2078</v>
      </c>
      <c r="H24" s="115" t="s">
        <v>2079</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x14ac:dyDescent="0.25">
      <c r="B25" s="122" t="s">
        <v>2137</v>
      </c>
      <c r="C25" s="117">
        <v>21</v>
      </c>
      <c r="D25" s="123" t="s">
        <v>2138</v>
      </c>
      <c r="E25" s="117" t="s">
        <v>2139</v>
      </c>
      <c r="F25" s="117" t="s">
        <v>1178</v>
      </c>
      <c r="G25" s="117" t="s">
        <v>1178</v>
      </c>
      <c r="H25" s="117" t="s">
        <v>1178</v>
      </c>
      <c r="I25" s="117" t="str" cm="1">
        <f t="array" ref="I25:U26">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v>STRING</v>
      </c>
      <c r="K25" s="117" t="str">
        <v>BIGINT</v>
      </c>
      <c r="L25" s="117" t="str">
        <v>BIGINT</v>
      </c>
      <c r="M25" s="117" t="str">
        <v>STRING</v>
      </c>
      <c r="N25" s="125" t="str">
        <v>STRING</v>
      </c>
      <c r="O25" s="117" t="str">
        <v>STRING</v>
      </c>
      <c r="P25" s="117" t="str">
        <v>STRING</v>
      </c>
      <c r="Q25" s="117" t="str">
        <v>STRING</v>
      </c>
      <c r="R25" s="117" t="str">
        <v>DECIMAL</v>
      </c>
      <c r="S25" s="117" t="str">
        <v>STRING</v>
      </c>
      <c r="T25" s="117" t="str">
        <v>STRING</v>
      </c>
      <c r="U25" s="116" t="str">
        <v>TIMESTAMP</v>
      </c>
    </row>
    <row r="26" spans="2:21" x14ac:dyDescent="0.25">
      <c r="B26" s="124" t="s">
        <v>2140</v>
      </c>
      <c r="C26" s="125">
        <v>7</v>
      </c>
      <c r="D26" s="126" t="s">
        <v>2138</v>
      </c>
      <c r="E26" s="125" t="s">
        <v>2139</v>
      </c>
      <c r="F26" s="125" t="s">
        <v>1178</v>
      </c>
      <c r="G26" s="125" t="s">
        <v>1178</v>
      </c>
      <c r="H26" s="125" t="s">
        <v>1178</v>
      </c>
      <c r="I26" s="125">
        <v>4</v>
      </c>
      <c r="J26" s="125">
        <v>30</v>
      </c>
      <c r="K26" s="125">
        <v>9999999</v>
      </c>
      <c r="L26" s="125">
        <v>9999999</v>
      </c>
      <c r="M26" s="125">
        <v>4</v>
      </c>
      <c r="N26" s="125">
        <v>4</v>
      </c>
      <c r="O26" s="125">
        <v>4</v>
      </c>
      <c r="P26" s="125">
        <v>10</v>
      </c>
      <c r="Q26" s="125">
        <v>10</v>
      </c>
      <c r="R26" s="125">
        <v>23</v>
      </c>
      <c r="S26" s="125">
        <v>2</v>
      </c>
      <c r="T26" s="125">
        <v>10</v>
      </c>
      <c r="U26" s="118">
        <v>23</v>
      </c>
    </row>
    <row r="28" spans="2:21" x14ac:dyDescent="0.25">
      <c r="B28" s="127" t="s">
        <v>2141</v>
      </c>
    </row>
    <row r="29" spans="2:21" x14ac:dyDescent="0.25">
      <c r="B29" s="128" t="s">
        <v>2142</v>
      </c>
      <c r="C29" s="128" t="s">
        <v>2143</v>
      </c>
      <c r="D29" s="129" t="s">
        <v>2144</v>
      </c>
      <c r="E29" s="128" t="s">
        <v>2145</v>
      </c>
      <c r="F29" s="128" t="s">
        <v>2146</v>
      </c>
    </row>
    <row r="30" spans="2:21" ht="210" x14ac:dyDescent="0.25">
      <c r="B30" s="172" t="s">
        <v>2155</v>
      </c>
      <c r="C30" s="172" t="s">
        <v>767</v>
      </c>
      <c r="D30" s="91" t="s">
        <v>2204</v>
      </c>
      <c r="E30" s="173" t="s">
        <v>2205</v>
      </c>
      <c r="F30" s="172" t="s">
        <v>2206</v>
      </c>
      <c r="H30" s="24" t="s">
        <v>2207</v>
      </c>
    </row>
    <row r="31" spans="2:21" ht="75" x14ac:dyDescent="0.25">
      <c r="B31" s="78" t="s">
        <v>2155</v>
      </c>
      <c r="C31" s="78" t="s">
        <v>737</v>
      </c>
      <c r="D31" s="87" t="s">
        <v>2148</v>
      </c>
      <c r="E31" s="173" t="s">
        <v>2208</v>
      </c>
      <c r="F31" s="78" t="s">
        <v>2150</v>
      </c>
    </row>
    <row r="32" spans="2:21" ht="75" x14ac:dyDescent="0.25">
      <c r="B32" s="188" t="s">
        <v>2151</v>
      </c>
      <c r="C32" s="188" t="s">
        <v>737</v>
      </c>
      <c r="D32" s="87" t="s">
        <v>2148</v>
      </c>
      <c r="E32" s="173" t="s">
        <v>2208</v>
      </c>
      <c r="F32" s="188" t="s">
        <v>2150</v>
      </c>
    </row>
    <row r="33" spans="2:6" ht="75" x14ac:dyDescent="0.25">
      <c r="B33" s="188" t="s">
        <v>2147</v>
      </c>
      <c r="C33" s="188" t="s">
        <v>737</v>
      </c>
      <c r="D33" s="87" t="s">
        <v>2148</v>
      </c>
      <c r="E33" s="173" t="s">
        <v>2208</v>
      </c>
      <c r="F33" s="188" t="s">
        <v>2150</v>
      </c>
    </row>
    <row r="34" spans="2:6" ht="105" x14ac:dyDescent="0.25">
      <c r="B34" s="188" t="s">
        <v>2181</v>
      </c>
      <c r="C34" s="188" t="s">
        <v>2209</v>
      </c>
      <c r="D34" s="87" t="s">
        <v>2210</v>
      </c>
      <c r="E34" s="173" t="s">
        <v>2208</v>
      </c>
      <c r="F34" s="188" t="s">
        <v>2150</v>
      </c>
    </row>
    <row r="35" spans="2:6" ht="105" x14ac:dyDescent="0.25">
      <c r="B35" s="188" t="s">
        <v>2182</v>
      </c>
      <c r="C35" s="188" t="s">
        <v>2209</v>
      </c>
      <c r="D35" s="87" t="s">
        <v>2210</v>
      </c>
      <c r="E35" s="173" t="s">
        <v>2208</v>
      </c>
      <c r="F35" s="188" t="s">
        <v>2150</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workbookViewId="0">
      <selection activeCell="A9" sqref="A9"/>
    </sheetView>
  </sheetViews>
  <sheetFormatPr defaultRowHeight="15" x14ac:dyDescent="0.2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15.28515625" customWidth="1"/>
    <col min="22" max="22" width="14" customWidth="1"/>
    <col min="23" max="23" width="28" customWidth="1"/>
  </cols>
  <sheetData>
    <row r="1" spans="2:23" ht="38.25" customHeight="1" x14ac:dyDescent="0.25"/>
    <row r="2" spans="2:23"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01" t="s">
        <v>749</v>
      </c>
      <c r="O2" s="101" t="s">
        <v>758</v>
      </c>
      <c r="P2" s="101" t="s">
        <v>767</v>
      </c>
      <c r="Q2" s="101" t="s">
        <v>778</v>
      </c>
      <c r="R2" s="101" t="s">
        <v>791</v>
      </c>
      <c r="S2" s="101" t="s">
        <v>1136</v>
      </c>
      <c r="T2" s="101" t="s">
        <v>1149</v>
      </c>
      <c r="U2" s="101" t="s">
        <v>798</v>
      </c>
      <c r="V2" s="101" t="s">
        <v>806</v>
      </c>
      <c r="W2" s="101" t="s">
        <v>813</v>
      </c>
    </row>
    <row r="3" spans="2:23" x14ac:dyDescent="0.25">
      <c r="B3" s="145" t="s">
        <v>2027</v>
      </c>
      <c r="C3" s="102">
        <v>1</v>
      </c>
      <c r="D3" s="102" t="s">
        <v>2211</v>
      </c>
      <c r="E3" s="120">
        <v>45484</v>
      </c>
      <c r="F3" s="102">
        <v>2</v>
      </c>
      <c r="G3" s="121">
        <v>1</v>
      </c>
      <c r="H3" s="174" t="s">
        <v>2212</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c r="W3" s="102" t="s">
        <v>2081</v>
      </c>
    </row>
    <row r="4" spans="2:23" x14ac:dyDescent="0.25">
      <c r="B4" s="145" t="s">
        <v>2029</v>
      </c>
      <c r="C4" s="102">
        <v>2</v>
      </c>
      <c r="D4" s="102" t="s">
        <v>2213</v>
      </c>
      <c r="E4" s="120">
        <v>45484</v>
      </c>
      <c r="F4" s="102">
        <v>2</v>
      </c>
      <c r="G4" s="121">
        <v>1</v>
      </c>
      <c r="H4" s="102" t="s">
        <v>2166</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c r="W4" s="102" t="s">
        <v>2081</v>
      </c>
    </row>
    <row r="5" spans="2:23" x14ac:dyDescent="0.25">
      <c r="B5" s="145" t="s">
        <v>2031</v>
      </c>
      <c r="C5" s="102">
        <v>3</v>
      </c>
      <c r="D5" s="102" t="s">
        <v>2214</v>
      </c>
      <c r="E5" s="120">
        <v>45484</v>
      </c>
      <c r="F5" s="102">
        <v>2</v>
      </c>
      <c r="G5" s="121">
        <v>1</v>
      </c>
      <c r="H5" s="102" t="s">
        <v>2166</v>
      </c>
      <c r="I5" s="102">
        <v>0</v>
      </c>
      <c r="J5" s="102">
        <v>0</v>
      </c>
      <c r="K5" s="102">
        <v>0</v>
      </c>
      <c r="L5" s="102">
        <v>0</v>
      </c>
      <c r="M5" s="102" t="s">
        <v>2081</v>
      </c>
      <c r="N5" s="102">
        <v>0</v>
      </c>
      <c r="O5" s="102" t="s">
        <v>2081</v>
      </c>
      <c r="P5" s="102" t="s">
        <v>2081</v>
      </c>
      <c r="Q5" s="102" t="s">
        <v>2081</v>
      </c>
      <c r="R5" s="102" t="s">
        <v>2081</v>
      </c>
      <c r="S5" s="102" t="s">
        <v>2081</v>
      </c>
      <c r="T5" s="102" t="s">
        <v>2081</v>
      </c>
      <c r="U5" s="102" t="s">
        <v>2081</v>
      </c>
      <c r="V5" s="102">
        <v>0</v>
      </c>
      <c r="W5" s="102" t="s">
        <v>2081</v>
      </c>
    </row>
    <row r="6" spans="2:23" x14ac:dyDescent="0.25">
      <c r="B6" s="92" t="s">
        <v>2033</v>
      </c>
      <c r="C6" s="102">
        <v>4</v>
      </c>
      <c r="D6" s="102" t="s">
        <v>2086</v>
      </c>
      <c r="E6" s="120" t="s">
        <v>2081</v>
      </c>
      <c r="F6" s="102">
        <v>2</v>
      </c>
      <c r="G6" s="120" t="s">
        <v>2081</v>
      </c>
      <c r="H6" s="102"/>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c r="W6" s="102" t="s">
        <v>2081</v>
      </c>
    </row>
    <row r="7" spans="2:23" x14ac:dyDescent="0.25">
      <c r="B7" s="92" t="s">
        <v>2035</v>
      </c>
      <c r="C7" s="102">
        <v>5</v>
      </c>
      <c r="D7" s="102" t="s">
        <v>2086</v>
      </c>
      <c r="E7" s="120" t="s">
        <v>2081</v>
      </c>
      <c r="F7" s="102">
        <v>2</v>
      </c>
      <c r="G7" s="120" t="s">
        <v>2081</v>
      </c>
      <c r="H7" s="102"/>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c r="W7" s="102" t="s">
        <v>2081</v>
      </c>
    </row>
    <row r="8" spans="2:23" x14ac:dyDescent="0.25">
      <c r="B8" s="176" t="s">
        <v>2036</v>
      </c>
      <c r="C8" s="102">
        <v>6</v>
      </c>
      <c r="D8" s="102" t="s">
        <v>2215</v>
      </c>
      <c r="E8" s="120">
        <v>45484</v>
      </c>
      <c r="F8" s="102">
        <v>2</v>
      </c>
      <c r="G8" s="149" cm="1">
        <f t="array" ref="G8">SUMPRODUCT(--(I8:W8&gt;0))/COUNTA(I8:W8)</f>
        <v>0.8666666666666667</v>
      </c>
      <c r="H8" s="102" t="s">
        <v>2166</v>
      </c>
      <c r="I8" s="102">
        <v>2</v>
      </c>
      <c r="J8" s="102">
        <v>30</v>
      </c>
      <c r="K8" s="102">
        <v>1</v>
      </c>
      <c r="L8" s="102">
        <v>1</v>
      </c>
      <c r="M8" s="102" t="s">
        <v>2088</v>
      </c>
      <c r="N8" s="102">
        <v>10</v>
      </c>
      <c r="O8" s="102">
        <v>8</v>
      </c>
      <c r="P8" s="102">
        <v>1</v>
      </c>
      <c r="Q8" s="102">
        <v>3</v>
      </c>
      <c r="R8" s="102">
        <v>10</v>
      </c>
      <c r="S8" s="102">
        <v>0</v>
      </c>
      <c r="T8" s="102">
        <v>0</v>
      </c>
      <c r="U8" s="102">
        <v>2</v>
      </c>
      <c r="V8" s="102">
        <v>10</v>
      </c>
      <c r="W8" s="102">
        <v>23</v>
      </c>
    </row>
    <row r="9" spans="2:23" x14ac:dyDescent="0.25">
      <c r="B9" s="145" t="s">
        <v>2039</v>
      </c>
      <c r="C9" s="102">
        <v>7</v>
      </c>
      <c r="D9" s="102" t="s">
        <v>2216</v>
      </c>
      <c r="E9" s="120">
        <v>45484</v>
      </c>
      <c r="F9" s="102">
        <v>2</v>
      </c>
      <c r="G9" s="149" cm="1">
        <f t="array" ref="G9">SUMPRODUCT(--(I9:W9&lt;=I26:W26))/COUNTA(I26:W26)</f>
        <v>0.8666666666666667</v>
      </c>
      <c r="H9" s="102" t="s">
        <v>2166</v>
      </c>
      <c r="I9" s="102">
        <v>2</v>
      </c>
      <c r="J9" s="102">
        <v>30</v>
      </c>
      <c r="K9" s="102">
        <v>11</v>
      </c>
      <c r="L9" s="102">
        <v>1</v>
      </c>
      <c r="M9" s="102">
        <v>0</v>
      </c>
      <c r="N9" s="102">
        <v>10</v>
      </c>
      <c r="O9" s="102">
        <v>16</v>
      </c>
      <c r="P9" s="102">
        <v>1</v>
      </c>
      <c r="Q9" s="102">
        <v>3</v>
      </c>
      <c r="R9" s="102">
        <v>10</v>
      </c>
      <c r="S9" s="102">
        <v>50</v>
      </c>
      <c r="T9" s="102">
        <v>30</v>
      </c>
      <c r="U9" s="102">
        <v>2</v>
      </c>
      <c r="V9" s="102">
        <v>10</v>
      </c>
      <c r="W9" s="102">
        <v>23</v>
      </c>
    </row>
    <row r="10" spans="2:23" x14ac:dyDescent="0.25">
      <c r="B10" s="145" t="s">
        <v>2042</v>
      </c>
      <c r="C10" s="102">
        <v>8</v>
      </c>
      <c r="D10" s="102" t="s">
        <v>2217</v>
      </c>
      <c r="E10" s="120">
        <v>45484</v>
      </c>
      <c r="F10" s="102">
        <v>2</v>
      </c>
      <c r="G10" s="120" t="s">
        <v>2081</v>
      </c>
      <c r="H10" s="102" t="s">
        <v>2166</v>
      </c>
      <c r="I10" s="102">
        <v>31</v>
      </c>
      <c r="J10" s="102">
        <v>8.9040020000000002E+21</v>
      </c>
      <c r="K10" s="102">
        <v>1</v>
      </c>
      <c r="L10" s="102">
        <v>1</v>
      </c>
      <c r="M10" s="120" t="s">
        <v>2088</v>
      </c>
      <c r="N10" s="120">
        <v>45484</v>
      </c>
      <c r="O10" s="120" t="s">
        <v>2166</v>
      </c>
      <c r="P10" s="102">
        <v>0</v>
      </c>
      <c r="Q10" s="102">
        <v>124</v>
      </c>
      <c r="R10" s="120">
        <v>45236</v>
      </c>
      <c r="S10" s="120"/>
      <c r="T10" s="149"/>
      <c r="U10" s="102" t="s">
        <v>2171</v>
      </c>
      <c r="V10" s="120">
        <v>45484</v>
      </c>
      <c r="W10" s="102" t="s">
        <v>2218</v>
      </c>
    </row>
    <row r="11" spans="2:23" x14ac:dyDescent="0.25">
      <c r="B11" s="145" t="s">
        <v>2044</v>
      </c>
      <c r="C11" s="102">
        <v>9</v>
      </c>
      <c r="D11" s="102" t="s">
        <v>2219</v>
      </c>
      <c r="E11" s="120">
        <v>45484</v>
      </c>
      <c r="F11" s="102">
        <v>2</v>
      </c>
      <c r="G11" s="120" t="s">
        <v>2081</v>
      </c>
      <c r="H11" s="102" t="s">
        <v>2166</v>
      </c>
      <c r="I11" s="102">
        <v>31</v>
      </c>
      <c r="J11" s="102">
        <v>8.9040020000000002E+21</v>
      </c>
      <c r="K11" s="102">
        <v>1</v>
      </c>
      <c r="L11" s="102">
        <v>1</v>
      </c>
      <c r="M11" s="120" t="s">
        <v>2088</v>
      </c>
      <c r="N11" s="120">
        <v>45484</v>
      </c>
      <c r="O11" s="120" t="s">
        <v>2166</v>
      </c>
      <c r="P11" s="102">
        <v>0</v>
      </c>
      <c r="Q11" s="102">
        <v>124</v>
      </c>
      <c r="R11" s="120">
        <v>45236</v>
      </c>
      <c r="S11" s="120"/>
      <c r="T11" s="120"/>
      <c r="U11" s="102" t="s">
        <v>2171</v>
      </c>
      <c r="V11" s="120">
        <v>45484</v>
      </c>
      <c r="W11" s="102" t="s">
        <v>2220</v>
      </c>
    </row>
    <row r="12" spans="2:23" x14ac:dyDescent="0.25">
      <c r="B12" s="168" t="s">
        <v>2046</v>
      </c>
      <c r="C12" s="102">
        <v>10</v>
      </c>
      <c r="D12" s="102" t="s">
        <v>2221</v>
      </c>
      <c r="E12" s="120">
        <v>45484</v>
      </c>
      <c r="F12" s="102">
        <v>2</v>
      </c>
      <c r="G12" s="120" t="s">
        <v>2081</v>
      </c>
      <c r="H12" s="102" t="s">
        <v>2166</v>
      </c>
      <c r="I12" s="102">
        <v>31</v>
      </c>
      <c r="J12" s="102">
        <v>2.3970100776801999E+29</v>
      </c>
      <c r="K12" s="102">
        <v>20240151007</v>
      </c>
      <c r="L12" s="102">
        <v>4</v>
      </c>
      <c r="M12" s="120" t="s">
        <v>2088</v>
      </c>
      <c r="N12" s="120">
        <v>45484</v>
      </c>
      <c r="O12" s="121">
        <v>125000000000000</v>
      </c>
      <c r="P12" s="102">
        <v>1</v>
      </c>
      <c r="Q12" s="102">
        <v>985</v>
      </c>
      <c r="R12" s="120">
        <v>45496</v>
      </c>
      <c r="S12" s="120" t="s">
        <v>2222</v>
      </c>
      <c r="T12" s="149" t="s">
        <v>2223</v>
      </c>
      <c r="U12" s="102" t="s">
        <v>2224</v>
      </c>
      <c r="V12" s="120">
        <v>45484</v>
      </c>
      <c r="W12" s="102" t="s">
        <v>2218</v>
      </c>
    </row>
    <row r="13" spans="2:23" x14ac:dyDescent="0.25">
      <c r="B13" s="145" t="s">
        <v>2048</v>
      </c>
      <c r="C13" s="102">
        <v>11</v>
      </c>
      <c r="D13" s="102" t="s">
        <v>2225</v>
      </c>
      <c r="E13" s="120">
        <v>45484</v>
      </c>
      <c r="F13" s="102">
        <v>2</v>
      </c>
      <c r="G13" s="120" t="s">
        <v>2081</v>
      </c>
      <c r="H13" s="102" t="s">
        <v>2166</v>
      </c>
      <c r="I13" s="102">
        <v>31</v>
      </c>
      <c r="J13" s="102">
        <v>2.3970100776801999E+29</v>
      </c>
      <c r="K13" s="102">
        <v>20240151007</v>
      </c>
      <c r="L13" s="102">
        <v>4</v>
      </c>
      <c r="M13" s="120" t="s">
        <v>2088</v>
      </c>
      <c r="N13" s="120">
        <v>45484</v>
      </c>
      <c r="O13" s="120">
        <v>125000000000000</v>
      </c>
      <c r="P13" s="102">
        <v>1</v>
      </c>
      <c r="Q13" s="102">
        <v>985</v>
      </c>
      <c r="R13" s="120">
        <v>45496</v>
      </c>
      <c r="S13" s="120" t="s">
        <v>2222</v>
      </c>
      <c r="T13" s="120" t="s">
        <v>2223</v>
      </c>
      <c r="U13" s="102" t="s">
        <v>2224</v>
      </c>
      <c r="V13" s="120">
        <v>45484</v>
      </c>
      <c r="W13" s="102" t="s">
        <v>2226</v>
      </c>
    </row>
    <row r="14" spans="2:23" x14ac:dyDescent="0.25">
      <c r="B14" s="145" t="s">
        <v>2050</v>
      </c>
      <c r="C14" s="102">
        <v>12</v>
      </c>
      <c r="D14" s="102" t="s">
        <v>2227</v>
      </c>
      <c r="E14" s="120">
        <v>45484</v>
      </c>
      <c r="F14" s="102">
        <v>2</v>
      </c>
      <c r="G14" s="102" t="s">
        <v>2228</v>
      </c>
      <c r="H14" s="102" t="s">
        <v>2166</v>
      </c>
      <c r="I14" s="102">
        <v>0</v>
      </c>
      <c r="J14" s="102">
        <v>0</v>
      </c>
      <c r="K14" s="102">
        <v>0</v>
      </c>
      <c r="L14" s="102">
        <v>0</v>
      </c>
      <c r="M14" s="102">
        <v>1904077</v>
      </c>
      <c r="N14" s="102">
        <v>0</v>
      </c>
      <c r="O14" s="102">
        <v>0</v>
      </c>
      <c r="P14" s="102">
        <v>0</v>
      </c>
      <c r="Q14" s="102">
        <v>0</v>
      </c>
      <c r="R14" s="102">
        <v>0</v>
      </c>
      <c r="S14" s="102">
        <v>0</v>
      </c>
      <c r="T14" s="102">
        <v>0</v>
      </c>
      <c r="U14" s="102">
        <v>0</v>
      </c>
      <c r="V14" s="102">
        <v>0</v>
      </c>
      <c r="W14" s="102">
        <v>0</v>
      </c>
    </row>
    <row r="15" spans="2:23" x14ac:dyDescent="0.25">
      <c r="B15" s="145" t="s">
        <v>2052</v>
      </c>
      <c r="C15" s="102">
        <v>13</v>
      </c>
      <c r="D15" s="102" t="s">
        <v>2229</v>
      </c>
      <c r="E15" s="120">
        <v>45484</v>
      </c>
      <c r="F15" s="102">
        <v>2</v>
      </c>
      <c r="G15" s="121">
        <v>1</v>
      </c>
      <c r="H15" s="102" t="s">
        <v>2166</v>
      </c>
      <c r="I15" s="102" t="s">
        <v>2081</v>
      </c>
      <c r="J15" s="102" t="s">
        <v>2081</v>
      </c>
      <c r="K15" s="102" t="s">
        <v>2081</v>
      </c>
      <c r="L15" s="92" t="s">
        <v>2081</v>
      </c>
      <c r="M15" s="92" t="s">
        <v>2081</v>
      </c>
      <c r="N15" s="102">
        <v>0</v>
      </c>
      <c r="O15" s="92" t="s">
        <v>2081</v>
      </c>
      <c r="P15" s="92" t="s">
        <v>2081</v>
      </c>
      <c r="Q15" s="92" t="s">
        <v>2081</v>
      </c>
      <c r="R15" s="102">
        <v>0</v>
      </c>
      <c r="S15" s="102" t="s">
        <v>2081</v>
      </c>
      <c r="T15" s="102" t="s">
        <v>2081</v>
      </c>
      <c r="U15" s="102" t="s">
        <v>2081</v>
      </c>
      <c r="V15" s="102" t="s">
        <v>2081</v>
      </c>
      <c r="W15" s="102" t="s">
        <v>2081</v>
      </c>
    </row>
    <row r="16" spans="2:23" x14ac:dyDescent="0.25">
      <c r="B16" s="145" t="s">
        <v>2054</v>
      </c>
      <c r="C16" s="102">
        <v>14</v>
      </c>
      <c r="D16" s="102" t="s">
        <v>2230</v>
      </c>
      <c r="E16" s="120">
        <v>45484</v>
      </c>
      <c r="F16" s="102">
        <v>2</v>
      </c>
      <c r="G16" s="121">
        <v>1</v>
      </c>
      <c r="H16" s="102" t="s">
        <v>2166</v>
      </c>
      <c r="I16" s="102">
        <v>0</v>
      </c>
      <c r="J16" s="102">
        <v>0</v>
      </c>
      <c r="K16" s="102" t="s">
        <v>2081</v>
      </c>
      <c r="L16" s="102" t="s">
        <v>2081</v>
      </c>
      <c r="M16" s="92">
        <v>0</v>
      </c>
      <c r="N16" s="102" t="s">
        <v>2081</v>
      </c>
      <c r="O16" s="102" t="s">
        <v>2081</v>
      </c>
      <c r="P16" s="102" t="s">
        <v>2081</v>
      </c>
      <c r="Q16" s="92">
        <v>0</v>
      </c>
      <c r="R16" s="102" t="s">
        <v>2081</v>
      </c>
      <c r="S16" s="102" t="s">
        <v>2081</v>
      </c>
      <c r="T16" s="102" t="s">
        <v>2081</v>
      </c>
      <c r="U16" s="102">
        <v>0</v>
      </c>
      <c r="V16" s="102" t="s">
        <v>2081</v>
      </c>
      <c r="W16" s="102" t="s">
        <v>2081</v>
      </c>
    </row>
    <row r="17" spans="2:31" x14ac:dyDescent="0.25">
      <c r="B17" s="178" t="s">
        <v>2056</v>
      </c>
      <c r="C17" s="102">
        <v>15</v>
      </c>
      <c r="D17" s="102" t="s">
        <v>2231</v>
      </c>
      <c r="E17" s="120">
        <v>45484</v>
      </c>
      <c r="F17" s="102">
        <v>2</v>
      </c>
      <c r="G17" s="121">
        <v>1</v>
      </c>
      <c r="H17" s="102" t="s">
        <v>2166</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c r="W17" s="102" t="s">
        <v>2081</v>
      </c>
    </row>
    <row r="18" spans="2:31" x14ac:dyDescent="0.25">
      <c r="B18" s="178" t="s">
        <v>2058</v>
      </c>
      <c r="C18" s="102">
        <v>16</v>
      </c>
      <c r="D18" s="102" t="s">
        <v>2231</v>
      </c>
      <c r="E18" s="120">
        <v>45484</v>
      </c>
      <c r="F18" s="102">
        <v>2</v>
      </c>
      <c r="G18" s="121">
        <v>1</v>
      </c>
      <c r="H18" s="102" t="s">
        <v>2166</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c r="W18" s="102" t="s">
        <v>2081</v>
      </c>
    </row>
    <row r="19" spans="2:31" x14ac:dyDescent="0.25">
      <c r="B19" s="145" t="s">
        <v>2064</v>
      </c>
      <c r="C19" s="102">
        <v>19</v>
      </c>
      <c r="D19" s="102" t="s">
        <v>2232</v>
      </c>
      <c r="E19" s="120">
        <v>45484</v>
      </c>
      <c r="F19" s="102">
        <v>2</v>
      </c>
      <c r="G19" s="121" cm="1">
        <f t="array" ref="G19">SUMPRODUCT(--(ISNUMBER((SEARCH(I25:W25,I19:W19)))))/COUNTA(I19:W19)</f>
        <v>0.93333333333333335</v>
      </c>
      <c r="H19" s="102" t="s">
        <v>2166</v>
      </c>
      <c r="I19" s="102" t="s">
        <v>2131</v>
      </c>
      <c r="J19" s="102" t="s">
        <v>2131</v>
      </c>
      <c r="K19" s="102" t="s">
        <v>2132</v>
      </c>
      <c r="L19" s="102" t="s">
        <v>2132</v>
      </c>
      <c r="M19" s="102" t="s">
        <v>2131</v>
      </c>
      <c r="N19" s="102" t="s">
        <v>2131</v>
      </c>
      <c r="O19" s="102" t="s">
        <v>2133</v>
      </c>
      <c r="P19" s="102" t="s">
        <v>2131</v>
      </c>
      <c r="Q19" s="102" t="s">
        <v>2131</v>
      </c>
      <c r="R19" s="102" t="s">
        <v>2131</v>
      </c>
      <c r="S19" s="102" t="s">
        <v>2131</v>
      </c>
      <c r="T19" s="102" t="s">
        <v>2131</v>
      </c>
      <c r="U19" s="102" t="s">
        <v>2131</v>
      </c>
      <c r="V19" s="102" t="s">
        <v>2131</v>
      </c>
      <c r="W19" s="102" t="s">
        <v>2134</v>
      </c>
    </row>
    <row r="20" spans="2:31" x14ac:dyDescent="0.25">
      <c r="B20" s="145" t="s">
        <v>2067</v>
      </c>
      <c r="C20" s="102">
        <v>20</v>
      </c>
      <c r="D20" s="102" t="s">
        <v>2232</v>
      </c>
      <c r="E20" s="120">
        <v>45484</v>
      </c>
      <c r="F20" s="102">
        <v>1</v>
      </c>
      <c r="G20" s="102" cm="1">
        <f t="array" ref="G20">SUM(IF(I2:W2 = I24:W24, 1, 0))/ COUNTA(I2:W2)</f>
        <v>0.66666666666666663</v>
      </c>
      <c r="H20" s="102"/>
      <c r="I20" s="102"/>
      <c r="J20" s="102"/>
      <c r="K20" s="102"/>
      <c r="L20" s="102"/>
      <c r="M20" s="102"/>
      <c r="N20" s="102"/>
      <c r="O20" s="102"/>
      <c r="P20" s="102"/>
      <c r="Q20" s="102"/>
      <c r="R20" s="102"/>
      <c r="S20" s="102"/>
      <c r="T20" s="102"/>
      <c r="U20" s="102"/>
      <c r="V20" s="102"/>
      <c r="W20" s="102"/>
    </row>
    <row r="21" spans="2:31" x14ac:dyDescent="0.25">
      <c r="B21" s="169" t="s">
        <v>2070</v>
      </c>
      <c r="C21" s="102">
        <v>21</v>
      </c>
      <c r="D21" s="102" t="s">
        <v>2232</v>
      </c>
      <c r="E21" s="120">
        <v>45484</v>
      </c>
      <c r="F21" s="102"/>
      <c r="G21" s="102" cm="1">
        <f t="array" ref="G21">SUM(IF(IF(G3:G20="null",1,G3:G20)=1,1,0))/COUNT(IF(G3:G20="null",1,1))</f>
        <v>0.72222222222222221</v>
      </c>
      <c r="H21" s="102"/>
      <c r="I21" s="102"/>
      <c r="J21" s="102"/>
      <c r="K21" s="102"/>
      <c r="L21" s="102"/>
      <c r="M21" s="102"/>
      <c r="N21" s="102"/>
      <c r="O21" s="102"/>
      <c r="P21" s="102"/>
      <c r="Q21" s="102"/>
      <c r="R21" s="102"/>
      <c r="S21" s="102"/>
      <c r="T21" s="102"/>
      <c r="U21" s="102"/>
      <c r="V21" s="102"/>
      <c r="W21" s="102"/>
    </row>
    <row r="22" spans="2:31" x14ac:dyDescent="0.25">
      <c r="B22" s="102"/>
      <c r="C22" s="102"/>
      <c r="D22" s="102"/>
      <c r="E22" s="120"/>
      <c r="F22" s="102"/>
      <c r="G22" s="102"/>
      <c r="H22" s="102"/>
      <c r="I22" s="102"/>
      <c r="J22" s="102"/>
      <c r="K22" s="102"/>
      <c r="L22" s="102"/>
      <c r="M22" s="102"/>
      <c r="N22" s="102"/>
      <c r="O22" s="102"/>
      <c r="P22" s="102"/>
      <c r="Q22" s="102"/>
      <c r="R22" s="102"/>
      <c r="S22" s="102"/>
      <c r="T22" s="102"/>
    </row>
    <row r="23" spans="2:31" x14ac:dyDescent="0.25">
      <c r="B23" s="110" t="s">
        <v>2135</v>
      </c>
    </row>
    <row r="24" spans="2:31" x14ac:dyDescent="0.25">
      <c r="B24" s="111" t="s">
        <v>2136</v>
      </c>
      <c r="C24" s="112" t="s">
        <v>2074</v>
      </c>
      <c r="D24" s="112" t="s">
        <v>2075</v>
      </c>
      <c r="E24" s="112" t="s">
        <v>2076</v>
      </c>
      <c r="F24" s="112" t="s">
        <v>2077</v>
      </c>
      <c r="G24" s="112" t="s">
        <v>2078</v>
      </c>
      <c r="H24" s="112" t="s">
        <v>2079</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transaction_type_code</v>
      </c>
      <c r="N24" s="139" t="str">
        <v>transaction_execution_date</v>
      </c>
      <c r="O24" s="139" t="str">
        <v>amount</v>
      </c>
      <c r="P24" s="139" t="str">
        <v>financial_flow_indicator</v>
      </c>
      <c r="Q24" s="139" t="str">
        <v>currency_code</v>
      </c>
      <c r="R24" s="139" t="str">
        <v>transaction_date</v>
      </c>
      <c r="S24" s="139" t="str">
        <v>accounting_operation_code</v>
      </c>
      <c r="T24" s="140" t="str">
        <v>accounting_operation_option_code</v>
      </c>
      <c r="U24" s="140" t="str">
        <v>accounting_bank_basic_operation</v>
      </c>
      <c r="V24" s="140" t="str">
        <v>check_number</v>
      </c>
      <c r="W24" s="140"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4" t="s">
        <v>2137</v>
      </c>
      <c r="C25" s="117">
        <v>21</v>
      </c>
      <c r="D25" s="106" t="s">
        <v>2138</v>
      </c>
      <c r="E25" s="105" t="s">
        <v>2139</v>
      </c>
      <c r="F25" s="105" t="s">
        <v>1178</v>
      </c>
      <c r="G25" s="105" t="s">
        <v>1178</v>
      </c>
      <c r="H25" s="105" t="s">
        <v>1178</v>
      </c>
      <c r="I25" s="105" t="str" cm="1">
        <f t="array" ref="I25:AE26">TRANSPOSE(_xlfn.SORTBY(_xlfn._xlws.FILTER(IF(Table2[FORMATO]:Table2[COMP_ CAMPO]&lt;&gt;"",Table2[FORMATO]:Table2[COMP_ CAMPO],9999999),Table2[NOME FÍSICO TABELA]="current_account_transaction"), _xlfn._xlws.FILTER(Table2[ORDEM], Table2[NOME FÍSICO TABELA]="current_account_transaction"),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s="105" t="str">
        <v>STRING</v>
      </c>
      <c r="W25" s="116" t="str">
        <v>STRING</v>
      </c>
      <c r="X25" t="str">
        <v>STRING</v>
      </c>
      <c r="Y25" t="str">
        <v>STRING</v>
      </c>
      <c r="Z25" t="str">
        <v>STRING</v>
      </c>
      <c r="AA25" t="str">
        <v>STRING</v>
      </c>
      <c r="AB25" t="str">
        <v>STRING</v>
      </c>
      <c r="AC25" t="str">
        <v>STRING</v>
      </c>
      <c r="AD25" t="str">
        <v>STRING</v>
      </c>
      <c r="AE25" t="str">
        <v>TIMESTAMP</v>
      </c>
    </row>
    <row r="26" spans="2:31" x14ac:dyDescent="0.25">
      <c r="B26" s="104" t="s">
        <v>2140</v>
      </c>
      <c r="C26" s="117">
        <v>7</v>
      </c>
      <c r="D26" s="106" t="s">
        <v>2138</v>
      </c>
      <c r="E26" s="105" t="s">
        <v>2139</v>
      </c>
      <c r="F26" s="105" t="s">
        <v>1178</v>
      </c>
      <c r="G26" s="105" t="s">
        <v>1178</v>
      </c>
      <c r="H26" s="105" t="s">
        <v>1178</v>
      </c>
      <c r="I26" s="117">
        <v>4</v>
      </c>
      <c r="J26" s="117">
        <v>30</v>
      </c>
      <c r="K26" s="117">
        <v>9999999</v>
      </c>
      <c r="L26" s="117">
        <v>9999999</v>
      </c>
      <c r="M26" s="117">
        <v>4</v>
      </c>
      <c r="N26" s="117">
        <v>10</v>
      </c>
      <c r="O26" s="117">
        <v>23</v>
      </c>
      <c r="P26" s="117">
        <v>4</v>
      </c>
      <c r="Q26" s="117">
        <v>4</v>
      </c>
      <c r="R26" s="117">
        <v>10</v>
      </c>
      <c r="S26" s="117">
        <v>4</v>
      </c>
      <c r="T26" s="117">
        <v>4</v>
      </c>
      <c r="U26" s="105">
        <v>4</v>
      </c>
      <c r="V26" s="105">
        <v>10</v>
      </c>
      <c r="W26" s="116">
        <v>9999999</v>
      </c>
      <c r="X26">
        <v>30</v>
      </c>
      <c r="Y26">
        <v>9999999</v>
      </c>
      <c r="Z26">
        <v>9999999</v>
      </c>
      <c r="AA26">
        <v>4</v>
      </c>
      <c r="AB26">
        <v>9999999</v>
      </c>
      <c r="AC26">
        <v>2</v>
      </c>
      <c r="AD26">
        <v>10</v>
      </c>
      <c r="AE26">
        <v>23</v>
      </c>
    </row>
    <row r="29" spans="2:31" x14ac:dyDescent="0.25">
      <c r="B29" s="127" t="s">
        <v>2141</v>
      </c>
    </row>
    <row r="30" spans="2:31" x14ac:dyDescent="0.25">
      <c r="B30" s="136" t="s">
        <v>2142</v>
      </c>
      <c r="C30" s="136" t="s">
        <v>2143</v>
      </c>
      <c r="D30" s="137" t="s">
        <v>2144</v>
      </c>
      <c r="E30" s="136" t="s">
        <v>2145</v>
      </c>
      <c r="F30" s="136" t="s">
        <v>2146</v>
      </c>
      <c r="I30" s="190"/>
    </row>
    <row r="31" spans="2:31" ht="75" customHeight="1" x14ac:dyDescent="0.25">
      <c r="B31" s="134" t="s">
        <v>2155</v>
      </c>
      <c r="C31" s="87" t="s">
        <v>737</v>
      </c>
      <c r="D31" s="87" t="s">
        <v>2233</v>
      </c>
      <c r="E31" s="87" t="s">
        <v>2234</v>
      </c>
      <c r="F31" s="135" t="s">
        <v>2235</v>
      </c>
      <c r="I31" s="189"/>
    </row>
    <row r="32" spans="2:31" ht="79.5" customHeight="1" x14ac:dyDescent="0.25">
      <c r="B32" s="138" t="s">
        <v>2155</v>
      </c>
      <c r="C32" s="91" t="s">
        <v>767</v>
      </c>
      <c r="D32" s="87" t="s">
        <v>2236</v>
      </c>
      <c r="E32" s="87" t="s">
        <v>2234</v>
      </c>
      <c r="F32" s="135" t="s">
        <v>2150</v>
      </c>
      <c r="I32" s="189"/>
    </row>
    <row r="33" spans="1:6" ht="30" x14ac:dyDescent="0.25">
      <c r="B33" s="138" t="s">
        <v>2237</v>
      </c>
      <c r="C33" s="91" t="s">
        <v>1136</v>
      </c>
      <c r="D33" s="91" t="s">
        <v>2238</v>
      </c>
      <c r="E33" s="87" t="s">
        <v>2239</v>
      </c>
      <c r="F33" s="82" t="s">
        <v>2150</v>
      </c>
    </row>
    <row r="34" spans="1:6" ht="30" x14ac:dyDescent="0.25">
      <c r="A34" t="s">
        <v>6</v>
      </c>
      <c r="B34" s="138" t="s">
        <v>2237</v>
      </c>
      <c r="C34" s="91" t="s">
        <v>1149</v>
      </c>
      <c r="D34" s="91" t="s">
        <v>2240</v>
      </c>
      <c r="E34" s="87" t="s">
        <v>2241</v>
      </c>
      <c r="F34" s="82" t="s">
        <v>2150</v>
      </c>
    </row>
    <row r="35" spans="1:6" ht="75" x14ac:dyDescent="0.25">
      <c r="B35" s="138" t="s">
        <v>2147</v>
      </c>
      <c r="C35" s="87" t="s">
        <v>737</v>
      </c>
      <c r="D35" s="87" t="s">
        <v>2233</v>
      </c>
      <c r="E35" s="87" t="s">
        <v>2234</v>
      </c>
      <c r="F35" s="82" t="s">
        <v>2150</v>
      </c>
    </row>
    <row r="36" spans="1:6" ht="75" x14ac:dyDescent="0.25">
      <c r="B36" s="138" t="s">
        <v>2147</v>
      </c>
      <c r="C36" s="91" t="s">
        <v>767</v>
      </c>
      <c r="D36" s="87" t="s">
        <v>2236</v>
      </c>
      <c r="E36" s="87" t="s">
        <v>2234</v>
      </c>
      <c r="F36" s="135" t="s">
        <v>2150</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Z48"/>
  <sheetViews>
    <sheetView showGridLines="0" workbookViewId="0">
      <selection activeCell="J31" sqref="J31"/>
    </sheetView>
  </sheetViews>
  <sheetFormatPr defaultRowHeight="15" x14ac:dyDescent="0.2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x14ac:dyDescent="0.25"/>
    <row r="2" spans="2:22"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749</v>
      </c>
      <c r="N2" s="101" t="s">
        <v>758</v>
      </c>
      <c r="O2" s="101" t="s">
        <v>737</v>
      </c>
      <c r="P2" s="101" t="s">
        <v>767</v>
      </c>
      <c r="Q2" s="101" t="s">
        <v>778</v>
      </c>
      <c r="R2" s="101" t="s">
        <v>791</v>
      </c>
      <c r="S2" s="101" t="s">
        <v>1136</v>
      </c>
      <c r="T2" s="101" t="s">
        <v>798</v>
      </c>
      <c r="U2" s="101" t="s">
        <v>806</v>
      </c>
      <c r="V2" s="101" t="s">
        <v>813</v>
      </c>
    </row>
    <row r="3" spans="2:22" x14ac:dyDescent="0.25">
      <c r="B3" s="145" t="s">
        <v>2027</v>
      </c>
      <c r="C3" s="102">
        <v>1</v>
      </c>
      <c r="D3" s="102" t="s">
        <v>2242</v>
      </c>
      <c r="E3" s="120">
        <v>45460</v>
      </c>
      <c r="F3" s="102">
        <v>1</v>
      </c>
      <c r="G3" s="121">
        <v>1</v>
      </c>
      <c r="H3" s="174" t="s">
        <v>2243</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row>
    <row r="4" spans="2:22" x14ac:dyDescent="0.25">
      <c r="B4" s="145" t="s">
        <v>2029</v>
      </c>
      <c r="C4" s="102">
        <v>2</v>
      </c>
      <c r="D4" s="102" t="s">
        <v>2244</v>
      </c>
      <c r="E4" s="120">
        <v>45460</v>
      </c>
      <c r="F4" s="102">
        <v>1</v>
      </c>
      <c r="G4" s="121">
        <v>1</v>
      </c>
      <c r="H4" s="102" t="s">
        <v>2245</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row>
    <row r="5" spans="2:22" x14ac:dyDescent="0.25">
      <c r="B5" s="145" t="s">
        <v>2031</v>
      </c>
      <c r="C5" s="102">
        <v>3</v>
      </c>
      <c r="D5" s="102" t="s">
        <v>2246</v>
      </c>
      <c r="E5" s="120">
        <v>45460</v>
      </c>
      <c r="F5" s="102">
        <v>1</v>
      </c>
      <c r="G5" s="121">
        <v>1</v>
      </c>
      <c r="H5" s="102" t="s">
        <v>2245</v>
      </c>
      <c r="I5" s="102">
        <v>0</v>
      </c>
      <c r="J5" s="102">
        <v>0</v>
      </c>
      <c r="K5" s="102">
        <v>0</v>
      </c>
      <c r="L5" s="102">
        <v>0</v>
      </c>
      <c r="M5" s="102">
        <v>0</v>
      </c>
      <c r="N5" s="102" t="s">
        <v>2081</v>
      </c>
      <c r="O5" s="102" t="s">
        <v>2081</v>
      </c>
      <c r="P5" s="102" t="s">
        <v>2081</v>
      </c>
      <c r="Q5" s="102" t="s">
        <v>2081</v>
      </c>
      <c r="R5" s="102" t="s">
        <v>2081</v>
      </c>
      <c r="S5" s="102" t="s">
        <v>2081</v>
      </c>
      <c r="T5" s="102" t="s">
        <v>2081</v>
      </c>
      <c r="U5" s="102">
        <v>0</v>
      </c>
      <c r="V5" s="102" t="s">
        <v>2081</v>
      </c>
    </row>
    <row r="6" spans="2:22" x14ac:dyDescent="0.25">
      <c r="B6" s="92" t="s">
        <v>2033</v>
      </c>
      <c r="C6" s="102">
        <v>4</v>
      </c>
      <c r="D6" s="102" t="s">
        <v>2086</v>
      </c>
      <c r="E6" s="120">
        <v>45460</v>
      </c>
      <c r="F6" s="102">
        <v>1</v>
      </c>
      <c r="G6" s="102" t="s">
        <v>2081</v>
      </c>
      <c r="H6" s="102"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row>
    <row r="7" spans="2:22" x14ac:dyDescent="0.25">
      <c r="B7" s="92" t="s">
        <v>2035</v>
      </c>
      <c r="C7" s="102">
        <v>5</v>
      </c>
      <c r="D7" s="102" t="s">
        <v>2086</v>
      </c>
      <c r="E7" s="120">
        <v>45460</v>
      </c>
      <c r="F7" s="102">
        <v>1</v>
      </c>
      <c r="G7" s="102" t="s">
        <v>2081</v>
      </c>
      <c r="H7" s="102"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row>
    <row r="8" spans="2:22" x14ac:dyDescent="0.25">
      <c r="B8" s="145" t="s">
        <v>2036</v>
      </c>
      <c r="C8" s="102">
        <v>6</v>
      </c>
      <c r="D8" s="102" t="s">
        <v>2247</v>
      </c>
      <c r="E8" s="120">
        <v>45460</v>
      </c>
      <c r="F8" s="102">
        <v>1</v>
      </c>
      <c r="G8" s="149" cm="1">
        <f t="array" ref="G8">SUMPRODUCT(--(I8:V8&gt;0))/COUNTA(I8:V8)</f>
        <v>1</v>
      </c>
      <c r="H8" s="102" t="s">
        <v>2245</v>
      </c>
      <c r="I8" s="102">
        <v>2</v>
      </c>
      <c r="J8" s="102">
        <v>30</v>
      </c>
      <c r="K8" s="102">
        <v>1</v>
      </c>
      <c r="L8" s="102">
        <v>1</v>
      </c>
      <c r="M8" s="102">
        <v>10</v>
      </c>
      <c r="N8" s="102">
        <v>8</v>
      </c>
      <c r="O8" s="102" t="s">
        <v>2088</v>
      </c>
      <c r="P8" s="102">
        <v>1</v>
      </c>
      <c r="Q8" s="102">
        <v>3</v>
      </c>
      <c r="R8" s="102">
        <v>10</v>
      </c>
      <c r="S8" s="102">
        <v>6</v>
      </c>
      <c r="T8" s="102">
        <v>2</v>
      </c>
      <c r="U8" s="102">
        <v>10</v>
      </c>
      <c r="V8" s="102">
        <v>23</v>
      </c>
    </row>
    <row r="9" spans="2:22" x14ac:dyDescent="0.25">
      <c r="B9" s="145" t="s">
        <v>2039</v>
      </c>
      <c r="C9" s="102">
        <v>7</v>
      </c>
      <c r="D9" s="102" t="s">
        <v>2248</v>
      </c>
      <c r="E9" s="120">
        <v>45460</v>
      </c>
      <c r="F9" s="102">
        <v>1</v>
      </c>
      <c r="G9" s="149" cm="1">
        <f t="array" ref="G9">SUMPRODUCT(--(I9:V9&lt;=I26:V26))/COUNTA(I9:V9)</f>
        <v>0.7142857142857143</v>
      </c>
      <c r="H9" s="102" t="s">
        <v>2245</v>
      </c>
      <c r="I9" s="102">
        <v>2</v>
      </c>
      <c r="J9" s="102">
        <v>30</v>
      </c>
      <c r="K9" s="102">
        <v>5</v>
      </c>
      <c r="L9" s="102">
        <v>1</v>
      </c>
      <c r="M9" s="102">
        <v>10</v>
      </c>
      <c r="N9" s="102">
        <v>13</v>
      </c>
      <c r="O9" s="102" t="s">
        <v>2088</v>
      </c>
      <c r="P9" s="102">
        <v>1</v>
      </c>
      <c r="Q9" s="102">
        <v>3</v>
      </c>
      <c r="R9" s="102">
        <v>10</v>
      </c>
      <c r="S9" s="102">
        <v>50</v>
      </c>
      <c r="T9" s="102">
        <v>2</v>
      </c>
      <c r="U9" s="102">
        <v>10</v>
      </c>
      <c r="V9" s="102">
        <v>23</v>
      </c>
    </row>
    <row r="10" spans="2:22" x14ac:dyDescent="0.25">
      <c r="B10" s="145" t="s">
        <v>2042</v>
      </c>
      <c r="C10" s="102">
        <v>8</v>
      </c>
      <c r="D10" s="102" t="s">
        <v>2249</v>
      </c>
      <c r="E10" s="120">
        <v>45460</v>
      </c>
      <c r="F10" s="102">
        <v>1</v>
      </c>
      <c r="G10" s="102" t="s">
        <v>2081</v>
      </c>
      <c r="H10" s="102" t="s">
        <v>2245</v>
      </c>
      <c r="I10" s="102">
        <v>31</v>
      </c>
      <c r="J10" s="102">
        <v>3.0247299999999998E+22</v>
      </c>
      <c r="K10" s="102">
        <v>1</v>
      </c>
      <c r="L10" s="102">
        <v>1</v>
      </c>
      <c r="M10" s="120">
        <v>45460</v>
      </c>
      <c r="N10" s="121" t="s">
        <v>2094</v>
      </c>
      <c r="O10" s="102" t="s">
        <v>2088</v>
      </c>
      <c r="P10" s="102">
        <v>1</v>
      </c>
      <c r="Q10" s="120">
        <v>124</v>
      </c>
      <c r="R10" s="120">
        <v>45457</v>
      </c>
      <c r="S10" s="120" t="s">
        <v>2250</v>
      </c>
      <c r="T10" s="102" t="s">
        <v>2171</v>
      </c>
      <c r="U10" s="120">
        <v>45460</v>
      </c>
      <c r="V10" s="102" t="s">
        <v>2251</v>
      </c>
    </row>
    <row r="11" spans="2:22" x14ac:dyDescent="0.25">
      <c r="B11" s="145" t="s">
        <v>2044</v>
      </c>
      <c r="C11" s="102">
        <v>9</v>
      </c>
      <c r="D11" s="102" t="s">
        <v>2252</v>
      </c>
      <c r="E11" s="120">
        <v>45460</v>
      </c>
      <c r="F11" s="102">
        <v>1</v>
      </c>
      <c r="G11" s="102" t="s">
        <v>2081</v>
      </c>
      <c r="H11" s="102" t="s">
        <v>2245</v>
      </c>
      <c r="I11" s="102"/>
      <c r="J11" s="102">
        <v>3.0247299999999998E+22</v>
      </c>
      <c r="K11" s="102">
        <v>1</v>
      </c>
      <c r="L11" s="102">
        <v>1</v>
      </c>
      <c r="M11" s="120">
        <v>45460</v>
      </c>
      <c r="N11" s="102" t="s">
        <v>2106</v>
      </c>
      <c r="O11" s="102" t="s">
        <v>2088</v>
      </c>
      <c r="P11" s="102">
        <v>1</v>
      </c>
      <c r="Q11" s="120">
        <v>124</v>
      </c>
      <c r="R11" s="120">
        <v>45457</v>
      </c>
      <c r="S11" s="120" t="s">
        <v>2250</v>
      </c>
      <c r="T11" s="102" t="s">
        <v>2171</v>
      </c>
      <c r="U11" s="120">
        <v>45460</v>
      </c>
      <c r="V11" s="102" t="s">
        <v>2253</v>
      </c>
    </row>
    <row r="12" spans="2:22" x14ac:dyDescent="0.25">
      <c r="B12" s="145" t="s">
        <v>2046</v>
      </c>
      <c r="C12" s="102">
        <v>10</v>
      </c>
      <c r="D12" s="102" t="s">
        <v>2254</v>
      </c>
      <c r="E12" s="120">
        <v>45460</v>
      </c>
      <c r="F12" s="102">
        <v>1</v>
      </c>
      <c r="G12" s="102" t="s">
        <v>2081</v>
      </c>
      <c r="H12" s="102" t="s">
        <v>2245</v>
      </c>
      <c r="I12" s="102">
        <v>31</v>
      </c>
      <c r="J12" s="102">
        <v>2.1070404296302001E+29</v>
      </c>
      <c r="K12" s="102">
        <v>99999</v>
      </c>
      <c r="L12" s="102">
        <v>1</v>
      </c>
      <c r="M12" s="120">
        <v>45460</v>
      </c>
      <c r="N12" s="121">
        <v>492500000000</v>
      </c>
      <c r="O12" s="102" t="s">
        <v>2088</v>
      </c>
      <c r="P12" s="120">
        <v>1</v>
      </c>
      <c r="Q12" s="120">
        <v>978</v>
      </c>
      <c r="R12" s="121">
        <v>45462</v>
      </c>
      <c r="S12" s="121" t="s">
        <v>2255</v>
      </c>
      <c r="T12" s="120" t="s">
        <v>2171</v>
      </c>
      <c r="U12" s="120">
        <v>45460</v>
      </c>
      <c r="V12" s="102" t="s">
        <v>2251</v>
      </c>
    </row>
    <row r="13" spans="2:22" x14ac:dyDescent="0.25">
      <c r="B13" s="145" t="s">
        <v>2048</v>
      </c>
      <c r="C13" s="102">
        <v>11</v>
      </c>
      <c r="D13" s="102" t="s">
        <v>2256</v>
      </c>
      <c r="E13" s="120">
        <v>45460</v>
      </c>
      <c r="F13" s="102">
        <v>1</v>
      </c>
      <c r="G13" s="102" t="s">
        <v>2081</v>
      </c>
      <c r="H13" s="102" t="s">
        <v>2245</v>
      </c>
      <c r="I13" s="102"/>
      <c r="J13" s="102">
        <v>2.1070404296302001E+29</v>
      </c>
      <c r="K13" s="102">
        <v>99999</v>
      </c>
      <c r="L13" s="102">
        <v>1</v>
      </c>
      <c r="M13" s="120">
        <v>45460</v>
      </c>
      <c r="N13" s="120" t="s">
        <v>2257</v>
      </c>
      <c r="O13" s="102" t="s">
        <v>2088</v>
      </c>
      <c r="P13" s="120">
        <v>1</v>
      </c>
      <c r="Q13" s="120">
        <v>978</v>
      </c>
      <c r="R13" s="120">
        <v>45462</v>
      </c>
      <c r="S13" s="120" t="s">
        <v>2255</v>
      </c>
      <c r="T13" s="120" t="s">
        <v>2171</v>
      </c>
      <c r="U13" s="120">
        <v>45460</v>
      </c>
      <c r="V13" s="102" t="s">
        <v>2258</v>
      </c>
    </row>
    <row r="14" spans="2:22" x14ac:dyDescent="0.25">
      <c r="B14" s="145" t="s">
        <v>2050</v>
      </c>
      <c r="C14" s="102">
        <v>12</v>
      </c>
      <c r="D14" s="102" t="s">
        <v>2259</v>
      </c>
      <c r="E14" s="120">
        <v>45460</v>
      </c>
      <c r="F14" s="102">
        <v>1</v>
      </c>
      <c r="G14" s="121">
        <v>0.93</v>
      </c>
      <c r="H14" s="102" t="s">
        <v>2245</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x14ac:dyDescent="0.25">
      <c r="B15" s="145" t="s">
        <v>2052</v>
      </c>
      <c r="C15" s="102">
        <v>13</v>
      </c>
      <c r="D15" s="102" t="s">
        <v>2260</v>
      </c>
      <c r="E15" s="120">
        <v>45460</v>
      </c>
      <c r="F15" s="102">
        <v>1</v>
      </c>
      <c r="G15" s="121">
        <v>1</v>
      </c>
      <c r="H15" s="102" t="s">
        <v>2245</v>
      </c>
      <c r="I15" s="102" t="s">
        <v>2081</v>
      </c>
      <c r="J15" s="102" t="s">
        <v>2081</v>
      </c>
      <c r="K15" s="102" t="s">
        <v>2081</v>
      </c>
      <c r="L15" s="120" t="s">
        <v>2081</v>
      </c>
      <c r="M15" s="102">
        <v>0</v>
      </c>
      <c r="N15" s="120" t="s">
        <v>2081</v>
      </c>
      <c r="O15" s="102" t="s">
        <v>2081</v>
      </c>
      <c r="P15" s="120" t="s">
        <v>2081</v>
      </c>
      <c r="Q15" s="120" t="s">
        <v>2081</v>
      </c>
      <c r="R15" s="102">
        <v>0</v>
      </c>
      <c r="S15" s="102" t="s">
        <v>2081</v>
      </c>
      <c r="T15" s="120" t="s">
        <v>2081</v>
      </c>
      <c r="U15" s="120" t="s">
        <v>2081</v>
      </c>
      <c r="V15" s="102" t="s">
        <v>2081</v>
      </c>
    </row>
    <row r="16" spans="2:22" x14ac:dyDescent="0.25">
      <c r="B16" s="145" t="s">
        <v>2054</v>
      </c>
      <c r="C16" s="102">
        <v>14</v>
      </c>
      <c r="D16" s="102" t="s">
        <v>2261</v>
      </c>
      <c r="E16" s="120">
        <v>45460</v>
      </c>
      <c r="F16" s="102">
        <v>1</v>
      </c>
      <c r="G16" s="121">
        <v>1</v>
      </c>
      <c r="H16" s="102" t="s">
        <v>2245</v>
      </c>
      <c r="I16" s="102">
        <v>0</v>
      </c>
      <c r="J16" s="102">
        <v>0</v>
      </c>
      <c r="K16" s="102" t="s">
        <v>2081</v>
      </c>
      <c r="L16" s="102" t="s">
        <v>2081</v>
      </c>
      <c r="M16" s="102" t="s">
        <v>2081</v>
      </c>
      <c r="N16" s="102" t="s">
        <v>2081</v>
      </c>
      <c r="O16" s="102">
        <v>0</v>
      </c>
      <c r="P16" s="102" t="s">
        <v>2081</v>
      </c>
      <c r="Q16" s="102">
        <v>0</v>
      </c>
      <c r="R16" s="102" t="s">
        <v>2081</v>
      </c>
      <c r="S16" s="102" t="s">
        <v>2081</v>
      </c>
      <c r="T16" s="102" t="s">
        <v>2081</v>
      </c>
      <c r="U16" s="102" t="s">
        <v>2081</v>
      </c>
      <c r="V16" s="102" t="s">
        <v>2081</v>
      </c>
    </row>
    <row r="17" spans="2:24" x14ac:dyDescent="0.25">
      <c r="B17" s="178" t="s">
        <v>2056</v>
      </c>
      <c r="C17" s="102">
        <v>15</v>
      </c>
      <c r="D17" s="102" t="s">
        <v>2262</v>
      </c>
      <c r="E17" s="120">
        <v>45460</v>
      </c>
      <c r="F17" s="102">
        <v>1</v>
      </c>
      <c r="G17" s="121">
        <v>1</v>
      </c>
      <c r="H17" s="102" t="s">
        <v>2245</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row>
    <row r="18" spans="2:24" x14ac:dyDescent="0.25">
      <c r="B18" s="178" t="s">
        <v>2058</v>
      </c>
      <c r="C18" s="102">
        <v>16</v>
      </c>
      <c r="D18" s="102" t="s">
        <v>2262</v>
      </c>
      <c r="E18" s="120">
        <v>45460</v>
      </c>
      <c r="F18" s="102">
        <v>1</v>
      </c>
      <c r="G18" s="121">
        <v>1</v>
      </c>
      <c r="H18" s="102" t="s">
        <v>2245</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row>
    <row r="19" spans="2:24" x14ac:dyDescent="0.25">
      <c r="B19" s="145" t="s">
        <v>2064</v>
      </c>
      <c r="C19" s="102">
        <v>19</v>
      </c>
      <c r="D19" s="102" t="s">
        <v>2263</v>
      </c>
      <c r="E19" s="120">
        <v>45460</v>
      </c>
      <c r="F19" s="102">
        <v>1</v>
      </c>
      <c r="G19" s="220" cm="1">
        <f t="array" ref="G19">SUMPRODUCT(--(ISNUMBER((SEARCH(I25:V25,I19:V19)))))/COUNTA(I19:V19)</f>
        <v>0.7857142857142857</v>
      </c>
      <c r="H19" s="102" t="s">
        <v>2245</v>
      </c>
      <c r="I19" s="102" t="s">
        <v>2131</v>
      </c>
      <c r="J19" s="102" t="s">
        <v>2131</v>
      </c>
      <c r="K19" s="102" t="s">
        <v>2132</v>
      </c>
      <c r="L19" s="102" t="s">
        <v>2132</v>
      </c>
      <c r="M19" s="102" t="s">
        <v>2131</v>
      </c>
      <c r="N19" s="102" t="s">
        <v>2133</v>
      </c>
      <c r="O19" s="102" t="s">
        <v>2131</v>
      </c>
      <c r="P19" s="102" t="s">
        <v>2131</v>
      </c>
      <c r="Q19" s="102" t="s">
        <v>2131</v>
      </c>
      <c r="R19" s="102" t="s">
        <v>2131</v>
      </c>
      <c r="S19" s="102" t="s">
        <v>2131</v>
      </c>
      <c r="T19" s="102" t="s">
        <v>2131</v>
      </c>
      <c r="U19" s="102" t="s">
        <v>2131</v>
      </c>
      <c r="V19" s="102" t="s">
        <v>2134</v>
      </c>
    </row>
    <row r="20" spans="2:24" x14ac:dyDescent="0.25">
      <c r="B20" s="145" t="s">
        <v>2067</v>
      </c>
      <c r="C20" s="102">
        <v>20</v>
      </c>
      <c r="D20" s="102" t="s">
        <v>2262</v>
      </c>
      <c r="E20" s="120">
        <v>45460</v>
      </c>
      <c r="F20" s="102">
        <v>1</v>
      </c>
      <c r="G20" s="121" cm="1">
        <f t="array" ref="G20">SUM(IF(I2:V2 = I24:V24, 1, 0))/ COUNTA(I2:V2)</f>
        <v>0.5</v>
      </c>
      <c r="H20" s="102" t="s">
        <v>2245</v>
      </c>
      <c r="I20" s="102" t="s">
        <v>2081</v>
      </c>
      <c r="J20" s="102" t="s">
        <v>2081</v>
      </c>
      <c r="K20" s="102" t="s">
        <v>2081</v>
      </c>
      <c r="L20" s="102" t="s">
        <v>2081</v>
      </c>
      <c r="M20" s="102" t="s">
        <v>2081</v>
      </c>
      <c r="N20" s="102" t="s">
        <v>2081</v>
      </c>
      <c r="O20" s="102" t="s">
        <v>2081</v>
      </c>
      <c r="P20" s="102" t="s">
        <v>2081</v>
      </c>
      <c r="Q20" s="102" t="s">
        <v>2081</v>
      </c>
      <c r="R20" s="102" t="s">
        <v>2081</v>
      </c>
      <c r="S20" s="102" t="s">
        <v>2081</v>
      </c>
      <c r="T20" s="102" t="s">
        <v>2081</v>
      </c>
      <c r="U20" s="102" t="s">
        <v>2081</v>
      </c>
      <c r="V20" s="102" t="s">
        <v>2081</v>
      </c>
    </row>
    <row r="21" spans="2:24" x14ac:dyDescent="0.25">
      <c r="B21" s="169" t="s">
        <v>2070</v>
      </c>
      <c r="C21" s="102">
        <v>21</v>
      </c>
      <c r="D21" s="102" t="s">
        <v>2263</v>
      </c>
      <c r="E21" s="120">
        <v>45460</v>
      </c>
      <c r="F21" s="102">
        <v>1</v>
      </c>
      <c r="G21" s="220" cm="1">
        <f t="array" ref="G21">SUM(IF(IF(G3:G20="null",1,G3:G20)=1,1,0))/COUNT(IF(G3:G20="null",1,1))</f>
        <v>0.77777777777777779</v>
      </c>
      <c r="H21" s="102"/>
      <c r="I21" s="102" t="s">
        <v>2081</v>
      </c>
      <c r="J21" s="102" t="s">
        <v>2081</v>
      </c>
      <c r="K21" s="102" t="s">
        <v>2081</v>
      </c>
      <c r="L21" s="102" t="s">
        <v>2081</v>
      </c>
      <c r="M21" s="102">
        <v>0</v>
      </c>
      <c r="N21" s="102" t="s">
        <v>2081</v>
      </c>
      <c r="O21" s="102" t="s">
        <v>2081</v>
      </c>
      <c r="P21" s="102" t="s">
        <v>2081</v>
      </c>
      <c r="Q21" s="102" t="s">
        <v>2081</v>
      </c>
      <c r="R21" s="102">
        <v>0</v>
      </c>
      <c r="S21" s="102" t="s">
        <v>2081</v>
      </c>
      <c r="T21" s="102" t="s">
        <v>2081</v>
      </c>
      <c r="U21" s="102" t="s">
        <v>2081</v>
      </c>
      <c r="V21" s="102" t="s">
        <v>2081</v>
      </c>
    </row>
    <row r="23" spans="2:24" x14ac:dyDescent="0.25">
      <c r="B23" s="110" t="s">
        <v>2135</v>
      </c>
    </row>
    <row r="24" spans="2:24" x14ac:dyDescent="0.25">
      <c r="B24" s="111" t="s">
        <v>2136</v>
      </c>
      <c r="C24" s="112" t="s">
        <v>2074</v>
      </c>
      <c r="D24" s="112" t="s">
        <v>2075</v>
      </c>
      <c r="E24" s="112" t="s">
        <v>2076</v>
      </c>
      <c r="F24" s="112" t="s">
        <v>2077</v>
      </c>
      <c r="G24" s="112" t="s">
        <v>2078</v>
      </c>
      <c r="H24" s="112" t="s">
        <v>2079</v>
      </c>
      <c r="I24" s="113" t="str" cm="1">
        <f t="array" ref="I24:X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transfer_reference</v>
      </c>
      <c r="T24" s="182" t="str">
        <v>description</v>
      </c>
      <c r="U24" s="113" t="str">
        <v>comment</v>
      </c>
      <c r="V24" s="114" t="str">
        <v>source_code</v>
      </c>
      <c r="W24" t="str">
        <v>data_date_part</v>
      </c>
      <c r="X24" t="str">
        <v>data_timestamp_part</v>
      </c>
    </row>
    <row r="25" spans="2:24" x14ac:dyDescent="0.25">
      <c r="B25" s="104" t="s">
        <v>2137</v>
      </c>
      <c r="C25" s="117">
        <v>21</v>
      </c>
      <c r="D25" s="106" t="s">
        <v>2138</v>
      </c>
      <c r="E25" s="105" t="s">
        <v>2139</v>
      </c>
      <c r="F25" s="105" t="s">
        <v>1178</v>
      </c>
      <c r="G25" s="105" t="s">
        <v>1178</v>
      </c>
      <c r="H25" s="105" t="s">
        <v>1178</v>
      </c>
      <c r="I25" s="105" t="str" cm="1">
        <f t="array" ref="I25:X26">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s="116" t="str">
        <v>STRING</v>
      </c>
      <c r="W25" t="str">
        <v>STRING</v>
      </c>
      <c r="X25" t="str">
        <v>TIMESTAMP</v>
      </c>
    </row>
    <row r="26" spans="2:24" x14ac:dyDescent="0.25">
      <c r="B26" s="104" t="s">
        <v>2140</v>
      </c>
      <c r="C26" s="117">
        <v>7</v>
      </c>
      <c r="D26" s="106" t="s">
        <v>2138</v>
      </c>
      <c r="E26" s="105" t="s">
        <v>2139</v>
      </c>
      <c r="F26" s="105" t="s">
        <v>1178</v>
      </c>
      <c r="G26" s="105" t="s">
        <v>1178</v>
      </c>
      <c r="H26" s="105" t="s">
        <v>1178</v>
      </c>
      <c r="I26" s="117">
        <v>4</v>
      </c>
      <c r="J26" s="117">
        <v>30</v>
      </c>
      <c r="K26" s="117">
        <v>9999999</v>
      </c>
      <c r="L26" s="117">
        <v>9999999</v>
      </c>
      <c r="M26" s="117">
        <v>4</v>
      </c>
      <c r="N26" s="117">
        <v>10</v>
      </c>
      <c r="O26" s="117">
        <v>23</v>
      </c>
      <c r="P26" s="117">
        <v>4</v>
      </c>
      <c r="Q26" s="117">
        <v>4</v>
      </c>
      <c r="R26" s="117">
        <v>10</v>
      </c>
      <c r="S26" s="117">
        <v>9999999</v>
      </c>
      <c r="T26" s="117">
        <v>9999999</v>
      </c>
      <c r="U26" s="117">
        <v>9999999</v>
      </c>
      <c r="V26" s="118">
        <v>2</v>
      </c>
      <c r="W26">
        <v>10</v>
      </c>
      <c r="X26">
        <v>23</v>
      </c>
    </row>
    <row r="29" spans="2:24" x14ac:dyDescent="0.25">
      <c r="B29" s="127" t="s">
        <v>2141</v>
      </c>
    </row>
    <row r="30" spans="2:24" x14ac:dyDescent="0.25">
      <c r="B30" s="136" t="s">
        <v>2142</v>
      </c>
      <c r="C30" s="136" t="s">
        <v>2143</v>
      </c>
      <c r="D30" s="137" t="s">
        <v>2144</v>
      </c>
      <c r="E30" s="136" t="s">
        <v>2145</v>
      </c>
      <c r="F30" s="136" t="s">
        <v>2146</v>
      </c>
    </row>
    <row r="31" spans="2:24" ht="60" x14ac:dyDescent="0.25">
      <c r="B31" s="180" t="s">
        <v>2264</v>
      </c>
      <c r="C31" s="91" t="s">
        <v>737</v>
      </c>
      <c r="D31" s="87" t="s">
        <v>2148</v>
      </c>
      <c r="E31" s="181" t="s">
        <v>2265</v>
      </c>
      <c r="F31" s="82" t="s">
        <v>2150</v>
      </c>
      <c r="G31" s="144"/>
    </row>
    <row r="32" spans="2:24" ht="60" x14ac:dyDescent="0.25">
      <c r="B32" s="80" t="s">
        <v>2155</v>
      </c>
      <c r="C32" s="91" t="s">
        <v>737</v>
      </c>
      <c r="D32" s="87" t="s">
        <v>2148</v>
      </c>
      <c r="E32" s="181" t="s">
        <v>2265</v>
      </c>
      <c r="F32" s="82" t="s">
        <v>2150</v>
      </c>
    </row>
    <row r="33" spans="4:26" x14ac:dyDescent="0.25">
      <c r="D33" s="143"/>
      <c r="F33" s="144"/>
    </row>
    <row r="34" spans="4:26" x14ac:dyDescent="0.25">
      <c r="D34" s="143"/>
    </row>
    <row r="35" spans="4:26" x14ac:dyDescent="0.25">
      <c r="D35" s="143"/>
    </row>
    <row r="36" spans="4:26" x14ac:dyDescent="0.25">
      <c r="D36" s="143"/>
    </row>
    <row r="37" spans="4:26" x14ac:dyDescent="0.25">
      <c r="D37" s="143"/>
    </row>
    <row r="38" spans="4:26" x14ac:dyDescent="0.25">
      <c r="D38" s="143"/>
      <c r="O38" s="143"/>
    </row>
    <row r="39" spans="4:26" x14ac:dyDescent="0.25">
      <c r="D39" s="143"/>
      <c r="O39" s="143"/>
    </row>
    <row r="40" spans="4:26" x14ac:dyDescent="0.25">
      <c r="D40" s="143"/>
    </row>
    <row r="41" spans="4:26" x14ac:dyDescent="0.25">
      <c r="D41" s="143"/>
      <c r="F41" s="144"/>
      <c r="O41" s="24"/>
      <c r="Z41" s="143"/>
    </row>
    <row r="42" spans="4:26" x14ac:dyDescent="0.25">
      <c r="D42" s="143"/>
      <c r="F42" s="144"/>
      <c r="Z42" s="143"/>
    </row>
    <row r="43" spans="4:26" x14ac:dyDescent="0.25">
      <c r="D43" s="143"/>
      <c r="F43" s="144"/>
      <c r="Z43" s="143"/>
    </row>
    <row r="44" spans="4:26" x14ac:dyDescent="0.25">
      <c r="D44" s="143"/>
      <c r="F44" s="144"/>
      <c r="Z44" s="143"/>
    </row>
    <row r="45" spans="4:26" x14ac:dyDescent="0.25">
      <c r="D45" s="143"/>
      <c r="F45" s="144"/>
    </row>
    <row r="46" spans="4:26" x14ac:dyDescent="0.25">
      <c r="D46" s="143"/>
      <c r="F46" s="144"/>
    </row>
    <row r="47" spans="4:26" x14ac:dyDescent="0.25">
      <c r="D47" s="143"/>
      <c r="F47" s="144"/>
    </row>
    <row r="48" spans="4:26" x14ac:dyDescent="0.25">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I37"/>
  <sheetViews>
    <sheetView showGridLines="0" workbookViewId="0">
      <selection activeCell="M10" sqref="M10"/>
    </sheetView>
  </sheetViews>
  <sheetFormatPr defaultRowHeight="15" x14ac:dyDescent="0.2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x14ac:dyDescent="0.25"/>
    <row r="2" spans="2:35"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01" t="s">
        <v>767</v>
      </c>
      <c r="O2" s="101" t="s">
        <v>913</v>
      </c>
      <c r="P2" s="101" t="s">
        <v>923</v>
      </c>
      <c r="Q2" s="101" t="s">
        <v>933</v>
      </c>
      <c r="R2" s="101" t="s">
        <v>941</v>
      </c>
      <c r="S2" s="101" t="s">
        <v>948</v>
      </c>
      <c r="T2" s="101" t="s">
        <v>958</v>
      </c>
      <c r="U2" s="101" t="s">
        <v>965</v>
      </c>
      <c r="V2" s="101" t="s">
        <v>778</v>
      </c>
      <c r="W2" s="101" t="s">
        <v>791</v>
      </c>
      <c r="X2" s="101" t="s">
        <v>749</v>
      </c>
      <c r="Y2" s="101" t="s">
        <v>983</v>
      </c>
      <c r="Z2" s="101" t="s">
        <v>758</v>
      </c>
      <c r="AA2" s="101" t="s">
        <v>997</v>
      </c>
      <c r="AB2" s="101" t="s">
        <v>1008</v>
      </c>
      <c r="AC2" s="101" t="s">
        <v>1018</v>
      </c>
      <c r="AD2" s="101" t="s">
        <v>1026</v>
      </c>
      <c r="AE2" s="101" t="s">
        <v>1032</v>
      </c>
      <c r="AF2" s="101" t="s">
        <v>1041</v>
      </c>
      <c r="AG2" s="101" t="s">
        <v>798</v>
      </c>
      <c r="AH2" s="101" t="s">
        <v>806</v>
      </c>
      <c r="AI2" s="101" t="s">
        <v>813</v>
      </c>
    </row>
    <row r="3" spans="2:35" x14ac:dyDescent="0.25">
      <c r="B3" s="145" t="s">
        <v>2027</v>
      </c>
      <c r="C3" s="102">
        <v>1</v>
      </c>
      <c r="D3" s="102" t="s">
        <v>2266</v>
      </c>
      <c r="E3" s="120">
        <v>45490</v>
      </c>
      <c r="F3" s="102">
        <v>2</v>
      </c>
      <c r="G3" s="149">
        <v>1</v>
      </c>
      <c r="H3" s="206">
        <v>1099875</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c r="W3" s="102" t="s">
        <v>2081</v>
      </c>
      <c r="X3" s="102" t="s">
        <v>2081</v>
      </c>
      <c r="Y3" s="102" t="s">
        <v>2081</v>
      </c>
      <c r="Z3" s="102" t="s">
        <v>2081</v>
      </c>
      <c r="AA3" s="102" t="s">
        <v>2081</v>
      </c>
      <c r="AB3" s="102" t="s">
        <v>2081</v>
      </c>
      <c r="AC3" s="102" t="s">
        <v>2081</v>
      </c>
      <c r="AD3" s="102" t="s">
        <v>2081</v>
      </c>
      <c r="AE3" s="102" t="s">
        <v>2081</v>
      </c>
      <c r="AF3" s="102" t="s">
        <v>2081</v>
      </c>
      <c r="AG3" s="102" t="s">
        <v>2081</v>
      </c>
      <c r="AH3" s="102" t="s">
        <v>2081</v>
      </c>
      <c r="AI3" s="102" t="s">
        <v>2081</v>
      </c>
    </row>
    <row r="4" spans="2:35" x14ac:dyDescent="0.25">
      <c r="B4" s="145" t="s">
        <v>2029</v>
      </c>
      <c r="C4" s="102">
        <v>2</v>
      </c>
      <c r="D4" s="102" t="s">
        <v>2267</v>
      </c>
      <c r="E4" s="120">
        <v>45490</v>
      </c>
      <c r="F4" s="102">
        <v>2</v>
      </c>
      <c r="G4" s="149">
        <v>1</v>
      </c>
      <c r="H4" s="206">
        <v>0</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c r="W4" s="102" t="s">
        <v>2081</v>
      </c>
      <c r="X4" s="102" t="s">
        <v>2081</v>
      </c>
      <c r="Y4" s="102" t="s">
        <v>2081</v>
      </c>
      <c r="Z4" s="102" t="s">
        <v>2081</v>
      </c>
      <c r="AA4" s="102" t="s">
        <v>2081</v>
      </c>
      <c r="AB4" s="102" t="s">
        <v>2081</v>
      </c>
      <c r="AC4" s="102" t="s">
        <v>2081</v>
      </c>
      <c r="AD4" s="102" t="s">
        <v>2081</v>
      </c>
      <c r="AE4" s="102" t="s">
        <v>2081</v>
      </c>
      <c r="AF4" s="102" t="s">
        <v>2081</v>
      </c>
      <c r="AG4" s="102" t="s">
        <v>2081</v>
      </c>
      <c r="AH4" s="102" t="s">
        <v>2081</v>
      </c>
      <c r="AI4" s="102" t="s">
        <v>2081</v>
      </c>
    </row>
    <row r="5" spans="2:35" x14ac:dyDescent="0.25">
      <c r="B5" s="145" t="s">
        <v>2031</v>
      </c>
      <c r="C5" s="102">
        <v>3</v>
      </c>
      <c r="D5" s="102" t="s">
        <v>2268</v>
      </c>
      <c r="E5" s="120">
        <v>45490</v>
      </c>
      <c r="F5" s="102">
        <v>2</v>
      </c>
      <c r="G5" s="149">
        <v>1</v>
      </c>
      <c r="H5" s="206">
        <v>0</v>
      </c>
      <c r="I5" s="102">
        <v>0</v>
      </c>
      <c r="J5" s="102">
        <v>0</v>
      </c>
      <c r="K5" s="102">
        <v>0</v>
      </c>
      <c r="L5" s="102">
        <v>0</v>
      </c>
      <c r="M5" s="102" t="s">
        <v>2081</v>
      </c>
      <c r="N5" s="102" t="s">
        <v>2081</v>
      </c>
      <c r="O5" s="102" t="s">
        <v>2081</v>
      </c>
      <c r="P5" s="102" t="s">
        <v>2081</v>
      </c>
      <c r="Q5" s="102" t="s">
        <v>2081</v>
      </c>
      <c r="R5" s="102" t="s">
        <v>2081</v>
      </c>
      <c r="S5" s="102" t="s">
        <v>2081</v>
      </c>
      <c r="T5" s="102" t="s">
        <v>2081</v>
      </c>
      <c r="U5" s="102" t="s">
        <v>2081</v>
      </c>
      <c r="V5" s="102" t="s">
        <v>2081</v>
      </c>
      <c r="W5" s="102" t="s">
        <v>2081</v>
      </c>
      <c r="X5" s="102" t="s">
        <v>2081</v>
      </c>
      <c r="Y5" s="102" t="s">
        <v>2081</v>
      </c>
      <c r="Z5" s="102" t="s">
        <v>2081</v>
      </c>
      <c r="AA5" s="102" t="s">
        <v>2081</v>
      </c>
      <c r="AB5" s="102" t="s">
        <v>2081</v>
      </c>
      <c r="AC5" s="102" t="s">
        <v>2081</v>
      </c>
      <c r="AD5" s="102" t="s">
        <v>2081</v>
      </c>
      <c r="AE5" s="102" t="s">
        <v>2081</v>
      </c>
      <c r="AF5" s="102" t="s">
        <v>2081</v>
      </c>
      <c r="AG5" s="102" t="s">
        <v>2081</v>
      </c>
      <c r="AH5" s="102">
        <v>0</v>
      </c>
      <c r="AI5" s="102" t="s">
        <v>2081</v>
      </c>
    </row>
    <row r="6" spans="2:35" x14ac:dyDescent="0.25">
      <c r="B6" s="92" t="s">
        <v>2033</v>
      </c>
      <c r="C6" s="102">
        <v>4</v>
      </c>
      <c r="D6" s="102" t="s">
        <v>2086</v>
      </c>
      <c r="E6" s="120" t="s">
        <v>2081</v>
      </c>
      <c r="F6" s="102">
        <v>2</v>
      </c>
      <c r="G6" s="102" t="s">
        <v>2081</v>
      </c>
      <c r="H6" s="102"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c r="W6" s="102" t="s">
        <v>2081</v>
      </c>
      <c r="X6" s="102" t="s">
        <v>2081</v>
      </c>
      <c r="Y6" s="102" t="s">
        <v>2081</v>
      </c>
      <c r="Z6" s="102" t="s">
        <v>2081</v>
      </c>
      <c r="AA6" s="102" t="s">
        <v>2081</v>
      </c>
      <c r="AB6" s="102" t="s">
        <v>2081</v>
      </c>
      <c r="AC6" s="102" t="s">
        <v>2081</v>
      </c>
      <c r="AD6" s="102" t="s">
        <v>2081</v>
      </c>
      <c r="AE6" s="102" t="s">
        <v>2081</v>
      </c>
      <c r="AF6" s="102" t="s">
        <v>2081</v>
      </c>
      <c r="AG6" s="102" t="s">
        <v>2081</v>
      </c>
      <c r="AH6" s="102" t="s">
        <v>2081</v>
      </c>
      <c r="AI6" s="102" t="s">
        <v>2081</v>
      </c>
    </row>
    <row r="7" spans="2:35" x14ac:dyDescent="0.25">
      <c r="B7" s="92" t="s">
        <v>2035</v>
      </c>
      <c r="C7" s="102">
        <v>5</v>
      </c>
      <c r="D7" s="102" t="s">
        <v>2086</v>
      </c>
      <c r="E7" s="120" t="s">
        <v>2081</v>
      </c>
      <c r="F7" s="102">
        <v>2</v>
      </c>
      <c r="G7" s="102" t="s">
        <v>2081</v>
      </c>
      <c r="H7" s="102"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c r="W7" s="102" t="s">
        <v>2081</v>
      </c>
      <c r="X7" s="102" t="s">
        <v>2081</v>
      </c>
      <c r="Y7" s="102" t="s">
        <v>2081</v>
      </c>
      <c r="Z7" s="102" t="s">
        <v>2081</v>
      </c>
      <c r="AA7" s="102" t="s">
        <v>2081</v>
      </c>
      <c r="AB7" s="102" t="s">
        <v>2081</v>
      </c>
      <c r="AC7" s="102" t="s">
        <v>2081</v>
      </c>
      <c r="AD7" s="102" t="s">
        <v>2081</v>
      </c>
      <c r="AE7" s="102" t="s">
        <v>2081</v>
      </c>
      <c r="AF7" s="102" t="s">
        <v>2081</v>
      </c>
      <c r="AG7" s="102" t="s">
        <v>2081</v>
      </c>
      <c r="AH7" s="102" t="s">
        <v>2081</v>
      </c>
      <c r="AI7" s="102" t="s">
        <v>2081</v>
      </c>
    </row>
    <row r="8" spans="2:35" x14ac:dyDescent="0.25">
      <c r="B8" s="176" t="s">
        <v>2036</v>
      </c>
      <c r="C8" s="102">
        <v>6</v>
      </c>
      <c r="D8" s="102" t="s">
        <v>2269</v>
      </c>
      <c r="E8" s="120">
        <v>45490</v>
      </c>
      <c r="F8" s="102">
        <v>2</v>
      </c>
      <c r="G8" s="149" cm="1">
        <f t="array" ref="G8">SUMPRODUCT(--(I8:AH8&gt;0))/COUNTA(I8:AH8)</f>
        <v>1</v>
      </c>
      <c r="H8" s="206">
        <v>0</v>
      </c>
      <c r="I8" s="102">
        <v>2</v>
      </c>
      <c r="J8" s="102">
        <v>15</v>
      </c>
      <c r="K8" s="102">
        <v>2</v>
      </c>
      <c r="L8" s="102">
        <v>9</v>
      </c>
      <c r="M8" s="102" t="s">
        <v>2088</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x14ac:dyDescent="0.25">
      <c r="B9" s="145" t="s">
        <v>2039</v>
      </c>
      <c r="C9" s="102">
        <v>7</v>
      </c>
      <c r="D9" s="102" t="s">
        <v>2270</v>
      </c>
      <c r="E9" s="120">
        <v>45490</v>
      </c>
      <c r="F9" s="102">
        <v>2</v>
      </c>
      <c r="G9" s="149" cm="1">
        <f t="array" ref="G9">SUMPRODUCT(--(I9:AH9&lt;=I26:AH26))/COUNTA(I9:AH9)</f>
        <v>1</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x14ac:dyDescent="0.25">
      <c r="B10" s="145" t="s">
        <v>2042</v>
      </c>
      <c r="C10" s="102">
        <v>8</v>
      </c>
      <c r="D10" s="102" t="s">
        <v>2271</v>
      </c>
      <c r="E10" s="120">
        <v>45490</v>
      </c>
      <c r="F10" s="102">
        <v>2</v>
      </c>
      <c r="G10" s="102" t="s">
        <v>2081</v>
      </c>
      <c r="H10" s="206">
        <v>0</v>
      </c>
      <c r="I10" s="102">
        <v>31</v>
      </c>
      <c r="J10" s="102">
        <v>1100751730010</v>
      </c>
      <c r="K10" s="102">
        <v>24</v>
      </c>
      <c r="L10" s="102">
        <v>699490255</v>
      </c>
      <c r="M10" s="120" t="s">
        <v>2088</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2272</v>
      </c>
      <c r="AC10" s="102" t="e">
        <v>#N/A</v>
      </c>
      <c r="AD10" s="102" t="e">
        <v>#N/A</v>
      </c>
      <c r="AE10" s="102">
        <v>12</v>
      </c>
      <c r="AF10" s="102">
        <v>0</v>
      </c>
      <c r="AG10" s="120" t="s">
        <v>2273</v>
      </c>
      <c r="AH10" s="120">
        <v>45490</v>
      </c>
      <c r="AI10" s="102" t="s">
        <v>2274</v>
      </c>
    </row>
    <row r="11" spans="2:35" x14ac:dyDescent="0.25">
      <c r="B11" s="145" t="s">
        <v>2044</v>
      </c>
      <c r="C11" s="102">
        <v>9</v>
      </c>
      <c r="D11" s="102" t="s">
        <v>2275</v>
      </c>
      <c r="E11" s="120">
        <v>45490</v>
      </c>
      <c r="F11" s="102">
        <v>2</v>
      </c>
      <c r="G11" s="102" t="s">
        <v>2081</v>
      </c>
      <c r="H11" s="206">
        <v>0</v>
      </c>
      <c r="I11" s="102">
        <v>31</v>
      </c>
      <c r="J11" s="102">
        <v>1100751730010</v>
      </c>
      <c r="K11" s="102">
        <v>24</v>
      </c>
      <c r="L11" s="102">
        <v>699490255</v>
      </c>
      <c r="M11" s="120" t="s">
        <v>2088</v>
      </c>
      <c r="N11" s="206">
        <v>1</v>
      </c>
      <c r="O11" s="120">
        <v>4008110051813620</v>
      </c>
      <c r="P11" s="102" t="s">
        <v>2276</v>
      </c>
      <c r="Q11" s="102">
        <v>0</v>
      </c>
      <c r="R11" s="102">
        <v>0</v>
      </c>
      <c r="S11" s="102">
        <v>0</v>
      </c>
      <c r="T11" s="102"/>
      <c r="U11" s="102">
        <v>8</v>
      </c>
      <c r="V11" s="120">
        <v>978</v>
      </c>
      <c r="W11" s="102" t="s">
        <v>2277</v>
      </c>
      <c r="X11" s="102" t="s">
        <v>2277</v>
      </c>
      <c r="Y11" s="102" t="s">
        <v>2278</v>
      </c>
      <c r="Z11" s="102" t="s">
        <v>2278</v>
      </c>
      <c r="AA11" s="102">
        <v>0</v>
      </c>
      <c r="AB11" s="102" t="s">
        <v>2272</v>
      </c>
      <c r="AC11" s="102" t="e">
        <v>#N/A</v>
      </c>
      <c r="AD11" s="102" t="e">
        <v>#N/A</v>
      </c>
      <c r="AE11" s="102">
        <v>12</v>
      </c>
      <c r="AF11" s="102">
        <v>0</v>
      </c>
      <c r="AG11" s="120" t="s">
        <v>2273</v>
      </c>
      <c r="AH11" s="120">
        <v>45490</v>
      </c>
      <c r="AI11" s="102" t="s">
        <v>2279</v>
      </c>
    </row>
    <row r="12" spans="2:35" x14ac:dyDescent="0.25">
      <c r="B12" s="168" t="s">
        <v>2046</v>
      </c>
      <c r="C12" s="102">
        <v>10</v>
      </c>
      <c r="D12" s="102" t="s">
        <v>2280</v>
      </c>
      <c r="E12" s="120">
        <v>45490</v>
      </c>
      <c r="F12" s="102">
        <v>2</v>
      </c>
      <c r="G12" s="102" t="s">
        <v>2081</v>
      </c>
      <c r="H12" s="206">
        <v>0</v>
      </c>
      <c r="I12" s="102">
        <v>31</v>
      </c>
      <c r="J12" s="102">
        <v>5131650650010</v>
      </c>
      <c r="K12" s="102">
        <v>24</v>
      </c>
      <c r="L12" s="102">
        <v>700670832</v>
      </c>
      <c r="M12" s="120" t="s">
        <v>2088</v>
      </c>
      <c r="N12" s="206">
        <v>1</v>
      </c>
      <c r="O12" s="121">
        <v>5890770069588380</v>
      </c>
      <c r="P12" s="102">
        <v>320</v>
      </c>
      <c r="Q12" s="102">
        <v>1</v>
      </c>
      <c r="R12" s="102">
        <v>1</v>
      </c>
      <c r="S12" s="102">
        <v>1</v>
      </c>
      <c r="T12" s="149" t="s">
        <v>2281</v>
      </c>
      <c r="U12" s="102">
        <v>986</v>
      </c>
      <c r="V12" s="120">
        <v>978</v>
      </c>
      <c r="W12" s="120">
        <v>45491</v>
      </c>
      <c r="X12" s="149">
        <v>45491</v>
      </c>
      <c r="Y12" s="121">
        <v>15416610000000</v>
      </c>
      <c r="Z12" s="121">
        <v>108509000000</v>
      </c>
      <c r="AA12" s="102">
        <v>98</v>
      </c>
      <c r="AB12" s="102" t="s">
        <v>2282</v>
      </c>
      <c r="AC12" s="102">
        <v>999903</v>
      </c>
      <c r="AD12" s="102">
        <v>1527947</v>
      </c>
      <c r="AE12" s="102">
        <v>552429</v>
      </c>
      <c r="AF12" s="102">
        <v>9406</v>
      </c>
      <c r="AG12" s="120" t="s">
        <v>2273</v>
      </c>
      <c r="AH12" s="120">
        <v>45490</v>
      </c>
      <c r="AI12" s="102" t="s">
        <v>2274</v>
      </c>
    </row>
    <row r="13" spans="2:35" x14ac:dyDescent="0.25">
      <c r="B13" s="145" t="s">
        <v>2048</v>
      </c>
      <c r="C13" s="102">
        <v>11</v>
      </c>
      <c r="D13" s="102" t="s">
        <v>2283</v>
      </c>
      <c r="E13" s="120">
        <v>45490</v>
      </c>
      <c r="F13" s="102">
        <v>2</v>
      </c>
      <c r="G13" s="102" t="s">
        <v>2081</v>
      </c>
      <c r="H13" s="206">
        <v>0</v>
      </c>
      <c r="I13" s="102">
        <v>31</v>
      </c>
      <c r="J13" s="102">
        <v>5131650650010</v>
      </c>
      <c r="K13" s="102">
        <v>24</v>
      </c>
      <c r="L13" s="102">
        <v>700670832</v>
      </c>
      <c r="M13" s="120" t="s">
        <v>2088</v>
      </c>
      <c r="N13" s="206">
        <v>1</v>
      </c>
      <c r="O13" s="120">
        <v>5890770069588380</v>
      </c>
      <c r="P13" s="102" t="s">
        <v>2284</v>
      </c>
      <c r="Q13" s="102">
        <v>1</v>
      </c>
      <c r="R13" s="102">
        <v>1</v>
      </c>
      <c r="S13" s="102">
        <v>1</v>
      </c>
      <c r="T13" s="102" t="s">
        <v>2281</v>
      </c>
      <c r="U13" s="102">
        <v>986</v>
      </c>
      <c r="V13" s="120">
        <v>978</v>
      </c>
      <c r="W13" s="120">
        <v>45491</v>
      </c>
      <c r="X13" s="120">
        <v>45491</v>
      </c>
      <c r="Y13" s="102" t="s">
        <v>2285</v>
      </c>
      <c r="Z13" s="102" t="s">
        <v>2285</v>
      </c>
      <c r="AA13" s="102">
        <v>781</v>
      </c>
      <c r="AB13" s="102" t="s">
        <v>2282</v>
      </c>
      <c r="AC13" s="102">
        <v>999903</v>
      </c>
      <c r="AD13" s="102">
        <v>1527947</v>
      </c>
      <c r="AE13" s="102">
        <v>552429</v>
      </c>
      <c r="AF13" s="102">
        <v>9405</v>
      </c>
      <c r="AG13" s="120" t="s">
        <v>2273</v>
      </c>
      <c r="AH13" s="120">
        <v>45490</v>
      </c>
      <c r="AI13" s="102" t="s">
        <v>2286</v>
      </c>
    </row>
    <row r="14" spans="2:35" x14ac:dyDescent="0.25">
      <c r="B14" s="145" t="s">
        <v>2050</v>
      </c>
      <c r="C14" s="102">
        <v>12</v>
      </c>
      <c r="D14" s="102" t="s">
        <v>2287</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x14ac:dyDescent="0.25">
      <c r="B15" s="145" t="s">
        <v>2052</v>
      </c>
      <c r="C15" s="102">
        <v>13</v>
      </c>
      <c r="D15" s="102" t="s">
        <v>2288</v>
      </c>
      <c r="E15" s="120">
        <v>45490</v>
      </c>
      <c r="F15" s="102">
        <v>2</v>
      </c>
      <c r="G15" s="149">
        <v>1</v>
      </c>
      <c r="H15" s="206">
        <v>0</v>
      </c>
      <c r="I15" s="102" t="s">
        <v>2081</v>
      </c>
      <c r="J15" s="102" t="s">
        <v>2081</v>
      </c>
      <c r="K15" s="102" t="s">
        <v>2081</v>
      </c>
      <c r="L15" s="92" t="s">
        <v>2081</v>
      </c>
      <c r="M15" s="92" t="s">
        <v>2081</v>
      </c>
      <c r="N15" s="102" t="s">
        <v>2081</v>
      </c>
      <c r="O15" s="92" t="s">
        <v>2081</v>
      </c>
      <c r="P15" s="92" t="s">
        <v>2081</v>
      </c>
      <c r="Q15" s="92" t="s">
        <v>2081</v>
      </c>
      <c r="R15" s="102" t="s">
        <v>2081</v>
      </c>
      <c r="S15" s="102" t="s">
        <v>2081</v>
      </c>
      <c r="T15" s="102" t="s">
        <v>2081</v>
      </c>
      <c r="U15" s="102" t="s">
        <v>2081</v>
      </c>
      <c r="V15" s="102" t="s">
        <v>2081</v>
      </c>
      <c r="W15" s="102">
        <v>0</v>
      </c>
      <c r="X15" s="102">
        <v>0</v>
      </c>
      <c r="Y15" s="102" t="s">
        <v>2081</v>
      </c>
      <c r="Z15" s="102" t="s">
        <v>2081</v>
      </c>
      <c r="AA15" s="102" t="s">
        <v>2081</v>
      </c>
      <c r="AB15" s="102" t="s">
        <v>2081</v>
      </c>
      <c r="AC15" s="102" t="s">
        <v>2081</v>
      </c>
      <c r="AD15" s="102" t="s">
        <v>2081</v>
      </c>
      <c r="AE15" s="102" t="s">
        <v>2081</v>
      </c>
      <c r="AF15" s="102" t="s">
        <v>2081</v>
      </c>
      <c r="AG15" s="102" t="s">
        <v>2081</v>
      </c>
      <c r="AH15" s="102" t="s">
        <v>2081</v>
      </c>
      <c r="AI15" s="102" t="s">
        <v>2081</v>
      </c>
    </row>
    <row r="16" spans="2:35" x14ac:dyDescent="0.25">
      <c r="B16" s="145" t="s">
        <v>2054</v>
      </c>
      <c r="C16" s="102">
        <v>14</v>
      </c>
      <c r="D16" s="102" t="s">
        <v>2289</v>
      </c>
      <c r="E16" s="120">
        <v>45490</v>
      </c>
      <c r="F16" s="102">
        <v>2</v>
      </c>
      <c r="G16" s="149">
        <v>1</v>
      </c>
      <c r="H16" s="206">
        <v>0</v>
      </c>
      <c r="I16" s="102">
        <v>0</v>
      </c>
      <c r="J16" s="102">
        <v>0</v>
      </c>
      <c r="K16" s="102" t="s">
        <v>2081</v>
      </c>
      <c r="L16" s="102" t="s">
        <v>2081</v>
      </c>
      <c r="M16" s="92">
        <v>0</v>
      </c>
      <c r="N16" s="102" t="s">
        <v>2081</v>
      </c>
      <c r="O16" s="102" t="s">
        <v>2081</v>
      </c>
      <c r="P16" s="102" t="s">
        <v>2081</v>
      </c>
      <c r="Q16" s="92" t="s">
        <v>2081</v>
      </c>
      <c r="R16" s="102" t="s">
        <v>2081</v>
      </c>
      <c r="S16" s="102" t="s">
        <v>2081</v>
      </c>
      <c r="T16" s="102">
        <v>0</v>
      </c>
      <c r="U16" s="102">
        <v>0</v>
      </c>
      <c r="V16" s="102">
        <v>0</v>
      </c>
      <c r="W16" s="102" t="s">
        <v>2081</v>
      </c>
      <c r="X16" s="102" t="s">
        <v>2081</v>
      </c>
      <c r="Y16" s="102" t="s">
        <v>2081</v>
      </c>
      <c r="Z16" s="102" t="s">
        <v>2081</v>
      </c>
      <c r="AA16" s="102">
        <v>0</v>
      </c>
      <c r="AB16" s="102" t="s">
        <v>2081</v>
      </c>
      <c r="AC16" s="102">
        <v>0</v>
      </c>
      <c r="AD16" s="102">
        <v>0</v>
      </c>
      <c r="AE16" s="102">
        <v>0</v>
      </c>
      <c r="AF16" s="102">
        <v>0</v>
      </c>
      <c r="AG16" s="102">
        <v>0</v>
      </c>
      <c r="AH16" s="102" t="s">
        <v>2081</v>
      </c>
      <c r="AI16" s="102" t="s">
        <v>2081</v>
      </c>
    </row>
    <row r="17" spans="2:35" x14ac:dyDescent="0.25">
      <c r="B17" s="178" t="s">
        <v>2056</v>
      </c>
      <c r="C17" s="102">
        <v>15</v>
      </c>
      <c r="D17" s="102" t="s">
        <v>2290</v>
      </c>
      <c r="E17" s="120">
        <v>45490</v>
      </c>
      <c r="F17" s="102">
        <v>2</v>
      </c>
      <c r="G17" s="149">
        <v>1</v>
      </c>
      <c r="H17" s="206">
        <v>0</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c r="W17" s="102" t="s">
        <v>2081</v>
      </c>
      <c r="X17" s="102" t="s">
        <v>2081</v>
      </c>
      <c r="Y17" s="102" t="s">
        <v>2081</v>
      </c>
      <c r="Z17" s="102" t="s">
        <v>2081</v>
      </c>
      <c r="AA17" s="102" t="s">
        <v>2081</v>
      </c>
      <c r="AB17" s="102" t="s">
        <v>2081</v>
      </c>
      <c r="AC17" s="102" t="s">
        <v>2081</v>
      </c>
      <c r="AD17" s="102" t="s">
        <v>2081</v>
      </c>
      <c r="AE17" s="102" t="s">
        <v>2081</v>
      </c>
      <c r="AF17" s="102" t="s">
        <v>2081</v>
      </c>
      <c r="AG17" s="102" t="s">
        <v>2081</v>
      </c>
      <c r="AH17" s="102" t="s">
        <v>2081</v>
      </c>
      <c r="AI17" s="102" t="s">
        <v>2081</v>
      </c>
    </row>
    <row r="18" spans="2:35" x14ac:dyDescent="0.25">
      <c r="B18" s="178" t="s">
        <v>2058</v>
      </c>
      <c r="C18" s="102">
        <v>16</v>
      </c>
      <c r="D18" s="102" t="s">
        <v>2290</v>
      </c>
      <c r="E18" s="120">
        <v>45490</v>
      </c>
      <c r="F18" s="102">
        <v>2</v>
      </c>
      <c r="G18" s="149">
        <v>1</v>
      </c>
      <c r="H18" s="206">
        <v>0</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c r="W18" s="102" t="s">
        <v>2081</v>
      </c>
      <c r="X18" s="102" t="s">
        <v>2081</v>
      </c>
      <c r="Y18" s="102" t="s">
        <v>2081</v>
      </c>
      <c r="Z18" s="102" t="s">
        <v>2081</v>
      </c>
      <c r="AA18" s="102" t="s">
        <v>2081</v>
      </c>
      <c r="AB18" s="102" t="s">
        <v>2081</v>
      </c>
      <c r="AC18" s="102" t="s">
        <v>2081</v>
      </c>
      <c r="AD18" s="102" t="s">
        <v>2081</v>
      </c>
      <c r="AE18" s="102" t="s">
        <v>2081</v>
      </c>
      <c r="AF18" s="102" t="s">
        <v>2081</v>
      </c>
      <c r="AG18" s="102" t="s">
        <v>2081</v>
      </c>
      <c r="AH18" s="102" t="s">
        <v>2081</v>
      </c>
      <c r="AI18" s="102" t="s">
        <v>2081</v>
      </c>
    </row>
    <row r="19" spans="2:35" x14ac:dyDescent="0.25">
      <c r="B19" s="145" t="s">
        <v>2064</v>
      </c>
      <c r="C19" s="102">
        <v>19</v>
      </c>
      <c r="D19" s="102" t="s">
        <v>2291</v>
      </c>
      <c r="E19" s="120">
        <v>45490</v>
      </c>
      <c r="F19" s="102">
        <v>2</v>
      </c>
      <c r="G19" s="149" cm="1">
        <f t="array" ref="G19">SUMPRODUCT(--(ISNUMBER((SEARCH(I25:AI25,I19:AI19)))))/COUNTA(I19:AI19)</f>
        <v>1</v>
      </c>
      <c r="H19" s="206">
        <v>0</v>
      </c>
      <c r="I19" s="102" t="s">
        <v>2131</v>
      </c>
      <c r="J19" s="102" t="s">
        <v>2131</v>
      </c>
      <c r="K19" s="102" t="s">
        <v>2292</v>
      </c>
      <c r="L19" s="102" t="s">
        <v>2132</v>
      </c>
      <c r="M19" s="102" t="s">
        <v>2131</v>
      </c>
      <c r="N19" s="102" t="s">
        <v>2131</v>
      </c>
      <c r="O19" s="102" t="s">
        <v>2131</v>
      </c>
      <c r="P19" s="102" t="s">
        <v>2293</v>
      </c>
      <c r="Q19" s="102" t="s">
        <v>2131</v>
      </c>
      <c r="R19" s="102" t="s">
        <v>2131</v>
      </c>
      <c r="S19" s="102" t="s">
        <v>2131</v>
      </c>
      <c r="T19" s="102" t="s">
        <v>2131</v>
      </c>
      <c r="U19" s="102" t="s">
        <v>2131</v>
      </c>
      <c r="V19" s="102" t="s">
        <v>2131</v>
      </c>
      <c r="W19" s="102" t="s">
        <v>2131</v>
      </c>
      <c r="X19" s="102" t="s">
        <v>2131</v>
      </c>
      <c r="Y19" s="102" t="s">
        <v>2133</v>
      </c>
      <c r="Z19" s="102" t="s">
        <v>2133</v>
      </c>
      <c r="AA19" s="102" t="s">
        <v>2131</v>
      </c>
      <c r="AB19" s="102" t="s">
        <v>2131</v>
      </c>
      <c r="AC19" s="102" t="s">
        <v>2131</v>
      </c>
      <c r="AD19" s="102" t="s">
        <v>2131</v>
      </c>
      <c r="AE19" s="102" t="s">
        <v>2131</v>
      </c>
      <c r="AF19" s="102" t="s">
        <v>2131</v>
      </c>
      <c r="AG19" s="102" t="s">
        <v>2131</v>
      </c>
      <c r="AH19" s="102" t="s">
        <v>2131</v>
      </c>
      <c r="AI19" s="102" t="s">
        <v>2134</v>
      </c>
    </row>
    <row r="20" spans="2:35" x14ac:dyDescent="0.25">
      <c r="B20" s="145" t="s">
        <v>2067</v>
      </c>
      <c r="C20" s="102">
        <v>20</v>
      </c>
      <c r="D20" s="102" t="s">
        <v>2294</v>
      </c>
      <c r="E20" s="120">
        <v>45490</v>
      </c>
      <c r="F20" s="102">
        <v>1</v>
      </c>
      <c r="G20" s="149" cm="1">
        <f t="array" ref="G20">SUM(IF(I2:AH2 = I24:AH24, 1, 0))/ COUNTA(I2:AH2)</f>
        <v>1</v>
      </c>
      <c r="H20" s="206" t="s">
        <v>2081</v>
      </c>
      <c r="I20" s="206" t="s">
        <v>2081</v>
      </c>
      <c r="J20" s="206" t="s">
        <v>2081</v>
      </c>
      <c r="K20" s="206" t="s">
        <v>2081</v>
      </c>
      <c r="L20" s="206" t="s">
        <v>2081</v>
      </c>
      <c r="M20" s="206" t="s">
        <v>2081</v>
      </c>
      <c r="N20" s="206" t="s">
        <v>2081</v>
      </c>
      <c r="O20" s="206" t="s">
        <v>2081</v>
      </c>
      <c r="P20" s="206" t="s">
        <v>2081</v>
      </c>
      <c r="Q20" s="206" t="s">
        <v>2081</v>
      </c>
      <c r="R20" s="206" t="s">
        <v>2081</v>
      </c>
      <c r="S20" s="206" t="s">
        <v>2081</v>
      </c>
      <c r="T20" s="206" t="s">
        <v>2081</v>
      </c>
      <c r="U20" s="206" t="s">
        <v>2081</v>
      </c>
      <c r="V20" s="206" t="s">
        <v>2081</v>
      </c>
      <c r="W20" s="206" t="s">
        <v>2081</v>
      </c>
      <c r="X20" s="206" t="s">
        <v>2081</v>
      </c>
      <c r="Y20" s="206" t="s">
        <v>2081</v>
      </c>
      <c r="Z20" s="206" t="s">
        <v>2081</v>
      </c>
      <c r="AA20" s="206" t="s">
        <v>2081</v>
      </c>
      <c r="AB20" s="206" t="s">
        <v>2081</v>
      </c>
      <c r="AC20" s="206" t="s">
        <v>2081</v>
      </c>
      <c r="AD20" s="206" t="s">
        <v>2081</v>
      </c>
      <c r="AE20" s="206" t="s">
        <v>2081</v>
      </c>
      <c r="AF20" s="206" t="s">
        <v>2081</v>
      </c>
      <c r="AG20" s="206" t="s">
        <v>2081</v>
      </c>
      <c r="AH20" s="206" t="s">
        <v>2081</v>
      </c>
      <c r="AI20" s="206" t="s">
        <v>2081</v>
      </c>
    </row>
    <row r="21" spans="2:35" x14ac:dyDescent="0.25">
      <c r="B21" s="169" t="s">
        <v>2070</v>
      </c>
      <c r="C21" s="102">
        <v>21</v>
      </c>
      <c r="D21" s="102" t="s">
        <v>2294</v>
      </c>
      <c r="E21" s="120">
        <v>45490</v>
      </c>
      <c r="F21" s="102"/>
      <c r="G21" s="149" cm="1">
        <f t="array" ref="G21">SUM(IF(IF(G3:G20="null",1,G3:G20)=1,1,0))/COUNT(IF(G3:G20="null",1,1))</f>
        <v>0.94444444444444442</v>
      </c>
      <c r="H21" s="206" t="s">
        <v>2081</v>
      </c>
      <c r="I21" s="206" t="s">
        <v>2081</v>
      </c>
      <c r="J21" s="206" t="s">
        <v>2081</v>
      </c>
      <c r="K21" s="206" t="s">
        <v>2081</v>
      </c>
      <c r="L21" s="206" t="s">
        <v>2081</v>
      </c>
      <c r="M21" s="206" t="s">
        <v>2081</v>
      </c>
      <c r="N21" s="206" t="s">
        <v>2081</v>
      </c>
      <c r="O21" s="206" t="s">
        <v>2081</v>
      </c>
      <c r="P21" s="206" t="s">
        <v>2081</v>
      </c>
      <c r="Q21" s="206" t="s">
        <v>2081</v>
      </c>
      <c r="R21" s="206" t="s">
        <v>2081</v>
      </c>
      <c r="S21" s="206" t="s">
        <v>2081</v>
      </c>
      <c r="T21" s="206" t="s">
        <v>2081</v>
      </c>
      <c r="U21" s="206" t="s">
        <v>2081</v>
      </c>
      <c r="V21" s="206" t="s">
        <v>2081</v>
      </c>
      <c r="W21" s="206" t="s">
        <v>2081</v>
      </c>
      <c r="X21" s="206" t="s">
        <v>2081</v>
      </c>
      <c r="Y21" s="206" t="s">
        <v>2081</v>
      </c>
      <c r="Z21" s="206" t="s">
        <v>2081</v>
      </c>
      <c r="AA21" s="206" t="s">
        <v>2081</v>
      </c>
      <c r="AB21" s="206" t="s">
        <v>2081</v>
      </c>
      <c r="AC21" s="206" t="s">
        <v>2081</v>
      </c>
      <c r="AD21" s="206" t="s">
        <v>2081</v>
      </c>
      <c r="AE21" s="206" t="s">
        <v>2081</v>
      </c>
      <c r="AF21" s="206" t="s">
        <v>2081</v>
      </c>
      <c r="AG21" s="206" t="s">
        <v>2081</v>
      </c>
      <c r="AH21" s="206" t="s">
        <v>2081</v>
      </c>
      <c r="AI21" s="206" t="s">
        <v>2081</v>
      </c>
    </row>
    <row r="22" spans="2:35" x14ac:dyDescent="0.25">
      <c r="B22" s="102"/>
      <c r="C22" s="102"/>
      <c r="D22" s="102"/>
      <c r="E22" s="120"/>
      <c r="F22" s="102"/>
      <c r="G22" s="102"/>
      <c r="H22" s="102"/>
      <c r="I22" s="102"/>
      <c r="J22" s="102"/>
      <c r="K22" s="102"/>
      <c r="L22" s="102"/>
      <c r="M22" s="102"/>
      <c r="N22" s="102"/>
      <c r="O22" s="102"/>
      <c r="P22" s="102"/>
      <c r="Q22" s="102"/>
      <c r="R22" s="102"/>
      <c r="S22" s="102"/>
      <c r="T22" s="102"/>
    </row>
    <row r="23" spans="2:35" x14ac:dyDescent="0.25">
      <c r="B23" s="110" t="s">
        <v>2135</v>
      </c>
    </row>
    <row r="24" spans="2:35" x14ac:dyDescent="0.25">
      <c r="B24" s="111" t="s">
        <v>2136</v>
      </c>
      <c r="C24" s="112" t="s">
        <v>2074</v>
      </c>
      <c r="D24" s="112" t="s">
        <v>2075</v>
      </c>
      <c r="E24" s="112" t="s">
        <v>2076</v>
      </c>
      <c r="F24" s="112" t="s">
        <v>2077</v>
      </c>
      <c r="G24" s="112" t="s">
        <v>2078</v>
      </c>
      <c r="H24" s="112" t="s">
        <v>2079</v>
      </c>
      <c r="I24" s="113" t="str" cm="1">
        <f t="array" ref="I24:AI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financial_flow_indicator</v>
      </c>
      <c r="O24" s="113" t="str">
        <v>card_number</v>
      </c>
      <c r="P24" s="113" t="str">
        <v>beneficiary_order_number</v>
      </c>
      <c r="Q24" s="113" t="str">
        <v>recurring_transaction_indicator</v>
      </c>
      <c r="R24" s="113" t="str">
        <v>chargeback_indicator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terminal_description</v>
      </c>
      <c r="AC24" s="204" t="str">
        <v>atm_terminal_id</v>
      </c>
      <c r="AD24" s="204" t="str">
        <v>pos_terminal_id</v>
      </c>
      <c r="AE24" s="204" t="str">
        <v>merchant_id</v>
      </c>
      <c r="AF24" s="204" t="str">
        <v>merchant_type_code</v>
      </c>
      <c r="AG24" s="204" t="str">
        <v>source_code</v>
      </c>
      <c r="AH24" s="205" t="str">
        <v>data_date_part</v>
      </c>
      <c r="AI24" s="205" t="str">
        <v>data_timestamp_part</v>
      </c>
    </row>
    <row r="25" spans="2:35" x14ac:dyDescent="0.25">
      <c r="B25" s="104" t="s">
        <v>2137</v>
      </c>
      <c r="C25" s="117">
        <v>21</v>
      </c>
      <c r="D25" s="106" t="s">
        <v>2138</v>
      </c>
      <c r="E25" s="105" t="s">
        <v>2139</v>
      </c>
      <c r="F25" s="105" t="s">
        <v>1178</v>
      </c>
      <c r="G25" s="105" t="s">
        <v>1178</v>
      </c>
      <c r="H25" s="105" t="s">
        <v>1178</v>
      </c>
      <c r="I25" s="105" t="str" cm="1">
        <f t="array" ref="I25:AI26">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v>STRING</v>
      </c>
      <c r="K25" s="105" t="str">
        <v>BIG INT</v>
      </c>
      <c r="L25" s="105" t="str">
        <v>BIGINT</v>
      </c>
      <c r="M25" s="105" t="str">
        <v>STRING</v>
      </c>
      <c r="N25" s="105" t="str">
        <v>STRING</v>
      </c>
      <c r="O25" s="105" t="str">
        <v>STRING</v>
      </c>
      <c r="P25" s="105" t="str">
        <v>INT</v>
      </c>
      <c r="Q25" s="105" t="str">
        <v>STRING</v>
      </c>
      <c r="R25" s="105" t="str">
        <v>STRING</v>
      </c>
      <c r="S25" s="105" t="str">
        <v>STRING</v>
      </c>
      <c r="T25" s="105" t="str">
        <v>STRING</v>
      </c>
      <c r="U25" s="105" t="str">
        <v>STRING</v>
      </c>
      <c r="V25" s="105" t="str">
        <v>STRING</v>
      </c>
      <c r="W25" s="105" t="str">
        <v>STRING</v>
      </c>
      <c r="X25" s="105" t="str">
        <v>STRING</v>
      </c>
      <c r="Y25" s="105" t="str">
        <v>DECIMAL</v>
      </c>
      <c r="Z25" s="105" t="str">
        <v>DECIMAL</v>
      </c>
      <c r="AA25" s="105" t="str">
        <v>STRING</v>
      </c>
      <c r="AB25" s="105" t="str">
        <v>STRING</v>
      </c>
      <c r="AC25" s="105" t="str">
        <v>STRING</v>
      </c>
      <c r="AD25" s="105" t="str">
        <v>STRING</v>
      </c>
      <c r="AE25" s="105" t="str">
        <v>STRING</v>
      </c>
      <c r="AF25" s="105" t="str">
        <v>STRING</v>
      </c>
      <c r="AG25" s="105" t="str">
        <v>STRING</v>
      </c>
      <c r="AH25" s="116" t="str">
        <v>STRING</v>
      </c>
      <c r="AI25" s="116" t="str">
        <v>TIMESTAMP</v>
      </c>
    </row>
    <row r="26" spans="2:35" x14ac:dyDescent="0.25">
      <c r="B26" s="104" t="s">
        <v>2140</v>
      </c>
      <c r="C26" s="117">
        <v>7</v>
      </c>
      <c r="D26" s="106" t="s">
        <v>2138</v>
      </c>
      <c r="E26" s="105" t="s">
        <v>2139</v>
      </c>
      <c r="F26" s="105" t="s">
        <v>1178</v>
      </c>
      <c r="G26" s="105" t="s">
        <v>1178</v>
      </c>
      <c r="H26" s="105" t="s">
        <v>1178</v>
      </c>
      <c r="I26" s="117">
        <v>4</v>
      </c>
      <c r="J26" s="117">
        <v>15</v>
      </c>
      <c r="K26" s="117">
        <v>9999999</v>
      </c>
      <c r="L26" s="117">
        <v>9999999</v>
      </c>
      <c r="M26" s="117">
        <v>4</v>
      </c>
      <c r="N26" s="117">
        <v>4</v>
      </c>
      <c r="O26" s="117">
        <v>16</v>
      </c>
      <c r="P26" s="117">
        <v>9999999</v>
      </c>
      <c r="Q26" s="117">
        <v>4</v>
      </c>
      <c r="R26" s="117">
        <v>4</v>
      </c>
      <c r="S26" s="117">
        <v>4</v>
      </c>
      <c r="T26" s="117">
        <v>4</v>
      </c>
      <c r="U26" s="117">
        <v>4</v>
      </c>
      <c r="V26" s="117">
        <v>4</v>
      </c>
      <c r="W26" s="117">
        <v>10</v>
      </c>
      <c r="X26" s="117">
        <v>10</v>
      </c>
      <c r="Y26" s="117">
        <v>23</v>
      </c>
      <c r="Z26" s="117">
        <v>23</v>
      </c>
      <c r="AA26" s="117">
        <v>4</v>
      </c>
      <c r="AB26" s="117">
        <v>9999999</v>
      </c>
      <c r="AC26" s="117">
        <v>10</v>
      </c>
      <c r="AD26" s="117">
        <v>10</v>
      </c>
      <c r="AE26" s="117">
        <v>20</v>
      </c>
      <c r="AF26" s="117">
        <v>10</v>
      </c>
      <c r="AG26" s="117">
        <v>2</v>
      </c>
      <c r="AH26" s="118">
        <v>10</v>
      </c>
      <c r="AI26" s="118">
        <v>23</v>
      </c>
    </row>
    <row r="29" spans="2:35" x14ac:dyDescent="0.25">
      <c r="B29" s="127" t="s">
        <v>2141</v>
      </c>
    </row>
    <row r="30" spans="2:35" x14ac:dyDescent="0.25">
      <c r="B30" s="136" t="s">
        <v>2142</v>
      </c>
      <c r="C30" s="136" t="s">
        <v>2143</v>
      </c>
      <c r="D30" s="137" t="s">
        <v>2144</v>
      </c>
      <c r="E30" s="136" t="s">
        <v>2145</v>
      </c>
      <c r="F30" s="136" t="s">
        <v>2146</v>
      </c>
      <c r="I30" s="190"/>
    </row>
    <row r="31" spans="2:35" ht="75" customHeight="1" x14ac:dyDescent="0.25">
      <c r="B31" s="134" t="s">
        <v>2147</v>
      </c>
      <c r="C31" s="87" t="s">
        <v>737</v>
      </c>
      <c r="D31" s="87" t="s">
        <v>2295</v>
      </c>
      <c r="E31" s="87" t="s">
        <v>2296</v>
      </c>
      <c r="F31" s="135" t="s">
        <v>2150</v>
      </c>
      <c r="I31" s="189"/>
    </row>
    <row r="32" spans="2:35" ht="45" x14ac:dyDescent="0.25">
      <c r="B32" s="138" t="s">
        <v>2155</v>
      </c>
      <c r="C32" s="87" t="s">
        <v>737</v>
      </c>
      <c r="D32" s="87" t="s">
        <v>2295</v>
      </c>
      <c r="E32" s="87" t="s">
        <v>2296</v>
      </c>
      <c r="F32" s="82" t="s">
        <v>2150</v>
      </c>
    </row>
    <row r="33" spans="2:6" ht="90" x14ac:dyDescent="0.25">
      <c r="B33" s="138" t="s">
        <v>2155</v>
      </c>
      <c r="C33" s="91" t="s">
        <v>958</v>
      </c>
      <c r="D33" s="91" t="s">
        <v>2297</v>
      </c>
      <c r="E33" s="91" t="s">
        <v>2298</v>
      </c>
      <c r="F33" s="81" t="s">
        <v>2159</v>
      </c>
    </row>
    <row r="34" spans="2:6" ht="90" x14ac:dyDescent="0.25">
      <c r="B34" s="138" t="s">
        <v>2155</v>
      </c>
      <c r="C34" s="91" t="s">
        <v>948</v>
      </c>
      <c r="D34" s="91" t="s">
        <v>2297</v>
      </c>
      <c r="E34" s="91" t="s">
        <v>2298</v>
      </c>
      <c r="F34" s="81" t="s">
        <v>2159</v>
      </c>
    </row>
    <row r="35" spans="2:6" ht="30" x14ac:dyDescent="0.25">
      <c r="B35" s="218" t="s">
        <v>2155</v>
      </c>
      <c r="C35" s="217" t="s">
        <v>1026</v>
      </c>
      <c r="D35" s="217" t="s">
        <v>2299</v>
      </c>
      <c r="E35" s="217" t="s">
        <v>2300</v>
      </c>
      <c r="F35" s="219" t="s">
        <v>2150</v>
      </c>
    </row>
    <row r="36" spans="2:6" ht="45" x14ac:dyDescent="0.25">
      <c r="B36" s="218" t="s">
        <v>2155</v>
      </c>
      <c r="C36" s="91" t="s">
        <v>1041</v>
      </c>
      <c r="D36" s="217" t="s">
        <v>2301</v>
      </c>
      <c r="E36" s="91" t="s">
        <v>2302</v>
      </c>
      <c r="F36" s="81" t="s">
        <v>2150</v>
      </c>
    </row>
    <row r="37" spans="2:6" ht="120" x14ac:dyDescent="0.25">
      <c r="B37" s="218" t="s">
        <v>2155</v>
      </c>
      <c r="C37" s="91" t="s">
        <v>1032</v>
      </c>
      <c r="D37" s="217" t="s">
        <v>2303</v>
      </c>
      <c r="E37" s="91" t="s">
        <v>2304</v>
      </c>
      <c r="F37" s="81" t="s">
        <v>2305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I37"/>
  <sheetViews>
    <sheetView showGridLines="0" topLeftCell="B1" workbookViewId="0">
      <selection activeCell="J18" sqref="J18"/>
    </sheetView>
  </sheetViews>
  <sheetFormatPr defaultRowHeight="15" x14ac:dyDescent="0.2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x14ac:dyDescent="0.25"/>
    <row r="2" spans="2:35"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01" t="s">
        <v>767</v>
      </c>
      <c r="O2" s="101" t="s">
        <v>913</v>
      </c>
      <c r="P2" s="101" t="s">
        <v>923</v>
      </c>
      <c r="Q2" s="101" t="s">
        <v>933</v>
      </c>
      <c r="R2" s="101" t="s">
        <v>941</v>
      </c>
      <c r="S2" s="101" t="s">
        <v>948</v>
      </c>
      <c r="T2" s="101" t="s">
        <v>958</v>
      </c>
      <c r="U2" s="101" t="s">
        <v>965</v>
      </c>
      <c r="V2" s="101" t="s">
        <v>778</v>
      </c>
      <c r="W2" s="101" t="s">
        <v>791</v>
      </c>
      <c r="X2" s="101" t="s">
        <v>749</v>
      </c>
      <c r="Y2" s="101" t="s">
        <v>983</v>
      </c>
      <c r="Z2" s="101" t="s">
        <v>758</v>
      </c>
      <c r="AA2" s="101" t="s">
        <v>997</v>
      </c>
      <c r="AB2" s="101" t="s">
        <v>1008</v>
      </c>
      <c r="AC2" s="101" t="s">
        <v>1018</v>
      </c>
      <c r="AD2" s="101" t="s">
        <v>1026</v>
      </c>
      <c r="AE2" s="101" t="s">
        <v>1032</v>
      </c>
      <c r="AF2" s="101" t="s">
        <v>1041</v>
      </c>
      <c r="AG2" s="101" t="s">
        <v>798</v>
      </c>
      <c r="AH2" s="101" t="s">
        <v>806</v>
      </c>
      <c r="AI2" s="101" t="s">
        <v>813</v>
      </c>
    </row>
    <row r="3" spans="2:35" x14ac:dyDescent="0.25">
      <c r="B3" s="145" t="s">
        <v>2027</v>
      </c>
      <c r="C3" s="102">
        <v>1</v>
      </c>
      <c r="D3" s="102" t="s">
        <v>2306</v>
      </c>
      <c r="E3" s="120">
        <v>45490</v>
      </c>
      <c r="F3" s="102">
        <v>2</v>
      </c>
      <c r="G3" s="149">
        <v>1</v>
      </c>
      <c r="H3" s="208">
        <v>48533</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c r="W3" s="102" t="s">
        <v>2081</v>
      </c>
      <c r="X3" s="102" t="s">
        <v>2081</v>
      </c>
      <c r="Y3" s="102" t="s">
        <v>2081</v>
      </c>
      <c r="Z3" s="102" t="s">
        <v>2081</v>
      </c>
      <c r="AA3" s="102" t="s">
        <v>2081</v>
      </c>
      <c r="AB3" s="102" t="s">
        <v>2081</v>
      </c>
      <c r="AC3" s="102" t="s">
        <v>2081</v>
      </c>
      <c r="AD3" s="102" t="s">
        <v>2081</v>
      </c>
      <c r="AE3" s="102" t="s">
        <v>2081</v>
      </c>
      <c r="AF3" s="102" t="s">
        <v>2081</v>
      </c>
      <c r="AG3" s="102" t="s">
        <v>2081</v>
      </c>
      <c r="AH3" s="102" t="s">
        <v>2081</v>
      </c>
      <c r="AI3" s="102" t="s">
        <v>2081</v>
      </c>
    </row>
    <row r="4" spans="2:35" x14ac:dyDescent="0.25">
      <c r="B4" s="145" t="s">
        <v>2029</v>
      </c>
      <c r="C4" s="102">
        <v>2</v>
      </c>
      <c r="D4" s="102" t="s">
        <v>2307</v>
      </c>
      <c r="E4" s="120">
        <v>45490</v>
      </c>
      <c r="F4" s="102">
        <v>2</v>
      </c>
      <c r="G4" s="149">
        <v>1</v>
      </c>
      <c r="H4" s="206">
        <v>0</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c r="W4" s="102" t="s">
        <v>2081</v>
      </c>
      <c r="X4" s="102" t="s">
        <v>2081</v>
      </c>
      <c r="Y4" s="102" t="s">
        <v>2081</v>
      </c>
      <c r="Z4" s="102" t="s">
        <v>2081</v>
      </c>
      <c r="AA4" s="102" t="s">
        <v>2081</v>
      </c>
      <c r="AB4" s="102" t="s">
        <v>2081</v>
      </c>
      <c r="AC4" s="102" t="s">
        <v>2081</v>
      </c>
      <c r="AD4" s="102" t="s">
        <v>2081</v>
      </c>
      <c r="AE4" s="102" t="s">
        <v>2081</v>
      </c>
      <c r="AF4" s="102" t="s">
        <v>2081</v>
      </c>
      <c r="AG4" s="102" t="s">
        <v>2081</v>
      </c>
      <c r="AH4" s="102" t="s">
        <v>2081</v>
      </c>
      <c r="AI4" s="102" t="s">
        <v>2081</v>
      </c>
    </row>
    <row r="5" spans="2:35" x14ac:dyDescent="0.25">
      <c r="B5" s="145" t="s">
        <v>2031</v>
      </c>
      <c r="C5" s="102">
        <v>3</v>
      </c>
      <c r="D5" s="102" t="s">
        <v>2308</v>
      </c>
      <c r="E5" s="120">
        <v>45490</v>
      </c>
      <c r="F5" s="102">
        <v>2</v>
      </c>
      <c r="G5" s="149">
        <v>1</v>
      </c>
      <c r="H5" s="206">
        <v>0</v>
      </c>
      <c r="I5" s="102">
        <v>0</v>
      </c>
      <c r="J5" s="102">
        <v>0</v>
      </c>
      <c r="K5" s="102">
        <v>0</v>
      </c>
      <c r="L5" s="102">
        <v>0</v>
      </c>
      <c r="M5" s="102" t="s">
        <v>2081</v>
      </c>
      <c r="N5" s="102" t="s">
        <v>2081</v>
      </c>
      <c r="O5" s="102" t="s">
        <v>2081</v>
      </c>
      <c r="P5" s="102" t="s">
        <v>2081</v>
      </c>
      <c r="Q5" s="102" t="s">
        <v>2081</v>
      </c>
      <c r="R5" s="102" t="s">
        <v>2081</v>
      </c>
      <c r="S5" s="102" t="s">
        <v>2081</v>
      </c>
      <c r="T5" s="102" t="s">
        <v>2081</v>
      </c>
      <c r="U5" s="102" t="s">
        <v>2081</v>
      </c>
      <c r="V5" s="102" t="s">
        <v>2081</v>
      </c>
      <c r="W5" s="102" t="s">
        <v>2081</v>
      </c>
      <c r="X5" s="102" t="s">
        <v>2081</v>
      </c>
      <c r="Y5" s="102" t="s">
        <v>2081</v>
      </c>
      <c r="Z5" s="102" t="s">
        <v>2081</v>
      </c>
      <c r="AA5" s="102" t="s">
        <v>2081</v>
      </c>
      <c r="AB5" s="102" t="s">
        <v>2081</v>
      </c>
      <c r="AC5" s="102" t="s">
        <v>2081</v>
      </c>
      <c r="AD5" s="102" t="s">
        <v>2081</v>
      </c>
      <c r="AE5" s="102" t="s">
        <v>2081</v>
      </c>
      <c r="AF5" s="102" t="s">
        <v>2081</v>
      </c>
      <c r="AG5" s="102" t="s">
        <v>2081</v>
      </c>
      <c r="AH5" s="102">
        <v>0</v>
      </c>
      <c r="AI5" s="102" t="s">
        <v>2081</v>
      </c>
    </row>
    <row r="6" spans="2:35" x14ac:dyDescent="0.25">
      <c r="B6" s="92" t="s">
        <v>2033</v>
      </c>
      <c r="C6" s="102">
        <v>4</v>
      </c>
      <c r="D6" s="102" t="s">
        <v>2086</v>
      </c>
      <c r="E6" s="120" t="s">
        <v>2081</v>
      </c>
      <c r="F6" s="102">
        <v>2</v>
      </c>
      <c r="G6" s="102" t="s">
        <v>2081</v>
      </c>
      <c r="H6" s="102"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c r="W6" s="102" t="s">
        <v>2081</v>
      </c>
      <c r="X6" s="102" t="s">
        <v>2081</v>
      </c>
      <c r="Y6" s="102" t="s">
        <v>2081</v>
      </c>
      <c r="Z6" s="102" t="s">
        <v>2081</v>
      </c>
      <c r="AA6" s="102" t="s">
        <v>2081</v>
      </c>
      <c r="AB6" s="102" t="s">
        <v>2081</v>
      </c>
      <c r="AC6" s="102" t="s">
        <v>2081</v>
      </c>
      <c r="AD6" s="102" t="s">
        <v>2081</v>
      </c>
      <c r="AE6" s="102" t="s">
        <v>2081</v>
      </c>
      <c r="AF6" s="102" t="s">
        <v>2081</v>
      </c>
      <c r="AG6" s="102" t="s">
        <v>2081</v>
      </c>
      <c r="AH6" s="102" t="s">
        <v>2081</v>
      </c>
      <c r="AI6" s="102" t="s">
        <v>2081</v>
      </c>
    </row>
    <row r="7" spans="2:35" x14ac:dyDescent="0.25">
      <c r="B7" s="92" t="s">
        <v>2035</v>
      </c>
      <c r="C7" s="102">
        <v>5</v>
      </c>
      <c r="D7" s="102" t="s">
        <v>2086</v>
      </c>
      <c r="E7" s="120" t="s">
        <v>2081</v>
      </c>
      <c r="F7" s="102">
        <v>2</v>
      </c>
      <c r="G7" s="102" t="s">
        <v>2081</v>
      </c>
      <c r="H7" s="102"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c r="W7" s="102" t="s">
        <v>2081</v>
      </c>
      <c r="X7" s="102" t="s">
        <v>2081</v>
      </c>
      <c r="Y7" s="102" t="s">
        <v>2081</v>
      </c>
      <c r="Z7" s="102" t="s">
        <v>2081</v>
      </c>
      <c r="AA7" s="102" t="s">
        <v>2081</v>
      </c>
      <c r="AB7" s="102" t="s">
        <v>2081</v>
      </c>
      <c r="AC7" s="102" t="s">
        <v>2081</v>
      </c>
      <c r="AD7" s="102" t="s">
        <v>2081</v>
      </c>
      <c r="AE7" s="102" t="s">
        <v>2081</v>
      </c>
      <c r="AF7" s="102" t="s">
        <v>2081</v>
      </c>
      <c r="AG7" s="102" t="s">
        <v>2081</v>
      </c>
      <c r="AH7" s="102" t="s">
        <v>2081</v>
      </c>
      <c r="AI7" s="102" t="s">
        <v>2081</v>
      </c>
    </row>
    <row r="8" spans="2:35" x14ac:dyDescent="0.25">
      <c r="B8" s="176" t="s">
        <v>2036</v>
      </c>
      <c r="C8" s="102">
        <v>6</v>
      </c>
      <c r="D8" s="102" t="s">
        <v>2309</v>
      </c>
      <c r="E8" s="120">
        <v>45490</v>
      </c>
      <c r="F8" s="102">
        <v>2</v>
      </c>
      <c r="G8" s="149" cm="1">
        <f t="array" ref="G8">SUMPRODUCT(--(I8:AH8&gt;0))/COUNTA(I8:AH8)</f>
        <v>1</v>
      </c>
      <c r="H8" s="206">
        <v>0</v>
      </c>
      <c r="I8" s="102">
        <v>2</v>
      </c>
      <c r="J8" s="102">
        <v>15</v>
      </c>
      <c r="K8" s="102">
        <v>2</v>
      </c>
      <c r="L8" s="102">
        <v>9</v>
      </c>
      <c r="M8" s="102" t="s">
        <v>2088</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x14ac:dyDescent="0.25">
      <c r="B9" s="145" t="s">
        <v>2039</v>
      </c>
      <c r="C9" s="102">
        <v>7</v>
      </c>
      <c r="D9" s="102" t="s">
        <v>2310</v>
      </c>
      <c r="E9" s="120">
        <v>45490</v>
      </c>
      <c r="F9" s="102">
        <v>2</v>
      </c>
      <c r="G9" s="149" cm="1">
        <f t="array" ref="G9">SUMPRODUCT(--(I9:AH9&lt;=I26:AH26))/COUNTA(I9:AH9)</f>
        <v>1</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x14ac:dyDescent="0.25">
      <c r="B10" s="145" t="s">
        <v>2042</v>
      </c>
      <c r="C10" s="102">
        <v>8</v>
      </c>
      <c r="D10" s="102" t="s">
        <v>2311</v>
      </c>
      <c r="E10" s="120">
        <v>45490</v>
      </c>
      <c r="F10" s="102">
        <v>2</v>
      </c>
      <c r="G10" s="102" t="s">
        <v>2081</v>
      </c>
      <c r="H10" s="206">
        <v>0</v>
      </c>
      <c r="I10" s="102">
        <v>31</v>
      </c>
      <c r="J10" s="102">
        <v>3163579860010</v>
      </c>
      <c r="K10" s="102">
        <v>24</v>
      </c>
      <c r="L10" s="102">
        <v>699719160</v>
      </c>
      <c r="M10" s="120" t="s">
        <v>2088</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2273</v>
      </c>
      <c r="AH10" s="120">
        <v>45490</v>
      </c>
      <c r="AI10" s="102" t="s">
        <v>2312</v>
      </c>
    </row>
    <row r="11" spans="2:35" x14ac:dyDescent="0.25">
      <c r="B11" s="145" t="s">
        <v>2044</v>
      </c>
      <c r="C11" s="102">
        <v>9</v>
      </c>
      <c r="D11" s="102" t="s">
        <v>2313</v>
      </c>
      <c r="E11" s="120">
        <v>45490</v>
      </c>
      <c r="F11" s="102">
        <v>2</v>
      </c>
      <c r="G11" s="102" t="s">
        <v>2081</v>
      </c>
      <c r="H11" s="206">
        <v>0</v>
      </c>
      <c r="I11" s="102">
        <v>31</v>
      </c>
      <c r="J11" s="102">
        <v>3163579860010</v>
      </c>
      <c r="K11" s="102">
        <v>24</v>
      </c>
      <c r="L11" s="102">
        <v>699719160</v>
      </c>
      <c r="M11" s="120" t="s">
        <v>2088</v>
      </c>
      <c r="N11" s="206">
        <v>1</v>
      </c>
      <c r="O11" s="120">
        <v>4293430451900100</v>
      </c>
      <c r="P11" s="102" t="s">
        <v>2276</v>
      </c>
      <c r="Q11" s="102">
        <v>0</v>
      </c>
      <c r="R11" s="102">
        <v>0</v>
      </c>
      <c r="S11" s="102">
        <v>0</v>
      </c>
      <c r="T11" s="102">
        <v>0</v>
      </c>
      <c r="U11" s="102">
        <v>32</v>
      </c>
      <c r="V11" s="120">
        <v>978</v>
      </c>
      <c r="W11" s="120">
        <v>45244</v>
      </c>
      <c r="X11" s="120">
        <v>45244</v>
      </c>
      <c r="Y11" s="102" t="s">
        <v>2314</v>
      </c>
      <c r="Z11" s="102" t="s">
        <v>2314</v>
      </c>
      <c r="AA11" s="102">
        <v>0</v>
      </c>
      <c r="AB11" s="102">
        <v>0</v>
      </c>
      <c r="AC11" s="102" t="e">
        <v>#N/A</v>
      </c>
      <c r="AD11" s="102" t="e">
        <v>#N/A</v>
      </c>
      <c r="AE11" s="102">
        <v>12</v>
      </c>
      <c r="AF11" s="102">
        <v>0</v>
      </c>
      <c r="AG11" s="120" t="s">
        <v>2273</v>
      </c>
      <c r="AH11" s="120">
        <v>45490</v>
      </c>
      <c r="AI11" s="102" t="s">
        <v>2315</v>
      </c>
    </row>
    <row r="12" spans="2:35" x14ac:dyDescent="0.25">
      <c r="B12" s="168" t="s">
        <v>2046</v>
      </c>
      <c r="C12" s="102">
        <v>10</v>
      </c>
      <c r="D12" s="102" t="s">
        <v>2316</v>
      </c>
      <c r="E12" s="120">
        <v>45490</v>
      </c>
      <c r="F12" s="102">
        <v>2</v>
      </c>
      <c r="G12" s="102" t="s">
        <v>2081</v>
      </c>
      <c r="H12" s="206">
        <v>0</v>
      </c>
      <c r="I12" s="102">
        <v>31</v>
      </c>
      <c r="J12" s="102">
        <v>5131650050010</v>
      </c>
      <c r="K12" s="102">
        <v>24</v>
      </c>
      <c r="L12" s="102">
        <v>700670715</v>
      </c>
      <c r="M12" s="120" t="s">
        <v>2088</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2317</v>
      </c>
      <c r="AC12" s="102">
        <v>940806</v>
      </c>
      <c r="AD12" s="102">
        <v>1526454</v>
      </c>
      <c r="AE12" s="102">
        <v>552409</v>
      </c>
      <c r="AF12" s="102">
        <v>9402</v>
      </c>
      <c r="AG12" s="120" t="s">
        <v>2273</v>
      </c>
      <c r="AH12" s="120">
        <v>45490</v>
      </c>
      <c r="AI12" s="102" t="s">
        <v>2312</v>
      </c>
    </row>
    <row r="13" spans="2:35" x14ac:dyDescent="0.25">
      <c r="B13" s="145" t="s">
        <v>2048</v>
      </c>
      <c r="C13" s="102">
        <v>11</v>
      </c>
      <c r="D13" s="102" t="s">
        <v>2318</v>
      </c>
      <c r="E13" s="120">
        <v>45490</v>
      </c>
      <c r="F13" s="102">
        <v>2</v>
      </c>
      <c r="G13" s="102" t="s">
        <v>2081</v>
      </c>
      <c r="H13" s="206">
        <v>0</v>
      </c>
      <c r="I13" s="102">
        <v>31</v>
      </c>
      <c r="J13" s="102">
        <v>5131650050010</v>
      </c>
      <c r="K13" s="102">
        <v>24</v>
      </c>
      <c r="L13" s="102">
        <v>700670715</v>
      </c>
      <c r="M13" s="120" t="s">
        <v>2088</v>
      </c>
      <c r="N13" s="206">
        <v>1</v>
      </c>
      <c r="O13" s="120">
        <v>5166320258618250</v>
      </c>
      <c r="P13" s="102" t="s">
        <v>2319</v>
      </c>
      <c r="Q13" s="102">
        <v>0</v>
      </c>
      <c r="R13" s="102">
        <v>1</v>
      </c>
      <c r="S13" s="102">
        <v>1</v>
      </c>
      <c r="T13" s="102">
        <v>87</v>
      </c>
      <c r="U13" s="102">
        <v>986</v>
      </c>
      <c r="V13" s="120">
        <v>978</v>
      </c>
      <c r="W13" s="120">
        <v>45491</v>
      </c>
      <c r="X13" s="120">
        <v>45491</v>
      </c>
      <c r="Y13" s="102" t="s">
        <v>2320</v>
      </c>
      <c r="Z13" s="102" t="s">
        <v>2320</v>
      </c>
      <c r="AA13" s="102">
        <v>703</v>
      </c>
      <c r="AB13" s="102" t="s">
        <v>2317</v>
      </c>
      <c r="AC13" s="102">
        <v>940806</v>
      </c>
      <c r="AD13" s="102">
        <v>1526454</v>
      </c>
      <c r="AE13" s="102">
        <v>552409</v>
      </c>
      <c r="AF13" s="102">
        <v>9402</v>
      </c>
      <c r="AG13" s="120" t="s">
        <v>2273</v>
      </c>
      <c r="AH13" s="120">
        <v>45490</v>
      </c>
      <c r="AI13" s="102" t="s">
        <v>2321</v>
      </c>
    </row>
    <row r="14" spans="2:35" x14ac:dyDescent="0.25">
      <c r="B14" s="145" t="s">
        <v>2050</v>
      </c>
      <c r="C14" s="102">
        <v>12</v>
      </c>
      <c r="D14" s="102" t="s">
        <v>2322</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x14ac:dyDescent="0.25">
      <c r="B15" s="145" t="s">
        <v>2052</v>
      </c>
      <c r="C15" s="102">
        <v>13</v>
      </c>
      <c r="D15" s="102" t="s">
        <v>2323</v>
      </c>
      <c r="E15" s="120">
        <v>45490</v>
      </c>
      <c r="F15" s="102">
        <v>2</v>
      </c>
      <c r="G15" s="149">
        <v>1</v>
      </c>
      <c r="H15" s="206">
        <v>0</v>
      </c>
      <c r="I15" s="102" t="s">
        <v>2081</v>
      </c>
      <c r="J15" s="102" t="s">
        <v>2081</v>
      </c>
      <c r="K15" s="102" t="s">
        <v>2081</v>
      </c>
      <c r="L15" s="92" t="s">
        <v>2081</v>
      </c>
      <c r="M15" s="92" t="s">
        <v>2081</v>
      </c>
      <c r="N15" s="102" t="s">
        <v>2081</v>
      </c>
      <c r="O15" s="92" t="s">
        <v>2081</v>
      </c>
      <c r="P15" s="92" t="s">
        <v>2081</v>
      </c>
      <c r="Q15" s="92" t="s">
        <v>2081</v>
      </c>
      <c r="R15" s="102" t="s">
        <v>2081</v>
      </c>
      <c r="S15" s="102" t="s">
        <v>2081</v>
      </c>
      <c r="T15" s="102" t="s">
        <v>2081</v>
      </c>
      <c r="U15" s="102" t="s">
        <v>2081</v>
      </c>
      <c r="V15" s="102" t="s">
        <v>2081</v>
      </c>
      <c r="W15" s="102">
        <v>0</v>
      </c>
      <c r="X15" s="102">
        <v>0</v>
      </c>
      <c r="Y15" s="102" t="s">
        <v>2081</v>
      </c>
      <c r="Z15" s="102" t="s">
        <v>2081</v>
      </c>
      <c r="AA15" s="102" t="s">
        <v>2081</v>
      </c>
      <c r="AB15" s="102" t="s">
        <v>2081</v>
      </c>
      <c r="AC15" s="102" t="s">
        <v>2081</v>
      </c>
      <c r="AD15" s="102" t="s">
        <v>2081</v>
      </c>
      <c r="AE15" s="102" t="s">
        <v>2081</v>
      </c>
      <c r="AF15" s="102" t="s">
        <v>2081</v>
      </c>
      <c r="AG15" s="102" t="s">
        <v>2081</v>
      </c>
      <c r="AH15" s="102" t="s">
        <v>2081</v>
      </c>
      <c r="AI15" s="102" t="s">
        <v>2081</v>
      </c>
    </row>
    <row r="16" spans="2:35" x14ac:dyDescent="0.25">
      <c r="B16" s="145" t="s">
        <v>2054</v>
      </c>
      <c r="C16" s="102">
        <v>14</v>
      </c>
      <c r="D16" s="102" t="s">
        <v>2324</v>
      </c>
      <c r="E16" s="120">
        <v>45490</v>
      </c>
      <c r="F16" s="102">
        <v>2</v>
      </c>
      <c r="G16" s="149">
        <v>1</v>
      </c>
      <c r="H16" s="206">
        <v>0</v>
      </c>
      <c r="I16" s="102">
        <v>0</v>
      </c>
      <c r="J16" s="102">
        <v>0</v>
      </c>
      <c r="K16" s="102" t="s">
        <v>2081</v>
      </c>
      <c r="L16" s="102" t="s">
        <v>2081</v>
      </c>
      <c r="M16" s="92">
        <v>0</v>
      </c>
      <c r="N16" s="102" t="s">
        <v>2081</v>
      </c>
      <c r="O16" s="102" t="s">
        <v>2081</v>
      </c>
      <c r="P16" s="102" t="s">
        <v>2081</v>
      </c>
      <c r="Q16" s="92" t="s">
        <v>2081</v>
      </c>
      <c r="R16" s="102" t="s">
        <v>2081</v>
      </c>
      <c r="S16" s="102" t="s">
        <v>2081</v>
      </c>
      <c r="T16" s="102">
        <v>0</v>
      </c>
      <c r="U16" s="102">
        <v>0</v>
      </c>
      <c r="V16" s="102">
        <v>0</v>
      </c>
      <c r="W16" s="102" t="s">
        <v>2081</v>
      </c>
      <c r="X16" s="102" t="s">
        <v>2081</v>
      </c>
      <c r="Y16" s="102" t="s">
        <v>2081</v>
      </c>
      <c r="Z16" s="102" t="s">
        <v>2081</v>
      </c>
      <c r="AA16" s="102">
        <v>0</v>
      </c>
      <c r="AB16" s="102" t="s">
        <v>2081</v>
      </c>
      <c r="AC16" s="102">
        <v>0</v>
      </c>
      <c r="AD16" s="102">
        <v>0</v>
      </c>
      <c r="AE16" s="102">
        <v>0</v>
      </c>
      <c r="AF16" s="102">
        <v>0</v>
      </c>
      <c r="AG16" s="102">
        <v>0</v>
      </c>
      <c r="AH16" s="102" t="s">
        <v>2081</v>
      </c>
      <c r="AI16" s="102" t="s">
        <v>2081</v>
      </c>
    </row>
    <row r="17" spans="2:35" x14ac:dyDescent="0.25">
      <c r="B17" s="178" t="s">
        <v>2056</v>
      </c>
      <c r="C17" s="102">
        <v>15</v>
      </c>
      <c r="D17" s="102" t="s">
        <v>2325</v>
      </c>
      <c r="E17" s="120">
        <v>45490</v>
      </c>
      <c r="F17" s="102">
        <v>2</v>
      </c>
      <c r="G17" s="149">
        <v>1</v>
      </c>
      <c r="H17" s="206">
        <v>0</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c r="W17" s="102" t="s">
        <v>2081</v>
      </c>
      <c r="X17" s="102" t="s">
        <v>2081</v>
      </c>
      <c r="Y17" s="102" t="s">
        <v>2081</v>
      </c>
      <c r="Z17" s="102" t="s">
        <v>2081</v>
      </c>
      <c r="AA17" s="102" t="s">
        <v>2081</v>
      </c>
      <c r="AB17" s="102" t="s">
        <v>2081</v>
      </c>
      <c r="AC17" s="102" t="s">
        <v>2081</v>
      </c>
      <c r="AD17" s="102" t="s">
        <v>2081</v>
      </c>
      <c r="AE17" s="102" t="s">
        <v>2081</v>
      </c>
      <c r="AF17" s="102" t="s">
        <v>2081</v>
      </c>
      <c r="AG17" s="102" t="s">
        <v>2081</v>
      </c>
      <c r="AH17" s="102" t="s">
        <v>2081</v>
      </c>
      <c r="AI17" s="102" t="s">
        <v>2081</v>
      </c>
    </row>
    <row r="18" spans="2:35" x14ac:dyDescent="0.25">
      <c r="B18" s="178" t="s">
        <v>2058</v>
      </c>
      <c r="C18" s="102">
        <v>16</v>
      </c>
      <c r="D18" s="102" t="s">
        <v>2325</v>
      </c>
      <c r="E18" s="120">
        <v>45490</v>
      </c>
      <c r="F18" s="102">
        <v>2</v>
      </c>
      <c r="G18" s="149">
        <v>1</v>
      </c>
      <c r="H18" s="206">
        <v>0</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c r="W18" s="102" t="s">
        <v>2081</v>
      </c>
      <c r="X18" s="102" t="s">
        <v>2081</v>
      </c>
      <c r="Y18" s="102" t="s">
        <v>2081</v>
      </c>
      <c r="Z18" s="102" t="s">
        <v>2081</v>
      </c>
      <c r="AA18" s="102" t="s">
        <v>2081</v>
      </c>
      <c r="AB18" s="102" t="s">
        <v>2081</v>
      </c>
      <c r="AC18" s="102" t="s">
        <v>2081</v>
      </c>
      <c r="AD18" s="102" t="s">
        <v>2081</v>
      </c>
      <c r="AE18" s="102" t="s">
        <v>2081</v>
      </c>
      <c r="AF18" s="102" t="s">
        <v>2081</v>
      </c>
      <c r="AG18" s="102" t="s">
        <v>2081</v>
      </c>
      <c r="AH18" s="102" t="s">
        <v>2081</v>
      </c>
      <c r="AI18" s="102" t="s">
        <v>2081</v>
      </c>
    </row>
    <row r="19" spans="2:35" x14ac:dyDescent="0.25">
      <c r="B19" s="145" t="s">
        <v>2064</v>
      </c>
      <c r="C19" s="102">
        <v>19</v>
      </c>
      <c r="D19" s="102" t="s">
        <v>2326</v>
      </c>
      <c r="E19" s="120">
        <v>45490</v>
      </c>
      <c r="F19" s="102">
        <v>2</v>
      </c>
      <c r="G19" s="149" cm="1">
        <f t="array" ref="G19">SUMPRODUCT(--(ISNUMBER((SEARCH(I25:AI25,I19:AI19)))))/COUNTA(I19:AI19)</f>
        <v>1</v>
      </c>
      <c r="H19" s="206">
        <v>0</v>
      </c>
      <c r="I19" s="102" t="s">
        <v>2131</v>
      </c>
      <c r="J19" s="102" t="s">
        <v>2131</v>
      </c>
      <c r="K19" s="102" t="s">
        <v>2292</v>
      </c>
      <c r="L19" s="102" t="s">
        <v>2132</v>
      </c>
      <c r="M19" s="102" t="s">
        <v>2131</v>
      </c>
      <c r="N19" s="102" t="s">
        <v>2131</v>
      </c>
      <c r="O19" s="102" t="s">
        <v>2131</v>
      </c>
      <c r="P19" s="102" t="s">
        <v>2293</v>
      </c>
      <c r="Q19" s="102" t="s">
        <v>2131</v>
      </c>
      <c r="R19" s="102" t="s">
        <v>2131</v>
      </c>
      <c r="S19" s="102" t="s">
        <v>2131</v>
      </c>
      <c r="T19" s="102" t="s">
        <v>2131</v>
      </c>
      <c r="U19" s="102" t="s">
        <v>2131</v>
      </c>
      <c r="V19" s="102" t="s">
        <v>2131</v>
      </c>
      <c r="W19" s="102" t="s">
        <v>2131</v>
      </c>
      <c r="X19" s="102" t="s">
        <v>2131</v>
      </c>
      <c r="Y19" s="102" t="s">
        <v>2133</v>
      </c>
      <c r="Z19" s="102" t="s">
        <v>2133</v>
      </c>
      <c r="AA19" s="102" t="s">
        <v>2131</v>
      </c>
      <c r="AB19" s="102" t="s">
        <v>2131</v>
      </c>
      <c r="AC19" s="102" t="s">
        <v>2131</v>
      </c>
      <c r="AD19" s="102" t="s">
        <v>2131</v>
      </c>
      <c r="AE19" s="102" t="s">
        <v>2131</v>
      </c>
      <c r="AF19" s="102" t="s">
        <v>2131</v>
      </c>
      <c r="AG19" s="102" t="s">
        <v>2131</v>
      </c>
      <c r="AH19" s="102" t="s">
        <v>2131</v>
      </c>
      <c r="AI19" s="102" t="s">
        <v>2134</v>
      </c>
    </row>
    <row r="20" spans="2:35" x14ac:dyDescent="0.25">
      <c r="B20" s="145" t="s">
        <v>2067</v>
      </c>
      <c r="C20" s="102">
        <v>20</v>
      </c>
      <c r="D20" s="102" t="s">
        <v>2327</v>
      </c>
      <c r="E20" s="120">
        <v>45490</v>
      </c>
      <c r="F20" s="102">
        <v>1</v>
      </c>
      <c r="G20" s="149" cm="1">
        <f t="array" ref="G20">SUM(IF(I2:AH2 = I24:AH24, 1, 0))/ COUNTA(I2:AH2)</f>
        <v>1</v>
      </c>
      <c r="H20" s="206" t="s">
        <v>2081</v>
      </c>
      <c r="I20" s="206" t="s">
        <v>2081</v>
      </c>
      <c r="J20" s="206" t="s">
        <v>2081</v>
      </c>
      <c r="K20" s="206" t="s">
        <v>2081</v>
      </c>
      <c r="L20" s="206" t="s">
        <v>2081</v>
      </c>
      <c r="M20" s="206" t="s">
        <v>2081</v>
      </c>
      <c r="N20" s="206" t="s">
        <v>2081</v>
      </c>
      <c r="O20" s="206" t="s">
        <v>2081</v>
      </c>
      <c r="P20" s="206" t="s">
        <v>2081</v>
      </c>
      <c r="Q20" s="206" t="s">
        <v>2081</v>
      </c>
      <c r="R20" s="206" t="s">
        <v>2081</v>
      </c>
      <c r="S20" s="206" t="s">
        <v>2081</v>
      </c>
      <c r="T20" s="206" t="s">
        <v>2081</v>
      </c>
      <c r="U20" s="206" t="s">
        <v>2081</v>
      </c>
      <c r="V20" s="206" t="s">
        <v>2081</v>
      </c>
      <c r="W20" s="206" t="s">
        <v>2081</v>
      </c>
      <c r="X20" s="206" t="s">
        <v>2081</v>
      </c>
      <c r="Y20" s="206" t="s">
        <v>2081</v>
      </c>
      <c r="Z20" s="206" t="s">
        <v>2081</v>
      </c>
      <c r="AA20" s="206" t="s">
        <v>2081</v>
      </c>
      <c r="AB20" s="206" t="s">
        <v>2081</v>
      </c>
      <c r="AC20" s="206" t="s">
        <v>2081</v>
      </c>
      <c r="AD20" s="206" t="s">
        <v>2081</v>
      </c>
      <c r="AE20" s="206" t="s">
        <v>2081</v>
      </c>
      <c r="AF20" s="206" t="s">
        <v>2081</v>
      </c>
      <c r="AG20" s="206" t="s">
        <v>2081</v>
      </c>
      <c r="AH20" s="206" t="s">
        <v>2081</v>
      </c>
      <c r="AI20" s="206" t="s">
        <v>2081</v>
      </c>
    </row>
    <row r="21" spans="2:35" x14ac:dyDescent="0.25">
      <c r="B21" s="169" t="s">
        <v>2070</v>
      </c>
      <c r="C21" s="102">
        <v>21</v>
      </c>
      <c r="D21" s="102" t="s">
        <v>2328</v>
      </c>
      <c r="E21" s="120">
        <v>45490</v>
      </c>
      <c r="F21" s="102">
        <v>1</v>
      </c>
      <c r="G21" s="149" cm="1">
        <f t="array" ref="G21">SUM(IF(IF(G3:G20="null",1,G3:G20)=1,1,0))/COUNT(IF(G3:G20="null",1,1))</f>
        <v>0.94444444444444442</v>
      </c>
      <c r="H21" s="206" t="s">
        <v>2081</v>
      </c>
      <c r="I21" s="206" t="s">
        <v>2081</v>
      </c>
      <c r="J21" s="206" t="s">
        <v>2081</v>
      </c>
      <c r="K21" s="206" t="s">
        <v>2081</v>
      </c>
      <c r="L21" s="206" t="s">
        <v>2081</v>
      </c>
      <c r="M21" s="206" t="s">
        <v>2081</v>
      </c>
      <c r="N21" s="206" t="s">
        <v>2081</v>
      </c>
      <c r="O21" s="206" t="s">
        <v>2081</v>
      </c>
      <c r="P21" s="206" t="s">
        <v>2081</v>
      </c>
      <c r="Q21" s="206" t="s">
        <v>2081</v>
      </c>
      <c r="R21" s="206" t="s">
        <v>2081</v>
      </c>
      <c r="S21" s="206" t="s">
        <v>2081</v>
      </c>
      <c r="T21" s="206" t="s">
        <v>2081</v>
      </c>
      <c r="U21" s="206" t="s">
        <v>2081</v>
      </c>
      <c r="V21" s="206" t="s">
        <v>2081</v>
      </c>
      <c r="W21" s="206" t="s">
        <v>2081</v>
      </c>
      <c r="X21" s="206" t="s">
        <v>2081</v>
      </c>
      <c r="Y21" s="206" t="s">
        <v>2081</v>
      </c>
      <c r="Z21" s="206" t="s">
        <v>2081</v>
      </c>
      <c r="AA21" s="206" t="s">
        <v>2081</v>
      </c>
      <c r="AB21" s="206" t="s">
        <v>2081</v>
      </c>
      <c r="AC21" s="206" t="s">
        <v>2081</v>
      </c>
      <c r="AD21" s="206" t="s">
        <v>2081</v>
      </c>
      <c r="AE21" s="206" t="s">
        <v>2081</v>
      </c>
      <c r="AF21" s="206" t="s">
        <v>2081</v>
      </c>
      <c r="AG21" s="206" t="s">
        <v>2081</v>
      </c>
      <c r="AH21" s="206" t="s">
        <v>2081</v>
      </c>
      <c r="AI21" s="206" t="s">
        <v>2081</v>
      </c>
    </row>
    <row r="22" spans="2:35" x14ac:dyDescent="0.25">
      <c r="B22" s="102"/>
      <c r="C22" s="102"/>
      <c r="D22" s="102"/>
      <c r="E22" s="120"/>
      <c r="F22" s="102"/>
      <c r="G22" s="102"/>
      <c r="H22" s="102"/>
      <c r="I22" s="102"/>
      <c r="J22" s="102"/>
      <c r="K22" s="102"/>
      <c r="L22" s="102"/>
      <c r="M22" s="102"/>
      <c r="N22" s="102"/>
      <c r="O22" s="102"/>
      <c r="P22" s="102"/>
      <c r="Q22" s="102"/>
      <c r="R22" s="102"/>
      <c r="S22" s="102"/>
      <c r="T22" s="102"/>
    </row>
    <row r="23" spans="2:35" x14ac:dyDescent="0.25">
      <c r="B23" s="110" t="s">
        <v>2135</v>
      </c>
    </row>
    <row r="24" spans="2:35" x14ac:dyDescent="0.25">
      <c r="B24" s="111" t="s">
        <v>2136</v>
      </c>
      <c r="C24" s="112" t="s">
        <v>2074</v>
      </c>
      <c r="D24" s="112" t="s">
        <v>2075</v>
      </c>
      <c r="E24" s="112" t="s">
        <v>2076</v>
      </c>
      <c r="F24" s="112" t="s">
        <v>2077</v>
      </c>
      <c r="G24" s="112" t="s">
        <v>2078</v>
      </c>
      <c r="H24" s="112" t="s">
        <v>2079</v>
      </c>
      <c r="I24" s="113" t="str" cm="1">
        <f t="array" ref="I24:AI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financial_flow_indicator</v>
      </c>
      <c r="O24" s="113" t="str">
        <v>card_number</v>
      </c>
      <c r="P24" s="113" t="str">
        <v>beneficiary_order_number</v>
      </c>
      <c r="Q24" s="113" t="str">
        <v>recurring_transaction_indicator</v>
      </c>
      <c r="R24" s="113" t="str">
        <v>chargeback_indicator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terminal_description</v>
      </c>
      <c r="AC24" s="204" t="str">
        <v>atm_terminal_id</v>
      </c>
      <c r="AD24" s="204" t="str">
        <v>pos_terminal_id</v>
      </c>
      <c r="AE24" s="204" t="str">
        <v>merchant_id</v>
      </c>
      <c r="AF24" s="204" t="str">
        <v>merchant_type_code</v>
      </c>
      <c r="AG24" s="204" t="str">
        <v>source_code</v>
      </c>
      <c r="AH24" s="205" t="str">
        <v>data_date_part</v>
      </c>
      <c r="AI24" s="205" t="str">
        <v>data_timestamp_part</v>
      </c>
    </row>
    <row r="25" spans="2:35" x14ac:dyDescent="0.25">
      <c r="B25" s="104" t="s">
        <v>2137</v>
      </c>
      <c r="C25" s="117">
        <v>21</v>
      </c>
      <c r="D25" s="106" t="s">
        <v>2138</v>
      </c>
      <c r="E25" s="105" t="s">
        <v>2139</v>
      </c>
      <c r="F25" s="105" t="s">
        <v>1178</v>
      </c>
      <c r="G25" s="105" t="s">
        <v>1178</v>
      </c>
      <c r="H25" s="105" t="s">
        <v>1178</v>
      </c>
      <c r="I25" s="105" t="str" cm="1">
        <f t="array" ref="I25:AI26">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v>STRING</v>
      </c>
      <c r="K25" s="105" t="str">
        <v>BIG INT</v>
      </c>
      <c r="L25" s="105" t="str">
        <v>BIGINT</v>
      </c>
      <c r="M25" s="105" t="str">
        <v>STRING</v>
      </c>
      <c r="N25" s="105" t="str">
        <v>STRING</v>
      </c>
      <c r="O25" s="105" t="str">
        <v>STRING</v>
      </c>
      <c r="P25" s="105" t="str">
        <v>INT</v>
      </c>
      <c r="Q25" s="105" t="str">
        <v>STRING</v>
      </c>
      <c r="R25" s="105" t="str">
        <v>STRING</v>
      </c>
      <c r="S25" s="105" t="str">
        <v>STRING</v>
      </c>
      <c r="T25" s="105" t="str">
        <v>STRING</v>
      </c>
      <c r="U25" s="105" t="str">
        <v>STRING</v>
      </c>
      <c r="V25" s="105" t="str">
        <v>STRING</v>
      </c>
      <c r="W25" s="105" t="str">
        <v>STRING</v>
      </c>
      <c r="X25" s="105" t="str">
        <v>STRING</v>
      </c>
      <c r="Y25" s="105" t="str">
        <v>DECIMAL</v>
      </c>
      <c r="Z25" s="105" t="str">
        <v>DECIMAL</v>
      </c>
      <c r="AA25" s="105" t="str">
        <v>STRING</v>
      </c>
      <c r="AB25" s="105" t="str">
        <v>STRING</v>
      </c>
      <c r="AC25" s="105" t="str">
        <v>STRING</v>
      </c>
      <c r="AD25" s="105" t="str">
        <v>STRING</v>
      </c>
      <c r="AE25" s="105" t="str">
        <v>STRING</v>
      </c>
      <c r="AF25" s="105" t="str">
        <v>STRING</v>
      </c>
      <c r="AG25" s="105" t="str">
        <v>STRING</v>
      </c>
      <c r="AH25" s="116" t="str">
        <v>STRING</v>
      </c>
      <c r="AI25" s="116" t="str">
        <v>TIMESTAMP</v>
      </c>
    </row>
    <row r="26" spans="2:35" x14ac:dyDescent="0.25">
      <c r="B26" s="104" t="s">
        <v>2140</v>
      </c>
      <c r="C26" s="117">
        <v>7</v>
      </c>
      <c r="D26" s="106" t="s">
        <v>2138</v>
      </c>
      <c r="E26" s="105" t="s">
        <v>2139</v>
      </c>
      <c r="F26" s="105" t="s">
        <v>1178</v>
      </c>
      <c r="G26" s="105" t="s">
        <v>1178</v>
      </c>
      <c r="H26" s="105" t="s">
        <v>1178</v>
      </c>
      <c r="I26" s="117">
        <v>4</v>
      </c>
      <c r="J26" s="117">
        <v>15</v>
      </c>
      <c r="K26" s="117">
        <v>9999999</v>
      </c>
      <c r="L26" s="117">
        <v>9999999</v>
      </c>
      <c r="M26" s="117">
        <v>4</v>
      </c>
      <c r="N26" s="117">
        <v>4</v>
      </c>
      <c r="O26" s="117">
        <v>16</v>
      </c>
      <c r="P26" s="117">
        <v>5</v>
      </c>
      <c r="Q26" s="117">
        <v>4</v>
      </c>
      <c r="R26" s="117">
        <v>4</v>
      </c>
      <c r="S26" s="117">
        <v>4</v>
      </c>
      <c r="T26" s="117">
        <v>4</v>
      </c>
      <c r="U26" s="117">
        <v>4</v>
      </c>
      <c r="V26" s="117">
        <v>4</v>
      </c>
      <c r="W26" s="117">
        <v>10</v>
      </c>
      <c r="X26" s="117">
        <v>10</v>
      </c>
      <c r="Y26" s="117">
        <v>23</v>
      </c>
      <c r="Z26" s="117">
        <v>23</v>
      </c>
      <c r="AA26" s="117">
        <v>4</v>
      </c>
      <c r="AB26" s="117">
        <v>9999999</v>
      </c>
      <c r="AC26" s="117">
        <v>10</v>
      </c>
      <c r="AD26" s="117">
        <v>10</v>
      </c>
      <c r="AE26" s="117">
        <v>20</v>
      </c>
      <c r="AF26" s="117">
        <v>20</v>
      </c>
      <c r="AG26" s="117">
        <v>20</v>
      </c>
      <c r="AH26" s="118">
        <v>10</v>
      </c>
      <c r="AI26" s="118">
        <v>23</v>
      </c>
    </row>
    <row r="29" spans="2:35" x14ac:dyDescent="0.25">
      <c r="B29" s="127" t="s">
        <v>2141</v>
      </c>
    </row>
    <row r="30" spans="2:35" x14ac:dyDescent="0.25">
      <c r="B30" s="136" t="s">
        <v>2142</v>
      </c>
      <c r="C30" s="136" t="s">
        <v>2143</v>
      </c>
      <c r="D30" s="137" t="s">
        <v>2144</v>
      </c>
      <c r="E30" s="136" t="s">
        <v>2145</v>
      </c>
      <c r="F30" s="136" t="s">
        <v>2146</v>
      </c>
      <c r="I30" s="190"/>
    </row>
    <row r="31" spans="2:35" ht="75" customHeight="1" x14ac:dyDescent="0.25">
      <c r="B31" s="134" t="s">
        <v>2147</v>
      </c>
      <c r="C31" s="87" t="s">
        <v>737</v>
      </c>
      <c r="D31" s="87" t="s">
        <v>2295</v>
      </c>
      <c r="E31" s="87" t="s">
        <v>2329</v>
      </c>
      <c r="F31" s="135" t="s">
        <v>2235</v>
      </c>
      <c r="I31" s="189"/>
    </row>
    <row r="32" spans="2:35" ht="45" x14ac:dyDescent="0.25">
      <c r="B32" s="138" t="s">
        <v>2155</v>
      </c>
      <c r="C32" s="87" t="s">
        <v>737</v>
      </c>
      <c r="D32" s="87" t="s">
        <v>2295</v>
      </c>
      <c r="E32" s="87" t="s">
        <v>2329</v>
      </c>
      <c r="F32" s="82" t="s">
        <v>2150</v>
      </c>
    </row>
    <row r="33" spans="2:8" ht="60" x14ac:dyDescent="0.25">
      <c r="B33" s="138" t="s">
        <v>2155</v>
      </c>
      <c r="C33" s="207" t="s">
        <v>948</v>
      </c>
      <c r="D33" s="91" t="s">
        <v>2330</v>
      </c>
      <c r="E33" s="91" t="s">
        <v>2331</v>
      </c>
      <c r="F33" s="81" t="s">
        <v>2159</v>
      </c>
    </row>
    <row r="34" spans="2:8" ht="60" x14ac:dyDescent="0.25">
      <c r="B34" s="138" t="s">
        <v>2155</v>
      </c>
      <c r="C34" s="91" t="s">
        <v>958</v>
      </c>
      <c r="D34" s="91" t="s">
        <v>2330</v>
      </c>
      <c r="E34" s="91" t="s">
        <v>2331</v>
      </c>
      <c r="F34" s="81" t="s">
        <v>2159</v>
      </c>
    </row>
    <row r="35" spans="2:8" ht="90" x14ac:dyDescent="0.25">
      <c r="B35" s="138" t="s">
        <v>2155</v>
      </c>
      <c r="C35" s="91" t="s">
        <v>1032</v>
      </c>
      <c r="D35" s="91" t="s">
        <v>2332</v>
      </c>
      <c r="E35" s="91" t="s">
        <v>2333</v>
      </c>
      <c r="F35" s="81" t="s">
        <v>2159</v>
      </c>
    </row>
    <row r="37" spans="2:8" x14ac:dyDescent="0.25">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x14ac:dyDescent="0.25"/>
    <row r="2" spans="2:35"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13" t="s">
        <v>767</v>
      </c>
      <c r="O2" s="101" t="s">
        <v>913</v>
      </c>
      <c r="P2" s="101" t="s">
        <v>923</v>
      </c>
      <c r="Q2" s="101" t="s">
        <v>933</v>
      </c>
      <c r="R2" s="101" t="s">
        <v>941</v>
      </c>
      <c r="S2" s="101" t="s">
        <v>948</v>
      </c>
      <c r="T2" s="101" t="s">
        <v>958</v>
      </c>
      <c r="U2" s="101" t="s">
        <v>965</v>
      </c>
      <c r="V2" s="101" t="s">
        <v>778</v>
      </c>
      <c r="W2" s="101" t="s">
        <v>791</v>
      </c>
      <c r="X2" s="101" t="s">
        <v>749</v>
      </c>
      <c r="Y2" s="101" t="s">
        <v>983</v>
      </c>
      <c r="Z2" s="101" t="s">
        <v>758</v>
      </c>
      <c r="AA2" s="101" t="s">
        <v>997</v>
      </c>
      <c r="AB2" s="101" t="s">
        <v>1018</v>
      </c>
      <c r="AC2" s="101" t="s">
        <v>1008</v>
      </c>
      <c r="AD2" s="101" t="s">
        <v>1026</v>
      </c>
      <c r="AE2" s="101" t="s">
        <v>1041</v>
      </c>
      <c r="AF2" s="101" t="s">
        <v>1032</v>
      </c>
      <c r="AG2" s="101" t="s">
        <v>798</v>
      </c>
      <c r="AH2" s="101" t="s">
        <v>806</v>
      </c>
      <c r="AI2" s="101" t="s">
        <v>813</v>
      </c>
    </row>
    <row r="3" spans="2:35" x14ac:dyDescent="0.25">
      <c r="B3" s="145" t="s">
        <v>2027</v>
      </c>
      <c r="C3" s="102">
        <v>1</v>
      </c>
      <c r="D3" s="102" t="s">
        <v>2334</v>
      </c>
      <c r="E3" s="120">
        <v>45492</v>
      </c>
      <c r="F3" s="102">
        <v>1</v>
      </c>
      <c r="G3" s="220">
        <v>1</v>
      </c>
      <c r="H3" s="174">
        <v>4011121</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c r="W3" s="102" t="s">
        <v>2081</v>
      </c>
      <c r="X3" s="102" t="s">
        <v>2081</v>
      </c>
      <c r="Y3" s="102" t="s">
        <v>2081</v>
      </c>
      <c r="Z3" s="102" t="s">
        <v>2081</v>
      </c>
      <c r="AA3" s="102" t="s">
        <v>2081</v>
      </c>
      <c r="AB3" s="102" t="s">
        <v>2081</v>
      </c>
      <c r="AC3" s="102" t="s">
        <v>2081</v>
      </c>
      <c r="AD3" s="102" t="s">
        <v>2081</v>
      </c>
      <c r="AE3" s="102" t="s">
        <v>2081</v>
      </c>
      <c r="AF3" s="102" t="s">
        <v>2081</v>
      </c>
      <c r="AG3" s="102" t="s">
        <v>2081</v>
      </c>
      <c r="AH3" s="102" t="s">
        <v>2081</v>
      </c>
      <c r="AI3" s="102" t="s">
        <v>2081</v>
      </c>
    </row>
    <row r="4" spans="2:35" x14ac:dyDescent="0.25">
      <c r="B4" s="145" t="s">
        <v>2029</v>
      </c>
      <c r="C4" s="102">
        <v>2</v>
      </c>
      <c r="D4" s="102" t="s">
        <v>2335</v>
      </c>
      <c r="E4" s="120">
        <v>45492</v>
      </c>
      <c r="F4" s="102">
        <v>1</v>
      </c>
      <c r="G4" s="220">
        <v>1</v>
      </c>
      <c r="H4" s="206">
        <v>0</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c r="W4" s="102" t="s">
        <v>2081</v>
      </c>
      <c r="X4" s="102" t="s">
        <v>2081</v>
      </c>
      <c r="Y4" s="102" t="s">
        <v>2081</v>
      </c>
      <c r="Z4" s="102" t="s">
        <v>2081</v>
      </c>
      <c r="AA4" s="102" t="s">
        <v>2081</v>
      </c>
      <c r="AB4" s="102" t="s">
        <v>2081</v>
      </c>
      <c r="AC4" s="102" t="s">
        <v>2081</v>
      </c>
      <c r="AD4" s="102" t="s">
        <v>2081</v>
      </c>
      <c r="AE4" s="102" t="s">
        <v>2081</v>
      </c>
      <c r="AF4" s="102" t="s">
        <v>2081</v>
      </c>
      <c r="AG4" s="102" t="s">
        <v>2081</v>
      </c>
      <c r="AH4" s="102" t="s">
        <v>2081</v>
      </c>
      <c r="AI4" s="102" t="s">
        <v>2081</v>
      </c>
    </row>
    <row r="5" spans="2:35" x14ac:dyDescent="0.25">
      <c r="B5" s="145" t="s">
        <v>2031</v>
      </c>
      <c r="C5" s="102">
        <v>3</v>
      </c>
      <c r="D5" s="102" t="s">
        <v>2336</v>
      </c>
      <c r="E5" s="120">
        <v>45492</v>
      </c>
      <c r="F5" s="102">
        <v>1</v>
      </c>
      <c r="G5" s="220">
        <v>1</v>
      </c>
      <c r="H5" s="206">
        <v>0</v>
      </c>
      <c r="I5" s="102">
        <v>0</v>
      </c>
      <c r="J5" s="102">
        <v>0</v>
      </c>
      <c r="K5" s="102">
        <v>0</v>
      </c>
      <c r="L5" s="102">
        <v>0</v>
      </c>
      <c r="M5" s="102" t="s">
        <v>2081</v>
      </c>
      <c r="N5" s="102" t="s">
        <v>2081</v>
      </c>
      <c r="O5" s="102" t="s">
        <v>2081</v>
      </c>
      <c r="P5" s="102" t="s">
        <v>2081</v>
      </c>
      <c r="Q5" s="102" t="s">
        <v>2081</v>
      </c>
      <c r="R5" s="102" t="s">
        <v>2081</v>
      </c>
      <c r="S5" s="102" t="s">
        <v>2081</v>
      </c>
      <c r="T5" s="102" t="s">
        <v>2081</v>
      </c>
      <c r="U5" s="102" t="s">
        <v>2081</v>
      </c>
      <c r="V5" s="102" t="s">
        <v>2081</v>
      </c>
      <c r="W5" s="102" t="s">
        <v>2081</v>
      </c>
      <c r="X5" s="102" t="s">
        <v>2081</v>
      </c>
      <c r="Y5" s="102" t="s">
        <v>2081</v>
      </c>
      <c r="Z5" s="102" t="s">
        <v>2081</v>
      </c>
      <c r="AA5" s="102" t="s">
        <v>2081</v>
      </c>
      <c r="AB5" s="102" t="s">
        <v>2081</v>
      </c>
      <c r="AC5" s="102" t="s">
        <v>2081</v>
      </c>
      <c r="AD5" s="102" t="s">
        <v>2081</v>
      </c>
      <c r="AE5" s="102" t="s">
        <v>2081</v>
      </c>
      <c r="AF5" s="102" t="s">
        <v>2081</v>
      </c>
      <c r="AG5" s="102" t="s">
        <v>2081</v>
      </c>
      <c r="AH5" s="102">
        <v>0</v>
      </c>
      <c r="AI5" s="102" t="s">
        <v>2081</v>
      </c>
    </row>
    <row r="6" spans="2:35" x14ac:dyDescent="0.25">
      <c r="B6" s="92" t="s">
        <v>2033</v>
      </c>
      <c r="C6" s="102">
        <v>4</v>
      </c>
      <c r="D6" s="102" t="s">
        <v>2086</v>
      </c>
      <c r="E6" s="120" t="s">
        <v>2081</v>
      </c>
      <c r="F6" s="102">
        <v>1</v>
      </c>
      <c r="G6" s="220" t="s">
        <v>2081</v>
      </c>
      <c r="H6" s="102"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c r="W6" s="102" t="s">
        <v>2081</v>
      </c>
      <c r="X6" s="102" t="s">
        <v>2081</v>
      </c>
      <c r="Y6" s="102" t="s">
        <v>2081</v>
      </c>
      <c r="Z6" s="102" t="s">
        <v>2081</v>
      </c>
      <c r="AA6" s="102" t="s">
        <v>2081</v>
      </c>
      <c r="AB6" s="102" t="s">
        <v>2081</v>
      </c>
      <c r="AC6" s="102" t="s">
        <v>2081</v>
      </c>
      <c r="AD6" s="102" t="s">
        <v>2081</v>
      </c>
      <c r="AE6" s="102" t="s">
        <v>2081</v>
      </c>
      <c r="AF6" s="102" t="s">
        <v>2081</v>
      </c>
      <c r="AG6" s="102" t="s">
        <v>2081</v>
      </c>
      <c r="AH6" s="102" t="s">
        <v>2081</v>
      </c>
      <c r="AI6" s="102" t="s">
        <v>2081</v>
      </c>
    </row>
    <row r="7" spans="2:35" x14ac:dyDescent="0.25">
      <c r="B7" s="92" t="s">
        <v>2035</v>
      </c>
      <c r="C7" s="102">
        <v>5</v>
      </c>
      <c r="D7" s="102" t="s">
        <v>2086</v>
      </c>
      <c r="E7" s="120" t="s">
        <v>2081</v>
      </c>
      <c r="F7" s="102">
        <v>1</v>
      </c>
      <c r="G7" s="220" t="s">
        <v>2081</v>
      </c>
      <c r="H7" s="102"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c r="W7" s="102" t="s">
        <v>2081</v>
      </c>
      <c r="X7" s="102" t="s">
        <v>2081</v>
      </c>
      <c r="Y7" s="102" t="s">
        <v>2081</v>
      </c>
      <c r="Z7" s="102" t="s">
        <v>2081</v>
      </c>
      <c r="AA7" s="102" t="s">
        <v>2081</v>
      </c>
      <c r="AB7" s="102" t="s">
        <v>2081</v>
      </c>
      <c r="AC7" s="102" t="s">
        <v>2081</v>
      </c>
      <c r="AD7" s="102" t="s">
        <v>2081</v>
      </c>
      <c r="AE7" s="102" t="s">
        <v>2081</v>
      </c>
      <c r="AF7" s="102" t="s">
        <v>2081</v>
      </c>
      <c r="AG7" s="102" t="s">
        <v>2081</v>
      </c>
      <c r="AH7" s="102" t="s">
        <v>2081</v>
      </c>
      <c r="AI7" s="102" t="s">
        <v>2081</v>
      </c>
    </row>
    <row r="8" spans="2:35" x14ac:dyDescent="0.25">
      <c r="B8" s="176" t="s">
        <v>2036</v>
      </c>
      <c r="C8" s="102">
        <v>6</v>
      </c>
      <c r="D8" s="102" t="s">
        <v>2337</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x14ac:dyDescent="0.25">
      <c r="B9" s="145" t="s">
        <v>2039</v>
      </c>
      <c r="C9" s="102">
        <v>7</v>
      </c>
      <c r="D9" s="102" t="s">
        <v>2338</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x14ac:dyDescent="0.25">
      <c r="B10" s="145" t="s">
        <v>2042</v>
      </c>
      <c r="C10" s="102">
        <v>8</v>
      </c>
      <c r="D10" s="102" t="s">
        <v>2339</v>
      </c>
      <c r="E10" s="120">
        <v>45492</v>
      </c>
      <c r="F10" s="102">
        <v>1</v>
      </c>
      <c r="G10" s="220" t="s">
        <v>2081</v>
      </c>
      <c r="H10" s="206">
        <v>0</v>
      </c>
      <c r="I10" s="102">
        <v>31</v>
      </c>
      <c r="J10" s="102">
        <v>3.1101216902910999E+26</v>
      </c>
      <c r="K10" s="102">
        <v>1</v>
      </c>
      <c r="L10" s="102">
        <v>1</v>
      </c>
      <c r="M10" s="120" t="s">
        <v>2340</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2341</v>
      </c>
      <c r="AC10" s="102" t="e">
        <v>#N/A</v>
      </c>
      <c r="AD10" s="102" t="e">
        <v>#N/A</v>
      </c>
      <c r="AE10" s="102" t="e">
        <v>#N/A</v>
      </c>
      <c r="AF10" s="102" t="e">
        <v>#N/A</v>
      </c>
      <c r="AG10" s="102" t="s">
        <v>2273</v>
      </c>
      <c r="AH10" s="120">
        <v>45492</v>
      </c>
      <c r="AI10" s="102" t="s">
        <v>2342</v>
      </c>
    </row>
    <row r="11" spans="2:35" x14ac:dyDescent="0.25">
      <c r="B11" s="145" t="s">
        <v>2044</v>
      </c>
      <c r="C11" s="102">
        <v>9</v>
      </c>
      <c r="D11" s="102" t="s">
        <v>2343</v>
      </c>
      <c r="E11" s="120">
        <v>45492</v>
      </c>
      <c r="F11" s="102">
        <v>1</v>
      </c>
      <c r="G11" s="220" t="s">
        <v>2081</v>
      </c>
      <c r="H11" s="206">
        <v>0</v>
      </c>
      <c r="I11" s="102">
        <v>31</v>
      </c>
      <c r="J11" s="102">
        <v>3.1101216902910999E+26</v>
      </c>
      <c r="K11" s="102">
        <v>1</v>
      </c>
      <c r="L11" s="102">
        <v>1</v>
      </c>
      <c r="M11" s="120" t="s">
        <v>2340</v>
      </c>
      <c r="N11" s="120" t="e">
        <v>#N/A</v>
      </c>
      <c r="O11" s="206" t="e">
        <v>#N/A</v>
      </c>
      <c r="P11" s="120" t="e">
        <v>#N/A</v>
      </c>
      <c r="Q11" s="102">
        <v>0</v>
      </c>
      <c r="R11" s="102">
        <v>0</v>
      </c>
      <c r="S11" s="102" t="e">
        <v>#N/A</v>
      </c>
      <c r="T11" s="102"/>
      <c r="U11" s="102">
        <v>12</v>
      </c>
      <c r="V11" s="102">
        <v>978</v>
      </c>
      <c r="W11" s="120" t="s">
        <v>2277</v>
      </c>
      <c r="X11" s="102" t="s">
        <v>2277</v>
      </c>
      <c r="Y11" s="102" t="s">
        <v>2278</v>
      </c>
      <c r="Z11" s="102" t="s">
        <v>2278</v>
      </c>
      <c r="AA11" s="102" t="e">
        <v>#N/A</v>
      </c>
      <c r="AB11" s="102" t="e">
        <v>#N/A</v>
      </c>
      <c r="AC11" s="102" t="s">
        <v>2341</v>
      </c>
      <c r="AD11" s="102"/>
      <c r="AE11" s="102" t="e">
        <v>#N/A</v>
      </c>
      <c r="AF11" s="102"/>
      <c r="AG11" s="102" t="s">
        <v>2273</v>
      </c>
      <c r="AH11" s="120">
        <v>45492</v>
      </c>
      <c r="AI11" s="102" t="s">
        <v>2344</v>
      </c>
    </row>
    <row r="12" spans="2:35" x14ac:dyDescent="0.25">
      <c r="B12" s="168" t="s">
        <v>2046</v>
      </c>
      <c r="C12" s="102">
        <v>10</v>
      </c>
      <c r="D12" s="102" t="s">
        <v>2345</v>
      </c>
      <c r="E12" s="120">
        <v>45492</v>
      </c>
      <c r="F12" s="102">
        <v>1</v>
      </c>
      <c r="G12" s="220" t="s">
        <v>2081</v>
      </c>
      <c r="H12" s="206">
        <v>0</v>
      </c>
      <c r="I12" s="102">
        <v>31</v>
      </c>
      <c r="J12" s="102">
        <v>5.1316787200099999E+27</v>
      </c>
      <c r="K12" s="102">
        <v>20240146925</v>
      </c>
      <c r="L12" s="102">
        <v>709260808</v>
      </c>
      <c r="M12" s="120" t="s">
        <v>2340</v>
      </c>
      <c r="N12" s="120">
        <v>1</v>
      </c>
      <c r="O12" s="206">
        <v>5890770069588380</v>
      </c>
      <c r="P12" s="121">
        <v>97</v>
      </c>
      <c r="Q12" s="102">
        <v>1</v>
      </c>
      <c r="R12" s="102">
        <v>1</v>
      </c>
      <c r="S12" s="102">
        <v>1</v>
      </c>
      <c r="T12" s="102" t="s">
        <v>2281</v>
      </c>
      <c r="U12" s="149">
        <v>986</v>
      </c>
      <c r="V12" s="102" t="s">
        <v>2346</v>
      </c>
      <c r="W12" s="120">
        <v>45495</v>
      </c>
      <c r="X12" s="120">
        <v>45495</v>
      </c>
      <c r="Y12" s="149">
        <v>9999000000</v>
      </c>
      <c r="Z12" s="121">
        <v>211866</v>
      </c>
      <c r="AA12" s="102">
        <v>98</v>
      </c>
      <c r="AB12" s="102" t="s">
        <v>2347</v>
      </c>
      <c r="AC12" s="102">
        <v>999903</v>
      </c>
      <c r="AD12" s="102">
        <v>1528707</v>
      </c>
      <c r="AE12" s="102">
        <v>9406</v>
      </c>
      <c r="AF12" s="102">
        <v>552429</v>
      </c>
      <c r="AG12" s="102" t="s">
        <v>2224</v>
      </c>
      <c r="AH12" s="120">
        <v>45492</v>
      </c>
      <c r="AI12" s="102" t="s">
        <v>2342</v>
      </c>
    </row>
    <row r="13" spans="2:35" x14ac:dyDescent="0.25">
      <c r="B13" s="145" t="s">
        <v>2048</v>
      </c>
      <c r="C13" s="102">
        <v>11</v>
      </c>
      <c r="D13" s="102" t="s">
        <v>2348</v>
      </c>
      <c r="E13" s="120">
        <v>45492</v>
      </c>
      <c r="F13" s="102">
        <v>1</v>
      </c>
      <c r="G13" s="220" t="s">
        <v>2081</v>
      </c>
      <c r="H13" s="206">
        <v>0</v>
      </c>
      <c r="I13" s="102">
        <v>31</v>
      </c>
      <c r="J13" s="102">
        <v>5.1316787200099999E+27</v>
      </c>
      <c r="K13" s="102">
        <v>20240146925</v>
      </c>
      <c r="L13" s="102">
        <v>709260808</v>
      </c>
      <c r="M13" s="120" t="s">
        <v>2340</v>
      </c>
      <c r="N13" s="120">
        <v>1</v>
      </c>
      <c r="O13" s="206">
        <v>5890770069588380</v>
      </c>
      <c r="P13" s="120" t="s">
        <v>2349</v>
      </c>
      <c r="Q13" s="102">
        <v>1</v>
      </c>
      <c r="R13" s="102">
        <v>1</v>
      </c>
      <c r="S13" s="102">
        <v>1</v>
      </c>
      <c r="T13" s="102" t="s">
        <v>2281</v>
      </c>
      <c r="U13" s="102" t="s">
        <v>2346</v>
      </c>
      <c r="V13" s="102" t="s">
        <v>2346</v>
      </c>
      <c r="W13" s="120">
        <v>45495</v>
      </c>
      <c r="X13" s="120">
        <v>45495</v>
      </c>
      <c r="Y13" s="102" t="s">
        <v>2350</v>
      </c>
      <c r="Z13" s="102" t="s">
        <v>2351</v>
      </c>
      <c r="AA13" s="102">
        <v>98</v>
      </c>
      <c r="AB13" s="102">
        <v>999903</v>
      </c>
      <c r="AC13" s="102" t="s">
        <v>2347</v>
      </c>
      <c r="AD13" s="102">
        <v>1528707</v>
      </c>
      <c r="AE13" s="102">
        <v>9406</v>
      </c>
      <c r="AF13" s="102">
        <v>552429</v>
      </c>
      <c r="AG13" s="102" t="s">
        <v>2224</v>
      </c>
      <c r="AH13" s="120">
        <v>45492</v>
      </c>
      <c r="AI13" s="102" t="s">
        <v>2352</v>
      </c>
    </row>
    <row r="14" spans="2:35" x14ac:dyDescent="0.25">
      <c r="B14" s="145" t="s">
        <v>2050</v>
      </c>
      <c r="C14" s="102">
        <v>12</v>
      </c>
      <c r="D14" s="102" t="s">
        <v>2353</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x14ac:dyDescent="0.25">
      <c r="B15" s="145" t="s">
        <v>2052</v>
      </c>
      <c r="C15" s="102">
        <v>13</v>
      </c>
      <c r="D15" s="102" t="s">
        <v>2354</v>
      </c>
      <c r="E15" s="120">
        <v>45492</v>
      </c>
      <c r="F15" s="102">
        <v>1</v>
      </c>
      <c r="G15" s="220">
        <v>1</v>
      </c>
      <c r="H15" s="206">
        <v>0</v>
      </c>
      <c r="I15" s="102" t="s">
        <v>2081</v>
      </c>
      <c r="J15" s="102" t="s">
        <v>2081</v>
      </c>
      <c r="K15" s="102" t="s">
        <v>2081</v>
      </c>
      <c r="L15" s="92" t="s">
        <v>2081</v>
      </c>
      <c r="M15" s="92" t="s">
        <v>2081</v>
      </c>
      <c r="N15" s="92" t="s">
        <v>2081</v>
      </c>
      <c r="O15" s="102" t="s">
        <v>2081</v>
      </c>
      <c r="P15" s="92" t="s">
        <v>2081</v>
      </c>
      <c r="Q15" s="92" t="s">
        <v>2081</v>
      </c>
      <c r="R15" s="92" t="s">
        <v>2081</v>
      </c>
      <c r="S15" s="102" t="s">
        <v>2081</v>
      </c>
      <c r="T15" s="102" t="s">
        <v>2081</v>
      </c>
      <c r="U15" s="102" t="s">
        <v>2081</v>
      </c>
      <c r="V15" s="102" t="s">
        <v>2081</v>
      </c>
      <c r="W15" s="102">
        <v>0</v>
      </c>
      <c r="X15" s="102">
        <v>0</v>
      </c>
      <c r="Y15" s="102" t="s">
        <v>2081</v>
      </c>
      <c r="Z15" s="102" t="s">
        <v>2081</v>
      </c>
      <c r="AA15" s="102" t="s">
        <v>2081</v>
      </c>
      <c r="AB15" s="102" t="s">
        <v>2081</v>
      </c>
      <c r="AC15" s="102" t="s">
        <v>2081</v>
      </c>
      <c r="AD15" s="102" t="s">
        <v>2081</v>
      </c>
      <c r="AE15" s="102" t="s">
        <v>2081</v>
      </c>
      <c r="AF15" s="102" t="s">
        <v>2081</v>
      </c>
      <c r="AG15" s="102" t="s">
        <v>2081</v>
      </c>
      <c r="AH15" s="102" t="s">
        <v>2081</v>
      </c>
      <c r="AI15" s="102" t="s">
        <v>2081</v>
      </c>
    </row>
    <row r="16" spans="2:35" x14ac:dyDescent="0.25">
      <c r="B16" s="145" t="s">
        <v>2054</v>
      </c>
      <c r="C16" s="102">
        <v>14</v>
      </c>
      <c r="D16" s="102" t="s">
        <v>2355</v>
      </c>
      <c r="E16" s="120">
        <v>45492</v>
      </c>
      <c r="F16" s="102">
        <v>1</v>
      </c>
      <c r="G16" s="220">
        <v>1</v>
      </c>
      <c r="H16" s="206">
        <v>0</v>
      </c>
      <c r="I16" s="102">
        <v>0</v>
      </c>
      <c r="J16" s="102">
        <v>0</v>
      </c>
      <c r="K16" s="102" t="s">
        <v>2081</v>
      </c>
      <c r="L16" s="102" t="s">
        <v>2081</v>
      </c>
      <c r="M16" s="92">
        <v>0</v>
      </c>
      <c r="N16" s="92" t="s">
        <v>2081</v>
      </c>
      <c r="O16" s="102" t="s">
        <v>2081</v>
      </c>
      <c r="P16" s="102" t="s">
        <v>2081</v>
      </c>
      <c r="Q16" s="102" t="s">
        <v>2081</v>
      </c>
      <c r="R16" s="92" t="s">
        <v>2081</v>
      </c>
      <c r="S16" s="102" t="s">
        <v>2081</v>
      </c>
      <c r="T16" s="102">
        <v>0</v>
      </c>
      <c r="U16" s="102">
        <v>0</v>
      </c>
      <c r="V16" s="102">
        <v>0</v>
      </c>
      <c r="W16" s="102" t="s">
        <v>2081</v>
      </c>
      <c r="X16" s="102" t="s">
        <v>2081</v>
      </c>
      <c r="Y16" s="102" t="s">
        <v>2081</v>
      </c>
      <c r="Z16" s="102" t="s">
        <v>2081</v>
      </c>
      <c r="AA16" s="102">
        <v>0</v>
      </c>
      <c r="AB16" s="102">
        <v>0</v>
      </c>
      <c r="AC16" s="102" t="s">
        <v>2081</v>
      </c>
      <c r="AD16" s="102">
        <v>0</v>
      </c>
      <c r="AE16" s="102">
        <v>0</v>
      </c>
      <c r="AF16" s="102">
        <v>0</v>
      </c>
      <c r="AG16" s="102">
        <v>0</v>
      </c>
      <c r="AH16" s="102" t="s">
        <v>2081</v>
      </c>
      <c r="AI16" s="102" t="s">
        <v>2081</v>
      </c>
    </row>
    <row r="17" spans="2:35" x14ac:dyDescent="0.25">
      <c r="B17" s="178" t="s">
        <v>2056</v>
      </c>
      <c r="C17" s="102">
        <v>15</v>
      </c>
      <c r="D17" s="102" t="s">
        <v>2356</v>
      </c>
      <c r="E17" s="120">
        <v>45492</v>
      </c>
      <c r="F17" s="102">
        <v>1</v>
      </c>
      <c r="G17" s="220">
        <v>1</v>
      </c>
      <c r="H17" s="206">
        <v>0</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c r="W17" s="102" t="s">
        <v>2081</v>
      </c>
      <c r="X17" s="102" t="s">
        <v>2081</v>
      </c>
      <c r="Y17" s="102" t="s">
        <v>2081</v>
      </c>
      <c r="Z17" s="102" t="s">
        <v>2081</v>
      </c>
      <c r="AA17" s="102" t="s">
        <v>2081</v>
      </c>
      <c r="AB17" s="102" t="s">
        <v>2081</v>
      </c>
      <c r="AC17" s="102" t="s">
        <v>2081</v>
      </c>
      <c r="AD17" s="102" t="s">
        <v>2081</v>
      </c>
      <c r="AE17" s="102" t="s">
        <v>2081</v>
      </c>
      <c r="AF17" s="102" t="s">
        <v>2081</v>
      </c>
      <c r="AG17" s="102" t="s">
        <v>2081</v>
      </c>
      <c r="AH17" s="102" t="s">
        <v>2081</v>
      </c>
      <c r="AI17" s="102" t="s">
        <v>2081</v>
      </c>
    </row>
    <row r="18" spans="2:35" x14ac:dyDescent="0.25">
      <c r="B18" s="178" t="s">
        <v>2058</v>
      </c>
      <c r="C18" s="102">
        <v>16</v>
      </c>
      <c r="D18" s="102" t="s">
        <v>2356</v>
      </c>
      <c r="E18" s="120">
        <v>45492</v>
      </c>
      <c r="F18" s="102">
        <v>1</v>
      </c>
      <c r="G18" s="220">
        <v>1</v>
      </c>
      <c r="H18" s="206">
        <v>0</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c r="W18" s="102" t="s">
        <v>2081</v>
      </c>
      <c r="X18" s="102" t="s">
        <v>2081</v>
      </c>
      <c r="Y18" s="102" t="s">
        <v>2081</v>
      </c>
      <c r="Z18" s="102" t="s">
        <v>2081</v>
      </c>
      <c r="AA18" s="102" t="s">
        <v>2081</v>
      </c>
      <c r="AB18" s="102" t="s">
        <v>2081</v>
      </c>
      <c r="AC18" s="102" t="s">
        <v>2081</v>
      </c>
      <c r="AD18" s="102" t="s">
        <v>2081</v>
      </c>
      <c r="AE18" s="102" t="s">
        <v>2081</v>
      </c>
      <c r="AF18" s="102" t="s">
        <v>2081</v>
      </c>
      <c r="AG18" s="102" t="s">
        <v>2081</v>
      </c>
      <c r="AH18" s="102" t="s">
        <v>2081</v>
      </c>
      <c r="AI18" s="102" t="s">
        <v>2081</v>
      </c>
    </row>
    <row r="19" spans="2:35" x14ac:dyDescent="0.25">
      <c r="B19" s="145" t="s">
        <v>2064</v>
      </c>
      <c r="C19" s="102">
        <v>19</v>
      </c>
      <c r="D19" s="102" t="s">
        <v>2357</v>
      </c>
      <c r="E19" s="120">
        <v>45492</v>
      </c>
      <c r="F19" s="102">
        <v>1</v>
      </c>
      <c r="G19" s="220" cm="1">
        <f t="array" ref="G19">SUMPRODUCT(--(ISNUMBER((SEARCH(I25:AI25,I19:AI19)))))/COUNTA(I19:AI19)</f>
        <v>0.96296296296296291</v>
      </c>
      <c r="H19" s="102" t="s">
        <v>2081</v>
      </c>
      <c r="I19" s="102" t="s">
        <v>2131</v>
      </c>
      <c r="J19" s="102" t="s">
        <v>2131</v>
      </c>
      <c r="K19" s="102" t="s">
        <v>2292</v>
      </c>
      <c r="L19" s="102" t="s">
        <v>2132</v>
      </c>
      <c r="M19" s="102" t="s">
        <v>2131</v>
      </c>
      <c r="N19" s="102" t="s">
        <v>2131</v>
      </c>
      <c r="O19" s="102" t="s">
        <v>2131</v>
      </c>
      <c r="P19" s="102" t="s">
        <v>2131</v>
      </c>
      <c r="Q19" s="102" t="s">
        <v>2131</v>
      </c>
      <c r="R19" s="102" t="s">
        <v>2131</v>
      </c>
      <c r="S19" s="102" t="s">
        <v>2131</v>
      </c>
      <c r="T19" s="102" t="s">
        <v>2131</v>
      </c>
      <c r="U19" s="102" t="s">
        <v>2131</v>
      </c>
      <c r="V19" s="102" t="s">
        <v>2131</v>
      </c>
      <c r="W19" s="102" t="s">
        <v>2131</v>
      </c>
      <c r="X19" s="102" t="s">
        <v>2131</v>
      </c>
      <c r="Y19" s="102" t="s">
        <v>2131</v>
      </c>
      <c r="Z19" s="102" t="s">
        <v>2358</v>
      </c>
      <c r="AA19" s="102" t="s">
        <v>2131</v>
      </c>
      <c r="AB19" s="102" t="s">
        <v>2131</v>
      </c>
      <c r="AC19" s="102" t="s">
        <v>2131</v>
      </c>
      <c r="AD19" s="102" t="s">
        <v>2131</v>
      </c>
      <c r="AE19" s="102" t="s">
        <v>2131</v>
      </c>
      <c r="AF19" s="102" t="s">
        <v>2131</v>
      </c>
      <c r="AG19" s="102" t="s">
        <v>2131</v>
      </c>
      <c r="AH19" s="102" t="s">
        <v>2131</v>
      </c>
      <c r="AI19" s="102" t="s">
        <v>2134</v>
      </c>
    </row>
    <row r="20" spans="2:35" x14ac:dyDescent="0.25">
      <c r="B20" s="145" t="s">
        <v>2067</v>
      </c>
      <c r="C20" s="102">
        <v>20</v>
      </c>
      <c r="D20" s="102"/>
      <c r="E20" s="120"/>
      <c r="F20" s="102"/>
      <c r="G20" s="220" t="e" cm="1" vm="1">
        <f t="array" ref="G20">SUM(IF(I2:AI2 = I24:AI24, 1, 0))/ COUNTA(I2:AI2)</f>
        <v>#VALUE!</v>
      </c>
      <c r="H20" s="102" t="s">
        <v>2081</v>
      </c>
      <c r="I20" s="102" t="s">
        <v>2081</v>
      </c>
      <c r="J20" s="102" t="s">
        <v>2081</v>
      </c>
      <c r="K20" s="102" t="s">
        <v>2081</v>
      </c>
      <c r="L20" s="102" t="s">
        <v>2081</v>
      </c>
      <c r="M20" s="102" t="s">
        <v>2081</v>
      </c>
      <c r="N20" s="102" t="s">
        <v>2081</v>
      </c>
      <c r="O20" s="102" t="s">
        <v>2081</v>
      </c>
      <c r="P20" s="102" t="s">
        <v>2081</v>
      </c>
      <c r="Q20" s="102" t="s">
        <v>2081</v>
      </c>
      <c r="R20" s="102" t="s">
        <v>2081</v>
      </c>
      <c r="S20" s="102" t="s">
        <v>2081</v>
      </c>
      <c r="T20" s="102" t="s">
        <v>2081</v>
      </c>
      <c r="U20" s="102" t="s">
        <v>2081</v>
      </c>
      <c r="V20" s="102" t="s">
        <v>2081</v>
      </c>
      <c r="W20" s="102" t="s">
        <v>2081</v>
      </c>
      <c r="X20" s="102" t="s">
        <v>2081</v>
      </c>
      <c r="Y20" s="102" t="s">
        <v>2081</v>
      </c>
      <c r="Z20" s="102" t="s">
        <v>2081</v>
      </c>
      <c r="AA20" s="102" t="s">
        <v>2081</v>
      </c>
      <c r="AB20" s="102" t="s">
        <v>2081</v>
      </c>
      <c r="AC20" s="102" t="s">
        <v>2081</v>
      </c>
      <c r="AD20" s="102" t="s">
        <v>2081</v>
      </c>
      <c r="AE20" s="102" t="s">
        <v>2081</v>
      </c>
      <c r="AF20" s="102" t="s">
        <v>2081</v>
      </c>
      <c r="AG20" s="102" t="s">
        <v>2081</v>
      </c>
      <c r="AH20" s="102" t="s">
        <v>2081</v>
      </c>
      <c r="AI20" s="102" t="s">
        <v>2081</v>
      </c>
    </row>
    <row r="21" spans="2:35" x14ac:dyDescent="0.25">
      <c r="B21" s="169" t="s">
        <v>2070</v>
      </c>
      <c r="C21" s="102">
        <v>21</v>
      </c>
      <c r="D21" s="102"/>
      <c r="E21" s="120"/>
      <c r="F21" s="102"/>
      <c r="G21" s="220" t="e" cm="1" vm="1">
        <f t="array" ref="G21">SUM(IF(IF(G3:G20="null",1,G3:G20)=1,1,0))/COUNT(IF(G3:G20="null",1,1))</f>
        <v>#VALUE!</v>
      </c>
      <c r="H21" s="102" t="s">
        <v>2081</v>
      </c>
      <c r="I21" s="102" t="s">
        <v>2081</v>
      </c>
      <c r="J21" s="102" t="s">
        <v>2081</v>
      </c>
      <c r="K21" s="102" t="s">
        <v>2081</v>
      </c>
      <c r="L21" s="102" t="s">
        <v>2081</v>
      </c>
      <c r="M21" s="102" t="s">
        <v>2081</v>
      </c>
      <c r="N21" s="102" t="s">
        <v>2081</v>
      </c>
      <c r="O21" s="102" t="s">
        <v>2081</v>
      </c>
      <c r="P21" s="102" t="s">
        <v>2081</v>
      </c>
      <c r="Q21" s="102" t="s">
        <v>2081</v>
      </c>
      <c r="R21" s="102" t="s">
        <v>2081</v>
      </c>
      <c r="S21" s="102" t="s">
        <v>2081</v>
      </c>
      <c r="T21" s="102" t="s">
        <v>2081</v>
      </c>
      <c r="U21" s="102" t="s">
        <v>2081</v>
      </c>
      <c r="V21" s="102" t="s">
        <v>2081</v>
      </c>
      <c r="W21" s="102" t="s">
        <v>2081</v>
      </c>
      <c r="X21" s="102" t="s">
        <v>2081</v>
      </c>
      <c r="Y21" s="102" t="s">
        <v>2081</v>
      </c>
      <c r="Z21" s="102" t="s">
        <v>2081</v>
      </c>
      <c r="AA21" s="102" t="s">
        <v>2081</v>
      </c>
      <c r="AB21" s="102" t="s">
        <v>2081</v>
      </c>
      <c r="AC21" s="102" t="s">
        <v>2081</v>
      </c>
      <c r="AD21" s="102" t="s">
        <v>2081</v>
      </c>
      <c r="AE21" s="102" t="s">
        <v>2081</v>
      </c>
      <c r="AF21" s="102" t="s">
        <v>2081</v>
      </c>
      <c r="AG21" s="102" t="s">
        <v>2081</v>
      </c>
      <c r="AH21" s="102" t="s">
        <v>2081</v>
      </c>
      <c r="AI21" s="102" t="s">
        <v>2081</v>
      </c>
    </row>
    <row r="22" spans="2:35" x14ac:dyDescent="0.25">
      <c r="B22" s="102"/>
      <c r="C22" s="102"/>
      <c r="D22" s="102"/>
      <c r="E22" s="120"/>
      <c r="F22" s="102"/>
      <c r="G22" s="102"/>
      <c r="H22" s="102"/>
      <c r="I22" s="102"/>
      <c r="J22" s="102"/>
      <c r="K22" s="102"/>
      <c r="L22" s="102"/>
      <c r="M22" s="102"/>
      <c r="N22" s="102"/>
      <c r="O22" s="102"/>
      <c r="P22" s="102"/>
      <c r="Q22" s="102"/>
      <c r="R22" s="102"/>
      <c r="S22" s="102"/>
      <c r="T22" s="102"/>
      <c r="U22" s="102"/>
    </row>
    <row r="23" spans="2:35" x14ac:dyDescent="0.25">
      <c r="B23" s="110" t="s">
        <v>2135</v>
      </c>
    </row>
    <row r="24" spans="2:35" x14ac:dyDescent="0.25">
      <c r="B24" s="111" t="s">
        <v>2136</v>
      </c>
      <c r="C24" s="112" t="s">
        <v>2074</v>
      </c>
      <c r="D24" s="112" t="s">
        <v>2075</v>
      </c>
      <c r="E24" s="112" t="s">
        <v>2076</v>
      </c>
      <c r="F24" s="112" t="s">
        <v>2077</v>
      </c>
      <c r="G24" s="112" t="s">
        <v>2078</v>
      </c>
      <c r="H24" s="112" t="s">
        <v>2079</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x14ac:dyDescent="0.25">
      <c r="B25" s="104" t="s">
        <v>2137</v>
      </c>
      <c r="C25" s="117">
        <v>21</v>
      </c>
      <c r="D25" s="106" t="s">
        <v>2138</v>
      </c>
      <c r="E25" s="105" t="s">
        <v>2139</v>
      </c>
      <c r="F25" s="105" t="s">
        <v>1178</v>
      </c>
      <c r="G25" s="105" t="s">
        <v>1178</v>
      </c>
      <c r="H25" s="105" t="s">
        <v>1178</v>
      </c>
      <c r="I25" s="105" t="e" cm="1" vm="2">
        <f t="array" ref="I25">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x14ac:dyDescent="0.25">
      <c r="B26" s="122" t="s">
        <v>2140</v>
      </c>
      <c r="C26" s="117">
        <v>7</v>
      </c>
      <c r="D26" s="123" t="s">
        <v>2138</v>
      </c>
      <c r="E26" s="117" t="s">
        <v>2139</v>
      </c>
      <c r="F26" s="117" t="s">
        <v>1178</v>
      </c>
      <c r="G26" s="117" t="s">
        <v>1178</v>
      </c>
      <c r="H26" s="117" t="s">
        <v>1178</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x14ac:dyDescent="0.25">
      <c r="B27" t="s">
        <v>2359</v>
      </c>
    </row>
    <row r="29" spans="2:35" x14ac:dyDescent="0.25">
      <c r="B29" s="127" t="s">
        <v>2141</v>
      </c>
    </row>
    <row r="30" spans="2:35" x14ac:dyDescent="0.25">
      <c r="B30" s="136" t="s">
        <v>2142</v>
      </c>
      <c r="C30" s="136" t="s">
        <v>2143</v>
      </c>
      <c r="D30" s="137" t="s">
        <v>2144</v>
      </c>
      <c r="E30" s="136" t="s">
        <v>2145</v>
      </c>
      <c r="F30" s="136" t="s">
        <v>2146</v>
      </c>
      <c r="H30" s="222"/>
    </row>
    <row r="31" spans="2:35" ht="45" x14ac:dyDescent="0.25">
      <c r="B31" s="134" t="s">
        <v>2155</v>
      </c>
      <c r="C31" s="87" t="s">
        <v>737</v>
      </c>
      <c r="D31" s="87" t="s">
        <v>2233</v>
      </c>
      <c r="E31" s="87" t="s">
        <v>2360</v>
      </c>
      <c r="F31" s="135" t="s">
        <v>2235</v>
      </c>
    </row>
    <row r="32" spans="2:35" ht="45" x14ac:dyDescent="0.25">
      <c r="B32" s="134" t="s">
        <v>2155</v>
      </c>
      <c r="C32" s="207" t="s">
        <v>767</v>
      </c>
      <c r="D32" s="207" t="s">
        <v>2361</v>
      </c>
      <c r="E32" s="207" t="s">
        <v>2362</v>
      </c>
      <c r="F32" s="221" t="s">
        <v>2150</v>
      </c>
      <c r="H32" s="190"/>
    </row>
    <row r="33" spans="2:8" ht="30" x14ac:dyDescent="0.25">
      <c r="B33" s="134" t="s">
        <v>2155</v>
      </c>
      <c r="C33" s="207" t="s">
        <v>941</v>
      </c>
      <c r="D33" s="207" t="s">
        <v>2363</v>
      </c>
      <c r="E33" s="207" t="s">
        <v>2364</v>
      </c>
      <c r="F33" s="221" t="s">
        <v>2150</v>
      </c>
      <c r="H33" s="190"/>
    </row>
    <row r="34" spans="2:8" ht="120" x14ac:dyDescent="0.25">
      <c r="B34" s="138" t="s">
        <v>2155</v>
      </c>
      <c r="C34" s="91" t="s">
        <v>948</v>
      </c>
      <c r="D34" s="91" t="s">
        <v>2365</v>
      </c>
      <c r="E34" s="91" t="s">
        <v>2366</v>
      </c>
      <c r="F34" s="81" t="s">
        <v>2367</v>
      </c>
      <c r="H34" s="190"/>
    </row>
    <row r="35" spans="2:8" ht="156" customHeight="1" x14ac:dyDescent="0.25">
      <c r="B35" s="138" t="s">
        <v>2155</v>
      </c>
      <c r="C35" s="91" t="s">
        <v>958</v>
      </c>
      <c r="D35" s="91" t="s">
        <v>2368</v>
      </c>
      <c r="E35" s="91" t="s">
        <v>2366</v>
      </c>
      <c r="F35" s="81" t="s">
        <v>2367</v>
      </c>
      <c r="H35" s="189"/>
    </row>
    <row r="36" spans="2:8" ht="45" x14ac:dyDescent="0.25">
      <c r="B36" s="138" t="s">
        <v>2155</v>
      </c>
      <c r="C36" s="91" t="s">
        <v>1026</v>
      </c>
      <c r="D36" s="91" t="s">
        <v>2369</v>
      </c>
      <c r="E36" s="91" t="s">
        <v>2370</v>
      </c>
      <c r="F36" s="81" t="s">
        <v>2159</v>
      </c>
    </row>
    <row r="37" spans="2:8" ht="180" x14ac:dyDescent="0.25">
      <c r="B37" s="218" t="s">
        <v>2155</v>
      </c>
      <c r="C37" s="217" t="s">
        <v>1032</v>
      </c>
      <c r="D37" s="217" t="s">
        <v>2371</v>
      </c>
      <c r="E37" s="217" t="s">
        <v>2372</v>
      </c>
      <c r="F37" s="81" t="s">
        <v>2373</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U35"/>
  <sheetViews>
    <sheetView showGridLines="0" workbookViewId="0">
      <selection activeCell="F19" sqref="F19"/>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x14ac:dyDescent="0.25"/>
    <row r="2" spans="2:21"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13" t="s">
        <v>767</v>
      </c>
      <c r="O2" s="101" t="s">
        <v>778</v>
      </c>
      <c r="P2" s="101" t="s">
        <v>791</v>
      </c>
      <c r="Q2" s="101" t="s">
        <v>749</v>
      </c>
      <c r="R2" s="101" t="s">
        <v>758</v>
      </c>
      <c r="S2" s="101" t="s">
        <v>798</v>
      </c>
      <c r="T2" s="101" t="s">
        <v>806</v>
      </c>
      <c r="U2" s="101" t="s">
        <v>813</v>
      </c>
    </row>
    <row r="3" spans="2:21" x14ac:dyDescent="0.25">
      <c r="B3" s="145" t="s">
        <v>2027</v>
      </c>
      <c r="C3" s="102">
        <v>1</v>
      </c>
      <c r="D3" s="102" t="s">
        <v>2374</v>
      </c>
      <c r="E3" s="120">
        <v>45504</v>
      </c>
      <c r="F3" s="102">
        <v>1</v>
      </c>
      <c r="G3" s="220">
        <v>1</v>
      </c>
      <c r="H3" s="174">
        <v>14644</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row>
    <row r="4" spans="2:21" x14ac:dyDescent="0.25">
      <c r="B4" s="145" t="s">
        <v>2029</v>
      </c>
      <c r="C4" s="102">
        <v>2</v>
      </c>
      <c r="D4" s="102" t="s">
        <v>2375</v>
      </c>
      <c r="E4" s="120">
        <v>45504</v>
      </c>
      <c r="F4" s="102">
        <v>1</v>
      </c>
      <c r="G4" s="220">
        <v>0.55845400000000001</v>
      </c>
      <c r="H4" s="206">
        <v>6466</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row>
    <row r="5" spans="2:21" x14ac:dyDescent="0.25">
      <c r="B5" s="145" t="s">
        <v>2031</v>
      </c>
      <c r="C5" s="102">
        <v>3</v>
      </c>
      <c r="D5" s="102" t="s">
        <v>2376</v>
      </c>
      <c r="E5" s="120">
        <v>45504</v>
      </c>
      <c r="F5" s="102">
        <v>1</v>
      </c>
      <c r="G5" s="220">
        <v>1</v>
      </c>
      <c r="H5" s="206">
        <v>0</v>
      </c>
      <c r="I5" s="102">
        <v>0</v>
      </c>
      <c r="J5" s="102">
        <v>0</v>
      </c>
      <c r="K5" s="102">
        <v>0</v>
      </c>
      <c r="L5" s="102">
        <v>0</v>
      </c>
      <c r="M5" s="102" t="s">
        <v>2081</v>
      </c>
      <c r="N5" s="102" t="s">
        <v>2081</v>
      </c>
      <c r="O5" s="102" t="s">
        <v>2081</v>
      </c>
      <c r="P5" s="102" t="s">
        <v>2081</v>
      </c>
      <c r="Q5" s="102" t="s">
        <v>2081</v>
      </c>
      <c r="R5" s="102" t="s">
        <v>2081</v>
      </c>
      <c r="S5" s="102" t="s">
        <v>2081</v>
      </c>
      <c r="T5" s="102">
        <v>0</v>
      </c>
      <c r="U5" s="102" t="s">
        <v>2081</v>
      </c>
    </row>
    <row r="6" spans="2:21" x14ac:dyDescent="0.25">
      <c r="B6" s="92" t="s">
        <v>2033</v>
      </c>
      <c r="C6" s="102">
        <v>4</v>
      </c>
      <c r="D6" s="102" t="s">
        <v>2086</v>
      </c>
      <c r="E6" s="120" t="s">
        <v>2081</v>
      </c>
      <c r="F6" s="102">
        <v>1</v>
      </c>
      <c r="G6" s="220" t="s">
        <v>2081</v>
      </c>
      <c r="H6" s="206">
        <v>0</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row>
    <row r="7" spans="2:21" x14ac:dyDescent="0.25">
      <c r="B7" s="92" t="s">
        <v>2035</v>
      </c>
      <c r="C7" s="102">
        <v>5</v>
      </c>
      <c r="D7" s="102" t="s">
        <v>2086</v>
      </c>
      <c r="E7" s="120" t="s">
        <v>2081</v>
      </c>
      <c r="F7" s="102">
        <v>1</v>
      </c>
      <c r="G7" s="220" t="s">
        <v>2081</v>
      </c>
      <c r="H7" s="206">
        <v>0</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row>
    <row r="8" spans="2:21" x14ac:dyDescent="0.25">
      <c r="B8" s="176" t="s">
        <v>2036</v>
      </c>
      <c r="C8" s="102">
        <v>6</v>
      </c>
      <c r="D8" s="102" t="s">
        <v>2377</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x14ac:dyDescent="0.25">
      <c r="B9" s="145" t="s">
        <v>2039</v>
      </c>
      <c r="C9" s="102">
        <v>7</v>
      </c>
      <c r="D9" s="102" t="s">
        <v>2378</v>
      </c>
      <c r="E9" s="120">
        <v>45504</v>
      </c>
      <c r="F9" s="102">
        <v>1</v>
      </c>
      <c r="G9" s="220" cm="1">
        <f t="array" ref="G9">SUMPRODUCT(--(I9:U9&lt;=I26:U26))/COUNTA(I9:U9)</f>
        <v>1</v>
      </c>
      <c r="H9" s="206">
        <v>0</v>
      </c>
      <c r="I9" s="102">
        <v>2</v>
      </c>
      <c r="J9" s="102">
        <v>22</v>
      </c>
      <c r="K9" s="102">
        <v>5</v>
      </c>
      <c r="L9" s="102">
        <v>3</v>
      </c>
      <c r="M9" s="102">
        <v>0</v>
      </c>
      <c r="N9" s="102">
        <v>1</v>
      </c>
      <c r="O9" s="102">
        <v>3</v>
      </c>
      <c r="P9" s="102">
        <v>10</v>
      </c>
      <c r="Q9" s="102">
        <v>10</v>
      </c>
      <c r="R9" s="102">
        <v>8</v>
      </c>
      <c r="S9" s="102">
        <v>2</v>
      </c>
      <c r="T9" s="102">
        <v>10</v>
      </c>
      <c r="U9" s="102">
        <v>23</v>
      </c>
    </row>
    <row r="10" spans="2:21" x14ac:dyDescent="0.25">
      <c r="B10" s="145" t="s">
        <v>2042</v>
      </c>
      <c r="C10" s="102">
        <v>8</v>
      </c>
      <c r="D10" s="102" t="s">
        <v>2379</v>
      </c>
      <c r="E10" s="120">
        <v>45504</v>
      </c>
      <c r="F10" s="102">
        <v>1</v>
      </c>
      <c r="G10" s="220" t="s">
        <v>2081</v>
      </c>
      <c r="H10" s="206">
        <v>0</v>
      </c>
      <c r="I10" s="102">
        <v>31</v>
      </c>
      <c r="J10" s="102">
        <v>3880630810000000</v>
      </c>
      <c r="K10" s="102">
        <v>1</v>
      </c>
      <c r="L10" s="120">
        <v>155</v>
      </c>
      <c r="M10" s="120" t="s">
        <v>2088</v>
      </c>
      <c r="N10" s="120">
        <v>0</v>
      </c>
      <c r="O10" s="206">
        <v>124</v>
      </c>
      <c r="P10" s="120">
        <v>45482</v>
      </c>
      <c r="Q10" s="120">
        <v>45504</v>
      </c>
      <c r="R10" s="102">
        <v>-2000000</v>
      </c>
      <c r="S10" s="120" t="s">
        <v>2380</v>
      </c>
      <c r="T10" s="120">
        <v>45504</v>
      </c>
      <c r="U10" s="102" t="s">
        <v>2381</v>
      </c>
    </row>
    <row r="11" spans="2:21" x14ac:dyDescent="0.25">
      <c r="B11" s="145" t="s">
        <v>2044</v>
      </c>
      <c r="C11" s="102">
        <v>9</v>
      </c>
      <c r="D11" s="102" t="s">
        <v>2382</v>
      </c>
      <c r="E11" s="120">
        <v>45504</v>
      </c>
      <c r="F11" s="102">
        <v>1</v>
      </c>
      <c r="G11" s="220" t="s">
        <v>2081</v>
      </c>
      <c r="H11" s="206">
        <v>0</v>
      </c>
      <c r="I11" s="102">
        <v>31</v>
      </c>
      <c r="J11" s="102">
        <v>3880630810000000</v>
      </c>
      <c r="K11" s="102">
        <v>1</v>
      </c>
      <c r="L11" s="120">
        <v>155</v>
      </c>
      <c r="M11" s="120" t="s">
        <v>2088</v>
      </c>
      <c r="N11" s="120">
        <v>0</v>
      </c>
      <c r="O11" s="206">
        <v>124</v>
      </c>
      <c r="P11" s="120">
        <v>45482</v>
      </c>
      <c r="Q11" s="120">
        <v>45504</v>
      </c>
      <c r="R11" s="102" t="s">
        <v>2383</v>
      </c>
      <c r="S11" s="120" t="s">
        <v>2380</v>
      </c>
      <c r="T11" s="120">
        <v>45504</v>
      </c>
      <c r="U11" s="102" t="s">
        <v>2384</v>
      </c>
    </row>
    <row r="12" spans="2:21" x14ac:dyDescent="0.25">
      <c r="B12" s="168" t="s">
        <v>2046</v>
      </c>
      <c r="C12" s="102">
        <v>10</v>
      </c>
      <c r="D12" s="102" t="s">
        <v>2385</v>
      </c>
      <c r="E12" s="120">
        <v>45504</v>
      </c>
      <c r="F12" s="102">
        <v>1</v>
      </c>
      <c r="G12" s="220" t="s">
        <v>2081</v>
      </c>
      <c r="H12" s="206">
        <v>0</v>
      </c>
      <c r="I12" s="102">
        <v>31</v>
      </c>
      <c r="J12" s="102">
        <v>5.3070000293106103E+21</v>
      </c>
      <c r="K12" s="102">
        <v>99999</v>
      </c>
      <c r="L12" s="120">
        <v>156</v>
      </c>
      <c r="M12" s="120" t="s">
        <v>2088</v>
      </c>
      <c r="N12" s="120">
        <v>1</v>
      </c>
      <c r="O12" s="206">
        <v>978</v>
      </c>
      <c r="P12" s="121">
        <v>45504</v>
      </c>
      <c r="Q12" s="120">
        <v>45504</v>
      </c>
      <c r="R12" s="102">
        <v>2000000</v>
      </c>
      <c r="S12" s="120" t="s">
        <v>2380</v>
      </c>
      <c r="T12" s="120">
        <v>45504</v>
      </c>
      <c r="U12" s="102" t="s">
        <v>2381</v>
      </c>
    </row>
    <row r="13" spans="2:21" x14ac:dyDescent="0.25">
      <c r="B13" s="145" t="s">
        <v>2048</v>
      </c>
      <c r="C13" s="102">
        <v>11</v>
      </c>
      <c r="D13" s="102" t="s">
        <v>2386</v>
      </c>
      <c r="E13" s="120">
        <v>45504</v>
      </c>
      <c r="F13" s="102">
        <v>1</v>
      </c>
      <c r="G13" s="220" t="s">
        <v>2081</v>
      </c>
      <c r="H13" s="206">
        <v>0</v>
      </c>
      <c r="I13" s="102">
        <v>31</v>
      </c>
      <c r="J13" s="102">
        <v>5.3070000293106103E+21</v>
      </c>
      <c r="K13" s="102">
        <v>99999</v>
      </c>
      <c r="L13" s="120">
        <v>156</v>
      </c>
      <c r="M13" s="120" t="s">
        <v>2088</v>
      </c>
      <c r="N13" s="120">
        <v>1</v>
      </c>
      <c r="O13" s="206">
        <v>978</v>
      </c>
      <c r="P13" s="120">
        <v>45504</v>
      </c>
      <c r="Q13" s="120">
        <v>45504</v>
      </c>
      <c r="R13" s="102" t="s">
        <v>2387</v>
      </c>
      <c r="S13" s="120" t="s">
        <v>2380</v>
      </c>
      <c r="T13" s="120">
        <v>45504</v>
      </c>
      <c r="U13" s="102" t="s">
        <v>2388</v>
      </c>
    </row>
    <row r="14" spans="2:21" x14ac:dyDescent="0.25">
      <c r="B14" s="145" t="s">
        <v>2050</v>
      </c>
      <c r="C14" s="102">
        <v>12</v>
      </c>
      <c r="D14" s="102" t="s">
        <v>2389</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x14ac:dyDescent="0.25">
      <c r="B15" s="145" t="s">
        <v>2052</v>
      </c>
      <c r="C15" s="102">
        <v>13</v>
      </c>
      <c r="D15" s="102" t="s">
        <v>2390</v>
      </c>
      <c r="E15" s="120">
        <v>45504</v>
      </c>
      <c r="F15" s="102">
        <v>1</v>
      </c>
      <c r="G15" s="220">
        <v>1</v>
      </c>
      <c r="H15" s="206">
        <v>0</v>
      </c>
      <c r="I15" s="102" t="s">
        <v>2081</v>
      </c>
      <c r="J15" s="102" t="s">
        <v>2081</v>
      </c>
      <c r="K15" s="102" t="s">
        <v>2081</v>
      </c>
      <c r="L15" s="92" t="s">
        <v>2081</v>
      </c>
      <c r="M15" s="92" t="s">
        <v>2081</v>
      </c>
      <c r="N15" s="92" t="s">
        <v>2081</v>
      </c>
      <c r="O15" s="102" t="s">
        <v>2081</v>
      </c>
      <c r="P15" s="92">
        <v>0</v>
      </c>
      <c r="Q15" s="92">
        <v>0</v>
      </c>
      <c r="R15" s="92" t="s">
        <v>2081</v>
      </c>
      <c r="S15" s="102" t="s">
        <v>2081</v>
      </c>
      <c r="T15" s="102" t="s">
        <v>2081</v>
      </c>
      <c r="U15" s="102" t="s">
        <v>2081</v>
      </c>
    </row>
    <row r="16" spans="2:21" x14ac:dyDescent="0.25">
      <c r="B16" s="145" t="s">
        <v>2054</v>
      </c>
      <c r="C16" s="102">
        <v>14</v>
      </c>
      <c r="D16" s="102" t="s">
        <v>2391</v>
      </c>
      <c r="E16" s="120">
        <v>45504</v>
      </c>
      <c r="F16" s="102">
        <v>1</v>
      </c>
      <c r="G16" s="220">
        <v>1</v>
      </c>
      <c r="H16" s="206">
        <v>0</v>
      </c>
      <c r="I16" s="102">
        <v>0</v>
      </c>
      <c r="J16" s="102">
        <v>0</v>
      </c>
      <c r="K16" s="102" t="s">
        <v>2081</v>
      </c>
      <c r="L16" s="102" t="s">
        <v>2081</v>
      </c>
      <c r="M16" s="92">
        <v>0</v>
      </c>
      <c r="N16" s="92">
        <v>0</v>
      </c>
      <c r="O16" s="102">
        <v>0</v>
      </c>
      <c r="P16" s="102" t="s">
        <v>2081</v>
      </c>
      <c r="Q16" s="102" t="s">
        <v>2081</v>
      </c>
      <c r="R16" s="92">
        <v>0</v>
      </c>
      <c r="S16" s="102">
        <v>0</v>
      </c>
      <c r="T16" s="102" t="s">
        <v>2081</v>
      </c>
      <c r="U16" s="102" t="s">
        <v>2081</v>
      </c>
    </row>
    <row r="17" spans="2:21" x14ac:dyDescent="0.25">
      <c r="B17" s="178" t="s">
        <v>2056</v>
      </c>
      <c r="C17" s="102">
        <v>15</v>
      </c>
      <c r="D17" s="102" t="s">
        <v>2392</v>
      </c>
      <c r="E17" s="120">
        <v>45504</v>
      </c>
      <c r="F17" s="102">
        <v>1</v>
      </c>
      <c r="G17" s="220">
        <v>1</v>
      </c>
      <c r="H17" s="206">
        <v>0</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row>
    <row r="18" spans="2:21" x14ac:dyDescent="0.25">
      <c r="B18" s="178" t="s">
        <v>2058</v>
      </c>
      <c r="C18" s="102">
        <v>16</v>
      </c>
      <c r="D18" s="102" t="s">
        <v>2392</v>
      </c>
      <c r="E18" s="120">
        <v>45504</v>
      </c>
      <c r="F18" s="102">
        <v>1</v>
      </c>
      <c r="G18" s="220">
        <v>1</v>
      </c>
      <c r="H18" s="206">
        <v>0</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row>
    <row r="19" spans="2:21" x14ac:dyDescent="0.25">
      <c r="B19" s="145" t="s">
        <v>2064</v>
      </c>
      <c r="C19" s="102">
        <v>19</v>
      </c>
      <c r="D19" s="102" t="s">
        <v>2393</v>
      </c>
      <c r="E19" s="120">
        <v>45504</v>
      </c>
      <c r="F19" s="102">
        <v>1</v>
      </c>
      <c r="G19" s="220" cm="1">
        <f t="array" ref="G19">SUMPRODUCT(--(ISNUMBER((SEARCH(I25:U25,I19:U19)))))/COUNTA(I19:U19)</f>
        <v>1</v>
      </c>
      <c r="H19" s="206">
        <v>0</v>
      </c>
      <c r="I19" s="102" t="s">
        <v>2131</v>
      </c>
      <c r="J19" s="102" t="s">
        <v>2131</v>
      </c>
      <c r="K19" s="102" t="s">
        <v>2292</v>
      </c>
      <c r="L19" s="102" t="s">
        <v>2132</v>
      </c>
      <c r="M19" s="102" t="s">
        <v>2131</v>
      </c>
      <c r="N19" s="102" t="s">
        <v>2131</v>
      </c>
      <c r="O19" s="102" t="s">
        <v>2131</v>
      </c>
      <c r="P19" s="102" t="s">
        <v>2131</v>
      </c>
      <c r="Q19" s="102" t="s">
        <v>2131</v>
      </c>
      <c r="R19" s="102" t="s">
        <v>2358</v>
      </c>
      <c r="S19" s="102" t="s">
        <v>2131</v>
      </c>
      <c r="T19" s="102" t="s">
        <v>2131</v>
      </c>
      <c r="U19" s="102" t="s">
        <v>2134</v>
      </c>
    </row>
    <row r="20" spans="2:21" x14ac:dyDescent="0.25">
      <c r="B20" s="145" t="s">
        <v>2067</v>
      </c>
      <c r="C20" s="102">
        <v>20</v>
      </c>
      <c r="D20" s="102"/>
      <c r="E20" s="120"/>
      <c r="F20" s="102"/>
      <c r="G20" s="220" cm="1">
        <f t="array" ref="G20">SUM(IF(I2:T2 = I24:T24, 1, 0))/ COUNTA(I2:T2)</f>
        <v>1</v>
      </c>
      <c r="H20" s="102" t="s">
        <v>2081</v>
      </c>
      <c r="I20" s="102" t="s">
        <v>2081</v>
      </c>
      <c r="J20" s="102" t="s">
        <v>2081</v>
      </c>
      <c r="K20" s="102" t="s">
        <v>2081</v>
      </c>
      <c r="L20" s="102" t="s">
        <v>2081</v>
      </c>
      <c r="M20" s="102" t="s">
        <v>2081</v>
      </c>
      <c r="N20" s="102" t="s">
        <v>2081</v>
      </c>
      <c r="O20" s="102" t="s">
        <v>2081</v>
      </c>
      <c r="P20" s="102" t="s">
        <v>2081</v>
      </c>
      <c r="Q20" s="102" t="s">
        <v>2081</v>
      </c>
      <c r="R20" s="102" t="s">
        <v>2081</v>
      </c>
      <c r="S20" s="102" t="s">
        <v>2081</v>
      </c>
      <c r="T20" s="102" t="s">
        <v>2081</v>
      </c>
      <c r="U20" s="102"/>
    </row>
    <row r="21" spans="2:21" x14ac:dyDescent="0.25">
      <c r="B21" s="169" t="s">
        <v>2070</v>
      </c>
      <c r="C21" s="102">
        <v>21</v>
      </c>
      <c r="D21" s="102"/>
      <c r="E21" s="120"/>
      <c r="F21" s="102"/>
      <c r="G21" s="220" cm="1">
        <f t="array" ref="G21">SUM(IF(IF(G3:G20="null",1,G3:G20)=1,1,0))/COUNT(IF(G3:G20="null",1,1))</f>
        <v>0.83333333333333337</v>
      </c>
      <c r="H21" s="102" t="s">
        <v>2081</v>
      </c>
      <c r="I21" s="102" t="s">
        <v>2081</v>
      </c>
      <c r="J21" s="102" t="s">
        <v>2081</v>
      </c>
      <c r="K21" s="102" t="s">
        <v>2081</v>
      </c>
      <c r="L21" s="102" t="s">
        <v>2081</v>
      </c>
      <c r="M21" s="102" t="s">
        <v>2081</v>
      </c>
      <c r="N21" s="102" t="s">
        <v>2081</v>
      </c>
      <c r="O21" s="102" t="s">
        <v>2081</v>
      </c>
      <c r="P21" s="102" t="s">
        <v>2081</v>
      </c>
      <c r="Q21" s="102" t="s">
        <v>2081</v>
      </c>
      <c r="R21" s="102" t="s">
        <v>2081</v>
      </c>
      <c r="S21" s="102" t="s">
        <v>2081</v>
      </c>
      <c r="T21" s="102" t="s">
        <v>2081</v>
      </c>
      <c r="U21" s="102"/>
    </row>
    <row r="22" spans="2:21" x14ac:dyDescent="0.25">
      <c r="B22" s="102"/>
      <c r="C22" s="102"/>
      <c r="D22" s="102"/>
      <c r="E22" s="120"/>
      <c r="F22" s="102"/>
      <c r="G22" s="102"/>
      <c r="H22" s="102"/>
      <c r="I22" s="102"/>
      <c r="J22" s="102"/>
      <c r="K22" s="102"/>
      <c r="L22" s="102"/>
      <c r="M22" s="102"/>
      <c r="N22" s="102"/>
      <c r="O22" s="102"/>
      <c r="P22" s="102"/>
      <c r="Q22" s="102"/>
      <c r="R22" s="102"/>
      <c r="S22" s="102"/>
      <c r="T22" s="102"/>
      <c r="U22" s="102"/>
    </row>
    <row r="23" spans="2:21" x14ac:dyDescent="0.25">
      <c r="B23" s="110" t="s">
        <v>2135</v>
      </c>
    </row>
    <row r="24" spans="2:21" x14ac:dyDescent="0.25">
      <c r="B24" s="111" t="s">
        <v>2136</v>
      </c>
      <c r="C24" s="112" t="s">
        <v>2074</v>
      </c>
      <c r="D24" s="112" t="s">
        <v>2075</v>
      </c>
      <c r="E24" s="112" t="s">
        <v>2076</v>
      </c>
      <c r="F24" s="112" t="s">
        <v>2077</v>
      </c>
      <c r="G24" s="112" t="s">
        <v>2078</v>
      </c>
      <c r="H24" s="112" t="s">
        <v>2079</v>
      </c>
      <c r="I24" s="113" t="str" cm="1">
        <f t="array" ref="I24:U24">TRANSPOSE(_xlfn.SORTBY(_xlfn._xlws.FILTER(Table2[NOME FÍSICO CAMPO],Table2[NOME FÍSICO TABELA]="saving_account_transaction"), _xlfn._xlws.FILTER(Table2[ORDEM], Table2[NOME FÍSICO TABELA]="saving_account_transaction"), 1))</f>
        <v>bank_id</v>
      </c>
      <c r="J24" s="113" t="str">
        <v>contract_id</v>
      </c>
      <c r="K24" s="113" t="str">
        <v>order_number</v>
      </c>
      <c r="L24" s="113" t="str">
        <v>order_number_stage</v>
      </c>
      <c r="M24" s="113" t="str">
        <v>transaction_type_code</v>
      </c>
      <c r="N24" s="113" t="str">
        <v>financial_flow_indicator</v>
      </c>
      <c r="O24" s="113" t="str">
        <v>currency_code</v>
      </c>
      <c r="P24" s="113" t="str">
        <v>transaction_date</v>
      </c>
      <c r="Q24" s="113" t="str">
        <v>transaction_execution_date</v>
      </c>
      <c r="R24" s="113" t="str">
        <v>amount</v>
      </c>
      <c r="S24" s="113" t="str">
        <v>source_code</v>
      </c>
      <c r="T24" s="113" t="str">
        <v>data_date_part</v>
      </c>
      <c r="U24" s="113" t="str">
        <v>data_timestamp_part</v>
      </c>
    </row>
    <row r="25" spans="2:21" s="101" customFormat="1" x14ac:dyDescent="0.25">
      <c r="B25" s="122" t="s">
        <v>2137</v>
      </c>
      <c r="C25" s="117">
        <v>21</v>
      </c>
      <c r="D25" s="123" t="s">
        <v>2138</v>
      </c>
      <c r="E25" s="117" t="s">
        <v>2139</v>
      </c>
      <c r="F25" s="117" t="s">
        <v>1178</v>
      </c>
      <c r="G25" s="117" t="s">
        <v>1178</v>
      </c>
      <c r="H25" s="117" t="s">
        <v>1178</v>
      </c>
      <c r="I25" s="117" t="str" cm="1">
        <f t="array" ref="I25:U26">TRANSPOSE(_xlfn.SORTBY(_xlfn._xlws.FILTER(IF(Table2[FORMATO]:Table2[COMP_ CAMPO]&lt;&gt;"",Table2[FORMATO]:Table2[COMP_ CAMPO],9999999),Table2[NOME FÍSICO TABELA]="saving_account_transaction"), _xlfn._xlws.FILTER(Table2[ORDEM], Table2[NOME FÍSICO TABELA]="saving_account_transaction"), 1))</f>
        <v>STRING</v>
      </c>
      <c r="J25" s="117" t="str">
        <v>STRING</v>
      </c>
      <c r="K25" s="117" t="str">
        <v>BIG INT</v>
      </c>
      <c r="L25" s="117" t="str">
        <v>BIGINT</v>
      </c>
      <c r="M25" s="117" t="str">
        <v>STRING</v>
      </c>
      <c r="N25" s="117" t="str">
        <v>STRING</v>
      </c>
      <c r="O25" s="117" t="str">
        <v>STRING</v>
      </c>
      <c r="P25" s="117" t="str">
        <v>STRING</v>
      </c>
      <c r="Q25" s="117" t="str">
        <v>STRING</v>
      </c>
      <c r="R25" s="117" t="str">
        <v>DECIMAL</v>
      </c>
      <c r="S25" s="117" t="str">
        <v>STRING</v>
      </c>
      <c r="T25" s="117" t="str">
        <v>STRING</v>
      </c>
      <c r="U25" s="117" t="str">
        <v>TIMESTAMP</v>
      </c>
    </row>
    <row r="26" spans="2:21" s="101" customFormat="1" x14ac:dyDescent="0.25">
      <c r="B26" s="122" t="s">
        <v>2140</v>
      </c>
      <c r="C26" s="117">
        <v>7</v>
      </c>
      <c r="D26" s="123" t="s">
        <v>2138</v>
      </c>
      <c r="E26" s="117" t="s">
        <v>2139</v>
      </c>
      <c r="F26" s="117" t="s">
        <v>1178</v>
      </c>
      <c r="G26" s="117" t="s">
        <v>1178</v>
      </c>
      <c r="H26" s="117" t="s">
        <v>1178</v>
      </c>
      <c r="I26" s="117">
        <v>4</v>
      </c>
      <c r="J26" s="117">
        <v>30</v>
      </c>
      <c r="K26" s="117">
        <v>9999999</v>
      </c>
      <c r="L26" s="117">
        <v>9999999</v>
      </c>
      <c r="M26" s="117">
        <v>4</v>
      </c>
      <c r="N26" s="117">
        <v>4</v>
      </c>
      <c r="O26" s="117">
        <v>4</v>
      </c>
      <c r="P26" s="117">
        <v>10</v>
      </c>
      <c r="Q26" s="117">
        <v>10</v>
      </c>
      <c r="R26" s="117">
        <v>23</v>
      </c>
      <c r="S26" s="117">
        <v>2</v>
      </c>
      <c r="T26" s="117">
        <v>10</v>
      </c>
      <c r="U26" s="117">
        <v>23</v>
      </c>
    </row>
    <row r="27" spans="2:21" x14ac:dyDescent="0.25">
      <c r="B27" t="s">
        <v>2394</v>
      </c>
    </row>
    <row r="29" spans="2:21" x14ac:dyDescent="0.25">
      <c r="B29" s="127" t="s">
        <v>2141</v>
      </c>
    </row>
    <row r="30" spans="2:21" x14ac:dyDescent="0.25">
      <c r="B30" s="136" t="s">
        <v>2142</v>
      </c>
      <c r="C30" s="136" t="s">
        <v>2143</v>
      </c>
      <c r="D30" s="137" t="s">
        <v>2144</v>
      </c>
      <c r="E30" s="136" t="s">
        <v>2145</v>
      </c>
      <c r="F30" s="136" t="s">
        <v>2146</v>
      </c>
      <c r="H30" s="222"/>
    </row>
    <row r="31" spans="2:21" ht="30" x14ac:dyDescent="0.25">
      <c r="B31" s="134" t="s">
        <v>2395</v>
      </c>
      <c r="C31" s="87" t="s">
        <v>2209</v>
      </c>
      <c r="D31" s="87" t="s">
        <v>2396</v>
      </c>
      <c r="E31" s="87" t="s">
        <v>2397</v>
      </c>
      <c r="F31" s="135" t="s">
        <v>2235</v>
      </c>
    </row>
    <row r="32" spans="2:21" ht="30" x14ac:dyDescent="0.25">
      <c r="B32" s="134" t="s">
        <v>2147</v>
      </c>
      <c r="C32" s="87" t="s">
        <v>737</v>
      </c>
      <c r="D32" s="87" t="s">
        <v>2398</v>
      </c>
      <c r="E32" s="87" t="s">
        <v>2399</v>
      </c>
      <c r="F32" s="135" t="s">
        <v>2150</v>
      </c>
      <c r="H32" s="190"/>
    </row>
    <row r="33" spans="2:8" ht="30" x14ac:dyDescent="0.25">
      <c r="B33" s="134" t="s">
        <v>2147</v>
      </c>
      <c r="C33" s="87" t="s">
        <v>767</v>
      </c>
      <c r="D33" s="87" t="s">
        <v>2400</v>
      </c>
      <c r="E33" s="87" t="s">
        <v>2401</v>
      </c>
      <c r="F33" s="199" t="s">
        <v>2206</v>
      </c>
      <c r="H33" s="190"/>
    </row>
    <row r="34" spans="2:8" ht="30" x14ac:dyDescent="0.25">
      <c r="B34" s="134" t="s">
        <v>2155</v>
      </c>
      <c r="C34" s="207" t="s">
        <v>737</v>
      </c>
      <c r="D34" s="207" t="s">
        <v>2402</v>
      </c>
      <c r="E34" s="87" t="s">
        <v>2403</v>
      </c>
      <c r="F34" s="81" t="s">
        <v>2150</v>
      </c>
      <c r="H34" s="190"/>
    </row>
    <row r="35" spans="2:8" ht="156" customHeight="1" x14ac:dyDescent="0.25">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Z45"/>
  <sheetViews>
    <sheetView showGridLines="0" topLeftCell="G1" workbookViewId="0">
      <selection activeCell="A14" sqref="A14:XFD14"/>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x14ac:dyDescent="0.25"/>
    <row r="2" spans="2:24"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13" t="s">
        <v>767</v>
      </c>
      <c r="O2" s="101" t="s">
        <v>778</v>
      </c>
      <c r="P2" s="101" t="s">
        <v>1585</v>
      </c>
      <c r="Q2" s="101" t="s">
        <v>941</v>
      </c>
      <c r="R2" s="113" t="s">
        <v>1601</v>
      </c>
      <c r="S2" s="101" t="s">
        <v>791</v>
      </c>
      <c r="T2" s="101" t="s">
        <v>749</v>
      </c>
      <c r="U2" s="101" t="s">
        <v>758</v>
      </c>
      <c r="V2" s="101" t="s">
        <v>798</v>
      </c>
      <c r="W2" s="101" t="s">
        <v>806</v>
      </c>
      <c r="X2" s="101" t="s">
        <v>813</v>
      </c>
    </row>
    <row r="3" spans="2:24" x14ac:dyDescent="0.25">
      <c r="B3" s="145" t="s">
        <v>2027</v>
      </c>
      <c r="C3" s="102">
        <v>1</v>
      </c>
      <c r="D3" s="102" t="s">
        <v>2404</v>
      </c>
      <c r="E3" s="120">
        <v>45492</v>
      </c>
      <c r="F3" s="102">
        <v>1</v>
      </c>
      <c r="G3" s="220">
        <v>1</v>
      </c>
      <c r="H3" s="174">
        <v>84398164</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c r="W3" s="102" t="s">
        <v>2081</v>
      </c>
      <c r="X3" s="102" t="s">
        <v>2081</v>
      </c>
    </row>
    <row r="4" spans="2:24" x14ac:dyDescent="0.25">
      <c r="B4" s="145" t="s">
        <v>2029</v>
      </c>
      <c r="C4" s="102">
        <v>2</v>
      </c>
      <c r="D4" s="102" t="s">
        <v>2405</v>
      </c>
      <c r="E4" s="120">
        <v>45492</v>
      </c>
      <c r="F4" s="102">
        <v>1</v>
      </c>
      <c r="G4" s="220">
        <v>0.99</v>
      </c>
      <c r="H4" s="206">
        <v>25</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c r="W4" s="102" t="s">
        <v>2081</v>
      </c>
      <c r="X4" s="102" t="s">
        <v>2081</v>
      </c>
    </row>
    <row r="5" spans="2:24" x14ac:dyDescent="0.25">
      <c r="B5" s="145" t="s">
        <v>2031</v>
      </c>
      <c r="C5" s="102">
        <v>3</v>
      </c>
      <c r="D5" s="102" t="s">
        <v>2406</v>
      </c>
      <c r="E5" s="120">
        <v>45492</v>
      </c>
      <c r="F5" s="102">
        <v>1</v>
      </c>
      <c r="G5" s="220">
        <v>1</v>
      </c>
      <c r="H5" s="206" t="s">
        <v>2276</v>
      </c>
      <c r="I5" s="102">
        <v>0</v>
      </c>
      <c r="J5" s="102">
        <v>0</v>
      </c>
      <c r="K5" s="102">
        <v>62698747</v>
      </c>
      <c r="L5" s="102">
        <v>35503361</v>
      </c>
      <c r="M5" s="102" t="s">
        <v>2081</v>
      </c>
      <c r="N5" s="102" t="s">
        <v>2081</v>
      </c>
      <c r="O5" s="102" t="s">
        <v>2081</v>
      </c>
      <c r="P5" s="102" t="s">
        <v>2081</v>
      </c>
      <c r="Q5" s="102" t="s">
        <v>2081</v>
      </c>
      <c r="R5" s="102" t="s">
        <v>2081</v>
      </c>
      <c r="S5" s="102" t="s">
        <v>2081</v>
      </c>
      <c r="T5" s="102" t="s">
        <v>2081</v>
      </c>
      <c r="U5" s="102" t="s">
        <v>2081</v>
      </c>
      <c r="V5" s="102" t="s">
        <v>2081</v>
      </c>
      <c r="W5" s="102">
        <v>0</v>
      </c>
      <c r="X5" s="102" t="s">
        <v>2081</v>
      </c>
    </row>
    <row r="6" spans="2:24" x14ac:dyDescent="0.25">
      <c r="B6" s="92" t="s">
        <v>2033</v>
      </c>
      <c r="C6" s="102">
        <v>4</v>
      </c>
      <c r="D6" s="102" t="s">
        <v>2086</v>
      </c>
      <c r="E6" s="120" t="s">
        <v>2081</v>
      </c>
      <c r="F6" s="102">
        <v>1</v>
      </c>
      <c r="G6" s="220" t="s">
        <v>2081</v>
      </c>
      <c r="H6" s="220"/>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c r="W6" s="102" t="s">
        <v>2081</v>
      </c>
      <c r="X6" s="102" t="s">
        <v>2081</v>
      </c>
    </row>
    <row r="7" spans="2:24" x14ac:dyDescent="0.25">
      <c r="B7" s="92" t="s">
        <v>2035</v>
      </c>
      <c r="C7" s="102">
        <v>5</v>
      </c>
      <c r="D7" s="102" t="s">
        <v>2086</v>
      </c>
      <c r="E7" s="120" t="s">
        <v>2081</v>
      </c>
      <c r="F7" s="102">
        <v>1</v>
      </c>
      <c r="G7" s="220" t="s">
        <v>2081</v>
      </c>
      <c r="H7" s="220"/>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c r="W7" s="102" t="s">
        <v>2081</v>
      </c>
      <c r="X7" s="102" t="s">
        <v>2081</v>
      </c>
    </row>
    <row r="8" spans="2:24" x14ac:dyDescent="0.25">
      <c r="B8" s="176" t="s">
        <v>2036</v>
      </c>
      <c r="C8" s="102">
        <v>6</v>
      </c>
      <c r="D8" s="102" t="s">
        <v>2407</v>
      </c>
      <c r="E8" s="120">
        <v>45492</v>
      </c>
      <c r="F8" s="102">
        <v>1</v>
      </c>
      <c r="G8" s="220" cm="1">
        <f t="array" ref="G8">SUMPRODUCT(--(I8:X8&gt;0))/COUNTA(I8:X8)</f>
        <v>1</v>
      </c>
      <c r="H8" s="206" t="s">
        <v>2166</v>
      </c>
      <c r="I8" s="102">
        <v>2</v>
      </c>
      <c r="J8" s="102">
        <v>29</v>
      </c>
      <c r="K8" s="102">
        <v>1</v>
      </c>
      <c r="L8" s="102">
        <v>1</v>
      </c>
      <c r="M8" s="102" t="s">
        <v>2088</v>
      </c>
      <c r="N8" s="102">
        <v>1</v>
      </c>
      <c r="O8" s="102">
        <v>3</v>
      </c>
      <c r="P8" s="102">
        <v>1</v>
      </c>
      <c r="Q8" s="102">
        <v>1</v>
      </c>
      <c r="R8" s="102">
        <v>4</v>
      </c>
      <c r="S8" s="102">
        <v>10</v>
      </c>
      <c r="T8" s="102">
        <v>10</v>
      </c>
      <c r="U8" s="102">
        <v>8</v>
      </c>
      <c r="V8" s="102">
        <v>2</v>
      </c>
      <c r="W8" s="102">
        <v>10</v>
      </c>
      <c r="X8" s="102">
        <v>23</v>
      </c>
    </row>
    <row r="9" spans="2:24" x14ac:dyDescent="0.25">
      <c r="B9" s="145" t="s">
        <v>2039</v>
      </c>
      <c r="C9" s="102">
        <v>7</v>
      </c>
      <c r="D9" s="102" t="s">
        <v>2408</v>
      </c>
      <c r="E9" s="120">
        <v>45492</v>
      </c>
      <c r="F9" s="102">
        <v>1</v>
      </c>
      <c r="G9" s="220" cm="1">
        <f t="array" ref="G9">SUMPRODUCT(--(I9:X9&lt;=I26:X26))/COUNTA(I9:X9)</f>
        <v>0.8125</v>
      </c>
      <c r="H9" s="206" t="s">
        <v>2166</v>
      </c>
      <c r="I9" s="102">
        <v>2</v>
      </c>
      <c r="J9" s="102">
        <v>30</v>
      </c>
      <c r="K9" s="102">
        <v>11</v>
      </c>
      <c r="L9" s="102">
        <v>3</v>
      </c>
      <c r="M9" s="102" t="s">
        <v>2088</v>
      </c>
      <c r="N9" s="102">
        <v>1</v>
      </c>
      <c r="O9" s="102">
        <v>3</v>
      </c>
      <c r="P9" s="102">
        <v>4</v>
      </c>
      <c r="Q9" s="102">
        <v>1</v>
      </c>
      <c r="R9" s="102">
        <v>10</v>
      </c>
      <c r="S9" s="102">
        <v>10</v>
      </c>
      <c r="T9" s="102">
        <v>10</v>
      </c>
      <c r="U9" s="102">
        <v>18</v>
      </c>
      <c r="V9" s="102">
        <v>2</v>
      </c>
      <c r="W9" s="102">
        <v>10</v>
      </c>
      <c r="X9" s="102">
        <v>23</v>
      </c>
    </row>
    <row r="10" spans="2:24" x14ac:dyDescent="0.25">
      <c r="B10" s="145" t="s">
        <v>2042</v>
      </c>
      <c r="C10" s="102">
        <v>8</v>
      </c>
      <c r="D10" s="102" t="s">
        <v>2409</v>
      </c>
      <c r="E10" s="120">
        <v>45492</v>
      </c>
      <c r="F10" s="102">
        <v>1</v>
      </c>
      <c r="G10" s="220" t="s">
        <v>2081</v>
      </c>
      <c r="H10" s="206" t="s">
        <v>2166</v>
      </c>
      <c r="I10" s="102">
        <v>31</v>
      </c>
      <c r="J10" s="102">
        <v>3.4965410000000002E+21</v>
      </c>
      <c r="K10" s="102">
        <v>0</v>
      </c>
      <c r="L10" s="102">
        <v>0</v>
      </c>
      <c r="M10" s="120" t="s">
        <v>2088</v>
      </c>
      <c r="N10" s="120">
        <v>0</v>
      </c>
      <c r="O10" s="206">
        <v>578</v>
      </c>
      <c r="P10" s="102" t="e">
        <v>#N/A</v>
      </c>
      <c r="Q10" s="102">
        <v>0</v>
      </c>
      <c r="R10" s="102" t="e">
        <v>#N/A</v>
      </c>
      <c r="S10" s="102" t="s">
        <v>2410</v>
      </c>
      <c r="T10" s="102" t="s">
        <v>2410</v>
      </c>
      <c r="U10" s="149">
        <v>-1000000694210000</v>
      </c>
      <c r="V10" s="102" t="s">
        <v>2411</v>
      </c>
      <c r="W10" s="120">
        <v>45491</v>
      </c>
      <c r="X10" s="102" t="s">
        <v>2412</v>
      </c>
    </row>
    <row r="11" spans="2:24" x14ac:dyDescent="0.25">
      <c r="B11" s="145" t="s">
        <v>2044</v>
      </c>
      <c r="C11" s="102">
        <v>9</v>
      </c>
      <c r="D11" s="102" t="s">
        <v>2413</v>
      </c>
      <c r="E11" s="120">
        <v>45492</v>
      </c>
      <c r="F11" s="102">
        <v>1</v>
      </c>
      <c r="G11" s="220" t="s">
        <v>2081</v>
      </c>
      <c r="H11" s="206" t="s">
        <v>2166</v>
      </c>
      <c r="I11" s="102">
        <v>31</v>
      </c>
      <c r="J11" s="102">
        <v>3.4965410000000002E+21</v>
      </c>
      <c r="K11" s="102">
        <v>0</v>
      </c>
      <c r="L11" s="102">
        <v>0</v>
      </c>
      <c r="M11" s="120" t="s">
        <v>2088</v>
      </c>
      <c r="N11" s="120">
        <v>0</v>
      </c>
      <c r="O11" s="206">
        <v>578</v>
      </c>
      <c r="P11" s="120" t="e">
        <v>#N/A</v>
      </c>
      <c r="Q11" s="102">
        <v>0</v>
      </c>
      <c r="R11" s="102" t="e">
        <v>#N/A</v>
      </c>
      <c r="S11" s="102" t="s">
        <v>2410</v>
      </c>
      <c r="T11" s="102" t="s">
        <v>2410</v>
      </c>
      <c r="U11" s="102" t="s">
        <v>2414</v>
      </c>
      <c r="V11" s="102" t="s">
        <v>2411</v>
      </c>
      <c r="W11" s="120">
        <v>45491</v>
      </c>
      <c r="X11" s="102" t="s">
        <v>2415</v>
      </c>
    </row>
    <row r="12" spans="2:24" x14ac:dyDescent="0.25">
      <c r="B12" s="168" t="s">
        <v>2046</v>
      </c>
      <c r="C12" s="102">
        <v>10</v>
      </c>
      <c r="D12" s="102" t="s">
        <v>2416</v>
      </c>
      <c r="E12" s="120">
        <v>45492</v>
      </c>
      <c r="F12" s="102">
        <v>1</v>
      </c>
      <c r="G12" s="220" t="s">
        <v>2081</v>
      </c>
      <c r="H12" s="206" t="s">
        <v>2166</v>
      </c>
      <c r="I12" s="102">
        <v>31</v>
      </c>
      <c r="J12" s="102">
        <v>6.8350096000050594E+29</v>
      </c>
      <c r="K12" s="102">
        <v>20240153493</v>
      </c>
      <c r="L12" s="102">
        <v>203</v>
      </c>
      <c r="M12" s="120" t="s">
        <v>2088</v>
      </c>
      <c r="N12" s="120">
        <v>1</v>
      </c>
      <c r="O12" s="206" t="s">
        <v>2417</v>
      </c>
      <c r="P12" s="121">
        <v>93</v>
      </c>
      <c r="Q12" s="102">
        <v>1</v>
      </c>
      <c r="R12" s="120">
        <v>45492</v>
      </c>
      <c r="S12" s="120">
        <v>45505</v>
      </c>
      <c r="T12" s="120">
        <v>45492</v>
      </c>
      <c r="U12" s="149">
        <v>1000000687070000</v>
      </c>
      <c r="V12" s="102" t="s">
        <v>2224</v>
      </c>
      <c r="W12" s="120">
        <v>45492</v>
      </c>
      <c r="X12" s="120" t="s">
        <v>2412</v>
      </c>
    </row>
    <row r="13" spans="2:24" x14ac:dyDescent="0.25">
      <c r="B13" s="145" t="s">
        <v>2048</v>
      </c>
      <c r="C13" s="102">
        <v>11</v>
      </c>
      <c r="D13" s="102" t="s">
        <v>2418</v>
      </c>
      <c r="E13" s="120">
        <v>45492</v>
      </c>
      <c r="F13" s="102">
        <v>1</v>
      </c>
      <c r="G13" s="220" t="s">
        <v>2081</v>
      </c>
      <c r="H13" s="206" t="s">
        <v>2166</v>
      </c>
      <c r="I13" s="102">
        <v>31</v>
      </c>
      <c r="J13" s="102">
        <v>6.8350096000050594E+29</v>
      </c>
      <c r="K13" s="102">
        <v>20240153493</v>
      </c>
      <c r="L13" s="102">
        <v>93</v>
      </c>
      <c r="M13" s="120" t="s">
        <v>2088</v>
      </c>
      <c r="N13" s="120">
        <v>1</v>
      </c>
      <c r="O13" s="206" t="s">
        <v>2417</v>
      </c>
      <c r="P13" s="120">
        <v>93</v>
      </c>
      <c r="Q13" s="102">
        <v>1</v>
      </c>
      <c r="R13" s="120">
        <v>2958465</v>
      </c>
      <c r="S13" s="120">
        <v>45505</v>
      </c>
      <c r="T13" s="120">
        <v>45492</v>
      </c>
      <c r="U13" s="102" t="s">
        <v>2419</v>
      </c>
      <c r="V13" s="102" t="s">
        <v>2224</v>
      </c>
      <c r="W13" s="120">
        <v>45492</v>
      </c>
      <c r="X13" s="120" t="s">
        <v>2420</v>
      </c>
    </row>
    <row r="14" spans="2:24" x14ac:dyDescent="0.25">
      <c r="B14" s="145" t="s">
        <v>2050</v>
      </c>
      <c r="C14" s="102">
        <v>12</v>
      </c>
      <c r="D14" s="102" t="s">
        <v>2421</v>
      </c>
      <c r="E14" s="120">
        <v>45492</v>
      </c>
      <c r="F14" s="102">
        <v>1</v>
      </c>
      <c r="G14" s="220">
        <v>0.6875</v>
      </c>
      <c r="H14" s="206" t="s">
        <v>2166</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x14ac:dyDescent="0.25">
      <c r="B15" s="145" t="s">
        <v>2052</v>
      </c>
      <c r="C15" s="102">
        <v>13</v>
      </c>
      <c r="D15" s="102" t="s">
        <v>2422</v>
      </c>
      <c r="E15" s="120">
        <v>45492</v>
      </c>
      <c r="F15" s="102">
        <v>1</v>
      </c>
      <c r="G15" s="220">
        <v>1</v>
      </c>
      <c r="H15" s="206" t="s">
        <v>2166</v>
      </c>
      <c r="I15" s="102" t="s">
        <v>2081</v>
      </c>
      <c r="J15" s="102" t="s">
        <v>2081</v>
      </c>
      <c r="K15" s="102" t="s">
        <v>2081</v>
      </c>
      <c r="L15" s="92" t="s">
        <v>2081</v>
      </c>
      <c r="M15" s="92" t="s">
        <v>2081</v>
      </c>
      <c r="N15" s="92" t="s">
        <v>2081</v>
      </c>
      <c r="O15" s="102" t="s">
        <v>2081</v>
      </c>
      <c r="P15" s="92" t="s">
        <v>2081</v>
      </c>
      <c r="Q15" s="92" t="s">
        <v>2081</v>
      </c>
      <c r="R15" s="92">
        <v>0</v>
      </c>
      <c r="S15" s="102">
        <v>0</v>
      </c>
      <c r="T15" s="102">
        <v>0</v>
      </c>
      <c r="U15" s="102" t="s">
        <v>2081</v>
      </c>
      <c r="V15" s="102" t="s">
        <v>2081</v>
      </c>
      <c r="W15" s="102" t="s">
        <v>2081</v>
      </c>
      <c r="X15" s="102" t="s">
        <v>2081</v>
      </c>
    </row>
    <row r="16" spans="2:24" x14ac:dyDescent="0.25">
      <c r="B16" s="145" t="s">
        <v>2054</v>
      </c>
      <c r="C16" s="102">
        <v>14</v>
      </c>
      <c r="D16" s="102" t="s">
        <v>2423</v>
      </c>
      <c r="E16" s="120">
        <v>45492</v>
      </c>
      <c r="F16" s="102">
        <v>1</v>
      </c>
      <c r="G16" s="220">
        <v>1</v>
      </c>
      <c r="H16" s="206" t="s">
        <v>2166</v>
      </c>
      <c r="I16" s="102">
        <v>0</v>
      </c>
      <c r="J16" s="102">
        <v>0</v>
      </c>
      <c r="K16" s="102" t="s">
        <v>2081</v>
      </c>
      <c r="L16" s="102" t="s">
        <v>2081</v>
      </c>
      <c r="M16" s="92">
        <v>0</v>
      </c>
      <c r="N16" s="92" t="s">
        <v>2081</v>
      </c>
      <c r="O16" s="102">
        <v>0</v>
      </c>
      <c r="P16" s="102">
        <v>0</v>
      </c>
      <c r="Q16" s="102" t="s">
        <v>2081</v>
      </c>
      <c r="R16" s="92" t="s">
        <v>2081</v>
      </c>
      <c r="S16" s="102" t="s">
        <v>2081</v>
      </c>
      <c r="T16" s="102" t="s">
        <v>2081</v>
      </c>
      <c r="U16" s="102" t="s">
        <v>2081</v>
      </c>
      <c r="V16" s="102">
        <v>0</v>
      </c>
      <c r="W16" s="102" t="s">
        <v>2081</v>
      </c>
      <c r="X16" s="102" t="s">
        <v>2081</v>
      </c>
    </row>
    <row r="17" spans="2:26" x14ac:dyDescent="0.25">
      <c r="B17" s="178" t="s">
        <v>2056</v>
      </c>
      <c r="C17" s="102">
        <v>15</v>
      </c>
      <c r="D17" s="102" t="s">
        <v>2424</v>
      </c>
      <c r="E17" s="120">
        <v>45492</v>
      </c>
      <c r="F17" s="102">
        <v>1</v>
      </c>
      <c r="G17" s="220">
        <v>0.14646999999999999</v>
      </c>
      <c r="H17" s="206">
        <v>72036359</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c r="W17" s="102" t="s">
        <v>2081</v>
      </c>
      <c r="X17" s="102" t="s">
        <v>2081</v>
      </c>
    </row>
    <row r="18" spans="2:26" x14ac:dyDescent="0.25">
      <c r="B18" s="178" t="s">
        <v>2058</v>
      </c>
      <c r="C18" s="102">
        <v>16</v>
      </c>
      <c r="D18" s="102" t="s">
        <v>2424</v>
      </c>
      <c r="E18" s="120">
        <v>45492</v>
      </c>
      <c r="F18" s="102">
        <v>1</v>
      </c>
      <c r="G18" s="220">
        <v>0.14646999999999999</v>
      </c>
      <c r="H18" s="206">
        <v>72036359</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c r="W18" s="102" t="s">
        <v>2081</v>
      </c>
      <c r="X18" s="102" t="s">
        <v>2081</v>
      </c>
    </row>
    <row r="19" spans="2:26" x14ac:dyDescent="0.25">
      <c r="B19" s="145" t="s">
        <v>2064</v>
      </c>
      <c r="C19" s="102">
        <v>19</v>
      </c>
      <c r="D19" s="102" t="s">
        <v>2425</v>
      </c>
      <c r="E19" s="120">
        <v>45492</v>
      </c>
      <c r="F19" s="102">
        <v>1</v>
      </c>
      <c r="G19" s="220" cm="1">
        <f t="array" ref="G19">SUMPRODUCT(--(ISNUMBER((SEARCH(I25:X25,I19:X19)))))/COUNTA(I19:X19)</f>
        <v>0.75</v>
      </c>
      <c r="H19" s="102" t="s">
        <v>2166</v>
      </c>
      <c r="I19" s="102" t="s">
        <v>2131</v>
      </c>
      <c r="J19" s="102" t="s">
        <v>2131</v>
      </c>
      <c r="K19" s="102" t="s">
        <v>2292</v>
      </c>
      <c r="L19" s="102" t="s">
        <v>2132</v>
      </c>
      <c r="M19" s="102" t="s">
        <v>2131</v>
      </c>
      <c r="N19" s="102" t="s">
        <v>2131</v>
      </c>
      <c r="O19" s="102" t="s">
        <v>2131</v>
      </c>
      <c r="P19" s="102" t="s">
        <v>2131</v>
      </c>
      <c r="Q19" s="102" t="s">
        <v>2131</v>
      </c>
      <c r="R19" s="102" t="s">
        <v>2131</v>
      </c>
      <c r="S19" s="102" t="s">
        <v>2131</v>
      </c>
      <c r="T19" s="102" t="s">
        <v>2131</v>
      </c>
      <c r="U19" s="102" t="s">
        <v>2133</v>
      </c>
      <c r="V19" s="102" t="s">
        <v>2131</v>
      </c>
      <c r="W19" s="102" t="s">
        <v>2131</v>
      </c>
      <c r="X19" s="102" t="s">
        <v>2134</v>
      </c>
    </row>
    <row r="20" spans="2:26" x14ac:dyDescent="0.25">
      <c r="B20" s="145" t="s">
        <v>2067</v>
      </c>
      <c r="C20" s="102">
        <v>20</v>
      </c>
      <c r="D20" s="102"/>
      <c r="E20" s="120"/>
      <c r="F20" s="102"/>
      <c r="G20" s="220" cm="1">
        <f t="array" ref="G20">SUM(IF(I2:X2 = I24:X24, 1, 0))/ COUNTA(I2:X2)</f>
        <v>0.75</v>
      </c>
      <c r="H20" s="102" t="s">
        <v>2081</v>
      </c>
      <c r="I20" s="102" t="s">
        <v>2081</v>
      </c>
      <c r="J20" s="102" t="s">
        <v>2081</v>
      </c>
      <c r="K20" s="102" t="s">
        <v>2081</v>
      </c>
      <c r="L20" s="102" t="s">
        <v>2081</v>
      </c>
      <c r="M20" s="102" t="s">
        <v>2081</v>
      </c>
      <c r="N20" s="102" t="s">
        <v>2081</v>
      </c>
      <c r="O20" s="102" t="s">
        <v>2081</v>
      </c>
      <c r="P20" s="102" t="s">
        <v>2081</v>
      </c>
      <c r="Q20" s="102" t="s">
        <v>2081</v>
      </c>
      <c r="R20" s="102" t="s">
        <v>2081</v>
      </c>
      <c r="S20" s="102" t="s">
        <v>2081</v>
      </c>
      <c r="T20" s="102" t="s">
        <v>2081</v>
      </c>
      <c r="U20" s="102" t="s">
        <v>2081</v>
      </c>
      <c r="V20" s="102" t="s">
        <v>2081</v>
      </c>
      <c r="W20" s="102" t="s">
        <v>2081</v>
      </c>
      <c r="X20" s="102" t="s">
        <v>2081</v>
      </c>
    </row>
    <row r="21" spans="2:26" x14ac:dyDescent="0.25">
      <c r="B21" s="169" t="s">
        <v>2070</v>
      </c>
      <c r="C21" s="102">
        <v>21</v>
      </c>
      <c r="D21" s="102"/>
      <c r="E21" s="120"/>
      <c r="F21" s="102"/>
      <c r="G21" s="220" cm="1">
        <f t="array" ref="G21">SUM(IF(IF(G3:G20="null",1,G3:G20)=1,1,0))/COUNT(IF(G3:G20="null",1,1))</f>
        <v>0.61111111111111116</v>
      </c>
      <c r="H21" s="102" t="s">
        <v>2081</v>
      </c>
      <c r="I21" s="102" t="s">
        <v>2081</v>
      </c>
      <c r="J21" s="102" t="s">
        <v>2081</v>
      </c>
      <c r="K21" s="102" t="s">
        <v>2081</v>
      </c>
      <c r="L21" s="102" t="s">
        <v>2081</v>
      </c>
      <c r="M21" s="102" t="s">
        <v>2081</v>
      </c>
      <c r="N21" s="102" t="s">
        <v>2081</v>
      </c>
      <c r="O21" s="102" t="s">
        <v>2081</v>
      </c>
      <c r="P21" s="102" t="s">
        <v>2081</v>
      </c>
      <c r="Q21" s="102" t="s">
        <v>2081</v>
      </c>
      <c r="R21" s="102" t="s">
        <v>2081</v>
      </c>
      <c r="S21" s="102" t="s">
        <v>2081</v>
      </c>
      <c r="T21" s="102" t="s">
        <v>2081</v>
      </c>
      <c r="U21" s="102" t="s">
        <v>2081</v>
      </c>
      <c r="V21" s="102" t="s">
        <v>2081</v>
      </c>
      <c r="W21" s="102" t="s">
        <v>2081</v>
      </c>
      <c r="X21" s="102" t="s">
        <v>2081</v>
      </c>
    </row>
    <row r="22" spans="2:26" x14ac:dyDescent="0.25">
      <c r="B22" s="102"/>
      <c r="C22" s="102"/>
      <c r="D22" s="102"/>
      <c r="E22" s="120"/>
      <c r="F22" s="102"/>
      <c r="G22" s="102"/>
      <c r="H22" s="102"/>
      <c r="I22" s="102"/>
      <c r="J22" s="102"/>
      <c r="K22" s="102"/>
      <c r="L22" s="102"/>
      <c r="M22" s="102"/>
      <c r="N22" s="102"/>
      <c r="O22" s="102"/>
      <c r="P22" s="102"/>
      <c r="Q22" s="102"/>
      <c r="R22" s="102"/>
      <c r="S22" s="102"/>
      <c r="T22" s="102"/>
      <c r="U22" s="102"/>
    </row>
    <row r="23" spans="2:26" x14ac:dyDescent="0.25">
      <c r="B23" s="110" t="s">
        <v>2135</v>
      </c>
    </row>
    <row r="24" spans="2:26" x14ac:dyDescent="0.25">
      <c r="B24" s="111" t="s">
        <v>2136</v>
      </c>
      <c r="C24" s="112" t="s">
        <v>2074</v>
      </c>
      <c r="D24" s="112" t="s">
        <v>2075</v>
      </c>
      <c r="E24" s="112" t="s">
        <v>2076</v>
      </c>
      <c r="F24" s="112" t="s">
        <v>2077</v>
      </c>
      <c r="G24" s="112" t="s">
        <v>2078</v>
      </c>
      <c r="H24" s="112" t="s">
        <v>2079</v>
      </c>
      <c r="I24" s="113" t="str" cm="1">
        <f t="array" ref="I24:Z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transaction_type_code</v>
      </c>
      <c r="N24" s="113" t="str">
        <v>financial_flow_indicator</v>
      </c>
      <c r="O24" s="113" t="str">
        <v>currency_code</v>
      </c>
      <c r="P24" s="113" t="str">
        <v>installment_number</v>
      </c>
      <c r="Q24" s="113" t="str">
        <v>chargeback_indicator</v>
      </c>
      <c r="R24" s="113" t="str">
        <v>chargeback_date</v>
      </c>
      <c r="S24" s="113" t="str">
        <v>transaction_date</v>
      </c>
      <c r="T24" s="113" t="str">
        <v>transaction_execution_date</v>
      </c>
      <c r="U24" s="182" t="str">
        <v>settled_amort_due_date</v>
      </c>
      <c r="V24" s="182" t="str">
        <v>total_amount</v>
      </c>
      <c r="W24" s="182" t="str">
        <v>amount</v>
      </c>
      <c r="X24" s="182" t="str">
        <v>source_code</v>
      </c>
      <c r="Y24" t="str">
        <v>data_date_part</v>
      </c>
      <c r="Z24" t="str">
        <v>data_timestamp_part</v>
      </c>
    </row>
    <row r="25" spans="2:26" x14ac:dyDescent="0.25">
      <c r="B25" s="104" t="s">
        <v>2137</v>
      </c>
      <c r="C25" s="117">
        <v>21</v>
      </c>
      <c r="D25" s="106" t="s">
        <v>2138</v>
      </c>
      <c r="E25" s="105" t="s">
        <v>2139</v>
      </c>
      <c r="F25" s="105" t="s">
        <v>1178</v>
      </c>
      <c r="G25" s="105" t="s">
        <v>1178</v>
      </c>
      <c r="H25" s="105" t="s">
        <v>1178</v>
      </c>
      <c r="I25" s="105" t="str" cm="1">
        <f t="array" ref="I25:Z26">TRANSPOSE(_xlfn.SORTBY(_xlfn._xlws.FILTER(IF(Table2[FORMATO]:Table2[COMP_ CAMPO]&lt;&gt;"",Table2[FORMATO]:Table2[COMP_ CAMPO],9999999),Table2[NOME FÍSICO TABELA]="loan_transaction"), _xlfn._xlws.FILTER(Table2[ORDEM], Table2[NOME FÍSICO TABELA]="loan_transaction"), 1))</f>
        <v>STRING</v>
      </c>
      <c r="J25" s="105" t="str">
        <v>STRING</v>
      </c>
      <c r="K25" s="105" t="str">
        <v>BIG 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DECIMAL</v>
      </c>
      <c r="W25" s="105" t="str">
        <v>DECIMAL</v>
      </c>
      <c r="X25" s="105" t="str">
        <v>STRING</v>
      </c>
      <c r="Y25" t="str">
        <v>STRING</v>
      </c>
      <c r="Z25" t="str">
        <v>TIMESTAMP</v>
      </c>
    </row>
    <row r="26" spans="2:26" s="101" customFormat="1" x14ac:dyDescent="0.25">
      <c r="B26" s="122" t="s">
        <v>2140</v>
      </c>
      <c r="C26" s="117">
        <v>7</v>
      </c>
      <c r="D26" s="123" t="s">
        <v>2138</v>
      </c>
      <c r="E26" s="117" t="s">
        <v>2139</v>
      </c>
      <c r="F26" s="117" t="s">
        <v>1178</v>
      </c>
      <c r="G26" s="117" t="s">
        <v>1178</v>
      </c>
      <c r="H26" s="117" t="s">
        <v>1178</v>
      </c>
      <c r="I26" s="117">
        <v>4</v>
      </c>
      <c r="J26" s="117">
        <v>30</v>
      </c>
      <c r="K26" s="117">
        <v>9999999</v>
      </c>
      <c r="L26" s="117">
        <v>9999999</v>
      </c>
      <c r="M26" s="117">
        <v>4</v>
      </c>
      <c r="N26" s="117">
        <v>4</v>
      </c>
      <c r="O26" s="117">
        <v>4</v>
      </c>
      <c r="P26" s="117">
        <v>9999999</v>
      </c>
      <c r="Q26" s="117">
        <v>4</v>
      </c>
      <c r="R26" s="117">
        <v>10</v>
      </c>
      <c r="S26" s="117">
        <v>10</v>
      </c>
      <c r="T26" s="117">
        <v>10</v>
      </c>
      <c r="U26" s="117">
        <v>10</v>
      </c>
      <c r="V26" s="117">
        <v>23</v>
      </c>
      <c r="W26" s="117">
        <v>23</v>
      </c>
      <c r="X26" s="117">
        <v>2</v>
      </c>
      <c r="Y26" s="101">
        <v>10</v>
      </c>
      <c r="Z26" s="101">
        <v>23</v>
      </c>
    </row>
    <row r="27" spans="2:26" x14ac:dyDescent="0.25">
      <c r="B27" t="s">
        <v>2359</v>
      </c>
    </row>
    <row r="29" spans="2:26" x14ac:dyDescent="0.25">
      <c r="B29" s="127" t="s">
        <v>2141</v>
      </c>
    </row>
    <row r="30" spans="2:26" x14ac:dyDescent="0.25">
      <c r="B30" s="136" t="s">
        <v>2142</v>
      </c>
      <c r="C30" s="136" t="s">
        <v>2143</v>
      </c>
      <c r="D30" s="137" t="s">
        <v>2144</v>
      </c>
      <c r="E30" s="136" t="s">
        <v>2145</v>
      </c>
      <c r="F30" s="136" t="s">
        <v>2146</v>
      </c>
      <c r="H30" s="222"/>
    </row>
    <row r="31" spans="2:26" ht="45" x14ac:dyDescent="0.25">
      <c r="B31" s="134" t="s">
        <v>2395</v>
      </c>
      <c r="C31" s="87" t="s">
        <v>2209</v>
      </c>
      <c r="D31" s="87" t="s">
        <v>2426</v>
      </c>
      <c r="E31" s="87" t="s">
        <v>2427</v>
      </c>
      <c r="F31" s="199" t="s">
        <v>2159</v>
      </c>
    </row>
    <row r="32" spans="2:26" ht="45" x14ac:dyDescent="0.25">
      <c r="B32" s="134" t="s">
        <v>2151</v>
      </c>
      <c r="C32" s="207" t="s">
        <v>716</v>
      </c>
      <c r="D32" s="207" t="s">
        <v>2428</v>
      </c>
      <c r="E32" s="207" t="s">
        <v>2429</v>
      </c>
      <c r="F32" s="221" t="s">
        <v>2206</v>
      </c>
      <c r="H32" s="190"/>
    </row>
    <row r="33" spans="2:8" ht="30" x14ac:dyDescent="0.25">
      <c r="B33" s="134" t="s">
        <v>2151</v>
      </c>
      <c r="C33" s="207" t="s">
        <v>729</v>
      </c>
      <c r="D33" s="207" t="s">
        <v>2430</v>
      </c>
      <c r="E33" s="207" t="s">
        <v>2431</v>
      </c>
      <c r="F33" s="221" t="s">
        <v>2150</v>
      </c>
      <c r="H33" s="190"/>
    </row>
    <row r="34" spans="2:8" ht="30" x14ac:dyDescent="0.25">
      <c r="B34" s="226" t="s">
        <v>2147</v>
      </c>
      <c r="C34" s="217" t="s">
        <v>737</v>
      </c>
      <c r="D34" s="207" t="s">
        <v>2398</v>
      </c>
      <c r="E34" s="207" t="s">
        <v>2432</v>
      </c>
      <c r="F34" s="221" t="s">
        <v>2150</v>
      </c>
      <c r="H34" s="190"/>
    </row>
    <row r="35" spans="2:8" ht="45" x14ac:dyDescent="0.25">
      <c r="B35" s="134" t="s">
        <v>2155</v>
      </c>
      <c r="C35" s="207" t="s">
        <v>716</v>
      </c>
      <c r="D35" s="207" t="s">
        <v>2428</v>
      </c>
      <c r="E35" s="207" t="s">
        <v>2429</v>
      </c>
      <c r="F35" s="221" t="s">
        <v>2206</v>
      </c>
      <c r="H35" s="190"/>
    </row>
    <row r="36" spans="2:8" ht="61.5" customHeight="1" x14ac:dyDescent="0.25">
      <c r="B36" s="134" t="s">
        <v>2155</v>
      </c>
      <c r="C36" s="207" t="s">
        <v>729</v>
      </c>
      <c r="D36" s="207" t="s">
        <v>2430</v>
      </c>
      <c r="E36" s="207" t="s">
        <v>2431</v>
      </c>
      <c r="F36" s="221" t="s">
        <v>2150</v>
      </c>
      <c r="H36" s="189"/>
    </row>
    <row r="37" spans="2:8" ht="30" x14ac:dyDescent="0.25">
      <c r="B37" s="138" t="s">
        <v>2155</v>
      </c>
      <c r="C37" s="91" t="s">
        <v>737</v>
      </c>
      <c r="D37" s="91" t="s">
        <v>2398</v>
      </c>
      <c r="E37" s="91" t="s">
        <v>2433</v>
      </c>
      <c r="F37" s="135" t="s">
        <v>2150</v>
      </c>
    </row>
    <row r="38" spans="2:8" ht="60" x14ac:dyDescent="0.25">
      <c r="B38" s="218" t="s">
        <v>2434</v>
      </c>
      <c r="C38" s="217" t="s">
        <v>767</v>
      </c>
      <c r="D38" s="217" t="s">
        <v>2435</v>
      </c>
      <c r="E38" s="217" t="s">
        <v>2436</v>
      </c>
      <c r="F38" s="221" t="s">
        <v>2159</v>
      </c>
    </row>
    <row r="39" spans="2:8" ht="48.75" customHeight="1" x14ac:dyDescent="0.25">
      <c r="B39" s="218" t="s">
        <v>2155</v>
      </c>
      <c r="C39" s="217" t="s">
        <v>778</v>
      </c>
      <c r="D39" s="207" t="s">
        <v>2437</v>
      </c>
      <c r="E39" s="217" t="s">
        <v>2438</v>
      </c>
      <c r="F39" s="224" t="s">
        <v>2206</v>
      </c>
    </row>
    <row r="40" spans="2:8" ht="45" x14ac:dyDescent="0.25">
      <c r="B40" s="218" t="s">
        <v>2155</v>
      </c>
      <c r="C40" s="217" t="s">
        <v>1585</v>
      </c>
      <c r="D40" s="217" t="s">
        <v>2439</v>
      </c>
      <c r="E40" s="217" t="s">
        <v>2440</v>
      </c>
      <c r="F40" s="219" t="s">
        <v>2441</v>
      </c>
    </row>
    <row r="41" spans="2:8" ht="30" x14ac:dyDescent="0.25">
      <c r="B41" s="218" t="s">
        <v>2155</v>
      </c>
      <c r="C41" s="217" t="s">
        <v>941</v>
      </c>
      <c r="D41" s="217" t="s">
        <v>2442</v>
      </c>
      <c r="E41" s="217" t="s">
        <v>2443</v>
      </c>
      <c r="F41" s="225" t="s">
        <v>2150</v>
      </c>
    </row>
    <row r="42" spans="2:8" ht="30" x14ac:dyDescent="0.25">
      <c r="B42" s="218" t="s">
        <v>2155</v>
      </c>
      <c r="C42" s="207" t="s">
        <v>1601</v>
      </c>
      <c r="D42" s="217" t="s">
        <v>2442</v>
      </c>
      <c r="E42" s="207" t="s">
        <v>2443</v>
      </c>
      <c r="F42" s="225" t="s">
        <v>2150</v>
      </c>
    </row>
    <row r="43" spans="2:8" ht="30" x14ac:dyDescent="0.25">
      <c r="B43" s="218" t="s">
        <v>2155</v>
      </c>
      <c r="C43" s="217" t="s">
        <v>758</v>
      </c>
      <c r="D43" s="217" t="s">
        <v>2430</v>
      </c>
      <c r="E43" s="217" t="s">
        <v>2444</v>
      </c>
      <c r="F43" s="224" t="s">
        <v>2150</v>
      </c>
    </row>
    <row r="44" spans="2:8" ht="30" x14ac:dyDescent="0.25">
      <c r="B44" s="218" t="s">
        <v>2181</v>
      </c>
      <c r="C44" s="217" t="s">
        <v>2209</v>
      </c>
      <c r="D44" s="217" t="s">
        <v>2445</v>
      </c>
      <c r="E44" s="217" t="s">
        <v>2446</v>
      </c>
      <c r="F44" s="224" t="s">
        <v>2150</v>
      </c>
    </row>
    <row r="45" spans="2:8" ht="30" x14ac:dyDescent="0.25">
      <c r="B45" s="218" t="s">
        <v>2182</v>
      </c>
      <c r="C45" s="217" t="s">
        <v>2209</v>
      </c>
      <c r="D45" s="217" t="s">
        <v>2445</v>
      </c>
      <c r="E45" s="217" t="s">
        <v>2446</v>
      </c>
      <c r="F45" s="224" t="s">
        <v>2150</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X39"/>
  <sheetViews>
    <sheetView showGridLines="0" workbookViewId="0">
      <selection activeCell="A17" sqref="A17:XFD17"/>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x14ac:dyDescent="0.25"/>
    <row r="2" spans="2:24"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13" t="s">
        <v>749</v>
      </c>
      <c r="O2" s="101" t="s">
        <v>758</v>
      </c>
      <c r="P2" s="101" t="s">
        <v>767</v>
      </c>
      <c r="Q2" s="113" t="s">
        <v>778</v>
      </c>
      <c r="R2" s="113" t="s">
        <v>791</v>
      </c>
      <c r="S2" s="101" t="s">
        <v>1130</v>
      </c>
      <c r="T2" s="101" t="s">
        <v>1136</v>
      </c>
      <c r="U2" s="101" t="s">
        <v>1149</v>
      </c>
      <c r="V2" s="101" t="s">
        <v>798</v>
      </c>
      <c r="W2" s="101" t="s">
        <v>806</v>
      </c>
      <c r="X2" s="101" t="s">
        <v>813</v>
      </c>
    </row>
    <row r="3" spans="2:24" x14ac:dyDescent="0.25">
      <c r="B3" s="145" t="s">
        <v>2027</v>
      </c>
      <c r="C3" s="102">
        <v>1</v>
      </c>
      <c r="D3" s="102" t="s">
        <v>2447</v>
      </c>
      <c r="E3" s="120">
        <v>45513</v>
      </c>
      <c r="F3" s="102">
        <v>1</v>
      </c>
      <c r="G3" s="220" t="s">
        <v>2448</v>
      </c>
      <c r="H3" s="121">
        <v>2301</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c r="W3" s="102" t="s">
        <v>2081</v>
      </c>
      <c r="X3" s="102" t="s">
        <v>2081</v>
      </c>
    </row>
    <row r="4" spans="2:24" x14ac:dyDescent="0.25">
      <c r="B4" s="145" t="s">
        <v>2029</v>
      </c>
      <c r="C4" s="102">
        <v>2</v>
      </c>
      <c r="D4" s="102" t="s">
        <v>2449</v>
      </c>
      <c r="E4" s="120">
        <v>45513</v>
      </c>
      <c r="F4" s="102">
        <v>1</v>
      </c>
      <c r="G4" s="220">
        <v>1</v>
      </c>
      <c r="H4" s="206" t="s">
        <v>2166</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c r="W4" s="102" t="s">
        <v>2081</v>
      </c>
      <c r="X4" s="102" t="s">
        <v>2081</v>
      </c>
    </row>
    <row r="5" spans="2:24" x14ac:dyDescent="0.25">
      <c r="B5" s="145" t="s">
        <v>2031</v>
      </c>
      <c r="C5" s="102">
        <v>3</v>
      </c>
      <c r="D5" s="102" t="s">
        <v>2450</v>
      </c>
      <c r="E5" s="120">
        <v>45513</v>
      </c>
      <c r="F5" s="102">
        <v>1</v>
      </c>
      <c r="G5" s="220">
        <v>1</v>
      </c>
      <c r="H5" s="206" t="s">
        <v>2166</v>
      </c>
      <c r="I5" s="102">
        <v>0</v>
      </c>
      <c r="J5" s="102">
        <v>0</v>
      </c>
      <c r="K5" s="102">
        <v>0</v>
      </c>
      <c r="L5" s="102">
        <v>0</v>
      </c>
      <c r="M5" s="102" t="s">
        <v>2081</v>
      </c>
      <c r="N5" s="102">
        <v>0</v>
      </c>
      <c r="O5" s="102">
        <v>0</v>
      </c>
      <c r="P5" s="102" t="s">
        <v>2081</v>
      </c>
      <c r="Q5" s="102" t="s">
        <v>2081</v>
      </c>
      <c r="R5" s="102" t="s">
        <v>2081</v>
      </c>
      <c r="S5" s="102" t="s">
        <v>2081</v>
      </c>
      <c r="T5" s="102" t="s">
        <v>2081</v>
      </c>
      <c r="U5" s="102" t="s">
        <v>2081</v>
      </c>
      <c r="V5" s="102" t="s">
        <v>2081</v>
      </c>
      <c r="W5" s="102">
        <v>0</v>
      </c>
      <c r="X5" s="102" t="s">
        <v>2081</v>
      </c>
    </row>
    <row r="6" spans="2:24" x14ac:dyDescent="0.25">
      <c r="B6" s="92" t="s">
        <v>2033</v>
      </c>
      <c r="C6" s="102">
        <v>4</v>
      </c>
      <c r="D6" s="102" t="s">
        <v>2086</v>
      </c>
      <c r="E6" s="120" t="s">
        <v>2081</v>
      </c>
      <c r="F6" s="102">
        <v>1</v>
      </c>
      <c r="G6" s="220" t="s">
        <v>2081</v>
      </c>
      <c r="H6" s="206"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c r="W6" s="102" t="s">
        <v>2081</v>
      </c>
      <c r="X6" s="102" t="s">
        <v>2081</v>
      </c>
    </row>
    <row r="7" spans="2:24" x14ac:dyDescent="0.25">
      <c r="B7" s="92" t="s">
        <v>2035</v>
      </c>
      <c r="C7" s="102">
        <v>5</v>
      </c>
      <c r="D7" s="102" t="s">
        <v>2086</v>
      </c>
      <c r="E7" s="120" t="s">
        <v>2081</v>
      </c>
      <c r="F7" s="102">
        <v>1</v>
      </c>
      <c r="G7" s="220" t="s">
        <v>2081</v>
      </c>
      <c r="H7" s="206"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c r="W7" s="102" t="s">
        <v>2081</v>
      </c>
      <c r="X7" s="102" t="s">
        <v>2081</v>
      </c>
    </row>
    <row r="8" spans="2:24" x14ac:dyDescent="0.25">
      <c r="B8" s="176" t="s">
        <v>2036</v>
      </c>
      <c r="C8" s="102">
        <v>6</v>
      </c>
      <c r="D8" s="102" t="s">
        <v>2451</v>
      </c>
      <c r="E8" s="120">
        <v>45513</v>
      </c>
      <c r="F8" s="102">
        <v>1</v>
      </c>
      <c r="G8" s="220" cm="1">
        <f t="array" ref="G8">SUMPRODUCT(--(I8:X8&gt;0))/COUNTA(I8:X8)</f>
        <v>0.8125</v>
      </c>
      <c r="H8" s="206" t="s">
        <v>2166</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x14ac:dyDescent="0.25">
      <c r="B9" s="145" t="s">
        <v>2039</v>
      </c>
      <c r="C9" s="102">
        <v>7</v>
      </c>
      <c r="D9" s="102" t="s">
        <v>2452</v>
      </c>
      <c r="E9" s="120">
        <v>45513</v>
      </c>
      <c r="F9" s="102">
        <v>1</v>
      </c>
      <c r="G9" s="220" cm="1">
        <f t="array" ref="G9">SUMPRODUCT(--(I9:X9&lt;=I26:X26))/COUNTA(I9:X9)</f>
        <v>1</v>
      </c>
      <c r="H9" s="206" t="s">
        <v>2166</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x14ac:dyDescent="0.25">
      <c r="B10" s="145" t="s">
        <v>2042</v>
      </c>
      <c r="C10" s="102">
        <v>8</v>
      </c>
      <c r="D10" s="102" t="s">
        <v>2453</v>
      </c>
      <c r="E10" s="120">
        <v>45513</v>
      </c>
      <c r="F10" s="102">
        <v>1</v>
      </c>
      <c r="G10" s="220" t="s">
        <v>2081</v>
      </c>
      <c r="H10" s="206" t="s">
        <v>2166</v>
      </c>
      <c r="I10" s="102">
        <v>31</v>
      </c>
      <c r="J10" s="102">
        <v>1.2221441750000001E+24</v>
      </c>
      <c r="K10" s="102">
        <v>1</v>
      </c>
      <c r="L10" s="102">
        <v>1</v>
      </c>
      <c r="M10" s="120" t="s">
        <v>2088</v>
      </c>
      <c r="N10" s="120">
        <v>45513</v>
      </c>
      <c r="O10" s="206">
        <v>5000000</v>
      </c>
      <c r="P10" s="102" t="e">
        <v>#N/A</v>
      </c>
      <c r="Q10" s="102">
        <v>840</v>
      </c>
      <c r="R10" s="120">
        <v>45505</v>
      </c>
      <c r="S10" s="102"/>
      <c r="T10" s="102"/>
      <c r="U10" s="149"/>
      <c r="V10" s="102" t="s">
        <v>2171</v>
      </c>
      <c r="W10" s="120">
        <v>45513</v>
      </c>
      <c r="X10" s="102" t="s">
        <v>2454</v>
      </c>
    </row>
    <row r="11" spans="2:24" x14ac:dyDescent="0.25">
      <c r="B11" s="145" t="s">
        <v>2044</v>
      </c>
      <c r="C11" s="102">
        <v>9</v>
      </c>
      <c r="D11" s="102" t="s">
        <v>2455</v>
      </c>
      <c r="E11" s="120">
        <v>45513</v>
      </c>
      <c r="F11" s="102">
        <v>1</v>
      </c>
      <c r="G11" s="220" t="s">
        <v>2081</v>
      </c>
      <c r="H11" s="206" t="s">
        <v>2166</v>
      </c>
      <c r="I11" s="102">
        <v>31</v>
      </c>
      <c r="J11" s="102">
        <v>1.2221441750000001E+24</v>
      </c>
      <c r="K11" s="102">
        <v>1</v>
      </c>
      <c r="L11" s="102">
        <v>1</v>
      </c>
      <c r="M11" s="120" t="s">
        <v>2088</v>
      </c>
      <c r="N11" s="120">
        <v>45513</v>
      </c>
      <c r="O11" s="206" t="s">
        <v>2456</v>
      </c>
      <c r="P11" s="120" t="e">
        <v>#N/A</v>
      </c>
      <c r="Q11" s="102">
        <v>840</v>
      </c>
      <c r="R11" s="120">
        <v>45505</v>
      </c>
      <c r="S11" s="102" t="s">
        <v>2081</v>
      </c>
      <c r="T11" s="102" t="e">
        <v>#N/A</v>
      </c>
      <c r="U11" s="120" t="s">
        <v>2081</v>
      </c>
      <c r="V11" s="102" t="s">
        <v>2171</v>
      </c>
      <c r="W11" s="120">
        <v>45513</v>
      </c>
      <c r="X11" s="102" t="s">
        <v>2457</v>
      </c>
    </row>
    <row r="12" spans="2:24" x14ac:dyDescent="0.25">
      <c r="B12" s="168" t="s">
        <v>2046</v>
      </c>
      <c r="C12" s="102">
        <v>10</v>
      </c>
      <c r="D12" s="102" t="s">
        <v>2458</v>
      </c>
      <c r="E12" s="120">
        <v>45513</v>
      </c>
      <c r="F12" s="102">
        <v>1</v>
      </c>
      <c r="G12" s="220" t="s">
        <v>2081</v>
      </c>
      <c r="H12" s="206" t="s">
        <v>2166</v>
      </c>
      <c r="I12" s="102">
        <v>31</v>
      </c>
      <c r="J12" s="102">
        <v>2.3370022502709698E+29</v>
      </c>
      <c r="K12" s="102">
        <v>20240163093</v>
      </c>
      <c r="L12" s="102">
        <v>2</v>
      </c>
      <c r="M12" s="120" t="s">
        <v>2088</v>
      </c>
      <c r="N12" s="120">
        <v>45513</v>
      </c>
      <c r="O12" s="206">
        <v>2530000000000</v>
      </c>
      <c r="P12" s="121">
        <v>1</v>
      </c>
      <c r="Q12" s="102" t="s">
        <v>2417</v>
      </c>
      <c r="R12" s="120">
        <v>45523</v>
      </c>
      <c r="S12" s="120" t="s">
        <v>2459</v>
      </c>
      <c r="T12" s="120" t="s">
        <v>2460</v>
      </c>
      <c r="U12" s="149">
        <v>80890001155867</v>
      </c>
      <c r="V12" s="102" t="s">
        <v>2224</v>
      </c>
      <c r="W12" s="120">
        <v>45513</v>
      </c>
      <c r="X12" s="102" t="s">
        <v>2454</v>
      </c>
    </row>
    <row r="13" spans="2:24" x14ac:dyDescent="0.25">
      <c r="B13" s="145" t="s">
        <v>2048</v>
      </c>
      <c r="C13" s="102">
        <v>11</v>
      </c>
      <c r="D13" s="102" t="s">
        <v>2461</v>
      </c>
      <c r="E13" s="120">
        <v>45513</v>
      </c>
      <c r="F13" s="102">
        <v>1</v>
      </c>
      <c r="G13" s="220" t="s">
        <v>2081</v>
      </c>
      <c r="H13" s="206" t="s">
        <v>2166</v>
      </c>
      <c r="I13" s="102">
        <v>31</v>
      </c>
      <c r="J13" s="102">
        <v>2.3370022502709698E+29</v>
      </c>
      <c r="K13" s="102">
        <v>20240163093</v>
      </c>
      <c r="L13" s="102">
        <v>2</v>
      </c>
      <c r="M13" s="120" t="s">
        <v>2088</v>
      </c>
      <c r="N13" s="120">
        <v>45513</v>
      </c>
      <c r="O13" s="206" t="s">
        <v>2462</v>
      </c>
      <c r="P13" s="120">
        <v>1</v>
      </c>
      <c r="Q13" s="102" t="s">
        <v>2463</v>
      </c>
      <c r="R13" s="120">
        <v>45523</v>
      </c>
      <c r="S13" s="120" t="s">
        <v>2081</v>
      </c>
      <c r="T13" s="120" t="s">
        <v>2460</v>
      </c>
      <c r="U13" s="120" t="s">
        <v>2081</v>
      </c>
      <c r="V13" s="102" t="s">
        <v>2224</v>
      </c>
      <c r="W13" s="120">
        <v>45513</v>
      </c>
      <c r="X13" s="102" t="s">
        <v>2464</v>
      </c>
    </row>
    <row r="14" spans="2:24" x14ac:dyDescent="0.25">
      <c r="B14" s="145" t="s">
        <v>2050</v>
      </c>
      <c r="C14" s="102">
        <v>12</v>
      </c>
      <c r="D14" s="102" t="s">
        <v>2465</v>
      </c>
      <c r="E14" s="120">
        <v>45513</v>
      </c>
      <c r="F14" s="102">
        <v>1</v>
      </c>
      <c r="G14" s="220" t="s">
        <v>2466</v>
      </c>
      <c r="H14" s="206" t="s">
        <v>2166</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x14ac:dyDescent="0.25">
      <c r="B15" s="145" t="s">
        <v>2052</v>
      </c>
      <c r="C15" s="102">
        <v>13</v>
      </c>
      <c r="D15" s="102" t="s">
        <v>2467</v>
      </c>
      <c r="E15" s="120">
        <v>45513</v>
      </c>
      <c r="F15" s="102">
        <v>1</v>
      </c>
      <c r="G15" s="220">
        <v>1000000</v>
      </c>
      <c r="H15" s="206" t="s">
        <v>2166</v>
      </c>
      <c r="I15" s="102" t="s">
        <v>2081</v>
      </c>
      <c r="J15" s="102" t="s">
        <v>2081</v>
      </c>
      <c r="K15" s="102" t="s">
        <v>2081</v>
      </c>
      <c r="L15" s="92" t="s">
        <v>2081</v>
      </c>
      <c r="M15" s="92" t="s">
        <v>2081</v>
      </c>
      <c r="N15" s="92">
        <v>0</v>
      </c>
      <c r="O15" s="102" t="s">
        <v>2081</v>
      </c>
      <c r="P15" s="92" t="s">
        <v>2081</v>
      </c>
      <c r="Q15" s="92" t="s">
        <v>2081</v>
      </c>
      <c r="R15" s="92">
        <v>0</v>
      </c>
      <c r="S15" s="102" t="s">
        <v>2081</v>
      </c>
      <c r="T15" s="102" t="s">
        <v>2081</v>
      </c>
      <c r="U15" s="102" t="s">
        <v>2081</v>
      </c>
      <c r="V15" s="102" t="s">
        <v>2081</v>
      </c>
      <c r="W15" s="102" t="s">
        <v>2081</v>
      </c>
      <c r="X15" s="102" t="s">
        <v>2081</v>
      </c>
    </row>
    <row r="16" spans="2:24" x14ac:dyDescent="0.25">
      <c r="B16" s="145" t="s">
        <v>2054</v>
      </c>
      <c r="C16" s="102">
        <v>14</v>
      </c>
      <c r="D16" s="102" t="s">
        <v>2468</v>
      </c>
      <c r="E16" s="120">
        <v>45513</v>
      </c>
      <c r="F16" s="102">
        <v>1</v>
      </c>
      <c r="G16" s="220">
        <v>1000000</v>
      </c>
      <c r="H16" s="206" t="s">
        <v>2166</v>
      </c>
      <c r="I16" s="102">
        <v>0</v>
      </c>
      <c r="J16" s="102">
        <v>0</v>
      </c>
      <c r="K16" s="102" t="s">
        <v>2081</v>
      </c>
      <c r="L16" s="102" t="s">
        <v>2081</v>
      </c>
      <c r="M16" s="92">
        <v>0</v>
      </c>
      <c r="N16" s="92" t="s">
        <v>2081</v>
      </c>
      <c r="O16" s="102" t="s">
        <v>2081</v>
      </c>
      <c r="P16" s="102">
        <v>0</v>
      </c>
      <c r="Q16" s="102">
        <v>0</v>
      </c>
      <c r="R16" s="92" t="s">
        <v>2081</v>
      </c>
      <c r="S16" s="102" t="s">
        <v>2081</v>
      </c>
      <c r="T16" s="102" t="s">
        <v>2081</v>
      </c>
      <c r="U16" s="102" t="s">
        <v>2081</v>
      </c>
      <c r="V16" s="102">
        <v>0</v>
      </c>
      <c r="W16" s="102" t="s">
        <v>2081</v>
      </c>
      <c r="X16" s="102" t="s">
        <v>2081</v>
      </c>
    </row>
    <row r="17" spans="2:24" x14ac:dyDescent="0.25">
      <c r="B17" s="178" t="s">
        <v>2056</v>
      </c>
      <c r="C17" s="102">
        <v>15</v>
      </c>
      <c r="D17" s="102" t="s">
        <v>2469</v>
      </c>
      <c r="E17" s="120">
        <v>45513</v>
      </c>
      <c r="F17" s="102">
        <v>1</v>
      </c>
      <c r="G17" s="220" t="s">
        <v>2448</v>
      </c>
      <c r="H17" s="206">
        <v>1000000</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c r="W17" s="102" t="s">
        <v>2081</v>
      </c>
      <c r="X17" s="102" t="s">
        <v>2081</v>
      </c>
    </row>
    <row r="18" spans="2:24" x14ac:dyDescent="0.25">
      <c r="B18" s="178" t="s">
        <v>2058</v>
      </c>
      <c r="C18" s="102">
        <v>16</v>
      </c>
      <c r="D18" s="102" t="s">
        <v>2469</v>
      </c>
      <c r="E18" s="120">
        <v>45513</v>
      </c>
      <c r="F18" s="102">
        <v>1</v>
      </c>
      <c r="G18" s="220">
        <v>1000000</v>
      </c>
      <c r="H18" s="206" t="s">
        <v>2166</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c r="W18" s="102" t="s">
        <v>2081</v>
      </c>
      <c r="X18" s="102" t="s">
        <v>2081</v>
      </c>
    </row>
    <row r="19" spans="2:24" x14ac:dyDescent="0.25">
      <c r="B19" s="145" t="s">
        <v>2064</v>
      </c>
      <c r="C19" s="102">
        <v>19</v>
      </c>
      <c r="D19" s="102" t="s">
        <v>2470</v>
      </c>
      <c r="E19" s="120">
        <v>45513</v>
      </c>
      <c r="F19" s="102">
        <v>1</v>
      </c>
      <c r="G19" s="220" cm="1">
        <f t="array" ref="G19">SUMPRODUCT(--(ISNUMBER((SEARCH(I25:X25,I19:X19)))))/COUNTA(I19:X19)</f>
        <v>0.9375</v>
      </c>
      <c r="H19" s="206" t="s">
        <v>2166</v>
      </c>
      <c r="I19" s="102" t="s">
        <v>2131</v>
      </c>
      <c r="J19" s="102" t="s">
        <v>2131</v>
      </c>
      <c r="K19" s="102" t="s">
        <v>2132</v>
      </c>
      <c r="L19" s="102" t="s">
        <v>2132</v>
      </c>
      <c r="M19" s="102" t="s">
        <v>2131</v>
      </c>
      <c r="N19" s="102" t="s">
        <v>2131</v>
      </c>
      <c r="O19" s="102" t="s">
        <v>2133</v>
      </c>
      <c r="P19" s="102" t="s">
        <v>2131</v>
      </c>
      <c r="Q19" s="102" t="s">
        <v>2131</v>
      </c>
      <c r="R19" s="102" t="s">
        <v>2131</v>
      </c>
      <c r="S19" s="102" t="s">
        <v>2131</v>
      </c>
      <c r="T19" s="102" t="s">
        <v>2131</v>
      </c>
      <c r="U19" s="102" t="s">
        <v>2131</v>
      </c>
      <c r="V19" s="102" t="s">
        <v>2131</v>
      </c>
      <c r="W19" s="102" t="s">
        <v>2131</v>
      </c>
      <c r="X19" s="102" t="s">
        <v>2134</v>
      </c>
    </row>
    <row r="20" spans="2:24" x14ac:dyDescent="0.25">
      <c r="B20" s="145" t="s">
        <v>2067</v>
      </c>
      <c r="C20" s="102">
        <v>20</v>
      </c>
      <c r="D20" s="102"/>
      <c r="E20" s="120"/>
      <c r="F20" s="102"/>
      <c r="G20" s="220" cm="1">
        <f t="array" ref="G20">SUM(IF(I2:V2 = I24:V24, 1, 0))/ COUNTA(I2:V2)</f>
        <v>1</v>
      </c>
      <c r="H20" s="102" t="s">
        <v>2081</v>
      </c>
      <c r="I20" s="102" t="s">
        <v>2081</v>
      </c>
      <c r="J20" s="102" t="s">
        <v>2081</v>
      </c>
      <c r="K20" s="102" t="s">
        <v>2081</v>
      </c>
      <c r="L20" s="102" t="s">
        <v>2081</v>
      </c>
      <c r="M20" s="102" t="s">
        <v>2081</v>
      </c>
      <c r="N20" s="102" t="s">
        <v>2081</v>
      </c>
      <c r="O20" s="102" t="s">
        <v>2081</v>
      </c>
      <c r="P20" s="102" t="s">
        <v>2081</v>
      </c>
      <c r="Q20" s="102" t="s">
        <v>2081</v>
      </c>
      <c r="R20" s="102" t="s">
        <v>2081</v>
      </c>
      <c r="S20" s="102" t="s">
        <v>2081</v>
      </c>
      <c r="T20" s="102" t="s">
        <v>2081</v>
      </c>
      <c r="U20" s="102" t="s">
        <v>2081</v>
      </c>
      <c r="V20" s="102" t="s">
        <v>2081</v>
      </c>
      <c r="W20" s="102"/>
      <c r="X20" s="102"/>
    </row>
    <row r="21" spans="2:24" x14ac:dyDescent="0.25">
      <c r="B21" s="169" t="s">
        <v>2070</v>
      </c>
      <c r="C21" s="102">
        <v>21</v>
      </c>
      <c r="D21" s="102"/>
      <c r="E21" s="120"/>
      <c r="F21" s="102"/>
      <c r="G21" s="220" cm="1">
        <f t="array" ref="G21">SUM(IF(IF(G3:G20="null",1,G3:G20)=1,1,0))/COUNT(IF(G3:G20="null",1,1))</f>
        <v>0.55555555555555558</v>
      </c>
      <c r="H21" s="102" t="s">
        <v>2081</v>
      </c>
      <c r="I21" s="102" t="s">
        <v>2081</v>
      </c>
      <c r="J21" s="102" t="s">
        <v>2081</v>
      </c>
      <c r="K21" s="102" t="s">
        <v>2081</v>
      </c>
      <c r="L21" s="102" t="s">
        <v>2081</v>
      </c>
      <c r="M21" s="102" t="s">
        <v>2081</v>
      </c>
      <c r="N21" s="102" t="s">
        <v>2081</v>
      </c>
      <c r="O21" s="102" t="s">
        <v>2081</v>
      </c>
      <c r="P21" s="102" t="s">
        <v>2081</v>
      </c>
      <c r="Q21" s="102" t="s">
        <v>2081</v>
      </c>
      <c r="R21" s="102" t="s">
        <v>2081</v>
      </c>
      <c r="S21" s="102" t="s">
        <v>2081</v>
      </c>
      <c r="T21" s="102" t="s">
        <v>2081</v>
      </c>
      <c r="U21" s="102" t="s">
        <v>2081</v>
      </c>
      <c r="V21" s="102" t="s">
        <v>2081</v>
      </c>
      <c r="W21" s="102"/>
      <c r="X21" s="102"/>
    </row>
    <row r="22" spans="2:24" x14ac:dyDescent="0.25">
      <c r="B22" s="102"/>
      <c r="C22" s="102"/>
      <c r="D22" s="102"/>
      <c r="E22" s="120"/>
      <c r="F22" s="102"/>
      <c r="G22" s="102"/>
      <c r="H22" s="102"/>
      <c r="I22" s="102"/>
      <c r="J22" s="102"/>
      <c r="K22" s="102"/>
      <c r="L22" s="102"/>
      <c r="M22" s="102"/>
      <c r="N22" s="102"/>
      <c r="O22" s="102"/>
      <c r="P22" s="102"/>
      <c r="Q22" s="102"/>
      <c r="R22" s="102"/>
      <c r="S22" s="102"/>
      <c r="T22" s="102"/>
      <c r="U22" s="102"/>
    </row>
    <row r="23" spans="2:24" x14ac:dyDescent="0.25">
      <c r="B23" s="110" t="s">
        <v>2135</v>
      </c>
    </row>
    <row r="24" spans="2:24" x14ac:dyDescent="0.25">
      <c r="B24" s="111" t="s">
        <v>2136</v>
      </c>
      <c r="C24" s="112" t="s">
        <v>2074</v>
      </c>
      <c r="D24" s="112" t="s">
        <v>2075</v>
      </c>
      <c r="E24" s="112" t="s">
        <v>2076</v>
      </c>
      <c r="F24" s="112" t="s">
        <v>2077</v>
      </c>
      <c r="G24" s="112" t="s">
        <v>2078</v>
      </c>
      <c r="H24" s="112" t="s">
        <v>2079</v>
      </c>
      <c r="I24" s="113" t="str" cm="1">
        <f t="array" ref="I24:X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transfer_reference</v>
      </c>
      <c r="T24" s="113" t="str">
        <v>description</v>
      </c>
      <c r="U24" s="182" t="str">
        <v>comment</v>
      </c>
      <c r="V24" s="182" t="str">
        <v>source_code</v>
      </c>
      <c r="W24" s="204" t="str">
        <v>data_date_part</v>
      </c>
      <c r="X24" s="204" t="str">
        <v>data_timestamp_part</v>
      </c>
    </row>
    <row r="25" spans="2:24" x14ac:dyDescent="0.25">
      <c r="B25" s="104" t="s">
        <v>2137</v>
      </c>
      <c r="C25" s="117">
        <v>21</v>
      </c>
      <c r="D25" s="106" t="s">
        <v>2138</v>
      </c>
      <c r="E25" s="105" t="s">
        <v>2139</v>
      </c>
      <c r="F25" s="105" t="s">
        <v>1178</v>
      </c>
      <c r="G25" s="105" t="s">
        <v>1178</v>
      </c>
      <c r="H25" s="105" t="s">
        <v>1178</v>
      </c>
      <c r="I25" s="105" t="str" cm="1">
        <f t="array" ref="I25:X26">TRANSPOSE(_xlfn.SORTBY(_xlfn._xlws.FILTER(IF(Table2[FORMATO]:Table2[COMP_ CAMPO]&lt;&gt;"",Table2[FORMATO]:Table2[COMP_ CAMPO],9999999),Table2[NOME FÍSICO TABELA]="loan_account_transaction"), _xlfn._xlws.FILTER(Table2[ORDEM], Table2[NOME FÍSICO TABELA]="loan_account_transaction"), 1))</f>
        <v>STRING</v>
      </c>
      <c r="J25" s="105" t="str">
        <v>STRING</v>
      </c>
      <c r="K25" s="105" t="str">
        <v>BIG 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s="105" t="str">
        <v>STRING</v>
      </c>
      <c r="W25" s="105" t="str">
        <v>STRING</v>
      </c>
      <c r="X25" s="105" t="str">
        <v>TIMESTAMP</v>
      </c>
    </row>
    <row r="26" spans="2:24" s="101" customFormat="1" x14ac:dyDescent="0.25">
      <c r="B26" s="122" t="s">
        <v>2140</v>
      </c>
      <c r="C26" s="117">
        <v>7</v>
      </c>
      <c r="D26" s="123" t="s">
        <v>2138</v>
      </c>
      <c r="E26" s="117" t="s">
        <v>2139</v>
      </c>
      <c r="F26" s="117" t="s">
        <v>1178</v>
      </c>
      <c r="G26" s="117" t="s">
        <v>1178</v>
      </c>
      <c r="H26" s="117" t="s">
        <v>1178</v>
      </c>
      <c r="I26" s="117">
        <v>4</v>
      </c>
      <c r="J26" s="117">
        <v>30</v>
      </c>
      <c r="K26" s="117">
        <v>9999999</v>
      </c>
      <c r="L26" s="117">
        <v>9999999</v>
      </c>
      <c r="M26" s="117">
        <v>4</v>
      </c>
      <c r="N26" s="117">
        <v>10</v>
      </c>
      <c r="O26" s="117">
        <v>23</v>
      </c>
      <c r="P26" s="117">
        <v>4</v>
      </c>
      <c r="Q26" s="117">
        <v>4</v>
      </c>
      <c r="R26" s="117">
        <v>10</v>
      </c>
      <c r="S26" s="117">
        <v>9999999</v>
      </c>
      <c r="T26" s="117">
        <v>9999999</v>
      </c>
      <c r="U26" s="117">
        <v>9999999</v>
      </c>
      <c r="V26" s="125">
        <v>2</v>
      </c>
      <c r="W26" s="125">
        <v>10</v>
      </c>
      <c r="X26" s="125">
        <v>23</v>
      </c>
    </row>
    <row r="27" spans="2:24" x14ac:dyDescent="0.25">
      <c r="B27" t="s">
        <v>2359</v>
      </c>
    </row>
    <row r="29" spans="2:24" x14ac:dyDescent="0.25">
      <c r="B29" s="127" t="s">
        <v>2141</v>
      </c>
    </row>
    <row r="30" spans="2:24" x14ac:dyDescent="0.25">
      <c r="B30" s="136" t="s">
        <v>2142</v>
      </c>
      <c r="C30" s="136" t="s">
        <v>2143</v>
      </c>
      <c r="D30" s="137" t="s">
        <v>2144</v>
      </c>
      <c r="E30" s="136" t="s">
        <v>2145</v>
      </c>
      <c r="F30" s="136" t="s">
        <v>2146</v>
      </c>
      <c r="H30" s="222"/>
    </row>
    <row r="31" spans="2:24" ht="30" x14ac:dyDescent="0.25">
      <c r="B31" s="226" t="s">
        <v>2147</v>
      </c>
      <c r="C31" s="217" t="s">
        <v>737</v>
      </c>
      <c r="D31" s="207" t="s">
        <v>2398</v>
      </c>
      <c r="E31" s="207" t="s">
        <v>2471</v>
      </c>
      <c r="F31" s="221" t="s">
        <v>2150</v>
      </c>
    </row>
    <row r="32" spans="2:24" ht="30" x14ac:dyDescent="0.25">
      <c r="B32" s="226" t="s">
        <v>2155</v>
      </c>
      <c r="C32" s="217" t="s">
        <v>737</v>
      </c>
      <c r="D32" s="207" t="s">
        <v>2398</v>
      </c>
      <c r="E32" s="207" t="s">
        <v>2471</v>
      </c>
      <c r="F32" s="221" t="s">
        <v>2150</v>
      </c>
      <c r="H32" s="190"/>
    </row>
    <row r="33" spans="8:8" x14ac:dyDescent="0.25">
      <c r="H33" s="190"/>
    </row>
    <row r="34" spans="8:8" x14ac:dyDescent="0.25">
      <c r="H34" s="190"/>
    </row>
    <row r="35" spans="8:8" x14ac:dyDescent="0.25">
      <c r="H35" s="190"/>
    </row>
    <row r="36" spans="8:8" ht="61.5" customHeight="1" x14ac:dyDescent="0.25">
      <c r="H36" s="189"/>
    </row>
    <row r="39" spans="8:8" ht="48.75" customHeight="1" x14ac:dyDescent="0.25"/>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X45"/>
  <sheetViews>
    <sheetView showGridLines="0" workbookViewId="0">
      <selection activeCell="A14" sqref="A14:XFD14"/>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x14ac:dyDescent="0.25"/>
    <row r="2" spans="2:24"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13" t="s">
        <v>749</v>
      </c>
      <c r="O2" s="101" t="s">
        <v>758</v>
      </c>
      <c r="P2" s="101" t="s">
        <v>767</v>
      </c>
      <c r="Q2" s="113" t="s">
        <v>778</v>
      </c>
      <c r="R2" s="113" t="s">
        <v>791</v>
      </c>
      <c r="S2" s="101" t="s">
        <v>1130</v>
      </c>
      <c r="T2" s="101" t="s">
        <v>1136</v>
      </c>
      <c r="U2" s="101" t="s">
        <v>1149</v>
      </c>
      <c r="V2" s="101" t="s">
        <v>798</v>
      </c>
      <c r="W2" s="101" t="s">
        <v>806</v>
      </c>
      <c r="X2" s="101" t="s">
        <v>813</v>
      </c>
    </row>
    <row r="3" spans="2:24" x14ac:dyDescent="0.25">
      <c r="B3" s="145" t="s">
        <v>2027</v>
      </c>
      <c r="C3" s="102">
        <v>1</v>
      </c>
      <c r="D3" s="102" t="s">
        <v>2472</v>
      </c>
      <c r="E3" s="120">
        <v>45513</v>
      </c>
      <c r="F3" s="102">
        <v>1</v>
      </c>
      <c r="G3" s="220">
        <v>1</v>
      </c>
      <c r="H3" s="121">
        <v>1205</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c r="W3" s="102" t="s">
        <v>2081</v>
      </c>
      <c r="X3" s="102" t="s">
        <v>2081</v>
      </c>
    </row>
    <row r="4" spans="2:24" x14ac:dyDescent="0.25">
      <c r="B4" s="145" t="s">
        <v>2029</v>
      </c>
      <c r="C4" s="102">
        <v>2</v>
      </c>
      <c r="D4" s="102" t="s">
        <v>2473</v>
      </c>
      <c r="E4" s="120">
        <v>45513</v>
      </c>
      <c r="F4" s="102">
        <v>1</v>
      </c>
      <c r="G4" s="220">
        <v>1</v>
      </c>
      <c r="H4" s="206" t="s">
        <v>2166</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c r="W4" s="102" t="s">
        <v>2081</v>
      </c>
      <c r="X4" s="102" t="s">
        <v>2081</v>
      </c>
    </row>
    <row r="5" spans="2:24" x14ac:dyDescent="0.25">
      <c r="B5" s="145" t="s">
        <v>2031</v>
      </c>
      <c r="C5" s="102">
        <v>3</v>
      </c>
      <c r="D5" s="102" t="s">
        <v>2474</v>
      </c>
      <c r="E5" s="120">
        <v>45513</v>
      </c>
      <c r="F5" s="102">
        <v>1</v>
      </c>
      <c r="G5" s="220">
        <v>1</v>
      </c>
      <c r="H5" s="206" t="s">
        <v>2166</v>
      </c>
      <c r="I5" s="102">
        <v>0</v>
      </c>
      <c r="J5" s="102">
        <v>0</v>
      </c>
      <c r="K5" s="102">
        <v>0</v>
      </c>
      <c r="L5" s="102">
        <v>0</v>
      </c>
      <c r="M5" s="102" t="s">
        <v>2081</v>
      </c>
      <c r="N5" s="102">
        <v>0</v>
      </c>
      <c r="O5" s="102">
        <v>0</v>
      </c>
      <c r="P5" s="102" t="s">
        <v>2081</v>
      </c>
      <c r="Q5" s="102" t="s">
        <v>2081</v>
      </c>
      <c r="R5" s="102" t="s">
        <v>2081</v>
      </c>
      <c r="S5" s="102" t="s">
        <v>2081</v>
      </c>
      <c r="T5" s="102" t="s">
        <v>2081</v>
      </c>
      <c r="U5" s="102" t="s">
        <v>2081</v>
      </c>
      <c r="V5" s="102" t="s">
        <v>2081</v>
      </c>
      <c r="W5" s="102">
        <v>0</v>
      </c>
      <c r="X5" s="102" t="s">
        <v>2081</v>
      </c>
    </row>
    <row r="6" spans="2:24" x14ac:dyDescent="0.25">
      <c r="B6" s="92" t="s">
        <v>2033</v>
      </c>
      <c r="C6" s="102">
        <v>4</v>
      </c>
      <c r="D6" s="102" t="s">
        <v>2086</v>
      </c>
      <c r="E6" s="120" t="s">
        <v>2081</v>
      </c>
      <c r="F6" s="102">
        <v>1</v>
      </c>
      <c r="G6" s="220" t="s">
        <v>2081</v>
      </c>
      <c r="H6" s="206"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c r="W6" s="102" t="s">
        <v>2081</v>
      </c>
      <c r="X6" s="102" t="s">
        <v>2081</v>
      </c>
    </row>
    <row r="7" spans="2:24" x14ac:dyDescent="0.25">
      <c r="B7" s="92" t="s">
        <v>2035</v>
      </c>
      <c r="C7" s="102">
        <v>5</v>
      </c>
      <c r="D7" s="102" t="s">
        <v>2086</v>
      </c>
      <c r="E7" s="120" t="s">
        <v>2081</v>
      </c>
      <c r="F7" s="102">
        <v>1</v>
      </c>
      <c r="G7" s="220" t="s">
        <v>2081</v>
      </c>
      <c r="H7" s="206"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c r="W7" s="102" t="s">
        <v>2081</v>
      </c>
      <c r="X7" s="102" t="s">
        <v>2081</v>
      </c>
    </row>
    <row r="8" spans="2:24" x14ac:dyDescent="0.25">
      <c r="B8" s="176" t="s">
        <v>2036</v>
      </c>
      <c r="C8" s="102">
        <v>6</v>
      </c>
      <c r="D8" s="102" t="s">
        <v>2475</v>
      </c>
      <c r="E8" s="120">
        <v>45513</v>
      </c>
      <c r="F8" s="102">
        <v>1</v>
      </c>
      <c r="G8" s="220" cm="1">
        <f t="array" ref="G8">SUMPRODUCT(--(I8:X8&gt;0))/COUNTA(I8:X8)</f>
        <v>0.875</v>
      </c>
      <c r="H8" s="206" t="s">
        <v>2166</v>
      </c>
      <c r="I8" s="102">
        <v>2</v>
      </c>
      <c r="J8" s="102">
        <v>30</v>
      </c>
      <c r="K8" s="102">
        <v>1</v>
      </c>
      <c r="L8" s="102">
        <v>1</v>
      </c>
      <c r="M8" s="102" t="s">
        <v>2088</v>
      </c>
      <c r="N8" s="102">
        <v>10</v>
      </c>
      <c r="O8" s="102">
        <v>8</v>
      </c>
      <c r="P8" s="102">
        <v>1</v>
      </c>
      <c r="Q8" s="102">
        <v>3</v>
      </c>
      <c r="R8" s="102">
        <v>10</v>
      </c>
      <c r="S8" s="102">
        <v>0</v>
      </c>
      <c r="T8" s="102">
        <v>7</v>
      </c>
      <c r="U8" s="102">
        <v>0</v>
      </c>
      <c r="V8" s="102">
        <v>2</v>
      </c>
      <c r="W8" s="102">
        <v>10</v>
      </c>
      <c r="X8" s="102">
        <v>23</v>
      </c>
    </row>
    <row r="9" spans="2:24" x14ac:dyDescent="0.25">
      <c r="B9" s="145" t="s">
        <v>2039</v>
      </c>
      <c r="C9" s="102">
        <v>7</v>
      </c>
      <c r="D9" s="102" t="s">
        <v>2476</v>
      </c>
      <c r="E9" s="120">
        <v>45513</v>
      </c>
      <c r="F9" s="102">
        <v>1</v>
      </c>
      <c r="G9" s="220" cm="1">
        <f t="array" ref="G9">SUMPRODUCT(--(I9:X9&lt;=I26:X26))/COUNTA(I9:X9)</f>
        <v>1</v>
      </c>
      <c r="H9" s="206" t="s">
        <v>2166</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x14ac:dyDescent="0.25">
      <c r="B10" s="145" t="s">
        <v>2042</v>
      </c>
      <c r="C10" s="102">
        <v>8</v>
      </c>
      <c r="D10" s="102" t="s">
        <v>2477</v>
      </c>
      <c r="E10" s="120">
        <v>45513</v>
      </c>
      <c r="F10" s="102">
        <v>1</v>
      </c>
      <c r="G10" s="220" t="s">
        <v>2081</v>
      </c>
      <c r="H10" s="206" t="s">
        <v>2166</v>
      </c>
      <c r="I10" s="102">
        <v>31</v>
      </c>
      <c r="J10" s="102">
        <v>4.0142670650000004E+25</v>
      </c>
      <c r="K10" s="102">
        <v>1</v>
      </c>
      <c r="L10" s="102">
        <v>1</v>
      </c>
      <c r="M10" s="120" t="s">
        <v>2088</v>
      </c>
      <c r="N10" s="120">
        <v>45513</v>
      </c>
      <c r="O10" s="206" t="s">
        <v>2478</v>
      </c>
      <c r="P10" s="102">
        <v>1</v>
      </c>
      <c r="Q10" s="102">
        <v>36</v>
      </c>
      <c r="R10" s="120">
        <v>45182</v>
      </c>
      <c r="S10" s="102"/>
      <c r="T10" s="120" t="s">
        <v>2479</v>
      </c>
      <c r="U10" s="120"/>
      <c r="V10" s="102" t="s">
        <v>2171</v>
      </c>
      <c r="W10" s="120">
        <v>45513</v>
      </c>
      <c r="X10" s="102" t="s">
        <v>2480</v>
      </c>
    </row>
    <row r="11" spans="2:24" x14ac:dyDescent="0.25">
      <c r="B11" s="145" t="s">
        <v>2044</v>
      </c>
      <c r="C11" s="102">
        <v>9</v>
      </c>
      <c r="D11" s="102" t="s">
        <v>2481</v>
      </c>
      <c r="E11" s="120">
        <v>45513</v>
      </c>
      <c r="F11" s="102">
        <v>1</v>
      </c>
      <c r="G11" s="220" t="s">
        <v>2081</v>
      </c>
      <c r="H11" s="206" t="s">
        <v>2166</v>
      </c>
      <c r="I11" s="102">
        <v>31</v>
      </c>
      <c r="J11" s="102">
        <v>4.0142670650000004E+25</v>
      </c>
      <c r="K11" s="102">
        <v>1</v>
      </c>
      <c r="L11" s="102">
        <v>1</v>
      </c>
      <c r="M11" s="120" t="s">
        <v>2088</v>
      </c>
      <c r="N11" s="120">
        <v>45513</v>
      </c>
      <c r="O11" s="206" t="s">
        <v>2478</v>
      </c>
      <c r="P11" s="120">
        <v>1</v>
      </c>
      <c r="Q11" s="102">
        <v>36</v>
      </c>
      <c r="R11" s="120">
        <v>45182</v>
      </c>
      <c r="S11" s="102"/>
      <c r="T11" s="120" t="s">
        <v>2479</v>
      </c>
      <c r="U11" s="120"/>
      <c r="V11" s="102" t="s">
        <v>2171</v>
      </c>
      <c r="W11" s="120">
        <v>45513</v>
      </c>
      <c r="X11" s="102" t="s">
        <v>2482</v>
      </c>
    </row>
    <row r="12" spans="2:24" x14ac:dyDescent="0.25">
      <c r="B12" s="168" t="s">
        <v>2046</v>
      </c>
      <c r="C12" s="102">
        <v>10</v>
      </c>
      <c r="D12" s="102" t="s">
        <v>2483</v>
      </c>
      <c r="E12" s="120">
        <v>45513</v>
      </c>
      <c r="F12" s="102">
        <v>1</v>
      </c>
      <c r="G12" s="220" t="s">
        <v>2081</v>
      </c>
      <c r="H12" s="206" t="s">
        <v>2166</v>
      </c>
      <c r="I12" s="102">
        <v>31</v>
      </c>
      <c r="J12" s="102">
        <v>4.1600300001474002E+28</v>
      </c>
      <c r="K12" s="102">
        <v>99999</v>
      </c>
      <c r="L12" s="102">
        <v>1</v>
      </c>
      <c r="M12" s="120" t="s">
        <v>2088</v>
      </c>
      <c r="N12" s="121">
        <v>45513</v>
      </c>
      <c r="O12" s="206">
        <v>340000000000000</v>
      </c>
      <c r="P12" s="121">
        <v>1</v>
      </c>
      <c r="Q12" s="102">
        <v>985</v>
      </c>
      <c r="R12" s="120">
        <v>45521</v>
      </c>
      <c r="S12" s="120" t="s">
        <v>2484</v>
      </c>
      <c r="T12" s="120" t="s">
        <v>2485</v>
      </c>
      <c r="U12" s="120" t="s">
        <v>2485</v>
      </c>
      <c r="V12" s="102" t="s">
        <v>2171</v>
      </c>
      <c r="W12" s="120">
        <v>45513</v>
      </c>
      <c r="X12" s="102" t="s">
        <v>2480</v>
      </c>
    </row>
    <row r="13" spans="2:24" x14ac:dyDescent="0.25">
      <c r="B13" s="145" t="s">
        <v>2048</v>
      </c>
      <c r="C13" s="102">
        <v>11</v>
      </c>
      <c r="D13" s="102" t="s">
        <v>2486</v>
      </c>
      <c r="E13" s="120">
        <v>45513</v>
      </c>
      <c r="F13" s="102">
        <v>1</v>
      </c>
      <c r="G13" s="220" t="s">
        <v>2081</v>
      </c>
      <c r="H13" s="206" t="s">
        <v>2166</v>
      </c>
      <c r="I13" s="102">
        <v>31</v>
      </c>
      <c r="J13" s="102">
        <v>4.1600300001474002E+28</v>
      </c>
      <c r="K13" s="102">
        <v>99999</v>
      </c>
      <c r="L13" s="102">
        <v>1</v>
      </c>
      <c r="M13" s="120" t="s">
        <v>2088</v>
      </c>
      <c r="N13" s="121">
        <v>45513</v>
      </c>
      <c r="O13" s="206">
        <v>340000000000000</v>
      </c>
      <c r="P13" s="120">
        <v>1</v>
      </c>
      <c r="Q13" s="102">
        <v>985</v>
      </c>
      <c r="R13" s="120">
        <v>45521</v>
      </c>
      <c r="S13" s="120" t="s">
        <v>2484</v>
      </c>
      <c r="T13" s="120" t="s">
        <v>2485</v>
      </c>
      <c r="U13" s="120" t="s">
        <v>2485</v>
      </c>
      <c r="V13" s="102" t="s">
        <v>2171</v>
      </c>
      <c r="W13" s="120">
        <v>45513</v>
      </c>
      <c r="X13" s="102" t="s">
        <v>2487</v>
      </c>
    </row>
    <row r="14" spans="2:24" x14ac:dyDescent="0.25">
      <c r="B14" s="145" t="s">
        <v>2050</v>
      </c>
      <c r="C14" s="102">
        <v>12</v>
      </c>
      <c r="D14" s="102" t="s">
        <v>2488</v>
      </c>
      <c r="E14" s="120">
        <v>45513</v>
      </c>
      <c r="F14" s="102">
        <v>1</v>
      </c>
      <c r="G14" s="220" t="s">
        <v>2489</v>
      </c>
      <c r="H14" s="206" t="s">
        <v>2166</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x14ac:dyDescent="0.25">
      <c r="B15" s="145" t="s">
        <v>2052</v>
      </c>
      <c r="C15" s="102">
        <v>13</v>
      </c>
      <c r="D15" s="102" t="s">
        <v>2490</v>
      </c>
      <c r="E15" s="120">
        <v>45513</v>
      </c>
      <c r="F15" s="102">
        <v>1</v>
      </c>
      <c r="G15" s="220">
        <v>1</v>
      </c>
      <c r="H15" s="206" t="s">
        <v>2166</v>
      </c>
      <c r="I15" s="102" t="s">
        <v>2081</v>
      </c>
      <c r="J15" s="102" t="s">
        <v>2081</v>
      </c>
      <c r="K15" s="102" t="s">
        <v>2081</v>
      </c>
      <c r="L15" s="92" t="s">
        <v>2081</v>
      </c>
      <c r="M15" s="92" t="s">
        <v>2081</v>
      </c>
      <c r="N15" s="92">
        <v>0</v>
      </c>
      <c r="O15" s="102" t="s">
        <v>2081</v>
      </c>
      <c r="P15" s="92" t="s">
        <v>2081</v>
      </c>
      <c r="Q15" s="92" t="s">
        <v>2081</v>
      </c>
      <c r="R15" s="92">
        <v>0</v>
      </c>
      <c r="S15" s="102" t="s">
        <v>2081</v>
      </c>
      <c r="T15" s="102" t="s">
        <v>2081</v>
      </c>
      <c r="U15" s="102" t="s">
        <v>2081</v>
      </c>
      <c r="V15" s="102" t="s">
        <v>2081</v>
      </c>
      <c r="W15" s="102" t="s">
        <v>2081</v>
      </c>
      <c r="X15" s="102" t="s">
        <v>2081</v>
      </c>
    </row>
    <row r="16" spans="2:24" x14ac:dyDescent="0.25">
      <c r="B16" s="145" t="s">
        <v>2054</v>
      </c>
      <c r="C16" s="102">
        <v>14</v>
      </c>
      <c r="D16" s="102" t="s">
        <v>2491</v>
      </c>
      <c r="E16" s="120">
        <v>45513</v>
      </c>
      <c r="F16" s="102">
        <v>1</v>
      </c>
      <c r="G16" s="220">
        <v>1</v>
      </c>
      <c r="H16" s="206" t="s">
        <v>2166</v>
      </c>
      <c r="I16" s="102">
        <v>0</v>
      </c>
      <c r="J16" s="102">
        <v>0</v>
      </c>
      <c r="K16" s="102" t="s">
        <v>2081</v>
      </c>
      <c r="L16" s="102" t="s">
        <v>2081</v>
      </c>
      <c r="M16" s="92">
        <v>0</v>
      </c>
      <c r="N16" s="92" t="s">
        <v>2081</v>
      </c>
      <c r="O16" s="102" t="s">
        <v>2081</v>
      </c>
      <c r="P16" s="102" t="s">
        <v>2081</v>
      </c>
      <c r="Q16" s="102">
        <v>0</v>
      </c>
      <c r="R16" s="92" t="s">
        <v>2081</v>
      </c>
      <c r="S16" s="102" t="s">
        <v>2081</v>
      </c>
      <c r="T16" s="102">
        <v>0</v>
      </c>
      <c r="U16" s="102" t="s">
        <v>2081</v>
      </c>
      <c r="V16" s="102">
        <v>0</v>
      </c>
      <c r="W16" s="102" t="s">
        <v>2081</v>
      </c>
      <c r="X16" s="102" t="s">
        <v>2081</v>
      </c>
    </row>
    <row r="17" spans="2:24" x14ac:dyDescent="0.25">
      <c r="B17" s="178" t="s">
        <v>2056</v>
      </c>
      <c r="C17" s="102">
        <v>15</v>
      </c>
      <c r="D17" s="102" t="s">
        <v>2492</v>
      </c>
      <c r="E17" s="120">
        <v>45513</v>
      </c>
      <c r="F17" s="102">
        <v>1</v>
      </c>
      <c r="G17" s="220">
        <v>1</v>
      </c>
      <c r="H17" s="206" t="s">
        <v>2166</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c r="W17" s="102" t="s">
        <v>2081</v>
      </c>
      <c r="X17" s="102" t="s">
        <v>2081</v>
      </c>
    </row>
    <row r="18" spans="2:24" x14ac:dyDescent="0.25">
      <c r="B18" s="178" t="s">
        <v>2058</v>
      </c>
      <c r="C18" s="102">
        <v>16</v>
      </c>
      <c r="D18" s="102" t="s">
        <v>2492</v>
      </c>
      <c r="E18" s="120">
        <v>45513</v>
      </c>
      <c r="F18" s="102">
        <v>1</v>
      </c>
      <c r="G18" s="220">
        <v>1</v>
      </c>
      <c r="H18" s="206" t="s">
        <v>2166</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c r="W18" s="102" t="s">
        <v>2081</v>
      </c>
      <c r="X18" s="102" t="s">
        <v>2081</v>
      </c>
    </row>
    <row r="19" spans="2:24" x14ac:dyDescent="0.25">
      <c r="B19" s="145" t="s">
        <v>2064</v>
      </c>
      <c r="C19" s="102">
        <v>19</v>
      </c>
      <c r="D19" s="102" t="s">
        <v>2493</v>
      </c>
      <c r="E19" s="120">
        <v>45513</v>
      </c>
      <c r="F19" s="102">
        <v>1</v>
      </c>
      <c r="G19" s="220" cm="1">
        <f t="array" ref="G19">SUMPRODUCT(--(ISNUMBER((SEARCH(I25:X25,I19:X19)))))/COUNTA(I19:X19)</f>
        <v>1</v>
      </c>
      <c r="H19" s="206" t="s">
        <v>2166</v>
      </c>
      <c r="I19" s="102" t="s">
        <v>2131</v>
      </c>
      <c r="J19" s="102" t="s">
        <v>2131</v>
      </c>
      <c r="K19" s="102" t="s">
        <v>2132</v>
      </c>
      <c r="L19" s="102" t="s">
        <v>2132</v>
      </c>
      <c r="M19" s="102" t="s">
        <v>2131</v>
      </c>
      <c r="N19" s="102" t="s">
        <v>2131</v>
      </c>
      <c r="O19" s="102" t="s">
        <v>2133</v>
      </c>
      <c r="P19" s="102" t="s">
        <v>2131</v>
      </c>
      <c r="Q19" s="102" t="s">
        <v>2131</v>
      </c>
      <c r="R19" s="102" t="s">
        <v>2131</v>
      </c>
      <c r="S19" s="102" t="s">
        <v>2131</v>
      </c>
      <c r="T19" s="102" t="s">
        <v>2131</v>
      </c>
      <c r="U19" s="102" t="s">
        <v>2131</v>
      </c>
      <c r="V19" s="102" t="s">
        <v>2131</v>
      </c>
      <c r="W19" s="102" t="s">
        <v>2131</v>
      </c>
      <c r="X19" s="102" t="s">
        <v>2134</v>
      </c>
    </row>
    <row r="20" spans="2:24" x14ac:dyDescent="0.25">
      <c r="B20" s="145" t="s">
        <v>2067</v>
      </c>
      <c r="C20" s="102">
        <v>20</v>
      </c>
      <c r="D20" s="102"/>
      <c r="E20" s="120"/>
      <c r="F20" s="102"/>
      <c r="G20" s="220" cm="1">
        <f t="array" ref="G20">SUM(IF(I2:V2 = I24:V24, 1, 0))/ COUNTA(I2:V2)</f>
        <v>1</v>
      </c>
      <c r="H20" s="102"/>
      <c r="I20" s="102"/>
      <c r="J20" s="102"/>
      <c r="K20" s="102"/>
      <c r="L20" s="102"/>
      <c r="M20" s="102"/>
      <c r="N20" s="102"/>
      <c r="O20" s="102"/>
      <c r="P20" s="102"/>
      <c r="Q20" s="102"/>
      <c r="R20" s="102"/>
      <c r="S20" s="102"/>
      <c r="T20" s="102"/>
      <c r="U20" s="102"/>
      <c r="V20" s="102"/>
      <c r="W20" s="102"/>
      <c r="X20" s="102"/>
    </row>
    <row r="21" spans="2:24" x14ac:dyDescent="0.25">
      <c r="B21" s="169" t="s">
        <v>2070</v>
      </c>
      <c r="C21" s="102">
        <v>21</v>
      </c>
      <c r="D21" s="102"/>
      <c r="E21" s="120"/>
      <c r="F21" s="102"/>
      <c r="G21" s="220" cm="1">
        <f t="array" ref="G21">SUM(IF(IF(G3:G20="null",1,G3:G20)=1,1,0))/COUNT(IF(G3:G20="null",1,1))</f>
        <v>0.88888888888888884</v>
      </c>
      <c r="H21" s="102"/>
      <c r="I21" s="102"/>
      <c r="J21" s="102"/>
      <c r="K21" s="102"/>
      <c r="L21" s="102"/>
      <c r="M21" s="102"/>
      <c r="N21" s="102"/>
      <c r="O21" s="102"/>
      <c r="P21" s="102"/>
      <c r="Q21" s="102"/>
      <c r="R21" s="102"/>
      <c r="S21" s="102"/>
      <c r="T21" s="102"/>
      <c r="U21" s="102"/>
      <c r="V21" s="102"/>
      <c r="W21" s="102"/>
      <c r="X21" s="102"/>
    </row>
    <row r="22" spans="2:24" x14ac:dyDescent="0.25">
      <c r="B22" s="102"/>
      <c r="C22" s="102"/>
      <c r="D22" s="102"/>
      <c r="E22" s="120"/>
      <c r="F22" s="102"/>
      <c r="G22" s="102"/>
      <c r="H22" s="102"/>
      <c r="I22" s="102"/>
      <c r="J22" s="102"/>
      <c r="K22" s="102"/>
      <c r="L22" s="102"/>
      <c r="M22" s="102"/>
      <c r="N22" s="102"/>
      <c r="O22" s="102"/>
      <c r="P22" s="102"/>
      <c r="Q22" s="102"/>
      <c r="R22" s="102"/>
      <c r="S22" s="102"/>
      <c r="T22" s="102"/>
      <c r="U22" s="102"/>
    </row>
    <row r="23" spans="2:24" x14ac:dyDescent="0.25">
      <c r="B23" s="110" t="s">
        <v>2135</v>
      </c>
    </row>
    <row r="24" spans="2:24" x14ac:dyDescent="0.25">
      <c r="B24" s="111" t="s">
        <v>2136</v>
      </c>
      <c r="C24" s="112" t="s">
        <v>2074</v>
      </c>
      <c r="D24" s="112" t="s">
        <v>2075</v>
      </c>
      <c r="E24" s="112" t="s">
        <v>2076</v>
      </c>
      <c r="F24" s="112" t="s">
        <v>2077</v>
      </c>
      <c r="G24" s="112" t="s">
        <v>2078</v>
      </c>
      <c r="H24" s="112" t="s">
        <v>2079</v>
      </c>
      <c r="I24" s="113" t="str" cm="1">
        <f t="array" ref="I24:X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transfer_reference</v>
      </c>
      <c r="T24" s="113" t="str">
        <v>description</v>
      </c>
      <c r="U24" s="113" t="str">
        <v>comment</v>
      </c>
      <c r="V24" s="257" t="str">
        <v>source_code</v>
      </c>
      <c r="W24" s="204" t="str">
        <v>data_date_part</v>
      </c>
      <c r="X24" s="205" t="str">
        <v>data_timestamp_part</v>
      </c>
    </row>
    <row r="25" spans="2:24" x14ac:dyDescent="0.25">
      <c r="B25" s="104" t="s">
        <v>2137</v>
      </c>
      <c r="C25" s="117">
        <v>21</v>
      </c>
      <c r="D25" s="106" t="s">
        <v>2138</v>
      </c>
      <c r="E25" s="105" t="s">
        <v>2139</v>
      </c>
      <c r="F25" s="105" t="s">
        <v>1178</v>
      </c>
      <c r="G25" s="105" t="s">
        <v>1178</v>
      </c>
      <c r="H25" s="105" t="s">
        <v>1178</v>
      </c>
      <c r="I25" s="105" t="str" cm="1">
        <f t="array" ref="I25:X26">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232" t="str">
        <v>STRING</v>
      </c>
      <c r="V25" s="105" t="str">
        <v>STRING</v>
      </c>
      <c r="W25" s="105" t="str">
        <v>STRING</v>
      </c>
      <c r="X25" s="116" t="str">
        <v>TIMESTAMP</v>
      </c>
    </row>
    <row r="26" spans="2:24" s="101" customFormat="1" x14ac:dyDescent="0.25">
      <c r="B26" s="122" t="s">
        <v>2140</v>
      </c>
      <c r="C26" s="117">
        <v>7</v>
      </c>
      <c r="D26" s="123" t="s">
        <v>2138</v>
      </c>
      <c r="E26" s="117" t="s">
        <v>2139</v>
      </c>
      <c r="F26" s="117" t="s">
        <v>1178</v>
      </c>
      <c r="G26" s="117" t="s">
        <v>1178</v>
      </c>
      <c r="H26" s="117" t="s">
        <v>1178</v>
      </c>
      <c r="I26" s="117">
        <v>4</v>
      </c>
      <c r="J26" s="117">
        <v>30</v>
      </c>
      <c r="K26" s="117">
        <v>9999999</v>
      </c>
      <c r="L26" s="117">
        <v>9999999</v>
      </c>
      <c r="M26" s="117">
        <v>4</v>
      </c>
      <c r="N26" s="117">
        <v>10</v>
      </c>
      <c r="O26" s="117">
        <v>23</v>
      </c>
      <c r="P26" s="117">
        <v>4</v>
      </c>
      <c r="Q26" s="117">
        <v>4</v>
      </c>
      <c r="R26" s="117">
        <v>10</v>
      </c>
      <c r="S26" s="117">
        <v>9999999</v>
      </c>
      <c r="T26" s="117">
        <v>9999999</v>
      </c>
      <c r="U26" s="117">
        <v>9999999</v>
      </c>
      <c r="V26" s="125">
        <v>2</v>
      </c>
      <c r="W26" s="125">
        <v>10</v>
      </c>
      <c r="X26" s="258">
        <v>23</v>
      </c>
    </row>
    <row r="29" spans="2:24" x14ac:dyDescent="0.25">
      <c r="B29" s="127" t="s">
        <v>2141</v>
      </c>
    </row>
    <row r="30" spans="2:24" x14ac:dyDescent="0.25">
      <c r="B30" s="136" t="s">
        <v>2142</v>
      </c>
      <c r="C30" s="136" t="s">
        <v>2143</v>
      </c>
      <c r="D30" s="136" t="s">
        <v>2144</v>
      </c>
      <c r="E30" s="136" t="s">
        <v>2145</v>
      </c>
      <c r="F30" s="136" t="s">
        <v>2146</v>
      </c>
      <c r="G30" s="228"/>
      <c r="H30" s="222"/>
    </row>
    <row r="31" spans="2:24" ht="60" x14ac:dyDescent="0.25">
      <c r="B31" s="165" t="s">
        <v>2147</v>
      </c>
      <c r="C31" s="227" t="s">
        <v>737</v>
      </c>
      <c r="D31" s="227" t="s">
        <v>2398</v>
      </c>
      <c r="E31" s="227" t="s">
        <v>2494</v>
      </c>
      <c r="F31" s="92"/>
      <c r="G31" s="92"/>
    </row>
    <row r="32" spans="2:24" ht="60" x14ac:dyDescent="0.25">
      <c r="B32" s="165" t="s">
        <v>2155</v>
      </c>
      <c r="C32" s="227" t="s">
        <v>737</v>
      </c>
      <c r="D32" s="227" t="s">
        <v>2398</v>
      </c>
      <c r="E32" s="227" t="s">
        <v>2494</v>
      </c>
      <c r="F32" s="92"/>
      <c r="G32" s="92"/>
      <c r="H32" s="190"/>
    </row>
    <row r="33" spans="2:8" x14ac:dyDescent="0.25">
      <c r="B33" s="102"/>
      <c r="C33" s="227"/>
      <c r="D33" s="227"/>
      <c r="E33" s="227"/>
      <c r="F33" s="92"/>
      <c r="G33" s="92"/>
      <c r="H33" s="190"/>
    </row>
    <row r="34" spans="2:8" x14ac:dyDescent="0.25">
      <c r="B34" s="165"/>
      <c r="C34" s="227"/>
      <c r="D34" s="227"/>
      <c r="E34" s="227"/>
      <c r="F34" s="92"/>
      <c r="G34" s="92"/>
      <c r="H34" s="190"/>
    </row>
    <row r="35" spans="2:8" x14ac:dyDescent="0.25">
      <c r="B35" s="102"/>
      <c r="C35" s="227"/>
      <c r="D35" s="227"/>
      <c r="E35" s="227"/>
      <c r="F35" s="227"/>
      <c r="H35" s="190"/>
    </row>
    <row r="36" spans="2:8" ht="13.5" customHeight="1" x14ac:dyDescent="0.25">
      <c r="B36" s="102"/>
      <c r="C36" s="227"/>
      <c r="D36" s="227"/>
      <c r="E36" s="227"/>
      <c r="F36" s="227"/>
      <c r="H36" s="189"/>
    </row>
    <row r="37" spans="2:8" x14ac:dyDescent="0.25">
      <c r="B37" s="102"/>
      <c r="C37" s="92"/>
      <c r="D37" s="92"/>
      <c r="E37" s="92"/>
      <c r="F37" s="102"/>
    </row>
    <row r="38" spans="2:8" x14ac:dyDescent="0.25">
      <c r="B38" s="165"/>
      <c r="C38" s="227"/>
      <c r="D38" s="227"/>
      <c r="E38" s="227"/>
      <c r="F38" s="227"/>
    </row>
    <row r="39" spans="2:8" ht="48.75" customHeight="1" x14ac:dyDescent="0.25">
      <c r="B39" s="165"/>
      <c r="C39" s="227"/>
      <c r="D39" s="227"/>
      <c r="E39" s="227"/>
      <c r="F39" s="165"/>
    </row>
    <row r="40" spans="2:8" x14ac:dyDescent="0.25">
      <c r="B40" s="165"/>
      <c r="C40" s="227"/>
      <c r="D40" s="227"/>
      <c r="E40" s="227"/>
      <c r="F40" s="227"/>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row r="44" spans="2:8" x14ac:dyDescent="0.25">
      <c r="B44" s="165"/>
      <c r="C44" s="227"/>
      <c r="D44" s="227"/>
      <c r="E44" s="227"/>
      <c r="F44" s="165"/>
    </row>
    <row r="45" spans="2:8" x14ac:dyDescent="0.25">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x14ac:dyDescent="0.25"/>
    <row r="2" spans="2:22"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13" t="s">
        <v>778</v>
      </c>
      <c r="O2" s="101" t="s">
        <v>941</v>
      </c>
      <c r="P2" s="101" t="s">
        <v>791</v>
      </c>
      <c r="Q2" s="113" t="s">
        <v>749</v>
      </c>
      <c r="R2" s="113" t="s">
        <v>758</v>
      </c>
      <c r="S2" s="101" t="s">
        <v>798</v>
      </c>
      <c r="T2" s="101" t="s">
        <v>806</v>
      </c>
      <c r="U2" s="101" t="s">
        <v>813</v>
      </c>
      <c r="V2" s="101"/>
    </row>
    <row r="3" spans="2:22" x14ac:dyDescent="0.25">
      <c r="B3" s="145" t="s">
        <v>2027</v>
      </c>
      <c r="C3" s="102">
        <v>1</v>
      </c>
      <c r="D3" s="102" t="s">
        <v>2495</v>
      </c>
      <c r="E3" s="120">
        <v>45499</v>
      </c>
      <c r="F3" s="102">
        <v>1</v>
      </c>
      <c r="G3" s="192">
        <v>1</v>
      </c>
      <c r="H3" s="174" t="s">
        <v>2496</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row>
    <row r="4" spans="2:22" x14ac:dyDescent="0.25">
      <c r="B4" s="145" t="s">
        <v>2029</v>
      </c>
      <c r="C4" s="102">
        <v>2</v>
      </c>
      <c r="D4" s="102" t="s">
        <v>2497</v>
      </c>
      <c r="E4" s="120">
        <v>45499</v>
      </c>
      <c r="F4" s="102">
        <v>1</v>
      </c>
      <c r="G4" s="192">
        <v>1</v>
      </c>
      <c r="H4" s="206" t="s">
        <v>2166</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row>
    <row r="5" spans="2:22" x14ac:dyDescent="0.25">
      <c r="B5" s="145" t="s">
        <v>2031</v>
      </c>
      <c r="C5" s="102">
        <v>3</v>
      </c>
      <c r="D5" s="102" t="s">
        <v>2498</v>
      </c>
      <c r="E5" s="120">
        <v>45499</v>
      </c>
      <c r="F5" s="102">
        <v>1</v>
      </c>
      <c r="G5" s="192">
        <v>1</v>
      </c>
      <c r="H5" s="206" t="s">
        <v>2166</v>
      </c>
      <c r="I5" s="102">
        <v>0</v>
      </c>
      <c r="J5" s="102">
        <v>0</v>
      </c>
      <c r="K5" s="102">
        <v>0</v>
      </c>
      <c r="L5" s="102">
        <v>0</v>
      </c>
      <c r="M5" s="102" t="s">
        <v>2081</v>
      </c>
      <c r="N5" s="102" t="s">
        <v>2081</v>
      </c>
      <c r="O5" s="102" t="s">
        <v>2081</v>
      </c>
      <c r="P5" s="102" t="s">
        <v>2081</v>
      </c>
      <c r="Q5" s="102" t="s">
        <v>2081</v>
      </c>
      <c r="R5" s="102" t="s">
        <v>2081</v>
      </c>
      <c r="S5" s="102" t="s">
        <v>2081</v>
      </c>
      <c r="T5" s="102" t="s">
        <v>2081</v>
      </c>
      <c r="U5" s="102" t="s">
        <v>2081</v>
      </c>
      <c r="V5" s="102"/>
    </row>
    <row r="6" spans="2:22" x14ac:dyDescent="0.25">
      <c r="B6" s="92" t="s">
        <v>2033</v>
      </c>
      <c r="C6" s="102">
        <v>4</v>
      </c>
      <c r="D6" s="102" t="s">
        <v>2086</v>
      </c>
      <c r="E6" s="120" t="s">
        <v>2081</v>
      </c>
      <c r="F6" s="102">
        <v>1</v>
      </c>
      <c r="G6" s="120" t="s">
        <v>2081</v>
      </c>
      <c r="H6" s="206"/>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row>
    <row r="7" spans="2:22" x14ac:dyDescent="0.25">
      <c r="B7" s="92" t="s">
        <v>2035</v>
      </c>
      <c r="C7" s="102">
        <v>5</v>
      </c>
      <c r="D7" s="102" t="s">
        <v>2086</v>
      </c>
      <c r="E7" s="120" t="s">
        <v>2081</v>
      </c>
      <c r="F7" s="102">
        <v>1</v>
      </c>
      <c r="G7" s="120" t="s">
        <v>2081</v>
      </c>
      <c r="H7" s="206"/>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row>
    <row r="8" spans="2:22" x14ac:dyDescent="0.25">
      <c r="B8" s="176" t="s">
        <v>2036</v>
      </c>
      <c r="C8" s="102">
        <v>6</v>
      </c>
      <c r="D8" s="102" t="s">
        <v>2499</v>
      </c>
      <c r="E8" s="120">
        <v>45499</v>
      </c>
      <c r="F8" s="102">
        <v>1</v>
      </c>
      <c r="G8" s="220" cm="1">
        <f t="array" ref="G8">SUMPRODUCT(--(I8:U8&gt;0))/COUNTA(I8:U8)</f>
        <v>1</v>
      </c>
      <c r="H8" s="206" t="s">
        <v>2166</v>
      </c>
      <c r="I8" s="102">
        <v>2</v>
      </c>
      <c r="J8" s="102">
        <v>30</v>
      </c>
      <c r="K8" s="102">
        <v>1</v>
      </c>
      <c r="L8" s="102">
        <v>1</v>
      </c>
      <c r="M8" s="102" t="s">
        <v>2088</v>
      </c>
      <c r="N8" s="102">
        <v>3</v>
      </c>
      <c r="O8" s="102" t="s">
        <v>2088</v>
      </c>
      <c r="P8" s="102">
        <v>10</v>
      </c>
      <c r="Q8" s="102">
        <v>10</v>
      </c>
      <c r="R8" s="102">
        <v>8</v>
      </c>
      <c r="S8" s="102">
        <v>2</v>
      </c>
      <c r="T8" s="102">
        <v>10</v>
      </c>
      <c r="U8" s="102">
        <v>23</v>
      </c>
      <c r="V8" s="102"/>
    </row>
    <row r="9" spans="2:22" x14ac:dyDescent="0.25">
      <c r="B9" s="145" t="s">
        <v>2039</v>
      </c>
      <c r="C9" s="102">
        <v>7</v>
      </c>
      <c r="D9" s="102" t="s">
        <v>2500</v>
      </c>
      <c r="E9" s="120">
        <v>45499</v>
      </c>
      <c r="F9" s="102">
        <v>1</v>
      </c>
      <c r="G9" s="220" cm="1">
        <f t="array" ref="G9">SUMPRODUCT(--(I9:U9&lt;=I26:U26))/COUNTA(I9:U9)</f>
        <v>0.53846153846153844</v>
      </c>
      <c r="H9" s="206" t="s">
        <v>2166</v>
      </c>
      <c r="I9" s="102">
        <v>2</v>
      </c>
      <c r="J9" s="102">
        <v>30</v>
      </c>
      <c r="K9" s="102">
        <v>2</v>
      </c>
      <c r="L9" s="102">
        <v>1</v>
      </c>
      <c r="M9" s="102" t="s">
        <v>2088</v>
      </c>
      <c r="N9" s="102">
        <v>3</v>
      </c>
      <c r="O9" s="102" t="s">
        <v>2088</v>
      </c>
      <c r="P9" s="102">
        <v>10</v>
      </c>
      <c r="Q9" s="102">
        <v>10</v>
      </c>
      <c r="R9" s="102">
        <v>15</v>
      </c>
      <c r="S9" s="102">
        <v>2</v>
      </c>
      <c r="T9" s="102">
        <v>10</v>
      </c>
      <c r="U9" s="102">
        <v>23</v>
      </c>
      <c r="V9" s="102"/>
    </row>
    <row r="10" spans="2:22" x14ac:dyDescent="0.25">
      <c r="B10" s="145" t="s">
        <v>2042</v>
      </c>
      <c r="C10" s="102">
        <v>8</v>
      </c>
      <c r="D10" s="102" t="s">
        <v>2501</v>
      </c>
      <c r="E10" s="120">
        <v>45499</v>
      </c>
      <c r="F10" s="102">
        <v>1</v>
      </c>
      <c r="G10" s="120" t="s">
        <v>2081</v>
      </c>
      <c r="H10" s="206" t="s">
        <v>2166</v>
      </c>
      <c r="I10" s="102">
        <v>31</v>
      </c>
      <c r="J10" s="102">
        <v>6.6360035007149E+29</v>
      </c>
      <c r="K10" s="102">
        <v>0</v>
      </c>
      <c r="L10" s="102">
        <v>1</v>
      </c>
      <c r="M10" s="120" t="s">
        <v>2088</v>
      </c>
      <c r="N10" s="120" t="s">
        <v>2463</v>
      </c>
      <c r="O10" s="206" t="s">
        <v>2088</v>
      </c>
      <c r="P10" s="120" t="s">
        <v>2410</v>
      </c>
      <c r="Q10" s="120">
        <v>38889</v>
      </c>
      <c r="R10" s="120" t="s">
        <v>2166</v>
      </c>
      <c r="S10" s="102" t="s">
        <v>2502</v>
      </c>
      <c r="T10" s="120">
        <v>45499</v>
      </c>
      <c r="U10" s="149" t="s">
        <v>2503</v>
      </c>
      <c r="V10" s="102"/>
    </row>
    <row r="11" spans="2:22" x14ac:dyDescent="0.25">
      <c r="B11" s="145" t="s">
        <v>2044</v>
      </c>
      <c r="C11" s="102">
        <v>9</v>
      </c>
      <c r="D11" s="102" t="s">
        <v>2504</v>
      </c>
      <c r="E11" s="120">
        <v>45499</v>
      </c>
      <c r="F11" s="102">
        <v>1</v>
      </c>
      <c r="G11" s="120" t="s">
        <v>2081</v>
      </c>
      <c r="H11" s="206" t="s">
        <v>2166</v>
      </c>
      <c r="I11" s="102">
        <v>31</v>
      </c>
      <c r="J11" s="102">
        <v>6.6360035007149E+29</v>
      </c>
      <c r="K11" s="102">
        <v>0</v>
      </c>
      <c r="L11" s="102">
        <v>1</v>
      </c>
      <c r="M11" s="120" t="s">
        <v>2088</v>
      </c>
      <c r="N11" s="120" t="s">
        <v>2463</v>
      </c>
      <c r="O11" s="206" t="s">
        <v>2088</v>
      </c>
      <c r="P11" s="120" t="s">
        <v>2410</v>
      </c>
      <c r="Q11" s="120">
        <v>38889</v>
      </c>
      <c r="R11" s="120" t="s">
        <v>2505</v>
      </c>
      <c r="S11" s="102" t="s">
        <v>2502</v>
      </c>
      <c r="T11" s="120">
        <v>45499</v>
      </c>
      <c r="U11" s="120" t="s">
        <v>2506</v>
      </c>
      <c r="V11" s="102"/>
    </row>
    <row r="12" spans="2:22" x14ac:dyDescent="0.25">
      <c r="B12" s="168" t="s">
        <v>2046</v>
      </c>
      <c r="C12" s="102">
        <v>10</v>
      </c>
      <c r="D12" s="102" t="s">
        <v>2507</v>
      </c>
      <c r="E12" s="120">
        <v>45499</v>
      </c>
      <c r="F12" s="102">
        <v>1</v>
      </c>
      <c r="G12" s="120" t="s">
        <v>2081</v>
      </c>
      <c r="H12" s="206" t="s">
        <v>2166</v>
      </c>
      <c r="I12" s="102">
        <v>31</v>
      </c>
      <c r="J12" s="102">
        <v>8.8780036000000504E+29</v>
      </c>
      <c r="K12" s="102">
        <v>99</v>
      </c>
      <c r="L12" s="102">
        <v>1</v>
      </c>
      <c r="M12" s="120" t="s">
        <v>2088</v>
      </c>
      <c r="N12" s="121" t="s">
        <v>2118</v>
      </c>
      <c r="O12" s="206" t="s">
        <v>2088</v>
      </c>
      <c r="P12" s="120">
        <v>45506</v>
      </c>
      <c r="Q12" s="120">
        <v>45504</v>
      </c>
      <c r="R12" s="120">
        <v>27068804000000</v>
      </c>
      <c r="S12" s="120" t="s">
        <v>2508</v>
      </c>
      <c r="T12" s="120">
        <v>45504</v>
      </c>
      <c r="U12" s="149" t="s">
        <v>2503</v>
      </c>
      <c r="V12" s="102"/>
    </row>
    <row r="13" spans="2:22" x14ac:dyDescent="0.25">
      <c r="B13" s="145" t="s">
        <v>2048</v>
      </c>
      <c r="C13" s="102">
        <v>11</v>
      </c>
      <c r="D13" s="102" t="s">
        <v>2509</v>
      </c>
      <c r="E13" s="120">
        <v>45499</v>
      </c>
      <c r="F13" s="102">
        <v>1</v>
      </c>
      <c r="G13" s="120" t="s">
        <v>2081</v>
      </c>
      <c r="H13" s="206" t="s">
        <v>2166</v>
      </c>
      <c r="I13" s="102">
        <v>31</v>
      </c>
      <c r="J13" s="102">
        <v>8.8780036000000504E+29</v>
      </c>
      <c r="K13" s="102">
        <v>99</v>
      </c>
      <c r="L13" s="102">
        <v>1</v>
      </c>
      <c r="M13" s="120" t="s">
        <v>2088</v>
      </c>
      <c r="N13" s="121" t="s">
        <v>2118</v>
      </c>
      <c r="O13" s="206" t="s">
        <v>2088</v>
      </c>
      <c r="P13" s="120">
        <v>45506</v>
      </c>
      <c r="Q13" s="120">
        <v>45504</v>
      </c>
      <c r="R13" s="120" t="s">
        <v>2510</v>
      </c>
      <c r="S13" s="120" t="s">
        <v>2508</v>
      </c>
      <c r="T13" s="120">
        <v>45504</v>
      </c>
      <c r="U13" s="120" t="s">
        <v>2511</v>
      </c>
      <c r="V13" s="102"/>
    </row>
    <row r="14" spans="2:22" x14ac:dyDescent="0.25">
      <c r="B14" s="145" t="s">
        <v>2050</v>
      </c>
      <c r="C14" s="102">
        <v>12</v>
      </c>
      <c r="D14" s="102" t="s">
        <v>2512</v>
      </c>
      <c r="E14" s="120">
        <v>45499</v>
      </c>
      <c r="F14" s="102">
        <v>1</v>
      </c>
      <c r="G14" s="149">
        <v>0.85</v>
      </c>
      <c r="H14" s="206" t="s">
        <v>2166</v>
      </c>
      <c r="I14" s="102">
        <v>0</v>
      </c>
      <c r="J14" s="102">
        <v>0</v>
      </c>
      <c r="K14" s="102">
        <v>0</v>
      </c>
      <c r="L14" s="102">
        <v>0</v>
      </c>
      <c r="M14" s="102">
        <v>9363</v>
      </c>
      <c r="N14" s="102">
        <v>0</v>
      </c>
      <c r="O14" s="102">
        <v>9363</v>
      </c>
      <c r="P14" s="102">
        <v>0</v>
      </c>
      <c r="Q14" s="102">
        <v>0</v>
      </c>
      <c r="R14" s="102">
        <v>0</v>
      </c>
      <c r="S14" s="102">
        <v>0</v>
      </c>
      <c r="T14" s="102">
        <v>0</v>
      </c>
      <c r="U14" s="102">
        <v>0</v>
      </c>
      <c r="V14" s="102"/>
    </row>
    <row r="15" spans="2:22" x14ac:dyDescent="0.25">
      <c r="B15" s="145" t="s">
        <v>2052</v>
      </c>
      <c r="C15" s="102">
        <v>13</v>
      </c>
      <c r="D15" s="102" t="s">
        <v>2513</v>
      </c>
      <c r="E15" s="120">
        <v>45499</v>
      </c>
      <c r="F15" s="102">
        <v>1</v>
      </c>
      <c r="G15" s="192">
        <v>1</v>
      </c>
      <c r="H15" s="206" t="s">
        <v>2166</v>
      </c>
      <c r="I15" s="102" t="s">
        <v>2081</v>
      </c>
      <c r="J15" s="102" t="s">
        <v>2081</v>
      </c>
      <c r="K15" s="102" t="s">
        <v>2081</v>
      </c>
      <c r="L15" s="92" t="s">
        <v>2081</v>
      </c>
      <c r="M15" s="92" t="s">
        <v>2081</v>
      </c>
      <c r="N15" s="92" t="s">
        <v>2081</v>
      </c>
      <c r="O15" s="102" t="s">
        <v>2081</v>
      </c>
      <c r="P15" s="92">
        <v>0</v>
      </c>
      <c r="Q15" s="92">
        <v>0</v>
      </c>
      <c r="R15" s="92" t="s">
        <v>2081</v>
      </c>
      <c r="S15" s="102" t="s">
        <v>2081</v>
      </c>
      <c r="T15" s="102" t="s">
        <v>2081</v>
      </c>
      <c r="U15" s="102" t="s">
        <v>2081</v>
      </c>
      <c r="V15" s="102"/>
    </row>
    <row r="16" spans="2:22" x14ac:dyDescent="0.25">
      <c r="B16" s="145" t="s">
        <v>2054</v>
      </c>
      <c r="C16" s="102">
        <v>14</v>
      </c>
      <c r="D16" s="102" t="s">
        <v>2514</v>
      </c>
      <c r="E16" s="120">
        <v>45499</v>
      </c>
      <c r="F16" s="102">
        <v>1</v>
      </c>
      <c r="G16" s="192">
        <v>1</v>
      </c>
      <c r="H16" s="206" t="s">
        <v>2166</v>
      </c>
      <c r="I16" s="102">
        <v>0</v>
      </c>
      <c r="J16" s="102">
        <v>0</v>
      </c>
      <c r="K16" s="102" t="s">
        <v>2081</v>
      </c>
      <c r="L16" s="102" t="s">
        <v>2081</v>
      </c>
      <c r="M16" s="92">
        <v>0</v>
      </c>
      <c r="N16" s="92">
        <v>0</v>
      </c>
      <c r="O16" s="102" t="s">
        <v>2081</v>
      </c>
      <c r="P16" s="102" t="s">
        <v>2081</v>
      </c>
      <c r="Q16" s="102" t="s">
        <v>2081</v>
      </c>
      <c r="R16" s="92" t="s">
        <v>2081</v>
      </c>
      <c r="S16" s="102">
        <v>0</v>
      </c>
      <c r="T16" s="102" t="s">
        <v>2081</v>
      </c>
      <c r="U16" s="102" t="s">
        <v>2081</v>
      </c>
      <c r="V16" s="102"/>
    </row>
    <row r="17" spans="2:22" x14ac:dyDescent="0.25">
      <c r="B17" s="178" t="s">
        <v>2056</v>
      </c>
      <c r="C17" s="102">
        <v>15</v>
      </c>
      <c r="D17" s="102" t="s">
        <v>2515</v>
      </c>
      <c r="E17" s="120">
        <v>45499</v>
      </c>
      <c r="F17" s="102">
        <v>1</v>
      </c>
      <c r="G17" s="192">
        <v>1</v>
      </c>
      <c r="H17" s="206" t="s">
        <v>2166</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row>
    <row r="18" spans="2:22" x14ac:dyDescent="0.25">
      <c r="B18" s="178" t="s">
        <v>2058</v>
      </c>
      <c r="C18" s="102">
        <v>16</v>
      </c>
      <c r="D18" s="102" t="s">
        <v>2515</v>
      </c>
      <c r="E18" s="120">
        <v>45499</v>
      </c>
      <c r="F18" s="102">
        <v>1</v>
      </c>
      <c r="G18" s="192">
        <v>1</v>
      </c>
      <c r="H18" s="206" t="s">
        <v>2166</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row>
    <row r="19" spans="2:22" x14ac:dyDescent="0.25">
      <c r="B19" s="145" t="s">
        <v>2064</v>
      </c>
      <c r="C19" s="102">
        <v>19</v>
      </c>
      <c r="D19" s="102" t="s">
        <v>2516</v>
      </c>
      <c r="E19" s="120">
        <v>45499</v>
      </c>
      <c r="F19" s="102">
        <v>1</v>
      </c>
      <c r="G19" s="220" cm="1">
        <f t="array" ref="G19">SUMPRODUCT(--(ISNUMBER((SEARCH(I25:U25,I19:U19)))))/COUNTA(I19:U19)</f>
        <v>0.76923076923076927</v>
      </c>
      <c r="H19" s="206" t="s">
        <v>2166</v>
      </c>
      <c r="I19" s="102" t="s">
        <v>2131</v>
      </c>
      <c r="J19" s="102" t="s">
        <v>2131</v>
      </c>
      <c r="K19" s="102" t="s">
        <v>2132</v>
      </c>
      <c r="L19" s="102" t="s">
        <v>2132</v>
      </c>
      <c r="M19" s="102" t="s">
        <v>2131</v>
      </c>
      <c r="N19" s="102" t="s">
        <v>2131</v>
      </c>
      <c r="O19" s="102" t="s">
        <v>2131</v>
      </c>
      <c r="P19" s="102" t="s">
        <v>2131</v>
      </c>
      <c r="Q19" s="102" t="s">
        <v>2131</v>
      </c>
      <c r="R19" s="102" t="s">
        <v>2133</v>
      </c>
      <c r="S19" s="102" t="s">
        <v>2131</v>
      </c>
      <c r="T19" s="102" t="s">
        <v>2131</v>
      </c>
      <c r="U19" s="102" t="s">
        <v>2134</v>
      </c>
      <c r="V19" s="102"/>
    </row>
    <row r="20" spans="2:22" x14ac:dyDescent="0.25">
      <c r="B20" s="145" t="s">
        <v>2067</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x14ac:dyDescent="0.25">
      <c r="B21" s="169" t="s">
        <v>2070</v>
      </c>
      <c r="C21" s="102">
        <v>21</v>
      </c>
      <c r="D21" s="102"/>
      <c r="E21" s="120"/>
      <c r="F21" s="102"/>
      <c r="G21" s="220" cm="1">
        <f t="array" ref="G21">SUM(IF(IF(G3:G20="null",1,G3:G20)=1,1,0))/COUNT(IF(G3:G20="null",1,1))</f>
        <v>0.77777777777777779</v>
      </c>
      <c r="H21" s="102"/>
      <c r="I21" s="102"/>
      <c r="J21" s="102"/>
      <c r="K21" s="102"/>
      <c r="L21" s="102"/>
      <c r="M21" s="102"/>
      <c r="N21" s="102"/>
      <c r="O21" s="102"/>
      <c r="P21" s="102"/>
      <c r="Q21" s="102"/>
      <c r="R21" s="102"/>
      <c r="S21" s="102"/>
      <c r="T21" s="102"/>
      <c r="U21" s="102"/>
      <c r="V21" s="102"/>
    </row>
    <row r="22" spans="2:22" x14ac:dyDescent="0.25">
      <c r="B22" s="102"/>
      <c r="C22" s="102"/>
      <c r="D22" s="102"/>
      <c r="E22" s="120"/>
      <c r="F22" s="102"/>
      <c r="G22" s="102"/>
      <c r="H22" s="102"/>
      <c r="I22" s="102"/>
      <c r="J22" s="102"/>
      <c r="K22" s="102"/>
      <c r="L22" s="102"/>
      <c r="M22" s="102"/>
      <c r="N22" s="102"/>
      <c r="O22" s="102"/>
      <c r="P22" s="102"/>
      <c r="Q22" s="102"/>
      <c r="R22" s="102"/>
      <c r="S22" s="102"/>
      <c r="T22" s="102"/>
      <c r="U22" s="102"/>
    </row>
    <row r="23" spans="2:22" x14ac:dyDescent="0.25">
      <c r="B23" s="110" t="s">
        <v>2135</v>
      </c>
    </row>
    <row r="24" spans="2:22" x14ac:dyDescent="0.25">
      <c r="B24" s="111" t="s">
        <v>2136</v>
      </c>
      <c r="C24" s="112" t="s">
        <v>2074</v>
      </c>
      <c r="D24" s="112" t="s">
        <v>2075</v>
      </c>
      <c r="E24" s="112" t="s">
        <v>2076</v>
      </c>
      <c r="F24" s="112" t="s">
        <v>2077</v>
      </c>
      <c r="G24" s="112" t="s">
        <v>2078</v>
      </c>
      <c r="H24" s="112" t="s">
        <v>2079</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x14ac:dyDescent="0.25">
      <c r="B25" s="104" t="s">
        <v>2137</v>
      </c>
      <c r="C25" s="117">
        <v>21</v>
      </c>
      <c r="D25" s="106" t="s">
        <v>2138</v>
      </c>
      <c r="E25" s="105" t="s">
        <v>2139</v>
      </c>
      <c r="F25" s="105" t="s">
        <v>1178</v>
      </c>
      <c r="G25" s="105" t="s">
        <v>1178</v>
      </c>
      <c r="H25" s="105" t="s">
        <v>1178</v>
      </c>
      <c r="I25" s="105" t="str" cm="1">
        <f t="array" ref="I25:V26">TRANSPOSE(_xlfn.SORTBY(_xlfn._xlws.FILTER(IF(Table2[FORMATO]:Table2[COMP_ CAMPO]&lt;&gt;"",Table2[FORMATO]:Table2[COMP_ CAMPO],9999999),Table2[NOME FÍSICO TABELA]="trade_finance_transaction"), _xlfn._xlws.FILTER(Table2[ORDEM], Table2[NOME FÍSICO TABELA]="trade_finance_transaction"),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t="str">
        <v>TIMESTAMP</v>
      </c>
    </row>
    <row r="26" spans="2:22" s="101" customFormat="1" x14ac:dyDescent="0.25">
      <c r="B26" s="122" t="s">
        <v>2140</v>
      </c>
      <c r="C26" s="117">
        <v>7</v>
      </c>
      <c r="D26" s="123" t="s">
        <v>2138</v>
      </c>
      <c r="E26" s="117" t="s">
        <v>2139</v>
      </c>
      <c r="F26" s="117" t="s">
        <v>1178</v>
      </c>
      <c r="G26" s="117" t="s">
        <v>1178</v>
      </c>
      <c r="H26" s="117" t="s">
        <v>1178</v>
      </c>
      <c r="I26" s="117">
        <v>4</v>
      </c>
      <c r="J26" s="117">
        <v>30</v>
      </c>
      <c r="K26" s="117">
        <v>9999999</v>
      </c>
      <c r="L26" s="117">
        <v>9999999</v>
      </c>
      <c r="M26" s="117">
        <v>20</v>
      </c>
      <c r="N26" s="117">
        <v>10</v>
      </c>
      <c r="O26" s="117">
        <v>23</v>
      </c>
      <c r="P26" s="117">
        <v>4</v>
      </c>
      <c r="Q26" s="117">
        <v>3</v>
      </c>
      <c r="R26" s="117">
        <v>10</v>
      </c>
      <c r="S26" s="117">
        <v>10</v>
      </c>
      <c r="T26" s="117">
        <v>20</v>
      </c>
      <c r="U26" s="117">
        <v>10</v>
      </c>
      <c r="V26" s="101">
        <v>23</v>
      </c>
    </row>
    <row r="29" spans="2:22" x14ac:dyDescent="0.25">
      <c r="B29" s="127" t="s">
        <v>2141</v>
      </c>
    </row>
    <row r="30" spans="2:22" x14ac:dyDescent="0.25">
      <c r="B30" s="136" t="s">
        <v>2142</v>
      </c>
      <c r="C30" s="136" t="s">
        <v>2143</v>
      </c>
      <c r="D30" s="136" t="s">
        <v>2144</v>
      </c>
      <c r="E30" s="136" t="s">
        <v>2145</v>
      </c>
      <c r="F30" s="136" t="s">
        <v>2146</v>
      </c>
      <c r="G30" s="228"/>
      <c r="H30" s="222"/>
    </row>
    <row r="31" spans="2:22" ht="60" x14ac:dyDescent="0.25">
      <c r="B31" s="165" t="s">
        <v>2147</v>
      </c>
      <c r="C31" s="227" t="s">
        <v>737</v>
      </c>
      <c r="D31" s="227" t="s">
        <v>2398</v>
      </c>
      <c r="E31" s="227" t="s">
        <v>2517</v>
      </c>
      <c r="F31" s="92"/>
      <c r="G31" s="92"/>
    </row>
    <row r="32" spans="2:22" ht="30" x14ac:dyDescent="0.25">
      <c r="B32" s="165" t="s">
        <v>2147</v>
      </c>
      <c r="C32" s="227" t="s">
        <v>941</v>
      </c>
      <c r="D32" s="227" t="s">
        <v>2518</v>
      </c>
      <c r="E32" s="227" t="s">
        <v>2517</v>
      </c>
      <c r="F32" s="92"/>
      <c r="G32" s="92"/>
    </row>
    <row r="33" spans="2:8" ht="60" x14ac:dyDescent="0.25">
      <c r="B33" s="165" t="s">
        <v>2155</v>
      </c>
      <c r="C33" s="227" t="s">
        <v>737</v>
      </c>
      <c r="D33" s="227" t="s">
        <v>2398</v>
      </c>
      <c r="E33" s="227" t="s">
        <v>2517</v>
      </c>
      <c r="F33" s="92"/>
      <c r="G33" s="92"/>
      <c r="H33" s="190"/>
    </row>
    <row r="34" spans="2:8" ht="30" x14ac:dyDescent="0.25">
      <c r="B34" s="102" t="s">
        <v>2155</v>
      </c>
      <c r="C34" s="92" t="s">
        <v>941</v>
      </c>
      <c r="D34" s="92" t="s">
        <v>2518</v>
      </c>
      <c r="E34" s="227" t="s">
        <v>2517</v>
      </c>
      <c r="F34" s="92"/>
      <c r="G34" s="92"/>
      <c r="H34" s="190"/>
    </row>
    <row r="35" spans="2:8" x14ac:dyDescent="0.25">
      <c r="B35" s="102"/>
      <c r="C35" s="227"/>
      <c r="D35" s="227"/>
      <c r="E35" s="227"/>
      <c r="F35" s="227"/>
      <c r="H35" s="190"/>
    </row>
    <row r="36" spans="2:8" ht="13.5" customHeight="1" x14ac:dyDescent="0.25">
      <c r="B36" s="102"/>
      <c r="C36" s="227"/>
      <c r="D36" s="227"/>
      <c r="E36" s="227"/>
      <c r="F36" s="227"/>
      <c r="H36" s="189"/>
    </row>
    <row r="37" spans="2:8" x14ac:dyDescent="0.25">
      <c r="B37" s="102"/>
      <c r="C37" s="92"/>
      <c r="D37" s="92"/>
      <c r="E37" s="92"/>
      <c r="F37" s="102"/>
    </row>
    <row r="38" spans="2:8" x14ac:dyDescent="0.25">
      <c r="B38" s="165"/>
      <c r="C38" s="227"/>
      <c r="D38" s="227"/>
      <c r="E38" s="227"/>
      <c r="F38" s="227"/>
    </row>
    <row r="39" spans="2:8" ht="48.75" customHeight="1" x14ac:dyDescent="0.25">
      <c r="B39" s="165"/>
      <c r="C39" s="227"/>
      <c r="D39" s="227"/>
      <c r="E39" s="227"/>
      <c r="F39" s="165"/>
    </row>
    <row r="40" spans="2:8" x14ac:dyDescent="0.25">
      <c r="B40" s="165"/>
      <c r="C40" s="227"/>
      <c r="D40" s="227"/>
      <c r="E40" s="227"/>
      <c r="F40" s="227"/>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row r="44" spans="2:8" x14ac:dyDescent="0.25">
      <c r="B44" s="165"/>
      <c r="C44" s="227"/>
      <c r="D44" s="227"/>
      <c r="E44" s="227"/>
      <c r="F44" s="165"/>
    </row>
    <row r="45" spans="2:8" x14ac:dyDescent="0.25">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N1" workbookViewId="0">
      <selection activeCell="A14" sqref="A14:XFD14"/>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x14ac:dyDescent="0.25"/>
    <row r="2" spans="2:23" x14ac:dyDescent="0.25">
      <c r="B2" s="101" t="s">
        <v>2073</v>
      </c>
      <c r="C2" s="101" t="s">
        <v>2074</v>
      </c>
      <c r="D2" s="101" t="s">
        <v>2075</v>
      </c>
      <c r="E2" s="101" t="s">
        <v>2076</v>
      </c>
      <c r="F2" s="101" t="s">
        <v>2077</v>
      </c>
      <c r="G2" s="101" t="s">
        <v>2078</v>
      </c>
      <c r="H2" s="101" t="s">
        <v>2079</v>
      </c>
      <c r="I2" s="101" t="s">
        <v>691</v>
      </c>
      <c r="J2" s="101" t="s">
        <v>706</v>
      </c>
      <c r="K2" s="101" t="s">
        <v>716</v>
      </c>
      <c r="L2" s="101" t="s">
        <v>729</v>
      </c>
      <c r="M2" s="101" t="s">
        <v>737</v>
      </c>
      <c r="N2" s="113" t="s">
        <v>767</v>
      </c>
      <c r="O2" s="101" t="s">
        <v>933</v>
      </c>
      <c r="P2" s="101" t="s">
        <v>778</v>
      </c>
      <c r="Q2" s="113" t="s">
        <v>791</v>
      </c>
      <c r="R2" s="113" t="s">
        <v>749</v>
      </c>
      <c r="S2" s="101" t="s">
        <v>758</v>
      </c>
      <c r="T2" s="101" t="s">
        <v>1149</v>
      </c>
      <c r="U2" s="101" t="s">
        <v>798</v>
      </c>
      <c r="V2" s="101" t="s">
        <v>806</v>
      </c>
      <c r="W2" s="101" t="s">
        <v>813</v>
      </c>
    </row>
    <row r="3" spans="2:23" x14ac:dyDescent="0.25">
      <c r="B3" s="145" t="s">
        <v>2027</v>
      </c>
      <c r="C3" s="102">
        <v>1</v>
      </c>
      <c r="D3" s="102" t="s">
        <v>2519</v>
      </c>
      <c r="E3" s="120">
        <v>45537</v>
      </c>
      <c r="F3" s="102">
        <v>1</v>
      </c>
      <c r="G3" s="192">
        <v>1</v>
      </c>
      <c r="H3" s="174" t="s">
        <v>2520</v>
      </c>
      <c r="I3" s="102" t="s">
        <v>2081</v>
      </c>
      <c r="J3" s="102" t="s">
        <v>2081</v>
      </c>
      <c r="K3" s="102" t="s">
        <v>2081</v>
      </c>
      <c r="L3" s="102" t="s">
        <v>2081</v>
      </c>
      <c r="M3" s="102" t="s">
        <v>2081</v>
      </c>
      <c r="N3" s="102" t="s">
        <v>2081</v>
      </c>
      <c r="O3" s="102" t="s">
        <v>2081</v>
      </c>
      <c r="P3" s="102" t="s">
        <v>2081</v>
      </c>
      <c r="Q3" s="102" t="s">
        <v>2081</v>
      </c>
      <c r="R3" s="102" t="s">
        <v>2081</v>
      </c>
      <c r="S3" s="102" t="s">
        <v>2081</v>
      </c>
      <c r="T3" s="102" t="s">
        <v>2081</v>
      </c>
      <c r="U3" s="102" t="s">
        <v>2081</v>
      </c>
      <c r="V3" s="102" t="s">
        <v>2081</v>
      </c>
      <c r="W3" s="102" t="s">
        <v>2081</v>
      </c>
    </row>
    <row r="4" spans="2:23" x14ac:dyDescent="0.25">
      <c r="B4" s="145" t="s">
        <v>2029</v>
      </c>
      <c r="C4" s="102">
        <v>2</v>
      </c>
      <c r="D4" s="102" t="s">
        <v>2521</v>
      </c>
      <c r="E4" s="120">
        <v>45537</v>
      </c>
      <c r="F4" s="102">
        <v>1</v>
      </c>
      <c r="G4" s="192">
        <v>1</v>
      </c>
      <c r="H4" s="206" t="s">
        <v>2166</v>
      </c>
      <c r="I4" s="102" t="s">
        <v>2081</v>
      </c>
      <c r="J4" s="102" t="s">
        <v>2081</v>
      </c>
      <c r="K4" s="102" t="s">
        <v>2081</v>
      </c>
      <c r="L4" s="102" t="s">
        <v>2081</v>
      </c>
      <c r="M4" s="102" t="s">
        <v>2081</v>
      </c>
      <c r="N4" s="102" t="s">
        <v>2081</v>
      </c>
      <c r="O4" s="102" t="s">
        <v>2081</v>
      </c>
      <c r="P4" s="102" t="s">
        <v>2081</v>
      </c>
      <c r="Q4" s="102" t="s">
        <v>2081</v>
      </c>
      <c r="R4" s="102" t="s">
        <v>2081</v>
      </c>
      <c r="S4" s="102" t="s">
        <v>2081</v>
      </c>
      <c r="T4" s="102" t="s">
        <v>2081</v>
      </c>
      <c r="U4" s="102" t="s">
        <v>2081</v>
      </c>
      <c r="V4" s="102" t="s">
        <v>2081</v>
      </c>
      <c r="W4" s="102" t="s">
        <v>2081</v>
      </c>
    </row>
    <row r="5" spans="2:23" x14ac:dyDescent="0.25">
      <c r="B5" s="145" t="s">
        <v>2031</v>
      </c>
      <c r="C5" s="102">
        <v>3</v>
      </c>
      <c r="D5" s="102" t="s">
        <v>2522</v>
      </c>
      <c r="E5" s="120">
        <v>45537</v>
      </c>
      <c r="F5" s="102">
        <v>1</v>
      </c>
      <c r="G5" s="192">
        <v>1</v>
      </c>
      <c r="H5" s="206" t="s">
        <v>2166</v>
      </c>
      <c r="I5" s="102">
        <v>0</v>
      </c>
      <c r="J5" s="102">
        <v>0</v>
      </c>
      <c r="K5" s="102">
        <v>0</v>
      </c>
      <c r="L5" s="102">
        <v>0</v>
      </c>
      <c r="M5" s="102" t="s">
        <v>2081</v>
      </c>
      <c r="N5" s="102" t="s">
        <v>2081</v>
      </c>
      <c r="O5" s="102" t="s">
        <v>2081</v>
      </c>
      <c r="P5" s="102" t="s">
        <v>2081</v>
      </c>
      <c r="Q5" s="102" t="s">
        <v>2081</v>
      </c>
      <c r="R5" s="102" t="s">
        <v>2081</v>
      </c>
      <c r="S5" s="102">
        <v>0</v>
      </c>
      <c r="T5" s="102" t="s">
        <v>2081</v>
      </c>
      <c r="U5" s="102" t="s">
        <v>2081</v>
      </c>
      <c r="V5" s="102">
        <v>0</v>
      </c>
      <c r="W5" s="102" t="s">
        <v>2081</v>
      </c>
    </row>
    <row r="6" spans="2:23" x14ac:dyDescent="0.25">
      <c r="B6" s="92" t="s">
        <v>2033</v>
      </c>
      <c r="C6" s="102">
        <v>4</v>
      </c>
      <c r="D6" s="102" t="s">
        <v>2086</v>
      </c>
      <c r="E6" s="120" t="s">
        <v>2081</v>
      </c>
      <c r="F6" s="102">
        <v>1</v>
      </c>
      <c r="G6" s="120" t="s">
        <v>2081</v>
      </c>
      <c r="H6" s="206" t="s">
        <v>2081</v>
      </c>
      <c r="I6" s="102" t="s">
        <v>2081</v>
      </c>
      <c r="J6" s="102" t="s">
        <v>2081</v>
      </c>
      <c r="K6" s="102" t="s">
        <v>2081</v>
      </c>
      <c r="L6" s="102" t="s">
        <v>2081</v>
      </c>
      <c r="M6" s="102" t="s">
        <v>2081</v>
      </c>
      <c r="N6" s="102" t="s">
        <v>2081</v>
      </c>
      <c r="O6" s="102" t="s">
        <v>2081</v>
      </c>
      <c r="P6" s="102" t="s">
        <v>2081</v>
      </c>
      <c r="Q6" s="102" t="s">
        <v>2081</v>
      </c>
      <c r="R6" s="102" t="s">
        <v>2081</v>
      </c>
      <c r="S6" s="102" t="s">
        <v>2081</v>
      </c>
      <c r="T6" s="102" t="s">
        <v>2081</v>
      </c>
      <c r="U6" s="102" t="s">
        <v>2081</v>
      </c>
      <c r="V6" s="102" t="s">
        <v>2081</v>
      </c>
      <c r="W6" s="102" t="s">
        <v>2081</v>
      </c>
    </row>
    <row r="7" spans="2:23" x14ac:dyDescent="0.25">
      <c r="B7" s="92" t="s">
        <v>2035</v>
      </c>
      <c r="C7" s="102">
        <v>5</v>
      </c>
      <c r="D7" s="102" t="s">
        <v>2086</v>
      </c>
      <c r="E7" s="120" t="s">
        <v>2081</v>
      </c>
      <c r="F7" s="102">
        <v>1</v>
      </c>
      <c r="G7" s="120" t="s">
        <v>2081</v>
      </c>
      <c r="H7" s="206" t="s">
        <v>2081</v>
      </c>
      <c r="I7" s="102" t="s">
        <v>2081</v>
      </c>
      <c r="J7" s="102" t="s">
        <v>2081</v>
      </c>
      <c r="K7" s="102" t="s">
        <v>2081</v>
      </c>
      <c r="L7" s="102" t="s">
        <v>2081</v>
      </c>
      <c r="M7" s="102" t="s">
        <v>2081</v>
      </c>
      <c r="N7" s="102" t="s">
        <v>2081</v>
      </c>
      <c r="O7" s="102" t="s">
        <v>2081</v>
      </c>
      <c r="P7" s="102" t="s">
        <v>2081</v>
      </c>
      <c r="Q7" s="102" t="s">
        <v>2081</v>
      </c>
      <c r="R7" s="102" t="s">
        <v>2081</v>
      </c>
      <c r="S7" s="102" t="s">
        <v>2081</v>
      </c>
      <c r="T7" s="102" t="s">
        <v>2081</v>
      </c>
      <c r="U7" s="102" t="s">
        <v>2081</v>
      </c>
      <c r="V7" s="102" t="s">
        <v>2081</v>
      </c>
      <c r="W7" s="102" t="s">
        <v>2081</v>
      </c>
    </row>
    <row r="8" spans="2:23" x14ac:dyDescent="0.25">
      <c r="B8" s="176" t="s">
        <v>2036</v>
      </c>
      <c r="C8" s="102">
        <v>6</v>
      </c>
      <c r="D8" s="102" t="s">
        <v>2523</v>
      </c>
      <c r="E8" s="120">
        <v>45537</v>
      </c>
      <c r="F8" s="102">
        <v>1</v>
      </c>
      <c r="G8" s="220" cm="1">
        <f t="array" ref="G8">SUMPRODUCT(--(I8:W8&gt;0))/COUNTA(I8:W8)</f>
        <v>1</v>
      </c>
      <c r="H8" s="206" t="s">
        <v>2166</v>
      </c>
      <c r="I8" s="102">
        <v>2</v>
      </c>
      <c r="J8" s="102">
        <v>30</v>
      </c>
      <c r="K8" s="102">
        <v>8</v>
      </c>
      <c r="L8" s="102">
        <v>1</v>
      </c>
      <c r="M8" s="102" t="s">
        <v>2088</v>
      </c>
      <c r="N8" s="102">
        <v>3</v>
      </c>
      <c r="O8" s="102">
        <v>1</v>
      </c>
      <c r="P8" s="102">
        <v>1</v>
      </c>
      <c r="Q8" s="102">
        <v>10</v>
      </c>
      <c r="R8" s="102">
        <v>10</v>
      </c>
      <c r="S8" s="102">
        <v>8</v>
      </c>
      <c r="T8" s="102">
        <v>6</v>
      </c>
      <c r="U8" s="102">
        <v>2</v>
      </c>
      <c r="V8" s="102">
        <v>10</v>
      </c>
      <c r="W8" s="102">
        <v>23</v>
      </c>
    </row>
    <row r="9" spans="2:23" x14ac:dyDescent="0.25">
      <c r="B9" s="145" t="s">
        <v>2039</v>
      </c>
      <c r="C9" s="102">
        <v>7</v>
      </c>
      <c r="D9" s="102" t="s">
        <v>2524</v>
      </c>
      <c r="E9" s="120">
        <v>45537</v>
      </c>
      <c r="F9" s="102">
        <v>1</v>
      </c>
      <c r="G9" s="220" cm="1">
        <f t="array" ref="G9">SUMPRODUCT(--(I9:W9&lt;=I26:W26))/COUNTA(I9:W9)</f>
        <v>1</v>
      </c>
      <c r="H9" s="206" t="s">
        <v>2166</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x14ac:dyDescent="0.25">
      <c r="B10" s="145" t="s">
        <v>2042</v>
      </c>
      <c r="C10" s="102">
        <v>8</v>
      </c>
      <c r="D10" s="102" t="s">
        <v>2525</v>
      </c>
      <c r="E10" s="120">
        <v>45537</v>
      </c>
      <c r="F10" s="102">
        <v>1</v>
      </c>
      <c r="G10" s="120" t="s">
        <v>2081</v>
      </c>
      <c r="H10" s="206" t="s">
        <v>2166</v>
      </c>
      <c r="I10" s="102">
        <v>90</v>
      </c>
      <c r="J10" s="102">
        <v>1.6200600044999999E+20</v>
      </c>
      <c r="K10" s="102">
        <v>29300594</v>
      </c>
      <c r="L10" s="102">
        <v>1</v>
      </c>
      <c r="M10" s="120" t="s">
        <v>2088</v>
      </c>
      <c r="N10" s="102">
        <v>978</v>
      </c>
      <c r="O10" s="206">
        <v>0</v>
      </c>
      <c r="P10" s="102">
        <v>0</v>
      </c>
      <c r="Q10" s="120">
        <v>45535</v>
      </c>
      <c r="R10" s="120">
        <v>45532</v>
      </c>
      <c r="S10" s="174" t="s">
        <v>2526</v>
      </c>
      <c r="T10" s="120" t="s">
        <v>2527</v>
      </c>
      <c r="U10" s="149" t="s">
        <v>2528</v>
      </c>
      <c r="V10" s="120">
        <v>45537</v>
      </c>
      <c r="W10" s="102" t="s">
        <v>2529</v>
      </c>
    </row>
    <row r="11" spans="2:23" x14ac:dyDescent="0.25">
      <c r="B11" s="145" t="s">
        <v>2044</v>
      </c>
      <c r="C11" s="102">
        <v>9</v>
      </c>
      <c r="D11" s="102" t="s">
        <v>2530</v>
      </c>
      <c r="E11" s="120">
        <v>45537</v>
      </c>
      <c r="F11" s="102">
        <v>1</v>
      </c>
      <c r="G11" s="120" t="s">
        <v>2081</v>
      </c>
      <c r="H11" s="206" t="s">
        <v>2166</v>
      </c>
      <c r="I11" s="102">
        <v>90</v>
      </c>
      <c r="J11" s="102">
        <v>1.6200600044999999E+20</v>
      </c>
      <c r="K11" s="102">
        <v>29300594</v>
      </c>
      <c r="L11" s="102">
        <v>1</v>
      </c>
      <c r="M11" s="120" t="s">
        <v>2088</v>
      </c>
      <c r="N11" s="102">
        <v>0</v>
      </c>
      <c r="O11" s="206">
        <v>0</v>
      </c>
      <c r="P11" s="102">
        <v>978</v>
      </c>
      <c r="Q11" s="120">
        <v>45535</v>
      </c>
      <c r="R11" s="120">
        <v>45532</v>
      </c>
      <c r="S11" s="102" t="s">
        <v>2531</v>
      </c>
      <c r="T11" s="120" t="s">
        <v>2527</v>
      </c>
      <c r="U11" s="120" t="s">
        <v>2528</v>
      </c>
      <c r="V11" s="120">
        <v>45537</v>
      </c>
      <c r="W11" s="102" t="s">
        <v>2532</v>
      </c>
    </row>
    <row r="12" spans="2:23" x14ac:dyDescent="0.25">
      <c r="B12" s="168" t="s">
        <v>2046</v>
      </c>
      <c r="C12" s="102">
        <v>10</v>
      </c>
      <c r="D12" s="102" t="s">
        <v>2533</v>
      </c>
      <c r="E12" s="120">
        <v>45537</v>
      </c>
      <c r="F12" s="102">
        <v>1</v>
      </c>
      <c r="G12" s="120" t="s">
        <v>2081</v>
      </c>
      <c r="H12" s="206" t="s">
        <v>2166</v>
      </c>
      <c r="I12" s="102">
        <v>90</v>
      </c>
      <c r="J12" s="102">
        <v>9.0010020004199997E+21</v>
      </c>
      <c r="K12" s="102">
        <v>29329211</v>
      </c>
      <c r="L12" s="102">
        <v>3</v>
      </c>
      <c r="M12" s="120" t="s">
        <v>2088</v>
      </c>
      <c r="N12" s="121">
        <v>978</v>
      </c>
      <c r="O12" s="206">
        <v>1</v>
      </c>
      <c r="P12" s="102">
        <v>1</v>
      </c>
      <c r="Q12" s="120">
        <v>45537</v>
      </c>
      <c r="R12" s="120">
        <v>45537</v>
      </c>
      <c r="S12" s="262" t="s">
        <v>2534</v>
      </c>
      <c r="T12" s="120" t="s">
        <v>2535</v>
      </c>
      <c r="U12" s="149" t="s">
        <v>2528</v>
      </c>
      <c r="V12" s="120">
        <v>45537</v>
      </c>
      <c r="W12" s="102" t="s">
        <v>2529</v>
      </c>
    </row>
    <row r="13" spans="2:23" x14ac:dyDescent="0.25">
      <c r="B13" s="145" t="s">
        <v>2048</v>
      </c>
      <c r="C13" s="102">
        <v>11</v>
      </c>
      <c r="D13" s="102" t="s">
        <v>2536</v>
      </c>
      <c r="E13" s="120">
        <v>45537</v>
      </c>
      <c r="F13" s="102">
        <v>1</v>
      </c>
      <c r="G13" s="120" t="s">
        <v>2081</v>
      </c>
      <c r="H13" s="206" t="s">
        <v>2166</v>
      </c>
      <c r="I13" s="102">
        <v>90</v>
      </c>
      <c r="J13" s="102">
        <v>9.0010020004199997E+21</v>
      </c>
      <c r="K13" s="102">
        <v>29329211</v>
      </c>
      <c r="L13" s="102">
        <v>3</v>
      </c>
      <c r="M13" s="120" t="s">
        <v>2088</v>
      </c>
      <c r="N13" s="121">
        <v>1</v>
      </c>
      <c r="O13" s="206">
        <v>1</v>
      </c>
      <c r="P13" s="102">
        <v>978</v>
      </c>
      <c r="Q13" s="120">
        <v>45537</v>
      </c>
      <c r="R13" s="120">
        <v>45537</v>
      </c>
      <c r="S13" s="120" t="s">
        <v>2537</v>
      </c>
      <c r="T13" s="120" t="s">
        <v>2535</v>
      </c>
      <c r="U13" s="120" t="s">
        <v>2528</v>
      </c>
      <c r="V13" s="120">
        <v>45537</v>
      </c>
      <c r="W13" s="102" t="s">
        <v>2538</v>
      </c>
    </row>
    <row r="14" spans="2:23" x14ac:dyDescent="0.25">
      <c r="B14" s="145" t="s">
        <v>2050</v>
      </c>
      <c r="C14" s="102">
        <v>12</v>
      </c>
      <c r="D14" s="102" t="s">
        <v>2539</v>
      </c>
      <c r="E14" s="120">
        <v>45537</v>
      </c>
      <c r="F14" s="102">
        <v>1</v>
      </c>
      <c r="G14" s="149" t="s">
        <v>2228</v>
      </c>
      <c r="H14" s="206" t="s">
        <v>2166</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x14ac:dyDescent="0.25">
      <c r="B15" s="145" t="s">
        <v>2052</v>
      </c>
      <c r="C15" s="102">
        <v>13</v>
      </c>
      <c r="D15" s="102" t="s">
        <v>2540</v>
      </c>
      <c r="E15" s="120">
        <v>45537</v>
      </c>
      <c r="F15" s="102">
        <v>1</v>
      </c>
      <c r="G15" s="192">
        <v>1</v>
      </c>
      <c r="H15" s="206" t="s">
        <v>2166</v>
      </c>
      <c r="I15" s="102" t="s">
        <v>2081</v>
      </c>
      <c r="J15" s="102" t="s">
        <v>2081</v>
      </c>
      <c r="K15" s="102" t="s">
        <v>2081</v>
      </c>
      <c r="L15" s="92" t="s">
        <v>2081</v>
      </c>
      <c r="M15" s="92" t="s">
        <v>2081</v>
      </c>
      <c r="N15" s="92" t="s">
        <v>2081</v>
      </c>
      <c r="O15" s="102" t="s">
        <v>2081</v>
      </c>
      <c r="P15" s="92" t="s">
        <v>2081</v>
      </c>
      <c r="Q15" s="92">
        <v>0</v>
      </c>
      <c r="R15" s="92">
        <v>0</v>
      </c>
      <c r="S15" s="102" t="s">
        <v>2081</v>
      </c>
      <c r="T15" s="102" t="s">
        <v>2081</v>
      </c>
      <c r="U15" s="102" t="s">
        <v>2081</v>
      </c>
      <c r="V15" s="102" t="s">
        <v>2081</v>
      </c>
      <c r="W15" s="102" t="s">
        <v>2081</v>
      </c>
    </row>
    <row r="16" spans="2:23" x14ac:dyDescent="0.25">
      <c r="B16" s="145" t="s">
        <v>2054</v>
      </c>
      <c r="C16" s="102">
        <v>14</v>
      </c>
      <c r="D16" s="102" t="s">
        <v>2541</v>
      </c>
      <c r="E16" s="120">
        <v>45537</v>
      </c>
      <c r="F16" s="102">
        <v>1</v>
      </c>
      <c r="G16" s="192">
        <v>1</v>
      </c>
      <c r="H16" s="206" t="s">
        <v>2166</v>
      </c>
      <c r="I16" s="102">
        <v>0</v>
      </c>
      <c r="J16" s="102">
        <v>0</v>
      </c>
      <c r="K16" s="102" t="s">
        <v>2081</v>
      </c>
      <c r="L16" s="102" t="s">
        <v>2081</v>
      </c>
      <c r="M16" s="92">
        <v>0</v>
      </c>
      <c r="N16" s="92" t="s">
        <v>2081</v>
      </c>
      <c r="O16" s="102" t="s">
        <v>2081</v>
      </c>
      <c r="P16" s="102">
        <v>0</v>
      </c>
      <c r="Q16" s="102" t="s">
        <v>2081</v>
      </c>
      <c r="R16" s="92" t="s">
        <v>2081</v>
      </c>
      <c r="S16" s="102" t="s">
        <v>2081</v>
      </c>
      <c r="T16" s="102" t="s">
        <v>2081</v>
      </c>
      <c r="U16" s="102" t="s">
        <v>2081</v>
      </c>
      <c r="V16" s="102" t="s">
        <v>2081</v>
      </c>
      <c r="W16" s="102" t="s">
        <v>2081</v>
      </c>
    </row>
    <row r="17" spans="2:23" x14ac:dyDescent="0.25">
      <c r="B17" s="178" t="s">
        <v>2056</v>
      </c>
      <c r="C17" s="102">
        <v>15</v>
      </c>
      <c r="D17" s="102" t="s">
        <v>2542</v>
      </c>
      <c r="E17" s="120">
        <v>45537</v>
      </c>
      <c r="F17" s="102">
        <v>1</v>
      </c>
      <c r="G17" s="192">
        <v>1</v>
      </c>
      <c r="H17" s="206" t="s">
        <v>2166</v>
      </c>
      <c r="I17" s="102" t="s">
        <v>2081</v>
      </c>
      <c r="J17" s="102" t="s">
        <v>2081</v>
      </c>
      <c r="K17" s="102" t="s">
        <v>2081</v>
      </c>
      <c r="L17" s="102" t="s">
        <v>2081</v>
      </c>
      <c r="M17" s="102" t="s">
        <v>2081</v>
      </c>
      <c r="N17" s="102" t="s">
        <v>2081</v>
      </c>
      <c r="O17" s="102" t="s">
        <v>2081</v>
      </c>
      <c r="P17" s="102" t="s">
        <v>2081</v>
      </c>
      <c r="Q17" s="102" t="s">
        <v>2081</v>
      </c>
      <c r="R17" s="102" t="s">
        <v>2081</v>
      </c>
      <c r="S17" s="102" t="s">
        <v>2081</v>
      </c>
      <c r="T17" s="102" t="s">
        <v>2081</v>
      </c>
      <c r="U17" s="102" t="s">
        <v>2081</v>
      </c>
      <c r="V17" s="102" t="s">
        <v>2081</v>
      </c>
      <c r="W17" s="102" t="s">
        <v>2081</v>
      </c>
    </row>
    <row r="18" spans="2:23" x14ac:dyDescent="0.25">
      <c r="B18" s="178" t="s">
        <v>2058</v>
      </c>
      <c r="C18" s="102">
        <v>16</v>
      </c>
      <c r="D18" s="102" t="s">
        <v>2542</v>
      </c>
      <c r="E18" s="120">
        <v>45537</v>
      </c>
      <c r="F18" s="102">
        <v>1</v>
      </c>
      <c r="G18" s="192">
        <v>1</v>
      </c>
      <c r="H18" s="206" t="s">
        <v>2166</v>
      </c>
      <c r="I18" s="102" t="s">
        <v>2081</v>
      </c>
      <c r="J18" s="102" t="s">
        <v>2081</v>
      </c>
      <c r="K18" s="102" t="s">
        <v>2081</v>
      </c>
      <c r="L18" s="102" t="s">
        <v>2081</v>
      </c>
      <c r="M18" s="102" t="s">
        <v>2081</v>
      </c>
      <c r="N18" s="102" t="s">
        <v>2081</v>
      </c>
      <c r="O18" s="102" t="s">
        <v>2081</v>
      </c>
      <c r="P18" s="102" t="s">
        <v>2081</v>
      </c>
      <c r="Q18" s="102" t="s">
        <v>2081</v>
      </c>
      <c r="R18" s="102" t="s">
        <v>2081</v>
      </c>
      <c r="S18" s="102" t="s">
        <v>2081</v>
      </c>
      <c r="T18" s="102" t="s">
        <v>2081</v>
      </c>
      <c r="U18" s="102" t="s">
        <v>2081</v>
      </c>
      <c r="V18" s="102" t="s">
        <v>2081</v>
      </c>
      <c r="W18" s="102" t="s">
        <v>2081</v>
      </c>
    </row>
    <row r="19" spans="2:23" x14ac:dyDescent="0.25">
      <c r="B19" s="145" t="s">
        <v>2064</v>
      </c>
      <c r="C19" s="102">
        <v>19</v>
      </c>
      <c r="D19" s="102" t="s">
        <v>2543</v>
      </c>
      <c r="E19" s="120">
        <v>45537</v>
      </c>
      <c r="F19" s="102">
        <v>1</v>
      </c>
      <c r="G19" s="220" cm="1">
        <f t="array" ref="G19">SUMPRODUCT(--(ISNUMBER((SEARCH(I25:W25,I19:W19)))))/COUNTA(I19:W19)</f>
        <v>1</v>
      </c>
      <c r="H19" s="206" t="s">
        <v>2166</v>
      </c>
      <c r="I19" s="102" t="s">
        <v>2131</v>
      </c>
      <c r="J19" s="102" t="s">
        <v>2131</v>
      </c>
      <c r="K19" s="102" t="s">
        <v>2132</v>
      </c>
      <c r="L19" s="102" t="s">
        <v>2132</v>
      </c>
      <c r="M19" s="102" t="s">
        <v>2131</v>
      </c>
      <c r="N19" s="102" t="s">
        <v>2131</v>
      </c>
      <c r="O19" s="102" t="s">
        <v>2131</v>
      </c>
      <c r="P19" s="102" t="s">
        <v>2131</v>
      </c>
      <c r="Q19" s="102" t="s">
        <v>2131</v>
      </c>
      <c r="R19" s="102" t="s">
        <v>2131</v>
      </c>
      <c r="S19" s="102" t="s">
        <v>2133</v>
      </c>
      <c r="T19" s="102" t="s">
        <v>2131</v>
      </c>
      <c r="U19" s="102" t="s">
        <v>2131</v>
      </c>
      <c r="V19" s="102" t="s">
        <v>2131</v>
      </c>
      <c r="W19" s="102" t="s">
        <v>2134</v>
      </c>
    </row>
    <row r="20" spans="2:23" x14ac:dyDescent="0.25">
      <c r="B20" s="145" t="s">
        <v>2067</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x14ac:dyDescent="0.25">
      <c r="B21" s="169" t="s">
        <v>2070</v>
      </c>
      <c r="C21" s="102">
        <v>21</v>
      </c>
      <c r="D21" s="102"/>
      <c r="E21" s="120"/>
      <c r="F21" s="102"/>
      <c r="G21" s="220" cm="1">
        <f t="array" ref="G2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x14ac:dyDescent="0.25">
      <c r="B22" s="102"/>
      <c r="C22" s="102"/>
      <c r="D22" s="102"/>
      <c r="E22" s="120"/>
      <c r="F22" s="102"/>
      <c r="G22" s="102"/>
      <c r="H22" s="102"/>
      <c r="I22" s="102"/>
      <c r="J22" s="102"/>
      <c r="K22" s="102"/>
      <c r="L22" s="102"/>
      <c r="M22" s="102"/>
      <c r="N22" s="102"/>
      <c r="O22" s="102"/>
      <c r="P22" s="102"/>
      <c r="Q22" s="102"/>
      <c r="R22" s="102"/>
      <c r="S22" s="102"/>
      <c r="T22" s="102"/>
      <c r="U22" s="102"/>
    </row>
    <row r="23" spans="2:23" x14ac:dyDescent="0.25">
      <c r="B23" s="110" t="s">
        <v>2135</v>
      </c>
    </row>
    <row r="24" spans="2:23" x14ac:dyDescent="0.25">
      <c r="B24" s="111" t="s">
        <v>2136</v>
      </c>
      <c r="C24" s="112" t="s">
        <v>2074</v>
      </c>
      <c r="D24" s="112" t="s">
        <v>2075</v>
      </c>
      <c r="E24" s="112" t="s">
        <v>2076</v>
      </c>
      <c r="F24" s="112" t="s">
        <v>2077</v>
      </c>
      <c r="G24" s="112" t="s">
        <v>2078</v>
      </c>
      <c r="H24" s="112" t="s">
        <v>2079</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x14ac:dyDescent="0.25">
      <c r="B25" s="104" t="s">
        <v>2137</v>
      </c>
      <c r="C25" s="117">
        <v>21</v>
      </c>
      <c r="D25" s="106" t="s">
        <v>2138</v>
      </c>
      <c r="E25" s="105" t="s">
        <v>2139</v>
      </c>
      <c r="F25" s="105" t="s">
        <v>1178</v>
      </c>
      <c r="G25" s="105" t="s">
        <v>1178</v>
      </c>
      <c r="H25" s="105" t="s">
        <v>1178</v>
      </c>
      <c r="I25" s="105" t="str" cm="1">
        <f t="array" ref="I25:W26">TRANSPOSE(_xlfn.SORTBY(_xlfn._xlws.FILTER(IF(Table2[FORMATO]:Table2[COMP_ CAMPO]&lt;&gt;"",Table2[FORMATO]:Table2[COMP_ CAMPO],9999999),Table2[NOME FÍSICO TABELA]="leasing_transaction"), _xlfn._xlws.FILTER(Table2[ORDEM], Table2[NOME FÍSICO TABELA]="leasing_transaction"),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DECIMAL</v>
      </c>
      <c r="T25" s="105" t="str">
        <v>STRING</v>
      </c>
      <c r="U25" s="105" t="str">
        <v>STRING</v>
      </c>
      <c r="V25" s="105" t="str">
        <v>STRING</v>
      </c>
      <c r="W25" s="116" t="str">
        <v>TIMESTAMP</v>
      </c>
    </row>
    <row r="26" spans="2:23" s="101" customFormat="1" x14ac:dyDescent="0.25">
      <c r="B26" s="122" t="s">
        <v>2140</v>
      </c>
      <c r="C26" s="117">
        <v>7</v>
      </c>
      <c r="D26" s="123" t="s">
        <v>2138</v>
      </c>
      <c r="E26" s="117" t="s">
        <v>2139</v>
      </c>
      <c r="F26" s="117" t="s">
        <v>1178</v>
      </c>
      <c r="G26" s="117" t="s">
        <v>1178</v>
      </c>
      <c r="H26" s="117" t="s">
        <v>1178</v>
      </c>
      <c r="I26" s="117">
        <v>4</v>
      </c>
      <c r="J26" s="117">
        <v>30</v>
      </c>
      <c r="K26" s="117">
        <v>9999999</v>
      </c>
      <c r="L26" s="117">
        <v>9999999</v>
      </c>
      <c r="M26" s="117">
        <v>4</v>
      </c>
      <c r="N26" s="117">
        <v>4</v>
      </c>
      <c r="O26" s="117">
        <v>4</v>
      </c>
      <c r="P26" s="117">
        <v>4</v>
      </c>
      <c r="Q26" s="117">
        <v>10</v>
      </c>
      <c r="R26" s="117">
        <v>10</v>
      </c>
      <c r="S26" s="117">
        <v>23</v>
      </c>
      <c r="T26" s="117">
        <v>9999999</v>
      </c>
      <c r="U26" s="117">
        <v>2</v>
      </c>
      <c r="V26" s="117">
        <v>10</v>
      </c>
      <c r="W26" s="118">
        <v>23</v>
      </c>
    </row>
    <row r="29" spans="2:23" x14ac:dyDescent="0.25">
      <c r="B29" s="127" t="s">
        <v>2141</v>
      </c>
    </row>
    <row r="30" spans="2:23" x14ac:dyDescent="0.25">
      <c r="B30" s="136" t="s">
        <v>2142</v>
      </c>
      <c r="C30" s="136" t="s">
        <v>2143</v>
      </c>
      <c r="D30" s="136" t="s">
        <v>2144</v>
      </c>
      <c r="E30" s="136" t="s">
        <v>2145</v>
      </c>
      <c r="F30" s="136" t="s">
        <v>2146</v>
      </c>
      <c r="G30" s="228"/>
      <c r="H30" s="222"/>
    </row>
    <row r="31" spans="2:23" ht="60" x14ac:dyDescent="0.25">
      <c r="B31" s="165" t="s">
        <v>2147</v>
      </c>
      <c r="C31" s="227" t="s">
        <v>737</v>
      </c>
      <c r="D31" s="227" t="s">
        <v>2398</v>
      </c>
      <c r="E31" s="227" t="s">
        <v>2544</v>
      </c>
      <c r="F31" s="92"/>
      <c r="G31" s="92"/>
    </row>
    <row r="32" spans="2:23" ht="60" x14ac:dyDescent="0.25">
      <c r="B32" s="165" t="s">
        <v>2155</v>
      </c>
      <c r="C32" s="227" t="s">
        <v>737</v>
      </c>
      <c r="D32" s="227" t="s">
        <v>2398</v>
      </c>
      <c r="E32" s="227" t="s">
        <v>2544</v>
      </c>
      <c r="F32" s="92"/>
      <c r="G32" s="92"/>
      <c r="H32" s="190"/>
    </row>
    <row r="33" spans="2:8" x14ac:dyDescent="0.25">
      <c r="B33" s="102"/>
      <c r="C33" s="227"/>
      <c r="D33" s="227"/>
      <c r="E33" s="227"/>
      <c r="F33" s="227"/>
      <c r="H33" s="190"/>
    </row>
    <row r="34" spans="2:8" ht="13.5" customHeight="1" x14ac:dyDescent="0.25">
      <c r="B34" s="102"/>
      <c r="C34" s="227"/>
      <c r="D34" s="227"/>
      <c r="E34" s="227"/>
      <c r="F34" s="227"/>
      <c r="H34" s="189"/>
    </row>
    <row r="35" spans="2:8" x14ac:dyDescent="0.25">
      <c r="B35" s="102"/>
      <c r="C35" s="92"/>
      <c r="D35" s="92"/>
      <c r="E35" s="92"/>
      <c r="F35" s="102"/>
    </row>
    <row r="36" spans="2:8" x14ac:dyDescent="0.25">
      <c r="B36" s="165"/>
      <c r="C36" s="227"/>
      <c r="D36" s="227"/>
      <c r="E36" s="227"/>
      <c r="F36" s="227"/>
    </row>
    <row r="37" spans="2:8" ht="48.75" customHeight="1" x14ac:dyDescent="0.25">
      <c r="B37" s="165"/>
      <c r="C37" s="227"/>
      <c r="D37" s="227"/>
      <c r="E37" s="227"/>
      <c r="F37" s="165"/>
    </row>
    <row r="38" spans="2:8" x14ac:dyDescent="0.25">
      <c r="B38" s="165"/>
      <c r="C38" s="227"/>
      <c r="D38" s="227"/>
      <c r="E38" s="227"/>
      <c r="F38" s="227"/>
    </row>
    <row r="39" spans="2:8" x14ac:dyDescent="0.25">
      <c r="B39" s="165"/>
      <c r="C39" s="227"/>
      <c r="D39" s="227"/>
      <c r="E39" s="227"/>
      <c r="F39" s="165"/>
    </row>
    <row r="40" spans="2:8" x14ac:dyDescent="0.25">
      <c r="B40" s="165"/>
      <c r="C40" s="227"/>
      <c r="D40" s="227"/>
      <c r="E40" s="227"/>
      <c r="F40" s="165"/>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2C7E3DC4-F506-43B4-8337-E84267A42644}"/>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Capa</vt:lpstr>
      <vt:lpstr>Sheet1</vt:lpstr>
      <vt:lpstr>Sheet2</vt:lpstr>
      <vt:lpstr>Sheet5</vt:lpstr>
      <vt:lpstr>Sheet3</vt:lpstr>
      <vt:lpstr>Sheet4</vt:lpstr>
      <vt:lpstr>Lista</vt:lpstr>
      <vt:lpstr>Tabelas</vt:lpstr>
      <vt:lpstr>Regras de Cruzamento</vt:lpstr>
      <vt:lpstr>Restrições de Universo</vt:lpstr>
      <vt:lpstr>Descrição Testes</vt:lpstr>
      <vt:lpstr>factoring_transaction</vt:lpstr>
      <vt:lpstr>bank_guarantee_transaction</vt:lpstr>
      <vt:lpstr>bills_promissory_notes_transact</vt:lpstr>
      <vt:lpstr>current_account_transaction</vt:lpstr>
      <vt:lpstr>incomesaving_acc_transaction</vt:lpstr>
      <vt:lpstr>debit_card_account_transaction</vt:lpstr>
      <vt:lpstr>prepaid_account_transaction</vt:lpstr>
      <vt:lpstr>credit_card_account_plan_trans</vt:lpstr>
      <vt:lpstr>saving_account_transaction</vt:lpstr>
      <vt:lpstr>loan_transaction</vt:lpstr>
      <vt:lpstr>loan_account_transaction</vt:lpstr>
      <vt:lpstr>nostrovostro_account_transactio</vt:lpstr>
      <vt:lpstr>trade_finance_transaction</vt:lpstr>
      <vt:lpstr>leasing_transaction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2024-09-30T11:47:37Z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