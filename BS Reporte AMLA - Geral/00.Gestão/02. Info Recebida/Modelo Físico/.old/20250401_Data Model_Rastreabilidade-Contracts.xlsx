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drawings/drawing27.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drawings/drawing28.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drawings/drawing29.xml" ContentType="application/vnd.openxmlformats-officedocument.drawing+xml"/>
  <Override PartName="/xl/tables/table52.xml" ContentType="application/vnd.openxmlformats-officedocument.spreadsheetml.table+xml"/>
  <Override PartName="/xl/tables/table53.xml" ContentType="application/vnd.openxmlformats-officedocument.spreadsheetml.table+xml"/>
  <Override PartName="/xl/drawings/drawing30.xml" ContentType="application/vnd.openxmlformats-officedocument.drawing+xml"/>
  <Override PartName="/xl/tables/table54.xml" ContentType="application/vnd.openxmlformats-officedocument.spreadsheetml.table+xml"/>
  <Override PartName="/xl/tables/table55.xml" ContentType="application/vnd.openxmlformats-officedocument.spreadsheetml.table+xml"/>
  <Override PartName="/xl/drawings/drawing31.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drawings/drawing32.xml" ContentType="application/vnd.openxmlformats-officedocument.drawing+xml"/>
  <Override PartName="/xl/tables/table58.xml" ContentType="application/vnd.openxmlformats-officedocument.spreadsheetml.table+xml"/>
  <Override PartName="/xl/tables/table5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old/"/>
    </mc:Choice>
  </mc:AlternateContent>
  <xr:revisionPtr revIDLastSave="23" documentId="8_{FB4D2775-A0D4-45A2-B3B4-A5798B466732}" xr6:coauthVersionLast="47" xr6:coauthVersionMax="47" xr10:uidLastSave="{1ECD735D-DCE2-4AD5-B279-0539970A7DEC}"/>
  <bookViews>
    <workbookView minimized="1" xWindow="4890" yWindow="2900" windowWidth="14400" windowHeight="727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Descrição Testes" sheetId="44" r:id="rId6"/>
    <sheet name="bank_guarantee" sheetId="53" r:id="rId7"/>
    <sheet name="bills_promissory_notes_contract" sheetId="45" r:id="rId8"/>
    <sheet name="incomesaving_account" sheetId="54" r:id="rId9"/>
    <sheet name="current_account" sheetId="55" r:id="rId10"/>
    <sheet name="confirming_contract" sheetId="52"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_account" sheetId="62" r:id="rId21"/>
    <sheet name="debit_card" sheetId="63" r:id="rId22"/>
    <sheet name="credit_card_account" sheetId="61" r:id="rId23"/>
    <sheet name="prepaid_card_account" sheetId="65" r:id="rId24"/>
    <sheet name="credit_card_account_plan" sheetId="64" r:id="rId25"/>
    <sheet name="loan" sheetId="66" r:id="rId26"/>
    <sheet name="saving_account" sheetId="67" r:id="rId27"/>
    <sheet name="internal_account" sheetId="73" r:id="rId28"/>
    <sheet name="nostro_vostro_account" sheetId="70" r:id="rId29"/>
    <sheet name="contract" sheetId="68" r:id="rId30"/>
    <sheet name="trade_finance_route" sheetId="69" r:id="rId31"/>
    <sheet name="loan_account" sheetId="71" r:id="rId32"/>
    <sheet name="leasing" sheetId="72" r:id="rId33"/>
  </sheets>
  <externalReferences>
    <externalReference r:id="rId34"/>
    <externalReference r:id="rId35"/>
    <externalReference r:id="rId36"/>
    <externalReference r:id="rId37"/>
    <externalReference r:id="rId38"/>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Tabelas!$B$5:$AA$6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73" l="1" a="1"/>
  <c r="G8" i="73"/>
  <c r="G8" i="70" a="1"/>
  <c r="G8" i="70"/>
  <c r="I26" i="73" a="1"/>
  <c r="I26" i="73" s="1"/>
  <c r="G22" i="73" s="1" a="1"/>
  <c r="G22" i="73" s="1"/>
  <c r="I25" i="53" a="1"/>
  <c r="I25" i="53" s="1"/>
  <c r="G22" i="53" s="1" a="1"/>
  <c r="G22" i="53" s="1"/>
  <c r="I26" i="45" a="1"/>
  <c r="I26" i="45" s="1"/>
  <c r="G22" i="45" s="1" a="1"/>
  <c r="G22" i="45" s="1"/>
  <c r="G8" i="53" a="1"/>
  <c r="G8" i="53"/>
  <c r="G8" i="69" a="1"/>
  <c r="G8" i="69" s="1"/>
  <c r="I24" i="69" a="1"/>
  <c r="I24" i="69" s="1"/>
  <c r="G20" i="69" s="1" a="1"/>
  <c r="G20" i="69" s="1"/>
  <c r="G8" i="71" a="1"/>
  <c r="G8" i="71"/>
  <c r="I26" i="72" a="1"/>
  <c r="I26" i="72" s="1"/>
  <c r="G22" i="72" s="1" a="1"/>
  <c r="G22" i="72" s="1"/>
  <c r="G8" i="72" a="1"/>
  <c r="G8" i="72"/>
  <c r="G8" i="67" a="1"/>
  <c r="G8" i="67"/>
  <c r="I26" i="71" a="1"/>
  <c r="I26" i="71" s="1"/>
  <c r="G22" i="71" s="1" a="1"/>
  <c r="G22" i="71" s="1"/>
  <c r="I26" i="70" a="1"/>
  <c r="I26" i="70" s="1"/>
  <c r="G22" i="70" s="1" a="1"/>
  <c r="G22" i="70" s="1"/>
  <c r="G19" i="56"/>
  <c r="G20" i="56"/>
  <c r="G8" i="56" a="1"/>
  <c r="G8" i="56"/>
  <c r="I27" i="54" a="1"/>
  <c r="I27" i="54" s="1"/>
  <c r="G22" i="54" s="1" a="1"/>
  <c r="G22" i="54" s="1"/>
  <c r="G8" i="57" a="1"/>
  <c r="G8" i="57"/>
  <c r="G8" i="54" a="1"/>
  <c r="G8" i="54"/>
  <c r="G8" i="51" a="1"/>
  <c r="G8" i="51"/>
  <c r="G8" i="48" a="1"/>
  <c r="G8" i="48"/>
  <c r="G8" i="52" a="1"/>
  <c r="G8" i="52"/>
  <c r="I26" i="52" a="1"/>
  <c r="I26" i="52" s="1"/>
  <c r="G22" i="52" s="1" a="1"/>
  <c r="G22" i="52" s="1"/>
  <c r="G8" i="68" a="1"/>
  <c r="G8" i="68"/>
  <c r="I26" i="68" a="1"/>
  <c r="I26" i="68" s="1"/>
  <c r="G22" i="68" s="1" a="1"/>
  <c r="G22" i="68" s="1"/>
  <c r="I26" i="67" a="1"/>
  <c r="I26" i="67" s="1"/>
  <c r="G22" i="67" s="1" a="1"/>
  <c r="G22" i="67" s="1"/>
  <c r="G8" i="66" a="1"/>
  <c r="G8" i="66"/>
  <c r="G8" i="64" a="1"/>
  <c r="G8" i="64"/>
  <c r="G8" i="65" a="1"/>
  <c r="G8" i="65"/>
  <c r="G8" i="55" a="1"/>
  <c r="G8" i="55"/>
  <c r="G8" i="45" a="1"/>
  <c r="G8" i="45"/>
  <c r="G22" i="55" a="1"/>
  <c r="G22" i="55"/>
  <c r="I26" i="66" a="1"/>
  <c r="I26" i="66" s="1"/>
  <c r="G22" i="66" s="1" a="1"/>
  <c r="G22" i="66" s="1"/>
  <c r="L32" i="64"/>
  <c r="K35" i="64"/>
  <c r="L34" i="64"/>
  <c r="L31" i="64"/>
  <c r="M32" i="64" s="1"/>
  <c r="G8" i="59" a="1"/>
  <c r="G8" i="59"/>
  <c r="G8" i="62" a="1"/>
  <c r="G8" i="62"/>
  <c r="G8" i="63" a="1"/>
  <c r="G8" i="63"/>
  <c r="G8" i="60" a="1"/>
  <c r="G8" i="60"/>
  <c r="G8" i="61" a="1"/>
  <c r="G8" i="61"/>
  <c r="I24" i="62" a="1"/>
  <c r="I24" i="62" s="1"/>
  <c r="G20" i="62" s="1" a="1"/>
  <c r="G20" i="62" s="1"/>
  <c r="I24" i="61" a="1"/>
  <c r="I24" i="61" s="1"/>
  <c r="G20" i="61" s="1" a="1"/>
  <c r="G20" i="61" s="1"/>
  <c r="I24" i="65" a="1"/>
  <c r="I24" i="65" s="1"/>
  <c r="G19" i="65" s="1" a="1"/>
  <c r="G19" i="65" s="1"/>
  <c r="I24" i="64" a="1"/>
  <c r="I24" i="64" s="1"/>
  <c r="I24" i="63" a="1"/>
  <c r="I24" i="63" s="1"/>
  <c r="G20" i="63" s="1" a="1"/>
  <c r="G20" i="63" s="1"/>
  <c r="I24" i="60" a="1"/>
  <c r="I24" i="60" s="1"/>
  <c r="G20" i="60" s="1" a="1"/>
  <c r="G20" i="60" s="1"/>
  <c r="I24" i="59" a="1"/>
  <c r="I24" i="59" s="1"/>
  <c r="G20" i="59" s="1" a="1"/>
  <c r="G20" i="59" s="1"/>
  <c r="I24" i="57" a="1"/>
  <c r="I24" i="57" s="1"/>
  <c r="G20" i="57" s="1" a="1"/>
  <c r="G20" i="57" s="1"/>
  <c r="G8" i="47" a="1"/>
  <c r="G8" i="47"/>
  <c r="G6" i="46" a="1"/>
  <c r="G6" i="46"/>
  <c r="I24" i="48" a="1"/>
  <c r="I24" i="48" s="1"/>
  <c r="G20" i="48" s="1" a="1"/>
  <c r="G20" i="48" s="1"/>
  <c r="I26" i="47" a="1"/>
  <c r="I26" i="47" s="1"/>
  <c r="G20" i="47" s="1" a="1"/>
  <c r="G20" i="47" s="1"/>
  <c r="I23" i="50" a="1"/>
  <c r="I23" i="50" s="1"/>
  <c r="G18" i="50" s="1" a="1"/>
  <c r="G18" i="50" s="1"/>
  <c r="I23" i="46" a="1"/>
  <c r="I23" i="46" s="1"/>
  <c r="G6" i="50" a="1"/>
  <c r="G6" i="50"/>
  <c r="I24" i="51" a="1"/>
  <c r="I24" i="51" s="1"/>
  <c r="G20" i="51" s="1" a="1"/>
  <c r="G20" i="51" s="1"/>
  <c r="I26" i="56" a="1"/>
  <c r="I26" i="56" s="1"/>
  <c r="G22" i="56" s="1" a="1"/>
  <c r="G22" i="56" s="1"/>
  <c r="I26" i="53" a="1"/>
  <c r="I24" i="46" a="1"/>
  <c r="I24" i="50" a="1"/>
  <c r="I27" i="67" a="1"/>
  <c r="I25" i="57" a="1"/>
  <c r="I27" i="71" a="1"/>
  <c r="I27" i="70" a="1"/>
  <c r="I25" i="59" a="1"/>
  <c r="I27" i="52" a="1"/>
  <c r="I25" i="60" a="1"/>
  <c r="I27" i="66" a="1"/>
  <c r="I25" i="62" a="1"/>
  <c r="I25" i="64" a="1"/>
  <c r="I25" i="63" a="1"/>
  <c r="I28" i="54" a="1"/>
  <c r="I27" i="47" a="1"/>
  <c r="I27" i="55" a="1"/>
  <c r="I25" i="69" a="1"/>
  <c r="I25" i="51" a="1"/>
  <c r="I27" i="73" a="1"/>
  <c r="I25" i="48" a="1"/>
  <c r="I27" i="72" a="1"/>
  <c r="I27" i="56" a="1"/>
  <c r="I27" i="68" a="1"/>
  <c r="I25" i="61" a="1"/>
  <c r="I25" i="65" a="1"/>
  <c r="I27" i="45" a="1"/>
  <c r="I27" i="45" l="1"/>
  <c r="I25" i="65"/>
  <c r="I25" i="61"/>
  <c r="I27" i="68"/>
  <c r="I27" i="56"/>
  <c r="I27" i="72"/>
  <c r="I25" i="48"/>
  <c r="I25" i="51"/>
  <c r="I25" i="69"/>
  <c r="I27" i="55"/>
  <c r="I27" i="47"/>
  <c r="I28" i="54"/>
  <c r="I25" i="63"/>
  <c r="G9" i="64" a="1"/>
  <c r="G9" i="64" s="1"/>
  <c r="I25" i="64"/>
  <c r="I25" i="62"/>
  <c r="I27" i="66"/>
  <c r="I25" i="60"/>
  <c r="I27" i="52"/>
  <c r="I25" i="59"/>
  <c r="I27" i="70"/>
  <c r="I27" i="71"/>
  <c r="I25" i="57"/>
  <c r="I27" i="67"/>
  <c r="I24" i="50"/>
  <c r="I24" i="46"/>
  <c r="I26" i="53"/>
  <c r="I27" i="73"/>
  <c r="G20" i="64" a="1"/>
  <c r="G20" i="64" s="1"/>
  <c r="G19" i="64" a="1"/>
  <c r="G19" i="64" s="1"/>
  <c r="G21" i="64" s="1" a="1"/>
  <c r="G21" i="64" s="1"/>
  <c r="G20" i="65" a="1"/>
  <c r="G20" i="65" s="1"/>
  <c r="G18" i="46" a="1"/>
  <c r="G18" i="46" s="1"/>
  <c r="G17" i="46" a="1"/>
  <c r="G17" i="46" s="1"/>
  <c r="G9" i="61" l="1" a="1"/>
  <c r="G9" i="61" s="1"/>
  <c r="G9" i="73" a="1"/>
  <c r="G9" i="73" s="1"/>
  <c r="G9" i="45" a="1"/>
  <c r="G9" i="45" s="1"/>
  <c r="G9" i="69" a="1"/>
  <c r="G9" i="69" s="1"/>
  <c r="G7" i="46" a="1"/>
  <c r="G7" i="46" s="1"/>
  <c r="G19" i="46" s="1" a="1"/>
  <c r="G19" i="46" s="1"/>
  <c r="G9" i="47" a="1"/>
  <c r="G9" i="47" s="1"/>
  <c r="G9" i="56" a="1"/>
  <c r="G9" i="56" s="1"/>
  <c r="G19" i="63" a="1"/>
  <c r="G19" i="63" s="1"/>
  <c r="G19" i="62" a="1"/>
  <c r="G19" i="62" s="1"/>
  <c r="G21" i="52" a="1"/>
  <c r="G21" i="52" s="1"/>
  <c r="G9" i="55" a="1"/>
  <c r="G9" i="55" s="1"/>
  <c r="G9" i="48" a="1"/>
  <c r="G9" i="48" s="1"/>
  <c r="G7" i="50" a="1"/>
  <c r="G7" i="50" s="1"/>
  <c r="G9" i="59" a="1"/>
  <c r="G9" i="59" s="1"/>
  <c r="G19" i="60" a="1"/>
  <c r="G19" i="60" s="1"/>
  <c r="G9" i="60" a="1"/>
  <c r="G9" i="60" s="1"/>
  <c r="G9" i="62" a="1"/>
  <c r="G9" i="62" s="1"/>
  <c r="G21" i="66" a="1"/>
  <c r="G21" i="66" s="1"/>
  <c r="G9" i="71" a="1"/>
  <c r="G9" i="71" s="1"/>
  <c r="G9" i="72" a="1"/>
  <c r="G9" i="72" s="1"/>
  <c r="G9" i="57" a="1"/>
  <c r="G9" i="57" s="1"/>
  <c r="G9" i="63" a="1"/>
  <c r="G9" i="63" s="1"/>
  <c r="G9" i="51" a="1"/>
  <c r="G9" i="51" s="1"/>
  <c r="G9" i="67" a="1"/>
  <c r="G9" i="67" s="1"/>
  <c r="G9" i="65" a="1"/>
  <c r="G9" i="65" s="1"/>
  <c r="G21" i="65" s="1" a="1"/>
  <c r="G21" i="65" s="1"/>
  <c r="G9" i="54" a="1"/>
  <c r="G9" i="54" s="1"/>
  <c r="G23" i="54" s="1" a="1"/>
  <c r="G23" i="54" s="1"/>
  <c r="G19" i="59" a="1"/>
  <c r="G19" i="59" s="1"/>
  <c r="G9" i="66" a="1"/>
  <c r="G9" i="66" s="1"/>
  <c r="G9" i="70" a="1"/>
  <c r="G9" i="70" s="1"/>
  <c r="G9" i="68" a="1"/>
  <c r="G9" i="68" s="1"/>
  <c r="G21" i="72" a="1"/>
  <c r="G21" i="72" s="1"/>
  <c r="G17" i="50" a="1"/>
  <c r="G17" i="50" s="1"/>
  <c r="G19" i="51" a="1"/>
  <c r="G19" i="51" s="1"/>
  <c r="G21" i="68" a="1"/>
  <c r="G21" i="68" s="1"/>
  <c r="G21" i="67" a="1"/>
  <c r="G21" i="67" s="1"/>
  <c r="G9" i="52" a="1"/>
  <c r="G9" i="52" s="1"/>
  <c r="G21" i="54" a="1"/>
  <c r="G21" i="54" s="1"/>
  <c r="G9" i="53" a="1"/>
  <c r="G9" i="53" s="1"/>
  <c r="G19" i="61" a="1"/>
  <c r="G19" i="61" s="1"/>
  <c r="G21" i="73" a="1"/>
  <c r="G21" i="73" s="1"/>
  <c r="G19" i="57" a="1"/>
  <c r="G19" i="57" s="1"/>
  <c r="G19" i="47" a="1"/>
  <c r="G19" i="47" s="1"/>
  <c r="G19" i="48" a="1"/>
  <c r="G19" i="48" s="1"/>
  <c r="G21" i="71" a="1"/>
  <c r="G21" i="71" s="1"/>
  <c r="G21" i="55" a="1"/>
  <c r="G21" i="55" s="1"/>
  <c r="G21" i="45" a="1"/>
  <c r="G21" i="45" s="1"/>
  <c r="G21" i="53" a="1"/>
  <c r="G21" i="53" s="1"/>
  <c r="G21" i="70" a="1"/>
  <c r="G21" i="70" s="1"/>
  <c r="G19" i="69" a="1"/>
  <c r="G19" i="69" s="1"/>
  <c r="G21" i="56" a="1"/>
  <c r="G21" i="56" s="1"/>
  <c r="G21" i="62" l="1" a="1"/>
  <c r="G21" i="62" s="1"/>
  <c r="G21" i="48" a="1"/>
  <c r="G21" i="48" s="1"/>
  <c r="G21" i="59" a="1"/>
  <c r="G21" i="59" s="1"/>
  <c r="G21" i="69" a="1"/>
  <c r="G21" i="69" s="1"/>
  <c r="G23" i="70" a="1"/>
  <c r="G23" i="70" s="1"/>
  <c r="G19" i="50" a="1"/>
  <c r="G19" i="50" s="1"/>
  <c r="G21" i="61" a="1"/>
  <c r="G21" i="61" s="1"/>
  <c r="G21" i="57" a="1"/>
  <c r="G21" i="57" s="1"/>
  <c r="G23" i="73" a="1"/>
  <c r="G23" i="73" s="1"/>
  <c r="G23" i="66" a="1"/>
  <c r="G23" i="66" s="1"/>
  <c r="G23" i="45" a="1"/>
  <c r="G23" i="45" s="1"/>
  <c r="G23" i="55" a="1"/>
  <c r="G23" i="55" s="1"/>
  <c r="G23" i="68" a="1"/>
  <c r="G23" i="68" s="1"/>
  <c r="G23" i="71" a="1"/>
  <c r="G23" i="71" s="1"/>
  <c r="G23" i="72" a="1"/>
  <c r="G23" i="72" s="1"/>
  <c r="G21" i="60" a="1"/>
  <c r="G21" i="60" s="1"/>
  <c r="G23" i="56" a="1"/>
  <c r="G23" i="56" s="1"/>
  <c r="G21" i="47" a="1"/>
  <c r="G21" i="47" s="1"/>
  <c r="G21" i="51" a="1"/>
  <c r="G21" i="51" s="1"/>
  <c r="G21" i="63" a="1"/>
  <c r="G21" i="63" s="1"/>
  <c r="G23" i="67" a="1"/>
  <c r="G23" i="67" s="1"/>
  <c r="G23" i="52" a="1"/>
  <c r="G23" i="52" s="1"/>
  <c r="G23" i="53" a="1"/>
  <c r="G23" i="5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80"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<sst xmlns="http://schemas.openxmlformats.org/spreadsheetml/2006/main" count="27940" uniqueCount="4711">
  <si>
    <t>Modelo Comum de Dados - Contratos</t>
  </si>
  <si>
    <t>SCHEMA</t>
  </si>
  <si>
    <t>TABELA</t>
  </si>
  <si>
    <t>DESCRIÇÃO</t>
  </si>
  <si>
    <t>common_contracts_bankguarantees</t>
  </si>
  <si>
    <t>bank_guarantee</t>
  </si>
  <si>
    <t>Contains the information of the bank guarantee contracts.</t>
  </si>
  <si>
    <t>bank_guarantee_universe</t>
  </si>
  <si>
    <t>Auxiliary table that defines the universe of bank guarantee contracts.</t>
  </si>
  <si>
    <t>common_contracts_bankvaults</t>
  </si>
  <si>
    <t>bank_vault</t>
  </si>
  <si>
    <t>Contains the information of the bank vaults contracts.</t>
  </si>
  <si>
    <t>bank_vault_visit</t>
  </si>
  <si>
    <t>Contains the information about the visits performed to the bank vaults.</t>
  </si>
  <si>
    <t>common_contracts_billspromissorynotes</t>
  </si>
  <si>
    <t>bills_promissory_notes_contract</t>
  </si>
  <si>
    <t>Contains the information about the bill or promissory note contracts.</t>
  </si>
  <si>
    <t>bills_promissory_notes_process</t>
  </si>
  <si>
    <t>Contains the information about the bill or promissory note processes.</t>
  </si>
  <si>
    <t>bills_promissory_notes_universe</t>
  </si>
  <si>
    <t>Auxiliary table that defines the universe of bill or promissory notes contracts.</t>
  </si>
  <si>
    <t>common_contracts_confirming</t>
  </si>
  <si>
    <t>confirming_contract</t>
  </si>
  <si>
    <t>Contains the information of the confirming contracts.</t>
  </si>
  <si>
    <t>confirming_process</t>
  </si>
  <si>
    <t>Contains the information about the confirming processes.</t>
  </si>
  <si>
    <t>confirming_universe</t>
  </si>
  <si>
    <t>Auxiliary table that defines the universe of confirming contracts.</t>
  </si>
  <si>
    <t>common_contracts_core</t>
  </si>
  <si>
    <t>contract</t>
  </si>
  <si>
    <t>Contains minimal information about all the Santander's contracts.</t>
  </si>
  <si>
    <t>contract_party_relationship</t>
  </si>
  <si>
    <t xml:space="preserve">Contains the information about the various types of relationships between contracts its intervenients. </t>
  </si>
  <si>
    <t>common_contracts_creditcards</t>
  </si>
  <si>
    <t>credit_card</t>
  </si>
  <si>
    <t>Contains information about the credit cards (plastic).</t>
  </si>
  <si>
    <t>credit_card_account</t>
  </si>
  <si>
    <t>Contais information about the credit card accounts.</t>
  </si>
  <si>
    <t>credit_card_contract</t>
  </si>
  <si>
    <t>Contais information about the credit card contracts.</t>
  </si>
  <si>
    <t>common_contracts_currentaccounts</t>
  </si>
  <si>
    <t>current_account</t>
  </si>
  <si>
    <t>Contais information about the current accounts contracts.</t>
  </si>
  <si>
    <t>common_contracts_debitcards</t>
  </si>
  <si>
    <t>debit_card</t>
  </si>
  <si>
    <t>Contains information about the debit cards (plastic).</t>
  </si>
  <si>
    <t>debit_card_account</t>
  </si>
  <si>
    <t>Contais information about the debit card accounts.</t>
  </si>
  <si>
    <t>common_contracts_factoring</t>
  </si>
  <si>
    <t>factoring_contract</t>
  </si>
  <si>
    <t>Contais information about the factoring contracts.</t>
  </si>
  <si>
    <t>factoring_process</t>
  </si>
  <si>
    <t>Contais information about the factoring processes.</t>
  </si>
  <si>
    <t>common_contracts_incomesavingaccounts</t>
  </si>
  <si>
    <t>incomesaving_account</t>
  </si>
  <si>
    <t>Contais information about the income saving accounts contracts.</t>
  </si>
  <si>
    <t>common_contracts_internalaccounts</t>
  </si>
  <si>
    <t>internal_account</t>
  </si>
  <si>
    <t>Contais information about the internal accounts contracts.</t>
  </si>
  <si>
    <t>common_contracts_leasing</t>
  </si>
  <si>
    <t>leasing</t>
  </si>
  <si>
    <t>Contains the information of the leasing contracts.</t>
  </si>
  <si>
    <t>leasing_universe</t>
  </si>
  <si>
    <t>Auxiliary table that defines the universe of leasing contracts.</t>
  </si>
  <si>
    <t>common_contracts_loans</t>
  </si>
  <si>
    <t>loan</t>
  </si>
  <si>
    <t>Contains the information of the loan contracts.</t>
  </si>
  <si>
    <t>common_contracts_loanaccounts</t>
  </si>
  <si>
    <t>loan_account</t>
  </si>
  <si>
    <t>Contais information about the loan accounts contracts.</t>
  </si>
  <si>
    <t>common_contracts_nostrovostroaccounts</t>
  </si>
  <si>
    <t>nostrovostro_account</t>
  </si>
  <si>
    <t>Contais information about the nostro vostro accounts contracts.</t>
  </si>
  <si>
    <t>common_contracts_prepaidcards</t>
  </si>
  <si>
    <t>prepaid_card</t>
  </si>
  <si>
    <t>Contains information about the prepaid cards (plastic).</t>
  </si>
  <si>
    <t>prepaid_card_account</t>
  </si>
  <si>
    <t>Contais information about the prepaid card accounts.</t>
  </si>
  <si>
    <t>common_contracts_savingsaccounts</t>
  </si>
  <si>
    <t>saving_account</t>
  </si>
  <si>
    <t>Contais information about the saving account contracts.</t>
  </si>
  <si>
    <t>common_contracts_tradefinance</t>
  </si>
  <si>
    <t>trade_finance</t>
  </si>
  <si>
    <t>Contais information about the trade finance contracts.</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</si>
  <si>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</si>
  <si>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</si>
  <si>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</si>
  <si>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</si>
  <si>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</si>
  <si>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</si>
  <si>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</si>
  <si>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</si>
  <si>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</si>
  <si>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</si>
  <si>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</si>
  <si>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</si>
  <si>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</si>
  <si>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</si>
  <si>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</si>
  <si>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</si>
  <si>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</si>
  <si>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</si>
  <si>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</si>
  <si>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</si>
  <si>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</si>
  <si>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</si>
  <si>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</si>
  <si>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</si>
  <si>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</si>
  <si>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TABELA ONEFCC</t>
  </si>
  <si>
    <t>NOME CAMPO ONEFCC</t>
  </si>
  <si>
    <t>NOME BD CURATED</t>
  </si>
  <si>
    <t>NOME FISICO TABELA CURATED</t>
  </si>
  <si>
    <t>NOME FISICO CAMPO CURATED</t>
  </si>
  <si>
    <t>CONDIÇÃO CURATED - CDM</t>
  </si>
  <si>
    <t>ID APLICAÇÂO TÉCNICA</t>
  </si>
  <si>
    <t>NOME FISICO TABELA FONTE</t>
  </si>
  <si>
    <t>NOME FISICO CAMPO FONTE</t>
  </si>
  <si>
    <t>VALOR MANUAL FONTE</t>
  </si>
  <si>
    <t>Bank Guarantee</t>
  </si>
  <si>
    <t>Bank ID</t>
  </si>
  <si>
    <t>bank_id</t>
  </si>
  <si>
    <t>Key - ID</t>
  </si>
  <si>
    <t>STRING</t>
  </si>
  <si>
    <t>Internal Santander's bank identifier (previously known as CEMPRESA).</t>
  </si>
  <si>
    <t>Código identificador do banco interno do Santander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</si>
  <si>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</si>
  <si>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</si>
  <si>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</si>
  <si>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CURATED_INTERNAL_MAINFRAME_AVALES
CURATED_INTERNAL_MAINFRAME_CONTAS
CURATED_INTERNAL_MAINFRAME_CONTENCIOSO
COMMON_REFERENCEDATA_CORE
COMMON_REFERENCEDATA_CORE</t>
  </si>
  <si>
    <t>BG_CONTR_BATCH
INTERFACE_DCT01
TCT09_OPERCN
PARAM_GENERAL_CODE_CONVERTER
PARAM_LITIGATION_PRODUCT</t>
  </si>
  <si>
    <t>N\A
N\A
N\A
TARGET_VALUE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</si>
  <si>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BG_CONTR_BATCH.CODSPROD != '550' 
   AND PARAM_GENERAL_CONVERTER.TARGET_FIELD = 'bank_id' AND PARAM_GENERAL_CODE_CONVERTER.SOURCE_CODE = 'BG' AND PARAM_GENERAL_CONVERTER.SOURCE_VALUE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'bank_id' AND PARAM_GENERAL_CODE_CONVERTER.SOURCE_CODE = 'TC' AND PARAM_GENERAL_CODE_CONVERTER.SOURCE_VALUE = '' AND PARAM_GENERAL_CODE_CONVERTER.OPTION_NUMBER = '1'</t>
    </r>
  </si>
  <si>
    <t>BG - Garantias Prestadas
DC - Contas a Vista
TC - Terminal Contencioso</t>
  </si>
  <si>
    <t>N\A
N\A
N\A</t>
  </si>
  <si>
    <t>"31"
"31"
"31"</t>
  </si>
  <si>
    <t>Contract ID</t>
  </si>
  <si>
    <t>contract_id</t>
  </si>
  <si>
    <t>Identifier of the contract.</t>
  </si>
  <si>
    <t>Identificador do contrato.</t>
  </si>
  <si>
    <t>CURATED_INTERNAL_MAINFRAME_ESTRUTURAIS
CURATED_INTERNAL_MAINFRAME_CONTAS
CURATED_INTERNAL_MAINFRAME_CONTENCIOSO
CURATED_INTERNAL_MAINFRAME_AVALES
COMMON_REFERENCEDATA_CORE</t>
  </si>
  <si>
    <t>COINT_CTOLOC_P
INTERFACE_DCT01
TCT09_OPERCN
BG_CONTR_BATCH
PARAM_LITIGATION_PRODUCT</t>
  </si>
  <si>
    <t>E2616_IDCENT_L, E2616_IDCONT_L
DCYR8101_CKBALCAO, DCYR8101_CKNUMCTA
CKBALCAO, CKNUMCTA
N\A
N\A</t>
  </si>
  <si>
    <r>
      <rPr>
        <b/>
        <sz val="11"/>
        <color rgb="FF000000"/>
        <rFont val="Calibri"/>
        <scheme val="minor"/>
      </rPr>
      <t xml:space="preserve">SELECT </t>
    </r>
    <r>
      <rPr>
        <sz val="11"/>
        <color rgb="FF000000"/>
        <rFont val="Calibri"/>
        <scheme val="minor"/>
      </rPr>
      <t xml:space="preserve">CONCAT( '000000000000000', COINT_CTOLOC_P.E2616_IDCENT_L, SUBSTRING( COINT_CTOLOC_P.E2616_IDCONT_L, 2, 10 ), '0'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CONCAT( TCT09_OPERCN.CKBALCAO, TCT09_OPERCN.CKNUMCTA, '000000000000000'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</si>
  <si>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 - Garantias Prestadas -&gt; TA - Tabelas Gerais
DC - Contas a Vista
TC - Terminal Contencioso</t>
  </si>
  <si>
    <t>BG_CONTR_BATCH -&gt; COINT_CTOLOC_P
DCYR8101
TCT09_OPERCN</t>
  </si>
  <si>
    <t>CONCAT( IDCENT, CODPROD, NUMCTR ) -&gt; CONCAT( "000000000000000", IDCENT_L, IDCONT_L( 2, 10 ), "0" )
CONCAT (CKBALCAO, CKNUMCTA, "000000000000000" )
CONCAT ( CKBALCAO, CKNUMCTA, "000000000000000" )</t>
  </si>
  <si>
    <t>N\A -&gt; N\A
N\A
N\A</t>
  </si>
  <si>
    <t>Product Family ID</t>
  </si>
  <si>
    <t>product_family_id</t>
  </si>
  <si>
    <t>Ext Inf - Con Inf - ID</t>
  </si>
  <si>
    <t>Identifier of the product type.</t>
  </si>
  <si>
    <t>Identificador da família de produto (agregação de produtos), por exemplo: empréstimos, cartões crédito, etc.</t>
  </si>
  <si>
    <t>Product Type:
N\A; N\A
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</si>
  <si>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BG_CONTR_BATCH.CODSPROD != '550'
    AND GENERAL_CONVERTER.TARGET_FIELD = 'product_family_id' AND PARAM_GENERAL_CODE_CONVERTER.SOURCE_CODE = 'BG'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AND PARAM_GENERAL_CODE_CONVERTER.TARGET_FIELD = 'product_family_id' AND PARAM_GENERAL_CODE_CONVERTER.SOURCE_CODE = 'BG'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</si>
  <si>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Product ID</t>
  </si>
  <si>
    <t>product_id</t>
  </si>
  <si>
    <t xml:space="preserve">Identifier of the level one product. </t>
  </si>
  <si>
    <t>Identificador do produto do contrato.</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</si>
  <si>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</si>
  <si>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</si>
  <si>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</si>
  <si>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
TCT09_OPERCN
BG_CONTR_BATCH
PARAM_LITIGATION_PRODUCT</t>
  </si>
  <si>
    <t>CKPRODUT
DCYR8101_CKPRODUT
CKPRODUT
N\A
N\A</t>
  </si>
  <si>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xml:space="preserve">BG_CONTR_BATCH.CODSPROD != '550' AND BG_CONTR_BATCH.CODPROD = TAT22_PRODUTO.CODPROD 
</t>
    </r>
    <r>
      <rPr>
        <b/>
        <sz val="11"/>
        <color rgb="FF000000"/>
        <rFont val="Calibri"/>
        <scheme val="minor"/>
      </rPr>
      <t xml:space="preserve">SELECT </t>
    </r>
    <r>
      <rPr>
        <sz val="11"/>
        <color rgb="FF000000"/>
        <rFont val="Calibri"/>
        <scheme val="minor"/>
      </rPr>
      <t xml:space="preserve">IF( TRIM( INTERFACE_DCT01.DCYR8101_CKPRODUT) = '', NULL, INTERFACE_DCT01.DCYR8101_CKPRODUT)
</t>
    </r>
    <r>
      <rPr>
        <b/>
        <sz val="11"/>
        <color rgb="FF000000"/>
        <rFont val="Calibri"/>
        <scheme val="minor"/>
      </rPr>
      <t xml:space="preserve">WHERE </t>
    </r>
    <r>
      <rPr>
        <sz val="11"/>
        <color rgb="FF000000"/>
        <rFont val="Calibri"/>
        <scheme val="minor"/>
      </rPr>
      <t xml:space="preserve">INTERFACE_DCT01.DCYR8101_CSITCTA  IN ( '0', '1', '2', '3', '7', '8' ) AND INTERFACE_DCT01.DCYR8101_DINICONT = '0001-01-01'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TCT09_OPERCN.CKPRODUT  ) = '', NULL, TCT09_OPERCN.CKPRODUT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</si>
  <si>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BG_CONTR_BATCH -&gt; TAT22_PRODUTO
DCYR8101
TCT09_OPERCN</t>
  </si>
  <si>
    <t>CODPROD -&gt; CKPRODUT
CKPRODUT
CKPRODUT</t>
  </si>
  <si>
    <t>Subproduct ID</t>
  </si>
  <si>
    <t>subproduct_id</t>
  </si>
  <si>
    <t>Identifier of the level two product (subproduct).</t>
  </si>
  <si>
    <t>Identificador do subproduto do contrato.</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</si>
  <si>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</si>
  <si>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</si>
  <si>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
CKSUBPRO
N\A
N\A</t>
  </si>
  <si>
    <r>
      <rPr>
        <b/>
        <sz val="11"/>
        <color rgb="FF000000"/>
        <rFont val="Calibri"/>
        <scheme val="minor"/>
      </rPr>
      <t xml:space="preserve">SELECT </t>
    </r>
    <r>
      <rPr>
        <sz val="11"/>
        <color rgb="FF000000"/>
        <rFont val="Calibri"/>
        <scheme val="minor"/>
      </rPr>
      <t xml:space="preserve">IF( TRIM( TAT22_PRODUTO.CKSUBPRO ) = '', NULL, TAT22_PRODUTO.CKSUBPRO )
</t>
    </r>
    <r>
      <rPr>
        <b/>
        <sz val="11"/>
        <color rgb="FF000000"/>
        <rFont val="Calibri"/>
        <scheme val="minor"/>
      </rPr>
      <t xml:space="preserve">WHERE </t>
    </r>
    <r>
      <rPr>
        <sz val="11"/>
        <color rgb="FF000000"/>
        <rFont val="Calibri"/>
        <scheme val="minor"/>
      </rPr>
      <t xml:space="preserve">BG_CONTR_BATCH.CODSPROD != '550' AND BG_CONTR_BATCH.CODSPROD = TAT22_PRODUTO.CODSPROD
</t>
    </r>
    <r>
      <rPr>
        <b/>
        <sz val="11"/>
        <color rgb="FF000000"/>
        <rFont val="Calibri"/>
        <scheme val="minor"/>
      </rPr>
      <t xml:space="preserve">SELECT </t>
    </r>
    <r>
      <rPr>
        <sz val="11"/>
        <color rgb="FF000000"/>
        <rFont val="Calibri"/>
        <scheme val="minor"/>
      </rPr>
      <t xml:space="preserve">IF( TRIM( INTERFACE_DCT01.DCYR8101_CKSUBPRO ) = '', NULL, INTERFACE_DCT01.DCYR8101_CKSUBPRO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TCT09_OPERCN.CKSUBPRO ) = '', NULL, TCT09_OPERCN.CKSUBPRO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'029' AND PARAM_LITIGATION_PRODUCT.SOURCE_SUBPRODUCT_ID = '213' AND PARAM_LITIGATION_PRODUCT.SOURCE_CODE = 'BG'</t>
    </r>
  </si>
  <si>
    <t>CODSPROD -&gt; CKSUBPRO
CKSUBPRO
CKSUBPRO</t>
  </si>
  <si>
    <t>Main Current Account Bank ID</t>
  </si>
  <si>
    <t>main_current_account_bank_id</t>
  </si>
  <si>
    <t>Bank identifier (internal Santander’s company identification code) that is related to the current account contract which anchors the bank guarantee contract.</t>
  </si>
  <si>
    <t>Código identificador do banco interno do Santander (CEMPRESA) da conta âncora do contrato.</t>
  </si>
  <si>
    <t>Contract Static
Transactions - Loans</t>
  </si>
  <si>
    <t>Account ID
Account ID</t>
  </si>
  <si>
    <t>CURATED_INTERNAL_MAINFRAME_ESTRUTURAIS
CURATED_INTERNAL_MAINFRAME_CONTAS
CURATED_INTERNAL_MAINFRAME_CONTENCIOSO
CURATED_INTERNAL_MAINFRAME_AVALES
COMMON_REFERENCEDATA_CORE
COMMON_REFERENCEDATA_CORE</t>
  </si>
  <si>
    <t>REL_CONTRATOS
INTERFACE_DCT01
TCT09_OPERCN
BG_CONTR_BATCH
PARAM_GENERAL_CODE_CONVERTER
PARAM_LITIGATION_PRODUCT</t>
  </si>
  <si>
    <t>N\A
N\A
N\A
N\A
TARGET_VALUE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</si>
  <si>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BG_CONTR_BATCH.CODSPROD != '550'
    AND REL_CONTRATOS.RCC_CORELCC = '040' AND REL_CONTRATOS.RCC_FEVENCIM = '9999-12-31'
    AND PARAM_GENERAL_CODE_CONVERTER.TARGET_FIELD = 'main_current_account_bank_id'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'main_current_account_bank_id'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</si>
  <si>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"31"
"NULL"
"31"</t>
  </si>
  <si>
    <t>Main Current Account Contract ID</t>
  </si>
  <si>
    <t>main_current_account_contract_id</t>
  </si>
  <si>
    <t>Contract identifier of the current account that anchors the bank guarantee.</t>
  </si>
  <si>
    <t>Identificador do contrato da conta âncora do contrato.</t>
  </si>
  <si>
    <t>CURATED_INTERNAL_MAINFRAME_ESTRUTURAIS
CURATED_INTERNAL_MAINFRAME_ESTRUTURAIS
CURATED_INTERNAL_MAINFRAME_CONTAS
CURATED_INTERNAL_MAINFRAME_CONTENCIOSO
CURATED_INTERNAL_MAINFRAME_AVALES
COMMON_REFERENCEDATA_CORE</t>
  </si>
  <si>
    <t>COINT_CTOLOC_P
REL_CONTRATOS
INTERFACE_DCT01
TCT09_OPERCN
BG_CONTR_BATCH
PARAM_LITIGATION_PRODUCT</t>
  </si>
  <si>
    <t>E2616_IDCENT_L, E2616_IDCONT_L
N\A
N\A
CKBALDO, CKCTADO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</si>
  <si>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COINT_CTOLOC_P.E2616_IDCONT_L,'000000000000000' ) )
</t>
    </r>
    <r>
      <rPr>
        <b/>
        <sz val="11"/>
        <color rgb="FF000000"/>
        <rFont val="Calibri"/>
        <scheme val="minor"/>
      </rPr>
      <t xml:space="preserve">WHERE </t>
    </r>
    <r>
      <rPr>
        <sz val="11"/>
        <color rgb="FF000000"/>
        <rFont val="Calibri"/>
        <scheme val="minor"/>
      </rPr>
      <t xml:space="preserve">BG_CONTR_BATCH.CODSPROD != '550'
    AND REL_CONTRATOS.RCC_CORELCC = '040' AND REL_CONTRATOS.RCC_FEVENCIM = '9999-12-31' AND REL_CONTRATOS.RCC_TIPOSIT = '10'
</t>
    </r>
    <r>
      <rPr>
        <b/>
        <sz val="11"/>
        <color rgb="FF000000"/>
        <rFont val="Calibri"/>
        <scheme val="minor"/>
      </rPr>
      <t xml:space="preserve">SELECT </t>
    </r>
    <r>
      <rPr>
        <sz val="11"/>
        <color rgb="FF000000"/>
        <rFont val="Calibri"/>
        <scheme val="minor"/>
      </rPr>
      <t xml:space="preserve">NULL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CONCAT( TCT09_OPERCN.CKBALDO, TCT09_OPERCN.CKCTADO ) ) = '', NULL, CONCAT( TCT09_OPERCN.CKBALDO, TCT09_OPERCN.CKCTADO, '000000000000000'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</si>
  <si>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REL_CONTRATOS -&gt; COINT_LOC_CP
N\A
TCT09_OPERCN</t>
  </si>
  <si>
    <t>CONCAT( IDCENTRE, IDPRODRE, IDCONTRRE ) -&gt; CONCAT( IDCENT_L, IDCONT_L, "000000000000000" )
N\A
CONCAT( CKBALDO, CKCTADO, "000000000000000" )</t>
  </si>
  <si>
    <t>N\A -&gt; N\A
"NULL"
N\A</t>
  </si>
  <si>
    <t>Opening Date</t>
  </si>
  <si>
    <t>opening_date</t>
  </si>
  <si>
    <t>Ext Inf - Con Inf - Date</t>
  </si>
  <si>
    <t>Date in which the client opened and formalised the contract.</t>
  </si>
  <si>
    <t>Data de abertura do contrato. Não corresponde à data de solicitação do contrato.</t>
  </si>
  <si>
    <t>Contract Static</t>
  </si>
  <si>
    <t>CURATED_INTERNAL_MAINFRAME_AVALES
CURATED_INTERNAL_MAINFRAME_CONTAS
CURATED_INTERNAL_MAINFRAME_CONTENCIOSO
COMMON_REFERENCEDATA_CORE</t>
  </si>
  <si>
    <t>BG_CONTR_BATCH
INTERFACE_DCT01
TCT09_OPERCN
PARAM_LITIGATION_PRODUCT</t>
  </si>
  <si>
    <t>FECAPER
DCYR8101_DABERTUR
DCONTRAT
N\A</t>
  </si>
  <si>
    <r>
      <rPr>
        <b/>
        <sz val="11"/>
        <color rgb="FF000000"/>
        <rFont val="Calibri"/>
        <scheme val="minor"/>
      </rPr>
      <t xml:space="preserve">SELECT </t>
    </r>
    <r>
      <rPr>
        <sz val="11"/>
        <color rgb="FF000000"/>
        <rFont val="Calibri"/>
        <scheme val="minor"/>
      </rPr>
      <t xml:space="preserve">IF( TRIM( BG_CONTR_BATCH.FECAPER ) = '', NULL, CAST( BG_CONTR_BATCH.FECAPER AS STRING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SELECT</t>
    </r>
    <r>
      <rPr>
        <sz val="11"/>
        <color rgb="FF000000"/>
        <rFont val="Calibri"/>
        <scheme val="minor"/>
      </rPr>
      <t xml:space="preserve"> IF( TRIM( INTERFACE_DCT01.DCYR8101_DABERTUR ) = '', NULL, CAST( INTERFACE_DCT01.DCYR8101_DABERTUR AS STRING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TCT09_OPERCN.DCONTRAT) = '', NULL, CAST( TCT09_OPERCN.DCONTRAT AS STRING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</si>
  <si>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BG_CONTR_BATCH
DCYR8101
TCT09_OPERCN</t>
  </si>
  <si>
    <t>FECAPER
DABERTUR
DCONTRAT</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</si>
  <si>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</si>
  <si>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</si>
  <si>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</si>
  <si>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</si>
  <si>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Contract basics low update</t>
  </si>
  <si>
    <t>CURATED_INTERNAL_MAINFRAME_AVALES
CURATED_INTERNAL_MAINFRAME_CONTAS
CURATED_INTERNAL_MAINFRAME_CONTENCIOSO
CURATED_INTERNAL_MAINFRAME_AVALES
COMMON_REFERENCEDATA_CORE</t>
  </si>
  <si>
    <t>BG_CONTRATO_ONL
INTERFACE_DCT01
TCT09_OPERCN
BG_CONTR_BATCH
PARAM_LITIGATION_PRODUCT</t>
  </si>
  <si>
    <t>FECVENCIG, FECVENCI
DCYR8100_DTVENCIM
DVENCIM
N\A
N\A</t>
  </si>
  <si>
    <r>
      <rPr>
        <b/>
        <sz val="11"/>
        <color rgb="FF000000"/>
        <rFont val="Calibri"/>
        <scheme val="minor"/>
      </rPr>
      <t xml:space="preserve">SELECT  </t>
    </r>
    <r>
      <rPr>
        <sz val="11"/>
        <color rgb="FF000000"/>
        <rFont val="Calibri"/>
        <scheme val="minor"/>
      </rPr>
      <t xml:space="preserve">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IF( TRIM( INTERFACE_DCT01.DCYR8100_DTVENCIM ) = '', NULL, INTERFACE_DCT01.DCYR8100_DTVENCIM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TCT09_OPERCN.DVENCIM ) = '', NULL, CAST(TCT09_OPERCN.DVENCIM AS STRING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</si>
  <si>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BG_CONTRATO_ONL || BG_CONTRATO_ONL
DCYR8101
TCT09_OPERCN</t>
  </si>
  <si>
    <t>FECVENCIG || FECVENCI
DTVENCIM
DVENCIM</t>
  </si>
  <si>
    <t>N\A || N\A
N\A
N\A</t>
  </si>
  <si>
    <t>Currency Code</t>
  </si>
  <si>
    <t>currency_code</t>
  </si>
  <si>
    <t>Ext Inf - Con Fin Inf - Code</t>
  </si>
  <si>
    <t>Identifier of the contract's currency.</t>
  </si>
  <si>
    <t>Código da moeda utilizada pelo contrato.</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</si>
  <si>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</si>
  <si>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</si>
  <si>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</si>
  <si>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CURATED_INTERNAL_MAINFRAME_ESTRUTURAIS
CURATED_INTERNAL_MAINFRAME_CONTAS
CURATED_INTERNAL_MAINFRAME_CONTENCIOSO
CURATED_INTERNAL_MAINFRAME_AVALES
CURATED_INTERNAL_MAINFRAME_ESTRUTURAIS
COMMON_REFERENCEDATA_CORE</t>
  </si>
  <si>
    <t>TAT21_MOEDA
INTERFACE_DCT01
TCT09_OPERCN
BG_CONTR_BATCH
TAT91_TABELAS
PARAM_LITIGATION_PRODUCT</t>
  </si>
  <si>
    <t>CMOEDA
DCYR8101_CMOEDA
CMOEDALF
N\A
TAYD91C0_CELEMTAB
N\A</t>
  </si>
  <si>
    <r>
      <rPr>
        <b/>
        <sz val="11"/>
        <color rgb="FF000000"/>
        <rFont val="Calibri"/>
        <scheme val="minor"/>
      </rPr>
      <t>SELECT</t>
    </r>
    <r>
      <rPr>
        <sz val="11"/>
        <color rgb="FF000000"/>
        <rFont val="Calibri"/>
        <scheme val="minor"/>
      </rPr>
      <t xml:space="preserve"> IF( TRIM( TAT21_MOEDA.CMOEDA ) = '', NULL, TAT21_MOEDA.CMOEDA )
</t>
    </r>
    <r>
      <rPr>
        <b/>
        <sz val="11"/>
        <color rgb="FF000000"/>
        <rFont val="Calibri"/>
        <scheme val="minor"/>
      </rPr>
      <t xml:space="preserve">WHERE </t>
    </r>
    <r>
      <rPr>
        <sz val="11"/>
        <color rgb="FF000000"/>
        <rFont val="Calibri"/>
        <scheme val="minor"/>
      </rPr>
      <t xml:space="preserve">BG_CONTR_BATCH.CODSPROD != '550' AND BG_CONTR_BATCH. CODMONJE = TAT21_MOEDA.CODMON
</t>
    </r>
    <r>
      <rPr>
        <b/>
        <sz val="11"/>
        <color rgb="FF000000"/>
        <rFont val="Calibri"/>
        <scheme val="minor"/>
      </rPr>
      <t xml:space="preserve">SELECT </t>
    </r>
    <r>
      <rPr>
        <sz val="11"/>
        <color rgb="FF000000"/>
        <rFont val="Calibri"/>
        <scheme val="minor"/>
      </rPr>
      <t xml:space="preserve">IF( TRIM( INTERFACE_DCT01.DCYR8101_CMOEDA ) = '', NULL, INTERFACE_DCT01.DCYR8101_CMOEDA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TAT91_TABELAS.TAYD91C0_CELEMTAB ) = '', NULL, TAT91_TABELAS.TAYD91C0_CELEMTAB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</si>
  <si>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 - Garantias Prestadas -&gt; TA - Tabelas Gerais
DC - Contas a Vista
TC - Terminal Contencioso -&gt; TA - Tabelas Gerais</t>
  </si>
  <si>
    <t>BG_CONTR_BATCH -&gt; TAT21_MOEDA
DCYR8101
TCT09_OPERCN -&gt;  TAT91_TABELAS</t>
  </si>
  <si>
    <t>CODMONJE -&gt; CMOEDA
CMOEDA
CMOEDALF -&gt; CELEMTAB</t>
  </si>
  <si>
    <t>N\A -&gt; N\A
N\A
N\A -&gt; N\A</t>
  </si>
  <si>
    <t>Litigation Indicator</t>
  </si>
  <si>
    <t>litigation_indicator</t>
  </si>
  <si>
    <t>Ext Inf - Con Fin Inf - Ind</t>
  </si>
  <si>
    <t>Indicates if the contract in currently with a debt in litigation.</t>
  </si>
  <si>
    <t>Indica se o contrato está num processo de contencioso ativo.</t>
  </si>
  <si>
    <t>BG_CONTR_BATCH
INTERFACE_DCT01
TCT09_OPERCN
PARAM_LITIGATION_PRODUCT
PARAM_GENERAL_CODE_CONVERTER</t>
  </si>
  <si>
    <t>N\A
N\A
N\A
N\A
N\A</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</si>
  <si>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BG_CONTR_BATCH.CODSPROD != '550'
    AND PARAM_GENERAL_CODE_CONVERTER.TARGET_FIELD = 'litigation_indicator' AND PARAM_GENERAL_CODE_CONVERTER.SOURCE_CODE = 'BG' AND PARAM_GENERAL_CODE_CONVERTER.SOURCE_VALUE = '' AND  PARAM_GENERAL_CODE_CONVERTER.OPTION_NUMBER  = '1'
    AND PARAM_LITIGATION_PRODUCT.SOURCE_PRODUCT_ID = '029' AND PARAM_LITIGATION_PRODUCT.SOURCE_SUBPRODUCT_ID = '213'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 xml:space="preserve">PARAM_GENERAL_CODE_CONVERTER.TARGET_FIELD = 'litigation_indicator'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</si>
  <si>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"0"
"0"
"1"</t>
  </si>
  <si>
    <t>Initial Authorized Amount</t>
  </si>
  <si>
    <t>initial_authorized_amount</t>
  </si>
  <si>
    <t>Ext Inf - Con Fin Inf - Value</t>
  </si>
  <si>
    <t>DECIMAL</t>
  </si>
  <si>
    <t>Initial amount that can be used as credit. In this case, it represents the total amount of the bank guarantee that can be used.</t>
  </si>
  <si>
    <t>Valor inicalmente autorizado no contrato, isto é, valor máximo que podia ser financiado no âmbito do contrato.</t>
  </si>
  <si>
    <t>Limit / Amount Granted</t>
  </si>
  <si>
    <t>BG_OPERACION
INTERFACE_DCT01
TCT09_OPERCN
BG_CONTR_BATCH
PARAM_LITIGATION_PRODUCT</t>
  </si>
  <si>
    <t>BGOP_IMPOMVTO
N\A
N\A
N\A
N\A</t>
  </si>
  <si>
    <r>
      <rPr>
        <b/>
        <sz val="11"/>
        <color rgb="FF000000"/>
        <rFont val="Calibri"/>
        <scheme val="minor"/>
      </rPr>
      <t xml:space="preserve">SELECT </t>
    </r>
    <r>
      <rPr>
        <sz val="11"/>
        <color rgb="FF000000"/>
        <rFont val="Calibri"/>
        <scheme val="minor"/>
      </rPr>
      <t xml:space="preserve">CAST( BG_OPERACION.BGOP_IMPOMVTO AS DECIMAL( 23, 6 ) )
</t>
    </r>
    <r>
      <rPr>
        <b/>
        <sz val="11"/>
        <color rgb="FF000000"/>
        <rFont val="Calibri"/>
        <scheme val="minor"/>
      </rPr>
      <t xml:space="preserve">WHERE </t>
    </r>
    <r>
      <rPr>
        <sz val="11"/>
        <color rgb="FF000000"/>
        <rFont val="Calibri"/>
        <scheme val="minor"/>
      </rPr>
      <t xml:space="preserve">BG_CONTR_BATCH.CODSPROD != '550' AND BGOP_CODOPBS = '004' AND BGOP_CODOPBA = '015'
</t>
    </r>
    <r>
      <rPr>
        <b/>
        <sz val="11"/>
        <color rgb="FF000000"/>
        <rFont val="Calibri"/>
        <scheme val="minor"/>
      </rPr>
      <t xml:space="preserve">SELECT </t>
    </r>
    <r>
      <rPr>
        <sz val="11"/>
        <color rgb="FF000000"/>
        <rFont val="Calibri"/>
        <scheme val="minor"/>
      </rPr>
      <t xml:space="preserve">NULL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</si>
  <si>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BG_OPERACION
N\A
N\A</t>
  </si>
  <si>
    <t>IMPOMVTO
N\A
N\A</t>
  </si>
  <si>
    <t>N\A
"NULL"
"NULL"</t>
  </si>
  <si>
    <t>Current Authorized Amount</t>
  </si>
  <si>
    <t>current_authorized_amount</t>
  </si>
  <si>
    <t>Current amount that can be used as credit. In this case, it represents the total amount of the bank guarantee that can be used.</t>
  </si>
  <si>
    <t>Valor atualmente autorizado no contrato, isto é, valor máximo que pode ser financiado no âmbito do contrato.</t>
  </si>
  <si>
    <t>CURATED_INTERNAL_MAINFRAME_AVALES
CURATED_INTERNAL_MAINFRAME_AVALES
CURATED_INTERNAL_MAINFRAME_CONTAS
CURATED_INTERNAL_MAINFRAME_CONTENCIOSO
CURATED_INTERNAL_MAINFRAME_AVALES
COMMON_REFERENCEDATA_CORE</t>
  </si>
  <si>
    <t>BG_CTR_ONL_POSI
BG_OPERACION
INTERFACE_DCT01
TCT09_OPERCN
BG_CONTR_BATCH
PARAM_LITIGATION_PRODUCT</t>
  </si>
  <si>
    <t>IMPORCOA
BGOP_IMPOMVTO
N\A
N\A
N\A
N\A</t>
  </si>
  <si>
    <r>
      <rPr>
        <b/>
        <sz val="11"/>
        <color rgb="FF000000"/>
        <rFont val="Calibri"/>
        <scheme val="minor"/>
      </rPr>
      <t xml:space="preserve">SELECT </t>
    </r>
    <r>
      <rPr>
        <sz val="11"/>
        <color rgb="FF000000"/>
        <rFont val="Calibri"/>
        <scheme val="minor"/>
      </rPr>
      <t xml:space="preserve">IF( BG_CTR_ONL_POSI.NUMCTR IS NOT NULL, CAST( - ( BG_CTR_ONL_POSI.IMPORCOA) AS DECIMAL( 23, 6 ) ), CAST( BG_OPERACION.BGOP_IMPOMVTO AS DECIMAL( 23, 6 ) ) )
</t>
    </r>
    <r>
      <rPr>
        <b/>
        <sz val="11"/>
        <color rgb="FF000000"/>
        <rFont val="Calibri"/>
        <scheme val="minor"/>
      </rPr>
      <t xml:space="preserve">WHERE </t>
    </r>
    <r>
      <rPr>
        <sz val="11"/>
        <color rgb="FF000000"/>
        <rFont val="Calibri"/>
        <scheme val="minor"/>
      </rPr>
      <t xml:space="preserve">BG_CONTR_BATCH.CODSPROD != '550' AND BG_CTR_ONL_POSI.TIPMVTO = 4
    AND PARAM_LITIGATION_PRODUCT.SOURCE_PRODUCT_ID = '029' AND PARAM_LITIGATION_PRODUCT.SOURCE_SUBPRODUCT_ID = '213' AND PARAM_LITIGATION_PRODUCT.SOURCE_CODE = 'BG'
</t>
    </r>
    <r>
      <rPr>
        <b/>
        <sz val="11"/>
        <color rgb="FF000000"/>
        <rFont val="Calibri"/>
        <scheme val="minor"/>
      </rPr>
      <t xml:space="preserve">SELECT </t>
    </r>
    <r>
      <rPr>
        <sz val="11"/>
        <color rgb="FF000000"/>
        <rFont val="Calibri"/>
        <scheme val="minor"/>
      </rPr>
      <t xml:space="preserve">NULL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</si>
  <si>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BG_OPERACION || BG_CTR_ONL_POSI
N\A
N\A</t>
  </si>
  <si>
    <t>IMPOMVTO || ( - ( IMPORCOA - DEBEDIA1 + HABERDIA1 - DEBEDIA2 + HABEDIA2 ) )
N\A
N\A</t>
  </si>
  <si>
    <t>N\A || N\A
"NULL"
"NULL"</t>
  </si>
  <si>
    <t>Current Overdue Principal Balance</t>
  </si>
  <si>
    <t>current_overdue_principal_bal</t>
  </si>
  <si>
    <t>Current principal amount which has been used but has reached its maturity date and is yet to be repaid.</t>
  </si>
  <si>
    <t>Saldo atual em incumprimento associado ao contrato.</t>
  </si>
  <si>
    <t>Balances</t>
  </si>
  <si>
    <t>Balance Value</t>
  </si>
  <si>
    <t>N\A
DCYR8101_MSALDO 
N\A
N\A</t>
  </si>
  <si>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CAST( - INTERFACE_DCT01.DCYR8101_MSALDO AS DECIMAL( 23, 6 )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</si>
  <si>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N\A
DCYR8101
N\A</t>
  </si>
  <si>
    <t>N\A
( - (MSALDO ) )
N\A</t>
  </si>
  <si>
    <t>"0.00"
N\A
"0.00"</t>
  </si>
  <si>
    <t>Current Debt Litigation Principal Balance</t>
  </si>
  <si>
    <t>cur_debt_litigation_princip_bal</t>
  </si>
  <si>
    <t>Current principal amount in debt that is involved in a legal proceeding in court between the bank and the client.</t>
  </si>
  <si>
    <t>Valor total de capital em dívida no âmbito do processo(s) de contencioso ativos associados ao contrato.</t>
  </si>
  <si>
    <t>CURATED_INTERNAL_MAINFRAME_AVALES
CURATED_INTERNAL_MAINFRAME_CONTAS
CURATED_INTERNAL_MAINFRAME_CONTENCIOSO
CURATED_INTERNAL_MAINFRAME_CONTENCIOSO
COMMON_REFERENCEDATA_CORE</t>
  </si>
  <si>
    <t>BG_CONTR_BATCH
INTERFACE_DCT01
TCT01_POSDIVID
TCT09_OPERCN
PARAM_LITIGATION_PRODUCT</t>
  </si>
  <si>
    <t>N\A
N\A
MCAPITALD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</si>
  <si>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SELECT</t>
    </r>
    <r>
      <rPr>
        <sz val="11"/>
        <color rgb="FF000000"/>
        <rFont val="Calibri"/>
        <scheme val="minor"/>
      </rPr>
      <t xml:space="preserve"> CAST( 0.00 AS DECIMAL( 23, 6 )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TCT01_POSDIVID.MCAPITALD AS DECIMAL( 23, 6 )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</si>
  <si>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N\A
N\A
TCT01_POSDIVID</t>
  </si>
  <si>
    <t>N\A
N\A
MCAPITALD</t>
  </si>
  <si>
    <t>"0.00"
"0.00"
N\A</t>
  </si>
  <si>
    <t>Contract Status Code</t>
  </si>
  <si>
    <t>contract_status_code</t>
  </si>
  <si>
    <t>Int Inf - Con Inf - Code</t>
  </si>
  <si>
    <t>Identifier of the contract status.</t>
  </si>
  <si>
    <t>Código do estado do contrato, por exemplo, aberto, suspenso, etc.</t>
  </si>
  <si>
    <t>Contract Status:
SIT_CONT_OPERAT -&gt; BG_TIP_SITU_CTR; ?
TAT91_TABELAS - CTABELA 205; CURATED_INTERNAL_MAINFRAME_ESTRUTURAIS.TAT91_TABELAS - TAYD91C0_CTABELA 205
TAT91_TABELAS - CTABELA W98; CURATED_INTERNAL_MAINFRAME_ESTRUTURAIS.TAT91_TABELAS - TAYD91C0_CTABELA W98</t>
  </si>
  <si>
    <t>Contract basics high update</t>
  </si>
  <si>
    <t>Contract Status</t>
  </si>
  <si>
    <t>CURATED_INTERNAL_MAINFRAME_AVALES
CURATED_INTERNAL_MAINFRAME_CONTAS
CURATED_INTERNAL_MAINFRAME_CONTENCIOSO
OPERATIONS_COMMON_REFERENCEDATA
COMMON_REFERENCEDATA_CORE</t>
  </si>
  <si>
    <r>
      <rPr>
        <b/>
        <sz val="11"/>
        <color rgb="FF000000"/>
        <rFont val="Calibri"/>
        <scheme val="minor"/>
      </rPr>
      <t>SELECT</t>
    </r>
    <r>
      <rPr>
        <sz val="11"/>
        <color rgb="FF000000"/>
        <rFont val="Calibri"/>
        <scheme val="minor"/>
      </rPr>
      <t xml:space="preserve"> IF( TRIM( BG_CONTR_BATCH.CDSITUAC ) = '', NULL, PARAM_GENERAL_CODE_CONVERTER.TARGET_VALUE)
</t>
    </r>
    <r>
      <rPr>
        <b/>
        <sz val="11"/>
        <color rgb="FF000000"/>
        <rFont val="Calibri"/>
        <scheme val="minor"/>
      </rPr>
      <t>WHERE</t>
    </r>
    <r>
      <rPr>
        <sz val="11"/>
        <color rgb="FF000000"/>
        <rFont val="Calibri"/>
        <scheme val="minor"/>
      </rPr>
      <t xml:space="preserve"> BG_CONTR_BATCH.CODSPROD != '550'
    AND PARAM_GENERAL_CODE_CONVERTER.TARGET_FIELD = 'contract_status_code' AND PARAM_GENERAL_CODE_CONVERTER.SOURCE_CODE = 'BG' AND PARAM_GENERAL_CODE_CONVERTER.SOURCE_VALUE = BG_CONTR_BATCH.CDSITUAC  AND PARAM_GENERAL_CODE_CONVERTER.OPTION_NUMBER = '1'
    AND PARAM_LITIGATION_PRODUCT.SOURCE_PRODUCT_ID = '029' AND PARAM_LITIGATION_PRODUCT.SOURCE_SUBPRODUCT_ID = '213' AND PARAM_LITIGATION_PRODUCT.SOURCE_CODE = 'BG'
</t>
    </r>
    <r>
      <rPr>
        <b/>
        <sz val="11"/>
        <color rgb="FF000000"/>
        <rFont val="Calibri"/>
        <scheme val="minor"/>
      </rPr>
      <t>SELECT</t>
    </r>
    <r>
      <rPr>
        <sz val="11"/>
        <color rgb="FF000000"/>
        <rFont val="Calibri"/>
        <scheme val="minor"/>
      </rPr>
      <t xml:space="preserve"> IF( TRIM( INTERFACE_DCT01.DCYR8101_CSITCTA) = '', NULL, PARAM_GENERAL_CODE_CONVERTER.TARGET_VALUE)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'DC' AND PARAM_GENERAL_CODE_CONVERTER.SOURCE_VALUE = INTERFACE_DCT01.DCYR8101_CSITCTA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IF( TRIM( TCT09_OPERCN.ISITUAC) = '', NULL,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'contract_status_code' AND PARAM_GENERAL_CODE_CONVERTER.SOURCE_CODE = 'TC' AND PARAM_GENERAL_CODE_CONVERTER.SOURCE_VALUE = TCT09_OPERCN.ISITUAC AND PARAM_GENERAL_CODE_CONVERTER.OPTION_NUMBER = '1'</t>
    </r>
  </si>
  <si>
    <t>CDSITUAC
CSITCTA
ISITUAC</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</si>
  <si>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</si>
  <si>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</si>
  <si>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</si>
  <si>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</si>
  <si>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N\A; N\A
N\A; N\A
N\A; N\A</t>
  </si>
  <si>
    <t>Opening Channel</t>
  </si>
  <si>
    <t>CURATED_INTERNAL_MAINFRAME_AVALES
CURATED_INTERNAL_MAINFRAME_CONTAS
CURATED_INTERNAL_MAINFRAME_CONTENCIOSO
CURATED_INTERNAL_MAINFRAME_ESTRUTURAIS
CURATED_INTERNAL_MAINFRAME_ESTRUTURAIS
COMMON_REFERENCEDATA_CORE
COMMON_REFERENCEDATA_CORE</t>
  </si>
  <si>
    <t>BG_CONTR_BATCH
INTERFACE_DCT01
TCT09_OPERCN
TAT41_CANAL
TAT91_TABELAS
PARAM_GENERAL_CODE_CONVERTER
PARAM_LITIGATION_PRODUCT</t>
  </si>
  <si>
    <t>N\A
N\A
N\A
N\A
N\A
TARGET_VALUE
N\A</t>
  </si>
  <si>
    <r>
      <rPr>
        <b/>
        <sz val="11"/>
        <color rgb="FF000000"/>
        <rFont val="Calibri"/>
        <scheme val="minor"/>
      </rPr>
      <t>SELECT</t>
    </r>
    <r>
      <rPr>
        <sz val="11"/>
        <color rgb="FF000000"/>
        <rFont val="Calibri"/>
        <scheme val="minor"/>
      </rPr>
      <t xml:space="preserve"> IF( TRIM( SUBSTRING( TAT91_TABELAS.TAYD91C0_NELEMC13, 3, 3 ) ) = '', NULL, PARAM_GENERAL_CODE_CONVERTER.TARGET_VALUE) )
</t>
    </r>
    <r>
      <rPr>
        <b/>
        <sz val="11"/>
        <color rgb="FF000000"/>
        <rFont val="Calibri"/>
        <scheme val="minor"/>
      </rPr>
      <t xml:space="preserve">WHERE </t>
    </r>
    <r>
      <rPr>
        <sz val="11"/>
        <color rgb="FF000000"/>
        <rFont val="Calibri"/>
        <scheme val="minor"/>
      </rPr>
      <t xml:space="preserve">BG_CONTR_BATCH.CODSPROD != '550'
    AND BG_CONTR_BATCH.CANALOPE = TAT41_CANAL.CDCANAL
    AND PARAM_GENERAL_CODE_CONVERTER.TARGET_FIELD = 'contract_openning_channel_code' AND PARAM_GENERAL_CODE_CONVERTER.SOURCE_CODE = 'BG' AND GENERAL_CONVERTER.SOURCE_VALUE = SUBSTRING( TAT91_TABELAS.TAYD91C0_NELEMC13, 3, 3 )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'7', '8' ) AND INTERFACE_DCT01.DCYR8101_DINICONT = '0001-01-01'
    AND PARAM_LITIGATION_PRODUCT.SOURCE_PRODUCT_ID = '029' AND PARAM_LITIGATION_PRODUCT.SOURCE_SUBPRODUCT_ID = '213' AND PARAM_LITIGATION_PRODUCT.SOURCE_CODE = 'BG'
    AND PARAM_GENERAL_CODE_CONVERTER.TARGET_FIELD = 'contract_opening_channel_code'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'contract_openning_channel_code' AND PARAM_GENERAL_CODE_CONVERTER.SOURCE_CODE = 'TC' AND PARAM_GENERAL_CODE_CONVERTER.SOURCE_VALUE = '' AND PARAM_GENERAL_CODE_CONVERTER.OPTION_NUMBER = '1'</t>
    </r>
  </si>
  <si>
    <t>BG_CONTR_BATCH -&gt; TAT41_CANAL -&gt; TAT91_TABELAS
N\A
N\A</t>
  </si>
  <si>
    <t>CANALOPE -&gt; CKBALCAO -&gt; NELEMC13
N\A
N\A</t>
  </si>
  <si>
    <t>N\A -&gt; N\A
"Branch"
"Branch"</t>
  </si>
  <si>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</si>
  <si>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</si>
  <si>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</si>
  <si>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</si>
  <si>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</si>
  <si>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 N\A
N\A; N\A
N\A; N\A</t>
  </si>
  <si>
    <t>N\A
N\A
N\A
N\A</t>
  </si>
  <si>
    <r>
      <rPr>
        <b/>
        <sz val="11"/>
        <color rgb="FF000000"/>
        <rFont val="Calibri"/>
        <scheme val="minor"/>
      </rPr>
      <t xml:space="preserve">SELECT </t>
    </r>
    <r>
      <rPr>
        <sz val="11"/>
        <color rgb="FF000000"/>
        <rFont val="Calibri"/>
        <scheme val="minor"/>
      </rPr>
      <t xml:space="preserve">'BG'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'DC'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</si>
  <si>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"BG"
"DC"
"TC"</t>
  </si>
  <si>
    <t>Data Date Part</t>
  </si>
  <si>
    <t>data_date_part</t>
  </si>
  <si>
    <t>Key - Date</t>
  </si>
  <si>
    <t>Information reference date.</t>
  </si>
  <si>
    <t>Data de referência dos dados.</t>
  </si>
  <si>
    <t>DATA_DATE_PART
DATA_DATE_PART
DATA_DATE_PART
N\A</t>
  </si>
  <si>
    <r>
      <rPr>
        <b/>
        <sz val="11"/>
        <color rgb="FF000000"/>
        <rFont val="Calibri"/>
        <scheme val="minor"/>
      </rPr>
      <t xml:space="preserve">SELECT </t>
    </r>
    <r>
      <rPr>
        <sz val="11"/>
        <color rgb="FF000000"/>
        <rFont val="Calibri"/>
        <scheme val="minor"/>
      </rPr>
      <t xml:space="preserve">BG_CONTR_BATCH.DATA_DATE_PART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TCT09_OPERCN.DATA_DATE_PART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</si>
  <si>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Data Timestamp Part</t>
  </si>
  <si>
    <t>data_timestamp_part</t>
  </si>
  <si>
    <t>Tec - Date</t>
  </si>
  <si>
    <t>TIMESTAMP</t>
  </si>
  <si>
    <t>Record's load timestamp in common layer.</t>
  </si>
  <si>
    <t>Timestamp da data de execução</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</si>
  <si>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</si>
  <si>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operations_common_referencedata_core</t>
  </si>
  <si>
    <t>Bank Guarantee Universe</t>
  </si>
  <si>
    <t>CURATED_INTERNAL_MAINFRAME_AVALES
CURATED_INTERNAL_MAINFRAME_CONTAS
CURATED_INTERNAL_MAINFRAME_CONTENCIOSO
OPERATIONS_COMMON_REFERENCEDATA_CORE</t>
  </si>
  <si>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</si>
  <si>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 xml:space="preserve">"31"
"31"
"31"
</t>
  </si>
  <si>
    <t>CURATED_INTERNAL_MAINFRAME_AVALES
CURATED_INTERNAL_MAINFRAME_ESTRUTURAIS
CURATED_INTERNAL_MAINFRAME_CONTAS
CURATED_INTERNAL_MAINFRAME_CONTENCIOSO
OPERATIONS_COMMON_REFERENCEDATA_CORE</t>
  </si>
  <si>
    <t>BG_CONTR_BATCH
COINT_CTOLOC_P
INTERFACE_DCT01
TCT09_OPERCN
PARAM_LITIGATION_PRODUCT</t>
  </si>
  <si>
    <t>N\A
E2616_IDCENT_L, E2616_IDCONT_L 
DCYR_8191_CKBALCAO, DCRY8101_CKNUMCTA
CKBALCAO, CKNUMCTA
N\A</t>
  </si>
  <si>
    <r>
      <rPr>
        <b/>
        <sz val="11"/>
        <color rgb="FF000000"/>
        <rFont val="Calibri"/>
        <scheme val="minor"/>
      </rPr>
      <t>SELECT</t>
    </r>
    <r>
      <rPr>
        <sz val="11"/>
        <color rgb="FF000000"/>
        <rFont val="Calibri"/>
        <scheme val="minor"/>
      </rPr>
      <t xml:space="preserve"> CONCAT( '000000000000000', COINT_CTOLOC_P.E2616_IDCENT_L, SUBSTRING( COINT_CTOLOC_P.E2616_IDCONT_L , 2, 10 ), '0'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CONCAT( INTERFACE_DCT01.DCYR_8191_CKBALCAO, INTERFACE_DCT01.DCRY8101_CKNUMCTA, '000000000000000' )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</si>
  <si>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COINT_CTOLOC_P
DCYR8101</t>
  </si>
  <si>
    <t>CONCAT( "000000000000000", E2616_IDCENT_L, E2616_IDCONT_L( 2, 10 ), '0' ) 
CONCAT( CKBALCAO, CKNUMCTA, "000000000000000" )</t>
  </si>
  <si>
    <t>N\A
N\A</t>
  </si>
  <si>
    <t>Contract Alive Indicator</t>
  </si>
  <si>
    <t>contract_alive_indicator</t>
  </si>
  <si>
    <t>Indicates if the contracts is "alive" or not according to accounting.</t>
  </si>
  <si>
    <t>Indica se o contrato é considerado "vivo" de acordo com a contabilidade do banco.</t>
  </si>
  <si>
    <r>
      <rPr>
        <b/>
        <sz val="11"/>
        <color rgb="FF000000"/>
        <rFont val="Calibri"/>
        <scheme val="minor"/>
      </rPr>
      <t>SELECT</t>
    </r>
    <r>
      <rPr>
        <sz val="11"/>
        <color rgb="FF000000"/>
        <rFont val="Calibri"/>
        <scheme val="minor"/>
      </rPr>
      <t xml:space="preserve"> 'BG'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</si>
  <si>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"BG"
"DC"</t>
  </si>
  <si>
    <r>
      <rPr>
        <b/>
        <sz val="11"/>
        <color rgb="FF000000"/>
        <rFont val="Calibri"/>
        <scheme val="minor"/>
      </rPr>
      <t>SELECT</t>
    </r>
    <r>
      <rPr>
        <sz val="11"/>
        <color rgb="FF000000"/>
        <rFont val="Calibri"/>
        <scheme val="minor"/>
      </rPr>
      <t xml:space="preserve"> IF( BG_CONTR_BATCH.CDSITUAC = 'NR', 1, 0 )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IF( INTERFACE_DCT01.DCYR8101_CSITCTA IN ( '0', '1', '2', '3', '5', '6', '7', '8', '9' ) AND INTERFACE_DCT01.DCYR8101_DINICONT = '0001-01-01', 1, 0 )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CASE
    WHEN INTERFACE_DCT01.ISITUAC = '1' AND TCT09_OPERCN.DATA_DATE_PART &gt;= TCT09_OPERCN.DENTREADA THEN 1
    ELSE 0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</si>
  <si>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BG_CONTR_BATCH
DCYR8101</t>
  </si>
  <si>
    <t>CDSITUAC 
CSITCTA</t>
  </si>
  <si>
    <t>Data de referência dos dados</t>
  </si>
  <si>
    <r>
      <rPr>
        <b/>
        <sz val="11"/>
        <color rgb="FF000000"/>
        <rFont val="Calibri"/>
        <scheme val="minor"/>
      </rPr>
      <t>SELECT</t>
    </r>
    <r>
      <rPr>
        <sz val="11"/>
        <color rgb="FF000000"/>
        <rFont val="Calibri"/>
        <scheme val="minor"/>
      </rPr>
      <t xml:space="preserve"> BG_CONTR_BATCH.DATA_DATE_PART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</si>
  <si>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'FC' AND PARAM_LITIGATION_PRODUCT.PRODUCT_ID = TCT09_OPERCN.CKPRODUT AND PARAM_LITIGATION_PRODUCT.SUBPRODUCT_ID = TCT09_OPERCN.CKSUBPRO
AND MAX(contract_alive_indicator) GROUP BY (TCT09_OPERCN.CKBALCAO, TCT09_OPERCN.CKNUMCTA)</t>
    </r>
  </si>
  <si>
    <t>Bank Vault</t>
  </si>
  <si>
    <t>Contract Static
Contract Static
Contract basics low update
Contract basics medium update
Contract basics high update 
Contract interest</t>
  </si>
  <si>
    <t>Contract ID
Contract Number
Contract ID 
Contract ID 
Contract ID 
Contract ID</t>
  </si>
  <si>
    <t>CURATED_INTERNAL_COFRESALUGUER
COMMON_REFERENCEDATA_CORE</t>
  </si>
  <si>
    <t>CONTRACTS
PARAM_GENERAL_CODE_CONVERTER</t>
  </si>
  <si>
    <t>N\A
TARGET_VALUE</t>
  </si>
  <si>
    <t>SELECT PARAM_GENERAL_CODE_CONVERTER.TARGET_VALUE
WHERE CONTRACTS.STATUSID IN ( 5, 6 )
    AND PARAM_GENERAL_CODE_CONVERTER.TARGET_FIELD = 'bank_id' AND PARAM_GENERAL_CODE_CONVERTER.SOURCE_CODE = 'LC' AND PARAM_GENERAL_CODE_CONVERTER.SOURCE_VALUE = '' AND PARAM_GENERAL_CODE_CONVERTER.OPTION_NUMBER = '1'</t>
  </si>
  <si>
    <t>LC - Cofres Aluguer</t>
  </si>
  <si>
    <t>N\A</t>
  </si>
  <si>
    <t>"31"</t>
  </si>
  <si>
    <t>CURATED_INTERNAL_COFRESALUGUER</t>
  </si>
  <si>
    <t>CONTRACTS</t>
  </si>
  <si>
    <t>CONTRACTNUMBER</t>
  </si>
  <si>
    <r>
      <rPr>
        <b/>
        <sz val="11"/>
        <color rgb="FF000000"/>
        <rFont val="Calibri"/>
        <scheme val="minor"/>
      </rPr>
      <t xml:space="preserve">SELECT </t>
    </r>
    <r>
      <rPr>
        <sz val="11"/>
        <color rgb="FF000000"/>
        <rFont val="Calibri"/>
        <scheme val="minor"/>
      </rPr>
      <t xml:space="preserve">CONCAT( '0000', SUBSTRING( CONTRACTS.CONTRACTNUMBER, 5, 11 ), '000000000000000' )
</t>
    </r>
    <r>
      <rPr>
        <b/>
        <sz val="11"/>
        <color rgb="FF000000"/>
        <rFont val="Calibri"/>
        <scheme val="minor"/>
      </rPr>
      <t xml:space="preserve">WHERE </t>
    </r>
    <r>
      <rPr>
        <sz val="11"/>
        <color rgb="FF000000"/>
        <rFont val="Calibri"/>
        <scheme val="minor"/>
      </rPr>
      <t>CONTRACTS.STATUSID IN ( 5, 6 )</t>
    </r>
  </si>
  <si>
    <t>OSUSR_RA0_CONTRACT4</t>
  </si>
  <si>
    <t>CONCAT( "0000", CONTRACTNUMBER( 5, 11 ) , "000000000000000" )</t>
  </si>
  <si>
    <t>Bank Vault ID</t>
  </si>
  <si>
    <t>bank_vault_id</t>
  </si>
  <si>
    <t>Unique identifier of the bank vault.</t>
  </si>
  <si>
    <t>Identificador único do cofre de aluguer.</t>
  </si>
  <si>
    <t>VAULTS</t>
  </si>
  <si>
    <t>VAULTNUMBER</t>
  </si>
  <si>
    <r>
      <rPr>
        <b/>
        <sz val="11"/>
        <color rgb="FF000000"/>
        <rFont val="Calibri"/>
        <scheme val="minor"/>
      </rPr>
      <t xml:space="preserve">SELECT </t>
    </r>
    <r>
      <rPr>
        <sz val="11"/>
        <color rgb="FF000000"/>
        <rFont val="Calibri"/>
        <scheme val="minor"/>
      </rPr>
      <t xml:space="preserve">IF( TRIM( CONTRACTS.VAULTNUMBER ) = '', NULL, CONTRACTS.VAULTNUMBER )
</t>
    </r>
    <r>
      <rPr>
        <b/>
        <sz val="11"/>
        <color rgb="FF000000"/>
        <rFont val="Calibri"/>
        <scheme val="minor"/>
      </rPr>
      <t xml:space="preserve">WHERE </t>
    </r>
    <r>
      <rPr>
        <sz val="11"/>
        <color rgb="FF000000"/>
        <rFont val="Calibri"/>
        <scheme val="minor"/>
      </rPr>
      <t>CONTRACTS.STATUSID IN ( 5, 6 )</t>
    </r>
  </si>
  <si>
    <t>OSUSR_RA0_VAULTS</t>
  </si>
  <si>
    <t>Product Type:
N\A;  N\A</t>
  </si>
  <si>
    <t>SELECT PARAM_GENERAL_CODE_CONVERTER.TARGET_VALUE
WHERE CONTRACTS.STATUSID IN ( 5, 6 ) 
    AND PARAM_GENERAL_CODE_CONVERTER.TARGET_FIELD = 'product_family_id' AND PARAM_GENERAL_CODE_CONVERTER.SOURCE_CODE = 'LC' AND PARAM_GENERAL_CODE_CONVERTER.SOURCE_VALUE = '' AND PARAM_GENERAL_CODE_CONVERTER.OPTION_NUMBER = '1'</t>
  </si>
  <si>
    <t>Product Lvl 1:
TAT91_TABELAS - CTABELA 925; CURATED_INTERNAL_MAINFRAME_ESTRUTURAIS.TAT91_TABELAS - TAYD91C0_CTABELA 925</t>
  </si>
  <si>
    <t>PRODUCT</t>
  </si>
  <si>
    <r>
      <rPr>
        <b/>
        <sz val="11"/>
        <color rgb="FF000000"/>
        <rFont val="Calibri"/>
        <scheme val="minor"/>
      </rPr>
      <t xml:space="preserve">SELECT </t>
    </r>
    <r>
      <rPr>
        <sz val="11"/>
        <color rgb="FF000000"/>
        <rFont val="Calibri"/>
        <scheme val="minor"/>
      </rPr>
      <t xml:space="preserve">IF( TRIM( CONTRACTS.PRODUCT  ) = '', '000', CONTRACTS.PRODUCT )
</t>
    </r>
    <r>
      <rPr>
        <b/>
        <sz val="11"/>
        <color rgb="FF000000"/>
        <rFont val="Calibri"/>
        <scheme val="minor"/>
      </rPr>
      <t xml:space="preserve">WHERE </t>
    </r>
    <r>
      <rPr>
        <sz val="11"/>
        <color rgb="FF000000"/>
        <rFont val="Calibri"/>
        <scheme val="minor"/>
      </rPr>
      <t>CONTRACTS.STATUSID IN ( 5, 6 )</t>
    </r>
  </si>
  <si>
    <t>Product Lvl 2:
TAT91_TABELAS - CTABELA 925; CURATED_INTERNAL_MAINFRAME_ESTRUTURAIS.TAT91_TABELAS - TAYD91C0_CTABELA 925</t>
  </si>
  <si>
    <t>SUBPRODUCT</t>
  </si>
  <si>
    <r>
      <rPr>
        <b/>
        <sz val="11"/>
        <color rgb="FF000000"/>
        <rFont val="Calibri"/>
        <scheme val="minor"/>
      </rPr>
      <t xml:space="preserve">SELECT </t>
    </r>
    <r>
      <rPr>
        <sz val="11"/>
        <color rgb="FF000000"/>
        <rFont val="Calibri"/>
        <scheme val="minor"/>
      </rPr>
      <t xml:space="preserve">IF( TRIM( CONTRACTS.SUBPRODUCT ) = '', '020' , CONTRACTS.SUBPRODUCT )
</t>
    </r>
    <r>
      <rPr>
        <b/>
        <sz val="11"/>
        <color rgb="FF000000"/>
        <rFont val="Calibri"/>
        <scheme val="minor"/>
      </rPr>
      <t xml:space="preserve">WHERE </t>
    </r>
    <r>
      <rPr>
        <sz val="11"/>
        <color rgb="FF000000"/>
        <rFont val="Calibri"/>
        <scheme val="minor"/>
      </rPr>
      <t>CONTRACTS.STATUSID IN ( 5, 6 )</t>
    </r>
  </si>
  <si>
    <t>Bank Vault Branch Code</t>
  </si>
  <si>
    <t>bank_vault_branch_code</t>
  </si>
  <si>
    <t>Identifier of the branch in which the physical vault is located in.</t>
  </si>
  <si>
    <t>Identifica o balcão onde o cofre físico está localizado.</t>
  </si>
  <si>
    <t>Bank Vault Branch:
TAT91_TABELAS - CTABELA 091; CURATED_INTERNAL_MAINFRAME_ESTRUTURAIS.TAT91_TABELAS - TAYD91C0_CTABELA 091</t>
  </si>
  <si>
    <t>Safe Deposit Boxes Access</t>
  </si>
  <si>
    <t>Branch ID</t>
  </si>
  <si>
    <t>CURATED_INTERNAL_COFRESALUGUER
CURATED_INTERNAL_COFRESALUGUER</t>
  </si>
  <si>
    <t>CONTRACTS
VAULTS</t>
  </si>
  <si>
    <t>N\A
CENTROID</t>
  </si>
  <si>
    <r>
      <rPr>
        <b/>
        <sz val="11"/>
        <color rgb="FF000000"/>
        <rFont val="Calibri"/>
        <scheme val="minor"/>
      </rPr>
      <t xml:space="preserve">SELECT </t>
    </r>
    <r>
      <rPr>
        <sz val="11"/>
        <color rgb="FF000000"/>
        <rFont val="Calibri"/>
        <scheme val="minor"/>
      </rPr>
      <t xml:space="preserve">IF( TRIM( VAULTS.CENTROID ) = '', NULL, LPAD( CAST( VAULTS.CENTROID AS STRING ), 4, '0' ) )
</t>
    </r>
    <r>
      <rPr>
        <b/>
        <sz val="11"/>
        <color rgb="FF000000"/>
        <rFont val="Calibri"/>
        <scheme val="minor"/>
      </rPr>
      <t xml:space="preserve">WHERE </t>
    </r>
    <r>
      <rPr>
        <sz val="11"/>
        <color rgb="FF000000"/>
        <rFont val="Calibri"/>
        <scheme val="minor"/>
      </rPr>
      <t>CONTRACTS.STATUSID IN ( 5, 6 )</t>
    </r>
  </si>
  <si>
    <t>CENTROID</t>
  </si>
  <si>
    <t>Bank identifier (internal Santander’s company identification code) that is related to the current account contract that anchors the bank vault contract.</t>
  </si>
  <si>
    <t>Account ID</t>
  </si>
  <si>
    <t>SELECT PARAM_GENERAL_CODE_CONVERTER.TARGET_VALUE
WHERE CONTRACTS.STATUSID IN ( 5, 6 )
    AND PARAM_GENERAL_CODE_CONVERTER.TARGET_FIELD = 'bank_id' AND PARAM_GENERAL_CODE_CONVERTER.SOURCE_CODE = 'DC' AND PARAM_GENERAL_CODE_CONVERTER.SOURCE_VALUE = '' AND PARAM_GENERAL_CODE_CONVERTER.OPTION_NUMBER = '1'</t>
  </si>
  <si>
    <t>Contract identifier of the current account that anchors the bank vault.</t>
  </si>
  <si>
    <t>DOACCOUNT</t>
  </si>
  <si>
    <r>
      <rPr>
        <b/>
        <sz val="11"/>
        <color rgb="FF000000"/>
        <rFont val="Calibri"/>
        <scheme val="minor"/>
      </rPr>
      <t xml:space="preserve">SELECT </t>
    </r>
    <r>
      <rPr>
        <sz val="11"/>
        <color rgb="FF000000"/>
        <rFont val="Calibri"/>
        <scheme val="minor"/>
      </rPr>
      <t xml:space="preserve">IF( TRIM( CONTRACTS.DOACCOUNT ) = '', NULL, CONCAT( CONTRACTS.DOACCOUNT, '000000000000000' ) )
</t>
    </r>
    <r>
      <rPr>
        <b/>
        <sz val="11"/>
        <color rgb="FF000000"/>
        <rFont val="Calibri"/>
        <scheme val="minor"/>
      </rPr>
      <t xml:space="preserve">WHERE </t>
    </r>
    <r>
      <rPr>
        <sz val="11"/>
        <color rgb="FF000000"/>
        <rFont val="Calibri"/>
        <scheme val="minor"/>
      </rPr>
      <t>CONTRACTS.STATUSID IN ( 5, 6 )</t>
    </r>
  </si>
  <si>
    <t>CONCAT( DOACCOUNT, '000000000000000' )</t>
  </si>
  <si>
    <t>INITIALDATE</t>
  </si>
  <si>
    <r>
      <rPr>
        <b/>
        <sz val="11"/>
        <color rgb="FF000000"/>
        <rFont val="Calibri"/>
        <scheme val="minor"/>
      </rPr>
      <t xml:space="preserve">SELECT </t>
    </r>
    <r>
      <rPr>
        <sz val="11"/>
        <color rgb="FF000000"/>
        <rFont val="Calibri"/>
        <scheme val="minor"/>
      </rPr>
      <t xml:space="preserve">IF( TRIM( CONTRACTS.INITIALDATE ) = '', NULL, CAST( SUSBTRING( CONTRACTS.INITIALDATE, 1, 10 ) AS STRING ) )
</t>
    </r>
    <r>
      <rPr>
        <b/>
        <sz val="11"/>
        <color rgb="FF000000"/>
        <rFont val="Calibri"/>
        <scheme val="minor"/>
      </rPr>
      <t>WHERE</t>
    </r>
    <r>
      <rPr>
        <sz val="11"/>
        <color rgb="FF000000"/>
        <rFont val="Calibri"/>
        <scheme val="minor"/>
      </rPr>
      <t xml:space="preserve"> CONTRACTS.STATUSID IN ( 5, 6 )</t>
    </r>
  </si>
  <si>
    <t>ENDDATE</t>
  </si>
  <si>
    <r>
      <rPr>
        <b/>
        <sz val="11"/>
        <color rgb="FF000000"/>
        <rFont val="Calibri"/>
        <scheme val="minor"/>
      </rPr>
      <t xml:space="preserve">SELECT </t>
    </r>
    <r>
      <rPr>
        <sz val="11"/>
        <color rgb="FF000000"/>
        <rFont val="Calibri"/>
        <scheme val="minor"/>
      </rPr>
      <t xml:space="preserve">IF( TRIM( CONTRACTS.ENDDATE ) = '', NULL, CAST( SUBSTRING( CONTRACTS.ENDDATE, 1, 10 ) AS STRING ) )
</t>
    </r>
    <r>
      <rPr>
        <b/>
        <sz val="11"/>
        <color rgb="FF000000"/>
        <rFont val="Calibri"/>
        <scheme val="minor"/>
      </rPr>
      <t xml:space="preserve">WHERE </t>
    </r>
    <r>
      <rPr>
        <sz val="11"/>
        <color rgb="FF000000"/>
        <rFont val="Calibri"/>
        <scheme val="minor"/>
      </rPr>
      <t>CONTRACTS.STATUSID IN ( 5, 6 )</t>
    </r>
  </si>
  <si>
    <t>Currency:
TAT91_TABELAS - CTABELA 206; CURATED_INTERNAL_MAINFRAME_ESTRUTURAIS.TAT91_TABELAS - TAYD91C0_CTABELA 206</t>
  </si>
  <si>
    <t>Currency</t>
  </si>
  <si>
    <t>CURATED_INTERNAL_COFRESALUGUER
CURATED_INTERNAL_MAINFRAME_CONTAS</t>
  </si>
  <si>
    <t>CONTRACTS
INTERFACE_DCT01</t>
  </si>
  <si>
    <t>N\A
DCYR8101_CMOEDA</t>
  </si>
  <si>
    <r>
      <rPr>
        <b/>
        <sz val="11"/>
        <color rgb="FF000000"/>
        <rFont val="Calibri"/>
        <scheme val="minor"/>
      </rPr>
      <t xml:space="preserve">SELECT </t>
    </r>
    <r>
      <rPr>
        <sz val="11"/>
        <color rgb="FF000000"/>
        <rFont val="Calibri"/>
        <scheme val="minor"/>
      </rPr>
      <t xml:space="preserve">IF( TRIM( DCYR8101_CMOEDA ) = '', NULL, INTERFACE_DCT01.DCYR8101_CMOEDA )
</t>
    </r>
    <r>
      <rPr>
        <b/>
        <sz val="11"/>
        <color rgb="FF000000"/>
        <rFont val="Calibri"/>
        <scheme val="minor"/>
      </rPr>
      <t xml:space="preserve">WHERE </t>
    </r>
    <r>
      <rPr>
        <sz val="11"/>
        <color rgb="FF000000"/>
        <rFont val="Calibri"/>
        <scheme val="minor"/>
      </rPr>
      <t>CONTRACTS.STATUSID IN ( 5, 6 )</t>
    </r>
  </si>
  <si>
    <t>DC - Contas a Vista</t>
  </si>
  <si>
    <t>INTERFACE_DCT01</t>
  </si>
  <si>
    <t>CMOEDA</t>
  </si>
  <si>
    <t>Last Regular Amortization Payment Date</t>
  </si>
  <si>
    <t>last_regular_amort_pay_date</t>
  </si>
  <si>
    <t>Ext Inf - Con Fin Inf - Date</t>
  </si>
  <si>
    <t>Date in which the last annual fee associated with the bank vault was payed. If the bank vault does not have a due fee, this field is not applicable.</t>
  </si>
  <si>
    <t>Data de pagamento última amortização regular.</t>
  </si>
  <si>
    <t>CONTRACTS
PAYMENTS</t>
  </si>
  <si>
    <t>N\A
EFFECTIVEPAYMENTDATE</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</si>
  <si>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</si>
  <si>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OSUSR_RA0_CONTRACT2</t>
  </si>
  <si>
    <t>EFFECTIVEPAYMENTDATE</t>
  </si>
  <si>
    <t>Last Regular Amortization Principal Amount</t>
  </si>
  <si>
    <t>last_regular_amort_princip_amt</t>
  </si>
  <si>
    <t>The principal amount that was paid in the last payment refering an annual fee of the bank vault. If the bank vault does not have a past fee, this field is not applicable.</t>
  </si>
  <si>
    <t>Valor de capital da última amortização regular.</t>
  </si>
  <si>
    <t>N\A
PAYMENTVALUE</t>
  </si>
  <si>
    <r>
      <rPr>
        <b/>
        <sz val="11"/>
        <color rgb="FF000000"/>
        <rFont val="Calibri"/>
        <scheme val="minor"/>
      </rPr>
      <t xml:space="preserve">SELECT </t>
    </r>
    <r>
      <rPr>
        <sz val="11"/>
        <color rgb="FF000000"/>
        <rFont val="Calibri"/>
        <scheme val="minor"/>
      </rPr>
      <t xml:space="preserve">CAST( PAYMENTS.PAYMENTVALUE AS DECIMAL( 23 , 6 )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</si>
  <si>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PAYMENTVALUE</t>
  </si>
  <si>
    <t>Security Deposit Payment Date</t>
  </si>
  <si>
    <t>security_deposit_payment_date</t>
  </si>
  <si>
    <t>The date in which the client payed the security deposit (a value that can be used by Santander if the client damages the bank vault) for the bank vault.</t>
  </si>
  <si>
    <t>Data de pagamento da caução referente à utilização do cofre.</t>
  </si>
  <si>
    <t>PAYMENTS</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</si>
  <si>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</si>
  <si>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Security Deposit Principal Amount</t>
  </si>
  <si>
    <t>security_deposit_principal_amt</t>
  </si>
  <si>
    <t>The principal amount payed by the cliente to ensure the security deposit of the bank vault.</t>
  </si>
  <si>
    <t>Valor de capital pago na caução referente à utilização do cofre.</t>
  </si>
  <si>
    <r>
      <rPr>
        <b/>
        <sz val="11"/>
        <color rgb="FF000000"/>
        <rFont val="Calibri"/>
        <scheme val="minor"/>
      </rPr>
      <t xml:space="preserve">SELECT </t>
    </r>
    <r>
      <rPr>
        <sz val="11"/>
        <color rgb="FF000000"/>
        <rFont val="Calibri"/>
        <scheme val="minor"/>
      </rPr>
      <t xml:space="preserve">CAST( PAYMENTS.PAYMENTVALUE AS DECIMAL(23, 6 )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</si>
  <si>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Contract Status:
OSUSR_AIQ_CONTRACT; CURATED_INTERNAL_COFRESALUGUER.CONTRACTSTATUS;</t>
  </si>
  <si>
    <t>SELECT CAST( CONTRACTS.STATUSID AS STRING) IF( TRIM( CONTRACTS.STATUSID ) = '', NULL, PARAM_GENERAL_CODE_CONVERTER.TARGET_VALUE )
WHERE CONTRACTS.STATUSID IN ( 5, 6 ) AND PARAM_GENERAL_CODE_CONVERTER.TARGET_FIELD = 'contract_status_code' AND PARAM_GENERAL_CODE_CONVERTER.SOURCE_CODE = 'LC' AND PARAM_GENERAL_CODE_CONVERTER.SOURCE_VALUE = CONTRACTS.STATUSID AND PARAM_GENERAL_CODE_CONVERTER.OPTION_NUMBER = '1'</t>
  </si>
  <si>
    <t>STATUSID</t>
  </si>
  <si>
    <t>Contract Opening Channel:
N\A; N\A</t>
  </si>
  <si>
    <t>SELECT PARAM_GENERAL_CODE_CONVERTER.TARGET_VALUE
WHERE CONTRACTS.STATUSID IN ( 5, 6 )
    AND PARAM_GENERAL_CODE_CONVERTER.TARGET_FIELD = 'contract_opening_channel_code' AND PARAM_GENERAL_CODE_CONVERTER.SOURCE_CODE = 'LC' AND PARAM_GENERAL_CODE_CONVERTER.SOURCE_VALUE = '' AND PARAM_GENERAL_CODE_CONVERTER.OPTION_NUMBER = '1'</t>
  </si>
  <si>
    <t>NA</t>
  </si>
  <si>
    <t>"Branch"</t>
  </si>
  <si>
    <t>Source:
N\A; N\A</t>
  </si>
  <si>
    <r>
      <rPr>
        <b/>
        <sz val="11"/>
        <color rgb="FF000000"/>
        <rFont val="Calibri"/>
        <scheme val="minor"/>
      </rPr>
      <t xml:space="preserve">SELECT </t>
    </r>
    <r>
      <rPr>
        <sz val="11"/>
        <color rgb="FF000000"/>
        <rFont val="Calibri"/>
        <scheme val="minor"/>
      </rPr>
      <t xml:space="preserve">'LC'
</t>
    </r>
    <r>
      <rPr>
        <b/>
        <sz val="11"/>
        <color rgb="FF000000"/>
        <rFont val="Calibri"/>
        <scheme val="minor"/>
      </rPr>
      <t xml:space="preserve">WHERE </t>
    </r>
    <r>
      <rPr>
        <sz val="11"/>
        <color rgb="FF000000"/>
        <rFont val="Calibri"/>
        <scheme val="minor"/>
      </rPr>
      <t>CONTRACTS.STATUSID IN ( 5, 6 )</t>
    </r>
  </si>
  <si>
    <t>"LC"</t>
  </si>
  <si>
    <r>
      <rPr>
        <b/>
        <sz val="11"/>
        <color rgb="FF000000"/>
        <rFont val="Calibri"/>
        <scheme val="minor"/>
      </rPr>
      <t xml:space="preserve">SELECT </t>
    </r>
    <r>
      <rPr>
        <sz val="11"/>
        <color rgb="FF000000"/>
        <rFont val="Calibri"/>
        <scheme val="minor"/>
      </rPr>
      <t xml:space="preserve">CONTRACTS.DATA_DATE_PART
</t>
    </r>
    <r>
      <rPr>
        <b/>
        <sz val="11"/>
        <color rgb="FF000000"/>
        <rFont val="Calibri"/>
        <scheme val="minor"/>
      </rPr>
      <t xml:space="preserve">WHERE </t>
    </r>
    <r>
      <rPr>
        <sz val="11"/>
        <color rgb="FF000000"/>
        <rFont val="Calibri"/>
        <scheme val="minor"/>
      </rPr>
      <t>CONTRACTS.STATUSID IN ( 5, 6 )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</si>
  <si>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CONTRACTS.STATUSID IN ( 5, 6 )</t>
    </r>
  </si>
  <si>
    <t>Bank Vault Visit</t>
  </si>
  <si>
    <t>Bank Vault Visit ID</t>
  </si>
  <si>
    <t>bank_vault_visit_id</t>
  </si>
  <si>
    <t>INT</t>
  </si>
  <si>
    <t>Identifier of the visit, in this case, it is a counter of visits performed to the bank vaults.</t>
  </si>
  <si>
    <t>Identificador único de uma visita a um cofre de aluguer.</t>
  </si>
  <si>
    <t xml:space="preserve"> CURATED_INTERNAL_COFRESALUGUER
 CURATED_INTERNAL_COFRESALUGUER</t>
  </si>
  <si>
    <t>CONTRACTS
VISITS</t>
  </si>
  <si>
    <r>
      <rPr>
        <b/>
        <sz val="11"/>
        <color rgb="FF000000"/>
        <rFont val="Calibri"/>
        <scheme val="minor"/>
      </rPr>
      <t xml:space="preserve">SELECT </t>
    </r>
    <r>
      <rPr>
        <sz val="11"/>
        <color rgb="FF000000"/>
        <rFont val="Calibri"/>
        <scheme val="minor"/>
      </rPr>
      <t xml:space="preserve">VISITS.ID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</si>
  <si>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OSUSR_RA0_VISITS</t>
  </si>
  <si>
    <t>ID</t>
  </si>
  <si>
    <t>Ext Inf - Safe Visit Inf - ID</t>
  </si>
  <si>
    <t>Safe Deposit Boxes Access
Safe Deposit Boxes Access</t>
  </si>
  <si>
    <t>Contract ID
Contract Number</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</si>
  <si>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FROM</t>
    </r>
    <r>
      <rPr>
        <sz val="11"/>
        <color rgb="FF000000"/>
        <rFont val="Calibri"/>
        <scheme val="minor"/>
      </rPr>
      <t xml:space="preserve"> SUBSTRING( VISITS.INITIALDATE, 1, 10 ) &gt; SUBSTRING( LAST_DATA_DATE_PART, 1, 10) 
      AND SUBSTRING( INITIALDATE, 1, 10) &lt;= SUBSTRING( LAST_DATA_DATE_PART, 11, 10 )    
      AND PARAM_GENERAL_CODE_CONVERTER.TARGET_FIELD = 'bank_id' AND PARAM_GENERAL_CODE_CONVERTER.SOURCE_CODE = 'LC' AND PARAM_GENERAL_CODE_CONVERTER.SOURCE_VALUE = '' AND PARAM_GENERAL_CODE_CONVERTER.OPTION_NUMBER = '1'</t>
    </r>
  </si>
  <si>
    <t>Identifier of the contract that is associated with the bank vault that was visited.</t>
  </si>
  <si>
    <t>Identificador do contrato associado ao confre que foi visitado.</t>
  </si>
  <si>
    <t xml:space="preserve"> CURATED_INTERNAL_COFRESALUGUER</t>
  </si>
  <si>
    <r>
      <rPr>
        <b/>
        <sz val="11"/>
        <color rgb="FF000000"/>
        <rFont val="Calibri"/>
        <scheme val="minor"/>
      </rPr>
      <t>SELECT</t>
    </r>
    <r>
      <rPr>
        <sz val="11"/>
        <color rgb="FF000000"/>
        <rFont val="Calibri"/>
        <scheme val="minor"/>
      </rPr>
      <t xml:space="preserve"> IF( TRIM( CONCAT( SUBSTRING( CONTRACTS.CONTRACTNUMBER, 5, 11 ) ) ) = '', NULL, CONCAT( '0000', SUBSTRING( CONTRACTS.CONTRACTNUMBER, 5, 11 ), '000000000000000' )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</si>
  <si>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CONCAT( "0000", CONTRACTNUMBER(5, 11) , "000000000000000" )</t>
  </si>
  <si>
    <t>Visit Start Employee ID</t>
  </si>
  <si>
    <t>visit_start_employee_id</t>
  </si>
  <si>
    <t>Identifier of the employee that started the the bank vault visit. Depending on the type of visit to the vault the field may not be applicable.</t>
  </si>
  <si>
    <t>Identificador do colaborador Santander responsável por acompanhar a visita presencial ao cofre.</t>
  </si>
  <si>
    <t>User Code</t>
  </si>
  <si>
    <t xml:space="preserve"> CURATED_INTERNAL_COFRESALUGUER
 CURATED_INTERNAL_COFRESALUGUER
 CURATED_INTERNAL_OUTSYSTEMSCOMMON</t>
  </si>
  <si>
    <t>CONTRACTS
VISITS
USER_INTERNAL</t>
  </si>
  <si>
    <t>N\A
N\A
USERNAME</t>
  </si>
  <si>
    <r>
      <rPr>
        <b/>
        <sz val="11"/>
        <color rgb="FF000000"/>
        <rFont val="Calibri"/>
        <scheme val="minor"/>
      </rPr>
      <t>SELECT</t>
    </r>
    <r>
      <rPr>
        <sz val="11"/>
        <color rgb="FF000000"/>
        <rFont val="Calibri"/>
        <scheme val="minor"/>
      </rPr>
      <t xml:space="preserve"> IF( TRIM( USER_INTERNAL.USERNAME ) = '', NULL, USER_INTERNAL.USERNAME )
</t>
    </r>
    <r>
      <rPr>
        <b/>
        <sz val="11"/>
        <color rgb="FF000000"/>
        <rFont val="Calibri"/>
        <scheme val="minor"/>
      </rPr>
      <t>FROM</t>
    </r>
    <r>
      <rPr>
        <sz val="11"/>
        <color rgb="FF000000"/>
        <rFont val="Calibri"/>
        <scheme val="minor"/>
      </rPr>
      <t xml:space="preserve"> VISITS.INITIALUSERID = USER_INTERNAL.ID
    AND SUBSTRING( VISITS.INITIALDATE, 1, 10 ) &gt; SUBSTRING( LAST_DATA_DATE_PART, 1, 10) 
      AND SUBSTRING( INITIALDATE, 1, 10) &lt;= SUBSTRING( LAST_DATA_DATE_PART, 11, 10 )</t>
    </r>
  </si>
  <si>
    <t>LC - Cofres Aluguer -&gt; Outsystems</t>
  </si>
  <si>
    <t>OSUSR_RA0_VISITS -&gt; OSSYS_USER</t>
  </si>
  <si>
    <t>INITIALUSERID -&gt; USERNAME</t>
  </si>
  <si>
    <t>N\A -&gt; N\A</t>
  </si>
  <si>
    <t>Visit End Employee ID</t>
  </si>
  <si>
    <t>visit_end_employee_id</t>
  </si>
  <si>
    <t>Identifier of the employee that ended the the bank vault visit. Depending on the type of visit to the vault the field may not be applicable.</t>
  </si>
  <si>
    <r>
      <rPr>
        <b/>
        <sz val="11"/>
        <color rgb="FF000000"/>
        <rFont val="Calibri"/>
        <scheme val="minor"/>
      </rPr>
      <t xml:space="preserve">SELECT </t>
    </r>
    <r>
      <rPr>
        <sz val="11"/>
        <color rgb="FF000000"/>
        <rFont val="Calibri"/>
        <scheme val="minor"/>
      </rPr>
      <t xml:space="preserve">IF( TRIM( USER_INTERNAL.USERNAME ) = '', NULL, USER_INTERNAL.USERNAME )
</t>
    </r>
    <r>
      <rPr>
        <b/>
        <sz val="11"/>
        <color rgb="FF000000"/>
        <rFont val="Calibri"/>
        <scheme val="minor"/>
      </rPr>
      <t xml:space="preserve">FROM </t>
    </r>
    <r>
      <rPr>
        <sz val="11"/>
        <color rgb="FF000000"/>
        <rFont val="Calibri"/>
        <scheme val="minor"/>
      </rPr>
      <t>CONTRACTS.STATUS IN ( 5, 6 ) AND VISITS.FINALUSERID = USER_INTERNAL.ID
    AND SUBSTRING( VISITS.INITIALDATE, 1, 10 ) &gt;= CONTRACTS.DATA_DATE_PART</t>
    </r>
  </si>
  <si>
    <t>FINALALUSERID -&gt; USERNAME</t>
  </si>
  <si>
    <t>Start Datetime</t>
  </si>
  <si>
    <t>start_datetime</t>
  </si>
  <si>
    <t>Ext Inf - Safe Visit Inf - Date</t>
  </si>
  <si>
    <t>Start date of the client's access to the bank vault.</t>
  </si>
  <si>
    <t>Data de inicio da visita presencial ao cofre.</t>
  </si>
  <si>
    <t>Start Time</t>
  </si>
  <si>
    <t xml:space="preserve">
N\A
INITIALDATE</t>
  </si>
  <si>
    <r>
      <rPr>
        <b/>
        <sz val="11"/>
        <color rgb="FF000000"/>
        <rFont val="Calibri"/>
        <scheme val="minor"/>
      </rPr>
      <t xml:space="preserve">SELECT </t>
    </r>
    <r>
      <rPr>
        <sz val="11"/>
        <color rgb="FF000000"/>
        <rFont val="Calibri"/>
        <scheme val="minor"/>
      </rPr>
      <t xml:space="preserve">IF( TRIM( VISITS.INITIALDATE ) = '', NULL, CAST( VISITS.INITIALDATE AS STRING ) )
</t>
    </r>
    <r>
      <rPr>
        <b/>
        <sz val="11"/>
        <color rgb="FF000000"/>
        <rFont val="Calibri"/>
        <scheme val="minor"/>
      </rPr>
      <t>FROM</t>
    </r>
    <r>
      <rPr>
        <sz val="11"/>
        <color rgb="FF000000"/>
        <rFont val="Calibri"/>
        <scheme val="minor"/>
      </rPr>
      <t xml:space="preserve"> SUBSTRING( VISITS.INITIALDATE, 1, 10 ) &gt; SUBSTRING( LAST_DATA_DATE_PART, 1, 10) 
      AND SUBSTRING( INITIALDATE, 1, 10) &lt;= SUBSTRING( LAST_DATA_DATE_PART, 11, 10 )</t>
    </r>
  </si>
  <si>
    <t>End Datetime</t>
  </si>
  <si>
    <t>end_datetime</t>
  </si>
  <si>
    <t>End date of the client's access to the bank vault.</t>
  </si>
  <si>
    <t>Data do final da visita presencial ao confre.</t>
  </si>
  <si>
    <t>End Time</t>
  </si>
  <si>
    <t>N\A
ENDDATE</t>
  </si>
  <si>
    <r>
      <rPr>
        <b/>
        <sz val="11"/>
        <color rgb="FF000000"/>
        <rFont val="Calibri"/>
        <scheme val="minor"/>
      </rPr>
      <t xml:space="preserve">SELECT </t>
    </r>
    <r>
      <rPr>
        <sz val="11"/>
        <color rgb="FF000000"/>
        <rFont val="Calibri"/>
        <scheme val="minor"/>
      </rPr>
      <t xml:space="preserve">IF( TRIM( VISITS.ENDDATE ) = '', NULL, CAST( VISITS.ENDDATE AS STRING )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</si>
  <si>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Visit Type Code</t>
  </si>
  <si>
    <t>visit_type_code</t>
  </si>
  <si>
    <t>Int Inf - Safe Visit Inf - Code</t>
  </si>
  <si>
    <t>Identifies the type of visit that was performed on the bank vault visit.</t>
  </si>
  <si>
    <t>Tipo de visita presencial realizada ao cofre, por exemplo: judicial, etc.</t>
  </si>
  <si>
    <t>Visit Type:
OSUSR_AIQ_VISITTYPE ( 13 = INATIVO ); CURATED_INTERNAL_COFRESALUGUER.VISIT_TYPE ( 13 = INATIVO )</t>
  </si>
  <si>
    <t>Movement Code</t>
  </si>
  <si>
    <t>N\A
VISITTYPEID</t>
  </si>
  <si>
    <r>
      <rPr>
        <b/>
        <sz val="11"/>
        <color rgb="FF000000"/>
        <rFont val="Calibri"/>
        <scheme val="minor"/>
      </rPr>
      <t>SELECT</t>
    </r>
    <r>
      <rPr>
        <sz val="11"/>
        <color rgb="FF000000"/>
        <rFont val="Calibri"/>
        <scheme val="minor"/>
      </rPr>
      <t xml:space="preserve"> IF( TRIM( VISITS.VISITTYPEID ) = '', NULL, VISITS.VISITTYPEID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</si>
  <si>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VISITTYPEID</t>
  </si>
  <si>
    <t>Observation</t>
  </si>
  <si>
    <t>observation</t>
  </si>
  <si>
    <t>Int Inf - Safe Visit Inf - Value</t>
  </si>
  <si>
    <t>Description of the action taken regarding the access to the bank vault.</t>
  </si>
  <si>
    <t>Descrição breve relativa à visita presencial ao cofre.</t>
  </si>
  <si>
    <t>Observations</t>
  </si>
  <si>
    <t>N\A
OBSERVATIONS</t>
  </si>
  <si>
    <r>
      <rPr>
        <b/>
        <sz val="11"/>
        <color rgb="FF000000"/>
        <rFont val="Calibri"/>
        <scheme val="minor"/>
      </rPr>
      <t xml:space="preserve">SELECT </t>
    </r>
    <r>
      <rPr>
        <sz val="11"/>
        <color rgb="FF000000"/>
        <rFont val="Calibri"/>
        <scheme val="minor"/>
      </rPr>
      <t xml:space="preserve">VISITS.OBSERVATIONS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</si>
  <si>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OBSERVATIONS</t>
  </si>
  <si>
    <t>N\A
DATA_DATE_PART</t>
  </si>
  <si>
    <r>
      <rPr>
        <b/>
        <sz val="11"/>
        <color rgb="FF000000"/>
        <rFont val="Calibri"/>
        <scheme val="minor"/>
      </rPr>
      <t xml:space="preserve">SELECT </t>
    </r>
    <r>
      <rPr>
        <sz val="11"/>
        <color rgb="FF000000"/>
        <rFont val="Calibri"/>
        <scheme val="minor"/>
      </rPr>
      <t xml:space="preserve">VISITS.DATA_DATE_PART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</si>
  <si>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</si>
  <si>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Bank Vault Universe</t>
  </si>
  <si>
    <t>bank_vault_universe</t>
  </si>
  <si>
    <t>CURATED_INTERNAL_COFRESALUGUER
OPERATIONS_COMMON_REFERENCEDATA_CORE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</si>
  <si>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'LC' AND PARAM_GENERAL_CODE_CONVERTER.SOURCE_VALUE = '' AND PARAM_GENERAL_CODE_CONVERTER.OPTION_NUMBER = '1'</t>
    </r>
  </si>
  <si>
    <r>
      <rPr>
        <b/>
        <sz val="11"/>
        <color rgb="FF000000"/>
        <rFont val="Calibri"/>
        <scheme val="minor"/>
      </rPr>
      <t xml:space="preserve">SELECT </t>
    </r>
    <r>
      <rPr>
        <sz val="11"/>
        <color rgb="FF000000"/>
        <rFont val="Calibri"/>
        <scheme val="minor"/>
      </rPr>
      <t>CONCAT( '0000', SUBSTRING( CONTRACTS.CONTRACTNUMBER, 5, 11 ), '000000000000000' )</t>
    </r>
  </si>
  <si>
    <r>
      <rPr>
        <b/>
        <sz val="11"/>
        <color rgb="FF000000"/>
        <rFont val="Calibri"/>
        <scheme val="minor"/>
      </rPr>
      <t>SELECT</t>
    </r>
    <r>
      <rPr>
        <sz val="11"/>
        <color rgb="FF000000"/>
        <rFont val="Calibri"/>
        <scheme val="minor"/>
      </rPr>
      <t xml:space="preserve"> CASE 
    WHEN CONTRACTS.STATUS_ID IN (5, 6) THEN 1
    ELSE 0
</t>
    </r>
    <r>
      <rPr>
        <b/>
        <sz val="11"/>
        <color rgb="FF000000"/>
        <rFont val="Calibri"/>
        <scheme val="minor"/>
      </rPr>
      <t>END</t>
    </r>
  </si>
  <si>
    <r>
      <rPr>
        <b/>
        <sz val="11"/>
        <color rgb="FF000000"/>
        <rFont val="Calibri"/>
        <scheme val="minor"/>
      </rPr>
      <t xml:space="preserve">SELECT </t>
    </r>
    <r>
      <rPr>
        <sz val="11"/>
        <color rgb="FF000000"/>
        <rFont val="Calibri"/>
        <scheme val="minor"/>
      </rPr>
      <t>'LC'</t>
    </r>
  </si>
  <si>
    <r>
      <rPr>
        <b/>
        <sz val="11"/>
        <color rgb="FF000000"/>
        <rFont val="Calibri"/>
        <scheme val="minor"/>
      </rPr>
      <t xml:space="preserve">SELECT </t>
    </r>
    <r>
      <rPr>
        <sz val="11"/>
        <color rgb="FF000000"/>
        <rFont val="Calibri"/>
        <scheme val="minor"/>
      </rPr>
      <t>CONTRACTS.DATA_DATE_PART</t>
    </r>
  </si>
  <si>
    <r>
      <rPr>
        <b/>
        <sz val="11"/>
        <color rgb="FF000000"/>
        <rFont val="Calibri"/>
        <scheme val="minor"/>
      </rPr>
      <t xml:space="preserve">SELECT </t>
    </r>
    <r>
      <rPr>
        <sz val="11"/>
        <color rgb="FF000000"/>
        <rFont val="Calibri"/>
        <scheme val="minor"/>
      </rPr>
      <t>NOW()</t>
    </r>
  </si>
  <si>
    <t>Bill &amp; Promissory Note Contract</t>
  </si>
  <si>
    <t>CURATED_INTERNAL_MAINFRAME_EFEITOS
CURATED_INTERNAL_MAINFRAME_CONTENCIOSO
COMMON_REFERENCEDATA_CORE</t>
  </si>
  <si>
    <t>EFT02_CRTEFT
TCT09_OPERCN
PARAM_GENERAL_CODE_CONVERTER</t>
  </si>
  <si>
    <t>N\A
N\A
TARGET_VALUE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</si>
  <si>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'EF' AND GENERAL_CONVERTER.SOURCE_VALUE = '' AND PARAM_GENERAL_CODE_CONVERTER.OPTION_NUMBER = '1'</t>
    </r>
  </si>
  <si>
    <t>EF - Efeitos</t>
  </si>
  <si>
    <t>Bill &amp; Promissory Note Process</t>
  </si>
  <si>
    <t>CURATED_INTERNAL_MAINFRAME_EFEITOS
COMMON_REFERENCEDATA_CORE</t>
  </si>
  <si>
    <t>EFT01_CONTEFTO
PARAM_GENERAL_CODE_CONVERTER</t>
  </si>
  <si>
    <t>SELECT PARAM_GENERAL_CODE_CONVERTER.TARGET_VALUE
WHERE EFT01_CONTEFTO.CSITEF = 0   AND PARAM_GENERAL_CODE_CONVERTER.TARGET_FIELD = 'bank_id' AND PARAM_GENERAL_CODE_CONVERTER.SOURCE_CODE = 'EF' AND PARAM_GENERAL_CODE_CONVERTER.SOURCE_VALUE = '' AND PARAM_GENERAL_CODE_CONVERTER.OPTION_NUMBER = '1'</t>
  </si>
  <si>
    <t>BIlls and Promissory Notes Universe</t>
  </si>
  <si>
    <t>CURATED_INTERNAL_MAINFRAME_EFEITOS
CURATED_INTERNAL_MAINFRAME_CONTENCIOSO
OPERATIONS_COMMON_REFERENCEDATA_CORE</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</si>
  <si>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EFT02_CRTEFT.CKBALCAO IS NOT NULL</t>
    </r>
  </si>
  <si>
    <t>EF - Efeitos
TC - Terminal Contencioso</t>
  </si>
  <si>
    <t>N\A 
N\A</t>
  </si>
  <si>
    <t>""
""</t>
  </si>
  <si>
    <t>CURATED_INTERNAL_MAINFRAME_EFEITOS
CURATED_INTERNAL_MAINFRAME_CONTENCIOSO</t>
  </si>
  <si>
    <t>EFT02_CRTEFT
TCT09_OPERCN</t>
  </si>
  <si>
    <t>CKBALCAO, CKNUMCTA, ZLOTEFT, ZSEQEFT
N\A</t>
  </si>
  <si>
    <r>
      <rPr>
        <b/>
        <sz val="11"/>
        <color rgb="FF000000"/>
        <rFont val="Calibri"/>
        <scheme val="minor"/>
      </rPr>
      <t>SELECT</t>
    </r>
    <r>
      <rPr>
        <sz val="11"/>
        <color rgb="FF000000"/>
        <rFont val="Calibri"/>
        <scheme val="minor"/>
      </rPr>
      <t xml:space="preserve"> CONCAT( EFT02_CRTEFT.CKBALCAO, EFT02_CRTEFT.CKNUMCTA, LPAD( SUBSTRING( EFT02_CRTEFT.ZLOTEFT, 1, 8 ), 8, '0' ), LPAD( SUBSTRING( EFT02_CRTEFT.ZSEQEFT, 1, 2 ), 2, '0' ), '00000' )</t>
    </r>
  </si>
  <si>
    <t>EFT02_CRTEFT</t>
  </si>
  <si>
    <t>CONCAT( CKBALCAO, CKNUMCTA,  LPAD( ZLOTEFT(1, 8) ) , ZSEQEFT(1, 2), "00000" )</t>
  </si>
  <si>
    <t>Process ID</t>
  </si>
  <si>
    <t>process_id</t>
  </si>
  <si>
    <t>Identifier of the bills &amp; promissory notes process.</t>
  </si>
  <si>
    <t>Identificador do processo.</t>
  </si>
  <si>
    <t>CURATED_INTERNAL_MAINFRAME_EFEITOS</t>
  </si>
  <si>
    <t>EFT01_CONTEFTO</t>
  </si>
  <si>
    <t>CKBALCAO, CKNUMCTA</t>
  </si>
  <si>
    <r>
      <rPr>
        <b/>
        <sz val="11"/>
        <color rgb="FF000000"/>
        <rFont val="Calibri"/>
        <scheme val="minor"/>
      </rPr>
      <t>SELECT</t>
    </r>
    <r>
      <rPr>
        <sz val="11"/>
        <color rgb="FF000000"/>
        <rFont val="Calibri"/>
        <scheme val="minor"/>
      </rPr>
      <t xml:space="preserve"> CONCAT( EFT01_CONTEFTO.CKBALCAO, EFT01_CONTEFTO.CKNUMCTA )
</t>
    </r>
    <r>
      <rPr>
        <b/>
        <sz val="11"/>
        <color rgb="FF000000"/>
        <rFont val="Calibri"/>
        <scheme val="minor"/>
      </rPr>
      <t>WHERE</t>
    </r>
    <r>
      <rPr>
        <sz val="11"/>
        <color rgb="FF000000"/>
        <rFont val="Calibri"/>
        <scheme val="minor"/>
      </rPr>
      <t xml:space="preserve"> EFT01_CONTEFTO.CSITEF = 0</t>
    </r>
  </si>
  <si>
    <t>CONCAT( CKBALCAO, CKNUMCTA )</t>
  </si>
  <si>
    <t>CKBALCAO, CKNUMCTA, ZLOTEFT, ZSEQEFT
CKBALCAO, CKNUMCTA, ZDEPOSIT</t>
  </si>
  <si>
    <t>SELECT CONCAT( EFT02_CRTEFT.CKBALCAO, EFT02_CRTEFT.CKNUMCTA, LPAD( SUBSTRING( EFT02_CRTEFT.ZLOTEFT, 1, 8 ), 8, '0' ), LPAD( SUBSTRING( EFT02_CRTEFT.ZSEQEFT, 1, 2 ), 2, '0' ), '00000' )
SELECT CONCAT( TCT09_OPERCN.CKBALCAO, TCT09_OPERCN.CKNUMCTA, TCT09_OPERCN.ZDEPOSIT )
WHERE EFT02_CRTEFT.CKBALCAO IS NOT NULL</t>
  </si>
  <si>
    <t>CONCAT( EFT02_CRTEFT.CKBALCAO, EFT02_CRTEFT.CKNUMCTA, LPAD( SUBSTRING( EFT02_CRTEFT.ZLOTEFT, 1, 8 ), 8, '0' ), LPAD( SUBSTRING( EFT02_CRTEFT.ZSEQEFT, 1, 2 ), 2, '0' ), '00000' )
CONCAT( TCT09_OPERCN.CKBALCAO, TCT09_OPERCN.CKNUMCTA, TCT09_OPERCN.ZDEPOSIT )</t>
  </si>
  <si>
    <t>Product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</si>
  <si>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'EF' AND PARAM_GENERAL_CODE_CONVERTER.SOURCE_VALUE = '' AND PARAM_GENERAL_CODE_CONVERTER.OPTION_NUMBER = '1'</t>
    </r>
  </si>
  <si>
    <t>SELECT PARAM_GENERAL_CODE_CONVERTER.TARGET_VALUE
WHERE EFT01_CONTEFTO.CSITEF = 0   
AND PARAM_GENERAL_CODE_CONVERTER.TARGET_FIELD = 'product_family_id' AND PARAM_GENERAL_CODE_CONVERTER.SOURCE_CODE = 'EF' AND PARAM_GENERAL_CODE_CONVERTER.SOURCE_VALUE = '' AND PARAM_GENERAL_CODE_CONVERTER.OPTION_NUMBER = '1'</t>
  </si>
  <si>
    <t>Product Lvl 1: 
TAT91_TABELAS - CTABELA 023; CURATED_INTERNAL_MAINFRAME_ESTRUTURAIS.TAT91_TABELAS - TAYD91C0_CTABELA 023</t>
  </si>
  <si>
    <t>CKPRODUT</t>
  </si>
  <si>
    <r>
      <rPr>
        <b/>
        <sz val="11"/>
        <color rgb="FF000000"/>
        <rFont val="Calibri"/>
        <scheme val="minor"/>
      </rPr>
      <t>SELECT</t>
    </r>
    <r>
      <rPr>
        <sz val="11"/>
        <color rgb="FF000000"/>
        <rFont val="Calibri"/>
        <scheme val="minor"/>
      </rPr>
      <t xml:space="preserve"> IF( TRIM( EFT01_CONTEFTO.CKPRODUT ) = '', NULL, EFT01_CONTEFTO.CKPRODUT )
</t>
    </r>
    <r>
      <rPr>
        <b/>
        <sz val="11"/>
        <color rgb="FF000000"/>
        <rFont val="Calibri"/>
        <scheme val="minor"/>
      </rPr>
      <t>WHERE</t>
    </r>
    <r>
      <rPr>
        <sz val="11"/>
        <color rgb="FF000000"/>
        <rFont val="Calibri"/>
        <scheme val="minor"/>
      </rPr>
      <t xml:space="preserve"> EFT01_CONTEFTO.CSITEF = 0</t>
    </r>
  </si>
  <si>
    <t>Product Lvl 2:
TAT91_TABELAS - CTABELA 158; CURATED_INTERNAL_MAINFRAME_ESTRUTURAIS.TAT91_TABELAS - TAYD91C0_CTABELA 158</t>
  </si>
  <si>
    <t>CKSUBPRO</t>
  </si>
  <si>
    <r>
      <rPr>
        <b/>
        <sz val="11"/>
        <color rgb="FF000000"/>
        <rFont val="Calibri"/>
        <scheme val="minor"/>
      </rPr>
      <t>SELECT</t>
    </r>
    <r>
      <rPr>
        <sz val="11"/>
        <color rgb="FF000000"/>
        <rFont val="Calibri"/>
        <scheme val="minor"/>
      </rPr>
      <t xml:space="preserve"> IF( TRIM( EFT01_CONTEFTO.CKSUBPRO) = '', NULL, EFT01_CONTEFTO.CKSUBPROD)
</t>
    </r>
    <r>
      <rPr>
        <b/>
        <sz val="11"/>
        <color rgb="FF000000"/>
        <rFont val="Calibri"/>
        <scheme val="minor"/>
      </rPr>
      <t>WHERE</t>
    </r>
    <r>
      <rPr>
        <sz val="11"/>
        <color rgb="FF000000"/>
        <rFont val="Calibri"/>
        <scheme val="minor"/>
      </rPr>
      <t xml:space="preserve"> EFT01_CONTEFTO.CSITEF = 0</t>
    </r>
  </si>
  <si>
    <t>CSITEF
ISITUAC
DENTRADA</t>
  </si>
  <si>
    <t>SELECT IF( EFT02_CRTEFT.CSITEF IN ('CO', 'VE', 'IR'), 1, 0)
SELECT IF(TCT09_OPERCN.ISITUAC = 1 AND TCT09_OPERCN.DENTRADA &lt;= TCT09_OPERCN.DATA_DATE_PART, '1', '0')
WHERE EFT02_CRTEFT.CKBALCAO IS NOT NULL</t>
  </si>
  <si>
    <t>CSITEF
ISITUAC, DENTRADA</t>
  </si>
  <si>
    <t>1 || 0
1 || 0</t>
  </si>
  <si>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</si>
  <si>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</si>
  <si>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TCT09_OPERCN</t>
  </si>
  <si>
    <t>CKPRODUT
N\A
N\A</t>
  </si>
  <si>
    <r>
      <rPr>
        <b/>
        <sz val="11"/>
        <color rgb="FF000000"/>
        <rFont val="Calibri"/>
        <scheme val="minor"/>
      </rPr>
      <t>SELECT</t>
    </r>
    <r>
      <rPr>
        <sz val="11"/>
        <color rgb="FF000000"/>
        <rFont val="Calibri"/>
        <scheme val="minor"/>
      </rPr>
      <t xml:space="preserve"> IF( TRIM( EFT01_CONTEFTO.CKPRODUT ) = '', NULL, EFT01_CONTEFTO.CKPRODUT )</t>
    </r>
  </si>
  <si>
    <t>N/A
N/A</t>
  </si>
  <si>
    <r>
      <rPr>
        <b/>
        <sz val="11"/>
        <color rgb="FF000000"/>
        <rFont val="Calibri"/>
        <scheme val="minor"/>
      </rPr>
      <t>SELECT</t>
    </r>
    <r>
      <rPr>
        <sz val="11"/>
        <color rgb="FF000000"/>
        <rFont val="Calibri"/>
        <scheme val="minor"/>
      </rPr>
      <t xml:space="preserve"> 'EF'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EFT02_CRTEFT.CKBALCAO IS NOT NULL</t>
    </r>
  </si>
  <si>
    <t>"EF" 
"TC"</t>
  </si>
  <si>
    <t>CKSUBPRO
N\A
N\A</t>
  </si>
  <si>
    <r>
      <rPr>
        <b/>
        <sz val="11"/>
        <color rgb="FF000000"/>
        <rFont val="Calibri"/>
        <scheme val="minor"/>
      </rPr>
      <t>SELECT</t>
    </r>
    <r>
      <rPr>
        <sz val="11"/>
        <color rgb="FF000000"/>
        <rFont val="Calibri"/>
        <scheme val="minor"/>
      </rPr>
      <t xml:space="preserve"> IF( TRIM( EFT01_CONTEFTO.CKSUBPRO ) = '', NULL, EFT01_CONTEFTO.CKSUBPRO )</t>
    </r>
  </si>
  <si>
    <t>DATA_DATE_PART
DATA_DATE_PART</t>
  </si>
  <si>
    <t>SELECT EFT02_CRTEFT.DATA_DATE_PART
SELECT TCT09_OPERCN.DATA_DATE_PART
WHERE EFT02_CRTEFT.CKBALCAO IS NOT NULL</t>
  </si>
  <si>
    <t>Bank identifier (internal Santander’s company identification code) that is related to the current account contract which anchors the bill or promissory note contract.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</si>
  <si>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t>
    </r>
  </si>
  <si>
    <t>Main current account's bank identifier linked to the bills &amp; promissory notes process.</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</si>
  <si>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EFT01_CONTEFTO.CSITEF = 0   AND PARAM_GENERAL_CODE_CONVERTER.TARGET_FIELD = 'bank_id' AND PARAM_GENERAL_CODE_CONVERTER.SOURCE_CODE = 'DC' AND PARAM_GENERAL_CODE_CONVERTER.SOURCE_VALUE = '' AND PARAM_GENERAL_CODE_CONVERTER.OPTION_NUMBER = '1'</t>
    </r>
  </si>
  <si>
    <r>
      <rPr>
        <b/>
        <sz val="11"/>
        <color rgb="FF000000"/>
        <rFont val="Calibri"/>
        <scheme val="minor"/>
      </rPr>
      <t>SELECT</t>
    </r>
    <r>
      <rPr>
        <sz val="11"/>
        <color rgb="FF000000"/>
        <rFont val="Calibri"/>
        <scheme val="minor"/>
      </rPr>
      <t xml:space="preserve"> NOW()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EFT02_CRTEFT.CKBALCAO IS NOT NULL</t>
    </r>
  </si>
  <si>
    <t>Contract identifier of the main current account that anchors the bill or promissory note contract.</t>
  </si>
  <si>
    <t>EFT01_CONTEFTO 
EFT02_CRTEFT
TCT09_OPERCN</t>
  </si>
  <si>
    <t>CKBALDO, CKCTADO
N\A
CKBALDO, CKCTADO</t>
  </si>
  <si>
    <r>
      <rPr>
        <b/>
        <sz val="11"/>
        <color rgb="FF000000"/>
        <rFont val="Calibri"/>
        <scheme val="minor"/>
      </rPr>
      <t>SELECT</t>
    </r>
    <r>
      <rPr>
        <sz val="11"/>
        <color rgb="FF000000"/>
        <rFont val="Calibri"/>
        <scheme val="minor"/>
      </rPr>
      <t xml:space="preserve">  IF( TRIM( CONCAT( EFT01_CONTEFTO .CKBALDO, EFT01_CONTEFTO .CKCTADO ) ) = '', 
        NULL, 
        CONCAT( EFT01_CONTEFTO .CKBALDO, EFT01_CONTEFTO .CKCTADO, '000000000000000' 
)</t>
    </r>
  </si>
  <si>
    <t>CONCAT( CKBALDO, CKCTADO, "000000000000000" )</t>
  </si>
  <si>
    <t>Contract identifier of the main associated account associated with the bills &amp; promissory notes process.</t>
  </si>
  <si>
    <t>CKBALDO, CKCTADO</t>
  </si>
  <si>
    <r>
      <rPr>
        <b/>
        <sz val="11"/>
        <color rgb="FF000000"/>
        <rFont val="Calibri"/>
        <scheme val="minor"/>
      </rPr>
      <t>SELECT</t>
    </r>
    <r>
      <rPr>
        <sz val="11"/>
        <color rgb="FF000000"/>
        <rFont val="Calibri"/>
        <scheme val="minor"/>
      </rPr>
      <t xml:space="preserve"> IF( TRIM( CONCAT( EFT01_CONTEFTO.CKBALDO, EFT01_CONTEFTO.CKCTADO ) ) = '', NULL, CONCAT( EFT01_CONTEFTO.CKBALDO, EFT01_CONTEFTO.CKCTADO,'000000000000000' ) )
</t>
    </r>
    <r>
      <rPr>
        <b/>
        <sz val="11"/>
        <color rgb="FF000000"/>
        <rFont val="Calibri"/>
        <scheme val="minor"/>
      </rPr>
      <t>WHERE</t>
    </r>
    <r>
      <rPr>
        <sz val="11"/>
        <color rgb="FF000000"/>
        <rFont val="Calibri"/>
        <scheme val="minor"/>
      </rPr>
      <t xml:space="preserve"> EFT01_CONTEFTO.CSITEF = 0</t>
    </r>
  </si>
  <si>
    <t>Process Bank ID</t>
  </si>
  <si>
    <t>process_bank_id</t>
  </si>
  <si>
    <t>Identifier of the bills &amp; promissory notes process bank to which the bill or promissory note is associated to.</t>
  </si>
  <si>
    <t>Código identificador do banco interno do Santander (CEMPRESA) do processo.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</si>
  <si>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'EF' AND PARAM_GENERAL_CODE_CONVERTER.SOURCE_VALUE = '' AND PARAM_GENERAL_CODE_CONVERTER.OPTION_NUMBER = '1'</t>
    </r>
  </si>
  <si>
    <t>Date in which the client opened a process of bills &amp; promissory notes with Santander.</t>
  </si>
  <si>
    <t>DABERTUR</t>
  </si>
  <si>
    <r>
      <rPr>
        <b/>
        <sz val="11"/>
        <color rgb="FF000000"/>
        <rFont val="Calibri"/>
        <scheme val="minor"/>
      </rPr>
      <t>SELECT</t>
    </r>
    <r>
      <rPr>
        <sz val="11"/>
        <color rgb="FF000000"/>
        <rFont val="Calibri"/>
        <scheme val="minor"/>
      </rPr>
      <t xml:space="preserve"> IF( TRIM( EFT01_CONTEFTO.DABERTUR ) = '', NULL, CAST( EFT01_CONTEFTO.DABERTUR AS STRING ) )
</t>
    </r>
    <r>
      <rPr>
        <b/>
        <sz val="11"/>
        <color rgb="FF000000"/>
        <rFont val="Calibri"/>
        <scheme val="minor"/>
      </rPr>
      <t>WHERE</t>
    </r>
    <r>
      <rPr>
        <sz val="11"/>
        <color rgb="FF000000"/>
        <rFont val="Calibri"/>
        <scheme val="minor"/>
      </rPr>
      <t xml:space="preserve"> EFT01_CONTEFTO.CSITEF = 0</t>
    </r>
  </si>
  <si>
    <t>Identifier of the bills &amp; promissory notes process associated to the bill or promissory note's contract.</t>
  </si>
  <si>
    <t>CKBALCAO, CKNUMCTA
N\A</t>
  </si>
  <si>
    <r>
      <rPr>
        <b/>
        <sz val="11"/>
        <color rgb="FF000000"/>
        <rFont val="Calibri"/>
        <scheme val="minor"/>
      </rPr>
      <t>SELECT</t>
    </r>
    <r>
      <rPr>
        <sz val="11"/>
        <color rgb="FF000000"/>
        <rFont val="Calibri"/>
        <scheme val="minor"/>
      </rPr>
      <t xml:space="preserve"> IF( TRIM( CONCAT( EFT02_CRTEFT.CKBALCAO, EFT02_CRTEFT.CKNUMCTA) ) = '', NULL, CONCAT( EFT02_CRTEFT.CKBALCAO, EFT02_CRTEFT.CKNUMCTA ) )</t>
    </r>
  </si>
  <si>
    <t>SELECT  PARAM_GENERAL_CODE_CONVERTER.TARGET_VALUE
WHERE EFT01_CONTEFTO.CSITEF = 0   AND PARAM_GENERAL_CODE_CONVERTER.TARGET_FIELD = 'current_maturity_date' AND PARAM_GENERAL_CODE_CONVERTER.SOURCE_CODE = 'DC' AND PARAM_GENERAL_CODE_CONVERTER.SOURCE_VALUE = '' AND PARAM_GENERAL_CODE_CONVERTER.OPTION_NUMBER = '1'</t>
  </si>
  <si>
    <t>"9999-12-31"</t>
  </si>
  <si>
    <t>DCONTRAT
N\A</t>
  </si>
  <si>
    <r>
      <rPr>
        <b/>
        <sz val="11"/>
        <color rgb="FF000000"/>
        <rFont val="Calibri"/>
        <scheme val="minor"/>
      </rPr>
      <t>SELECT</t>
    </r>
    <r>
      <rPr>
        <sz val="11"/>
        <color rgb="FF000000"/>
        <rFont val="Calibri"/>
        <scheme val="minor"/>
      </rPr>
      <t xml:space="preserve"> IF( TRIM( EFT02_CRTEFT.DCONTRAT ) = '', NULL, CAST( EFT02_CRTEFT.DCONTRAT AS STRING ) )</t>
    </r>
  </si>
  <si>
    <t>DCONTRAT</t>
  </si>
  <si>
    <t>Identifier of the currency of the process, which should correspond to the main current account associated with the bills &amp; promissory notes' process.</t>
  </si>
  <si>
    <r>
      <rPr>
        <b/>
        <sz val="11"/>
        <color rgb="FF000000"/>
        <rFont val="Calibri"/>
        <scheme val="minor"/>
      </rPr>
      <t>SELECT</t>
    </r>
    <r>
      <rPr>
        <sz val="11"/>
        <color rgb="FF000000"/>
        <rFont val="Calibri"/>
        <scheme val="minor"/>
      </rPr>
      <t xml:space="preserve"> IF( TRIM( EFT01_CONTEFTO.CMOEDA ) = '', NULL, EFT01_CONTEFTO.CMOEDA )
</t>
    </r>
    <r>
      <rPr>
        <b/>
        <sz val="11"/>
        <color rgb="FF000000"/>
        <rFont val="Calibri"/>
        <scheme val="minor"/>
      </rPr>
      <t>WHERE</t>
    </r>
    <r>
      <rPr>
        <sz val="11"/>
        <color rgb="FF000000"/>
        <rFont val="Calibri"/>
        <scheme val="minor"/>
      </rPr>
      <t xml:space="preserve"> EFT01_CONTEFTO.CSITEF = 0</t>
    </r>
  </si>
  <si>
    <t>DDVENCIM
DVENCIM</t>
  </si>
  <si>
    <t>SELECT IF( TCT09_OPERCN.CKBALCAO IS NULL, 
    IF( TRIM( EFT02_CRTEFT.DDVENCIM ) = '', 
        NULL, 
        CAST( EFT02_CRTEFT.DDVENCIM AS STRING ) ),
    IF( TRIM( TCT09_OPERCN.DVENCIM) = '', 
        NULL, 
        CAST( TCT09_OPERCN.DVENCIMAS STRING ) )</t>
  </si>
  <si>
    <t>EF - Efeitos || TC - Terminal Contencioso</t>
  </si>
  <si>
    <t>EFT02_CRTEFT || TCT09_OPERCN</t>
  </si>
  <si>
    <t>DDVENCIM || DVENCIM</t>
  </si>
  <si>
    <t>N\A || N\A</t>
  </si>
  <si>
    <t>Current Outstanding Principal Balance</t>
  </si>
  <si>
    <t>cur_outsng_principal_balance</t>
  </si>
  <si>
    <t>The principal amount which has been used but has not reach its maturity date and is yet to be repaid.</t>
  </si>
  <si>
    <t>Saldo de capital vincendo do contrato.</t>
  </si>
  <si>
    <t>MSALDO</t>
  </si>
  <si>
    <r>
      <rPr>
        <b/>
        <sz val="11"/>
        <color rgb="FF000000"/>
        <rFont val="Calibri"/>
        <scheme val="minor"/>
      </rPr>
      <t>SELECT</t>
    </r>
    <r>
      <rPr>
        <sz val="11"/>
        <color rgb="FF000000"/>
        <rFont val="Calibri"/>
        <scheme val="minor"/>
      </rPr>
      <t xml:space="preserve"> CAST( EFT01_CONTEFTO.MSALDO AS DECIMAL( 23, 6 ) )
</t>
    </r>
    <r>
      <rPr>
        <b/>
        <sz val="11"/>
        <color rgb="FF000000"/>
        <rFont val="Calibri"/>
        <scheme val="minor"/>
      </rPr>
      <t>WHERE</t>
    </r>
    <r>
      <rPr>
        <sz val="11"/>
        <color rgb="FF000000"/>
        <rFont val="Calibri"/>
        <scheme val="minor"/>
      </rPr>
      <t xml:space="preserve"> EFT01_CONTEFTO.CSITEF = 0</t>
    </r>
  </si>
  <si>
    <t>Contract Static
Balances</t>
  </si>
  <si>
    <t>CMOEDA
N\A
N\A</t>
  </si>
  <si>
    <r>
      <rPr>
        <b/>
        <sz val="11"/>
        <color rgb="FF000000"/>
        <rFont val="Calibri"/>
        <scheme val="minor"/>
      </rPr>
      <t>SELECT</t>
    </r>
    <r>
      <rPr>
        <sz val="11"/>
        <color rgb="FF000000"/>
        <rFont val="Calibri"/>
        <scheme val="minor"/>
      </rPr>
      <t xml:space="preserve"> IF( TRIM( EFT01_CONTEFTO .CMOEDA ) = '', NULL, EFT01_CONTEFTO.CMOEDA )</t>
    </r>
  </si>
  <si>
    <t>Process Status Code</t>
  </si>
  <si>
    <t>process_status_code</t>
  </si>
  <si>
    <t>Identifier of the process status.</t>
  </si>
  <si>
    <t>Código do estado do processo.</t>
  </si>
  <si>
    <t>Process Status:
TAT91_TABELAS - CTABELA 900; CURATED_INTERNAL_MAINFRAME_ESTRUTURAIS.TAT91_TABELAS - TAYD91C0_CTABELA 900</t>
  </si>
  <si>
    <t>SELECT IF( TRIM( EFT01_CONTEFTO.CSITCEF ) = '', NULL, PARAM_GENERAL_CODE_CONVERTER.TARGET_VALUE )
WHERE EFT01_CONTEFTO.CSITEF = 0   AND PARAM_GENERAL_CODE_CONVERTER.OPTION_NUMBER = 'process_status_code' AND PARAM_GENERAL_CODE_CONVERTER.SOURCE_CODE = 'EF' AND PARAM_GENERAL_CODE_CONVERTER.SOURCE_VALUE = EFT01_CONTEFTO.CSITCEF AND PARAM_GENERAL_CODE_CONVERTER.OPTION_NUMBER = '1'</t>
  </si>
  <si>
    <t>CSITCEF</t>
  </si>
  <si>
    <r>
      <rPr>
        <b/>
        <sz val="11"/>
        <color rgb="FF000000"/>
        <rFont val="Calibri"/>
        <scheme val="minor"/>
      </rPr>
      <t>SELECT</t>
    </r>
    <r>
      <rPr>
        <sz val="11"/>
        <color rgb="FF000000"/>
        <rFont val="Calibri"/>
        <scheme val="minor"/>
      </rPr>
      <t xml:space="preserve"> IF( TCT09_OPERCN.CKBALCAO IS NULL, '0', '1' )</t>
    </r>
  </si>
  <si>
    <t>"0" || "1"</t>
  </si>
  <si>
    <t>Process Opening Channel Code</t>
  </si>
  <si>
    <t>process_opening_channel_code</t>
  </si>
  <si>
    <t>Identifier of the opening channel of the process.</t>
  </si>
  <si>
    <t>Canal de abertura do processo, isto é, canal que o cliente utilizou para solicitar o serviço do processo. Não representa o canal que efetivou a abertura do processo.</t>
  </si>
  <si>
    <t>Process Opening Channel:
N\A; N\A</t>
  </si>
  <si>
    <t>SELECT PARAM_GENERAL_CODE_CONVERTER.TARGET_VALUE
WHERE EFT01_CONTEFTO.CSITEF = 0   AND PARAM_GENERAL_CODE_CONVERTER.TARGET_FIELD = 'process_opening_channel_code' AND PARAM_GENERAL_CODE_CONVERTER.SOURCE_CODE = 'EF' AND PARAM_GENERAL_CODE_CONVERTER.SOURCE_VALUE = '' AND PARAM_GENERAL_CODE_CONVERTER.OPTION_NUMBER = '1'</t>
  </si>
  <si>
    <t>Initial total value lended to the client. It represents the total amount that the client received in the bill or promissory note's contract.</t>
  </si>
  <si>
    <t>EFT02_CRTEFT
EFT09_MOVIMEFT
TCT09_OPERCN</t>
  </si>
  <si>
    <t>N\A
MMOVIM
N\A</t>
  </si>
  <si>
    <r>
      <rPr>
        <b/>
        <sz val="11"/>
        <color rgb="FF000000"/>
        <rFont val="Calibri"/>
        <scheme val="minor"/>
      </rPr>
      <t>SELECT</t>
    </r>
    <r>
      <rPr>
        <sz val="11"/>
        <color rgb="FF000000"/>
        <rFont val="Calibri"/>
        <scheme val="minor"/>
      </rPr>
      <t xml:space="preserve"> CAST( EFT09_MOVIMEFT.MMOVIM AS DECIMAL( 23, 6 ) )
</t>
    </r>
    <r>
      <rPr>
        <b/>
        <sz val="11"/>
        <color rgb="FF000000"/>
        <rFont val="Calibri"/>
        <scheme val="minor"/>
      </rPr>
      <t>WHERE</t>
    </r>
    <r>
      <rPr>
        <sz val="11"/>
        <color rgb="FF000000"/>
        <rFont val="Calibri"/>
        <scheme val="minor"/>
      </rPr>
      <t xml:space="preserve"> EFT09_MOVIMEFT.GREFMOV = 'CONTRATACAO' AND EFT09_MOVIMEFT.COPER = 'C' AND MIN( EFT09_MOVIMEFT.ZMOVCTA )</t>
    </r>
  </si>
  <si>
    <t>EFT09_MOVIMEFT</t>
  </si>
  <si>
    <t>MMOVIM</t>
  </si>
  <si>
    <t>DATA_DATE_PART</t>
  </si>
  <si>
    <r>
      <rPr>
        <b/>
        <sz val="11"/>
        <color rgb="FF000000"/>
        <rFont val="Calibri"/>
        <scheme val="minor"/>
      </rPr>
      <t>SELECT</t>
    </r>
    <r>
      <rPr>
        <sz val="11"/>
        <color rgb="FF000000"/>
        <rFont val="Calibri"/>
        <scheme val="minor"/>
      </rPr>
      <t xml:space="preserve"> EFT01_CONTEFTO.DATA_DATE_PART
</t>
    </r>
    <r>
      <rPr>
        <b/>
        <sz val="11"/>
        <color rgb="FF000000"/>
        <rFont val="Calibri"/>
        <scheme val="minor"/>
      </rPr>
      <t>WHERE</t>
    </r>
    <r>
      <rPr>
        <sz val="11"/>
        <color rgb="FF000000"/>
        <rFont val="Calibri"/>
        <scheme val="minor"/>
      </rPr>
      <t xml:space="preserve"> EFT01_CONTEFTO.CSITEF = 0</t>
    </r>
  </si>
  <si>
    <t>Current total value lended to the client. It represents the total amount that the payee (recipient) will  or already received due to the bill or promissory note's contract. This field only applies to bills or pormissory notes, it does not apply to lines.</t>
  </si>
  <si>
    <t>MCAPITAL</t>
  </si>
  <si>
    <r>
      <rPr>
        <b/>
        <sz val="11"/>
        <color rgb="FF000000"/>
        <rFont val="Calibri"/>
        <scheme val="minor"/>
      </rPr>
      <t>SELECT</t>
    </r>
    <r>
      <rPr>
        <sz val="11"/>
        <color rgb="FF000000"/>
        <rFont val="Calibri"/>
        <scheme val="minor"/>
      </rPr>
      <t xml:space="preserve"> IF(EFT02_CRTEFT.CKPRODUT != '092',
        CAST(EFT02_CRTEFT.MCAPITAL AS DECIMAL(23, 6)),
        CAST(0 AS DECIMAL(23, 6))
      )</t>
    </r>
  </si>
  <si>
    <t xml:space="preserve">MCAPITAL </t>
  </si>
  <si>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EFT01_CONTEFTO.CSITEF = 0</t>
    </r>
  </si>
  <si>
    <t>Contract basics medium update
Balances</t>
  </si>
  <si>
    <t>Outstanding Loan Balance
Balance Value</t>
  </si>
  <si>
    <t>N\A
MCAPITAL, MENTPARC
N\A</t>
  </si>
  <si>
    <t>SELECT CAST( IF( TCT09_OPERCN.CKBALCAO IS NULL,
    IF( EFT01_CONTEFTO.CKPRODUT != '092',
        IF( EFT02_CRTEFT.DLIMPAG &gt; EFT02_CRTEFT.DATA_DATE_PART,
            EFT02_CRTEFT.MCAPITAL - EFT02_CRTEFT.MENTPARC,
            0.00 ),
        0.00 ),
    0.00 ) AS DECIMAL(23, 6)</t>
  </si>
  <si>
    <t>EF - Efeitos || EF - Efeitos || TC - Terminal Contencioso</t>
  </si>
  <si>
    <t>EFT02_CRTEFT || N\A || N\A || N\A</t>
  </si>
  <si>
    <t>MCAPITAL - MENTPARC || N\A || N\A || N\A</t>
  </si>
  <si>
    <t>N\A || "0.00" || "0.00" || "0.00"</t>
  </si>
  <si>
    <t>The principal amount which has been used but has reached its maturity date and is yet to be repaid. This field only applies to bills or pormissory notes, it does not apply to lines.</t>
  </si>
  <si>
    <t>SELECT CAST( IF( TCT09_OPERCN.CKBALCAO IS NULL,
    IF( EFT01_CONTEFTO.CKPRODUT!= '092',
        IF( EFT02_CRTEFT.DLIMPAG &lt;= EFT02_CRTEFT.DATA_DATE_PART,
            EFT02_CRTEFT.MCAPITAL - EFT02_CRTEFT.MENTPARC,
            0.00 ),
        0.00 ),
    0.00 ) AS DECIMAL(23, 6)</t>
  </si>
  <si>
    <t>N\A || "0.00"´|| "0.00" || "0.00"</t>
  </si>
  <si>
    <t>Current principal amount in debt that is involved in a legal proceeding in court between the bank and the client. This field does not apply to lines.</t>
  </si>
  <si>
    <t>CURATED_INTERNAL_MAINFRAME_EFEITOS
CURATED_INTERNAL_MAINFRAME_CONTENCIOSO
CURATED_INTERNAL_MAINFRAME_CONTENCIOSO</t>
  </si>
  <si>
    <t>EFT02_CRTEFT
TCT09_OPERCN
TCT01_POSDIVID</t>
  </si>
  <si>
    <r>
      <rPr>
        <b/>
        <sz val="11"/>
        <color rgb="FF000000"/>
        <rFont val="Calibri"/>
        <scheme val="minor"/>
      </rPr>
      <t>SELECT</t>
    </r>
    <r>
      <rPr>
        <sz val="11"/>
        <color rgb="FF000000"/>
        <rFont val="Calibri"/>
        <scheme val="minor"/>
      </rPr>
      <t xml:space="preserve"> CAST( IF( TCT09_OPERCN.CKBALCAO IS NULL, 0.00, TCT01_POSDIVID.MCAPITALD ) AS DECIMAL( 23, 6 ) )
</t>
    </r>
    <r>
      <rPr>
        <b/>
        <sz val="11"/>
        <color rgb="FF000000"/>
        <rFont val="Calibri"/>
        <scheme val="minor"/>
      </rPr>
      <t>WHERE</t>
    </r>
    <r>
      <rPr>
        <sz val="11"/>
        <color rgb="FF000000"/>
        <rFont val="Calibri"/>
        <scheme val="minor"/>
      </rPr>
      <t xml:space="preserve"> TCT01_POSDIVID.IATIVO = 'S'</t>
    </r>
  </si>
  <si>
    <t>N\A || N\A || TCT01_POSDIVID</t>
  </si>
  <si>
    <t>N\A || N\A || MCAPITALD</t>
  </si>
  <si>
    <t>"0.00" || "0.00" || N\A</t>
  </si>
  <si>
    <t>Service Amount</t>
  </si>
  <si>
    <t>service_amount</t>
  </si>
  <si>
    <t>The amount associated with the collection service provided by the bank.</t>
  </si>
  <si>
    <t>Valor associado com o serviço de cobrança fornecido pelo banco.</t>
  </si>
  <si>
    <r>
      <rPr>
        <b/>
        <sz val="11"/>
        <color rgb="FF000000"/>
        <rFont val="Calibri"/>
        <scheme val="minor"/>
      </rPr>
      <t>SELECT</t>
    </r>
    <r>
      <rPr>
        <sz val="11"/>
        <color rgb="FF000000"/>
        <rFont val="Calibri"/>
        <scheme val="minor"/>
      </rPr>
      <t xml:space="preserve"> IF( EFT02_CRTEFT.CKPRODUT != '092', CAST(0 AS DECIMAL(23,6)), CAST(EFT02_CRTEFT.MCAPITAL AS DECIMAL(23, 6)))</t>
    </r>
  </si>
  <si>
    <t>Service Amount Local Currency</t>
  </si>
  <si>
    <t>service_amount_lcl_currcy</t>
  </si>
  <si>
    <t>CURATED_INTERNAL_MAINFRAME_EFEITOS
CURATED_INTERNAL_MAINFRAME_CAMBIOS</t>
  </si>
  <si>
    <t>EFT02_CRTEFT 
CBT02_CAMBIOS</t>
  </si>
  <si>
    <t>MCAPITAL
TCMBME</t>
  </si>
  <si>
    <r>
      <rPr>
        <b/>
        <sz val="11"/>
        <color rgb="FF000000"/>
        <rFont val="Calibri"/>
        <scheme val="minor"/>
      </rPr>
      <t>SELECT</t>
    </r>
    <r>
      <rPr>
        <sz val="11"/>
        <color rgb="FF000000"/>
        <rFont val="Calibri"/>
        <scheme val="minor"/>
      </rPr>
      <t xml:space="preserve"> IF( EFT02_CRTEFT.CKPRODUT != '092', CAST(0 AS DECIMAL(23,6)), CAST(EFT02_CRTEFT.MCAPITAL  / CBT02_CAMBIOS.TCMBME AS DECIMAL(23, 6) ) )
</t>
    </r>
    <r>
      <rPr>
        <b/>
        <sz val="11"/>
        <color rgb="FF000000"/>
        <rFont val="Calibri"/>
        <scheme val="minor"/>
      </rPr>
      <t>WHERE</t>
    </r>
    <r>
      <rPr>
        <sz val="11"/>
        <color rgb="FF000000"/>
        <rFont val="Calibri"/>
        <scheme val="minor"/>
      </rPr>
      <t xml:space="preserve"> CBT02_CAMBIOS.CTBCAMB = 'F' AND CBT02_CAMBIOS.CMARCA = 'BT' AND CBT02_CAMBIOS.ZSEQCAMB = '99'</t>
    </r>
  </si>
  <si>
    <t>Next Regular Amortization Due Date</t>
  </si>
  <si>
    <t>next_regular_amort_due_date</t>
  </si>
  <si>
    <t>Corresponds to the predicted date in which an effective payment, related to the billing of the bill or promissory, will be made. This field only applies to invoices, it does not apply to lines.</t>
  </si>
  <si>
    <t>Data de liquidação da próxima amortização regular.</t>
  </si>
  <si>
    <t>DLIMPAG
N\A</t>
  </si>
  <si>
    <r>
      <rPr>
        <b/>
        <sz val="11"/>
        <color rgb="FF000000"/>
        <rFont val="Calibri"/>
        <scheme val="minor"/>
      </rPr>
      <t>SELECT</t>
    </r>
    <r>
      <rPr>
        <sz val="11"/>
        <color rgb="FF000000"/>
        <rFont val="Calibri"/>
        <scheme val="minor"/>
      </rPr>
      <t xml:space="preserve"> IF( TRIM( EFT02_CRTEFT.DLIMPAG ) = '', NULL, CAST( EFT02_CRTEFT.DLIMPAG AS STRING ) )</t>
    </r>
  </si>
  <si>
    <t>DLIMPAG</t>
  </si>
  <si>
    <t>Corresponds to the date in which the effective payment, related to the billing of the bill or promissory note, was made.  This field only applies to invoices, it does not apply to lines.</t>
  </si>
  <si>
    <t>Contract basics medium update</t>
  </si>
  <si>
    <t>Last Payment Date</t>
  </si>
  <si>
    <t>DCOBRANC
N\A</t>
  </si>
  <si>
    <r>
      <rPr>
        <b/>
        <sz val="11"/>
        <color rgb="FF000000"/>
        <rFont val="Calibri"/>
        <scheme val="minor"/>
      </rPr>
      <t>SELECT</t>
    </r>
    <r>
      <rPr>
        <sz val="11"/>
        <color rgb="FF000000"/>
        <rFont val="Calibri"/>
        <scheme val="minor"/>
      </rPr>
      <t xml:space="preserve"> IF( TRIM( EFT02_CRTEFT.DCOBRANC ) = '', NULL, CAST( EFT02_CRTEFT.DCOBRANC AS STRING ) )</t>
    </r>
  </si>
  <si>
    <t>DCOBRANC</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</si>
  <si>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</si>
  <si>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</si>
  <si>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</si>
  <si>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Valor total de capital cobrado ao cliente no âmbito do contrato. As cobranças tanto podem ser totais ou parciais do valor em dívida.</t>
  </si>
  <si>
    <t>EFT02_CRTEFT 
TCT09_OPERCN</t>
  </si>
  <si>
    <t>MENTPARC
N\A</t>
  </si>
  <si>
    <r>
      <rPr>
        <b/>
        <sz val="11"/>
        <color rgb="FF000000"/>
        <rFont val="Calibri"/>
        <scheme val="minor"/>
      </rPr>
      <t>SELECT</t>
    </r>
    <r>
      <rPr>
        <sz val="11"/>
        <color rgb="FF000000"/>
        <rFont val="Calibri"/>
        <scheme val="minor"/>
      </rPr>
      <t xml:space="preserve"> CAST( EFT02_CRTEFT.MENTPARC AS DECIMAL( 23, 6 ) )</t>
    </r>
  </si>
  <si>
    <t>MENTPARC</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</si>
  <si>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</si>
  <si>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</si>
  <si>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</si>
  <si>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Valor total de capital cobrado no âmbito do processo de contencioso associado ao contrato.</t>
  </si>
  <si>
    <t>N\A
MCAPITALC</t>
  </si>
  <si>
    <t>SELECT IF( TCT09_OPERCN.CKBALCAO IS NULL, CAST( 0.00 AS DECIMAL( 23, 6 ) ), CAST( TCT01_POSDIVID.MCAPITALC AS DECIMAL( 23, 6 ) ) )</t>
  </si>
  <si>
    <t>N\A || TCT01_POSDIVID</t>
  </si>
  <si>
    <t>N\A || MCAPITALC</t>
  </si>
  <si>
    <t>"0.00" || N\A</t>
  </si>
  <si>
    <t>Current Active Rate Type Code</t>
  </si>
  <si>
    <t>current_active_rate_type_code</t>
  </si>
  <si>
    <t>Ext Inf - Con Interest Inf - Code</t>
  </si>
  <si>
    <t>Represents the current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</si>
  <si>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mista ou variável.</t>
  </si>
  <si>
    <t>CURATED_INTERNAL_MAINFRAME_EFEITOS
CURATED_INTERNAL_MAINFRAME_EFEITOS
CURATED_INTERNAL_MAINFRAME_EFEITOS
CURATED_INTERNAL_MAINFRAME_CONTENCIOSO</t>
  </si>
  <si>
    <t>EFT01_CONTEFTO
EFT02_CRTEFT
EFT05_CESPEFT
TCT09_OPERCN</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</si>
  <si>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
    AND IF( EFT05_CESPEFT.CKBALCAO IS NOT NULL, IF( TRIM( EFT05_CESPEFT.CINDEX  ) != '', 1, 2 ), IF( EFT01_CONTEFTO.CKPRODUT != '092', 2, 3) = PARAM_GENERAL_CODE_CONVERTER.OPTION_NUMBER
    AND PARAM_GENERAL_CODE_CONVERTER.SOURCE_CODE = 'EF' AND PARAM_GENERAL_CODE_CONVERTER.TARGET_FIELD = 'current_active_rate_type_code' AND PARAM_GENERAL_CODE_CONVERTER.SOURCE_VALUE = ''</t>
    </r>
  </si>
  <si>
    <t>N\A || EFT02_CRTEFT  || EFT05_CESPEFT</t>
  </si>
  <si>
    <t>N\A || N\A || CINDEX</t>
  </si>
  <si>
    <t>"#N/A" || "REF" || N\A</t>
  </si>
  <si>
    <t>Current Active Indexing</t>
  </si>
  <si>
    <t>current_active_indexing</t>
  </si>
  <si>
    <t>Represents the interest rate benchmark currently associated to the contract's annual nominal interest rate, for example, Euribor.</t>
  </si>
  <si>
    <t>Código do indexante, se aplicável, atualmente associada à taxa de juro ativa (devedora) do contrato, por exemplo, Euribor.</t>
  </si>
  <si>
    <t>Reference Index:
CAT01_TAXREF; CURATED_INTERNAL_MAINFRAME_CATALOGO.CAT01_TAXREF</t>
  </si>
  <si>
    <t>N\A
N\A
CINDEX
N\A</t>
  </si>
  <si>
    <r>
      <rPr>
        <b/>
        <sz val="11"/>
        <color rgb="FF000000"/>
        <rFont val="Calibri"/>
        <scheme val="minor"/>
      </rPr>
      <t>SELECT</t>
    </r>
    <r>
      <rPr>
        <sz val="11"/>
        <color rgb="FF000000"/>
        <rFont val="Calibri"/>
        <scheme val="minor"/>
      </rPr>
      <t xml:space="preserve"> IF( EFT05_CESPEFT.CKBALCAOIS NOT NULL,
    IF( TRIM( EFT05_CESPEFT.CINDEX ) = '', 
        '#N/A', 
        EFT05_CESPEFT.CINDEX ),
    IF( EFT01_CONTEFTO.CKPRODUT != '092',
        NULL,
        '#N/A' )
</t>
    </r>
    <r>
      <rPr>
        <b/>
        <sz val="11"/>
        <color rgb="FF000000"/>
        <rFont val="Calibri"/>
        <scheme val="minor"/>
      </rPr>
      <t xml:space="preserve">WHERE </t>
    </r>
    <r>
      <rPr>
        <sz val="11"/>
        <color rgb="FF000000"/>
        <rFont val="Calibri"/>
        <scheme val="minor"/>
      </rPr>
      <t>EFT02_CRTEFT.DCONTRAT &gt;= TO_DATE( EFT05_CESPEFT.DINICIO ) AND EFT02_CRTEFT.DATA_DATE_PART &lt;= TO_DATE(EFT05_CESPEFT.DFIM )</t>
    </r>
  </si>
  <si>
    <t>N\A ||EFT02_CRTEFT ||  EFT05_CESPEFT</t>
  </si>
  <si>
    <t xml:space="preserve">N\A || N\A || CINDEX </t>
  </si>
  <si>
    <t>"#N/A" || "NULL" || N\A</t>
  </si>
  <si>
    <t>Current Active Index Rate</t>
  </si>
  <si>
    <t>current_active_index_rate</t>
  </si>
  <si>
    <t>Ext Inf - Con Interest Inf - Value</t>
  </si>
  <si>
    <t>Represents the current agreed, not necessarily applied,  interest rate, based on the reference index, applied over the contract's principal. This value can changed based on the reference rate reset period.</t>
  </si>
  <si>
    <t>Quando aplicável, representa a taxa de juro ativa (devedora) do indexante atualmente acordado no contrato.</t>
  </si>
  <si>
    <t>N\A
N\A
TKCONTR, TSPREAD
N\A</t>
  </si>
  <si>
    <r>
      <rPr>
        <b/>
        <sz val="11"/>
        <color rgb="FF000000"/>
        <rFont val="Calibri"/>
        <scheme val="minor"/>
      </rPr>
      <t>SELECT</t>
    </r>
    <r>
      <rPr>
        <sz val="11"/>
        <color rgb="FF000000"/>
        <rFont val="Calibri"/>
        <scheme val="minor"/>
      </rPr>
      <t xml:space="preserve"> CAST( IF( EFT05_CESPEFT.CKBALCAO IS NULL, 
    IF( EFT01_CONTEFTO.CKPRODUT != '092',
        NULL, 
        0.00 ),
    IF( TRIM(EFT05_CESPEFT.CINDEX ) != '', 
        IF( EFT05_CESPEFT.CSINAL = '+', 
            EFT02_CRTEFT.TKCONTR + EFT05_CESPEFT.TSPREAD,
                IF( EFT05_CESPEFT.CSINAL = '-', 
                    EFT02_CRTEFT.TKCONTR - EFT05_CESPEFT.TSPREAD,
                        IF( EFT05_CESPEFT.CSINAL  = '*',
                            EFT02_CRTEFT.TKCONTR * EFT05_CESPEFT.TSPREAD, 
                            EFT02_CRTEFT.TKCONTR ) ) ),     
        0.00 ) ) AS DECIMAL( 23, 6 )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t>
    </r>
  </si>
  <si>
    <t>N\A ||EFT05_CESPEFT || EFT05_CESPEFT</t>
  </si>
  <si>
    <t>N\A || N\A || TKCONTR CSINAL TSPREAD</t>
  </si>
  <si>
    <t>"'0.00" || "NULL" || N\A</t>
  </si>
  <si>
    <t>Current Active Spread</t>
  </si>
  <si>
    <t>current_active_spread</t>
  </si>
  <si>
    <t>Represents the current defined interest rate of additional interests or margins applied to the contract's principal.</t>
  </si>
  <si>
    <t>Taxa de spread ativa (devedora) atualmente acordada no contrato.</t>
  </si>
  <si>
    <t>N\A
N\A
TSPREAD
N\A</t>
  </si>
  <si>
    <r>
      <rPr>
        <b/>
        <sz val="11"/>
        <color rgb="FF000000"/>
        <rFont val="Calibri"/>
        <scheme val="minor"/>
      </rPr>
      <t>SELECT</t>
    </r>
    <r>
      <rPr>
        <sz val="11"/>
        <color rgb="FF000000"/>
        <rFont val="Calibri"/>
        <scheme val="minor"/>
      </rPr>
      <t xml:space="preserve"> CAST( IF( EFT05_CESPEFT.CKBALCAO IS NOT NULL, 
    EFT05_CESPEFT.TSPREAD, 
    IF( EFT01_CONTEFTO.CKPRODUT != '092',
        NULL,
        0.00 ) ) AS DECIMAL(23, 6)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t>
    </r>
  </si>
  <si>
    <t>N\A ||EFT05_CESPEFT</t>
  </si>
  <si>
    <t>N\A || N\A || TSPREAD</t>
  </si>
  <si>
    <t>"0.00" || "NULL" || N\A</t>
  </si>
  <si>
    <t>Current Active Interest Rate</t>
  </si>
  <si>
    <t>current_active_interest_rate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</si>
  <si>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</si>
  <si>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</si>
  <si>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t>Contract interest</t>
  </si>
  <si>
    <t>Current Interest Rate Percentage</t>
  </si>
  <si>
    <t>N\A
TKCONTR
N\A</t>
  </si>
  <si>
    <r>
      <rPr>
        <b/>
        <sz val="11"/>
        <color rgb="FF000000"/>
        <rFont val="Calibri"/>
        <scheme val="minor"/>
      </rPr>
      <t>SELECT</t>
    </r>
    <r>
      <rPr>
        <sz val="11"/>
        <color rgb="FF000000"/>
        <rFont val="Calibri"/>
        <scheme val="minor"/>
      </rPr>
      <t xml:space="preserve"> CAST( EFT02_CRTEFT.TKCONTR AS DECIMAL(23, 6) )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t>
    </r>
  </si>
  <si>
    <t>N\A || EFT02_CRTEFT || EFT05_CESPEFT</t>
  </si>
  <si>
    <t>N\A || TKCONTR || TKCONTR</t>
  </si>
  <si>
    <t>"0.00" || N\A || N\A</t>
  </si>
  <si>
    <t>Contract Status:
TAT91_TABELAS - CTABELA 901; CURATED_INTERNAL_MAINFRAME_ESTRUTURAIS.TAT91_TABELAS - TAYD91C0_CTABELA 901</t>
  </si>
  <si>
    <t xml:space="preserve">Contract Status   </t>
  </si>
  <si>
    <r>
      <rPr>
        <b/>
        <sz val="11"/>
        <color rgb="FF000000"/>
        <rFont val="Calibri"/>
        <scheme val="minor"/>
      </rPr>
      <t>SELECT</t>
    </r>
    <r>
      <rPr>
        <sz val="11"/>
        <color rgb="FF000000"/>
        <rFont val="Calibri"/>
        <scheme val="minor"/>
      </rPr>
      <t xml:space="preserve"> IF( TRIM( EFT02_CRTEFT.CSITEF ) = '', NULL, PARAM_GENERAL_CODE_CONVERTER.TARGET_VALUE )
</t>
    </r>
    <r>
      <rPr>
        <b/>
        <sz val="11"/>
        <color rgb="FF000000"/>
        <rFont val="Calibri"/>
        <scheme val="minor"/>
      </rPr>
      <t>WHERE</t>
    </r>
    <r>
      <rPr>
        <sz val="11"/>
        <color rgb="FF000000"/>
        <rFont val="Calibri"/>
        <scheme val="minor"/>
      </rPr>
      <t xml:space="preserve"> PARAM_GENERAL_CODE_CONVERTER.TAREGT_FIELD = 'contract_status_code' AND PARAM_GENERAL_CODE_CONVERTER.SOURCE_CODE = 'EF' AND PARAM_GENERAL_CODE_CONVERTER.SOURCE_VALUE = EFT02_CRTEFT.CSITEF AND PARAM_GENERAL_CODE_CONVERTER.OPTION_NUMBER = '1'</t>
    </r>
  </si>
  <si>
    <t>CSITEF</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</si>
  <si>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'EF' AND PARAM_GENERAL_CODE_CONVERTER.SOURCE_VALUE = '' AND PARAM_GENERAL_CODE_CONVERTER.OPTION_NUMBER = '1'</t>
    </r>
  </si>
  <si>
    <t>Source:
N\A || N\A; N\A || N\A</t>
  </si>
  <si>
    <r>
      <rPr>
        <b/>
        <sz val="11"/>
        <color rgb="FF000000"/>
        <rFont val="Calibri"/>
        <scheme val="minor"/>
      </rPr>
      <t>SELECT</t>
    </r>
    <r>
      <rPr>
        <sz val="11"/>
        <color rgb="FF000000"/>
        <rFont val="Calibri"/>
        <scheme val="minor"/>
      </rPr>
      <t xml:space="preserve"> IF( TCT09_OPERCN.CKBALCAO IS NULL, 'EF', 'TC' )</t>
    </r>
  </si>
  <si>
    <t>"EF" || "TC"</t>
  </si>
  <si>
    <t>Balance Datetime</t>
  </si>
  <si>
    <t>DATA_DATE_PART
N\A</t>
  </si>
  <si>
    <r>
      <rPr>
        <b/>
        <sz val="11"/>
        <color rgb="FF000000"/>
        <rFont val="Calibri"/>
        <scheme val="minor"/>
      </rPr>
      <t>SELECT</t>
    </r>
    <r>
      <rPr>
        <sz val="11"/>
        <color rgb="FF000000"/>
        <rFont val="Calibri"/>
        <scheme val="minor"/>
      </rPr>
      <t xml:space="preserve"> EFT02_CRTEFT.DATA_DATE_PART</t>
    </r>
  </si>
  <si>
    <r>
      <rPr>
        <b/>
        <sz val="11"/>
        <color rgb="FF000000"/>
        <rFont val="Calibri"/>
        <scheme val="minor"/>
      </rPr>
      <t>SELECT</t>
    </r>
    <r>
      <rPr>
        <sz val="11"/>
        <color rgb="FF000000"/>
        <rFont val="Calibri"/>
        <scheme val="minor"/>
      </rPr>
      <t xml:space="preserve"> NOW()</t>
    </r>
  </si>
  <si>
    <t>Confirming Contract</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</si>
  <si>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</si>
  <si>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</si>
  <si>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CURATED_INTERNAL_MAINFRAME_CONFIRMING
CURATED_INTERNAL_MAINFRAME_CONFIRMING
CURATED_INTERNAL_MAINFRAME_CONTAS
CURATED_INTERNAL_MAINFRAME_CONTENCIOSO
COMMON_REFERENCEDATA_CORE
COMMON_REFERENCEDATA_CORE</t>
  </si>
  <si>
    <t>FCT03_FACTURA
FCT01_CTACONF
INTERFACE_DCT01
TCT09_OPERCN
PARAM_GENERAL_CODE_CONVERTER
PARAM_LITIGATION_PRODUCT</t>
  </si>
  <si>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'FC' AND PARAM_GENERAL_CODE_CONVERTER.SOURCE_VALUE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</si>
  <si>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FC - Confirming
DC - Contas a Vista
TC - Terminal Contencioso</t>
  </si>
  <si>
    <t>"31"
"31"
"31"
"31"</t>
  </si>
  <si>
    <t>CURATED_INTERNAL_MAINFRAME_CONFIRMING
CURATED_INTERNAL_MAINFRAME_CONFIRMING
CURATED_INTERNAL_MAINFRAME_CONTAS 
CURATED_INTERNAL_MAINFRAME_CONTENCIOSO
COMMON_REFERENCEDATA_CORE</t>
  </si>
  <si>
    <t>FCT03_FACTURA
FCT01_CTACONF
INTERFACE_DCT01
TCT09_OPERCN
PARAM_LITIGATION_PRODUCT</t>
  </si>
  <si>
    <t>CKBALCAO, CKNUMCTA, ZSEQFACT
CKBALCAO, CKNUMCTA
DCYR8101_CKBALCAO, DCYR8101_CKNUMCTA
CKBALCAO, CKNUMCTA, ZDEPOSIT
N\A</t>
  </si>
  <si>
    <r>
      <rPr>
        <b/>
        <sz val="11"/>
        <color rgb="FF000000"/>
        <rFont val="Calibri"/>
        <scheme val="minor"/>
      </rPr>
      <t>SELECT</t>
    </r>
    <r>
      <rPr>
        <sz val="11"/>
        <color rgb="FF000000"/>
        <rFont val="Calibri"/>
        <scheme val="minor"/>
      </rPr>
      <t xml:space="preserve"> CONCAT( FCT03_FACTURA.CKBALCAO, FCT03_FACTURA.CKNUMCTA, '10', LPAD( FCT03_FACTURA.ZSEQFACT, 9, '0' ), '0000' )
</t>
    </r>
    <r>
      <rPr>
        <b/>
        <sz val="11"/>
        <color rgb="FF000000"/>
        <rFont val="Calibri"/>
        <scheme val="minor"/>
      </rPr>
      <t>SELECT</t>
    </r>
    <r>
      <rPr>
        <sz val="11"/>
        <color rgb="FF000000"/>
        <rFont val="Calibri"/>
        <scheme val="minor"/>
      </rPr>
      <t xml:space="preserve"> CONCAT(FCT01_CTACONF.CKBALCAO, FCT01_CTACONF.CKNUMCTA, '000000000000000')
</t>
    </r>
    <r>
      <rPr>
        <b/>
        <sz val="11"/>
        <color rgb="FF000000"/>
        <rFont val="Calibri"/>
        <scheme val="minor"/>
      </rPr>
      <t>SELECT</t>
    </r>
    <r>
      <rPr>
        <sz val="11"/>
        <color rgb="FF000000"/>
        <rFont val="Calibri"/>
        <scheme val="minor"/>
      </rPr>
      <t xml:space="preserve"> CONCAT( INTERFACE_DCT01.DCYR8101_CKBALCAO, INTERFACE_DCT01.DCYR8101_CKNUMCTA, '000000000000000' )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</si>
  <si>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FCT01_CTACONF
DCYR8101
TCT09_OPERCN</t>
  </si>
  <si>
    <t>CONCAT( CKBALCAO, CKNUMCTA, "10", LPAD(ZSEQFACT, 9, '0' ),  "0000" )
CONCAT( CKBALCAO, CKNUMCTA, "000000000000000" )
CONCAT (CKBALCAO, CKNUMCTA, "000000000000000" )
CONCAT ( CKBALCAO, CKNUMCTA, ZDEPOSIT )</t>
  </si>
  <si>
    <t>Product Type:
N\A; N\A
N\A; N\A
N\A; N\A
N\A; N\A</t>
  </si>
  <si>
    <t>CURATED_INTERNAL_MAINFRAME_CONFIRMING
CURATED_INTERNAL_MAINFRAME_CONFIRMING
CURATED_INTERNAL_MAINFRAME_CONTAS 
CURATED_INTERNAL_MAINFRAME_CONTENCIOSO
COMMON_REFERENCEDATA_CORE
COMMON_REFERENCEDATA_CORE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</si>
  <si>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 xml:space="preserve">WHERE </t>
    </r>
    <r>
      <rPr>
        <sz val="11"/>
        <color rgb="FF000000"/>
        <rFont val="Calibri"/>
        <scheme val="minor"/>
      </rPr>
      <t>PARAM_GENERAL_CODE_CONVERTER.TARGET_FIELD = 'product_family_id'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</si>
  <si>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</si>
  <si>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N\A
CKPRODUT
DCYR8101_CKPRODUT 
CKPRODUT
N\A</t>
  </si>
  <si>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SELECT</t>
    </r>
    <r>
      <rPr>
        <sz val="11"/>
        <color rgb="FF000000"/>
        <rFont val="Calibri"/>
        <scheme val="minor"/>
      </rPr>
      <t xml:space="preserve"> IF( TRIM( INTERFACE_DCT01.DCYR8101_CKPRODUT ) = '', NULL, INTERFACE_DCT01.DCYR8101_CKPRODUT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TCT09_OPERCN.CKPRODUT ) = '', NULL, TCT09_OPERCN.CKPRODUT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</si>
  <si>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FCT01_CTACONF
FCT01_CTACONF
DCYR8101
TCT09_OPERCN</t>
  </si>
  <si>
    <t>CKPRODUT
CKPRODUT
CKPRODUT
CKPRODUT</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</si>
  <si>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</si>
  <si>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N\A
CKSUBPRO
DCYR8101_CKSUBPRO
CKSUBPROD
N\A</t>
  </si>
  <si>
    <r>
      <rPr>
        <b/>
        <sz val="11"/>
        <color rgb="FF000000"/>
        <rFont val="Calibri"/>
        <scheme val="minor"/>
      </rPr>
      <t xml:space="preserve">SELECT </t>
    </r>
    <r>
      <rPr>
        <sz val="11"/>
        <color rgb="FF000000"/>
        <rFont val="Calibri"/>
        <scheme val="minor"/>
      </rPr>
      <t xml:space="preserve">IF( TRIM( FCT01_CTACONF.CKSUBPRO ) = '', NULL, FCT01_CTACONF.CKSUBPRO )
</t>
    </r>
    <r>
      <rPr>
        <b/>
        <sz val="11"/>
        <color rgb="FF000000"/>
        <rFont val="Calibri"/>
        <scheme val="minor"/>
      </rPr>
      <t xml:space="preserve">
SELECT</t>
    </r>
    <r>
      <rPr>
        <sz val="11"/>
        <color rgb="FF000000"/>
        <rFont val="Calibri"/>
        <scheme val="minor"/>
      </rPr>
      <t xml:space="preserve"> IF( TRIM( FCT01_CTACONF.CKSUBPRO ) = '', NULL, FCT01_CTACONF.CKSUBPRO )
</t>
    </r>
    <r>
      <rPr>
        <b/>
        <sz val="11"/>
        <color rgb="FF000000"/>
        <rFont val="Calibri"/>
        <scheme val="minor"/>
      </rPr>
      <t>SELECT</t>
    </r>
    <r>
      <rPr>
        <sz val="11"/>
        <color rgb="FF000000"/>
        <rFont val="Calibri"/>
        <scheme val="minor"/>
      </rPr>
      <t xml:space="preserve"> IF( TRIM( INTERFACE_DCT01.DCYR8101_CKSUBPRO ) = '', NULL, INTERFACE_DCT01.DCYR8101_CKSUBPRO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TCT09_OPERCN.CKSUBPROD ) = '', NULL, TCT09_OPERCN.CKSUBPROD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</si>
  <si>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CKSUBPRO
CKSUBPRO
CKSUBPRO
CKSUBPRO</t>
  </si>
  <si>
    <t>Bank identifier (internal Santander’s company identification code) that is related to the current account contract which anchors the confirming contract.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</si>
  <si>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</si>
  <si>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"31"
"31"
"NULL"
31</t>
  </si>
  <si>
    <t>Contract identifier of the main current account that anchors the confirming contract.</t>
  </si>
  <si>
    <t>CURATED_INTERNAL_MAINFRAME_CONTAS
CURATED_INTERNAL_MAINFRAME_CONFIRMING
CURATED_INTERNAL_MAINFRAME_CONFIRMING
CURATED_INTERNAL_MAINFRAME_CONTAS 
CURATED_INTERNAL_MAINFRAME_CONTENCIOSO
COMMON_REFERENCEDATA_CORE</t>
  </si>
  <si>
    <t>DCT15_RELCTA
FCT03_FACTURA
FCT01_CTACONF
INTERFACE_DCT01
TCT09_OPERCN
PARAM_LITIGATION_PRODUCT</t>
  </si>
  <si>
    <t>CKBALCAO, CKNUMCTA
N\A
N\A
N\A
N\A
N\A</t>
  </si>
  <si>
    <r>
      <rPr>
        <sz val="11"/>
        <color rgb="FF000000"/>
        <rFont val="Calibri"/>
        <scheme val="minor"/>
      </rPr>
      <t xml:space="preserve">SELECT IF( TRIM( CONCAT( DCT15_RELCTA.CKBALCAO, DCT15_RELCTA.CKNUMCTA ) ) = '', NULL, CONCAT( DCT15_RELCTA.CKBALCAO, DCT15_RELCTA.CKNUMCTA, '000000000000000' ) )
WHERE CRELCTA = '025' AND DTFIM = '9999-12-31'
SELECT IF( TRIM( CONCAT( DCT15_RELCTA.CKBALCAO, dct15.CKNUMCTA ) ) = '', NULL, CONCAT( DCT15_RELCTA.CKBALCAO, DCT15_RELCTA.CKNUMCTA, '000000000000000' ) )
WHERE CRELCTA = '025' AND DTFIM = '9999-12-31'
SELECT NULL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CONCAT( TCT09_OPERCN.CKBALDO , TCT09_OPERCN.CKCTADO) ) = '', NULL, CONCAT( TCT09_OPERCN.CKBALDO , TCT09_OPERCN.CKCTADO, '000000000000000'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</si>
  <si>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DC - Contas a Vista
DC - Contas a Vista
DC - Contas a Vista
TC - Terminal Contencioso</t>
  </si>
  <si>
    <t>DCT15_RELCTA
DCT15_RELCTA
N\A
TCT09_OPERCN</t>
  </si>
  <si>
    <t>CONCAT( CKBALCAO, CKNUMCTA, "000000000000000" )
CONCAT( CKBALCAO, CKNUMCTA, "000000000000000" )
N\A
CONCAT( CKBALDO, CKCTADO, "000000000000000" )</t>
  </si>
  <si>
    <t>N\A
N\A
"NULL"
N\A</t>
  </si>
  <si>
    <t>Identifier of the confirming process bank to which the confirming invoice is associated to.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</si>
  <si>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GENERAL_CONVERTER.SOURCE_CODE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GENERAL_CONVERTER.SOURCE_CODE = 'FC'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</si>
  <si>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"31"
"31"
"NULL"
"NULL"</t>
  </si>
  <si>
    <t>Identifier of the process associated with the confirming's contract.</t>
  </si>
  <si>
    <t>CKBALCAO, CKNUMCTA
CKBALCAO, CKNUMCTA
N\A
N\A
N\A</t>
  </si>
  <si>
    <r>
      <rPr>
        <b/>
        <sz val="11"/>
        <color rgb="FF000000"/>
        <rFont val="Calibri"/>
        <scheme val="minor"/>
      </rPr>
      <t>SELECT</t>
    </r>
    <r>
      <rPr>
        <sz val="11"/>
        <color rgb="FF000000"/>
        <rFont val="Calibri"/>
        <scheme val="minor"/>
      </rPr>
      <t xml:space="preserve"> IF( TRIM( CONCAT( FCT03_FACTURA.CKBALCAO, FCT03_FACTURA.CKNUMCTA ) ) = '', NULL, CONCAT( FCT03_FACTURA.CKBALCAO, FCT03_FACTURA.CKNUMCTA ) )
</t>
    </r>
    <r>
      <rPr>
        <b/>
        <sz val="11"/>
        <color rgb="FF000000"/>
        <rFont val="Calibri"/>
        <scheme val="minor"/>
      </rPr>
      <t>SELECT</t>
    </r>
    <r>
      <rPr>
        <sz val="11"/>
        <color rgb="FF000000"/>
        <rFont val="Calibri"/>
        <scheme val="minor"/>
      </rPr>
      <t xml:space="preserve"> IF( TRIM( CONCAT( FCT01_CTACONF.CKBALCAO, FCT01_CTACONF.CKNUMCTA ) ) = '', NULL, CONCAT( FCT01_CTACONF.CKBALCAO, FCT01_CTACONF.CKNUMCTA ) )
</t>
    </r>
    <r>
      <rPr>
        <b/>
        <sz val="11"/>
        <color rgb="FF000000"/>
        <rFont val="Calibri"/>
        <scheme val="minor"/>
      </rPr>
      <t>SELECT</t>
    </r>
    <r>
      <rPr>
        <sz val="11"/>
        <color rgb="FF000000"/>
        <rFont val="Calibri"/>
        <scheme val="minor"/>
      </rPr>
      <t xml:space="preserve"> NULL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</si>
  <si>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FCT01_CTACONF
N\A
N\A</t>
  </si>
  <si>
    <t>CONCAT( CKBALCAO, CKNUMCTA )
CONCAT( CKBALCAO, CKNUMCTA )
N\A
N\A</t>
  </si>
  <si>
    <t>N\A
N\A
"NULL"
"NULL"</t>
  </si>
  <si>
    <t>DTRATAM
DABERT
DCYR8101_DABERTUR 
DCONTRAT
N\A</t>
  </si>
  <si>
    <r>
      <rPr>
        <b/>
        <sz val="11"/>
        <color rgb="FF000000"/>
        <rFont val="Calibri"/>
        <scheme val="minor"/>
      </rPr>
      <t>SELECT</t>
    </r>
    <r>
      <rPr>
        <sz val="11"/>
        <color rgb="FF000000"/>
        <rFont val="Calibri"/>
        <scheme val="minor"/>
      </rPr>
      <t xml:space="preserve"> IF( TRIM( FCT03_FACTURA.DTRATAM ) = '', NULL, CAST( FCT03_FACTURA.DTRATAM AS STRING ) )
</t>
    </r>
    <r>
      <rPr>
        <b/>
        <sz val="11"/>
        <color rgb="FF000000"/>
        <rFont val="Calibri"/>
        <scheme val="minor"/>
      </rPr>
      <t>SELECT</t>
    </r>
    <r>
      <rPr>
        <sz val="11"/>
        <color rgb="FF000000"/>
        <rFont val="Calibri"/>
        <scheme val="minor"/>
      </rPr>
      <t xml:space="preserve"> IF(TRIM( FCT01_CTACONF.DABERT ) = '', NULL, CAST( FCT01_CTACONF.DABERT AS STRING ) )
</t>
    </r>
    <r>
      <rPr>
        <b/>
        <sz val="11"/>
        <color rgb="FF000000"/>
        <rFont val="Calibri"/>
        <scheme val="minor"/>
      </rPr>
      <t>SELECT</t>
    </r>
    <r>
      <rPr>
        <sz val="11"/>
        <color rgb="FF000000"/>
        <rFont val="Calibri"/>
        <scheme val="minor"/>
      </rPr>
      <t xml:space="preserve"> IF( TRIM( INTERFACE_DCT01.DCYR8101_DABERTUR ) = '', NULL, CAST( INTERFACE_DCT01.DCYR8101_DABERTUR AS STRING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TCT09_OPERCN.DCONTRAT ) = '', NULL, CAST( TCT09_OPERCN.DCONTRAT AS STRING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</si>
  <si>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DTRATAM 
DABERT
DABERTUR
DCONTRAT</t>
  </si>
  <si>
    <t>DVENCIME
N\A
DCYR8100_DTVENCIM
DVENCIM 
N\A</t>
  </si>
  <si>
    <r>
      <rPr>
        <b/>
        <sz val="11"/>
        <color rgb="FF000000"/>
        <rFont val="Calibri"/>
        <scheme val="minor"/>
      </rPr>
      <t>SELECT</t>
    </r>
    <r>
      <rPr>
        <sz val="11"/>
        <color rgb="FF000000"/>
        <rFont val="Calibri"/>
        <scheme val="minor"/>
      </rPr>
      <t xml:space="preserve"> IF( TRIM( FCT03_FACTURA.DVENCIME ) = '', NULL, CAST( FCT03_FACTURA.DVENCIME AS STRING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'current_maturity_date'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IF( TRIM( INTERFACE_DCT01.DCYR8100_DTVENCIM ) = '', NULL, CAST( INTERFACE_DCT01.DCYR8100_DTVENCIM AS STRING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 xml:space="preserve">
SELECT</t>
    </r>
    <r>
      <rPr>
        <sz val="11"/>
        <color rgb="FF000000"/>
        <rFont val="Calibri"/>
        <scheme val="minor"/>
      </rPr>
      <t xml:space="preserve"> IF( TRIM( TCT09_OPERCN.DVENCIM ) = '', NULL, CAST( TCT09_OPERCN.DVENCIM AS STRING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</si>
  <si>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N\A
DCYR8101
TCT09_OPERCN</t>
  </si>
  <si>
    <t>DVENCIME
N\A
DTVENCIM
DVENCIM</t>
  </si>
  <si>
    <t>N\A
"9999-12-31"
N\A
N\A</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</si>
  <si>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</si>
  <si>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
Transactions - General</t>
  </si>
  <si>
    <t>Currency
Currency
Currency</t>
  </si>
  <si>
    <t>CURATED_INTERNAL_MAINFRAME_CONFIRMING
CURATED_INTERNAL_MAINFRAME_CONFIRMING
CURATED_INTERNAL_MAINFRAME_CONTAS 
CURATED_INTERNAL_MAINFRAME_CONTENCIOSO
CURATED_INTERNAL_MAINFRAME_ESTRUTURAIS
COMMON_REFERENCEDATA_CORE</t>
  </si>
  <si>
    <t>FCT03_FACTURA
FCT01_CTACONF
INTERFACE_DCT01
TCT09_OPERCN
TAT91_TABELAS
PARAM_LITIGATION_PRODUCT</t>
  </si>
  <si>
    <t>CMOEDA
CMOEDA
DCYR8101_CMOEDA
N\A
TAYD91C0_CELEMTAB
N\A</t>
  </si>
  <si>
    <r>
      <rPr>
        <b/>
        <sz val="11"/>
        <color rgb="FF000000"/>
        <rFont val="Calibri"/>
        <scheme val="minor"/>
      </rPr>
      <t>SELECT</t>
    </r>
    <r>
      <rPr>
        <sz val="11"/>
        <color rgb="FF000000"/>
        <rFont val="Calibri"/>
        <scheme val="minor"/>
      </rPr>
      <t xml:space="preserve"> IF( TRIM( FCT03_FACTURA.CMOEDA) = '', NULL, FCT03_FACTURA.CMOEDA)
</t>
    </r>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SELECT</t>
    </r>
    <r>
      <rPr>
        <sz val="11"/>
        <color rgb="FF000000"/>
        <rFont val="Calibri"/>
        <scheme val="minor"/>
      </rPr>
      <t xml:space="preserve"> IF( TRIM( INTERFACE_DCT01.DCYR8101_CMOEDA ) = '', NULL, INTERFACE_DCT01.DCYR8101_CMOEDA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TAT91_TABELAS.TAYD91C0_CELEMTAB ) = '', NULL, TAT91_TABELAS.TAYD91C0_CELEMTAB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</si>
  <si>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FC - Confirming
DC - Contas a Vista
TC - Terminal Contencioso -&gt; TA - Tabelas Gerais</t>
  </si>
  <si>
    <t>FCT03_FACTURA
FCT01_CTACONF
DCYR8101
TCT09_OPERCN -&gt;  TAT91_TABELAS</t>
  </si>
  <si>
    <t>CMOEDA
CMOEDA
CMOEDA
CMOEDALF -&gt; CELEMTAB</t>
  </si>
  <si>
    <t>N\A
N\A
N\A
N\A -&gt;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</si>
  <si>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'DC' AND PARAM_GENERAL_CODE_CONVERTER.OPTION_NUMBER = 1 AND PARAM_GENERAL_CODE_CONVERTER.SOURCE_VALUE =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    AND PARAM_GENERAL_CODE_CONVERTER.TARGET_FIELD = 'litigation_indicator' AND PARAM_GENERAL_CODE_CONVERTER.SOURCE_CODE = 'TC' AND PARAM_GENERAL_CODE_CONVERTER.OPTION_NUMBER = 1 AND PARAM_GENERAL_CODE_CONVERTER.SOURCE_VALUE = ''</t>
    </r>
  </si>
  <si>
    <t>"0"
"0"
"0"
"1"</t>
  </si>
  <si>
    <t>Current total amount that can be used as credit. This value, in confirming, currently has to be used all at once.</t>
  </si>
  <si>
    <t>MONTANTE
MLIMCART 
N\A
N\A
N\A</t>
  </si>
  <si>
    <r>
      <rPr>
        <b/>
        <sz val="11"/>
        <color rgb="FF000000"/>
        <rFont val="Calibri"/>
        <scheme val="minor"/>
      </rPr>
      <t>SELECT</t>
    </r>
    <r>
      <rPr>
        <sz val="11"/>
        <color rgb="FF000000"/>
        <rFont val="Calibri"/>
        <scheme val="minor"/>
      </rPr>
      <t xml:space="preserve"> CAST( FCT03_FACTURA.MONTANTE AS DECIMAL( 23, 6 ) )
</t>
    </r>
    <r>
      <rPr>
        <b/>
        <sz val="11"/>
        <color rgb="FF000000"/>
        <rFont val="Calibri"/>
        <scheme val="minor"/>
      </rPr>
      <t>SELECT</t>
    </r>
    <r>
      <rPr>
        <sz val="11"/>
        <color rgb="FF000000"/>
        <rFont val="Calibri"/>
        <scheme val="minor"/>
      </rPr>
      <t xml:space="preserve"> CAST( FCT01_CTACONF.MLIMCART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</si>
  <si>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MONTANTE
MLIMCART
N\A
N\A</t>
  </si>
  <si>
    <t>Current Available Amount</t>
  </si>
  <si>
    <t>current_available_amount</t>
  </si>
  <si>
    <t>Current actual amount that can still be used as credit. This field only applies to lines.</t>
  </si>
  <si>
    <t>Valor atualmente disponível para financiamento no contrato.</t>
  </si>
  <si>
    <t>CURATED_INTERNAL_MAINFRAME_CONFIRMING
CURATED_INTERNAL_MAINFRAME_CONTABILIDADE
CURATED_INTERNAL_MAINFRAME_CONTAS 
CURATED_INTERNAL_MAINFRAME_CONTENCIOSO
COMMON_REFERENCEDATA_CORE</t>
  </si>
  <si>
    <t>FCT03_FACTURA
CARTEIRAS
INTERFACE_DCT01
TCT09_OPERCN
PARAM_LITIGATION_PRODUCT</t>
  </si>
  <si>
    <t>N\A
MONTANTE 
N\A
N\A
N\A</t>
  </si>
  <si>
    <r>
      <rPr>
        <b/>
        <sz val="11"/>
        <color rgb="FF000000"/>
        <rFont val="Calibri"/>
        <scheme val="minor"/>
      </rPr>
      <t>SELECT</t>
    </r>
    <r>
      <rPr>
        <sz val="11"/>
        <color rgb="FF000000"/>
        <rFont val="Calibri"/>
        <scheme val="minor"/>
      </rPr>
      <t xml:space="preserve"> CAST(0.00 AS DECIMAL( 23, 6 ) )
</t>
    </r>
    <r>
      <rPr>
        <b/>
        <sz val="11"/>
        <color rgb="FF000000"/>
        <rFont val="Calibri"/>
        <scheme val="minor"/>
      </rPr>
      <t>SELECT</t>
    </r>
    <r>
      <rPr>
        <sz val="11"/>
        <color rgb="FF000000"/>
        <rFont val="Calibri"/>
        <scheme val="minor"/>
      </rPr>
      <t xml:space="preserve"> CAST( - CARTEIRAS.MONTANTE AS DECIMAL( 23, 6 ) )
</t>
    </r>
    <r>
      <rPr>
        <b/>
        <sz val="11"/>
        <color rgb="FF000000"/>
        <rFont val="Calibri"/>
        <scheme val="minor"/>
      </rPr>
      <t>WHERE</t>
    </r>
    <r>
      <rPr>
        <sz val="11"/>
        <color rgb="FF000000"/>
        <rFont val="Calibri"/>
        <scheme val="minor"/>
      </rPr>
      <t xml:space="preserve"> CARTEIRAS.ICYR0N00_CGRUPOIC = '78'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</si>
  <si>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IC - Interface Contabilística
DC - Contas a Vista
TC - Terminal Contencioso</t>
  </si>
  <si>
    <t>N\A
FC - GEYRN000 Carteira IC C78
N\A
N\A</t>
  </si>
  <si>
    <t>N\A
(- MONTANTE )
N\A
N\A</t>
  </si>
  <si>
    <t>"0.00"
N\A
"0.00"
"0.00"</t>
  </si>
  <si>
    <t>The principal amount which has been used but has not reach its maturity date and is yet to be repaid. This field only applies to bills or pormissory notes, it does not apply to lines.</t>
  </si>
  <si>
    <t>CURATED_INTERNAL_MAINFRAME_CONFIRMING
CURATED_INTERNAL_MAINFRAME_CONFIRMING
CURATED_INTERNAL_MAINFRAME_CONFIRMING
CURATED_INTERNAL_MAINFRAME_CONTAS 
CURATED_INTERNAL_MAINFRAME_CONTENCIOSO
COMMON_REFERENCEDATA_CORE</t>
  </si>
  <si>
    <t>FCT03_FACTURA
FCT01_CTACONF
FCT16_MOVIDEV
INTERFACE_DCT01
TCT09_OPERCN
PARAM_LITIGATION_PRODUCT</t>
  </si>
  <si>
    <t>MONTANTE, MSLDCOBR
N\A
MACUMUL
N\A
N\A
N\A</t>
  </si>
  <si>
    <r>
      <rPr>
        <b/>
        <sz val="11"/>
        <color rgb="FF000000"/>
        <rFont val="Calibri"/>
        <scheme val="minor"/>
      </rPr>
      <t>SELECT</t>
    </r>
    <r>
      <rPr>
        <sz val="11"/>
        <color rgb="FF000000"/>
        <rFont val="Calibri"/>
        <scheme val="minor"/>
      </rPr>
      <t xml:space="preserve"> IF( FCT01_CTACONF.CKSUBPRO IN ( '140', 'Y40', '141' ),
    CAST( ( FCT03_FACTURA.MONTANTE - fct16.MACUMUL ) AS DECIMAL( 23, 6 ) ),
    CAST( ( FCT03_FACTURA.MONTANTE - FCT03_FACTURA.MSLDCOBR ) AS DECIMAL( 23, 6 ) )
</t>
    </r>
    <r>
      <rPr>
        <b/>
        <sz val="11"/>
        <color rgb="FF000000"/>
        <rFont val="Calibri"/>
        <scheme val="minor"/>
      </rPr>
      <t>WHERE</t>
    </r>
    <r>
      <rPr>
        <sz val="11"/>
        <color rgb="FF000000"/>
        <rFont val="Calibri"/>
        <scheme val="minor"/>
      </rPr>
      <t xml:space="preserve"> MAX ( DMOVIM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</si>
  <si>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 (1)FCT03_FACTURA + (2)FCT16_MOVIDEV
N\A
N\A
N\A</t>
  </si>
  <si>
    <t>MONTANTE - MSLDCOBR || (1)MONTANTE - (2)MACUMUL
N\A
N\A
N\A</t>
  </si>
  <si>
    <t>N\A || N\A
"0.00"
"0.00"
"0.00"</t>
  </si>
  <si>
    <t>N\A
N\A
DCYR8101_MSALDO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</si>
  <si>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WHERE TCT09_OPERCN.ISITUAC = '1' AND (GROUP BY TCT09_OPERCN.CKBALCAO, TCT09_OPERCN,CKNUMCTA)
    AND PARAM_LITIGATION_PRODUCT.SOURCE_PRODUCT_ID = TCT09_OPERCN.CKPRODUT AND PARAM_LITIGATION_PRODUCT.SOURCE_SUBPRODUCT_ID = TCT09_OPERCN.CKSUBPRO AND PARAM_LITIGATION_PRODUCT.SOURCE_CODE = 'FC'</t>
    </r>
  </si>
  <si>
    <t>N\A
N\A
DCYR8101
N\A</t>
  </si>
  <si>
    <t>N\A
N\A
( - (MSALDO ) )
N\A</t>
  </si>
  <si>
    <t>"0.00"
"0.00"
N\A
"0.00"</t>
  </si>
  <si>
    <t>CURATED_INTERNAL_MAINFRAME_CONFIRMING
CURATED_INTERNAL_MAINFRAME_CONFIRMING
CURATED_INTERNAL_MAINFRAME_CONTAS 
CURATED_INTERNAL_MAINFRAME_CONTENCIOSO
CURATED_INTERNAL_MAINFRAME_CONTENCIOSO
COMMON_REFERENCEDATA_CORE</t>
  </si>
  <si>
    <t>FCT03_FACTURA
FCT01_CTACONF
INTERFACE_DCT01
TCT09_OPERCN
TCT01_POSDIVID
PARAM_LITIGATION_PRODUCT</t>
  </si>
  <si>
    <t>N\A
N\A
N\A
N\A
MCAPITALD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</si>
  <si>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CAST(TCT01_POSDIVID.MCAPITALD AS DECIMAL( 23, 6 ) )
</t>
    </r>
    <r>
      <rPr>
        <b/>
        <sz val="11"/>
        <color rgb="FF000000"/>
        <rFont val="Calibri"/>
        <scheme val="minor"/>
      </rPr>
      <t>WHERE</t>
    </r>
    <r>
      <rPr>
        <sz val="11"/>
        <color rgb="FF000000"/>
        <rFont val="Calibri"/>
        <scheme val="minor"/>
      </rPr>
      <t xml:space="preserve"> TCT01_POSDIVID.IACTIVO = 'S' AND TCT09_OPERCN.ISITUAC = '1' AND (GROUP BY TCT09_OPERCN.CKBALCAO, TCT09_OPERCN,CKNUMCTA)
    AND PARAM_LITIGATION_PRODUCT.SOURCE_PRODUCT_ID = TCT09_OPERCN.CKPRODUT AND PARAM_LITIGATION_PRODUCT.SOURCE_SUBPRODUCT_ID = TCT09_OPERCN.CKSUBPRO AND PARAM_LITIGATION_PRODUCT.SOURCE_CODE = 'FC'</t>
    </r>
  </si>
  <si>
    <t>N\A
N\A
N\A
TCT01_POSDIVID</t>
  </si>
  <si>
    <t>N\A
N\A
N\A
MCAPITALD</t>
  </si>
  <si>
    <t>"0.00"
"0.00"
"0.00"
N\A</t>
  </si>
  <si>
    <t>Corresponds to the predicted date in which an effective payment, related to the billing of the invoice, will be made. This field only applies to invoices, it does not apply to lines.</t>
  </si>
  <si>
    <t>Transactions - General</t>
  </si>
  <si>
    <t>Transaction Date Time</t>
  </si>
  <si>
    <t>DVENCIME
N\A
N\A
N\A
N\A</t>
  </si>
  <si>
    <r>
      <rPr>
        <b/>
        <sz val="11"/>
        <color rgb="FF000000"/>
        <rFont val="Calibri"/>
        <scheme val="minor"/>
      </rPr>
      <t>SELECT</t>
    </r>
    <r>
      <rPr>
        <sz val="11"/>
        <color rgb="FF000000"/>
        <rFont val="Calibri"/>
        <scheme val="minor"/>
      </rPr>
      <t xml:space="preserve"> IF( TRIM( FCT03_FACTURA.DVENCIME ) = '', NULL, CAST( FCT03_FACTURA.DVENCIME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</si>
  <si>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N\A
N\A
N\A</t>
  </si>
  <si>
    <t>DVENCIME
N\A
N\A
N\A</t>
  </si>
  <si>
    <t>N\A
"#N/A"
"NULL"
"NULL"</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</si>
  <si>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</si>
  <si>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</si>
  <si>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</si>
  <si>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DCOBRA
N\A
N\A
N\A
N\A</t>
  </si>
  <si>
    <r>
      <rPr>
        <b/>
        <sz val="11"/>
        <color rgb="FF000000"/>
        <rFont val="Calibri"/>
        <scheme val="minor"/>
      </rPr>
      <t>SELECT</t>
    </r>
    <r>
      <rPr>
        <sz val="11"/>
        <color rgb="FF000000"/>
        <rFont val="Calibri"/>
        <scheme val="minor"/>
      </rPr>
      <t xml:space="preserve"> IF( TRIM( FCT03_FACTURA.DCOBRA ) = '', NULL, CAST( FCT03_FACTURA.DCOBRA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</si>
  <si>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DCOBRA
N\A
N\A
N\A</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</si>
  <si>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</si>
  <si>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MSLDCOBR
N\A
N\A
N\A
N\A
N\A</t>
  </si>
  <si>
    <r>
      <rPr>
        <b/>
        <sz val="11"/>
        <color rgb="FF000000"/>
        <rFont val="Calibri"/>
        <scheme val="minor"/>
      </rPr>
      <t>SELECT</t>
    </r>
    <r>
      <rPr>
        <sz val="11"/>
        <color rgb="FF000000"/>
        <rFont val="Calibri"/>
        <scheme val="minor"/>
      </rPr>
      <t xml:space="preserve"> CAST( FCT03_FACTURA.MSLDCOBR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</si>
  <si>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MSLDCOBR
N\A
N\A
N\A</t>
  </si>
  <si>
    <t>N\A
"0.00"
"NULL"
"NULL"</t>
  </si>
  <si>
    <t>N\A
N\A
N\A
N\A
MCAPITALC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</si>
  <si>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TCT01_POSDIVID.MCAPITALC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</si>
  <si>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N\A
N\A
N\A
MCAPITALC</t>
  </si>
  <si>
    <t>Last Advance Annulment Indicator</t>
  </si>
  <si>
    <t>last_advance_annulment_indicator</t>
  </si>
  <si>
    <t>Indicates if the last advance, represented in last advance date, was annulled and the amount was returned to Santander.</t>
  </si>
  <si>
    <t>Indica se o último avanço (financiamento) no âmbito da fatura foi, ou não, anulado ou estornada.</t>
  </si>
  <si>
    <t>Annulation Indicator</t>
  </si>
  <si>
    <t>FCT03_FACTURA
FCT12_ANULFIN
FCT01_CTACONF
INTERFACE_DCT01
TCT09_OPERCN
PARAM_LITIGATION_PRODUCT</t>
  </si>
  <si>
    <t>N\A
N\A
N\A
N\A
N\A
N\A</t>
  </si>
  <si>
    <r>
      <rPr>
        <b/>
        <sz val="11"/>
        <color rgb="FF000000"/>
        <rFont val="Calibri"/>
        <scheme val="minor"/>
      </rPr>
      <t>SELECT</t>
    </r>
    <r>
      <rPr>
        <sz val="11"/>
        <color rgb="FF000000"/>
        <rFont val="Calibri"/>
        <scheme val="minor"/>
      </rPr>
      <t xml:space="preserve"> CASE
    WHEN FCT12_ANULFIN.ZSEQFCT IS NOT NULL AND FCT12_ANULFIN.DTFINANC = FCT03_FACTURA.DTFINANC THEN '1'
    ELSE '0'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</si>
  <si>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FCT12_ANULFIN
N\A
N\A
N\A</t>
  </si>
  <si>
    <t>DTFINANC
N\A
N\A
N\A</t>
  </si>
  <si>
    <t>Last Advance Date</t>
  </si>
  <si>
    <t>last_advance_date</t>
  </si>
  <si>
    <t>Corresponds to the date in which the last advance of the invoice was made.  This field only applies to invoices, it does not apply to lines.</t>
  </si>
  <si>
    <t>Data valor do último avanço (financiamento) realizado no âmbito do contrato.</t>
  </si>
  <si>
    <t>DPAGAM
N\A
N\A
N\A
N\A</t>
  </si>
  <si>
    <r>
      <rPr>
        <b/>
        <sz val="11"/>
        <color rgb="FF000000"/>
        <rFont val="Calibri"/>
        <scheme val="minor"/>
      </rPr>
      <t>SELECT</t>
    </r>
    <r>
      <rPr>
        <sz val="11"/>
        <color rgb="FF000000"/>
        <rFont val="Calibri"/>
        <scheme val="minor"/>
      </rPr>
      <t xml:space="preserve"> IF( TRIM( FCT03_FACTURA.DPAGAM) = '', NULL, CAST( FCT03_FACTURA.DPAGAM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</si>
  <si>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DPAGAM
N\A
N\A
N\A</t>
  </si>
  <si>
    <t>Last Advance Execution Date</t>
  </si>
  <si>
    <t>last_advance_exec_date</t>
  </si>
  <si>
    <t>Corresponds to the execution date in which the last advance of the invoice was made.  This field only applies to invoices, it does not apply to lines.</t>
  </si>
  <si>
    <t>Data da realização efetiva do último avanço (financiamento) realizado no âmbito do contrato.</t>
  </si>
  <si>
    <t>DFINANC 
N\A
N\A
N\A
N\A</t>
  </si>
  <si>
    <r>
      <rPr>
        <b/>
        <sz val="11"/>
        <color rgb="FF000000"/>
        <rFont val="Calibri"/>
        <scheme val="minor"/>
      </rPr>
      <t>SELECT</t>
    </r>
    <r>
      <rPr>
        <sz val="11"/>
        <color rgb="FF000000"/>
        <rFont val="Calibri"/>
        <scheme val="minor"/>
      </rPr>
      <t xml:space="preserve"> IF( TRIM( FCT03_FACTURA.DFINANC  ) = '', NULL, CAST( FCT03_FACTURA.DFINANC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</si>
  <si>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DFINANC
N\A
N\A
N\A</t>
  </si>
  <si>
    <t>Last Advance Transfer Reference Number</t>
  </si>
  <si>
    <t>last_advance_transfer_ref_num</t>
  </si>
  <si>
    <t>Represents the SEPA transfer reference order of the last advance performed.</t>
  </si>
  <si>
    <t>Referência da transferência associada, se aplicável, ao último avanço (financiamento).</t>
  </si>
  <si>
    <t>REFORDEM
N\A
N\A
N\A
N\A</t>
  </si>
  <si>
    <r>
      <rPr>
        <b/>
        <sz val="11"/>
        <color rgb="FF000000"/>
        <rFont val="Calibri"/>
        <scheme val="minor"/>
      </rPr>
      <t>SELECT</t>
    </r>
    <r>
      <rPr>
        <sz val="11"/>
        <color rgb="FF000000"/>
        <rFont val="Calibri"/>
        <scheme val="minor"/>
      </rPr>
      <t xml:space="preserve"> IF( TRIM( FCT03_FACTURA.REFORDEM ) = '', NULL, FCT03_FACTURA.REFORDEM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</si>
  <si>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REFORDEM
N\A
N\A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</si>
  <si>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</si>
  <si>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</si>
  <si>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</si>
  <si>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Valor total avançado (financiado) no âmbito de uma fatura. Este conceito não se aplica a linhas extra-patrimoniais.</t>
  </si>
  <si>
    <t>Transaction Amount</t>
  </si>
  <si>
    <t>MFINANC
N\A
N\A
N\A
N\A</t>
  </si>
  <si>
    <r>
      <rPr>
        <b/>
        <sz val="11"/>
        <color rgb="FF000000"/>
        <rFont val="Calibri"/>
        <scheme val="minor"/>
      </rPr>
      <t>SELECT</t>
    </r>
    <r>
      <rPr>
        <sz val="11"/>
        <color rgb="FF000000"/>
        <rFont val="Calibri"/>
        <scheme val="minor"/>
      </rPr>
      <t xml:space="preserve"> CAST( FCT03_FACTURA.MFINANC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</si>
  <si>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MFINANC
N\A
N\A
N\A</t>
  </si>
  <si>
    <t>Rate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</si>
  <si>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IF( FCT03_FACTURA.CTXFINAN !=  ' ', 2, 1 ) = PARAM_GENERAL_CODE_CONVERTER.OPTION_NUMBER AND PARAM_GENERAL_CODE_CONVERTER.TARGET_FIELD = 'current_active_rate_type_code' AND PARAM_GENERAL_CODE_CONVERTER.SOURCE_VALUE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</si>
  <si>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CTXFINAN
N\A
N\A
N\A</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</si>
  <si>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</si>
  <si>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CURATED_INTERNAL_MAINFRAME_CATALOGO.CAT01_TAXREF
N\A; N\A
N\A; N\A
N\A; N\A</t>
  </si>
  <si>
    <t>CENCRGF
N\A
N\A
N\A
N\A</t>
  </si>
  <si>
    <r>
      <rPr>
        <b/>
        <sz val="11"/>
        <color rgb="FF000000"/>
        <rFont val="Calibri"/>
        <scheme val="minor"/>
      </rPr>
      <t>SELECT</t>
    </r>
    <r>
      <rPr>
        <sz val="11"/>
        <color rgb="FF000000"/>
        <rFont val="Calibri"/>
        <scheme val="minor"/>
      </rPr>
      <t xml:space="preserve"> IF( TRIM( FCT03_FACTURA.CTXFINAN ) != '',
    IF( TRIM( FCT03_FACTURA.CENCRGF ) = '', 
        NULL,
        FCT03_FACTURA.CENCRGF ),
    '#N/A'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</si>
  <si>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 N\A
N\A
N\A
N\A</t>
  </si>
  <si>
    <t>CENCRGF || N\A
N\A
N\A
N\A</t>
  </si>
  <si>
    <t>N\A || "#N/A"
"#N/A"
"NULL"
"NULL"</t>
  </si>
  <si>
    <t>Represents the current agreed, not necessarily applied,  interest rate, agreed, not necessarily applied, interest rate, based on the reference index, applied over the contract's principal. This value can changed based on the reference rate reset period. This field only applies to invoices, it does not apply to lines.</t>
  </si>
  <si>
    <t>TAXAFIN, TXSPRDFIN
N\A
N\A
N\A
N\A</t>
  </si>
  <si>
    <r>
      <rPr>
        <b/>
        <sz val="11"/>
        <color rgb="FF000000"/>
        <rFont val="Calibri"/>
        <scheme val="minor"/>
      </rPr>
      <t>SELECT</t>
    </r>
    <r>
      <rPr>
        <sz val="11"/>
        <color rgb="FF000000"/>
        <rFont val="Calibri"/>
        <scheme val="minor"/>
      </rPr>
      <t xml:space="preserve"> CAST( IF( FCT03_FACTURA.DFINANC = '9999-12-31',
    NULL,
    IF( TRIM( FCT03_FACTURA.CTXFINAN ) != '', 
        FCT03_FACTURA.TAXAFIN - FCT03_FACTURA.TXSPRDFIN,
        0.00 ) ) AS DECIMAL( 23, 6 )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</si>
  <si>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TAXAFIN - TXSPRDFIN || N\A
N\A
N\A
N\A</t>
  </si>
  <si>
    <t>N\A || "0.00"
"0.00"
"NULL"
"NULL"</t>
  </si>
  <si>
    <t>Represents the current defined interest rate of additional interests or margins applied to the contract's principal. This field only applies to invoices, it does not apply to lines.</t>
  </si>
  <si>
    <t>TXSPRDFIN 
N\A
N\A
N\A
N\A</t>
  </si>
  <si>
    <r>
      <rPr>
        <b/>
        <sz val="11"/>
        <color rgb="FF000000"/>
        <rFont val="Calibri"/>
        <scheme val="minor"/>
      </rPr>
      <t>SELECT</t>
    </r>
    <r>
      <rPr>
        <sz val="11"/>
        <color rgb="FF000000"/>
        <rFont val="Calibri"/>
        <scheme val="minor"/>
      </rPr>
      <t xml:space="preserve"> CAST( FCT03_FACTURA.TXSPRDFIN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</si>
  <si>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TXSPRDFIN
N\A
N\A
N\A</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</si>
  <si>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</si>
  <si>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
N\A
N\A</t>
  </si>
  <si>
    <r>
      <rPr>
        <b/>
        <sz val="11"/>
        <color rgb="FF000000"/>
        <rFont val="Calibri"/>
        <scheme val="minor"/>
      </rPr>
      <t>SELECT</t>
    </r>
    <r>
      <rPr>
        <sz val="11"/>
        <color rgb="FF000000"/>
        <rFont val="Calibri"/>
        <scheme val="minor"/>
      </rPr>
      <t xml:space="preserve"> IF( FCT03_FACTURA.DFINANC = '9999-12-31', NULL, CAST( FCT03_FACTURA.TAXAFIN AS DECIMAL( 23, 6 )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</si>
  <si>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TAXAFIN
N\A
N\A
N\A</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</si>
  <si>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</si>
  <si>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r>
      <rPr>
        <b/>
        <sz val="11"/>
        <color rgb="FF000000"/>
        <rFont val="Calibri"/>
        <scheme val="minor"/>
      </rPr>
      <t>SELECT</t>
    </r>
    <r>
      <rPr>
        <sz val="11"/>
        <color rgb="FF000000"/>
        <rFont val="Calibri"/>
        <scheme val="minor"/>
      </rPr>
      <t xml:space="preserve"> IF( TRIM( FCT03_FACTURA.CSITFCT ) = '', NULL, PARAM_GENERAL_CODE_CONVERTER.TARGET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'FC' AND PARAM_GENERAL_CODE_CONVERTER.SOURCE_VALUE = FCT03_FACTURA.CSITFCT  AND PARAM_GENERAL_CODE_CONVERTER.OPTION_NUMBER = '1'
</t>
    </r>
    <r>
      <rPr>
        <b/>
        <sz val="11"/>
        <color rgb="FF000000"/>
        <rFont val="Calibri"/>
        <scheme val="minor"/>
      </rPr>
      <t>SELECT</t>
    </r>
    <r>
      <rPr>
        <sz val="11"/>
        <color rgb="FF000000"/>
        <rFont val="Calibri"/>
        <scheme val="minor"/>
      </rPr>
      <t xml:space="preserve"> IF( TRIM( FCT01_CTACONF.CSITCTA ) = '', NULL, PARAM_GENERAL_CODE_CONVERTER.TARGET_VALUE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'FC' AND PARAM_GENERAL_CODE_CONVERTER.SOURCE_VALUE = FCT01_CTACONF.CSITCTA AND PARAM_GENERAL_CODE_CONVERTER.OPTION_NUMBER = '1'
</t>
    </r>
    <r>
      <rPr>
        <b/>
        <sz val="11"/>
        <color rgb="FF000000"/>
        <rFont val="Calibri"/>
        <scheme val="minor"/>
      </rPr>
      <t>SELECT</t>
    </r>
    <r>
      <rPr>
        <sz val="11"/>
        <color rgb="FF000000"/>
        <rFont val="Calibri"/>
        <scheme val="minor"/>
      </rPr>
      <t xml:space="preserve"> IF( TRIM( INTERFACE_DCT01.DCYR8101_CSITCTA ) = '', NULL, PARAM_GENERAL_CODE_CONVERTER.TARGET_VALUE)
</t>
    </r>
    <r>
      <rPr>
        <b/>
        <sz val="11"/>
        <color rgb="FF000000"/>
        <rFont val="Calibri"/>
        <scheme val="minor"/>
      </rPr>
      <t>WHERE</t>
    </r>
    <r>
      <rPr>
        <sz val="11"/>
        <color rgb="FF000000"/>
        <rFont val="Calibri"/>
        <scheme val="minor"/>
      </rPr>
      <t xml:space="preserve"> PARAM_GENERAL_CODE_CONVERTER.TARGTE_FIELD = 'product_family_id' AND PARAM_GENERAL_CODE_CONVERTER.SOURCE_CODE = 'FC'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TCT09_OPERCN.ISITUAC ) = '', NULL, PARAM_GENERAL_CODE_CONVERTER.TARGET_VALUE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'TC' AND PARAM_GENERAL_CODE_CONVERTER.SOURCE_VALUE = TCT09_OPERCN.ISITUAC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</si>
  <si>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CSITFCT
CSITCTA
CSITCTA
ISITUAC</t>
  </si>
  <si>
    <t>Contract Opening Channel:
N\A; N\A
N\A; N\A
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</si>
  <si>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'FC' AND PARAM_GENERAL_CODE_CONVERTER.SOURCE_VALUE = '' ( PARAM_GENERAL_CODE_CONVERTER.OPTION_NUMBER = CASE
    WHEN TRIM( FCT01_CTACONF.CKPRODUT ) = '' OR TRIM(FCT01_CTACONF.CKSUBPRO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'2'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</si>
  <si>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"Online"
"Branch || "Dedicated Branch Manager"
"Branch"
"Branch"</t>
  </si>
  <si>
    <t>Source:
N\A; N\A
N\A; N\A
N\A; N\A
N\A; N\A</t>
  </si>
  <si>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</si>
  <si>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"FC"
"DC"
"TC"</t>
  </si>
  <si>
    <t>DATA_DATE_PART
DATA_DATE_PART
DATA_DATE_PART
DATA_DATE_PART
N\A</t>
  </si>
  <si>
    <r>
      <rPr>
        <b/>
        <sz val="11"/>
        <color rgb="FF000000"/>
        <rFont val="Calibri"/>
        <scheme val="minor"/>
      </rPr>
      <t>SELECT</t>
    </r>
    <r>
      <rPr>
        <sz val="11"/>
        <color rgb="FF000000"/>
        <rFont val="Calibri"/>
        <scheme val="minor"/>
      </rPr>
      <t xml:space="preserve"> FCT03_FACTURA.DATA_DATE_PART
</t>
    </r>
    <r>
      <rPr>
        <b/>
        <sz val="11"/>
        <color rgb="FF000000"/>
        <rFont val="Calibri"/>
        <scheme val="minor"/>
      </rPr>
      <t>SELECT</t>
    </r>
    <r>
      <rPr>
        <sz val="11"/>
        <color rgb="FF000000"/>
        <rFont val="Calibri"/>
        <scheme val="minor"/>
      </rPr>
      <t xml:space="preserve"> FCT01_CTACONF.DATA_DATE_PART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</si>
  <si>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</si>
  <si>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Confirming Process</t>
  </si>
  <si>
    <t>CURATED_INTERNAL_MAINFRAME_CONFIRMING
COMMON_REFERENCEDATA_CORE</t>
  </si>
  <si>
    <t>FCT01_CTACONF
PARAM_GENERAL_CODE_CONVERTER</t>
  </si>
  <si>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FCT01_CTACONF.CSITCTA = '0'   AND GENERAL_CONVERTER.PARAM_GENERAL_CODE_CONVERTER.TARGET_FIELD = 'bank_id' AND PARAM_GENERAL_CODE_CONVERTER.SOURCE_CODE = 'FC' AND PARAM_GENERAL_CODE_CONVERTER.SOURCE_VALUE = '' AND PARAM_GENERAL_CODE_CONVERTER.OPTION_NUMBER = '1'</t>
    </r>
  </si>
  <si>
    <t>FC - Confirming</t>
  </si>
  <si>
    <t>Identifier of the confirming process.</t>
  </si>
  <si>
    <t>CURATED_INTERNAL_MAINFRAME_CONFIRMING</t>
  </si>
  <si>
    <t>FCT01_CTACONF</t>
  </si>
  <si>
    <t xml:space="preserve">CKBALCAO, CKNUMCTA </t>
  </si>
  <si>
    <r>
      <rPr>
        <b/>
        <sz val="11"/>
        <color rgb="FF000000"/>
        <rFont val="Calibri"/>
        <scheme val="minor"/>
      </rPr>
      <t>SELECT</t>
    </r>
    <r>
      <rPr>
        <sz val="11"/>
        <color rgb="FF000000"/>
        <rFont val="Calibri"/>
        <scheme val="minor"/>
      </rPr>
      <t xml:space="preserve"> CONCAT( FCT01_CTACONF.CKBALCAO, FCT01_CTACONF.CKNUMCTA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</si>
  <si>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'product_family_id' AND PARAM_GENERAL_CODE_CONVERTER.SOURCE_CODE = 'FC' AND PARAM_GENERAL_CODE_CONVERTER.SOURCE_VALUE = '' AND PARAM_GENERAL_CODE_CONVERTER.OPTION_NUMBER = '1'</t>
    </r>
  </si>
  <si>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</si>
  <si>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IF( TRIM( FCT01_CTACONF.CKSUBPRO ) = '', NULL, FCT01_CTACONF.CKSUBPRO )
</t>
    </r>
    <r>
      <rPr>
        <b/>
        <sz val="11"/>
        <color rgb="FF000000"/>
        <rFont val="Calibri"/>
        <scheme val="minor"/>
      </rPr>
      <t>WHERE</t>
    </r>
    <r>
      <rPr>
        <sz val="11"/>
        <color rgb="FF000000"/>
        <rFont val="Calibri"/>
        <scheme val="minor"/>
      </rPr>
      <t xml:space="preserve"> FCT01_CTACONF.CSITCTA = '0'</t>
    </r>
  </si>
  <si>
    <t>Main current account's bank identifier linked to the confirming process.</t>
  </si>
  <si>
    <r>
      <rPr>
        <b/>
        <sz val="11"/>
        <color rgb="FF000000"/>
        <rFont val="Calibri"/>
      </rPr>
      <t>SELECT</t>
    </r>
    <r>
      <rPr>
        <sz val="11"/>
        <color rgb="FF000000"/>
        <rFont val="Calibri"/>
      </rPr>
      <t xml:space="preserve"> PARAM_GENERAL_CONVERTER.TARGET_VALUE
</t>
    </r>
    <r>
      <rPr>
        <b/>
        <sz val="11"/>
        <color rgb="FF000000"/>
        <rFont val="Calibri"/>
      </rPr>
      <t>WHERE</t>
    </r>
    <r>
      <rPr>
        <sz val="11"/>
        <color rgb="FF000000"/>
        <rFont val="Calibri"/>
      </rPr>
      <t xml:space="preserve"> FCT01_CTACONF.CSITCTA = '0'   AND PARAM_GENERAL_CONVERTER.TARGET_FIELD = 'bank_id' AND PARAM_GENERAL_CONVERTER.SOURCE_CODE = 'DC' AND PARAM_GENERAL_CONVERTER.SOURCE_VALUE = '' AND PARAM_GENERAL_CONVERTER.OPTION_NUMBER = '1'</t>
    </r>
  </si>
  <si>
    <t>Contract identifier of the main current account associated with the confirming process.</t>
  </si>
  <si>
    <t>CURATED_INTERNAL_MAINFRAME_CONFIRMING
CURATED_INTERNAL_MAINFRAME_CONTAS</t>
  </si>
  <si>
    <t>FCT01_CTACONF
DCT15_RELCTA</t>
  </si>
  <si>
    <t xml:space="preserve">N\A
CKBALCAO, CKNUMCTA </t>
  </si>
  <si>
    <r>
      <rPr>
        <b/>
        <sz val="11"/>
        <color rgb="FF000000"/>
        <rFont val="Calibri"/>
        <scheme val="minor"/>
      </rPr>
      <t>SELECT</t>
    </r>
    <r>
      <rPr>
        <sz val="11"/>
        <color rgb="FF000000"/>
        <rFont val="Calibri"/>
        <scheme val="minor"/>
      </rPr>
      <t xml:space="preserve"> IF( TRIM( CONCAT( DCT15_RELCTA.CKBALCAO, DCT15_RELCTA.CKNUMCTA ) ) = '', NULL, CONCAT( DCT15_RELCTA.CKBALCAO, DCT15_RELCTA.CKNUMCTA , '000000000000000' ) )
</t>
    </r>
    <r>
      <rPr>
        <b/>
        <sz val="11"/>
        <color rgb="FF000000"/>
        <rFont val="Calibri"/>
        <scheme val="minor"/>
      </rPr>
      <t>WHERE</t>
    </r>
    <r>
      <rPr>
        <sz val="11"/>
        <color rgb="FF000000"/>
        <rFont val="Calibri"/>
        <scheme val="minor"/>
      </rPr>
      <t xml:space="preserve"> FCT01_CTACONF.CSITCTA = '0'   AND CRELCTA = '025' AND DTFIM = '9999-12-31'</t>
    </r>
  </si>
  <si>
    <t>CP - Contas Pessoais</t>
  </si>
  <si>
    <t>DCT15_RELCTA</t>
  </si>
  <si>
    <t>CONCAT( CKBALCAO, CKNUMCTA, "000000000000000" )</t>
  </si>
  <si>
    <t>Date in which the client opened and formalised the confirming process.</t>
  </si>
  <si>
    <t xml:space="preserve">DABERT </t>
  </si>
  <si>
    <r>
      <rPr>
        <b/>
        <sz val="11"/>
        <color rgb="FF000000"/>
        <rFont val="Calibri"/>
        <scheme val="minor"/>
      </rPr>
      <t>SELECT</t>
    </r>
    <r>
      <rPr>
        <sz val="11"/>
        <color rgb="FF000000"/>
        <rFont val="Calibri"/>
        <scheme val="minor"/>
      </rPr>
      <t xml:space="preserve"> IF( TRIM( FCT01_CTACONF.DABERT ) = '', NULL, CAST( FCT01_CTACONF.DABERT AS STRING ) )
</t>
    </r>
    <r>
      <rPr>
        <b/>
        <sz val="11"/>
        <color rgb="FF000000"/>
        <rFont val="Calibri"/>
        <scheme val="minor"/>
      </rPr>
      <t>WHERE</t>
    </r>
    <r>
      <rPr>
        <sz val="11"/>
        <color rgb="FF000000"/>
        <rFont val="Calibri"/>
        <scheme val="minor"/>
      </rPr>
      <t xml:space="preserve"> FCT01_CTACONF.CSITCTA = '0' </t>
    </r>
  </si>
  <si>
    <t>DABERT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</si>
  <si>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'current_maturity_date' AND PARAM_GENERAL_CODE_CONVERTER.SOURCE_VALUE = '' AND PARAM_GENERAL_CODE_CONVERTER.OPTION_NUMBER = 1</t>
    </r>
  </si>
  <si>
    <t>Identifier of the currency of the process, which should correspond to the main current account associated with the confirming' process.</t>
  </si>
  <si>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WHERE</t>
    </r>
    <r>
      <rPr>
        <sz val="11"/>
        <color rgb="FF000000"/>
        <rFont val="Calibri"/>
        <scheme val="minor"/>
      </rPr>
      <t xml:space="preserve"> FCT01_CTACONF.CSITCTA = '0' </t>
    </r>
  </si>
  <si>
    <t>Current theoretical amount that can be used as credit. Depending on the contract, this value can be totaly or parcially used.</t>
  </si>
  <si>
    <t>MLIMCART</t>
  </si>
  <si>
    <r>
      <rPr>
        <b/>
        <sz val="11"/>
        <color rgb="FF000000"/>
        <rFont val="Calibri"/>
        <scheme val="minor"/>
      </rPr>
      <t>SELECT</t>
    </r>
    <r>
      <rPr>
        <sz val="11"/>
        <color rgb="FF000000"/>
        <rFont val="Calibri"/>
        <scheme val="minor"/>
      </rPr>
      <t xml:space="preserve"> CAST(FCT01_CTACONF.MLIMCART AS DECIMAL( 23, 6 ) )
</t>
    </r>
    <r>
      <rPr>
        <b/>
        <sz val="11"/>
        <color rgb="FF000000"/>
        <rFont val="Calibri"/>
        <scheme val="minor"/>
      </rPr>
      <t>WHERE</t>
    </r>
    <r>
      <rPr>
        <sz val="11"/>
        <color rgb="FF000000"/>
        <rFont val="Calibri"/>
        <scheme val="minor"/>
      </rPr>
      <t xml:space="preserve"> FCT01_CTACONF.CSITCTA = '0' </t>
    </r>
  </si>
  <si>
    <t>Process Status:
TAT91_TABELAS - CTABELA 101; CURATED_INTERNAL_MAINFRAME_ESTRUTURAIS.TAT91_TABELAS - TAYD91C0_CTABELA 101</t>
  </si>
  <si>
    <r>
      <rPr>
        <b/>
        <sz val="11"/>
        <color rgb="FF000000"/>
        <rFont val="Calibri"/>
        <scheme val="minor"/>
      </rPr>
      <t>SELECT</t>
    </r>
    <r>
      <rPr>
        <sz val="11"/>
        <color rgb="FF000000"/>
        <rFont val="Calibri"/>
        <scheme val="minor"/>
      </rPr>
      <t xml:space="preserve"> IF( TRIM( FCT01_CTACONF.CSITCTA ) = '', NULL,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'process_status_code' AND PARAM_GENERAL_CODE_CONVERTER.SOURCE_CODE = 'FC' AND PARAM_GENERAL_CODE_CONVERTER.SOURCE_VALUE = FCT01_CTACONF.CSITCTA AND PARAM_GENERAL_CODE_CONVERTER.OPTION_NUMBER = '1'</t>
    </r>
  </si>
  <si>
    <t>CSITCTA</t>
  </si>
  <si>
    <r>
      <rPr>
        <b/>
        <sz val="11"/>
        <color rgb="FF000000"/>
        <rFont val="Calibri"/>
        <scheme val="minor"/>
      </rPr>
      <t>SELECT</t>
    </r>
    <r>
      <rPr>
        <sz val="11"/>
        <color rgb="FF000000"/>
        <rFont val="Calibri"/>
        <scheme val="minor"/>
      </rPr>
      <t xml:space="preserve"> IF(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PARAM_GENERAL_CODE_CONVERTER.TARGET_VALUE )
</t>
    </r>
    <r>
      <rPr>
        <b/>
        <sz val="11"/>
        <color rgb="FF000000"/>
        <rFont val="Calibri"/>
        <scheme val="minor"/>
      </rPr>
      <t>WHERE</t>
    </r>
    <r>
      <rPr>
        <sz val="11"/>
        <color rgb="FF000000"/>
        <rFont val="Calibri"/>
        <scheme val="minor"/>
      </rPr>
      <t xml:space="preserve"> FCT01_CTACONF.CSITCTA = '0'   AND PARAM_GENERAL_CODE_CONVERTER.TARGET_FIELD = 'process_opening_channel_code' AND PARAM_GENERAL_CODE_CONVERTER.SOURCE_CODE = 'FC' AND PARAM_GENERAL_CODE_CONVERTER.SOURCE_VALUE = '' 
AND ( PARAM_GENERAL_CODE_CONVERTER.OPTION_NUMBER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'2') )</t>
    </r>
  </si>
  <si>
    <t>"Branch" || "Dedicated Branch Manager"</t>
  </si>
  <si>
    <r>
      <rPr>
        <b/>
        <sz val="11"/>
        <color rgb="FF000000"/>
        <rFont val="Calibri"/>
        <scheme val="minor"/>
      </rPr>
      <t>SELECT</t>
    </r>
    <r>
      <rPr>
        <sz val="11"/>
        <color rgb="FF000000"/>
        <rFont val="Calibri"/>
        <scheme val="minor"/>
      </rPr>
      <t xml:space="preserve"> FCT01_CTACONF.DATA_DATE_PART
</t>
    </r>
    <r>
      <rPr>
        <b/>
        <sz val="11"/>
        <color rgb="FF000000"/>
        <rFont val="Calibri"/>
        <scheme val="minor"/>
      </rPr>
      <t>WHERE</t>
    </r>
    <r>
      <rPr>
        <sz val="11"/>
        <color rgb="FF000000"/>
        <rFont val="Calibri"/>
        <scheme val="minor"/>
      </rPr>
      <t xml:space="preserve"> FCT01_CTACONF.CSITCTA = '0' </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</si>
  <si>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FCT01_CTACONF.CSITCTA = '0' </t>
    </r>
  </si>
  <si>
    <t>Confirming Universe</t>
  </si>
  <si>
    <t> </t>
  </si>
  <si>
    <t>CURATED_INTERNAL_MAINFRAME_CONFIRMING
CURATED_INTERNAL_MAINFRAME_CONFIRMING
CURATED_INTERNAL_MAINFRAME_CONTAS 
CURATED_INTERNAL_MAINFRAME_CONTENCIOSO</t>
  </si>
  <si>
    <t>FCT03_FACTURA
FCT01_CTACONF
INTERFACE_DCT01
TCT09_OPERCN</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</si>
  <si>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'FC' AND PARAM_LITIGATION_PRODUCT.PRODUCT_ID = INTERFACE_DCT01.DCYR8101_CKPRODUT AND PARAM_LITIGATION_PRODUCT.SUBPRODUCT_ID = INTERFACE_DCT01.DCYR8101_CKSUBPRO
</t>
    </r>
    <r>
      <rPr>
        <b/>
        <sz val="11"/>
        <color rgb="FF000000"/>
        <rFont val="Calibri"/>
        <scheme val="minor"/>
      </rPr>
      <t xml:space="preserve">
</t>
    </r>
    <r>
      <rPr>
        <sz val="11"/>
        <color rgb="FF000000"/>
        <rFont val="Calibri"/>
        <scheme val="minor"/>
      </rPr>
      <t xml:space="preserve">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'FC' AND 
PARAM_LITIGATION_PRODUCT.PRODUCT_ID = TCT09_OPERCN.CKPRODUT AND PARAM_LITIGATION_PRODUCT.SUBPRODUCT_ID = TCT09_OPERCN.CKSUBPRO
AND MAX(contract_alive_indicator) GROUP BY (TCT09_OPERCN.CKBALCAO, TCT09_OPERCN.CKNUMCTA)</t>
    </r>
  </si>
  <si>
    <t>""
""
""
""</t>
  </si>
  <si>
    <t>CURATED_INTERNAL_MAINFRAME_CONFIRMING
CURATED_INTERNAL_MAINFRAME_CONFIRMING
CURATED_INTERNAL_MAINFRAME_CONTAS 
CURATED_INTERNAL_MAINFRAME_CONTENCIOSO
OPERATIONS_COMMON_REFERENCEDATA_CORE</t>
  </si>
  <si>
    <t>CKBALCAO, CKNUMCTA, ZSEQFACT
CKBALCAO, CKNUMCTA
DCYR8101_CKBALCAO, DCYR8101_CKNUMCTA
CKBALCAO, CKNUMCTA, ZDEPOSIT</t>
  </si>
  <si>
    <t>SELECT CONCAT( FCT03_FACTURA.CKBALCAO, FCT03_FACTURA.CKNUMCTA, '10', LPAD( FCT03_FACTURA.ZSEQFACT, 9, '0' ), '0000' )
SELECT CONCAT(FCT01_CTACONF.CKBALCAO, FCT01_CTACONF.CKNUMCTA, '000000000000000')
SELECT CONCAT( INTERFACE_DCT01.DCYR8101_CKBALCAO, INTERFACE_DCT01.DCYR8101_CKNUMCTA, '000000000000000' )
WHERE PARAM_LITIGATION_PRODUCT.SOURCE_CODE = 'FC' AND PARAM_LITIGATION_PRODUCT.PRODUCT_ID = INTERFACE_DCT01.DCYR8101_CKPRODUT AND PARAM_LITIGATION_PRODUCT.SUBPRODUCT_ID = INTERFACE_DCT01.DCYR8101_CKSUBPRO
SELECT CONCAT( TCT09_OPERCN.CKBALCAO, TCT09_OPERCN.CKNUMCTA, '000000000000000' )
WHERE PARAM_LITIGATION_PRODUCT.SOURCE_CODE = 'FC' AND PARAM_LITIGATION_PRODUCT.PRODUCT_ID = TCT09_OPERCN.CKPRODUT AND PARAM_LITIGATION_PRODUCT.SUBPRODUCT_ID = TCT09_OPERCN.CKSUBPRO
AND MAX(contract_alive_indicator) GROUP BY (TCT09_OPERCN.CKBALCAO, TCT09_OPERCN.CKNUMCTA)</t>
  </si>
  <si>
    <t>CSITFCT
CSITCTA
DCYR8101_CSITCTA
ISITUAC</t>
  </si>
  <si>
    <t> SELECT IF(FCT03_FACTURA.CSITFCT IN ('I', 'S', 'K', 'A'), 1, 0)
SELECT IF(FCT01_CTACONF.CSITCTA = '0', 1, 0)
SELECT IF(INTERFACE_DCT01.DCYR8101_CSITCTA IN ('0', '1', '2', '3', '5', '6', '7', '8', '9') AND INTERFACE_DCT01.DCYR8101_CSITCTA = '0001-01-01', 1, 0)
WHERE PARAM_LITIGATION_PRODUCT.SOURCE_CODE = 'FC' AND PARAM_LITIGATION_PRODUCT.PRODUCT_ID = INTERFACE_DCT01.DCYR8101_CKPRODUT AND PARAM_LITIGATION_PRODUCT.SUBPRODUCT_ID = INTERFACE_DCT01.DCYR8101_CKSUBPRO
SELECT IF(TCT09_OPERCN.ISITUAC = '1' AND TCT09_OPERCN.DATA_DATE_PART &gt;= TCT09_OPERCN.DENTRADA, 1, 0)
WHERE PARAM_LITIGATION_PRODUCT.SOURCE_CODE = 'FC' AND PARAM_LITIGATION_PRODUCT.PRODUCT_ID = TCT09_OPERCN.CKPRODUT AND PARAM_LITIGATION_PRODUCT.SUBPRODUCT_ID = TCT09_OPERCN.CKSUBPRO
AND MAX(contract_alive_indicator) GROUP BY (TCT09_OPERCN.CKBALCAO, TCT09_OPERCN.CKNUMCTA)</t>
  </si>
  <si>
    <t> 1 || 0
1 || 0
1 || 0
1 || 0</t>
  </si>
  <si>
    <t>SELECT 'FC'
SELECT 'FC'
SELECT 'DC'
WHERE PARAM_LITIGATION_PRODUCT.SOURCE_CODE = 'FC' AND PARAM_LITIGATION_PRODUCT.PRODUCT_ID = INTERFACE_DCT01.DCYR8101_CKPRODUT AND PARAM_LITIGATION_PRODUCT.SUBPRODUCT_ID = INTERFACE_DCT01.DCYR8101_CKSUBPRO
SELECT 'TC'
WHERE PARAM_LITIGATION_PRODUCT.SOURCE_CODE = 'FC' AND PARAM_LITIGATION_PRODUCT.PRODUCT_ID = TCT09_OPERCN.CKPRODUT AND PARAM_LITIGATION_PRODUCT.SUBPRODUCT_ID = TCT09_OPERCN.CKSUBPRO
AND MAX(contract_alive_indicator) GROUP BY (TCT09_OPERCN.CKBALCAO, TCT09_OPERCN.CKNUMCTA)</t>
  </si>
  <si>
    <t>SELECT FCT03_FACTURA.DATA_DATE_PART
SELECT FCT01_CTACONF.DATA_DATE_PART
SELECT INTERFACE_DCT01.DATA_DATE_PART
WHERE PARAM_LITIGATION_PRODUCT.SOURCE_CODE = 'FC' AND PARAM_LITIGATION_PRODUCT.PRODUCT_ID = INTERFACE_DCT01.DCYR8101_CKPRODUT AND PARAM_LITIGATION_PRODUCT.SUBPRODUCT_ID = INTERFACE_DCT01.DCYR8101_CKSUBPRO
SELECT TCT09_OPERCN.DATA_DATE_PART
WHERE PARAM_LITIGATION_PRODUCT.SOURCE_CODE = 'FC' AND PARAM_LITIGATION_PRODUCT.PRODUCT_ID = TCT09_OPERCN.CKPRODUT AND PARAM_LITIGATION_PRODUCT.SUBPRODUCT_ID = TCT09_OPERCN.CKSUBPRO
AND MAX(contract_alive_indicator) GROUP BY (TCT09_OPERCN.CKBALCAO, TCT09_OPERCN.CKNUMCTA)</t>
  </si>
  <si>
    <t>SELECT NOW()
SELECT NOW()
SELECT NOW()
WHERE PARAM_LITIGATION_PRODUCT.SOURCE_CODE = 'FC' AND PARAM_LITIGATION_PRODUCT.PRODUCT_ID = INTERFACE_DCT01.DCYR8101_CKPRODUT AND PARAM_LITIGATION_PRODUCT.SUBPRODUCT_ID = INTERFACE_DCT01.DCYR8101_CKSUBPRO
SELECT NOW()
WHERE PARAM_LITIGATION_PRODUCT.SOURCE_CODE = 'FC' AND PARAM_LITIGATION_PRODUCT.PRODUCT_ID = TCT09_OPERCN.CKPRODUT AND PARAM_LITIGATION_PRODUCT.SUBPRODUCT_ID = TCT09_OPERCN.CKSUBPRO
AND MAX(contract_alive_indicator) GROUP BY (TCT09_OPERCN.CKBALCAO, TCT09_OPERCN.CKNUMCTA)</t>
  </si>
  <si>
    <t>Contract</t>
  </si>
  <si>
    <t>COMMON_CONTRACTS_BANK_GUARANTEES
COMMON_CONTRACTS_BILLSPROMISSORYNOTES
COMMON_CONTRACTS_BANKVAULTS
COMMON_CONTRACTS_CURRENTACCOUNTS
COMMON_CONTRACTS_NOSTROVOSTROACCOUNTS
COMMON_CONTRACTS_INCOMESAVINGSACCOUNTS
COMMON_CONTRACTS_SAVINGSACCOUNT
COMMON_CONTRACTS_LOANS
COMMON_CONTRACTS_LOANACCOUNTS
COMMON_CONTRACTS_CONFIRMING
COMMON_CONTRACTS_FACTORING
COMMON_CONTRACTS_LEASING
COMMON_CONTRACTS_CREDITCARDS
COMMON_CONTRACTS_DEBITCARDS
COMMON_CONTRACTS_PREPAIDCARDS
COMMON_CONTRACTS_TRADEFINANCE
COMMON_CONTRACTS_INTERNALACCOUNTS</t>
  </si>
  <si>
    <t>BANK_GUARANTEE
BILLS_PROMISSORY_NOTES_CONTRACT
BANK_VAULT
CURRENT_ACCOUNT
NOSTROVOSTRO_ACCOUNT
INCOMESAVING_ACCOUNT
SAVING_ACCOUNT
LOAN
LOAN_ACCOUNT
CONFIRMING
FACTORING
LEASING
CREDIT_CARD_CONTRACT
DEBIT_CARD_ACCOUNT
PREPAID_CARD_ACCOUNT
TRADE_FINANCE
INTERNAL_ACCOUNT</t>
  </si>
  <si>
    <t>BANK_ID
BANK_ID
BANK_ID
BANK_ID
BANK_ID
BANK_ID
BANK_ID
BANK_ID
BANK_ID
BANK_ID
BANK_ID
BANK_ID
BANK_ID
BANK_ID
BANK_ID
BANK_ID
BANK_ID</t>
  </si>
  <si>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 xml:space="preserve">SELECT </t>
    </r>
    <r>
      <rPr>
        <sz val="11"/>
        <color rgb="FF000000"/>
        <rFont val="Calibri"/>
        <scheme val="minor"/>
      </rPr>
      <t xml:space="preserve">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t>
    </r>
  </si>
  <si>
    <t xml:space="preserve">CONTRACT_ID
CONTRACT_ID
CONTRACT_ID
CONTRACT_ID
CONTRACT_ID
CONTRACT_ID
CONTRACT_ID
CONTRACT_ID
CONTRACT_ID
CONTRACT_ID
CONTRACT_ID
CONTRACT_ID
CONTRACT_ID
CONTRACT_ID
CONTRACT_ID
CONTRACT_ID
CONTRACT_ID
</t>
  </si>
  <si>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 xml:space="preserve">SELECT </t>
    </r>
    <r>
      <rPr>
        <sz val="11"/>
        <color rgb="FF000000"/>
        <rFont val="Calibri"/>
        <scheme val="minor"/>
      </rPr>
      <t xml:space="preserve">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t>
    </r>
  </si>
  <si>
    <t>Product Type:
N\A</t>
  </si>
  <si>
    <t xml:space="preserve">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t>
  </si>
  <si>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 xml:space="preserve">SELECT </t>
    </r>
    <r>
      <rPr>
        <sz val="11"/>
        <color rgb="FF000000"/>
        <rFont val="Calibri"/>
        <scheme val="minor"/>
      </rPr>
      <t xml:space="preserve">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t>
    </r>
  </si>
  <si>
    <t>Product Lvl 1:
N\A</t>
  </si>
  <si>
    <t>PRODUCT_ID
PRODUCT_ID
PRODUCT_ID
PRODUCT_ID
PRODUCT_ID
PRODUCT_ID
PRODUCT_ID
PRODUCT_ID
PRODUCT_ID
PRODUCT_ID
PRODUCT_ID
PRODUCT_ID
PRODUCT_ID
PRODUCT_ID
PRODUCT_ID
PRODUCT_ID
PRODUCT_ID</t>
  </si>
  <si>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 xml:space="preserve">SELECT </t>
    </r>
    <r>
      <rPr>
        <sz val="11"/>
        <color rgb="FF000000"/>
        <rFont val="Calibri"/>
        <scheme val="minor"/>
      </rPr>
      <t xml:space="preserve">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t>
    </r>
  </si>
  <si>
    <t>Product Lvl 2:
N\A</t>
  </si>
  <si>
    <t>SUBPRODUCT_ID
SUBPRODUCT_ID
SUBPRODUCT_ID
SUBPRODUCT_ID
SUBPRODUCT_ID
SUBPRODUCT_ID
SUBPRODUCT_ID
SUBPRODUCT_ID
SUBPRODUCT_ID
SUBPRODUCT_ID
SUBPRODUCT_ID
SUBPRODUCT_ID
SUBPRODUCT_ID
SUBPRODUCT_ID
SUBPRODUCT_ID
SUBPRODUCT_ID
SUBPRODUCT_ID</t>
  </si>
  <si>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 xml:space="preserve">SELECT </t>
    </r>
    <r>
      <rPr>
        <sz val="11"/>
        <color rgb="FF000000"/>
        <rFont val="Calibri"/>
        <scheme val="minor"/>
      </rPr>
      <t xml:space="preserve">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t>
    </r>
  </si>
  <si>
    <t>CBALCAO</t>
  </si>
  <si>
    <t>cbalcao</t>
  </si>
  <si>
    <t>Tec - Value</t>
  </si>
  <si>
    <t>Contract's Legacy identifier of the contract's branch.</t>
  </si>
  <si>
    <r>
      <rPr>
        <sz val="11"/>
        <color rgb="FF000000"/>
        <rFont val="Calibri"/>
        <scheme val="minor"/>
      </rPr>
      <t xml:space="preserve">Identificador </t>
    </r>
    <r>
      <rPr>
        <i/>
        <sz val="11"/>
        <color rgb="FF000000"/>
        <rFont val="Calibri"/>
        <scheme val="minor"/>
      </rPr>
      <t xml:space="preserve">legacy </t>
    </r>
    <r>
      <rPr>
        <sz val="11"/>
        <color rgb="FF000000"/>
        <rFont val="Calibri"/>
        <scheme val="minor"/>
      </rPr>
      <t>do balcão do contrato (ckbalcao).</t>
    </r>
  </si>
  <si>
    <r>
      <rPr>
        <b/>
        <sz val="11"/>
        <color rgb="FF000000"/>
        <rFont val="Calibri"/>
        <scheme val="minor"/>
      </rPr>
      <t>SELECT</t>
    </r>
    <r>
      <rPr>
        <sz val="11"/>
        <color rgb="FF000000"/>
        <rFont val="Calibri"/>
        <scheme val="minor"/>
      </rPr>
      <t xml:space="preserve"> '   '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 xml:space="preserve">SELECT </t>
    </r>
    <r>
      <rPr>
        <sz val="11"/>
        <color rgb="FF000000"/>
        <rFont val="Calibri"/>
        <scheme val="minor"/>
      </rPr>
      <t xml:space="preserve">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t>
    </r>
  </si>
  <si>
    <t>CNUMECTA</t>
  </si>
  <si>
    <t>cnumecta</t>
  </si>
  <si>
    <r>
      <rPr>
        <sz val="11"/>
        <color rgb="FF000000"/>
        <rFont val="Calibri"/>
        <scheme val="minor"/>
      </rPr>
      <t xml:space="preserve">Contract's </t>
    </r>
    <r>
      <rPr>
        <i/>
        <sz val="11"/>
        <color rgb="FF000000"/>
        <rFont val="Calibri"/>
        <scheme val="minor"/>
      </rPr>
      <t xml:space="preserve">legacy </t>
    </r>
    <r>
      <rPr>
        <sz val="11"/>
        <color rgb="FF000000"/>
        <rFont val="Calibri"/>
        <scheme val="minor"/>
      </rPr>
      <t>account identifier.</t>
    </r>
  </si>
  <si>
    <r>
      <rPr>
        <sz val="11"/>
        <color rgb="FF000000"/>
        <rFont val="Calibri"/>
        <scheme val="minor"/>
      </rPr>
      <t xml:space="preserve">Identificação </t>
    </r>
    <r>
      <rPr>
        <i/>
        <sz val="11"/>
        <color rgb="FF000000"/>
        <rFont val="Calibri"/>
        <scheme val="minor"/>
      </rPr>
      <t xml:space="preserve">legacy </t>
    </r>
    <r>
      <rPr>
        <sz val="11"/>
        <color rgb="FF000000"/>
        <rFont val="Calibri"/>
        <scheme val="minor"/>
      </rPr>
      <t>do número de conta do contrato.</t>
    </r>
  </si>
  <si>
    <r>
      <rPr>
        <b/>
        <sz val="11"/>
        <color rgb="FF000000"/>
        <rFont val="Calibri"/>
        <scheme val="minor"/>
      </rPr>
      <t>SELECT</t>
    </r>
    <r>
      <rPr>
        <sz val="11"/>
        <color rgb="FF000000"/>
        <rFont val="Calibri"/>
        <scheme val="minor"/>
      </rPr>
      <t xml:space="preserve"> '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 xml:space="preserve">SELECT </t>
    </r>
    <r>
      <rPr>
        <sz val="11"/>
        <color rgb="FF000000"/>
        <rFont val="Calibri"/>
        <scheme val="minor"/>
      </rPr>
      <t xml:space="preserve">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t>
    </r>
  </si>
  <si>
    <t>ZDEPOSIT</t>
  </si>
  <si>
    <t>zdeposit</t>
  </si>
  <si>
    <t>Contract's Legacy Deposit identifier.</t>
  </si>
  <si>
    <t>Identificador exclusivo do número de depósito (zdeposit)</t>
  </si>
  <si>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 xml:space="preserve">SELECT </t>
    </r>
    <r>
      <rPr>
        <sz val="11"/>
        <color rgb="FF000000"/>
        <rFont val="Calibri"/>
        <scheme val="minor"/>
      </rPr>
      <t xml:space="preserve">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t>
    </r>
  </si>
  <si>
    <t>Common Table Name</t>
  </si>
  <si>
    <t>common_table_name</t>
  </si>
  <si>
    <t>Name of the common layer's table that is the origin of the contract's information.</t>
  </si>
  <si>
    <t>Nome da tabela de origem para o contrato no modelo comum de dados</t>
  </si>
  <si>
    <t xml:space="preserve">N\A
N\A
N\A
N\A
N\A
N\A
N\A
N\A
N\A
N\A
N\A
N\A
N\A
N\A
N\A
N\A
N\A
</t>
  </si>
  <si>
    <r>
      <rPr>
        <b/>
        <sz val="11"/>
        <color rgb="FF000000"/>
        <rFont val="Calibri"/>
        <scheme val="minor"/>
      </rPr>
      <t>SELECT</t>
    </r>
    <r>
      <rPr>
        <sz val="11"/>
        <color rgb="FF000000"/>
        <rFont val="Calibri"/>
        <scheme val="minor"/>
      </rPr>
      <t xml:space="preserve"> "common_contracts_bankguarantees.bank_guarantee'
</t>
    </r>
    <r>
      <rPr>
        <b/>
        <sz val="11"/>
        <color rgb="FF000000"/>
        <rFont val="Calibri"/>
        <scheme val="minor"/>
      </rPr>
      <t>SELECT</t>
    </r>
    <r>
      <rPr>
        <sz val="11"/>
        <color rgb="FF000000"/>
        <rFont val="Calibri"/>
        <scheme val="minor"/>
      </rPr>
      <t xml:space="preserve"> "common_contracts_billspromissorynotes.bills_promissory_notes_contract'
</t>
    </r>
    <r>
      <rPr>
        <b/>
        <sz val="11"/>
        <color rgb="FF000000"/>
        <rFont val="Calibri"/>
        <scheme val="minor"/>
      </rPr>
      <t>SELECT</t>
    </r>
    <r>
      <rPr>
        <sz val="11"/>
        <color rgb="FF000000"/>
        <rFont val="Calibri"/>
        <scheme val="minor"/>
      </rPr>
      <t xml:space="preserve"> "common_contracts_bankvaults.bank_vault'
</t>
    </r>
    <r>
      <rPr>
        <b/>
        <sz val="11"/>
        <color rgb="FF000000"/>
        <rFont val="Calibri"/>
        <scheme val="minor"/>
      </rPr>
      <t>SELECT</t>
    </r>
    <r>
      <rPr>
        <sz val="11"/>
        <color rgb="FF000000"/>
        <rFont val="Calibri"/>
        <scheme val="minor"/>
      </rPr>
      <t xml:space="preserve"> "common_contracts_currentaccounts.current_account'
</t>
    </r>
    <r>
      <rPr>
        <b/>
        <sz val="11"/>
        <color rgb="FF000000"/>
        <rFont val="Calibri"/>
        <scheme val="minor"/>
      </rPr>
      <t xml:space="preserve">SELECT </t>
    </r>
    <r>
      <rPr>
        <sz val="11"/>
        <color rgb="FF000000"/>
        <rFont val="Calibri"/>
        <scheme val="minor"/>
      </rPr>
      <t xml:space="preserve">"common_contracts_nostrovostroaccounts.nostrovostro_account'
</t>
    </r>
    <r>
      <rPr>
        <b/>
        <sz val="11"/>
        <color rgb="FF000000"/>
        <rFont val="Calibri"/>
        <scheme val="minor"/>
      </rPr>
      <t>SELECT</t>
    </r>
    <r>
      <rPr>
        <sz val="11"/>
        <color rgb="FF000000"/>
        <rFont val="Calibri"/>
        <scheme val="minor"/>
      </rPr>
      <t xml:space="preserve"> "common_contracts_incomesavingaccounts.income_saving_account'
</t>
    </r>
    <r>
      <rPr>
        <b/>
        <sz val="11"/>
        <color rgb="FF000000"/>
        <rFont val="Calibri"/>
        <scheme val="minor"/>
      </rPr>
      <t>SELECT</t>
    </r>
    <r>
      <rPr>
        <sz val="11"/>
        <color rgb="FF000000"/>
        <rFont val="Calibri"/>
        <scheme val="minor"/>
      </rPr>
      <t xml:space="preserve"> "common_contracts_savingaccounts.saving_account'
</t>
    </r>
    <r>
      <rPr>
        <b/>
        <sz val="11"/>
        <color rgb="FF000000"/>
        <rFont val="Calibri"/>
        <scheme val="minor"/>
      </rPr>
      <t>SELECT</t>
    </r>
    <r>
      <rPr>
        <sz val="11"/>
        <color rgb="FF000000"/>
        <rFont val="Calibri"/>
        <scheme val="minor"/>
      </rPr>
      <t xml:space="preserve"> "common_contracts_loans.loan'
</t>
    </r>
    <r>
      <rPr>
        <b/>
        <sz val="11"/>
        <color rgb="FF000000"/>
        <rFont val="Calibri"/>
        <scheme val="minor"/>
      </rPr>
      <t>SELECT</t>
    </r>
    <r>
      <rPr>
        <sz val="11"/>
        <color rgb="FF000000"/>
        <rFont val="Calibri"/>
        <scheme val="minor"/>
      </rPr>
      <t xml:space="preserve"> "common_contracts_loanaccounts.loan_account'
</t>
    </r>
    <r>
      <rPr>
        <b/>
        <sz val="11"/>
        <color rgb="FF000000"/>
        <rFont val="Calibri"/>
        <scheme val="minor"/>
      </rPr>
      <t>SELECT</t>
    </r>
    <r>
      <rPr>
        <sz val="11"/>
        <color rgb="FF000000"/>
        <rFont val="Calibri"/>
        <scheme val="minor"/>
      </rPr>
      <t xml:space="preserve"> "common_contracts_confirming.confirming_contract'
</t>
    </r>
    <r>
      <rPr>
        <b/>
        <sz val="11"/>
        <color rgb="FF000000"/>
        <rFont val="Calibri"/>
        <scheme val="minor"/>
      </rPr>
      <t>SELECT</t>
    </r>
    <r>
      <rPr>
        <sz val="11"/>
        <color rgb="FF000000"/>
        <rFont val="Calibri"/>
        <scheme val="minor"/>
      </rPr>
      <t xml:space="preserve"> "common_contracts_factoring.factoring_contract'
</t>
    </r>
    <r>
      <rPr>
        <b/>
        <sz val="11"/>
        <color rgb="FF000000"/>
        <rFont val="Calibri"/>
        <scheme val="minor"/>
      </rPr>
      <t>SELECT</t>
    </r>
    <r>
      <rPr>
        <sz val="11"/>
        <color rgb="FF000000"/>
        <rFont val="Calibri"/>
        <scheme val="minor"/>
      </rPr>
      <t xml:space="preserve"> 'common_contracts_leasing.leasing'
</t>
    </r>
    <r>
      <rPr>
        <b/>
        <sz val="11"/>
        <color rgb="FF000000"/>
        <rFont val="Calibri"/>
        <scheme val="minor"/>
      </rPr>
      <t>SELECT</t>
    </r>
    <r>
      <rPr>
        <sz val="11"/>
        <color rgb="FF000000"/>
        <rFont val="Calibri"/>
        <scheme val="minor"/>
      </rPr>
      <t xml:space="preserve"> 'common_contracts_creditcards.credit_card_contract'
</t>
    </r>
    <r>
      <rPr>
        <b/>
        <sz val="11"/>
        <color rgb="FF000000"/>
        <rFont val="Calibri"/>
        <scheme val="minor"/>
      </rPr>
      <t>SELECT</t>
    </r>
    <r>
      <rPr>
        <sz val="11"/>
        <color rgb="FF000000"/>
        <rFont val="Calibri"/>
        <scheme val="minor"/>
      </rPr>
      <t xml:space="preserve"> 'common_contracts_debitcards.debit_card_account'
</t>
    </r>
    <r>
      <rPr>
        <b/>
        <sz val="11"/>
        <color rgb="FF000000"/>
        <rFont val="Calibri"/>
        <scheme val="minor"/>
      </rPr>
      <t>SELECT</t>
    </r>
    <r>
      <rPr>
        <sz val="11"/>
        <color rgb="FF000000"/>
        <rFont val="Calibri"/>
        <scheme val="minor"/>
      </rPr>
      <t xml:space="preserve"> 'common_contracts_prepaidcards.prepaid_card_account'
</t>
    </r>
    <r>
      <rPr>
        <b/>
        <sz val="11"/>
        <color rgb="FF000000"/>
        <rFont val="Calibri"/>
        <scheme val="minor"/>
      </rPr>
      <t>SELECT</t>
    </r>
    <r>
      <rPr>
        <sz val="11"/>
        <color rgb="FF000000"/>
        <rFont val="Calibri"/>
        <scheme val="minor"/>
      </rPr>
      <t xml:space="preserve"> 'common_contracts_tradefinance.trade_finance'
</t>
    </r>
    <r>
      <rPr>
        <b/>
        <sz val="11"/>
        <color rgb="FF000000"/>
        <rFont val="Calibri"/>
        <scheme val="minor"/>
      </rPr>
      <t>SELECT</t>
    </r>
    <r>
      <rPr>
        <sz val="11"/>
        <color rgb="FF000000"/>
        <rFont val="Calibri"/>
        <scheme val="minor"/>
      </rPr>
      <t xml:space="preserve"> 'common_contracts_internalaccounts.internal_account'</t>
    </r>
  </si>
  <si>
    <t xml:space="preserve">DATA_DATE_PART
DATA_DATE_PART
DATA_DATE_PART
DATA_DATE_PART
DATA_DATE_PART
DATA_DATE_PART
DATA_DATE_PART
DATA_DATE_PART
DATA_DATE_PART
DATA_DATE_PART
DATA_DATE_PART
DATA_DATE_PART
DATA_DATE_PART
DATA_DATE_PART
DATA_DATE_PART
DATA_DATE_PART
</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</si>
  <si>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 xml:space="preserve">SELECT </t>
    </r>
    <r>
      <rPr>
        <sz val="11"/>
        <color rgb="FF000000"/>
        <rFont val="Calibri"/>
        <scheme val="minor"/>
      </rPr>
      <t xml:space="preserve">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</si>
  <si>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t>
    </r>
  </si>
  <si>
    <t>Contract - Party Relationship</t>
  </si>
  <si>
    <t>Contract Parties relationship</t>
  </si>
  <si>
    <t>CURATED_INTERNAL_DATALAKE_LOANTAPES</t>
  </si>
  <si>
    <t>CL001_INTERV_CTO</t>
  </si>
  <si>
    <t>CEMPRESA</t>
  </si>
  <si>
    <r>
      <rPr>
        <b/>
        <sz val="11"/>
        <color rgb="FF000000"/>
        <rFont val="Calibri"/>
        <scheme val="minor"/>
      </rPr>
      <t xml:space="preserve">SELECT </t>
    </r>
    <r>
      <rPr>
        <sz val="11"/>
        <color rgb="FF000000"/>
        <rFont val="Calibri"/>
        <scheme val="minor"/>
      </rPr>
      <t xml:space="preserve">CL001_INTERV_CTO.CEMPRESA
</t>
    </r>
    <r>
      <rPr>
        <b/>
        <sz val="11"/>
        <color rgb="FF000000"/>
        <rFont val="Calibri"/>
        <scheme val="minor"/>
      </rPr>
      <t xml:space="preserve">WHERE </t>
    </r>
  </si>
  <si>
    <t>DLK - Datalake OnPrem</t>
  </si>
  <si>
    <t>Identifier of the contract to which the party is associated to.</t>
  </si>
  <si>
    <t>Identificador do contrato ao qual o cliente está associado.</t>
  </si>
  <si>
    <t>CBALCAO, CNUMECTA, ZDEPOSIT</t>
  </si>
  <si>
    <r>
      <rPr>
        <b/>
        <sz val="11"/>
        <color rgb="FF000000"/>
        <rFont val="Calibri"/>
        <scheme val="minor"/>
      </rPr>
      <t xml:space="preserve">SELECT 
</t>
    </r>
    <r>
      <rPr>
        <sz val="11"/>
        <color rgb="FF000000"/>
        <rFont val="Calibri"/>
        <scheme val="minor"/>
      </rPr>
      <t>CASE 
   WHEN</t>
    </r>
    <r>
      <rPr>
        <b/>
        <sz val="11"/>
        <color rgb="FF000000"/>
        <rFont val="Calibri"/>
        <scheme val="minor"/>
      </rPr>
      <t xml:space="preserve"> </t>
    </r>
    <r>
      <rPr>
        <sz val="11"/>
        <color rgb="FF000000"/>
        <rFont val="Calibri"/>
        <scheme val="minor"/>
      </rPr>
      <t xml:space="preserve">TRIM( CONCAT( CL001_INTERV_CTO.CBALCAO, CL001_INTERV_CTO.CNUMECTA)) = '' THEN CONCAT('000000000000000', CL001_INTERV_CTO.ZDEPOSIT )
   ELSE CONCAT( CL001_INTERV_CTO.CBALCAO, CL001_INTERV_CTO.CNUMECTA, CL001_INTERV_CTO.ZDEPOSIT )
</t>
    </r>
    <r>
      <rPr>
        <b/>
        <sz val="11"/>
        <color rgb="FF000000"/>
        <rFont val="Calibri"/>
        <scheme val="minor"/>
      </rPr>
      <t xml:space="preserve">WHERE </t>
    </r>
  </si>
  <si>
    <t>CONCAT( CBALCAO, CNUMECTA, ZDEPOSIT )</t>
  </si>
  <si>
    <t>Party ID</t>
  </si>
  <si>
    <t>party_id</t>
  </si>
  <si>
    <t>Unique identifier of the party.</t>
  </si>
  <si>
    <t>Identificador exclusivo da parte</t>
  </si>
  <si>
    <t>Contract Parties relationship
Contracts - Cards
Transactions - General</t>
  </si>
  <si>
    <t>Party ID
Beneficiary ID
Party ID</t>
  </si>
  <si>
    <t>ZCLIENTE</t>
  </si>
  <si>
    <r>
      <rPr>
        <b/>
        <sz val="11"/>
        <color rgb="FF000000"/>
        <rFont val="Calibri"/>
        <scheme val="minor"/>
      </rPr>
      <t xml:space="preserve">SELECT </t>
    </r>
    <r>
      <rPr>
        <sz val="11"/>
        <color rgb="FF000000"/>
        <rFont val="Calibri"/>
        <scheme val="minor"/>
      </rPr>
      <t xml:space="preserve">CL001_INTERV_CTO.ZCLIENTE
</t>
    </r>
    <r>
      <rPr>
        <b/>
        <sz val="11"/>
        <color rgb="FF000000"/>
        <rFont val="Calibri"/>
        <scheme val="minor"/>
      </rPr>
      <t xml:space="preserve">WHERE </t>
    </r>
  </si>
  <si>
    <t>Contract Intervention Type Code</t>
  </si>
  <si>
    <t>contract_intervention_type_code</t>
  </si>
  <si>
    <t>Key - Code</t>
  </si>
  <si>
    <t>Identifies the type of intervention that the client has in the contract.</t>
  </si>
  <si>
    <t>Identifica o tipo de intervenção do cliente no contrato.</t>
  </si>
  <si>
    <t>Contract Intervention Type:
N\A; CURATED_INTERNAL_MAINFRAME_ESTRUTURAIS.TAT91_TABELAS - TAYD91C0_CTABELA 007</t>
  </si>
  <si>
    <t>Contract Parties relationship
Parties - Clasification</t>
  </si>
  <si>
    <t>Type of Intervention
Entailment Level</t>
  </si>
  <si>
    <t>CRELACAO_CL_CNT</t>
  </si>
  <si>
    <r>
      <rPr>
        <b/>
        <sz val="11"/>
        <color rgb="FF000000"/>
        <rFont val="Calibri"/>
        <scheme val="minor"/>
      </rPr>
      <t xml:space="preserve">SELECT </t>
    </r>
    <r>
      <rPr>
        <sz val="11"/>
        <color rgb="FF000000"/>
        <rFont val="Calibri"/>
        <scheme val="minor"/>
      </rPr>
      <t xml:space="preserve">CL001_INTERV_CTO.CRELACAO_CL_CNT
</t>
    </r>
    <r>
      <rPr>
        <b/>
        <sz val="11"/>
        <color rgb="FF000000"/>
        <rFont val="Calibri"/>
        <scheme val="minor"/>
      </rPr>
      <t xml:space="preserve">WHERE </t>
    </r>
  </si>
  <si>
    <t>Contract Intervention Order Number</t>
  </si>
  <si>
    <t>contract_intervention_order_num</t>
  </si>
  <si>
    <t>Key - Value</t>
  </si>
  <si>
    <t>BIGINT</t>
  </si>
  <si>
    <t>Identifies the intervention order number of the client in the contract. card account contract.</t>
  </si>
  <si>
    <t>Identifica a posição do cliente na ordem de interveniente do contrato. Sendo que, o contador da ordem é contabilizado por tipo de intervenção.</t>
  </si>
  <si>
    <t>Intervention Order</t>
  </si>
  <si>
    <t xml:space="preserve">CSEQUENCIA_REL </t>
  </si>
  <si>
    <r>
      <rPr>
        <b/>
        <sz val="11"/>
        <color rgb="FF000000"/>
        <rFont val="Calibri"/>
        <scheme val="minor"/>
      </rPr>
      <t xml:space="preserve">SELECT </t>
    </r>
    <r>
      <rPr>
        <sz val="11"/>
        <color rgb="FF000000"/>
        <rFont val="Calibri"/>
        <scheme val="minor"/>
      </rPr>
      <t xml:space="preserve">CAST( CL001_INTERV_CTO.CSEQUENCIA_REL AS INT )
</t>
    </r>
    <r>
      <rPr>
        <b/>
        <sz val="11"/>
        <color rgb="FF000000"/>
        <rFont val="Calibri"/>
        <scheme val="minor"/>
      </rPr>
      <t xml:space="preserve">WHERE </t>
    </r>
  </si>
  <si>
    <t>CSEQUENCIA_REL</t>
  </si>
  <si>
    <t>Relationship Start Date</t>
  </si>
  <si>
    <t>relationship_start_date</t>
  </si>
  <si>
    <t>The start date of the relationship between the party and the Santander's contract.</t>
  </si>
  <si>
    <t>Data de inicio da intervenção do cliente no contrato.</t>
  </si>
  <si>
    <t>Start Date</t>
  </si>
  <si>
    <t xml:space="preserve">DINI_RELACAO </t>
  </si>
  <si>
    <r>
      <rPr>
        <b/>
        <sz val="11"/>
        <color rgb="FF000000"/>
        <rFont val="Calibri"/>
        <scheme val="minor"/>
      </rPr>
      <t xml:space="preserve">SELECT </t>
    </r>
    <r>
      <rPr>
        <sz val="11"/>
        <color rgb="FF000000"/>
        <rFont val="Calibri"/>
        <scheme val="minor"/>
      </rPr>
      <t xml:space="preserve">IF( TRIM( CL001_INTERV_CTO.DINI_RELACAO ) = '',  NULL, CAST( CL001_INTERV_CTO.DINI_RELACAO STRING ) )
</t>
    </r>
    <r>
      <rPr>
        <b/>
        <sz val="11"/>
        <color rgb="FF000000"/>
        <rFont val="Calibri"/>
        <scheme val="minor"/>
      </rPr>
      <t xml:space="preserve">WHERE </t>
    </r>
  </si>
  <si>
    <t>DINI_RELACAO</t>
  </si>
  <si>
    <t>REF_DATE</t>
  </si>
  <si>
    <r>
      <rPr>
        <b/>
        <sz val="11"/>
        <color rgb="FF000000"/>
        <rFont val="Calibri"/>
        <scheme val="minor"/>
      </rPr>
      <t xml:space="preserve">SELECT </t>
    </r>
    <r>
      <rPr>
        <sz val="11"/>
        <color rgb="FF000000"/>
        <rFont val="Calibri"/>
        <scheme val="minor"/>
      </rPr>
      <t xml:space="preserve">CL001_INTERV_CTO.REF_DATE
</t>
    </r>
    <r>
      <rPr>
        <b/>
        <sz val="11"/>
        <color rgb="FF000000"/>
        <rFont val="Calibri"/>
        <scheme val="minor"/>
      </rPr>
      <t xml:space="preserve">WHERE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</si>
  <si>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</si>
  <si>
    <t>Credit Card</t>
  </si>
  <si>
    <t>Card Number</t>
  </si>
  <si>
    <t>card_number</t>
  </si>
  <si>
    <t>Ext Inf - Con Inf - Value</t>
  </si>
  <si>
    <t>Primary Account Number (PAN) present on the card.</t>
  </si>
  <si>
    <t>Identificador único do cartão (PAN).</t>
  </si>
  <si>
    <t>Contracts - Cards</t>
  </si>
  <si>
    <t>CURATED_INTERNAL_MAINFRAME_CARTOES
CURATED_INTERNAL_MAINFRAME_ESTRUTURAIS</t>
  </si>
  <si>
    <t>CRT09_TBTARJET (Calendario TARGET | ODATE - 2)
TAT91_TABELAS_NEW ( Calendario DIARIOEU | ODATE - 2)</t>
  </si>
  <si>
    <t>PAN
N\A</t>
  </si>
  <si>
    <t xml:space="preserve">SELECT CRT09_TBTARJET.PAN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t>
  </si>
  <si>
    <t>CR - Cartões</t>
  </si>
  <si>
    <t>CRT09_TBTARJET</t>
  </si>
  <si>
    <t>PAN</t>
  </si>
  <si>
    <t>Card Account Bank ID</t>
  </si>
  <si>
    <t>card_account_bank_id</t>
  </si>
  <si>
    <t>CURATED_INTERNAL_MAINFRAME_CARTOES
CURATED_INTERNAL_MAINFRAME_ESTRUTURAIS
COMMON_REFERENCEDATA_CORE</t>
  </si>
  <si>
    <t>CRT09_TBTARJET (Calendario TARGET | ODATE - 2)
TAT91_TABELAS_NEW (Calendario DIARIOEU | ODATE - 2)
PARAM_GENERAL_CODE_CONVERTER (Calendario DIARIO | ODATE - 1)</t>
  </si>
  <si>
    <t>N\A
N\A
TARGET_VALUE
N\A</t>
  </si>
  <si>
    <t>SELECT PARAM_GENERAL_CODE_CONVERTER.TARGET_VALUE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PARAM_GENERAL_CODE_CONVERTER.TARGET_FIELD = 'bank_id' AND PARAM_GENERAL_CODE_CONVERTER.SOURCE_CODE = 'CR' AND PARAM_GENERAL_CODE_CONVERTER.SOURCE_VALUE = '' AND PARAM_GENERAL_CODE_CONVERTER.OPTION_NUMBER = '1'</t>
  </si>
  <si>
    <t>Card Account ID</t>
  </si>
  <si>
    <t>card_account_id</t>
  </si>
  <si>
    <t>Identifier of the card account associated to the card.</t>
  </si>
  <si>
    <t>Identificador da conta cartão que está associada ao cartão (plástico).</t>
  </si>
  <si>
    <t>CURATED_INTERNAL_MAINFRAME_CARTOES
CURATED_INTERNAL_MAINFRAME_CARTOES
CURATED_INTERNAL_MAINFRAME_ESTRUTURAIS</t>
  </si>
  <si>
    <t>CRT09_TBTARJET (Calendario TARGET | ODATE - 2)
CRT07_TBCTATAR (Calendario TARGET | ODATE - 2)
TAT91_TABELAS_NEW (Calendario DIARIOEU | ODATE - 2)</t>
  </si>
  <si>
    <t>N\A
CKBALCAO, CKNUMCTA
N\A</t>
  </si>
  <si>
    <t xml:space="preserve">SELECT IF( TRIM( CONCAT( CRT07_TBCTATAR.CKBALCAO, CRT07_TBCTATAR.CKNUMCTA ) ) = '', NULL, CONCAT( CRT07_TBCTATAR.CKBALCAO, CRT07_TBCTATAR.CKNUMCTA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t>
  </si>
  <si>
    <t>CRT07_TBCTATAR</t>
  </si>
  <si>
    <t>Card Holder Intervention Type Code</t>
  </si>
  <si>
    <t>card_holder_interv_type_code</t>
  </si>
  <si>
    <t>Identifies the type of intervention that the card holder has in the card account associated with card.</t>
  </si>
  <si>
    <t>Identifica o tipo de intervenção do dententor do cartão (plástico) na conta cartão associada ao mesmo.</t>
  </si>
  <si>
    <t>CRT09_TBTARJET (Calendario TARGET | ODATE - 2)
TAT91_TABELAS_NEW (Calendario DIARIOEU | ODATE - 2)</t>
  </si>
  <si>
    <t>NUMBENCTA
N\A</t>
  </si>
  <si>
    <t xml:space="preserve">SELECT IF( CRT09_TBTARJET.NUMBENCTA = 1, '1', 'Z'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t>
  </si>
  <si>
    <t>NUMBENCTA</t>
  </si>
  <si>
    <t>Card Holder Intervention Order Number</t>
  </si>
  <si>
    <t>card_holder_interv_order_number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</si>
  <si>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</si>
  <si>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Identifica a posição na ordem de interveniente na conta cartão do cliente do cartão (plástico). Sendo que, o contador da ordem é contabilizado por tipo de intervenção na conta cartão.</t>
  </si>
  <si>
    <t>CURATED_INTERNAL_MAINFRAME_CARTOES
CURATED_INTERNAL_MAINFRAME_ESTRUTURAIS
CURATED_INTERNAL_MAINFRAME_CLIENTES</t>
  </si>
  <si>
    <t>CRT09_TBTARJET (Calendario TARGET | ODATE - 2)
TAT91_TABELAS_NEW (Calendario DIARIOEU | ODATE - 2)
CLT18_CTACLI (CALENDARIO EU | ODATE - 2)</t>
  </si>
  <si>
    <t>NUMBENCTA
N\A
N\A</t>
  </si>
  <si>
    <t>SELECT CAST( IF( CRT09_TBTARJET.NUMBENCTA = 1, 1, ROW_NUMBER() OVER( PARTITION BY CONCAT( CLT18_CTACLI.CLYD18C1_CKBALCAO, CLT18_CTACLI.CLYD18C1_CKNUMCTA ) ORDER BY CLT18_CTACLI.CLYD18C1_ZSEQUEN ASC ) ) AS BIGINT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CRT09_TBTARJET.NUMBENCTA - 1 = CLT18_CTACLI.CLYD18C1_ZSEQUEN AND CLT18_CTACLI.CLYD18C1_ZSEQUEN != 0 AND CLT18_CTACLI.CLYD18C1_DCANCEL = '9999-12-31'</t>
  </si>
  <si>
    <t>Card Activation Date</t>
  </si>
  <si>
    <t>card_activation_date</t>
  </si>
  <si>
    <t>Activation date of the physical card.</t>
  </si>
  <si>
    <t>Data de ativação do cartão (plástico).</t>
  </si>
  <si>
    <t>Activation Date</t>
  </si>
  <si>
    <t>FECAUSER
N\A</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</si>
  <si>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</si>
  <si>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FECACUSER</t>
  </si>
  <si>
    <t>Card Expiration Date</t>
  </si>
  <si>
    <t>card_expiration_date</t>
  </si>
  <si>
    <t>Expiration date of the physical card (year and month).</t>
  </si>
  <si>
    <t>Data de expiração do cartão (plástico) (ano e mês).</t>
  </si>
  <si>
    <t>Expiration Date</t>
  </si>
  <si>
    <t>FECCADTAR
N\A</t>
  </si>
  <si>
    <t xml:space="preserve">SELECT IF( LEN( CRT09_TBTARJET.FECCADTAR ) != 6,
    IF( TRIM( CRT09_TBTARJET.FECCADTAR ) = '', 
        NULL, 
        CRT09_TBTARJET.FECCADTAR ), 
    CONCAT( SUBSTRING( CRT09_TBTARJET.FECCADTAR, 1, 4 ), '-', SUBSTRING( CRT09_TBTARJET.FECCADTAR, 5, 2 )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t>
  </si>
  <si>
    <t>FECCADTAR</t>
  </si>
  <si>
    <t>Daily ATM Limit</t>
  </si>
  <si>
    <t>daily_atm_limit</t>
  </si>
  <si>
    <t>Ext Inf - Crd Fin Inf - Value</t>
  </si>
  <si>
    <t>Maximum daily limit for atm withdrawals. This limit is shared by all cards that belong to the card account beneficiary.</t>
  </si>
  <si>
    <t>Valor máximo diário  que a conta cartão associada ao cartão (plástico) pode levantar do ATM.</t>
  </si>
  <si>
    <t>ATM Limit</t>
  </si>
  <si>
    <t>CRT08 (Calendario TARGET | ODATE - 2)
TAT91_TABELAS_NEW (Calendario DIARIOEU | ODATE - 2)</t>
  </si>
  <si>
    <t>LAUDCJBEN
N\A</t>
  </si>
  <si>
    <t xml:space="preserve">SELECT CAST( CRT08.LAUDCJBEN AS DECIMAL( 23, 6 )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t>
  </si>
  <si>
    <t>CRT08_TBBENEFI</t>
  </si>
  <si>
    <t>LAUDCJBEN</t>
  </si>
  <si>
    <t>Daily Purchase Limit</t>
  </si>
  <si>
    <t>daily_purchase_limit</t>
  </si>
  <si>
    <t>Maximum daily purchase amount with the card account credit cards. This limit is shared by all cards that belong to the card account beneficiary.</t>
  </si>
  <si>
    <t>Valor máximo diário que a conta cartão associada ao cartão (plástico) pode realizar em compras.</t>
  </si>
  <si>
    <t>Purchase Limit</t>
  </si>
  <si>
    <t>LAUDNBCBEN
N\A</t>
  </si>
  <si>
    <t xml:space="preserve">SELECT CAST( CRT08.LAUDNBCBEN AS DECIMAL( 23, 6 )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t>
  </si>
  <si>
    <t>LAUDNCBEN</t>
  </si>
  <si>
    <t>Card Status Code</t>
  </si>
  <si>
    <t>card_status_code</t>
  </si>
  <si>
    <t>Status of the physical card.</t>
  </si>
  <si>
    <t>Código do estado do cartão (plástico).</t>
  </si>
  <si>
    <t>Card Status:
TAT91 - CTABELA 568; CURATED_INTERNAL_MAINFRAME_ESTRUTURAIS.TAT91_TABELAS - TAYD91C0_CTABELA 568</t>
  </si>
  <si>
    <t>Card Status</t>
  </si>
  <si>
    <t>SELECT IF( TRIM( CRT09_TBTARJET.INDSITTAR ) = '', NULL, PARAM_GENERAL_CODE_CONVERTER.TARGET_VALUE)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PARAM_GENERAL_CODE_CONVERTER.TARGET_FIELD = 'card_status_code' AND PARAM_GENERAL_CODE_CONVERTER.SOURCE_CODE = 'CR' AND PARAM_GENERAL_CODE_CONVERTER.SOURCE_VALUE = CRT09_TBTARJET.INDSITTAR AND PARAM_GENERAL_CODE_CONVERTER.OPTION_NUMBER ='1'</t>
  </si>
  <si>
    <t>INDSITTAR</t>
  </si>
  <si>
    <t xml:space="preserve">SELECT CRT09_TBTARJET.DATA_DATE_PART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t>
  </si>
  <si>
    <t xml:space="preserve">SELECT NOW()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t>
  </si>
  <si>
    <t>Credit Card Account</t>
  </si>
  <si>
    <t>CRT07_TBCTATAR (Calendario TARGET | ODATE - 2)
TAT91_TABELAS_NEW (Calendario DIARIOEU | ODATE - 2)
PARAM_GENERAL_CODE_CONVERTER (Calendario DIARIOEU | ODATE - 1)</t>
  </si>
  <si>
    <t>SELECT PARAM_GENERAL_CODE_CONVERTER.TARGET_VALUE
WHERE TAT91_TABELAS_NEW.TAYD91C0_CTABELA = '593' AND ( SUBSTRING( TAT91_TABELAS_NEW.TAYD91C0_NELEMC08, 1, 1 ) = '1' OR SUBSTRING( TAT91_TABELAS_NEW.TAYD91C0_NELEMC08, 1, 1 ) = '3' )
    AND PARAM_GENERAL_CODE_CONVERTER.TARGET_FIELD = 'bank_id' AND PARAM_GENERAL_CODE_CONVERTER.SOURCE_CODE = 'CR' AND PARAM_GENERAL_CODE_CONVERTER.SOURCE_VALUE = '' AND PARAM_GENERAL_CODE_CONVERTER.OPTION_NUMBER = '1'</t>
  </si>
  <si>
    <t>Identifier of the card account.</t>
  </si>
  <si>
    <t>Identificador da conta cartão.</t>
  </si>
  <si>
    <t>CRT07_TBCTATAR (Calendario TARGET | ODATE - 2)
TAT91_TABELAS_NEW (Calendario DIARIOEU | ODATE - 2)</t>
  </si>
  <si>
    <t>SELECT CONCAT( CRT07_TBCTATAR.CKBALCAO, CRT07_TBCTATAR.CKNUMCTA )
WHERE TAT91_TABELAS_NEW.TAYD91C0_CTABELA = '593' AND ( SUBSTRING( TAT91_TABELAS_NEW.TAYD91C0_NELEMC08, 1, 1 ) = '1' OR SUBSTRING( TAT91_TABELAS_NEW.TAYD91C0_NELEMC08, 1, 1 ) = '3' )</t>
  </si>
  <si>
    <t>SELECT PARAM_GENERAL_CODE_CONVERTER.TARGET_VALUE
WHERE TAT91_TABELAS_NEW.TAYD91C0_CTABELA = '593' AND ( SUBSTRING( TAT91_TABELAS_NEW.TAYD91C0_NELEMC08, 1, 1 ) = '1' OR SUBSTRING( TAT91_TABELAS_NEW.TAYD91C0_NELEMC08, 1, 1 ) = '3' )
    AND PARAM_GENERAL_CODE_CONVERTER.TARGET_FIELD = 'product_family' AND PARAM_GENERAL_CODE_CONVERTER.SOURCE_CODE = 'CR' AND PARAM_GENERAL_CODE_CONVERTER.SOURCE_VALUE = '' AND PARAM_GENERAL_CODE_CONVERTER.OPTION_NUMBER = '2'</t>
  </si>
  <si>
    <t>Product Lvl 1:
TAT91 - CTABELA 593; CURATED_INTERNAL_MAINFRAME_ESTRUTURAIS.TAT91_TABELAS - TAYD91C0_CTABELA 593</t>
  </si>
  <si>
    <t>CRT07_TBCTATAR (Calendario TARGET | ODATE - 2)
CRT50_TBPARBIN (Calendario TARGET | ODATE - 2)
TAT91_TABELAS_NEW (Calendario DIARIOEU | ODATE - 1)</t>
  </si>
  <si>
    <t>N\A
CRT50DL_CKPRODUT
N\A</t>
  </si>
  <si>
    <t>SELECT IF( TRIM( CRT50_TBPARBIN.CRT50DL_CKPRODUT ) = '', NULL, TRIM( CRT50_TBPARBIN.CRT50DL_CKPRODUT ) )
WHERE TAT91_TABELAS_NEW.TAYD91C0_CTABELA = '593' AND ( SUBSTRING( TAT91_TABELAS_NEW.TAYD91C0_NELEMC08, 1, 1 ) = '1' OR SUBSTRING( TAT91_TABELAS_NEW.TAYD91C0_NELEMC08, 1, 1 ) = '3' )</t>
  </si>
  <si>
    <t>CRT50_TBPARBIN</t>
  </si>
  <si>
    <t>Product Lvl 2:
TAT91 - CTABELA 593; CURATED_INTERNAL_MAINFRAME_ESTRUTURAIS.TAT91_TABELAS - TAYD91C0_CTABELA 593</t>
  </si>
  <si>
    <t>N\A
CRT50DL_CKSUBPRO
N\A</t>
  </si>
  <si>
    <t>SELECT IF( TRIM( CRT50_TBPARBIN.CRT50DL_CKSUBPRO ) = '', NULL, TRIM( CRT50_TBPARBIN.CRT50DL_CKSUBPRO ) )
WHERE TAT91_TABELAS_NEW.TAYD91C0_CTABELA = '593' AND ( SUBSTRING( TAT91_TABELAS_NEW.TAYD91C0_NELEMC08, 1, 1 ) = '1' OR SUBSTRING( TAT91_TABELAS_NEW.TAYD91C0_NELEMC08, 1, 1 ) = '3' )</t>
  </si>
  <si>
    <t>Bank identifier (internal Santander’s company identification code) that is related to the current account contract which anchors the card account.</t>
  </si>
  <si>
    <t>CRT07_TBCTATAR (Calendario TARGET | ODATE - 2 )
TAT91_TABELAS_NEW (Calendario DIARIOEU | ODATE - 2 ) 
PARAM_GENERAL_CODE_CONVERTER (Calendario | ODATE - 1)</t>
  </si>
  <si>
    <t>SELECT PARAM_GENERAL_CODE_CONVERTER.TARGET_VALUE
WHERE TAT91_TABELAS_NEW.TAYD91C0_CTABELA = '593' AND ( SUBSTRING( TAT91_TABELAS_NEW.TAYD91C0_NELEMC08, 1, 1 ) = '1' OR SUBSTRING( TAT91_TABELAS_NEW.TAYD91C0_NELEMC08, 1, 1 ) = '3' )
    AND PARAM_GENERAL_CODE_CONVERTER.TARGET_FIELD = 'bank_id' AND PARAM_GENERAL_CODE_CONVERTER.SOURCE_CODE = 'DC' AND PARAM_GENERAL_CODE_CONVERTER.SOURCE_VALUE = '' AND PARAM_GENERAL_CODE_CONVERTER.OPTION_NUMBER = '1'</t>
  </si>
  <si>
    <t>Contract identifier of the current account that anchors the card account.</t>
  </si>
  <si>
    <t>CRT07_TBCTATAR (Calendario TARGET | ODATE - 2 )
CRTA8_TBBENAUX (Calendario TARGET | ODATE - 2 )
TAT91_TABELAS_NEW (Calendario DIARIOEU | ODATE - 2 )</t>
  </si>
  <si>
    <t>N\A
DADOSVAR1
N\A</t>
  </si>
  <si>
    <t>SELECT IF( TRIM( CRTA8_TBBENAUX.DADOSVAR1 ) = '', NULL, CONCAT( CRTA8_TBBENAUX.DADOSVAR1, '000000000000000' ) )
WHERE TAT91_TABELAS_NEW.TAYD91C0_CTABELA = '593' AND ( SUBSTRING( TAT91_TABELAS_NEW.TAYD91C0_NELEMC08, 1, 1 ) = '1' OR SUBSTRING( TAT91_TABELAS_NEW.TAYD91C0_NELEMC08, 1, 1 ) = '3' )</t>
  </si>
  <si>
    <t>CRTA8_TBBENAUX</t>
  </si>
  <si>
    <t>CONCAT( DADOSVAR1, "000000000000000" )</t>
  </si>
  <si>
    <t>Date in which the client opened and formalised the card account.</t>
  </si>
  <si>
    <t>CRT07_TBCTATAR (Calendario TARGET | ODATE - 2)
TAT91_TABELAS_NEW  (Calendario DIARIOEU | ODATE - 2 )</t>
  </si>
  <si>
    <t>FECALTA
N\A</t>
  </si>
  <si>
    <t>SELECT IF( TRIM( CRT07_TBCTATAR.FECALTA ) = '', NULL, CONCAT( SUBSTRING( CRT07_TBCTATAR.FECALTA, 1, 4 ), '-', SUBSTRING( CRT07_TBCTATAR.FECALTA, 5, 2 ), '-', SUBSTRING( CRT07_TBCTATAR.FECALTA, 7, 2 ) ) )
WHERE TAT91_TABELAS_NEW.TAYD91C0_CTABELA = '593' AND ( SUBSTRING( TAT91_TABELAS_NEW.TAYD91C0_NELEMC08, 1, 1 ) = '1' OR SUBSTRING( TAT91_TABELAS_NEW.TAYD91C0_NELEMC08, 1, 1 ) = '3' )</t>
  </si>
  <si>
    <t>FECALTA</t>
  </si>
  <si>
    <t>SELECT '9999-12-31'
WHERE TAT91_TABELAS_NEW.TAYD91C0_CTABELA = '593' AND ( SUBSTRING( TAT91_TABELAS_NEW.TAYD91C0_NELEMC08, 1, 1 ) = '1' OR SUBSTRING( TAT91_TABELAS_NEW.TAYD91C0_NELEMC08, 1, 1 ) = '3' )</t>
  </si>
  <si>
    <t>Ext Inf - Crd Fin Inf - Code</t>
  </si>
  <si>
    <t>Identifier of the card account's currency.</t>
  </si>
  <si>
    <t>Currency:
TAT91 - CTABELA 206; CURATED_INTERNAL_MAINFRAME_ESTRUTURAIS.TAT91_TABELAS - TAYD91C0_CTABELA 206</t>
  </si>
  <si>
    <t>CLAMONEUR
N\A</t>
  </si>
  <si>
    <t>SELECT IF( TRIM( CRT07_TBCTATAR.CLAMONEUR ) = '', NULL, TRIM( CRT07_TBCTATAR.CLAMONEUR ) )
WHERE TAT91_TABELAS_NEW.TAYD91C0_CTABELA = '593' AND ( SUBSTRING( TAT91_TABELAS_NEW.TAYD91C0_NELEMC08, 1, 1 ) = '1' OR SUBSTRING( TAT91_TABELAS_NEW.TAYD91C0_NELEMC08, 1, 1 ) = '3' )</t>
  </si>
  <si>
    <t>CLAMONEUR</t>
  </si>
  <si>
    <t>Card Account Status Code</t>
  </si>
  <si>
    <t>card_account_status_code</t>
  </si>
  <si>
    <t>Identifier of the card account status.</t>
  </si>
  <si>
    <t>Identifica o estado da conta cartão.</t>
  </si>
  <si>
    <t>Contract Status:
TAT91 - CTABELA 592; CURATED_INTERNAL_MAINFRAME_ESTRUTURAIS.TAT91_TABELAS - TAYD91C0_CTABELA 592</t>
  </si>
  <si>
    <t>CRT07_TBCTATAR (Calendario TARGET | ODATE - 2)
TAT91_TABELAS_NEW  (Calendario DIARIOEU | ODATE - 2 )
PARAM_GENERAL_CODE_CONVERTER (Calendario DIARIOEU | ODATE -1)</t>
  </si>
  <si>
    <t>SELECT IF( TRIM( CRT07_TBCTATAR.BLOQUEACT ) = '', NULL, PARAM_GENERAL_CODE_CONVERTER.TARGET_VALUE)
WHERE TAT91_TABELAS_NEW.TAYD91C0_CTABELA = '593' AND ( SUBSTRING( TAT91_TABELAS_NEW.TAYD91C0_NELEMC08, 1, 1 ) = '1' OR SUBSTRING( TAT91_TABELAS_NEW.TAYD91C0_NELEMC08, 1, 1 ) = '3' )
    AND PARAM_GENERAL_CODE_CONVERTER.TARGET_FIELD = 'contract_status_code' AND PARAM_GENERAL_CODE_CONVERTER.SOURCE_CODE = 'CR' AND PARAM_GENERAL_CODE_CONVERTER.SOURCE_VALUE = CRT07_TBCTATAR.BLOQUEACT AND PARAM_GENERAL_CODE_CONVERTER.OPTION_NUMBER = '1'</t>
  </si>
  <si>
    <t>BLOQUEACT</t>
  </si>
  <si>
    <t>SELECT CRT07_TBCTATAR.DATA_DATE_PART
WHERE TAT91_TABELAS_NEW.TAYD91C0_CTABELA = '593' AND ( SUBSTRING( TAT91_TABELAS_NEW.TAYD91C0_NELEMC08, 1, 1 ) = '1' OR SUBSTRING( TAT91_TABELAS_NEW.TAYD91C0_NELEMC08, 1, 1 ) = '3' )</t>
  </si>
  <si>
    <t>SELECT NOW()
WHERE TAT91_TABELAS_NEW.TAYD91C0_CTABELA = '593' AND ( SUBSTRING( TAT91_TABELAS_NEW.TAYD91C0_NELEMC08, 1, 1 ) = '1' OR SUBSTRING( TAT91_TABELAS_NEW.TAYD91C0_NELEMC08, 1, 1 ) = '3' )</t>
  </si>
  <si>
    <t>Credit Card Contract</t>
  </si>
  <si>
    <t>CURATED_INTERNAL_MAINFRAME_CARTOES
CURATED_INTERNAL_MAINFRAME_CARTOES
CURATED_INTERNAL_MAINFRAME_CONTAS
CURATED_INTERNAL_MAINFRAME_CONTENCIOSO
COMMON_REFERENCEDATA_CORE
COMMON_REFERENCEDATA_CORE</t>
  </si>
  <si>
    <t>CRT07_TBCTATAR ( Calendario TARGET | ODATE - 2)
CRT63_ADESECL ( Calendario TARGET | ODATE - 2)
INTERFACE_DCT01 ( Calendario DIARIOEU | ODATE - 1)
TCT09_OPERCN ( Calendario DIARIOEU | ODATE - 1)
PARAM_GENERAL_CODE_CONVERTER ( Calendario DIARIOEU | ODATE - 1)
PARAM_LITIGATION_PRODUCT ( Calendario DIARIOEU | ODATE - 1)</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</si>
  <si>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'bank_id'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'bank_id'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'bank_id'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'bank_id' AND PARAM_GENERAL_CODE_CONVERTER.SOURCE_CODE = 'TC' AND PARAM_GENERAL_CODE_CONVERTER.SOURCE_VALUE = '' AND PARAM_GENERAL_CODE_CONVERTER.OPTION_NUMBER = '1'</t>
    </r>
  </si>
  <si>
    <t>CR - Cartões
CR - Cartões
DC - Contas a Vista
TC - Terminal Contencioso</t>
  </si>
  <si>
    <t>CURATED_INTERNAL_MAINFRAME_CARTOES
CURATED_INTERNAL_MAINFRAME_CARTOES
CURATED_INTERNAL_MAINFRAME_CONTAS
CURATED_INTERNAL_MAINFRAME_CONTENCIOSO
COMMON_REFERENCEDATA_CORE</t>
  </si>
  <si>
    <t>CRT07_TBCTATAR (Calendario TARGET | ODATE -2)
CRT63_ADESECL ( Calendario TARGET | ODATE - 2)
INTERFACE_DCT01 ( Calendario DIARIOEU | ODATE - 1)
TCT09_OPERCN ( Calendario DIARIOEU | ODATE - 1)
PARAM_LITIGATION_PRODUCT ( Calendario DIARIOEU | ODATE - 1)</t>
  </si>
  <si>
    <t>CKBALCAO, CKNUMCTA
ZPLANO
DCYR8101_CKBALCAO, DCYR8101_CKNUMCTA
CKBALCAO, CKNUMCTA, ZDEPOSIT
N\A</t>
  </si>
  <si>
    <t>SELECT CONCAT( CRT07_TBCTATAR.CKBALCAO, CRT07_TBCTATAR.CKNUMCTA, '0000000', 'P', LPAD( CRT63_ADESECL.ZPLANO, 3, '0' ), '0001' )
WHERE CRT63_ADESECL.CESTADO = 'C' 
SELECT CONCAT( CRT07_TBCTATAR.CKBALCAO, CRT07_TBCTATAR.CKNUMCTA, '0000000', '0000', '0001' )
WHERE ( CRT07_TBCTATAR.FECBAJA = 0 AND TAT91_TABELAS_NEW.TAYD91C0_CTABELA = '593' AND ( SUBSTRING( TAT91_TABELAS_NEW.TAYD91C0_NELEMC08, 1, 1 ) = '1' OR SUBSTRING( TAT91_TABELAS_NEW.TAYD91C0_NELEMC08, 1, 1 ) = '3' )
    OR TCT09_OPERCN.CKBALCAO IS NOT NULL AND TCT09_OPERCN.ISITUAC = 1 )
SELECT CONCAT( INTERFACE_DCT01.DCYR8101_CKBALCAO, INTERFACE_DCT01.DCYR8101_CKNUMCTA, '000000000000000'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CONCAT( TCT09_OPERCN.CKBALCAO, TCT09_OPERCN.CKNUMCTA, '000000000000000' )
WHERE TCT09_OPERCN.ISITUAC = '1'  AND GROUP BY ( TCT09_OPERCN.CKBALCAO, TCT09_OPERCN.CKNUMCTA )
    AND PARAM_LITIGATION_PRODUCT.SOURCE_CODE = 'CR' AND PARAM_LITIGATION_PRODUCT.PRODUCT_ID = TCT09_OPERCN.CKPRODUT AND PARAM_LITIGATION_PRODUCT.SUBPRODUCT_ID = TCT09_OPERCN.CKSUBPRO</t>
  </si>
  <si>
    <t>(1)CRT07_TBCTATAR + (2)CRT63_ADESECL [*(1)CRT07_TBCTATAR + (2)CRT08_TBBENEFI + (3)CRT63_ADESECL]
(1)CRT07_TBCTATAR [**(1)CRT07_TBCTATAR + (2)CRT08_TBBENEFI]
DCYR8101
TCT09_OPERCN</t>
  </si>
  <si>
    <t>CONCAT ( (1)CKBALCAO, (1)CKNUMCTA, "0000000", "P",  (2)ZPLANO(2, 3), "0001" ) [*CONCAT ( (1)CKBALCAO, (1)CKNUMCTA, (2)ULTPAN(8, 7), "P",  (3)ZPLANO(2, 3), "0001" )]
CONCAT ( (1)CKBALCAO, (1)CKNUMCTA, "0000000", "0000" , "0001" ) [*CONCAT ( (1)CKBALCAO, (1)CKNUMCTA, (2)ULTPAN(8, 7), "    " , "0001" ]
CONCAT ( CKBALCAO, CKNUMCTA, "000000000000000" )
CONCAT ( CKBALCAO, CKNUMCTA, "000000000000000" )</t>
  </si>
  <si>
    <t>Product Type:
N\A
N\A
N\A
N\A</t>
  </si>
  <si>
    <t>CRT07_TBCTATAR (Calendario TARGET | ODATE -2)
CRT63_ADESECL (Calendario TARGET | ODATE -2)
INTERFACE_DCT01 (Calendario DIARIOEU | ODATE -1)
TCT09_OPERCN (Calendario DIARIOEU | ODATE -1)
PARAM_GENERAL_CODE_CONVERTER (Calendario DIARIOEU | ODATE -1)
PARAM_LITIGATION_PRODUCT (Calendario DIARIOEU | ODATE -1)</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</si>
  <si>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'product_family_id' AND PARAM_GENERAL_CODE_CONVERTER.SOURCE_CODE = 'CR' AND PARAM_GENERAL_CODE_CONVERTER.SOURCE_VALUE = '' AND PARAM_GENERAL_CODE_CONVERTER.OPTION_NUMBER = '2'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'product_family_id' AND PARAM_GENERAL_CODE_CONVERTER.SOURCE_CODE = 'CR' AND PARAM_GENERAL_CODE_CONVERTER.SOURCE_VALUE = '' AND PARAM_GENERAL_CODE_CONVERTER.OPTION_NUMBER = '2'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'product_family_id' AND PARAM_GENERAL_CODE_CONVERTER.SOURCE_CODE = 'CR' AND PARAM_GENERAL_CODE_CONVERTER.SOURCE_VALUE = '' AND PARAM_GENERAL_CODE_CONVERTER.OPTION_NUMBER = '2'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'product_family_id' AND PARAM_GENERAL_CODE_CONVERTER.SOURCE_CODE = 'CR' AND PARAM_GENERAL_CODE_CONVERTER.SOURCE_VALUE = '' AND PARAM_GENERAL_CODE_CONVERTER.OPTION_NUMBER = '2'</t>
    </r>
  </si>
  <si>
    <t>Product Lvl 1: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</si>
  <si>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</si>
  <si>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CRT50_TBPARBIN (Calendario TARGET | ODATE -2)
INTERFACE_DCT01 (Calendario DIARIOEU | ODATE -1)
TCT09_OPERCN (Calendario DIARIOEU | ODATE -1)
PARAM_LITIGATION_PRODUCT (Calendario DIARIOEU | ODATE -1)</t>
  </si>
  <si>
    <t>N\A
N\A
CRT50DL_CKPRODUT 
DCYR8101_CKPRODUT 
CKPRODUT
N\A</t>
  </si>
  <si>
    <r>
      <rPr>
        <b/>
        <sz val="11"/>
        <color rgb="FF000000"/>
        <rFont val="Calibri"/>
        <scheme val="minor"/>
      </rPr>
      <t>SELECT</t>
    </r>
    <r>
      <rPr>
        <sz val="11"/>
        <color rgb="FF000000"/>
        <rFont val="Calibri"/>
        <scheme val="minor"/>
      </rPr>
      <t xml:space="preserve"> IF( TRIM( CRT50_TBPARBIN.CRT50DL_CKPRODUT ) = '', NULL, CRT50_TBPARBIN.CRT50DL_CKPRODUT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TRIM( CRT50_TBPARBIN.CRT50DL_CKPRODUT ) = '', NULL, CRT50_TBPARBIN.CRT50DL_CKPRODUT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IF( TRIM( INTERFACE_DCT01.DCYR8101_CKPRODUT ) = '', NULL,  INTERFACE_DCT01.DCYR8101_CKPRODUT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TCT09_OPERCN.CKPRODUT ) = '', NULL, TCT09_OPERCN.CKPRODUT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</si>
  <si>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CRT50_TBPARBIN
CRT50_TBPARBIN
DCYR8101
TCT09_OPERCN</t>
  </si>
  <si>
    <t>Product Lvl 2: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</si>
  <si>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t>
  </si>
  <si>
    <t>CRT07_TBCTATAR (Calendario TARGET | ODATE -2)
CRT63_ADESECL (Calendario TARGET | ODATE -2)
CRT50_TBPARBIN (Calendario TARGET | ODATE -2)
INTERFACE_DCT01 (Calendario DIARIOEU | ODATE -1)
TCT09_OPERCN (Calendario DIARIOEU | ODATE -1)</t>
  </si>
  <si>
    <t>N\A
N\A
CRT50DL_CKSUBPRO 
DCYR8101_CKSUBPRO 
CKSUBPRO 
N\A</t>
  </si>
  <si>
    <r>
      <rPr>
        <b/>
        <sz val="11"/>
        <color rgb="FF000000"/>
        <rFont val="Calibri"/>
        <scheme val="minor"/>
      </rPr>
      <t>SELECT</t>
    </r>
    <r>
      <rPr>
        <sz val="11"/>
        <color rgb="FF000000"/>
        <rFont val="Calibri"/>
        <scheme val="minor"/>
      </rPr>
      <t xml:space="preserve"> IF( TRIM( CRT50_TBPARBIN.CRT50DL_CKSUBPRO ) = '', NULL, CRT50_TBPARBIN.CRT50DL_CKSUBPRO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SELECT</t>
    </r>
    <r>
      <rPr>
        <sz val="11"/>
        <color rgb="FF000000"/>
        <rFont val="Calibri"/>
        <scheme val="minor"/>
      </rPr>
      <t xml:space="preserve"> IF( TRIM( CRT50_TBPARBIN.CRT50DL_CKSUBPRO ) = '', NULL, CRT50_TBPARBIN.CRT50DL_CKSUBPRO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TCT09_OPERCN.CKSUBPRO ) = '', NULL, TCT09_OPERCN.CKSUBPRO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</si>
  <si>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Contract Static
Contracts - Cards
Transactions - Cards</t>
  </si>
  <si>
    <t>Account ID
Account ID
Account ID</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</si>
  <si>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'bank_id'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PARAM_GENERAL_CODE_CONVERTER.SOURCE_CODE = 'DC' AND PARAM_GENERAL_CODE_CONVERTER.SOURCE_VALUE = '' AND PARAM_GENERAL_CODE_CONVERTER.OPTION_NUMBER = '1' AND PARAM_GENERAL_CODE_CONVERTER.TARGET_FIELD = 'bank_id'</t>
    </r>
  </si>
  <si>
    <t>"31"
"31"
"NULL"
"31"</t>
  </si>
  <si>
    <t>Contract identifier of the current account that anchors the card plan.</t>
  </si>
  <si>
    <t>CRT07_TBCTATAR (Calendario TARGET | ODATE -2)
CRT63_ADESECL (Calendario TARGET | ODATE -2)
CRTA8_TBBENAUX (Calendario TARGET | ODATE -2)
INTERFACE_DCT01 (Calendario DIARIOEU | ODATE -1)
TCT09_OPERCN (Calendario DIARIOEU | ODATE -1)
PARAM_LITIGATION_PRODUCT (Calendario DIARIOEU | ODATE -1)</t>
  </si>
  <si>
    <t>N\A
N\A
DADOSVAR1
N\A
CKBALDO, CKCTADO
N\A</t>
  </si>
  <si>
    <r>
      <rPr>
        <b/>
        <sz val="11"/>
        <color rgb="FF000000"/>
        <rFont val="Calibri"/>
        <scheme val="minor"/>
      </rPr>
      <t>SELECT</t>
    </r>
    <r>
      <rPr>
        <sz val="11"/>
        <color rgb="FF000000"/>
        <rFont val="Calibri"/>
        <scheme val="minor"/>
      </rPr>
      <t xml:space="preserve"> IF( TRIM( CRTA8_TBBENAUX.DADOSVAR1 ) = '',  NULL, CONCAT( CRTA8_TBBENAUX.DADOSVAR1, '000000000000000'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TRIM( CRTA8_TBBENAUX.DADOSVAR1 ) = '',  NULL, CONCAT( CRTA8_TBBENAUX.DADOSVAR1, '000000000000000'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CONCAT( TCT09_OPERCN.CKBALDO, tct09.CKCTADO ) ) = '', NULL, CONCAT( TCT09_OPERCN.CKBALDO, TCT09_OPERCN.CKCTADO, '000000000000000'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</si>
  <si>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CRTA8_TBBENAUX
CRTA8_TBBENAUX
N\A
TCT09_OPERCN</t>
  </si>
  <si>
    <t>CONCAT( DADOSVAR1, "000000000000000" )
CONCAT( DADOSVAR1, "000000000000000" )
N\A
CONCAT( CKBALDO, CKCTADO, "000000000000000" )</t>
  </si>
  <si>
    <t>Contract Static
Contract Static
Contract basics low update
Contract basics medium update
Contract basics high update
Contract interest
Balances</t>
  </si>
  <si>
    <t>Contract ID
Contract Number
Contract ID
Contract ID
Contract ID
Contract ID</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</si>
  <si>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'bank_id' AND PARAM_GENERAL_CODE_CONVERTER.SOURCE_CODE = 'CR' AND PARAM_GENERAL_CODE_CONVERTER.SOURCE_VALUE = '' AND PARAM_GENERAL_CODE_CONVERTER.OPTION_NUMBER = '1'
</t>
    </r>
    <r>
      <rPr>
        <b/>
        <sz val="11"/>
        <color rgb="FF000000"/>
        <rFont val="Calibri"/>
        <scheme val="minor"/>
      </rPr>
      <t xml:space="preserve">
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'bank_id'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</si>
  <si>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Contract identifier of the card account associated with the credit card contract (plan ECL or revolving line).</t>
  </si>
  <si>
    <t>Identificador da conta cartão associada ao contrato de cartão de crédito (plano ECL ou linha revolving).</t>
  </si>
  <si>
    <t>CRT07_TBCTATAR (Calendario TARGET | ODATE -2)
CRT63_ADESECL (Calendario TARGET | ODATE -2)
INTERFACE_DCT01 (Calendario DIARIOEU | ODATE -1)
TCT09_OPERCN (Calendario DIARIOEU | ODATE -1)
PARAM_LITIGATION_PRODUCT (Calendario DIARIOEU | ODATE -1)</t>
  </si>
  <si>
    <t>CKBALCAO, CKNUMCTA
N\A
N\A
N\A
N\A</t>
  </si>
  <si>
    <r>
      <rPr>
        <b/>
        <sz val="11"/>
        <color rgb="FF000000"/>
        <rFont val="Calibri"/>
        <scheme val="minor"/>
      </rPr>
      <t>SELECT</t>
    </r>
    <r>
      <rPr>
        <sz val="11"/>
        <color rgb="FF000000"/>
        <rFont val="Calibri"/>
        <scheme val="minor"/>
      </rPr>
      <t xml:space="preserve"> IF( TRIM( CONCAT( CRT07_TBCTATAR.CKBALCAO, CRT07_TBCTATAR.CKNUMCTA ) ) = '', NULL, CONCAT( CRT07_TBCTATAR.CKBALCAO, crt07.CKNUMCTA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TRIM( CONCAT( CRT07_TBCTATAR.CKBALCAO, CRT07_TBCTATAR.CKNUMCTA ) ) = '', NULL, CONCAT( CRT07_TBCTATAR.CKBALCAO, CRT07_TBCTATAR.CKNUMCTA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</si>
  <si>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CRT07_TBCTATAR
CRT07_TBCTATAR
N\A
N\A</t>
  </si>
  <si>
    <t>CONCAT ( CKBALCAO, CKNUMCTA )
CONCAT ( CKBALCAO, CKNUMCTA )
N\A
N\A</t>
  </si>
  <si>
    <t>FECALTA
DTINTENC
DCYR8101_DABERTUR 
DCONTRAT
N\A</t>
  </si>
  <si>
    <r>
      <rPr>
        <b/>
        <sz val="11"/>
        <color rgb="FF000000"/>
        <rFont val="Calibri"/>
        <scheme val="minor"/>
      </rPr>
      <t>SELECT</t>
    </r>
    <r>
      <rPr>
        <sz val="11"/>
        <color rgb="FF000000"/>
        <rFont val="Calibri"/>
        <scheme val="minor"/>
      </rPr>
      <t xml:space="preserve"> IF( TRIM( CRT63_ADESECL.DTINTENC ) = '', NULL, CAST( CRT63_ADESECL.DTINTENC AS STRING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LEN( CRT07_TBCTATAR.FECALTA ) != 8,
    IF( TRIM( CRT07_TBCTATAR.FECALTA ) = '',
        NULL, 
        CRT07_TBCTATAR.FECALTA ), 
    CONCAT( SUBSTRING( CRT07_TBCTATAR.FECALTA, 1, 4 ), '-', SUBSTRING( CRT07_TBCTATAR.FECALTA, 5, 2 ), '-', SUBSTRING( CRT07_TBCTATAR.FECALTA,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IF( TRIM( INTERFACE_DCT01.DCYR8101_DABERTUR ) = '', NULL, CAST( INTERFACE_DCT01.DCYR8101_DABERTUR AS STRING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TCT09_OPERCN.DCONTRAT ) = '', NULL, TCT09_OPERCN.DCONTRAT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</si>
  <si>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CRT63_ADESECL
CRT07_TBCTATAR
DCYR8101
TCT09_OPERCN</t>
  </si>
  <si>
    <t>DTINTENC
FECALTA
DABERTUR
DCONTRAT</t>
  </si>
  <si>
    <t>N\A
DTCRIA , ZTOTPREST
DCYR8100_DTVENCIM 
DVENCIM
N\A</t>
  </si>
  <si>
    <r>
      <rPr>
        <b/>
        <sz val="11"/>
        <color rgb="FF000000"/>
        <rFont val="Calibri"/>
        <scheme val="minor"/>
      </rPr>
      <t>SELECT</t>
    </r>
    <r>
      <rPr>
        <sz val="11"/>
        <color rgb="FF000000"/>
        <rFont val="Calibri"/>
        <scheme val="minor"/>
      </rPr>
      <t xml:space="preserve"> CAST( ADD_MONTHS( CRT63_ADESECL.DTCRIA , CRT63_ADESECL.ZTOTPREST ) AS STRING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TCT09_OPERCN.CKBALCAO IS NULL,
    PARAM_GENERAL_CODE_CONVERTER.TARGET_VALUE,
    IF( TRIM( TCT09_OPERCN.DVENCIM) = '', 
        NULL,
        CAST( TCT09_OPERCN.DVENCIM AS STRING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'current_maturity_date' AND PARAM_GENERAL_CODE_CONVERTER.SOURCE_CODE = 'CR' AND PARAM_GENERAL_CODE_CONVERTER.OPTION_NUMBER = '1'  AND PARAM_GENERAL_CODE_CONVERTER.SOURCE_VALUE = ''
</t>
    </r>
    <r>
      <rPr>
        <b/>
        <sz val="11"/>
        <color rgb="FF000000"/>
        <rFont val="Calibri"/>
        <scheme val="minor"/>
      </rPr>
      <t>SELECT</t>
    </r>
    <r>
      <rPr>
        <sz val="11"/>
        <color rgb="FF000000"/>
        <rFont val="Calibri"/>
        <scheme val="minor"/>
      </rPr>
      <t xml:space="preserve"> IF( TRIM( INTERFACE_DCT01.DCYR8100_DTVENCIM ) = '', NULL, CAST( INTERFACE_DCT01.DCYR8100_DTVENCIM AS STRING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TCT09_OPERCN.DVENCIM ) = '', NULL, TCT09_OPERCN.DVENCIM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</si>
  <si>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 - Cartões
CR - Cartões || TC - Terminal Contencioso
DC - Contas a Vista
TC - Terminal Contencioso</t>
  </si>
  <si>
    <t>CRT63_ADESECL
N\A || TCT09_OPERCN
DCYR8101
TCT09_OPERCN</t>
  </si>
  <si>
    <t>DATE_ADD_MONTH( DTCRIA, ZTOTPREST )
N\A || DVENCIM
DTVENCIM
DVENCIM</t>
  </si>
  <si>
    <t>N\A
"9999-12-31" || N\A
N\A
N\A</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</si>
  <si>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</si>
  <si>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CURATED_INTERNAL_MAINFRAME_CARTOES
CURATED_INTERNAL_MAINFRAME_CARTOES
CURATED_INTERNAL_MAINFRAME_CONTAS
CURATED_INTERNAL_MAINFRAME_CONTENCIOSO
CURATED_INTERNAL_MAINFRAME_ESTRUTURAIS
COMMON_REFERENCEDATA_CORE</t>
  </si>
  <si>
    <t>CLAMONEUR 
N\A
DCYR8101_CMOEDA 
N\A
TAYD91C0_CELEMTAB
N\A</t>
  </si>
  <si>
    <r>
      <rPr>
        <b/>
        <sz val="11"/>
        <color rgb="FF000000"/>
        <rFont val="Calibri"/>
        <scheme val="minor"/>
      </rPr>
      <t>SELECT</t>
    </r>
    <r>
      <rPr>
        <sz val="11"/>
        <color rgb="FF000000"/>
        <rFont val="Calibri"/>
        <scheme val="minor"/>
      </rPr>
      <t xml:space="preserve"> IF( TRIM( CRT07_TBCTATAR.CLAMONEUR ) = '', NULL, CRT07_TBCTATAR.CLAMONEUR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TRIM( CRT07_TBCTATAR.CLAMONEUR ) = '', NULL, CRT07_TBCTATAR.CLAMONEUR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IF( TRIM( INTERFACE_DCT01.DCYR8101_CMOEDA ) = '', NULL, INTERFACE_DCT01.DCYR8101_CMOEDA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TAT91_TABELAS.TAYD91C0_CELEMTAB ) = '', NULL, TAT91_TABELAS.TAYD91C0_CELEMTAB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</si>
  <si>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 - Cartões
CR - Cartões
DC - Contas a Vista
TC - Terminal Contencioso -&gt; TA - Tabelas Gerais</t>
  </si>
  <si>
    <t>CRT07_TBCTATAR
CRT07_TBCTATAR
DCYR8101
TCT09_OPERCN -&gt;  TAT91_TABELAS</t>
  </si>
  <si>
    <t>CLAMONEUR
CLAMONEUR
CMOEDA
CMOEDALF -&gt; CELEMTAB</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</si>
  <si>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PARAM_GENERAL_CODE_CONVERTER.SOURCE_CODE = 'CR' AND PARAM_GENERAL_CODE_CONVERTER.TARGET_FIELD = 'litigation_indicator'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PARAM_GENERAL_CODE_CONVERTER.SOURCE_CODE = 'CR' AND PARAM_GENERAL_CODE_CONVERTER.TARGET_FIELD = 'litigation_indicator' AND PARAM_GENERAL_CODE_CONVERTER.OPTION_NUMBER = IF( TCT09_OPERCN.CKBALCAO IS NULL , 1, 2)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PARAM_GENERAL_CODE_CONVERTER.SOURCE_CODE = 'DC' AND PARAM_GENERAL_CODE_CONVERTER.TARGET_FIELD = 'litigation_indicator'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PARAM_GENERAL_CODE_CONVERTER.SOURCE_CODE = 'TC' AND PARAM_GENERAL_CODE_CONVERTER.TARGET_FIELD = 'litigation_indicator' AND PARAM_GENERAL_CODE_CONVERTER.OPTION_NUMBER = '1' AND PARAM_GENERAL_CODE_CONVERTER.SOURCE_VALUE = ''</t>
    </r>
  </si>
  <si>
    <t>N\A
N\A || N\A
N\A
N\A</t>
  </si>
  <si>
    <t>N\A 
N\A|| N\A
N\A
N\A</t>
  </si>
  <si>
    <t>"0"
"0"|| "1"
"0"
"1"</t>
  </si>
  <si>
    <t>Repayment Type Code</t>
  </si>
  <si>
    <t>repayment_type_code</t>
  </si>
  <si>
    <t>Indicates the method selected by the client to pay off the credit card debt. For example, full payment, minimum payment, fixed payment, etc.</t>
  </si>
  <si>
    <t>Tipo de plano associado à conta cartão, por exemplo: taxa mínima, valor fixo, etc.</t>
  </si>
  <si>
    <t>Card Account Repayment Type:
N\A
TAT91 - CTABELA 554; CURATED_INTERNAL_MAINFRAME_ESTRUTURAIS.TAT91_TABELAS - TAYD91C0_CTABELA 554
N\A
N\A</t>
  </si>
  <si>
    <t>Repayment Type</t>
  </si>
  <si>
    <t>FORPAGO
N\A
N\A
N\A
N\A</t>
  </si>
  <si>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TRIM( CRT07_TBCTATAR.FORPAGO ) = '', NULL, CRT07_TBCTATAR.FORPAGO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</si>
  <si>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CRT07_TBCTATAR
N\A
N\A</t>
  </si>
  <si>
    <t>N\A
FORPAGO
N\A
N\A</t>
  </si>
  <si>
    <t>"#N/A"
N\A
"NULL"
"NULL"</t>
  </si>
  <si>
    <t>Fixed Repayment Amount</t>
  </si>
  <si>
    <t>fixed_repayment_amount</t>
  </si>
  <si>
    <t>In case of fixed payment, the amount set by the client to repay each month.</t>
  </si>
  <si>
    <t>No caso da conta cartão ser paga no sistema de valor fixo mensal, representa o valor a ser pago.</t>
  </si>
  <si>
    <t>Repayment Amount</t>
  </si>
  <si>
    <t>IMPFPAGOA
N\A
N\A
N\A
N\A</t>
  </si>
  <si>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CRT07_TBCTATAR.FORPAGO = 2,
    CAST( CAST( CRT07_TBCTATAR.IMPFPAGOA AS DECIMAL( 23, 6 ) ) AS STRING ),
    CAST( CAST(0.00 AS DECIMAL( 23, 6 ) ) AS STRING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</si>
  <si>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IMPFPAGOA
N\A
N\A</t>
  </si>
  <si>
    <t>Repayment Rate</t>
  </si>
  <si>
    <t>repayment_rate</t>
  </si>
  <si>
    <t>In case of minimum payment, the percentage of the balance set by the client to repay each month.</t>
  </si>
  <si>
    <t>No caso de a conta cartão ter um plano de pagamento com base numa taxa mínima, representa esse valor.</t>
  </si>
  <si>
    <t>POPAGSALA 
N\A
N\A
N\A
N\A</t>
  </si>
  <si>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CASE
    WHEN CRT07_TBCTATAR.FORPAGO = 1 THEN CAST( CAST( 1 AS DECIMAL( 23, 6 ) ) AS STRING )
    WHEN CRT07_TBCTATAR.FORPAGO = 2 THEN CAST( CAST( 0 AS DECIMAL( 23, 6 ) ) AS STRING )
    WHEN CRT07_TBCTATAR.FORPAGO = 3 THEN CAST( CAST( CRT07_TBCTATAR.POPAGSALA / 100 AS DECIMAL( 23, 6 ) ) AS STRING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</si>
  <si>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POPAGSALA
N\A
N\A</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</si>
  <si>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</si>
  <si>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</si>
  <si>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</si>
  <si>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Número total de prestações planeadas para o plano ECL (não se aplica aos revolving).</t>
  </si>
  <si>
    <t>N\A
ZTOTPREST
N\A
N\A
N\A</t>
  </si>
  <si>
    <r>
      <rPr>
        <b/>
        <sz val="11"/>
        <color rgb="FF000000"/>
        <rFont val="Calibri"/>
        <scheme val="minor"/>
      </rPr>
      <t>SELECT</t>
    </r>
    <r>
      <rPr>
        <sz val="11"/>
        <color rgb="FF000000"/>
        <rFont val="Calibri"/>
        <scheme val="minor"/>
      </rPr>
      <t xml:space="preserve"> CAST( CRT63_ADESECL.ZTOTPREST AS STRING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</si>
  <si>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CRT63_ADESECL
N\A
N\A
N\A</t>
  </si>
  <si>
    <t>ZTOTPREST
N\A
N\A
N\A</t>
  </si>
  <si>
    <t>N\A
"#N/A"
"#N/A"
"#N/A"</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</si>
  <si>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</si>
  <si>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</si>
  <si>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</si>
  <si>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LIMCRECTA
MTRANSF
N\A
N\A
N\A</t>
  </si>
  <si>
    <r>
      <rPr>
        <b/>
        <sz val="11"/>
        <color rgb="FF000000"/>
        <rFont val="Calibri"/>
        <scheme val="minor"/>
      </rPr>
      <t>SELECT</t>
    </r>
    <r>
      <rPr>
        <sz val="11"/>
        <color rgb="FF000000"/>
        <rFont val="Calibri"/>
        <scheme val="minor"/>
      </rPr>
      <t xml:space="preserve">  CAST( CRT63_ADESECL.MTRANSF AS DECIMAL( 23, 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CAST( CRT07_TBCTATAR.LIMCRECTA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</si>
  <si>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CRT63_ADESECL
CRT07_TBCTATAR
N\A
N\A</t>
  </si>
  <si>
    <t>MTRANSF
LIMCRECTA
N\A
N\A</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</si>
  <si>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</si>
  <si>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r>
      <rPr>
        <sz val="11"/>
        <color rgb="FF000000"/>
        <rFont val="Calibri"/>
        <scheme val="minor"/>
      </rPr>
      <t xml:space="preserve">SELECT  CAST( CRT63_ADESECL.MTRANSF AS DECIMAL( 23, 6 ) )
WHERE CRT63_ADESECL.CESTADO = 'C' 
</t>
    </r>
    <r>
      <rPr>
        <b/>
        <sz val="11"/>
        <color rgb="FF000000"/>
        <rFont val="Calibri"/>
        <scheme val="minor"/>
      </rPr>
      <t>SELECT</t>
    </r>
    <r>
      <rPr>
        <sz val="11"/>
        <color rgb="FF000000"/>
        <rFont val="Calibri"/>
        <scheme val="minor"/>
      </rPr>
      <t xml:space="preserve"> CAST( CRT07_TBCTATAR.LIMCRECTA + CRT07_TBCTATAR.SALINGCTA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</si>
  <si>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MTRANSF
LIMCRECTA + SALINGCTA
N\A
N\A</t>
  </si>
  <si>
    <t>Current actual amount that can still be used as credit. This field only applies to the revolving plan.</t>
  </si>
  <si>
    <t>Valor atualmente disponível para financiamento no contrato. Este conceito não se aplica aos planos ECL, apenas ao revolving.</t>
  </si>
  <si>
    <t>CURATED_INTERNAL_MAINFRAME_CARTOES
CURATED_INTERNAL_MAINFRAME_CARTOES
CURATED_INTERNAL_MAINFRAME_CONTABILIDADE
CURATED_INTERNAL_MAINFRAME_CONTAS
CURATED_INTERNAL_MAINFRAME_CONTENCIOSO
COMMON_REFERENCEDATA_CORE</t>
  </si>
  <si>
    <t>CRT07_TBCTATAR (Calendario TARGET | ODATE -2)
CRT63_ADESECL (Calendario TARGET | ODATE -2)
CARTEIRAS (Calendario DIARIOEU | ODATE -1)
INTERFACE_DCT01 (Calendario DIARIOEU | ODATE -1)
TCT09_OPERCN (Calendario DIARIOEU | ODATE -1)
PARAM_LITIGATION_PRODUCT (Calendario DIARIOEU | ODATE -1)</t>
  </si>
  <si>
    <t>N\A
N\A
MONTANTE 
N\A
N\A
N\A</t>
  </si>
  <si>
    <r>
      <rPr>
        <b/>
        <sz val="11"/>
        <color rgb="FF000000"/>
        <rFont val="Calibri"/>
        <scheme val="minor"/>
      </rPr>
      <t>SELECT</t>
    </r>
    <r>
      <rPr>
        <sz val="11"/>
        <color rgb="FF000000"/>
        <rFont val="Calibri"/>
        <scheme val="minor"/>
      </rPr>
      <t xml:space="preserve"> CAST( 0.00 AS DECIMAL( 23,6 )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TCT09_OPERCN.CKBALCAO IS NULL,
    CAST( CRT07_TBCTATAR.LIMCRECTA + CRT07_TBCTATAR.SALINGCTA - (CRT07_TBCTATAR.SALDISCRE + CRT07_TBCTATAR.SALAUTCRE) AS DECIMAL( 23, 6 ) ),
    CAST( 0.00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CARTEIRAS.ICYR0N00_CGRUPOIC = '36'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</si>
  <si>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CR - GEYRN000 Carteira IC C36 || N\A
N\A
N\A</t>
  </si>
  <si>
    <t>N\A
MONTANTE || N\A
N\A
N\A</t>
  </si>
  <si>
    <t>"0.00"
N\A || "0.00"
"0.00"
"0.00"</t>
  </si>
  <si>
    <t>Current Outstanding Balance</t>
  </si>
  <si>
    <t>current_outstanding_balance</t>
  </si>
  <si>
    <t>The amount which has been used but has not reach its maturity date and is yet to be repaid. This amount includes interests, commissions, taxes, etc.</t>
  </si>
  <si>
    <t>Saldo vincendo do contrato.</t>
  </si>
  <si>
    <t>CURATED_INTERNAL_MAINFRAME_CARTOES
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</si>
  <si>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CRT73_PRESTECL (Calendario TARGET | ODATE -2)
CRT14_TBMOROSO (Calendario TARGET | ODATE -2)
INTERFACE_DCT01 (Calendario DIARIOEU | ODATE -1)
TCT09_OPERCN (Calendario DIARIOEU | ODATE -1)
PARAM_LITIGATION_PRODUCT (Calendario DIARIOEU | ODATE -1)</t>
  </si>
  <si>
    <t>SALDISCRE
N\A
N\A
N\A
MCAPPEND, MISELO, MJUROS 
N\A
N\A</t>
  </si>
  <si>
    <r>
      <rPr>
        <b/>
        <sz val="11"/>
        <color rgb="FF000000"/>
        <rFont val="Calibri"/>
        <scheme val="minor"/>
      </rPr>
      <t>SELECT</t>
    </r>
    <r>
      <rPr>
        <sz val="11"/>
        <color rgb="FF000000"/>
        <rFont val="Calibri"/>
        <scheme val="minor"/>
      </rPr>
      <t xml:space="preserve"> IF( CRT73_PRESTECL.MCAPPEND IS NOT NULL,
    CAST( CRT73_PRESTECL.MCAPPEND + CRT73_PRESTECL.MISELO + CRT73_PRESTECL.MJUROS AS DECIMAL( 23, 6 ) ),
    CAST( 0.00 AS DECIMAL( 23, 6 ) ) )
</t>
    </r>
    <r>
      <rPr>
        <b/>
        <sz val="11"/>
        <color rgb="FF000000"/>
        <rFont val="Calibri"/>
        <scheme val="minor"/>
      </rPr>
      <t>WHERE</t>
    </r>
    <r>
      <rPr>
        <sz val="11"/>
        <color rgb="FF000000"/>
        <rFont val="Calibri"/>
        <scheme val="minor"/>
      </rPr>
      <t xml:space="preserve"> CRT63_ADESECL.CESTADO = 'C'
    AND CRT73_PRESTECL.CESTADO = 'A' AND MIN ( ZPREST )
    AND SUM( CRT73_PRESTECL.MISELO  ) AND SUM( CRT73_PRESTECL.MJUROS )
</t>
    </r>
    <r>
      <rPr>
        <b/>
        <sz val="11"/>
        <color rgb="FF000000"/>
        <rFont val="Calibri"/>
        <scheme val="minor"/>
      </rPr>
      <t>SELECT</t>
    </r>
    <r>
      <rPr>
        <sz val="11"/>
        <color rgb="FF000000"/>
        <rFont val="Calibri"/>
        <scheme val="minor"/>
      </rPr>
      <t xml:space="preserve"> CASE
        WHEN TCT09_OPERCN.CKBALCAO IS NOT NULL THEN CAST(0.00 AS DECIMAL(23, 6))
        WHEN CRT14_TBMOROSO.CODENT IS NULL AND SUM(CRT73.MCAPPEND) IS NOT NULL AND CRT07_TBCTATAR.saldiscre + CRT07_TBCTATAR.SALAUTCRE - CRT07_TBCTATAR.SALINGCTA - SUM(CRT73.MCAPPEND)  &lt; 0 THEN CAST(0.00 AS DECIMAL(23, 6))
        WHEN CRT14_TBMOROSO.CODENT IS NULL AND SUM(CRT73.MCAPPEND) IS NOT NULL AND CRT07_TBCTATAR.SALDISCRE + CRT07_TBCTATAR.SALAUTCRE - CRT07_TBCTATAR.SALINGCTA - SUM(CRT73.MCAPPEND)  &gt;= 0 THEN CAST(CRT07_TBCTATAR.saldiscre + CRT07_TBCTATAR.salautcre - CRT07_TBCTATAR.SALINGCTA - SUM(CRT73.MCAPPEND)  AS DECIMAL(23, 6))
        WHEN CRT14_TBMOROSO.codent IS NOT NULL AND SUM(CRT73.MCAPPEND)  IS NOT NULL AND  crt07.saldiscre + CRT07_TBCTATAR.salautcre - CRT07_TBCTATAR.salingcta - crt14.totdeudaact - SUM(CRT73.MCAPPEND)  &lt; 0 THEN CAST(0.00 AS DECIMAL(23, 6))
        WHEN CRT14_TBMOROSO.CODENT IS NOT NULL AND SUM(CRT73.MCAPPEND)  IS NOT NULL AND  CRT07_TBCTATAR.saldiscre + CRT07_TBCTATAR.salautcre - CRT07_TBCTATAR.SALINGCTA - crt14.totdeudaact - SUM(CRT73.MCAPPEND) &gt;= 0 THEN CAST(CRT07_TBCTATAR.saldiscre + CRT07_TBCTATAR.salautcre - CRT07_TBCTATAR.SALINGCTA - CRT14_TBMOROSO.TOTDEUAACT - SUM(CRT73.MCAPPEND) AS DECIMAL(23, 6))
        WHEN CRT14_TBMOROSO.codent IS NULL AND SUM(CRT73.MCAPPEND) IS NULL AND CRT07_TBCTATAR.saldiscre + CRT07_TBCTATAR.SALAUTCRE - CRT07_TBCTATAR.SALINGCTA &lt; 0 THEN CAST(0.00 AS DECIMAL(23, 6))
        WHEN CRT14_TBMOROSO.CODENT IS NULL AND SUM(CRT73.MCAPPEND) IS NULL AND CRT07_TBCTATAR.saldiscre + CRT07_TBCTATAR.salautcre - CRT07_TBCTATAR.SALINGCTA &gt;= 0 THEN CAST(CRT07_TBCTATAR.saldiscre + crt07.salautcre - CRT07_TBCTATAR.SALINGCTA AS DECIMAL(23, 6))
        WHEN CRT14_TBMOROSO.CODENT IS NOT NULL AND SUM(CRT73.MCAPPEND) IS NULL AND  CRT07_TBCTATAR.saldiscre + CRT07_TBCTATAR.salautcre - CRT07_TBCTATAR.SALINGCTA - crt14.totdeudaact  &lt; 0 THEN CAST(0.00 AS DECIMAL(23, 6))
        WHEN CRT14_TBMOROSO.CODENT IS NOT NULL AND SUM(CRT73.MCAPPEND)  IS NULL AND  CRT07_TBCTATAR.SALDISCRE + CRT07_TBCTATAR.salautcre - CRT07_TBCTATAR.SALINGCTA - CRT14_TBMOROSO.totdeudaact &gt;= 0 THEN CAST(CRT07_TBCTATAR.SALDISCRE + CRT07_TBCTATAR.SALAUTCRE - CRT07_TBCTATAR.SALINGCTA - CRT14_TBMOROSO.TOTDEUAACT AS DECIMAL(23, 6)) 
      END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CRT14_TBMOROSO.FECBAJABEN = 0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</si>
  <si>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CRT73_PRESTECL8 || N\A
(1)CRT07_TBCTATAR + (2)CRT14_TBMOROSO || N\A
N\A
N\A</t>
  </si>
  <si>
    <t>MCAPPEND + MISELO + MJUROS || N\A
(1)SALDISCRE - (2)TOTDEUDAACT || N\A
N\A
N\A</t>
  </si>
  <si>
    <t>N\A || "0.00"
N\A || "0.00"
"0.00"
"0.00"</t>
  </si>
  <si>
    <t>CRT07_TBCTATAR (Calendario TARGET | ODATE -2)
CRT63_ADESECL (Calendario TARGET | ODATE -2)
CRT73_PRESTECL (Calendario TARGET | ODATE -2)
INTERFACE_DCT01 (Calendario DIARIOEU | ODATE -1)
TCT09_OPERCN (Calendario DIARIOEU | ODATE -1)
PARAM_LITIGATION_PRODUCT (Calendario DIARIOEU | ODATE -1)</t>
  </si>
  <si>
    <t>N\A
N\A
MCAPPEND
N\A
N\A
N\A</t>
  </si>
  <si>
    <r>
      <rPr>
        <b/>
        <sz val="11"/>
        <color rgb="FF000000"/>
        <rFont val="Calibri"/>
        <scheme val="minor"/>
      </rPr>
      <t>SELECT</t>
    </r>
    <r>
      <rPr>
        <sz val="11"/>
        <color rgb="FF000000"/>
        <rFont val="Calibri"/>
        <scheme val="minor"/>
      </rPr>
      <t xml:space="preserve"> IF( CRT73_PRESTECL.MCAPPEND IS NOT NULL,
    CAST( CRT73_PRESTECL.MCAPPEND AS DECIMAL( 23, 6 ) ),
    CAST( 0.00 AS DECIMAL( 23, 6 ) )
</t>
    </r>
    <r>
      <rPr>
        <b/>
        <sz val="11"/>
        <color rgb="FF000000"/>
        <rFont val="Calibri"/>
        <scheme val="minor"/>
      </rPr>
      <t>WHERE</t>
    </r>
    <r>
      <rPr>
        <sz val="11"/>
        <color rgb="FF000000"/>
        <rFont val="Calibri"/>
        <scheme val="minor"/>
      </rPr>
      <t xml:space="preserve"> CRT63_ADESECL.CESTADO = 'C'
    AND CRT73_PRESTECL.CESTADO = 'A' AND MIN( CRT73_PRESTECL.ZPREST )
</t>
    </r>
    <r>
      <rPr>
        <b/>
        <sz val="11"/>
        <color rgb="FF000000"/>
        <rFont val="Calibri"/>
        <scheme val="minor"/>
      </rPr>
      <t>SELECT</t>
    </r>
    <r>
      <rPr>
        <sz val="11"/>
        <color rgb="FF000000"/>
        <rFont val="Calibri"/>
        <scheme val="minor"/>
      </rPr>
      <t xml:space="preserve"> IF( TCT09_OPERCN.CKBALCAO IS NULL,
    CAST( NULL AS DECIMAL( 23, 6) ),
    CAST( 0.00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</si>
  <si>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CRT73_PRESTECL || N\A
N\A
N\A
N\A</t>
  </si>
  <si>
    <t>MCAPPEND || N\A
N\A
N\A
N\A</t>
  </si>
  <si>
    <t>N\A || "0.00"
"NULL"
"0.00"
"0.00"</t>
  </si>
  <si>
    <t>Current principal amount which has been used but has reached its maturity date and is yet to be repaid. This field is only applies to revolving plans.</t>
  </si>
  <si>
    <t>CRT07_TBCTATAR (Calendario TARGET | ODATE -2)
CRT63_ADESECL (Calendario TARGET | ODATE -2)
CRT14_TBMOROSO (Calendario TARGET | ODATE -2)
INTERFACE_DCT01 (Calendario DIARIOEU | ODATE -1)
TCT09_OPERCN (Calendario DIARIOEU | ODATE -1)
PARAM_LITIGATION_PRODUCT (Calendario DIARIOEU | ODATE -1)</t>
  </si>
  <si>
    <t>N\A
N\A
CAPITALACT
DCYR8101_MSALDO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</si>
  <si>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TCT09_OPERCN.CKBALCAO IS NULL,
    IF( CRT14_TBMOROSO.CAPITALACT IS NULL,
        CAST( 0.00 AS DECIMAL( 23, 6 ) ),
        CAST( CRT14_TBMOROSO.CAPITALACT AS DECIMAL( 23, 6 ) ) ),
    CAST( 0.00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CRT14_TBMOROSO.FECBAJABEN = 0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</si>
  <si>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CRT14_TBMOROSO || N\A
DCYR8101
N\A</t>
  </si>
  <si>
    <t>N\A
CAPITALACT || N\A
( ( - MSALDO ) )
N\A</t>
  </si>
  <si>
    <t>"0.00"
N\A || "0.00"
N\A
"0.00"</t>
  </si>
  <si>
    <t>CURATED_INTERNAL_MAINFRAME_CARTOES
CURATED_INTERNAL_MAINFRAME_CARTOES
CURATED_INTERNAL_MAINFRAME_CONTAS
CURATED_INTERNAL_MAINFRAME_CONTENCIOSO
CURATED_INTERNAL_MAINFRAME_CONTENCIOSO
COMMON_REFERENCEDATA_CORE</t>
  </si>
  <si>
    <t>CRT07_TBCTATAR (Calendario TARGET | ODATE -2)
CRT63_ADESECL (Calendario TARGET | ODATE -2)
INTERFACE_DCT01 (Calendario DIARIOEU | ODATE -1)
TCT09_OPERCN (Calendario DIARIOEU | ODATE -1)
TCT01_POSDIVID (Calendario DIARIOEU | ODATE -1)
PARAM_LITIGATION_PRODUCT (Calendario DIARIOEU | ODATE -1)</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</si>
  <si>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TCT09_OPERCN.CKBALCAO IS NULL, CAST( 0.00 AS DECIMAL( 23, 6 ) ), CAST( TCT01_POSDIVID.MCAPITALD AS DECIMAL( 23, 6 )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TCT01_POSDIVID.IACTIVO = 'S'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CAST( TCT01_POSDIVID.MCAPITALD AS DECIMAL( 23, 6 )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TCT01_POSDIVID.IACTIVO = 'S'</t>
    </r>
  </si>
  <si>
    <t>N\A
N\A || TCT01_POSDIVID
N\A
TCT01_POSDIVID</t>
  </si>
  <si>
    <t>N\A
N\A || MCAPITALD
N\A
MCAPITALD</t>
  </si>
  <si>
    <t>"0.00"
"0.00" || N\A
"0.00"
N\A</t>
  </si>
  <si>
    <t>The principal amount to be paid in the next ordinary installment of the loan. If the loan has payed all the installments, this field is not applicable.</t>
  </si>
  <si>
    <t>CRT07_TBCTATAR (Calendario TARGET2 | ODATE -2)
CRT63_ADESECL (Calendario TARGET2 | ODATE -2)
CRT85_TBGRULIQ (Calendario TARGET2 | ODATE -2)
INTERFACE_DCT01 (Calendario DIARIOEU | ODATE -1)
TCT09_OPERCN (Calendario DIARIOEU | ODATE -1)
PARAM_LITIGATION_PRODUCT (Calendario DIARIOEU | ODATE -1)</t>
  </si>
  <si>
    <t>N\A
N\A
FECPROCAR
N\A
N\A
N\A</t>
  </si>
  <si>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CRT63_ADESECL.CESTADO = 'C'
    AND CRT73_PRESTECL.CESTADO = 'A' AND MIN( CRT73_PRESTECL.ZPREST )
</t>
    </r>
    <r>
      <rPr>
        <b/>
        <sz val="11"/>
        <color rgb="FF000000"/>
        <rFont val="Calibri"/>
        <scheme val="minor"/>
      </rPr>
      <t>SELECT</t>
    </r>
    <r>
      <rPr>
        <sz val="11"/>
        <color rgb="FF000000"/>
        <rFont val="Calibri"/>
        <scheme val="minor"/>
      </rPr>
      <t xml:space="preserve"> IF( LEN( CRT85_TBGRULIQ.FECPROCAR ) != 8, 
    IF( TRIM( CRT85_TBGRULIQ.FECPROCAR) = '',
        NULL,  
        CRT85_TBGRULIQ.FECPROCAR), 
    CONCAT( SUBSTRING( CRT85_TBGRULIQ.FECPROCAR, 1, 4 ), '-', SUBSTRING( CRT85_TBGRULIQ.FECPROCAR, 5, 2 ), '-', SUBSTRING( CRT85_TBGRULIQ.FECPROCAR,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MIN ( CRT85_TBGRULIQ.FECPROCAR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</si>
  <si>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CRT85_TBGRULIQ
N\A
N\A</t>
  </si>
  <si>
    <t>N\A
FECPROCAR
N\A
N\A</t>
  </si>
  <si>
    <t>"NULL"
N\A
"NULL"
"NULL"</t>
  </si>
  <si>
    <t>Next Regular Amortization Principal Amount</t>
  </si>
  <si>
    <t>next_regular_amort_principal_amt</t>
  </si>
  <si>
    <t>Date in which the last amortization associated with the loan was payed. If the loan does not have a past amortization, this field is not applicable.</t>
  </si>
  <si>
    <t>Valor de capital da próxima amortização regular.</t>
  </si>
  <si>
    <t>CRT07_TBCTATAR (Calendario TARGET2 | ODATE -2)
CRT63_ADESECL (Calendario TARGET2 | ODATE -2)
CRT73_PRESTECL (Calendario TARGET2 | ODATE -2)
INTERFACE_DCT01 (Calendario DIARIOEU | ODATE -1)
TCT09_OPERCN (Calendario DIARIOEU | ODATE -1)
PARAM_LITIGATION_PRODUCT (Calendario DIARIOEU | ODATE -1)</t>
  </si>
  <si>
    <t>N\A
N\A
MCAP 
N\A
N\A
N\A</t>
  </si>
  <si>
    <r>
      <rPr>
        <b/>
        <sz val="11"/>
        <color rgb="FF000000"/>
        <rFont val="Calibri"/>
        <scheme val="minor"/>
      </rPr>
      <t>SELECT</t>
    </r>
    <r>
      <rPr>
        <sz val="11"/>
        <color rgb="FF000000"/>
        <rFont val="Calibri"/>
        <scheme val="minor"/>
      </rPr>
      <t xml:space="preserve"> CAST( CRT73_PRESTECL.MCAP AS DECIMAL( 23, 6 ) )
</t>
    </r>
    <r>
      <rPr>
        <b/>
        <sz val="11"/>
        <color rgb="FF000000"/>
        <rFont val="Calibri"/>
        <scheme val="minor"/>
      </rPr>
      <t>WHERE</t>
    </r>
    <r>
      <rPr>
        <sz val="11"/>
        <color rgb="FF000000"/>
        <rFont val="Calibri"/>
        <scheme val="minor"/>
      </rPr>
      <t xml:space="preserve"> CRT63_ADESECL.CESTADO = 'C'
    AND CRT73_PRESTECL.CESTADO = 'A' AND MIN( CRT73_PRESTECL.ZPREST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</si>
  <si>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CRT73_PRESTECL
N\A
N\A
N\A</t>
  </si>
  <si>
    <t>MCAP
N\A
N\A
N\A</t>
  </si>
  <si>
    <t>Last Settled Amortization Due Date</t>
  </si>
  <si>
    <t>last_settled_amort_due_date</t>
  </si>
  <si>
    <r>
      <rPr>
        <sz val="11"/>
        <color rgb="FF000000"/>
        <rFont val="Calibri"/>
        <scheme val="minor"/>
      </rPr>
      <t>Date when the last card loan plan (</t>
    </r>
    <r>
      <rPr>
        <i/>
        <sz val="11"/>
        <color rgb="FF000000"/>
        <rFont val="Calibri"/>
        <scheme val="minor"/>
      </rPr>
      <t>ECL</t>
    </r>
    <r>
      <rPr>
        <sz val="11"/>
        <color rgb="FF000000"/>
        <rFont val="Calibri"/>
        <scheme val="minor"/>
      </rPr>
      <t>) installment  amount was sent to the associated card account's revolving monthly statement. This field does not apply to the revolving plan.</t>
    </r>
  </si>
  <si>
    <t xml:space="preserve">Data de liquidação da última amortização programada. </t>
  </si>
  <si>
    <t>CRT07_TBCTATAR (Calendario TARGET | ODATE -2)
CRT63_ADESECL (Calendario TARGET | ODATE -2)
CRT73_PRESTECL  (Calendario TARGET | ODATE -2)
CRT11_TBEXTRAC (Calendario TARGET | ODATE -2)
INTERFACE_DCT01 (Calendario DIARIOEU | ODATE -1)
TCT09_OPERCN (Calendario DIARIOEU | ODATE -1)
PARAM_LITIGATION_PRODUCT (Calendario DIARIOEU | ODATE -1)</t>
  </si>
  <si>
    <t>N\A
N\A
DTENVIO
FECHALIQ
N\A
N\A
N\A</t>
  </si>
  <si>
    <r>
      <rPr>
        <sz val="11"/>
        <color rgb="FF000000"/>
        <rFont val="Calibri"/>
        <scheme val="minor"/>
      </rPr>
      <t xml:space="preserve">SELECT IF( TRIM( CRT73_PRESTECL.DTENVIO ) = '', NULL, CAST( CRT73_PRESTECL.DTENVIO AS STRING ) ) 
WHERE CRT63_ADESECL.CESTADO = 'C'
    AND CRT73_PRESTECL.CESTADO IN ( 'P', 'E', 'L' ) AND MAX( CRT73_PRESTECL.ZPREST )
</t>
    </r>
    <r>
      <rPr>
        <b/>
        <sz val="11"/>
        <color rgb="FF000000"/>
        <rFont val="Calibri"/>
        <scheme val="minor"/>
      </rPr>
      <t>SELECT</t>
    </r>
    <r>
      <rPr>
        <sz val="11"/>
        <color rgb="FF000000"/>
        <rFont val="Calibri"/>
        <scheme val="minor"/>
      </rPr>
      <t xml:space="preserve"> IF( LEN( CRT11_TBEXTRAC.FECHALIQ ) != 8, 
    IF( TRIM( CRT11_TBEXTRAC.FECHALIQ ) = '', 
        NULL, 
        CRT11_TBEXTRAC.FECHALIQ ), 
      CONCAT( SUBSTRING( CRT11_TBEXTRAC.FECHALIQ, 1, 4 ), '-', SUBSTRING( CRT11_TBEXTRAC.FECHALIQ, 5, 2 ), '-', SUBSTRING( CRT11_TBEXTRAC.FECHALIQ,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MAX( CRT11_TBEXTRAC.FECHALIQ ) AND  CRT11_TBEXTRAC.FECHALIQ != 0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</si>
  <si>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CRT73_PRESTECL
CRT11_TBEXTRAC
N\A
N\A</t>
  </si>
  <si>
    <t>DTENVIO
FECHALIQ
N\A
N\A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</si>
  <si>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</si>
  <si>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</si>
  <si>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</si>
  <si>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t xml:space="preserve">Valor de capital da última amortização programada. </t>
  </si>
  <si>
    <r>
      <rPr>
        <b/>
        <sz val="11"/>
        <color rgb="FF000000"/>
        <rFont val="Calibri"/>
        <scheme val="minor"/>
      </rPr>
      <t>SELECT</t>
    </r>
    <r>
      <rPr>
        <sz val="11"/>
        <color rgb="FF000000"/>
        <rFont val="Calibri"/>
        <scheme val="minor"/>
      </rPr>
      <t xml:space="preserve"> CAST( CRT73_PRESTECL.MCAP AS DECIMAL( 23, 6 ) )
</t>
    </r>
    <r>
      <rPr>
        <b/>
        <sz val="11"/>
        <color rgb="FF000000"/>
        <rFont val="Calibri"/>
        <scheme val="minor"/>
      </rPr>
      <t>WHERE</t>
    </r>
    <r>
      <rPr>
        <sz val="11"/>
        <color rgb="FF000000"/>
        <rFont val="Calibri"/>
        <scheme val="minor"/>
      </rPr>
      <t xml:space="preserve"> CRT63_ADESECL.CESTADO = 'C'
    AND CRT73_PRESTECL.CESTADO IN ( 'P', 'E', 'L' ) AND MAX( CRT73_PRESTECL.ZPREST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</si>
  <si>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"NULL"
"NULL"
"NULL"</t>
  </si>
  <si>
    <t>Last Early Amortization Payment Date</t>
  </si>
  <si>
    <t>last_early_amort_pay_date</t>
  </si>
  <si>
    <t>Data de pagamento última amortização antecipada.</t>
  </si>
  <si>
    <t>CRT07_TBCTATAR (Calendario TARGET2 | ODATE -2)
CRT63_ADESECL (Calendario TARGET2 | ODATE -2)
CRT12_TBMOVEXT_NEW (Calendario TARGET2 | ODATE -2)
INTERFACE_DCT01 (Calendario DIARIOEU | ODATE -1)
TCT09_OPERCN (Calendario DIARIOEU | ODATE -1)
PARAM_LITIGATION_PRODUCT (Calendario DIARIOEU | ODATE -1)</t>
  </si>
  <si>
    <t>N\A
N\A
FECFAC
N\A
N\A
N\A</t>
  </si>
  <si>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LEN( CRT12_TBMOVEXT_NEW.FECFAC ) != 8, 
    IF( TRIM( CRT12_TBMOVEXT_NEW.FECFAC ) = '',
        NULL, 
        CRT12_TBMOVEXT_NEW.FECFAC ), 
    CONCAT( SUBSTRING( CRT12_TBMOVEXT_NEW.FECFAC, 1, 4 ), '-', SUBSTRING( CRT12_TBMOVEXT_NEW.FECFAC, 5, 2 ), '-', SUBSTRING( CRT12_TBMOVEXT_NEW.FECFAC,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CRT12_TBMOVEXT_NEW.TIPOFACN = '035' AND MAX( CRT12_TBMOVEXT_NEW.CRT12_FECFAC, CRT12_TBMOVEXT_NEW.CRT12_HORAFAC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</si>
  <si>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CRT12_TBMOVEXT
N\A
N\A</t>
  </si>
  <si>
    <t>N\A
FECFAC
N\A
N\A</t>
  </si>
  <si>
    <t>Last Early Amortization Principal Amount</t>
  </si>
  <si>
    <t>last_early_amort_principal_amt</t>
  </si>
  <si>
    <t>The principal amount that was paid in the last amortization of the loan. If the loan does not have a paid installment, this field is not applicable.</t>
  </si>
  <si>
    <t>Valor de capital da última amortização antecipada.</t>
  </si>
  <si>
    <t>CRT07_TBCTATAR (Calendario TARGET2 | ODATE -2)
CRT63_ADESECL (Calendario TARGET2 | ODATE -2)
CRT12_TBMOVEXT_NEW (Calendario TARGET2 | ODATE -2)
CRT44_TBTIPFAC (Calendario TARGET2 | ODATE -2)
INTERFACE_DCT01 (Calendario DIARIOEU | ODATE -1)
TCT09_OPERCN  (Calendario DIARIOEU | ODATE -1)
PARAM_LITIGATION_PRODUCT (Calendario DIARIOEU | ODATE -1)</t>
  </si>
  <si>
    <t>N\A
N\A
IMPFAC
N\A
N\A
N\A
N\A</t>
  </si>
  <si>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CAST( CONCAT( CRT44_TBTIPFAC.SIGNO, CRT12_TBMOVEXT_NEW.IMPFAC ) AS DECIMAL( 23, 6 ) ) AS STRING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CRT12_TBMOVEXT_NEW.TIPOFACN = '035' AND MAX( CRT12_TBMOVEXT_NEW.CRT12_FECFAC, CRT12_TBMOVEXT_NEW.CRT12_HORAFAC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</si>
  <si>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IMPFAC
N\A
N\A</t>
  </si>
  <si>
    <t>Date in which the last ordinary installment payment associated with the card account plan was made. If the plan does not a past payment than this field is not applicable.</t>
  </si>
  <si>
    <r>
      <rPr>
        <sz val="11"/>
        <color rgb="FF000000"/>
        <rFont val="Calibri"/>
        <scheme val="minor"/>
      </rPr>
      <t>CRT07_TBCTATAR (Calendario TARGET2 | ODATE -2)
CRT63_ADESECL</t>
    </r>
    <r>
      <rPr>
        <b/>
        <sz val="11"/>
        <color rgb="FF000000"/>
        <rFont val="Calibri"/>
        <scheme val="minor"/>
      </rPr>
      <t xml:space="preserve"> </t>
    </r>
    <r>
      <rPr>
        <sz val="11"/>
        <color rgb="FF000000"/>
        <rFont val="Calibri"/>
        <scheme val="minor"/>
      </rPr>
      <t>(Calendario TARGET2 | ODATE -2)
CRT73_PRESTECL (Calendario TARGET2 | ODATE -2)
CRT12_TBMOVEXT_NEW (Calendario TARGET2 | ODATE -2)
INTERFACE_DCT01 (Calendario DIARIOEU | ODATE -1)
TCT09_OPERCN (Calendario DIARIOEU | ODATE -1)
PARAM_LITIGATION_PRODUCT (Calendario DIARIOEU | ODATE -1)</t>
    </r>
  </si>
  <si>
    <t>N\A
N\A
DTENVIO
FECFAC
N\A
N\A
N\A</t>
  </si>
  <si>
    <r>
      <rPr>
        <b/>
        <sz val="11"/>
        <color rgb="FF000000"/>
        <rFont val="Calibri"/>
        <scheme val="minor"/>
      </rPr>
      <t>SELECT</t>
    </r>
    <r>
      <rPr>
        <sz val="11"/>
        <color rgb="FF000000"/>
        <rFont val="Calibri"/>
        <scheme val="minor"/>
      </rPr>
      <t xml:space="preserve"> IF( TRIM( CRT73_PRESTECL.DTENVIO ) = '', NULL, CAST( CRT73_PRESTECL.DTENVIO AS STRING ) )
</t>
    </r>
    <r>
      <rPr>
        <b/>
        <sz val="11"/>
        <color rgb="FF000000"/>
        <rFont val="Calibri"/>
        <scheme val="minor"/>
      </rPr>
      <t>WHERE</t>
    </r>
    <r>
      <rPr>
        <sz val="11"/>
        <color rgb="FF000000"/>
        <rFont val="Calibri"/>
        <scheme val="minor"/>
      </rPr>
      <t xml:space="preserve"> CRT63_ADESECL.CESTADO = 'C'
    AND CRT73_PRESTECL.CESTADO IN ( 'P', 'E', 'L' ) AND MAX( CRT73_PRESTECL.ZPREST )
</t>
    </r>
    <r>
      <rPr>
        <b/>
        <sz val="11"/>
        <color rgb="FF000000"/>
        <rFont val="Calibri"/>
        <scheme val="minor"/>
      </rPr>
      <t>SELECT</t>
    </r>
    <r>
      <rPr>
        <sz val="11"/>
        <color rgb="FF000000"/>
        <rFont val="Calibri"/>
        <scheme val="minor"/>
      </rPr>
      <t xml:space="preserve"> IF( LEN( CRT12_TBMOVEXT_NEW.FECFAC ) != 8, 
    IF( TRIM( CRT12_TBMOVEXT_NEW.FECFAC ) = '',
        NULL, 
        CRT12_TBMOVEXT_NEW.FECFAC ), 
    CONCAT( SUBSTRING( CRT12_TBMOVEXT_NEW.FECFAC, 1, 4 ), '-', SUBSTRING( CRT12_TBMOVEXT_NEW.FECFAC, 5, 2 ), '-', SUBSTRING( CRT12_TBMOVEXT_NEW.FECFAC,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CRT12_TBMOVEXT_NEW.TIPOFACN = '030' AND MAX( CRT12_TBMOVEXT_NEW.CRT12_FECFAC, CRT12_TBMOVEXT_NEW.CRT12_HORAFAC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</si>
  <si>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CRT73_PRESTECL
CRT12_TBMOVEXT
N\A
N\A</t>
  </si>
  <si>
    <t>DTENVIO
FECFAC
N\A
N\A</t>
  </si>
  <si>
    <t>The principal amount that was paid in the last ordinary installment payment associated to the card loan plan. If the plan does not have a past installment payment , this field is not applicable.</t>
  </si>
  <si>
    <t>CURATED_INTERNAL_MAINFRAME_CARTOES
CURATED_INTERNAL_MAINFRAME_CARTOES
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</si>
  <si>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CRT73_PRESTECL (Calendario TARGET | ODATE -2)
CRT12_TBMOVEXT_NEW (Calendario TARGET | ODATE -2)
CRT44_TBTIPFAC (Calendario TARGET | ODATE -2)
INTERFACE_DCT01 (Calendario DIARIOEU | ODATE -1)
TCT09_OPERCN (Calendario DIARIOEU | ODATE -1)
PARAM_LITIGATION_PRODUCT (Calendario DIARIOEU | ODATE -1)</t>
  </si>
  <si>
    <t>N\A
N\A
MCAP
IMPFAC
N\A
N\A
N\A
N\A</t>
  </si>
  <si>
    <r>
      <rPr>
        <b/>
        <sz val="11"/>
        <color rgb="FF000000"/>
        <rFont val="Calibri"/>
        <scheme val="minor"/>
      </rPr>
      <t>SELECT</t>
    </r>
    <r>
      <rPr>
        <sz val="11"/>
        <color rgb="FF000000"/>
        <rFont val="Calibri"/>
        <scheme val="minor"/>
      </rPr>
      <t xml:space="preserve"> IF( TRIM( CRT73_PRESTECL.MCAP ) = '', NULL, CAST( CRT73_PRESTECL.MCAP AS STRING ) )
</t>
    </r>
    <r>
      <rPr>
        <b/>
        <sz val="11"/>
        <color rgb="FF000000"/>
        <rFont val="Calibri"/>
        <scheme val="minor"/>
      </rPr>
      <t>WHERE</t>
    </r>
    <r>
      <rPr>
        <sz val="11"/>
        <color rgb="FF000000"/>
        <rFont val="Calibri"/>
        <scheme val="minor"/>
      </rPr>
      <t xml:space="preserve"> CRT63_ADESECL.CESTADO = 'C'
    AND CRT73_PRESTECL.CESTADO IN ( 'P', 'E', 'L' ) AND MAX( CRT73_PRESTECL.ZPREST )
</t>
    </r>
    <r>
      <rPr>
        <b/>
        <sz val="11"/>
        <color rgb="FF000000"/>
        <rFont val="Calibri"/>
        <scheme val="minor"/>
      </rPr>
      <t>SELECT</t>
    </r>
    <r>
      <rPr>
        <sz val="11"/>
        <color rgb="FF000000"/>
        <rFont val="Calibri"/>
        <scheme val="minor"/>
      </rPr>
      <t xml:space="preserve"> CAST( CONCAT( CRT44_TBTIPFAC.SIGNO, CRT12_TBMOVEXT_NEW.IMPFAC ) AS DECIMAL( 23, 6 ) ) AS STRING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CRT12_TBMOVEXT_NEW.TIPOFACN = '030' AND MAX( CRT12_TBMOVEXT_NEW.CRT12_FECFAC, CRT12_TBMOVEXT_NEW.CRT12_HORAFAC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</si>
  <si>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MCAP
IMPFAC
N\A
N\A</t>
  </si>
  <si>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</si>
  <si>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</si>
  <si>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</si>
  <si>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Número da prestação associada à última amortização regular realizada.</t>
  </si>
  <si>
    <t>N\A
N\A
ZPREST
N\A
N\A
N\A</t>
  </si>
  <si>
    <r>
      <rPr>
        <b/>
        <sz val="11"/>
        <color rgb="FF000000"/>
        <rFont val="Calibri"/>
        <scheme val="minor"/>
      </rPr>
      <t>SELECT</t>
    </r>
    <r>
      <rPr>
        <sz val="11"/>
        <color rgb="FF000000"/>
        <rFont val="Calibri"/>
        <scheme val="minor"/>
      </rPr>
      <t xml:space="preserve"> CAST( CRT73_PRESTECL.ZPREST AS STRING )
</t>
    </r>
    <r>
      <rPr>
        <b/>
        <sz val="11"/>
        <color rgb="FF000000"/>
        <rFont val="Calibri"/>
        <scheme val="minor"/>
      </rPr>
      <t>WHERE</t>
    </r>
    <r>
      <rPr>
        <sz val="11"/>
        <color rgb="FF000000"/>
        <rFont val="Calibri"/>
        <scheme val="minor"/>
      </rPr>
      <t xml:space="preserve"> CRT63_ADESECL.CESTADO = 'C'
    AND CRT73_PRESTECL.CESTADO IN ( 'P', 'E', 'L' ) AND MAX( CRT73_PRESTECL.ZPREST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</si>
  <si>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ZPREST
N\A
N\A
N\A</t>
  </si>
  <si>
    <t>Initial Active Rate Type Code</t>
  </si>
  <si>
    <t>init_active_rate_type_code</t>
  </si>
  <si>
    <t>Ext Inf - Con Interest Inf - Ind</t>
  </si>
  <si>
    <t>Represents the initial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</si>
  <si>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inicialmente no âmbito do contrato, por exemplo: fixa, mista ou variável.</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</si>
  <si>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'init_active_rate_type_code'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'init_active_rate_type_code'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</si>
  <si>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"Fixed"
"Fixed"
"NULL"
"NULL"</t>
  </si>
  <si>
    <t>Initial Active Interest Rate</t>
  </si>
  <si>
    <t>initial_active_interest_rate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</si>
  <si>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</si>
  <si>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 ativa (devedora) inicialmente acordada no âmbito do contrato (spread + indexante).</t>
  </si>
  <si>
    <t>Initial interest rate</t>
  </si>
  <si>
    <t>TAN
TAXA
N\A
N\A
N\A</t>
  </si>
  <si>
    <r>
      <rPr>
        <b/>
        <sz val="11"/>
        <color rgb="FF000000"/>
        <rFont val="Calibri"/>
        <scheme val="minor"/>
      </rPr>
      <t>SELECT</t>
    </r>
    <r>
      <rPr>
        <sz val="11"/>
        <color rgb="FF000000"/>
        <rFont val="Calibri"/>
        <scheme val="minor"/>
      </rPr>
      <t xml:space="preserve"> CAST( CRT63_ADESECL.TAXA AS DECIMAL( 23, 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CAST( CRT07_TBCTATAR.TAN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</si>
  <si>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TAXA
TAN
N\A
N\A</t>
  </si>
  <si>
    <t>cur_active_rate_type_code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</si>
  <si>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</si>
  <si>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Rate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</si>
  <si>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'cur_active_rate_type_code'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'cur_active_rate_type_code'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</si>
  <si>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</si>
  <si>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r>
      <rPr>
        <sz val="11"/>
        <color rgb="FF000000"/>
        <rFont val="Calibri"/>
        <scheme val="minor"/>
      </rPr>
      <t>CRT07_TBCTATAR (Calendario TARGET | ODATE -2)
CRT63_ADESECL (Calendario TARGET | ODATE -2)
INTERFACE_DCT01 (Calendario DIARIOEU | ODATE -1)
TCT09_OPERCN</t>
    </r>
    <r>
      <rPr>
        <b/>
        <sz val="11"/>
        <color rgb="FF000000"/>
        <rFont val="Calibri"/>
        <scheme val="minor"/>
      </rPr>
      <t xml:space="preserve"> </t>
    </r>
    <r>
      <rPr>
        <sz val="11"/>
        <color rgb="FF000000"/>
        <rFont val="Calibri"/>
        <scheme val="minor"/>
      </rPr>
      <t>(Calendario DIARIOEU | ODATE -1)
PARAM_LITIGATION_PRODUCT (Calendario DIARIOEU | ODATE -1)</t>
    </r>
  </si>
  <si>
    <r>
      <rPr>
        <b/>
        <sz val="11"/>
        <color rgb="FF000000"/>
        <rFont val="Calibri"/>
        <scheme val="minor"/>
      </rPr>
      <t>SELECT</t>
    </r>
    <r>
      <rPr>
        <sz val="11"/>
        <color rgb="FF000000"/>
        <rFont val="Calibri"/>
        <scheme val="minor"/>
      </rPr>
      <t xml:space="preserve"> CAST( CRT63_ADESECL.TAXA AS DECIMAL( 23, 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CAST( CRT07_TBCTATAR.TAN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</si>
  <si>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CRT63_ADESECL
CRT07_TBCTATAR || N\A
N\A
N\A</t>
  </si>
  <si>
    <t>Revolving Plan Indicator</t>
  </si>
  <si>
    <t>revolving_plan_indicator</t>
  </si>
  <si>
    <t>Ext Inf - Con Inf - Ind</t>
  </si>
  <si>
    <t>Indicates if it is a revolving plan. Besides a revolving plan it can be a card loan plan.</t>
  </si>
  <si>
    <t>Indica se o contrato é um revolving ou não. Caso seja uma conta passagem a contencioso ou já em contencioso, é considerado revolving.</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</si>
  <si>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PARAM_GENERAL_CODE_CONVERTER.SOURCE_CODE = 'CR' AND PARAM_GENERAL_CODE_CONVERTER.TARGET_FIELD = 'revolving_plan_indicator' AND PARAM_GENERAL_CODE_CONVERTER.OPTION_NUMBER = 1 AND PARAM_GENERAL_CODE_CONVERTER.SOURCE_FIELD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PARAM_GENERAL_CODE_CONVERTER.SOURCE_CODE = 'CR' AND PARAM_GENERAL_CODE_CONVERTER.TARGET_FIELD = 'revolving_plan_indicator' AND PARAM_GENERAL_CODE_CONVERTER.OPTION_NUMBER = CASE 
        WHEN TCT09_OPERCN.CKBALCAO IS NULL THEN 2
        ELSE 1
      END AND PARAM_GENERAL_CODE_CONVERTER.SOURCE_FIELD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PARAM_GENERAL_CODE_CONVERTER.SOURCE_CODE = 'DC' AND PARAM_GENERAL_CODE_CONVERTER.TARGET_FIELD = 'revolving_plan_indicator' AND PARAM_GENERAL_CODE_CONVERTER.OPTION_NUMBER = 1 AND PARAM_GENERAL_CODE_CONVERTER.SOURCE_FIELD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'TC' AND PARAM_LITIGATION_PRODUCT.PRODUCT_ID = TCT09_OPERCN.CKPRODUT AND PARAM_LITIGATION_PRODUCT.SUBPRODUCT_ID = TCT09_OPERCN.CKSUBPRO</t>
    </r>
  </si>
  <si>
    <t>"0"
"1"
"1"
"1"</t>
  </si>
  <si>
    <t>Contract Status:
N\A ( A - Agendado; C - Criado; L - Liquidado; N - Cancelado; P - Pago; R - Incumprimento; S - Substítuido; X - Para Cancelar Plano; Y - Plano Indevidamente criado )
TAT91 - CTABELA 592; CURATED_INTERNAL_MAINFRAME_ESTRUTURAIS.TAT91_TABELAS - TAYD91C0_CTABELA 592
TAT91 - CTABELA 205; CURATED_INTERNAL_MAINFRAME_ESTRUTURAIS.TAT91_TABELAS - TAYD91C0_CTABELA 205
TAT91 - CTABELA W98; CURATED_INTERNAL_MAINFRAME_ESTRUTURAIS.TAT91_TABELAS - TAYD91C0_CTABELA W98</t>
  </si>
  <si>
    <r>
      <rPr>
        <sz val="11"/>
        <color rgb="FF000000"/>
        <rFont val="Calibri"/>
        <scheme val="minor"/>
      </rPr>
      <t>CRT07_TBCTATAR (Calendario TARGET | ODATE -2)
CRT63_ADESECL (Calendario TARGET | ODATE -2)
INTERFACE_DCT01</t>
    </r>
    <r>
      <rPr>
        <b/>
        <sz val="11"/>
        <color rgb="FF000000"/>
        <rFont val="Calibri"/>
        <scheme val="minor"/>
      </rPr>
      <t xml:space="preserve"> </t>
    </r>
    <r>
      <rPr>
        <sz val="11"/>
        <color rgb="FF000000"/>
        <rFont val="Calibri"/>
        <scheme val="minor"/>
      </rPr>
      <t>(Calendario DIARIOEU | ODATE -1)
TCT09_OPERCN (Calendario DIARIOEU | ODATE -1)
PARAM_GENERAL_CODE_CONVERTER (Calendario DIARIOEU | ODATE -1)
PARAM_LITIGATION_PRODUCT (Calendario DIARIOEU | ODATE -1)</t>
    </r>
  </si>
  <si>
    <r>
      <rPr>
        <b/>
        <sz val="11"/>
        <color rgb="FF000000"/>
        <rFont val="Calibri"/>
        <scheme val="minor"/>
      </rPr>
      <t>SELECT</t>
    </r>
    <r>
      <rPr>
        <sz val="11"/>
        <color rgb="FF000000"/>
        <rFont val="Calibri"/>
        <scheme val="minor"/>
      </rPr>
      <t xml:space="preserve"> IF( TRIM( CRT63_ADESECL.CESTADO ) = '', NULL,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'contract_status_code' AND PARAM_GENERAL_CODE_CONVERTER.SOURCE_CODE = 'CR' AND PARAM_GENERAL_CODE_CONVERTER.SOURCE_VALUE = CRT63_ADESECL.CESTADO AND PARAM_GENERAL_CODE_CONVERTER.OPTION_NUMBER = '1'
</t>
    </r>
    <r>
      <rPr>
        <b/>
        <sz val="11"/>
        <color rgb="FF000000"/>
        <rFont val="Calibri"/>
        <scheme val="minor"/>
      </rPr>
      <t>SELECT</t>
    </r>
    <r>
      <rPr>
        <sz val="11"/>
        <color rgb="FF000000"/>
        <rFont val="Calibri"/>
        <scheme val="minor"/>
      </rPr>
      <t xml:space="preserve"> IF( TRIM( CRT07_TBCTATAR.BLOQUEACT ) = '', NULL,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'contract_status_code' AND ( PARAM_GENERAL_CODE_CONVERTER.SOURCE_CODE = 'CR' OR PARAM_GENERAL_CODE_CONVERTER.SOURCE_CODE = 'TC' ) AND ( PARAM_GENERAL_CODE_CONVERTER.SOURCE_VALUE = CRT07_TBCTATAR.BLOQUEACT OR PARAM_GENERAL_CODE_CONVERTER.SOURCE_VALUE = TCT09_OPERCN.ISITUAC ) AND PARAM_GENERAL_CODE_CONVERTER.OPTION_NUMBER = '1'
</t>
    </r>
    <r>
      <rPr>
        <b/>
        <sz val="11"/>
        <color rgb="FF000000"/>
        <rFont val="Calibri"/>
        <scheme val="minor"/>
      </rPr>
      <t>SELECT</t>
    </r>
    <r>
      <rPr>
        <sz val="11"/>
        <color rgb="FF000000"/>
        <rFont val="Calibri"/>
        <scheme val="minor"/>
      </rPr>
      <t xml:space="preserve"> IF( TRIM( INTERFACE_DCT01.DCYR8101_CSITCTA ) = '', NULL,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'contract_status_code' AND PARAM_GENERAL_CODE_CONVERTER.SOURCE_CODE = 'DC' AND PARAM_GENERAL_CODE_CONVERTER.SOURCE_VALUE = INTERFACE_DCT01.DCYR8101_CSITCTA AND PARAM_GENERAL_CODE_CONVERTER.OPTION_NUMBER = '1'
</t>
    </r>
    <r>
      <rPr>
        <b/>
        <sz val="11"/>
        <color rgb="FF000000"/>
        <rFont val="Calibri"/>
        <scheme val="minor"/>
      </rPr>
      <t>SELECT</t>
    </r>
    <r>
      <rPr>
        <sz val="11"/>
        <color rgb="FF000000"/>
        <rFont val="Calibri"/>
        <scheme val="minor"/>
      </rPr>
      <t xml:space="preserve"> IF( TRIM( TCT09_OPERCN.ISITUAC ) = '', NULL,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'contract_status_code' AND PARAM_GENERAL_CODE_CONVERTER.SOURCE_CODE = 'TC' AND PARAM_GENERAL_CODE_CONVERTER.SOURCE_VALUE = TCT09_OPERCN.ISITUAC AND PARAM_GENERAL_CODE_CONVERTER.OPTION_NUMBER = '1'</t>
    </r>
  </si>
  <si>
    <t>CRT63_ADESECL
CRT07_TBCTATAR 
DCYR8101
TCT09_OPERCN</t>
  </si>
  <si>
    <t>CESTADO
BLOQUEACT
CSITCTA
ISITUAC</t>
  </si>
  <si>
    <t>CURATED_INTERNAL_MAINFRAME_CARTOES
CURATED_INTERNAL_MAINFRAME_CARTOES
CURATED_INTERNAL_MAINFRAME_CONTAS
CURATED_INTERNAL_MAINFRAME_CONTENCIOSO
CURATED_INTERNAL_MAINFRAME_PROPOSTAS
CURATED_INTERNAL_MAINFRAME_PROPOSTAS
CURATED_INTERNAL_MAINFRAME_PROPOSTAS
COMMON_REFERENCEDATA_CORE
COMMON_REFERENCEDATA_CORE</t>
  </si>
  <si>
    <t>CRT07_TBCTATAR
CRT63_ADESECL (Calendario TARGET | ODATE -2)
INTERFACE_DCT01 (Calendario DIARIOEU | ODATE -1)
TCT09_OPERCN (Calendario DIARIOEU | ODATE -1)
PRT01_PROPOSTAS (Calendario DIARIOEU | ODATE -2)
PRT20_PRCART (Calendario DIARIOEU | ODATE -2)
NGT14_RELCTA (Calendario DIARIOEU | ODATE -2)
PARAM_GENERAL_CODE_CONVERTER (Calendario DIARIOEU | ODATE -1)
PARAM_LITIGATION_PRODUCT (Calendario DIARIOEU | ODATE -1)</t>
  </si>
  <si>
    <t>N\A
N\A
N\A
N\A
N\A
N\A
N\A
TARGET_VALUE
N\A</t>
  </si>
  <si>
    <r>
      <rPr>
        <b/>
        <sz val="11"/>
        <color rgb="FF000000"/>
        <rFont val="Calibri"/>
        <scheme val="minor"/>
      </rPr>
      <t>SELECT</t>
    </r>
    <r>
      <rPr>
        <sz val="11"/>
        <color rgb="FF000000"/>
        <rFont val="Calibri"/>
        <scheme val="minor"/>
      </rPr>
      <t xml:space="preserve">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PARAM_GENERAL_CODE_CONVERTER.TARGET_VALUE
</t>
    </r>
    <r>
      <rPr>
        <b/>
        <sz val="11"/>
        <color rgb="FF000000"/>
        <rFont val="Calibri"/>
        <scheme val="minor"/>
      </rPr>
      <t>WHERE</t>
    </r>
    <r>
      <rPr>
        <sz val="11"/>
        <color rgb="FF000000"/>
        <rFont val="Calibri"/>
        <scheme val="minor"/>
      </rPr>
      <t xml:space="preserve"> CRT63_ADESECL.CESTADO = 'C'
    AND ( PRT20_PRCART.HTIMEST &lt;= CRT07_TBCTATAR.FECALTA) AND ( MAX( PRT20_PRCART.ZPROPOST OR MAX( NGT14_RELCTA.ZPLANPROPOST ) 
    AND PARAM_GENERAL_CODE_CONVERTER.TARGET_FIELD = 'contract_opening_channel_code' AND PARAM_GENERAL_CODE_CONVERTER.SOURCE_CODE = 'CR' AND ( PARAM_GENERAL_CODE_CONVERTER.SOURCE_VALUE = 'Internet' OR PARAM_GENERAL_CODE_CONVERTER.SOURCE_VALUE = 'Branch' OR PARAM_GENERAL_CODE_CONVERTER.SOURCE_VALUE = 'Broker'  OR PARAM_GENERAL_CODE_CONVERTER.SOURCE_VALUE = 'Other )' AND PARAM_GENERAL_CODE_CONVERTER.OPTION_NUMBER = '1' 
</t>
    </r>
    <r>
      <rPr>
        <b/>
        <sz val="11"/>
        <color rgb="FF000000"/>
        <rFont val="Calibri"/>
        <scheme val="minor"/>
      </rPr>
      <t>SELECT</t>
    </r>
    <r>
      <rPr>
        <sz val="11"/>
        <color rgb="FF000000"/>
        <rFont val="Calibri"/>
        <scheme val="minor"/>
      </rPr>
      <t xml:space="preserve">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 MAX( PRT20_PRCART.ZPROPOST OR MAX( NGT14_RELCTA.ZPLANPROPOST )
    AND PARAM_GENERAL_CODE_CONVERTER.TARGET_FIELD = 'contract_opening_channel_code' AND ( PRT20_PRCART.HTIMEST &lt;= CRT07_TBCTATAR.FECALTA) AND (PARAM_GENERAL_CODE_CONVERTER.SOURCE_CODE = 'CR' AND ( PARAM_GENERAL_CODE_CONVERTER.SOURCE_VALUE = 'Internet' OR PARAM_GENERAL_CODE_CONVERTER.SOURCE_VALUE = 'Branch' OR PARAM_GENERAL_CODE_CONVERTER.SOURCE_VALUE = 'Broker'  OR PARAM_GENERAL_CODE_CONVERTER.SOURCE_VALUE = 'Other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'contract_opening_channel_code'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'contract_opening_channel_code' AND PARAM_GENERAL_CODE_CONVERTER.SOURCE_CODE = 'TC' AND PARAM_GENERAL_CODE_CONVERTER.SOURCE_VALUE = '' AND PARAM_GENERAL_CODE_CONVERTER.OPTION_NUMBER = '1'</t>
    </r>
  </si>
  <si>
    <t>PR, NG - Propostas
PR, NG - Propostas
DC - Contas a Vista
TC - Terminal Contencioso</t>
  </si>
  <si>
    <t>PRT01_PROPOSTAS
PRT01_PROPOSTAS
N\A
N\A</t>
  </si>
  <si>
    <t>CONCAT( CKUOEMI, CCANLCAP )
CONCAT( CKUOEMI, CCANLCAP )
N\A
N\A</t>
  </si>
  <si>
    <t xml:space="preserve"> N\A
N\A
"Branch"
"Branch"</t>
  </si>
  <si>
    <t>Source:
N\A; N\A
N\A ; N\A|| N\A; N\A
N\A; N\A
N\A; N\A</t>
  </si>
  <si>
    <r>
      <rPr>
        <b/>
        <sz val="11"/>
        <color rgb="FF000000"/>
        <rFont val="Calibri"/>
        <scheme val="minor"/>
      </rPr>
      <t>SELECT</t>
    </r>
    <r>
      <rPr>
        <sz val="11"/>
        <color rgb="FF000000"/>
        <rFont val="Calibri"/>
        <scheme val="minor"/>
      </rPr>
      <t xml:space="preserve"> 'CR'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TCT09_OPERCN.CKBALCAO IS NULL, 'CR',  'TC'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</si>
  <si>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
"CR" || "TC"
"DC"
"TC"</t>
  </si>
  <si>
    <r>
      <rPr>
        <b/>
        <sz val="11"/>
        <color rgb="FF000000"/>
        <rFont val="Calibri"/>
        <scheme val="minor"/>
      </rPr>
      <t>SELECT</t>
    </r>
    <r>
      <rPr>
        <sz val="11"/>
        <color rgb="FF000000"/>
        <rFont val="Calibri"/>
        <scheme val="minor"/>
      </rPr>
      <t xml:space="preserve"> CRT63_ADESECL.DATA_DATE_PART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CRT07_TBCTATAR.DATA_DATE_PART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</si>
  <si>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CRT63_ADESECL.CESTADO = 'C' 
SELECT NOW()
WHERE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</si>
  <si>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Credit Card Universe</t>
  </si>
  <si>
    <t>credit_card_universe</t>
  </si>
  <si>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</si>
  <si>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CONCAT( CRT07_TBCTATAR.CKBALCAO, CRT07_TBCTATAR.CKNUMCTA, '0000000', 'P', LPAD( CRT63_ADESECL.ZPLANO, 3, '0' ), '0001' )
</t>
    </r>
    <r>
      <rPr>
        <b/>
        <sz val="11"/>
        <color rgb="FF000000"/>
        <rFont val="Calibri"/>
        <scheme val="minor"/>
      </rPr>
      <t xml:space="preserve">WHERE </t>
    </r>
    <r>
      <rPr>
        <sz val="11"/>
        <color rgb="FF000000"/>
        <rFont val="Calibri"/>
        <scheme val="minor"/>
      </rPr>
      <t xml:space="preserve">(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CONCAT( CRT07_TBCTATAR.CKBALCAO, CRT07_TBCTATAR.CKNUMCTA, '0000000', '0000', '0001'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 xml:space="preserve">WHERE </t>
    </r>
    <r>
      <rPr>
        <sz val="11"/>
        <color rgb="FF000000"/>
        <rFont val="Calibri"/>
        <scheme val="minor"/>
      </rPr>
      <t>TCT09_OPERCN.ISITUAC = '1' AND GROUP BY ( TCT09_OPERCN.CKBALCAO, TCT09_OPERCN.CKNUMCTA )
    AND PARAM_LITIGATION_PRODUCT.SOURCE_CODE = 'CR' AND PARAM_LITIGATION_PRODUCT.PRODUCT_ID = TCT09_OPERCN.CKPRODUT AND PARAM_LITIGATION_PRODUCT.SUBPRODUCT_ID = TCT09_OPERCN.CKSUBPRO</t>
    </r>
  </si>
  <si>
    <t>N\A
CESTADO
FECBAJA
ISITUAC
DCYR8101_CSITCTA
N\A</t>
  </si>
  <si>
    <r>
      <rPr>
        <b/>
        <sz val="11"/>
        <color rgb="FF000000"/>
        <rFont val="Calibri"/>
        <scheme val="minor"/>
      </rPr>
      <t>SELECT</t>
    </r>
    <r>
      <rPr>
        <sz val="11"/>
        <color rgb="FF000000"/>
        <rFont val="Calibri"/>
        <scheme val="minor"/>
      </rPr>
      <t xml:space="preserve"> CASE
      WHEN CRT63_ADESECL.CESTADO = 'C' THEN '1'
      ELSE '0'
    END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CASE 
        WHEN CRT07_TBCTATAR.FECBAJA = 0 AND TCT09_OPERCN.CKBALCAO IS NULL THEN '1'
        WHEN TCT09_OPERCN.CKBALCAO IS NOT NULL AND TCT09_OPERCN.CKBALCAO = '1' THEN '1'
        ELSE '0'
      END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CASE
      WHEN INTERFACE_DCT01.DCYR8101_CSITCTA IN ('0', '1', '2', '3', '5', '6', '7', '8', '9') AND INTERFACE_DCT01.DCYR8101_DINICONT = '0001-01-01' THEN '1'
      ELSE '0'
    END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CASE
      WHEN TCT09_OPERCN.ISITUAC = '1' THEN '1'
      ELSE '0'
    END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t>
    </r>
  </si>
  <si>
    <t>CRT63_ADESECL
CRT09_CTATAR
INTERFACE_DCT01
TCT09_OPERCN</t>
  </si>
  <si>
    <t>CESTADO
FECBAJA
CSITCTA
ISITUAC</t>
  </si>
  <si>
    <t>plan_indicator</t>
  </si>
  <si>
    <t>Identifies the ECL plans.</t>
  </si>
  <si>
    <t>Indentifica os planos ECL</t>
  </si>
  <si>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</si>
  <si>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0'
'1'
'0'
'0'</t>
  </si>
  <si>
    <r>
      <rPr>
        <b/>
        <sz val="11"/>
        <color rgb="FF000000"/>
        <rFont val="Calibri"/>
        <scheme val="minor"/>
      </rPr>
      <t>SELECT</t>
    </r>
    <r>
      <rPr>
        <sz val="11"/>
        <color rgb="FF000000"/>
        <rFont val="Calibri"/>
        <scheme val="minor"/>
      </rPr>
      <t xml:space="preserve"> 'CR'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IF(TCT09_OPERCN.CKBALCAO IS NULL, 'CR', 'TC')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</si>
  <si>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CR'
'CR' || 'TC'
'DC'
'TC'</t>
  </si>
  <si>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</si>
  <si>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</si>
  <si>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Current Account</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</si>
  <si>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</si>
  <si>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</si>
  <si>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CURATED_INTERNAL_MAINFRAME_CONTENCIOSO
COMMON_REFERENCEDATA_CORE</t>
  </si>
  <si>
    <t>INTERFACE_DCT01
TCT09_OPERCN
PARAM_GENERAL_CODE_CONVERTER</t>
  </si>
  <si>
    <t>SELECT PARAM_GENERAL_CODE_CONVERTER.TARGET_VALUE
WHERE ( INTERFACE_DCT01.DCYR8101_CSITCTA IN ( '0', '1', '2', '3', '5', '6', '7', '8', '9' ) OR TCT09_OPERCN.CKBALCAO IS NOT NULL ) AND INTERFACE_DCT01.DCYR8101_CFAMILIA IN ( 'ME', 'MN' ) GROUP BY TCT09_OPERCN.CKBALCAO AND TCT09_OPERCN.CKNUMCTA AND INTERFACE_DCT01.DCYR8101_CFAMILIA IN ( 'ME', 'MN' )
    AND PARAM_GENERAL_CODE_CONVERTER.SOURCE_CODE = 'DC' AND PARAM_GENERAL_CODE_CONVERTER.TARGET_FIELD= 'bank_id' AND PARAM_GENERAL_CODE_CONVERTER.SOURCE_VALUE = '' AND PARAM_GENERAL_CODE_CONVERTER.OPTION_NUMBER = '1'
    AND TCT09_OPERCN.DATA_DATE_PART &gt;= TCT09_OPERCN.DENTRADA</t>
  </si>
  <si>
    <t>CURATED_INTERNAL_MAINFRAME_CONTAS
CURATED_INTERNAL_MAINFRAME_CONTENCIOSO</t>
  </si>
  <si>
    <t>INTERFACE_DCT01
TCT09_OPERCN</t>
  </si>
  <si>
    <t>DCYR8101_CKBALCAO, DCYR8101_CKNUMCTA
N\A</t>
  </si>
  <si>
    <t>SELECT CONCAT( INTERFACE_DCT01.DCYR8101_CKBALCAO, INTERFACE_DCT01.DCYR8101_CKNUMCTA, '000000000000000' )
WHERE ( INTERFACE_DCT01.DCYR8101_CSITCTA IN ( '0', '1', '2', '3', '5', '6', '7', '8', '9' ) OR TCT09_OPERCN.CKBALCAO IS NOT NULL ) AND INTERFACE_DCT01.DCYR8101_CFAMILIA IN ( 'ME', 'MN' ) GROUP BY TCT09_OPERCN.CKBALCAO AND TCT09_OPERCN.CKNUMCTA
    AND TCT09_OPERCN.DATA_DATE_PART &gt;= TCT09_OPERCN.DENTRADA</t>
  </si>
  <si>
    <t>DCYR8101</t>
  </si>
  <si>
    <t>CONCAT (CKBALCAO, CKNUMCTA, "000000000000000" )</t>
  </si>
  <si>
    <t>SELECT IF( TRIM( INTERFACE_DCT01.DCYR_8101_CFAMILIA ) = '', NULL, PARAM_GENERAL_CODE_CONVERTER.TARGET_VALUE
WHERE ( INTERFACE_DCT01.DCYR8101_CSITCTA IN ( '0', '1', '2', '3', '5', '6', '7', '8', '9' ) OR TCT09_OPERCN.CKBALCAO IS NOT NULL ) AND INTERFACE_DCT01.DCYR8101_CFAMILIA IN ( 'ME', 'MN' ) GROUP BY TCT09_OPERCN.CKBALCAO AND TCT09_OPERCN.CKNUMCTA
    AND PARAM_GENERAL_CODE_CONVERTER.SOURCE_CODE = 'DC' AND PARAM_GENERAL_CODE_CONVERTER.TARGET_FIELD= 'product_family_id' AND PARAM_GENERAL_CODE_CONVERTER.SOURCE_VALUE = INTERFACE_DCT01.DCYR_8101_CFAMILIA AND PARAM_GENERAL_CODE_CONVERTER.OPTION_NUMBER = '1'
    AND TCT09_OPERCN.DATA_DATE_PART &gt;= TCT09_OPERCN.DENTRADA</t>
  </si>
  <si>
    <t>DC -  Contas a Vista</t>
  </si>
  <si>
    <t>CFAMILIA</t>
  </si>
  <si>
    <t>Product Lvl 1
TAT91_TABELAS - CTABELA 925; CURATED_INTERNAL_MAINFRAME_ESTRUTURAIS.TAT91_TABELAS - TAYD91C0_CTABELA 925</t>
  </si>
  <si>
    <t>DCYR8101_CKPRODUT
N\A</t>
  </si>
  <si>
    <t>SELECT IF( TRIM( INTERFACE_DCT01.DCYR8101_CKPRODUT ) = '', NULL, INTERFACE_DCT01.DCYR8101_CKPRODUT  )
WHERE ( INTERFACE_DCT01.DCYR8101_CSITCTA IN ( '0', '1', '2', '3', '5', '6', '7', '8', '9' ) OR TCT09_OPERCN.CKBALCAO IS NOT NULL ) AND INTERFACE_DCT01.DCYR8101_CFAMILIA IN ( 'ME', 'MN' ) GROUP BY TCT09_OPERCN.CKBALCAO AND TCT09_OPERCN.CKNUMCTA
    AND TCT09_OPERCN.DATA_DATE_PART &gt;= TCT09_OPERCN.DENTRADA</t>
  </si>
  <si>
    <t>Product Lvl 2
TAT91_TABELAS - CTABELA 925; CURATED_INTERNAL_MAINFRAME_ESTRUTURAIS.TAT91_TABELAS - TAYD91C0_CTABELA 925</t>
  </si>
  <si>
    <t>DCYR8101_CKSUBPRO
N\A</t>
  </si>
  <si>
    <t>SELECT IF( TRIM( INTERFACE_DCT01.DCYR8101_CKSUBPRO ) = '', NULL, INTERFACE_DCT01.DCYR8101_CKSUBPRO  )
WHERE ( INTERFACE_DCT01.DCYR8101_CSITCTA IN ( '0', '1', '2', '3', '5', '6', '7', '8', '9' ) OR TCT09_OPERCN.CKBALCAO IS NOT NULL ) AND INTERFACE_DCT01.DCYR8101_CFAMILIA IN ( 'ME', 'MN' ) GROUP BY TCT09_OPERCN.CKBALCAO AND TCT09_OPERCN.CKNUMCTA
    AND TCT09_OPERCN.DATA_DATE_PART &gt;= TCT09_OPERCN.DENTRADA</t>
  </si>
  <si>
    <t>DCYR8101_DABERTUR 
N\A</t>
  </si>
  <si>
    <t>SELECT IF( TRIM( INTERFACE_DCT01.DCYR8101_DABERTUR ) = '', NULL, CAST( INTERFACE_DCT01.DCYR8101_DABERTUR  AS STRING ) )
WHERE ( INTERFACE_DCT01.DCYR8101_CSITCTA IN ( '0', '1', '2', '3', '5', '6', '7', '8', '9' ) OR TCT09_OPERCN.CKBALCAO IS NOT NULL ) AND INTERFACE_DCT01.DCYR8101_CFAMILIA IN ( 'ME', 'MN' ) GROUP BY TCT09_OPERCN.CKBALCAO AND TCT09_OPERCN.CKNUMCTA
    AND TCT09_OPERCN.DATA_DATE_PART &gt;= TCT09_OPERCN.DENTRADA</t>
  </si>
  <si>
    <t>DCYR8100_DTVENCIM
DVENCIM</t>
  </si>
  <si>
    <t>SELECT IF( INTERFACE_DCT01.DCYR8101_CSITCTA NOT IN ( '0', '1', '2', '3', '5', '6', '7', '8', '9' ) AND TCT09_OPERCN.CKBALCAO IS NOT NULL,
    IF( TRIM( TCT09_OPERCN.DVENCIM ) = '',
        NULL,
        TCT09_OPERCN.DVENCIM ),
     IF( TRIM( INTERFACE_DCT01.DCYR8100_DTVENCIM ) = '',
        NULL,
        INTERFACE_DCT01.DCYR8100_DTVENCIM )
WHERE ( INTERFACE_DCT01.DCYR8101_CSITCTA IN ( '0', '1', '2', '3', '5', '6', '7', '8', '9' ) OR TCT09_OPERCN.CKBALCAO IS NOT NULL ) AND INTERFACE_DCT01.DCYR8101_CFAMILIA IN ( 'ME', 'MN' ) MAX( TCT09_OPERCN.DVENCIM )GROUP BY TCT09_OPERCN.CKBALCAO AND TCT09_OPERCN.CKNUMCTA 
    AND TCT09_OPERCN.DATA_DATE_PART &gt;= TCT09_OPERCN.DENTRADA</t>
  </si>
  <si>
    <t>DC -  Contas a Vista || TC - Terminal Contencioso</t>
  </si>
  <si>
    <t>DCYR8101 || TCT09_OPERCN</t>
  </si>
  <si>
    <t xml:space="preserve">DTVENCIM || DTVENCIM </t>
  </si>
  <si>
    <t>Contract Static
Balances
Contracts - Accounts</t>
  </si>
  <si>
    <t>DCYR8101_CMOEDA
N\A</t>
  </si>
  <si>
    <t>SELECT IF( TRIM( INTERFACE_DCT01.DCYR8101_CMOEDA ) = '', NULL, INTERFACE_DCT01.DCYR8101_CMOEDA )
WHERE ( INTERFACE_DCT01.DCYR8101_CSITCTA IN ( '0', '1', '2', '3', '5', '6', '7', '8', '9' ) OR TCT09_OPERCN.CKBALCAO IS NOT NULL ) AND INTERFACE_DCT01.DCYR8101_CFAMILIA IN ( 'ME', 'MN' ) GROUP BY TCT09_OPERCN.CKBALCAO AND TCT09_OPERCN.CKNUMCTA
    AND TCT09_OPERCN.DATA_DATE_PART &gt;= TCT09_OPERCN.DENTRADA</t>
  </si>
  <si>
    <r>
      <rPr>
        <b/>
        <sz val="11"/>
        <color rgb="FF000000"/>
        <rFont val="Calibri"/>
        <scheme val="minor"/>
      </rPr>
      <t>SEELECT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INTERFACE_DCT01.DCYR8101_CSITCTA IN ( '0', '1', '2', '3', '5', '6', '7', '8', '9' ) OR TCT09_OPERCN.CKBALCAO IS NOT NULL ) 
AND INTERFACE_DCT01.DCYR8101_CFAMILIA IN ( 'ME', 'MN' ) GROUP BY TCT09_OPERCN.CKBALCAO AND TCT09_OPERCN.CKNUMCTA
AND PARAM_GENERAL_CODE_CONVERTER.TARGET_FIELD = 'litigation_indicator' AND PARAM_GENERAL_CODE_CONVERTER.SOURCE_VALUE = '' AND PARAM_GENERAL_CODE_CONVERTER.SOURCE_FIELD IN ('TC', 'DC')
    AND TCT09_OPERCN.DATA_DATE_PART &gt;= TCT09_OPERCN.DENTRADA</t>
    </r>
  </si>
  <si>
    <t>Current Ledger Balance</t>
  </si>
  <si>
    <t>current_ledger_balance</t>
  </si>
  <si>
    <t>Represents the total amount associated to the account. This amount includes pending or on hold transactions.</t>
  </si>
  <si>
    <t>Saldo contabilístico (incluí saldo cativo) do contrato da conta.</t>
  </si>
  <si>
    <t>DCYR8101_MSALDO 
N\A</t>
  </si>
  <si>
    <t>SELECT CAST( INTERFACE_DCT01.DCYR8101_MSALDO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</si>
  <si>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Current Reserved Balance</t>
  </si>
  <si>
    <t>current_reserved_balance</t>
  </si>
  <si>
    <t>Represents the amount that is set aside in the account and it is not available for usage.</t>
  </si>
  <si>
    <t>Saldo atual em cativo da conta.</t>
  </si>
  <si>
    <t>DCYR8101_MSLDCAT
N\A</t>
  </si>
  <si>
    <t>SELECT CAST( INTERFACE_DCT01.DCYR8101_MSLDCAT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</si>
  <si>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MSLDCAT</t>
  </si>
  <si>
    <t>Current Available Balance</t>
  </si>
  <si>
    <t>current_available_balance</t>
  </si>
  <si>
    <t>Represents the amount associated to the account and immediately accessible for use. This amount does not include pending or on hold transactions.</t>
  </si>
  <si>
    <t>Saldo disponível para utilização no âmbito do contrato da conta.</t>
  </si>
  <si>
    <t>DCYR8101_MSALDODI 
N\A</t>
  </si>
  <si>
    <t>SELECT CAST( INTERFACE_DCT01.DCYR8101_MSALDODI AS DECIMAL ( 23, 6 ) )
WHERE ( INTERFACE_DCT01.DCYR8101_CSITCTA IN ( '0', '1', '2', '3', '5', '6', '7', '8', '9' ) OR TCT09_OPERCN.CKBALCAO IS NOT NULL ) AND INTERFACE_DCT01.DCYR8101_CFAMILIA IN ( 'ME', 'MN' ) GROUP BY TCT09_OPERCN.CKBALCAO AND TCT09_OPERCN.CKNUMCTA
    AND TCT09_OPERCN.DATA_DATE_PART &gt;= TCT09_OPERCN.DENTRADA</t>
  </si>
  <si>
    <t>MSALDODI</t>
  </si>
  <si>
    <t>Current Overdraft Authorized Amount</t>
  </si>
  <si>
    <t>cur_overdraft_authorized_amt</t>
  </si>
  <si>
    <t>Ext Inf - Over Inf - Date</t>
  </si>
  <si>
    <t>The credit limit of the current account's overdraft contract.</t>
  </si>
  <si>
    <t>Limite atual máximo que pode ser utilizado no âmbito do descoberto autorizado da conta.</t>
  </si>
  <si>
    <t>Contract Static
Contracts - Accounts</t>
  </si>
  <si>
    <t>Limit / Amount Granted
Overdraft Limit</t>
  </si>
  <si>
    <t>DCYR8101_MDESAUT
N\A</t>
  </si>
  <si>
    <t>SELECT CAST( INTERFACE_DCT01.DCYR8101_MDESAUT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</si>
  <si>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MDESAUT</t>
  </si>
  <si>
    <t>Current Overdraft Available Amount</t>
  </si>
  <si>
    <t>cur_overdraft_available_amt</t>
  </si>
  <si>
    <t xml:space="preserve">Current amount that can be used as overdraft. </t>
  </si>
  <si>
    <t>Valor atual disponível para utilização no âmbito do descoberto autorizado da conta.</t>
  </si>
  <si>
    <t>DCYR8101_MDESAUT, DCYR8101_MSALDO
N\A</t>
  </si>
  <si>
    <t>SELECT CASE
    WHEN INTERFACE_DCT01.DCYR8101_CSITCTA NOT IN ('0', '1', '2', '3', '5', '6', '7', '8', '9') AND TCT09_OPERCN.CKBALCAO IS NOT NULL THEN CAST( 0.00 AS DECIMAL( 23, 6 ) )    
    WHEN INTERFACE_DCT01.DCYR8101_MSALDO &gt;= 0 THEN INTERFACE_DCT01.DCYR8101_MDESAUT
    WHEN INTERFACE_DCT01.DCYR8101_MSALDO &lt; 0 AND INTERFACE_DCT01.DCYR8101_MDESAUT &lt; ( - INTERFACE_DCT01.DCYR8101_MSALDO  ) THEN CAST( 0.00 AS DECIMAL( 23, 6 ) )
    WHEN INTERFACE_DCT01.DCYR8101_MSALDO &lt; 0 AND INTERFACE_DCT01.DCYR8101_MDESAUT &gt;= ( - INTERFACE_DCT01.DCYR8101_MSALDO ) THEN CAST( INTERFACE_DCT01.DCYR8101_MDESAUT - ( - INTERFACE_DCT01.DCYR8101_MSALDO )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</si>
  <si>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DCYR8101 || DCYR8101 || DCYR8101 || N\A</t>
  </si>
  <si>
    <t>N\A || MDESAUT || MDESAUT - (  MSALDODI &lt; 0 ) || N\A</t>
  </si>
  <si>
    <t>"0.00" || N\A || N\A || "0,00"</t>
  </si>
  <si>
    <t>Current Overdraft Outstanding Principal Balance</t>
  </si>
  <si>
    <t>cur_ovrdrft_outsng_principal_bal</t>
  </si>
  <si>
    <t>The principal amount which has been used of the account's overdraft but has not reach its maturity date and is yet to be repaid.</t>
  </si>
  <si>
    <t>Saldo atual de capital vincendo associado ao descoberto da conta.</t>
  </si>
  <si>
    <t>Outstanding Loan Balance</t>
  </si>
  <si>
    <t>SELECT CASE
    WHEN INTERFACE_DCT01.DCYR8101_CSITCTA NOT IN ('0', '1', '2', '3', '5', '6', '7', '8', '9') AND TCT09_OPERCN.CKBALCAO IS NOT NULL THEN CAST( 0.00 AS DECIMAL( 23, 6 ) )    
    WHEN INTERFACE_DCT01.DCYR8101_MSALDO &lt; 0 AND ( - INTERFACE_DCT01.DCYR8101_MSALDO ) &lt;= INTERFACE_DCT01.DCYR8101_MDESAUT THEN CAST( - INTERFACE_DCT01.DCYR8101_MSALDO AS DECIMAL( 23, 6 ) )
    WHEN INTERFACE_DCT01.DCYR8101_MSALDO &lt; 0 AND ( - INTERFACE_DCT01.DCYR8101_MSALDO ) &gt; INTERFACE_DCT01.DCYR8101_MDESAUT THEN CAST(INTERFACE_DCT01.DCYR8101_MDESAUT  AS DECIMAL( 23, 6 ) )
    ELSE CAST( 0.00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</si>
  <si>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DCYR8101 || DCYR8101 || N\A</t>
  </si>
  <si>
    <t>( - MSALDODI ) || N\A || N\A</t>
  </si>
  <si>
    <t>N\A || "0.00" || "0.00"</t>
  </si>
  <si>
    <t>Current Overdraft Overdue Principal Balance</t>
  </si>
  <si>
    <t>cur_ovrdrft_overdue_princip_bal</t>
  </si>
  <si>
    <t>Current principal amount of the account's overdraft which has been used but has reached its maturity date and is yet to be repaid.</t>
  </si>
  <si>
    <t>Saldo atual em incumprimento de capital associado ao descoberto da conta.</t>
  </si>
  <si>
    <t>SELECT CASE
    WHEN INTERFACE_DCT01.DCYR8101_CSITCTA NOT IN ('0', '1', '2', '3', '5', '6', '7', '8', '9') AND TCT09_OPERCN.CKBALCAO IS NOT NULL THEN CAST( 0.00 AS DECIMAL( 23, 6 ) )    
    WHEN INTERFACE_DCT01.DCYR8101_MSALDO &lt; 0 AND ( - INTERFACE_DCT01.DCYR8101_MSALDO ) &gt; INTERFACE_DCT01.DCYR8101_MDESAUT THEN CAST( ( - INTERFACE_DCT01.DCYR8101_MSALDO ) -  INTERFACE_DCT01.DCYR8101_MDESAUT AS DECIMAL(23, 6 ) )
     ELSE CAST( 0.00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</si>
  <si>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 - ( ( MSALDODI &lt; 0 ) - MDESAUT &lt; 0 ) ) || N\A || N\A</t>
  </si>
  <si>
    <t>Current Overdraft Debt Litigation Principal Balance</t>
  </si>
  <si>
    <t>cur_ovrdrft_debt_litig_princ_bal</t>
  </si>
  <si>
    <t>Valor atual de capital em dívida em processo(s) de contencioso associados ao descoberto da conta.</t>
  </si>
  <si>
    <t>CURATED_INTERNAL_MAINFRAME_CONTAS
CURATED_INTERNAL_MAINFRAME_CONTENCIOSO
CURATED_INTERNAL_MAINFRAME_CONTENCIOSO</t>
  </si>
  <si>
    <t>INTERFACE_DCT01
TCT01_POSDIVID
TCT09_OPERCN</t>
  </si>
  <si>
    <t>N\A
MCAPITALD
N\A</t>
  </si>
  <si>
    <t>SELECT IF( TCT09_OPERCN.CKBALCAO IS NULL, CAST( 0.00 AS DECIMAL( 23, 6 ) ), TCT01_POSDIVID.MCAPITALD )
WHERE ( INTERFACE_DCT01.DCYR8101_CSITCTA IN ( '0', '1', '2', '3', '5', '6', '7', '8', '9' ) OR TCT09_OPERCN.CKBALCAO IS NOT NULL ) AND INTERFACE_DCT01.DCYR8101_CFAMILIA IN ( 'ME', 'MN' ) GROUP BY TCT09_OPERCN.CKBALCAO AND TCT09_OPERCN.CKNUMCTA
    AND TCT01_POSDIVID.IATIVO = 'S' AND SUM( MCAPITALD )
    AND TCT09_OPERCN.DATA_DATE_PART &gt;= TCT09_OPERCN.DENTRADA</t>
  </si>
  <si>
    <t>TC - Terminal Contencioso</t>
  </si>
  <si>
    <t>TCT01_POSDIVID || N\A</t>
  </si>
  <si>
    <t>MCAPITALD || N\A</t>
  </si>
  <si>
    <t>N\A || "0.00"</t>
  </si>
  <si>
    <t>Initial Overdraft Active Rate Type Code</t>
  </si>
  <si>
    <t>init_ovrdrft_act_rate_type_code</t>
  </si>
  <si>
    <t>Represents the initial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</si>
  <si>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inicialmente aplicada ao contrato, por exemplo: fixa, mista ou variável.</t>
  </si>
  <si>
    <t>Rate Type:
?</t>
  </si>
  <si>
    <t>?</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</si>
  <si>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</si>
  <si>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</si>
  <si>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</si>
  <si>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Código do indexante inicialmente associado à taxa de juro ativa (devedora) do descoberto autorizado da conta.</t>
  </si>
  <si>
    <t>Initial Reference Index:
INTERES_REFENCI -&gt; CAT01_TAXREF</t>
  </si>
  <si>
    <t>Initial Overdraft Active Index Rate</t>
  </si>
  <si>
    <t>init_overdraft_active_index_rate</t>
  </si>
  <si>
    <t>Represents the initial agreed, not necessarily applied, interest rate, based on the reference index, applied over the contract's principal. This value can changed based on the reference rate reset period.</t>
  </si>
  <si>
    <t>Taxa do indexante da taxa de juro ativa (devedora) incialmente associado ao descoberto autorizado da conta.</t>
  </si>
  <si>
    <t>Initial Overdraft Active Spread</t>
  </si>
  <si>
    <t>initial_overdraft_active_spread</t>
  </si>
  <si>
    <t>Represents the initial defined interest rate of additional interests or margins applied to the contract's principal.</t>
  </si>
  <si>
    <t>Taxa de spread ativa (devedora) inicialmente associada ao descoberto autorizado da conta.</t>
  </si>
  <si>
    <t>Initial Overdraft Active Interest Rate</t>
  </si>
  <si>
    <t>init_overdraft_active_intr_rate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</si>
  <si>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</si>
  <si>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incialmente associado ao descoberto autorizado da conta.</t>
  </si>
  <si>
    <t>Current Overdraft Active Rate Type Code</t>
  </si>
  <si>
    <t>cur_ovrdrft_act_rate_type_code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</si>
  <si>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</si>
  <si>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atualmente aplicada ao contrato, por exemplo: fixa, mista ou variável.</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</si>
  <si>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</si>
  <si>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</si>
  <si>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</si>
  <si>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Código do indexante atualmente associado à taxa de juro ativa (devedora) do descoberto autorizado da conta.</t>
  </si>
  <si>
    <t>Current Reference Index:
INTERES_REFENCI -&gt; CAT01_TAXREF</t>
  </si>
  <si>
    <t>Current Overdraft Active Index Rate</t>
  </si>
  <si>
    <t>cur_overdraft_active_index_rate</t>
  </si>
  <si>
    <t>Represents the current agreed, not necessarily applied,  interest rate, agreed,  agreed, not necessarily applied, interest rate, based on the reference index, applied over the contract's principal. This value can changed based on the reference rate reset period.</t>
  </si>
  <si>
    <t>Taxa do indexante da taxa de juro ativa (devedora) atualmente associado ao descoberto autorizado da conta.</t>
  </si>
  <si>
    <t>Current Overdraft Active Spread</t>
  </si>
  <si>
    <t>cur_overdraft_active_spread</t>
  </si>
  <si>
    <t>Taxa de spread ativa (devedora) atualmente associada ao descoberto autorizado da conta.</t>
  </si>
  <si>
    <t>Current Overdraft Active Interest Rate</t>
  </si>
  <si>
    <t>cur_ovrdrft_active_interest_rate</t>
  </si>
  <si>
    <t>Represents the current agreed, not necessarily applied,  interest rate, agreed,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</si>
  <si>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atualmente associado ao descoberto autorizado da conta.</t>
  </si>
  <si>
    <t>Contract interest
Contracts - Deposits</t>
  </si>
  <si>
    <t>Current Interest Rate Percentage
Interest Rate</t>
  </si>
  <si>
    <t>Contract Status:
TAT91_TABELAS - CTABELA 205; CURATED_INTERNAL_MAINFRAME_ESTRUTURAIS.TAT91_TABELAS - TAYD91C0_CTABELA 205</t>
  </si>
  <si>
    <t>Contract basics high update
Contracts - Accounts</t>
  </si>
  <si>
    <t>Contract Status
Status ID</t>
  </si>
  <si>
    <t>SELECT IF( TCT09_OPERCN.CKBALCAO IS NULL,
    IF( TRIM( INTERFACE_DCT01.DCYR8101_CSITCTA ) = '',
        NULL,
        PARAM_GENERAL_CODE_CONVERTER.TARGET_VALUE),
    IF( TRIM(TCT09_OPERCN.ISITUAC ) = '', 
        NULL,
        PARAM_GENERAL_CODE_CONVERTER.TARGET_VALUE)
WHERE ( INTERFACE_DCT01.DCYR8101_CSITCTA IN ( '0', '1', '2', '3', '5', '6', '7', '8', '9' ) OR TCT09_OPERCN.CKBALCAO IS NOT NULL ) AND INTERFACE_DCT01.DCYR8101_CFAMILIA IN ( 'ME', 'MN' ) GROUP BY TCT09_OPERCN.CKBALCAO AND TCT09_OPERCN.CKNUMCTA
    AND PARAM_GENERAL_CODE_CONVERTER.SOURCE_CODE = 'DC' AND PARAM_GENERAL_CODE_CONVERTER.TARGET_FIELD= 'contract_status_code' AND ( PARAM_GENERAL_CODE_CONVERTER.SOURCE_VALUE = INTERFACE_DCT01.DCYR8101_CSITCTA OR  PARAM_GENERAL_CODE_CONVERTER.SOURCE_VALUE = TCT09_OPERCN.ISITUAC ) AND PARAM_GENERAL_CODE_CONVERTER.OPTION_NUMBER = '1'
    AND TCT09_OPERCN.DATA_DATE_PART &gt;= TCT09_OPERCN.DENTRADA</t>
  </si>
  <si>
    <t>CSITCTA || ISITUAC</t>
  </si>
  <si>
    <t>BUSINESS_CANALABERTURACONTA
CURATED_INTERNAL_MAINFRAME_CONTAS
COMMON_REFERENCEDATA_CORE</t>
  </si>
  <si>
    <t>HISTORICO
INTERFACE_DCT01
PARAM_GENERAL_CODE_CONVERTER</t>
  </si>
  <si>
    <t>SELECT IF( TRIM( HISTORICO.CANAL_ENTRADA ) = '', NULL, PARAM_GENERAL_CODE_CONVERTER.TARGET_VALUE )
WHERE ( INTERFACE_DCT01.DCYR8101_CSITCTA IN ( '0', '1', '2', '3', '5', '6', '7', '8', '9' ) OR TCT09_OPERCN.CKBALCAO IS NOT NULL ) AND INTERFACE_DCT01.DCYR8101_CFAMILIA IN ( 'ME', 'MN' ) GROUP BY TCT09_OPERCN.CKBALCAO AND TCT09_OPERCN.CKNUMCTA
    AND ROW_NUMBER() OVER ( PARTITION BY NUMERO_CONTA ORDER BY CANAL_ENTRADA DESC ) = 1
    AND PARAM_GENERAL_CODE_CONVERTER.SOURCE_CODE = 'DC' AND PARAM_GENERAL_CODE_CONVERTER.TARGET_FIELD= 'contract_opening_channel_code' AND PARAM_GENERAL_CODE_CONVERTER.SOURCE_VALUE = HISTORICO.CANAL_ENTRADA  AND PARAM_GENERAL_CODE_CONVERTER.OPTION_NUMBER = '1'
    AND TCT09_OPERCN.DATA_DATE_PART &gt;= TCT09_OPERCN.DENTRADA</t>
  </si>
  <si>
    <t>Source:
N\A; N\A || N\A; N\A</t>
  </si>
  <si>
    <t>SELECT IF( TCT09_OPERCN.CKBALCAO IS NULL, 'DC', 'TC' )
WHERE ( INTERFACE_DCT01.DCYR8101_CSITCTA IN ( '0', '1', '2', '3', '5', '6', '7', '8', '9' ) OR TCT09_OPERCN.CKBALCAO IS NOT NULL )  AND INTERFACE_DCT01.DCYR8101_CFAMILIA IN ( 'ME', 'MN' ) GROUP BY TCT09_OPERCN.CKBALCAO AND TCT09_OPERCN.CKNUMCTA
    AND TCT09_OPERCN.DATA_DATE_PART &gt;= TCT09_OPERCN.DENTRADA</t>
  </si>
  <si>
    <t>"DC"</t>
  </si>
  <si>
    <t>SELECT INTERFACE_DCT01.DATA_DATE_PART
WHERE ( INTERFACE_DCT01.DCYR8101_CSITCTA IN ( '0', '1', '2', '3', '5', '6', '7', '8', '9' ) OR TCT09_OPERCN.CKBALCAO IS NOT NULL )  AND INTERFACE_DCT01.DCYR8101_CFAMILIA IN ( 'ME', 'MN' ) GROUP BY TCT09_OPERCN.CKBALCAO AND TCT09_OPERCN.CKNUMCTA
    AND TCT09_OPERCN.DATA_DATE_PART &gt;= TCT09_OPERCN.DENTRADA</t>
  </si>
  <si>
    <t>SELECT NOW()
WHERE ( INTERFACE_DCT01.DCYR8101_CSITCTA IN ( '0', '1', '2', '3', '5', '6', '7', '8', '9' ) OR TCT09_OPERCN.CKBALCAO IS NOT NULL )  AND INTERFACE_DCT01.DCYR8101_CFAMILIA IN ( 'ME', 'MN' ) GROUP BY TCT09_OPERCN.CKBALCAO AND TCT09_OPERCN.CKNUMCTA
    AND TCT09_OPERCN.DATA_DATE_PART &gt;= TCT09_OPERCN.DENTRADA</t>
  </si>
  <si>
    <t>Debit Card</t>
  </si>
  <si>
    <t>CRT09_TBTARJET
TAT91_TABELAS</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</si>
  <si>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</si>
  <si>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CRT09_TBTARJET
TAT91_TABELAS
PARAM_GENERAL_CODE_CONVERTER</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</si>
  <si>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PARAM_GENERAL_CODE_CONVERTER.TARGET_FIELD = 'bank_id' AND PARAM_GENERAL_CODE_CONVERTER.SOURCE_CODE = 'CR' AND PARAM_GENERAL_CODE_CONVERTER.SOURCE_VALUE = '' AND PARAM_GENERAL_CODE_CONVERTER.OPTION_NUMBER = '1'</t>
    </r>
  </si>
  <si>
    <t>Identifier of the contract that is associated with the card.</t>
  </si>
  <si>
    <t>Identificador do contrato associado ao cartão (plástico).</t>
  </si>
  <si>
    <t>CRT09_TBTARJET
CRT07_TBCTATAR
TAT91_TABELAS</t>
  </si>
  <si>
    <r>
      <rPr>
        <b/>
        <sz val="11"/>
        <color rgb="FF000000"/>
        <rFont val="Calibri"/>
        <scheme val="minor"/>
      </rPr>
      <t xml:space="preserve">SELECT </t>
    </r>
    <r>
      <rPr>
        <sz val="11"/>
        <color rgb="FF000000"/>
        <rFont val="Calibri"/>
        <scheme val="minor"/>
      </rPr>
      <t xml:space="preserve">IF( TRIM( CONCAT( CRT07_TBCTATAR.CKBALCAO, CRT07_TBCTATAR.CKNUMCTA ) ) = '', NULL, TRIM( CONCAT( CRT07_TBCTATAR.CKBALCAO, CRT07_TBCTATAR.CKNUMCTA, '000000000000000' ) ) )
</t>
    </r>
    <r>
      <rPr>
        <b/>
        <sz val="11"/>
        <color rgb="FF000000"/>
        <rFont val="Calibri"/>
        <scheme val="minor"/>
      </rPr>
      <t xml:space="preserve">WHERE </t>
    </r>
    <r>
      <rPr>
        <sz val="11"/>
        <color rgb="FF000000"/>
        <rFont val="Calibri"/>
        <scheme val="minor"/>
      </rPr>
      <t>CRT07_TBCTATAR..FECBAJA = '0' AND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</si>
  <si>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CONCAT( CKBALCAO, CKNUMCTA, '000000000000000' )</t>
  </si>
  <si>
    <t>Identifies the type of intervention that the card holder has in the card account to which the card belongs to.</t>
  </si>
  <si>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</si>
  <si>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CRT09_TBTARJET
TAT91_TABELAS
CLT18_CTACLI</t>
  </si>
  <si>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CRT09_TBTARJET.NUMBENCTA - 1 = CLT18_CTACLI.CLYD18C1_ZSEQUEN AND CLT18_CTACLI.CLYD18C1_ZSEQUEN != 0 AND CLT18_CTACLI.CLYD18C1_DCANCEL = '9999-12-31'</t>
    </r>
  </si>
  <si>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</si>
  <si>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SELECT</t>
    </r>
    <r>
      <rPr>
        <sz val="11"/>
        <color rgb="FF000000"/>
        <rFont val="Calibri"/>
        <scheme val="minor"/>
      </rPr>
      <t xml:space="preserve"> 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</si>
  <si>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CRT08
TAT91_TABELAS</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</si>
  <si>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</si>
  <si>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</si>
  <si>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rPr>
      <t xml:space="preserve">SELECT </t>
    </r>
    <r>
      <rPr>
        <sz val="11"/>
        <color rgb="FF000000"/>
        <rFont val="Calibri"/>
      </rPr>
      <t xml:space="preserve">IF( TRIM( CRT09_TBTARJET.INDSITTAR ) = '', NULL, PARAM_GENERAL_CODE_CONVERTER.TARGET_VALUE)
</t>
    </r>
    <r>
      <rPr>
        <b/>
        <sz val="11"/>
        <color rgb="FF000000"/>
        <rFont val="Calibri"/>
      </rPr>
      <t xml:space="preserve">WHERE </t>
    </r>
    <r>
      <rPr>
        <sz val="11"/>
        <color rgb="FF000000"/>
        <rFont val="Calibri"/>
      </rPr>
      <t xml:space="preserve">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PARAM_GENERAL_CODE_CONVERTER.TARGET_FIELD = 'card_status_code' AND PARAM_GENERAL_CODE_CONVERTER.SOURCE_CODE = 'CR' AND PARAM_GENERAL_CODE_CONVERTER.SOURCE_VALUE = CRT09_TBTARJET.INDSITTAR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</si>
  <si>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</si>
  <si>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</si>
  <si>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Debit Card Account</t>
  </si>
  <si>
    <t>Contract Static
Contract Static
Contract basics low update
Contract basics medium update
Contract basics high update
Contract interest</t>
  </si>
  <si>
    <t>CRT07_TBCTATAR
TAT91_TABELAS
PARAM_GENERAL_CODE_CONVERTER</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</si>
  <si>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PARAM_GENERAL_CODE_CONVERTER.TARGET_FIELD = 'bank_id' AND PARAM_GENERAL_CODE_CONVERTER.SOURCE_CODE = 'CR' AND PARAM_GENERAL_CODE_CONVERTER.SOURCE_VALUE = '' AND PARAM_GENERAL_CODE_CONVERTER.OPTION_NUMBER = '1'</t>
    </r>
  </si>
  <si>
    <t>CRT07_TBCTATAR
TAT91_TABELAS</t>
  </si>
  <si>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</si>
  <si>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'product_famility_id' AND PARAM_GENERAL_CODE_CONVERTER.SOURCE_CODE = 'CR' AND PARAM_GENERAL_CODE_CONVERTER.SOURCE_VALUE = '' AND PARAM_GENERAL_CODE_CONVERTER.OPTION_NUMBER = '3'</t>
    </r>
  </si>
  <si>
    <t>Product Level 1</t>
  </si>
  <si>
    <t>CRT07_TBCTATAR
CRT50_TBPARBIN
TAT91_TABELAS</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</si>
  <si>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</si>
  <si>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Product Level 2</t>
  </si>
  <si>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</si>
  <si>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Bank identifier (internal Santander’s company identification code) that is related to the current account contract which anchors the card account contract.</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</si>
  <si>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'bank_id' AND PARAM_GENERAL_CODE_CONVERTER.SOURCE_CODE = 'DC' AND PARAM_GENERAL_CODE_CONVERTER.SOURCE_VALUE = '' AND PARAM_GENERAL_CODE_CONVERTER.OPTION_NUMBER = '1'</t>
    </r>
  </si>
  <si>
    <t>Contract identifier of the current account that anchors the card account's contract.</t>
  </si>
  <si>
    <t>CRT07_TBCTATAR
CRTA8_TBBENAUX
TAT91_TABELAS</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</si>
  <si>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</si>
  <si>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CONCAT( DADOSVAR1, '000000000000000' )</t>
  </si>
  <si>
    <t>Date in which the client opened and formalised the card account's contract.</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</si>
  <si>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</si>
  <si>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PARAM_GENERAL_CODE_CONVERTER.SOURCE_CODE = 'CR' AND PARAM_GENERAL_CODE_CONVERTER.TARGET_FIELD = 'current_maturity_date' AND PARAM_GENERAL_CODE_CONVERTER.SOURCE_VALUE = ''</t>
    </r>
  </si>
  <si>
    <t>Identifier of the card account contract's currency.</t>
  </si>
  <si>
    <r>
      <rPr>
        <b/>
        <sz val="11"/>
        <color rgb="FF000000"/>
        <rFont val="Calibri"/>
        <scheme val="minor"/>
      </rPr>
      <t>SELECT</t>
    </r>
    <r>
      <rPr>
        <sz val="11"/>
        <color rgb="FF000000"/>
        <rFont val="Calibri"/>
        <scheme val="minor"/>
      </rPr>
      <t xml:space="preserve"> 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</si>
  <si>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 contract's status.</t>
  </si>
  <si>
    <t>SELECT IF( TRIM( CRT07_TBCTATAR.BLOQUEACT ) = '', NULL, PARAM_GENERAL_CODE_CONVERTER.TARGET_VALUE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'contract_status_code' AND PARAM_GENERAL_CODE_CONVERTER.SOURCE_CODE = 'CR' AND PARAM_GENERAL_CODE_CONVERTER.SOURCE_VALUE = CRT07_TBCTATAR.BLOQUEACT AND PARAM_GENERAL_CODE_CONVERTER.OPTION_NUMBER = '1'</t>
  </si>
  <si>
    <t>Contract Opening Channel:
TAT91 - CTABELA Z23; CURATED_INTERNAL_MAINFRAME_ESTRUTURAIS.TAT91_TABELAS - TAYD91C0_CTABELA Z23</t>
  </si>
  <si>
    <t>CURATED_INTERNAL_MAINFRAME_CARTOES
CURATED_INTERNAL_MAINFRAME_CARTOES
CURATED_INTERNAL_MAINFRAME_SEGURANCA
CURATED_INTERNAL_MAINFRAME_ESTRUTURAIS
CURATED_INTERNAL_MAINFRAME_ESTRUTURAIS
COMMON_REFERENCEDATA_CORE</t>
  </si>
  <si>
    <t>CRT07_TBCTATAR
CRT68_TBHISBLQ
SET01_UTILIZA
TAT91_TABELAS
TAT91_TABELAS_NEW
PARAM_GENERAL_CODE_CONVERTER</t>
  </si>
  <si>
    <t>N\A
N\A
N\A
N\A
N\A
TARGET_VALUE</t>
  </si>
  <si>
    <r>
      <rPr>
        <b/>
        <sz val="11"/>
        <color rgb="FF000000"/>
        <rFont val="Calibri"/>
      </rPr>
      <t xml:space="preserve">SELECT </t>
    </r>
    <r>
      <rPr>
        <sz val="11"/>
        <color rgb="FF000000"/>
        <rFont val="Calibri"/>
      </rPr>
      <t xml:space="preserve">CASE
    WHEN CRT68_TBHISBLQ.USUARIO = 'CRHC6001' THEN 'NBE' THEN  PARAM_GENERAL_CODE_CONVERTER.TARGET_VALUE
    WHEN CRT68_TBHISBLQ.USUARIO = 'CRHC9801' THEN 'Backoffice' THEN  PARAM_GENERAL_CODE_CONVERTER.TARGET_VALUE
    WHEN CRT68_TBHISBLQ.USUARIO = 'BATCH' THEN 'RED' THEN  PARAM_GENERAL_CODE_CONVERTER.TARGET_VALUE
    ELSE IF(T RIM( SUBSTRING( TAT91_TABELAS_NEW.TAYD91C0_NELEMC13, 3, 3 ) ) = '', NULL, PARAM_GENERAL_CODE_CONVERTER.TARGET_VALUE)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'contract_opening_channel_code' AND PARAM_GENERAL_CODE_CONVERTER.SOURCE_CODE = 'CR' AND PARAM_GENERAL_CODE_CONVERTER.SOURCE_VALUE = SUBRTRING(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</si>
  <si>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t>CRT68_TBHISBLQ -&gt; SET01_UTILIZA -&gt; TAT91_TABELAS</t>
  </si>
  <si>
    <t>USUARIO -&gt; CKBUTIL -&gt; NELEMC13</t>
  </si>
  <si>
    <t>N\A -&gt; N\A -&gt;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</si>
  <si>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</si>
  <si>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"CR"</t>
  </si>
  <si>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</si>
  <si>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</si>
  <si>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Factoring Contract</t>
  </si>
  <si>
    <t>CURATED_INTERNAL_EUROFAC
OPERATIONS_COMMON_REFERENCEDATA_CORE
CURATED_INTERNAL_EUROFAC
OPERATIONS_COMMON_REFERENCEDATA_CORE
CURATED_INTERNAL_EUROFAC
OPERATIONS_COMMON_REFERENCEDATA_CORE
CURATED_INTERNAL_MAINFRAME_CONTAS
OPERATIONS_COMMON_REFERENCEDATA_CORE
CURATED_INTERNAL_MAINFRAME_CONTENCIOSO
OPERATIONS_COMMON_REFERENCEDATA_CORE</t>
  </si>
  <si>
    <t>EUR_CREDITO
CONF_GENERAL_CODE_CONVERTER
EUR_INTERVEN
CONF_GENERAL_CODE_CONVERTER
EUR_INTERVEN
CONF_GENERAL_CODE_CONVERTER
INTERFACE_DCT01
CONF_GENERAL_CODE_CONVERTER
TCT09_OPERCN
CONF_GENERAL_CODE_CONVERTER</t>
  </si>
  <si>
    <t>N\A
CDM_VALUE
N\A
CDM_VALUE
N\A
CDM_VALUE
N\A
CDM_VALUE
N\A
CDM_VALUE</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</si>
  <si>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TCT09_OPERCN.ISITUAC = '1'  AND (GROUP BY TCT09_OPERCN.CKBALCAO, TCT09_OPERCN.CKNUMCTA)
   AND CONF_GENERAL_CODE_CONVERTER.CODE CATEGORY = 'bank_id' AND CONF_GENERAL_CODE_CONVERTER.SOURCE_CODE = 'TC' AND CONF_GENERAL_CODE_CONVERTER.SOURCE_VALUE = '' AND CONF_GENERAL_CODE_CONVERTER.PRIORITY_LEVEL = '1'</t>
    </r>
  </si>
  <si>
    <t>FA - Factoring Eurofac
FA - Factoring Eurofac
FA - Factoring Eurofac
DC - Contas a Vista
TC - Terminal Contencioso</t>
  </si>
  <si>
    <t>"89"
"89"
"89"
"31"
"31"</t>
  </si>
  <si>
    <t>CURATED_INTERNAL_EUROFAC
CURATED_INTERNAL_EUROFAC
CURATED_INTERNAL_EUROFAC
OPERATIONS_COMMON_REFERENCEDATA_CORE
CURATED_INTERNAL_MAINFRAME_CONTAS
CURATED_INTERNAL_MAINFRAME_CONTENCIOSO</t>
  </si>
  <si>
    <t>EUR_CREDITO
EUR_INTERVEN
EUR_PROCESSO
CONF_GENERAL_CODE_CONVERTER
INTERFACE_DCT01
TCT09_OPERCN</t>
  </si>
  <si>
    <t>CRD_NRPROCES, CRD_NRINTCRE 
INT_CDCLIENT, INT_NRINTINT
PRO_NRPROCES
CDM_VALUE
DCYR8101_CKBALCAO, DCYR8101_CKNUMCTA
CKBALCAO, CKNUMCTA</t>
  </si>
  <si>
    <r>
      <rPr>
        <b/>
        <sz val="11"/>
        <color rgb="FF000000"/>
        <rFont val="Calibri"/>
        <scheme val="minor"/>
      </rPr>
      <t>SELECT</t>
    </r>
    <r>
      <rPr>
        <sz val="11"/>
        <color rgb="FF000000"/>
        <rFont val="Calibri"/>
        <scheme val="minor"/>
      </rPr>
      <t xml:space="preserve"> CONCAT( '0000', SUBSTRING( EUR_CREDITO.CRD_NRPROCES, 3, 11) , '00', EUR_CREDITO.CRD_NRINTCRE )
</t>
    </r>
    <r>
      <rPr>
        <b/>
        <sz val="11"/>
        <color rgb="FF000000"/>
        <rFont val="Calibri"/>
        <scheme val="minor"/>
      </rPr>
      <t>SELECT</t>
    </r>
    <r>
      <rPr>
        <sz val="11"/>
        <color rgb="FF000000"/>
        <rFont val="Calibri"/>
        <scheme val="minor"/>
      </rPr>
      <t xml:space="preserve"> 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CONF_GENERAL_CODE_CONVERTER.CODE_CATEGORY = 'product_id' AND CONF_GENERAL_CODE_CONVERTER.SOURCE_CODE = 'FA' AND CONF_GENERAL_CODE_CONVERTER.SOURCE_VALUE = '' AND CONF_GENERAL_CODE_CONVERTER.PRIORITY_LEVEL = 1
</t>
    </r>
    <r>
      <rPr>
        <b/>
        <sz val="11"/>
        <color rgb="FF000000"/>
        <rFont val="Calibri"/>
        <scheme val="minor"/>
      </rPr>
      <t>SELECT</t>
    </r>
    <r>
      <rPr>
        <sz val="11"/>
        <color rgb="FF000000"/>
        <rFont val="Calibri"/>
        <scheme val="minor"/>
      </rPr>
      <t xml:space="preserve"> 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CONF_GENERAL_CODE_CONVERTER.CODE_CATEGORY = 'product_id' AND CONF_GENERAL_CODE_CONVERTER.SOURCE_CODE = 'FA' AND CONF_GENERAL_CODE_CONVERTER.SOURCE_VALUE = '' AND CONF_GENERAL_CODE_CONVERTER.PRIORITY_LEVEL = 2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TCT09_OPERCN.ISITUAC = '1'  AND (GROUP BY TCT09_OPERCN.CKBALCAO, TCT09_OPERCN.CKNUMCTA)</t>
    </r>
  </si>
  <si>
    <t>EUR_CREDITO
(1)EUR_PROCESSO + (2)EUR_INTERVEN
(1)EUR_PROCESSO + (2)EUR_INTERVEN
DCYR8101
TCT09_OPERCN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</si>
  <si>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</si>
  <si>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Product Type:
N\A 
N\A
N\A
N\A
N\A</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</si>
  <si>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AND TCT09_OPERCN.ISITUAC = '1'  AND (GROUP BY TCT09_OPERCN.CKBALCAO, TCT09_OPERCN.CKNUMCTA)</t>
    </r>
  </si>
  <si>
    <t>Product Lvl 1:
EUR_TABGERAL -  GER_CDTAGER 001
EUR_TABGERAL -  GER_CDTAGER 001
EUR_TABGERAL -  GER_CDTAGER 001
TAT91 - CTABELA 925</t>
  </si>
  <si>
    <t>CURATED_INTERNAL_EUROFAC
OPERATIONS_COMMON_REFERENCEDATA_CORE
CURATED_INTERNAL_EUROFAC
OPERATIONS_COMMON_REFERENCEDATA_CORE
CURATED_INTERNAL_EUROFAC
OPERATIONS_COMMON_REFERENCEDATA_CORE
CURATED_INTERNAL_MAINFRAME_CONTAS
CURATED_INTERNAL_MAINFRAME_CONTENCIOSO</t>
  </si>
  <si>
    <t>EUR_CREDITO
CONF_GENERAL_CODE_CONVERTER
EUR_INTERVEN
CONF_GENERAL_CODE_CONVERTER
EUR_INTERVEN
CONF_GENERAL_CODE_CONVERTER
INTERFACE_DCT01
TCT09_OPERCN</t>
  </si>
  <si>
    <t>N\A
CDM_VALUE
N\A
CDM_VALUE
N\A
CDM_VALUE
DCYR8101_CKPRODUT
CKPRODUT</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</si>
  <si>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IF( EUR_CREDITO.CRD_TPRECURS = 'C', 1,  2 )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1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2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 TRIM( INTERFACE_DCT01.DCYR8101_CKPRODUT ) = '', NULL, DCYR8101_CKPRODUT)
</t>
    </r>
    <r>
      <rPr>
        <b/>
        <sz val="11"/>
        <color rgb="FF000000"/>
        <rFont val="Calibri"/>
        <scheme val="minor"/>
      </rPr>
      <t>SELECT</t>
    </r>
    <r>
      <rPr>
        <sz val="11"/>
        <color rgb="FF000000"/>
        <rFont val="Calibri"/>
        <scheme val="minor"/>
      </rPr>
      <t xml:space="preserve"> IF( TRIM( TCT09_OPERCN.CKPRODUT = '', NULL, TCT09_OPERCN.CKPRODUT)
</t>
    </r>
    <r>
      <rPr>
        <b/>
        <sz val="11"/>
        <color rgb="FF000000"/>
        <rFont val="Calibri"/>
        <scheme val="minor"/>
      </rPr>
      <t>WHERE</t>
    </r>
    <r>
      <rPr>
        <sz val="11"/>
        <color rgb="FF000000"/>
        <rFont val="Calibri"/>
        <scheme val="minor"/>
      </rPr>
      <t xml:space="preserve"> TCT09_OPERCN.ISITUAC = '1'  AND (GROUP BY TCT09_OPERCN.CKBALCAO, TCT09_OPERCN.CKNUMCTA)</t>
    </r>
  </si>
  <si>
    <t>N\A
N\A
N\A
DCYR8101
TCT09_OPERCN</t>
  </si>
  <si>
    <t>N\A
N\A
N\A
CKPRODUT
CKPRODUT</t>
  </si>
  <si>
    <t>"000"
"000"
"0V0"
N\A
N\A</t>
  </si>
  <si>
    <t>Product Lvl 2:
N\A
N\A
N\A
TAT91 - CTABELA 925</t>
  </si>
  <si>
    <t>CURATED_INTERNAL_EUROFAC
CURATED_INTERNAL_EUROFAC
CURATED_INTERNAL_EUROFAC
CURATED_INTERNAL_EUROFAC
CURATED_INTERNAL_EUROFAC
CURATED_INTERNAL_EUROFAC
CURATED_INTERNAL_MAINFRAME_CONTAS
CURATED_INTERNAL_MAINFRAME_CONTENCIOSO</t>
  </si>
  <si>
    <t>EUR_PROCESSO
EUR_CREDITO
EUR_PROCESSO
EUR_INTERVEN
EUR_PROCESSO
EUR_INTERVEN
INTERFACE_DCT01
TCT09_OPERCN</t>
  </si>
  <si>
    <t>PRO_CDPRODUT, CRD_NRPROCES 
N\A
PRO_CDPRODUT, CRD_NRPROCES 
N\A
PRO_CDPRODUT, CRD_NRPROCES 
N\A
DCYR8101_CKSUBPRO
CKSUBPRO</t>
  </si>
  <si>
    <r>
      <rPr>
        <b/>
        <sz val="11"/>
        <color rgb="FF000000"/>
        <rFont val="Calibri"/>
        <scheme val="minor"/>
      </rPr>
      <t xml:space="preserve">SELECT </t>
    </r>
    <r>
      <rPr>
        <sz val="11"/>
        <color rgb="FF000000"/>
        <rFont val="Calibri"/>
        <scheme val="minor"/>
      </rPr>
      <t xml:space="preserve">IF( EUR_CREDITO.CRD_TPRECURS = 'C',
      IF( EUR_PROCESSO.PRO_CDPRODUT IN ('002', '001', '007'),
        IF( EUR_PROCESSO.PRO_CDSITPRO IN ('989', '351'),
          '071',
          IF( EUR_PROCESSO.PRO_CDSITPRO = '070',
            '070',
            IF ( EUR_PROCESSO.PRO_NRPROCES &gt; 1120160900000  AND EUR_PROCESSO.PRO_NRPROCES &lt; 1120160999999,
              'K49',
              IF( EUR_PROCESSO.PRO_NRPROCES &gt; 1120180900000  AND EUR_PROCESSO.PRO_NRPROCES &lt; 1120180999999,
                'Y49',
                '049' ) ) ) ),
        IF( EUR_PROCESSO.PRO_CDPRODUT IN ('003', '006'),
          IF( EUR_PROCESSO.PRO_NRPROCES &gt; 1120180800000  AND EUR_PROCESSO.PRO_NRPROCES &lt; 1120180899999,
            'Y09',
            '009' ),
          NULL ) ),
      IF( EUR_PROCESSO.PRO_CDPRODUT IN ('002', '001', '007'),
        IF( EUR_PROCESSO.PRO_NRPROCES &gt; 1120160900000 AND EUR_PROCESSO.PRO_NRPROCES &lt; 1120160999999,
          'K50',
          IF( EUR_PROCESSO.PRO_NRPROCES &gt; 1120180900000 AND EUR_PROCESSO.PRO_NRPROCES &lt; 1120180999999,
            'Y50',
            '050') ),
        IF( EUR_PROCESSO.PRO_CDPRODUT IN ('003', '006'),
          IF( EUR_PROCESSO.PRO_NRPROCES &gt; 1120180800000 AND EUR_PROCESSO.PRO_NRPROCES &lt; 1120180899999, 
            'Y51', 
            '051'
          ),
          IF( EUR_PROCESSO.PRO_CDPRODUT IN ('004', '005'),
            IF( EUR_PROCESSO.PRO_NRPROCES &gt; 1120180600000 AND EUR_PROCESSO.PRO_NRPROCES &lt; 1120180699999,
              'Y52',
              '052'
            ),
            NULL ) ) ) 
</t>
    </r>
    <r>
      <rPr>
        <b/>
        <sz val="11"/>
        <color rgb="FF000000"/>
        <rFont val="Calibri"/>
        <scheme val="minor"/>
      </rPr>
      <t>SELECT</t>
    </r>
    <r>
      <rPr>
        <sz val="11"/>
        <color rgb="FF000000"/>
        <rFont val="Calibri"/>
        <scheme val="minor"/>
      </rPr>
      <t xml:space="preserve">  IF( EUR_PROCESSO.PRO_CDPRODUT IN ('002', '001', '007'),
        IF( EUR_PROCESSO.PRO_CDSITPRO IN ('989', '351'),
          '071',
          IF( EUR_PROCESSO.PRO_CDSITPRO = '070',
            '070',
            IF ( EUR_PROCESSO.PRO_NRPROCES &gt; 1120160900000  AND EUR_PROCESSO.PRO_NRPROCES &lt; 1120160999999,
              'K49',
              IF( EUR_PROCESSO.PRO_NRPROCES &gt; 1120180900000  AND EUR_PROCESSO.PRO_NRPROCES &lt; 1120180999999,
                'Y49',
                '049' ) ) ) ),
        IF( EUR_PROCESSO.PRO_CDPRODUT IN ('003', '006'),
          IF( EUR_PROCESSO.PRO_NRPROCES &gt; 1120180800000  AND EUR_PROCESSO.PRO_NRPROCES &lt; 1120180899999,
            'Y09',
            '009' ),
          NULL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EUR_PROCESSO.PRO_CDPRODUT IN ('002', '001', '007'),
        IF( EUR_PROCESSO.PRO_NRPROCES &gt; 1120160900000 AND EUR_PROCESSO.PRO_NRPROCES &lt; 1120160999999,
          'K50',
          IF( EUR_PROCESSO.PRO_NRPROCES &gt; 1120180900000 AND EUR_PROCESSO.PRO_NRPROCES &lt; 1120180999999,
            'Y50',
            '050') ),
        IF( EUR_PROCESSO.PRO_CDPRODUT IN ('003', '006'),
          IF( EUR_PROCESSO.PRO_NRPROCES &gt; 1120180800000 AND EUR_PROCESSO.PRO_NRPROCES &lt; 1120180899999, 
            'Y51', 
            '051'
          ),
          IF( EUR_PROCESSO.PRO_CDPRODUT IN ('004', '005'),
            IF( EUR_PROCESSO.PRO_NRPROCES &gt; 1120180600000 AND EUR_PROCESSO.PRO_NRPROCES &lt; 1120180699999,
              'Y52',
              '052'
            ),
            NULL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 TRIM( INTERFACE_DCT01.DCYR8101_CKPRODUT ) = '', NULL, INTERFACE_DCT01.DCYR8101_CKSUBPRO )
</t>
    </r>
    <r>
      <rPr>
        <b/>
        <sz val="11"/>
        <color rgb="FF000000"/>
        <rFont val="Calibri"/>
        <scheme val="minor"/>
      </rPr>
      <t>SELECT</t>
    </r>
    <r>
      <rPr>
        <sz val="11"/>
        <color rgb="FF000000"/>
        <rFont val="Calibri"/>
        <scheme val="minor"/>
      </rPr>
      <t xml:space="preserve"> IF( TRIM( TCT09_OPERCN.CKSUBPRO = '', NULL, TCT09_OPERCN.CKSUBPRO)
</t>
    </r>
    <r>
      <rPr>
        <b/>
        <sz val="11"/>
        <color rgb="FF000000"/>
        <rFont val="Calibri"/>
        <scheme val="minor"/>
      </rPr>
      <t>WHERE</t>
    </r>
    <r>
      <rPr>
        <sz val="11"/>
        <color rgb="FF000000"/>
        <rFont val="Calibri"/>
        <scheme val="minor"/>
      </rPr>
      <t xml:space="preserve"> TCT09_OPERCN.ISITUAC = '1'  AND (GROUP BY TCT09_OPERCN.CKBALCAO, TCT09_OPERCN.CKNUMCTA)</t>
    </r>
  </si>
  <si>
    <t>N\A || N\A || N\A || N\A || N\A || N\A || N\A
N\A || N\A || N\A || N\A || N\A || N\A || N\A
N\A || N\A || N\A || N\A || N\A || N\A || N\A
DCYR8101
TCT09_OPERCN</t>
  </si>
  <si>
    <t>N\A || N\A || N\A || N\A || N\A || N\A || N\A
N\A || N\A || N\A || N\A || N\A || N\A || N\A
N\A || N\A || N\A || N\A || N\A || N\A || N\A
CKSUBPRO
CKSUBPRO</t>
  </si>
  <si>
    <t>"K49" || "Y49" || "071" || "049" || "070" || "Y09" || "009"
"K49" || "Y49" || "071" || "049" || "070" || "Y09" || "009"
"K50" || "Y50" || "050" || "Y51" || "051" || "Y52" || "052"
N\A
N\A</t>
  </si>
  <si>
    <t>Bank identifier (internal Santander’s company identification code) that is related to the current account contract which anchors the factoring contract.</t>
  </si>
  <si>
    <t>CURATED_INTERNAL_EUROFAC
CURATED_INTERNAL_EUROFAC
OPERATIONS_COMMON_REFERENCEDATA_CORE
CURATED_INTERNAL_EUROFAC
OPERATIONS_COMMON_REFERENCEDATA_CORE
CURATED_INTERNAL_EUROFAC
OPERATIONS_COMMON_REFERENCEDATA_CORE
CURATED_INTERNAL_MAINFRAME_CONTAS
CURATED_INTERMAL_MAINFRAME_CONTENCIOSO
OPERATIONS_COMMON_REFERENCEDATA_CORE</t>
  </si>
  <si>
    <t>EUR_CREDITO
EUR_INTERVEN
CONF_GENERAL_CODE_CONVERTER
EUR_INTERVEN
CONF_GENERAL_CODE_CONVERTER
EUR_INTERVEN
CONF_GENERAL_CODE_CONVERTER
INTERFACE_DCT01
TCT09_OPERCN
CONF_GENERAL_CODE_CONVERTER</t>
  </si>
  <si>
    <t>N\A
N\A
CDM_VALUE
N\A 
CDM_VALUE
N\A 
CDM_VALUE
N\A
N\A
CDM_VALUE</t>
  </si>
  <si>
    <r>
      <rPr>
        <b/>
        <sz val="11"/>
        <color rgb="FF000000"/>
        <rFont val="Calibri"/>
        <scheme val="minor"/>
      </rPr>
      <t>SELECT</t>
    </r>
    <r>
      <rPr>
        <sz val="11"/>
        <color rgb="FF000000"/>
        <rFont val="Calibri"/>
        <scheme val="minor"/>
      </rPr>
      <t xml:space="preserve"> 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t>
    </r>
    <r>
      <rPr>
        <b/>
        <sz val="11"/>
        <color rgb="FF000000"/>
        <rFont val="Calibri"/>
        <scheme val="minor"/>
      </rPr>
      <t xml:space="preserve">SELECT </t>
    </r>
    <r>
      <rPr>
        <sz val="11"/>
        <color rgb="FF000000"/>
        <rFont val="Calibri"/>
        <scheme val="minor"/>
      </rPr>
      <t xml:space="preserve">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TCT09_OPERCN.ISITUAC = '1'  AND (GROUP BY TCT09_OPERCN.CKBALCAO, TCT09_OPERCN.CKNUMCTA)</t>
    </r>
  </si>
  <si>
    <t>N\A || N\A
N\A
N\A
N\A
N\A</t>
  </si>
  <si>
    <t>"31" || "#N/A"
"31" || "#N/A"
"31" || "#N/A"
"NULL"
"31"</t>
  </si>
  <si>
    <t>Contract identifier of the main current account associated with the factoring contract. It corresponds to the account associated (in the contract context) to the process's client that provides the invoices.</t>
  </si>
  <si>
    <t>CURATED_INTERNAL_EUROFAC
CURATED_INTERNAL_EUROFAC
CURATED_INTERNAL_EUROFAC
CURATED_INTERNAL_EUROFAC
CURATED_INTERNAL_MAINFRAME_CONTAS
CURATED_INTERNAL_MAINFRAME_CONTENCIOSO</t>
  </si>
  <si>
    <t>EUR_INTERVEN
EUR_CREDITO
EUR_INTERVEN
EUR_INTERVEN
INTERFACE_DCT01
TCT09_OPERCN</t>
  </si>
  <si>
    <t>INT_NRCTADEB
N\A
INT_NRCTADEB
INT_NRCTADEB
N\A
CKBALDO, CKCTADO</t>
  </si>
  <si>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CONCAT( TCT09_OPERCN.CKBALDO, TCT09_OPERCN.CKCTADO, '000000000000000' )
</t>
    </r>
    <r>
      <rPr>
        <b/>
        <sz val="11"/>
        <color rgb="FF000000"/>
        <rFont val="Calibri"/>
        <scheme val="minor"/>
      </rPr>
      <t>WHERE</t>
    </r>
    <r>
      <rPr>
        <sz val="11"/>
        <color rgb="FF000000"/>
        <rFont val="Calibri"/>
        <scheme val="minor"/>
      </rPr>
      <t xml:space="preserve"> TCT09_OPERCN.ISITUAC = '1'  AND (GROUP BY TCT09_OPERCN.CKBALCAO, TCT09_OPERCN.CKNUMCTA)</t>
    </r>
  </si>
  <si>
    <t>EUR_INTERVEN || N\A
EUR_INTERVEN || N\A
EUR_INTERVEN || N\A
N\A
TCT09_OPERCN</t>
  </si>
  <si>
    <t>CONCAT( SUBSTRING( NRCTADEB, 5 , 20 ), '000000000000000' ) || N\A
CONCAT( SUBSTRING( NRCTADEB, 5 , 20 ), '000000000000000' ) || N\A
CONCAT( SUBSTRING( NRCTADEB, 5 , 20 ), '000000000000000' ) || N\A
N\A
CONCAT( CKBALDO, CKCTADO, "000000000000000" )</t>
  </si>
  <si>
    <t>N\A || "#N/A"
N\A || "#N/A"
N\A || "#N/A"
"NULL"
N\A</t>
  </si>
  <si>
    <t>Main Current Account IBAN</t>
  </si>
  <si>
    <t>main_current_account_iban</t>
  </si>
  <si>
    <t>Number of banking identification of the main current account associated with the factoring contract.</t>
  </si>
  <si>
    <t>IBAN da conta âncora do contrato.</t>
  </si>
  <si>
    <t>INT_NRCTADEB
N\A
INT_NRCTADEB
INT_NRCTADEB
N\A
NULL</t>
  </si>
  <si>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EUR_INTERVEN.INT_NRCTADEB ) = '', NULL, EUR_INTERVEN.INT_NRCTADEB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SELECT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</si>
  <si>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EUR_INTERVEN 
EUR_INTERVEN 
N\A
N\A</t>
  </si>
  <si>
    <t>NRCTADEB
NRCTADEB
NRCTADEB
N\A
N\A</t>
  </si>
  <si>
    <t>N\A
N\A
N\A
"NULL"
"NULL"</t>
  </si>
  <si>
    <t>Main Loan Account Bank ID</t>
  </si>
  <si>
    <t>main_loan_account_bank_id</t>
  </si>
  <si>
    <t>Main loan account's bank identifier linked to the factoring contract.</t>
  </si>
  <si>
    <t>Identificador do contrato da conta corrente âncora do contrato.</t>
  </si>
  <si>
    <t>CURATED_INTERNAL_EUROFAC
CURATED_INTERNAL_EUROFAC
OPERATIONS_COMMON_REFERENCEDATA_CORE
CURATED_INTERNAL_EUROFAC
OPERATIONS_COMMON_REFERENCEDATA_CORE
CURATED_INTERNAL_EUROFAC
OPERATIONS_COMMON_REFERENCEDATA_CORE
CURATED_INTERNAL_MAINFRAME_CONTAS
CURATED_INTERNAL_MAINFRAME_CONTENCIOSO</t>
  </si>
  <si>
    <t>EUR_CREDITO
EUR_INTERVEN
CONF_GENERAL_CODE_CONVERTER
EUR_INTERVEN
CONF_GENERAL_CODE_CONVERTER
EUR_INTERVEN
CONF_GENERAL_CODE_CONVERTER
INTERFACE_DCT01
TCT09_OPERCN</t>
  </si>
  <si>
    <t>N\A
N\A
CDM_VALUE
N\A 
CDM_VALUE
N\A 
CDM_VALUE
N\A
N\A</t>
  </si>
  <si>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t>
    </r>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</si>
  <si>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"31" || "#N/A"
"31" || "#N/A"
"31" || "#N/A"
"NULL"
"NULL"</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</si>
  <si>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</si>
  <si>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</si>
  <si>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</si>
  <si>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Identificador exclusivo do contrato de conta de depósito</t>
  </si>
  <si>
    <t>INT_NRCTACRE
N\A
INT_NRCTACRE
INT_NRCTACRE
N\A
N\A</t>
  </si>
  <si>
    <r>
      <rPr>
        <b/>
        <sz val="11"/>
        <color rgb="FF000000"/>
        <rFont val="Calibri"/>
        <scheme val="minor"/>
      </rPr>
      <t>SELECT</t>
    </r>
    <r>
      <rPr>
        <sz val="11"/>
        <color rgb="FF000000"/>
        <rFont val="Calibri"/>
        <scheme val="minor"/>
      </rPr>
      <t xml:space="preserve"> 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</si>
  <si>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 N\A
EUR_INTERVEN || N\A 
EUR_INTERVEN || N\A
N\A
N\A</t>
  </si>
  <si>
    <t>CONCAT ((NRCTACRE(9, 19), "000000000000000" ) || N\A
CONCAT ((NRCTACRE(9, 19), "000000000000000" ) || N\A
CONCAT ((NRCTACRE(9, 19), "000000000000000" ) || N\A
N\A
N\A</t>
  </si>
  <si>
    <t>N\A || "#N/A"
N\A || "#N/A"
N\A || "#N/A"
"NULL"
"NULL"</t>
  </si>
  <si>
    <t>Main Loan Account IBAN</t>
  </si>
  <si>
    <t>main_loan_account_iban</t>
  </si>
  <si>
    <t>Number of banking identification of the main loan account associated with the factoring contract.</t>
  </si>
  <si>
    <t>IBAN da conta corrente âncora do contrato.</t>
  </si>
  <si>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</si>
  <si>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NRCTACRE
NRCTACRE
NRCTACRE
N\A
N\A</t>
  </si>
  <si>
    <t>Identifier of the factoring process bank to which the factoring contract is associated to.</t>
  </si>
  <si>
    <t>N\A
CDM_VALUE
N\A
CDM_VALUE
N\A
CDM_VALUE
N\A
N\A</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</si>
  <si>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CONF_GENERAL_CODE_CONVERTER.CODE_CATEGORY = 'process_bank_id'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'process_bank_id'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'process_bank_id'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</si>
  <si>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"89"
"89"
"89"
"NULL"
"NULL"</t>
  </si>
  <si>
    <t>Identifier of the factoring process associated with the factoring's contract.</t>
  </si>
  <si>
    <t>CURATED_INTERNAL_EUROFAC
CURATED_INTERNAL_EUROFAC
CURATED_INTERNAL_EUROFAC
CURATED_INTERNAL_MAINFRAME_CONTAS
CURATED_INTERNAL_MAINFRAME_CONTENCIOSO</t>
  </si>
  <si>
    <t>EUR_CREDITO
EUR_PROCESSO
EUR_PROCESSO
INTERFACE_DCT01
TCT09_OPERCN</t>
  </si>
  <si>
    <t>CRD_NRPROCES 
PRO_NRPROCES
PRO_NRPROCES
N\A
N\A</t>
  </si>
  <si>
    <r>
      <rPr>
        <b/>
        <sz val="11"/>
        <color rgb="FF000000"/>
        <rFont val="Calibri"/>
        <scheme val="minor"/>
      </rPr>
      <t>SELECT</t>
    </r>
    <r>
      <rPr>
        <sz val="11"/>
        <color rgb="FF000000"/>
        <rFont val="Calibri"/>
        <scheme val="minor"/>
      </rPr>
      <t xml:space="preserve"> IF( TRIM( SUBSTRING( EUR_CREDITO.CRD_NRPROCES, 3, 11 ) ) = '', NULL , CONCAT( '0000', SUBSTRING( EUR_CREDITO.CRD_NRPROCES, 3,11) ) )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</si>
  <si>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EUR_CREDITO
EUR_PROCESSO
EUR_PROCESSO
N\A
N\A</t>
  </si>
  <si>
    <t>CONCAT( "0000", NRPROCES( 3, 11 ) )
CONCAT( "0000", NRPROCES( 3, 11 ) )
CONCAT( "0000", NRPROCES( 3, 11 ) )
N\A
N\A</t>
  </si>
  <si>
    <t>CRD_DTEMISSA
PRO_DTCONTRA
PRO_DTCONTRA
DCYR8101_DABERTUR
DCONTRAT</t>
  </si>
  <si>
    <r>
      <rPr>
        <b/>
        <sz val="11"/>
        <color rgb="FF000000"/>
        <rFont val="Calibri"/>
        <scheme val="minor"/>
      </rPr>
      <t>SELECT</t>
    </r>
    <r>
      <rPr>
        <sz val="11"/>
        <color rgb="FF000000"/>
        <rFont val="Calibri"/>
        <scheme val="minor"/>
      </rPr>
      <t xml:space="preserve"> IF( TRIM( EUR_CREDITO.CRD_DTEMISSA ) = '', NULL, SUBSTRING( EUR_CREDITO.CRD_DTEMISSA,1,10 ) )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INTERFACE_DCT01.DCYR8101_DABERTUR ) = '', NULL,  INTERFACE_DCT01.DCYR8101_DABERTUR )
</t>
    </r>
    <r>
      <rPr>
        <b/>
        <sz val="11"/>
        <color rgb="FF000000"/>
        <rFont val="Calibri"/>
        <scheme val="minor"/>
      </rPr>
      <t>SELECT</t>
    </r>
    <r>
      <rPr>
        <sz val="11"/>
        <color rgb="FF000000"/>
        <rFont val="Calibri"/>
        <scheme val="minor"/>
      </rPr>
      <t xml:space="preserve"> IF( TRIM( TCT09_OPERCN.DCONTRAT) = '', NULL, CAST( TCT09_OPERCN.DCONTRAT AS STRING ) )
</t>
    </r>
    <r>
      <rPr>
        <b/>
        <sz val="11"/>
        <color rgb="FF000000"/>
        <rFont val="Calibri"/>
        <scheme val="minor"/>
      </rPr>
      <t>WHERE</t>
    </r>
    <r>
      <rPr>
        <sz val="11"/>
        <color rgb="FF000000"/>
        <rFont val="Calibri"/>
        <scheme val="minor"/>
      </rPr>
      <t xml:space="preserve"> TCT09_OPERCN.ISITUAC = '1' AND (GROUP BY TCT09_OPERCN.CKBALCAO, TCT09_OPERCN,CKNUMCTA) AND MIN( TCT09_OPERCN.DCONTRAT )</t>
    </r>
  </si>
  <si>
    <t>EUR_CREDITO
EUR_PROCESSO
EUR_PROCESSO
DCYR8101
TCT09_OPERCN</t>
  </si>
  <si>
    <t>DTEMISSA
DTCONTRA
DTCONTRA
DABERTUR
DCONTRAT</t>
  </si>
  <si>
    <t>CRD_DTVENCIM
PRO_DTVENCIM
PRO_DTVENCIM
DCYR8100_DTVENCIM
DVENCIM</t>
  </si>
  <si>
    <r>
      <rPr>
        <b/>
        <sz val="11"/>
        <color rgb="FF000000"/>
        <rFont val="Calibri"/>
        <scheme val="minor"/>
      </rPr>
      <t>SELECT</t>
    </r>
    <r>
      <rPr>
        <sz val="11"/>
        <color rgb="FF000000"/>
        <rFont val="Calibri"/>
        <scheme val="minor"/>
      </rPr>
      <t xml:space="preserve"> IF( TRIM( EUR_CREDITO.CRD_DTVENCIM ) = '', NULL, SUBSTRING( EUR_CREDITO.CRD_DTVENCIM,1,10 ) )
</t>
    </r>
    <r>
      <rPr>
        <b/>
        <sz val="11"/>
        <color rgb="FF000000"/>
        <rFont val="Calibri"/>
        <scheme val="minor"/>
      </rPr>
      <t>SELECT</t>
    </r>
    <r>
      <rPr>
        <sz val="11"/>
        <color rgb="FF000000"/>
        <rFont val="Calibri"/>
        <scheme val="minor"/>
      </rPr>
      <t xml:space="preserve"> IF( TRIM( EUR_PROCESSO.PRO_DTVENCIM ) = '', NULL, SUBSTRING( EUR_PROCESSO.PRO_DTVENCIM, 1,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EUR_PROCESSO.PRO_DTVENCIM ) = '', NULL, SUBSTRING( EUR_PROCESSO.PRO_DTVENCIM, 1,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INTERFACE_DCT01.DCYR8100_DTVENCIM ) = '', NULL,  INTERFACE_DCT01.DCYR8100_DTVENCIM )
</t>
    </r>
    <r>
      <rPr>
        <b/>
        <sz val="11"/>
        <color rgb="FF000000"/>
        <rFont val="Calibri"/>
        <scheme val="minor"/>
      </rPr>
      <t>SELECT</t>
    </r>
    <r>
      <rPr>
        <sz val="11"/>
        <color rgb="FF000000"/>
        <rFont val="Calibri"/>
        <scheme val="minor"/>
      </rPr>
      <t xml:space="preserve"> IF( TRIM( TCT09_OPERCN.DVENCIM) = '', NULL, CAST( TCT09_OPERCN.DVENCIM AS STRING ) )
</t>
    </r>
    <r>
      <rPr>
        <b/>
        <sz val="11"/>
        <color rgb="FF000000"/>
        <rFont val="Calibri"/>
        <scheme val="minor"/>
      </rPr>
      <t>WHERE</t>
    </r>
    <r>
      <rPr>
        <sz val="11"/>
        <color rgb="FF000000"/>
        <rFont val="Calibri"/>
        <scheme val="minor"/>
      </rPr>
      <t xml:space="preserve"> TCT09_OPERCN.ISITUAC = '1' AND (GROUP BY TCT09_OPERCN.CKBALCAO, TCT09_OPERCN,CKNUMCTA) AND MAX( TCT09_OPERCN.DVENCIM )</t>
    </r>
  </si>
  <si>
    <t>DTVENCIM
DTVENCIM
DTVENCIM
DTVENCIM
DVENCIM</t>
  </si>
  <si>
    <t>Currency:
EUR_MOEDA
EUR_MOEDA
EUR_MOEDA
TAT91 - CTABELA 206
TAT91 - CTABELA 206</t>
  </si>
  <si>
    <t>CURATED_INTERNAL_EUROFAC
CURATED_INTERNAL_MAINFRAME_ESTRUTURAIS
CURATED_INTERNAL_EUROFAC
CURATED_INTERNAL_MAINFRAME_ESTRUTURAIS
CURATED_INTERNAL_EUROFAC
CURATED_INTERNAL_MAINFRAME_ESTRUTURAIS
CURATED_INTERNAL_MAINFRAME_CONTAS
CURATED_INTERNAL_MAINFRAME_CONTENCIOSO
CURATED_INTERNAL_MAINFRAME_ESTRUTURAIS</t>
  </si>
  <si>
    <t>EUR_CREDITO
TAT91_TABELAS_NEW
EUR_INTERVEN
TAT91_TABELAS_NEW
EUR_INTERVEN
TAT91_TABELAS_NEW
INTERFACE_DCT01
TCT09_OPERCN
TAT91_TABELAS_NEW</t>
  </si>
  <si>
    <t>N\A
TAYD91C0_CELEMTAB
N\A
TAYD91C0_CELEMTAB
N\A
TAYD91C0_CELEMTAB
DCYR8101_CMOEDA
N\A
TAYD91C0_CELEMTAB</t>
  </si>
  <si>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INTERFACE_DCT01.DCYR8101_CMOEDA) = '', NULL, INTERFACE_DCT01.DCYR8101_CMOEDA )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TCT09_OPERCN.ISITUAC = '1'  AND (GROUP BY TCT09_OPERCN.CKBALCAO, TCT09_OPERCN.CKNUMCTA)</t>
    </r>
  </si>
  <si>
    <t>FA - Factoring Eurofac
FA - Factoring Eurofac
FA - Factoring Eurofac
DC - Contas a Vista
TC - Terminal Contencioso -&gt; TA - Tabelas Gerais</t>
  </si>
  <si>
    <t>EUR_CREDITO
EUR_INTERVEN 
EUR_INTERVEN 
DCYR8101
TCT09_OPERCN -&gt;  TAT91_TABELAS</t>
  </si>
  <si>
    <t>CDMOEDA
CDMOEDA
CDMOEDA
CDMOEDA
CMOEDALF -&gt; CELEMTAB</t>
  </si>
  <si>
    <t>N\A
N\A
N\A
N\A
N\A -&gt; N\A</t>
  </si>
  <si>
    <t>EUR_CREDITO
EUR_INTERVEN
EUR_INTERVEN
INTERFACE_DCT01
TCT09_OPERCN</t>
  </si>
  <si>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TCT09_OPERCN.ISITUAC = '1' AND (GROUP BY TCT09_OPERCN.CKBALCAO, TCT09_OPERCN,CKNUMCTA)</t>
    </r>
  </si>
  <si>
    <t>"0"
"0"
"0"
"0"
"1"</t>
  </si>
  <si>
    <t xml:space="preserve">Current maximum theoretical amount that can be used as credit. Depending on the contract, this value can be totaly or pacially used. To determine which value can be used it is taken into account a retention percentage that ensures the health of the credit. </t>
  </si>
  <si>
    <t>EUR_CREDITO
EUR_INTERVEN
EUR_INTERVEN
EUR_INTERVEN
INTERFACE_DCT01
TCT09_OPERCN</t>
  </si>
  <si>
    <t>CRD_VLCREDIT
INT_PRRETENC
INT_VLPLAFAD
INT_VLPLARCR
N\A
N\A</t>
  </si>
  <si>
    <r>
      <rPr>
        <b/>
        <sz val="11"/>
        <color rgb="FF000000"/>
        <rFont val="Calibri"/>
        <scheme val="minor"/>
      </rPr>
      <t>SELECT</t>
    </r>
    <r>
      <rPr>
        <sz val="11"/>
        <color rgb="FF000000"/>
        <rFont val="Calibri"/>
        <scheme val="minor"/>
      </rPr>
      <t xml:space="preserve"> CAST( EUR_CREDITO.CRD_VLCREDIT - ( EUR_INTERVEN.INT_PRRETENC / 100 * EUR_CREDITO.CRD_VLCREDIT ) AS DECIMAL(23,6)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 EUR_INTERVEN.INT_VLPLAFAD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EUR_INTERVEN.INT_VLPLARCR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CAST(NULL AS DECIMAL(23,6)) 
</t>
    </r>
    <r>
      <rPr>
        <b/>
        <sz val="11"/>
        <color rgb="FF000000"/>
        <rFont val="Calibri"/>
        <scheme val="minor"/>
      </rPr>
      <t>WHERE</t>
    </r>
    <r>
      <rPr>
        <sz val="11"/>
        <color rgb="FF000000"/>
        <rFont val="Calibri"/>
        <scheme val="minor"/>
      </rPr>
      <t xml:space="preserve"> TCT09_OPERCN.ISITUAC = '1' AND (GROUP BY TCT09_OPERCN.CKBALCAO, TCT09_OPERCN,CKNUMCTA)</t>
    </r>
  </si>
  <si>
    <t>EUR_CREDITO
EUR_INTERVEN
EUR_INTERVEN
N\A
N\A</t>
  </si>
  <si>
    <t>VLCREDIT - ((2)PRRETENC * (1)VLCREDIT)
VLPLAFAD
VLPLARCR
N\A
N\A</t>
  </si>
  <si>
    <t>Current actual amount that can still used as credit. It is the result of the aplication of a retetion percentage over the total limit of the contract and has into account the credit amount already used.</t>
  </si>
  <si>
    <t>EUR_CREDITO
EUR_INTERVEN
EUR_INTERVEN
EUR_POTENCIAL_CRC
EUR_INTERVEN
EUR_POTENCIAL_CRC
INTERFACE_DCT01
TCT09_OPERCN</t>
  </si>
  <si>
    <t>CRD_VLCREDIT, CRD_VLTOTADI
INT_PRRETENC 
N\A
POT_DISPOTOT
N\A
POT_DISPOTOT
N\A
N\A</t>
  </si>
  <si>
    <r>
      <rPr>
        <b/>
        <sz val="11"/>
        <color rgb="FF000000"/>
        <rFont val="Calibri"/>
        <scheme val="minor"/>
      </rPr>
      <t>SELECT</t>
    </r>
    <r>
      <rPr>
        <sz val="11"/>
        <color rgb="FF000000"/>
        <rFont val="Calibri"/>
        <scheme val="minor"/>
      </rPr>
      <t xml:space="preserve"> CAST( EUR_CREDITO.CRD_VLCREDIT - ( EUR_INTERVEN.INT_PRRETENC  / 100 * EUR_CREDITO.CRD_VLCREDIT ) -  EUR_CREDITO.CRD_VLTOTADI AS DECIMAL(23,6)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 EUR_POTENCIAL_CRC.POT_DISPOTOT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CONCAT( EUR_POTENCIAL_CRC.POT_NRANO, '-', LPAD( EUR_POTENCIAL_CRC.POT_CDMES , 2, '0'), '-', LPAD( EUR_POTENCIAL_CRC.POT_DIA, 2, '0')) = DATA_DATE_PART AND EUR_POTENCIAL_CRC.POT_NRINTINT = 1
</t>
    </r>
    <r>
      <rPr>
        <b/>
        <sz val="11"/>
        <color rgb="FF000000"/>
        <rFont val="Calibri"/>
        <scheme val="minor"/>
      </rPr>
      <t>SELECT</t>
    </r>
    <r>
      <rPr>
        <sz val="11"/>
        <color rgb="FF000000"/>
        <rFont val="Calibri"/>
        <scheme val="minor"/>
      </rPr>
      <t xml:space="preserve"> CAST( EUR_POTENCIAL_CRC.POT_DISPOTOT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CONCAT( EUR_POTENCIAL_CRC.POT_NRANO, '-', LPAD( EUR_POTENCIAL_CRC.POT_CDMES , 2, '0'), '-', LPAD( EUR_POTENCIAL_CRC.POT_DIA, 2, '0')) = 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</si>
  <si>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(1)EUR_CREDITO + (2)EUR_INTERVEN
EUR_POTENCIAL_CRC
EUR_POTENCIAL_CRC
N\A
N\A</t>
  </si>
  <si>
    <t>(1)VLCREDIT - ((2)PRRETENC * (1)VLCREDIT) - (1)VLTOTADI
DISPOTOT
DISPOTOT
N\A
N\A</t>
  </si>
  <si>
    <t>N\A
N\A
N\A
"0.00"
"0.00"</t>
  </si>
  <si>
    <t>Current Retention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</si>
  <si>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</si>
  <si>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</si>
  <si>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CURATED_INTERNAL_EUROFAC
CURATED_INTERNAL_EUROFAC
CURATED_INTERNAL_EUROFAC
CURATED_INTERNAL_EUROFAC
CURATED_INTERNAL_EUROFAC
CURATED_INTERNAL_MAINFRAME_CONTAS
CURATED_INTERNAL_MAINFRAME_CONTENCIOSO</t>
  </si>
  <si>
    <t>N\A
INT_PRRETENC
N\A
N\A
N\A
N\A</t>
  </si>
  <si>
    <r>
      <rPr>
        <b/>
        <sz val="11"/>
        <color rgb="FF000000"/>
        <rFont val="Calibri"/>
        <scheme val="minor"/>
      </rPr>
      <t>SELECT</t>
    </r>
    <r>
      <rPr>
        <sz val="11"/>
        <color rgb="FF000000"/>
        <rFont val="Calibri"/>
        <scheme val="minor"/>
      </rPr>
      <t xml:space="preserve"> CAST( EUR_INTERVEN.INT_PRRETENC AS DECIMAL( 23,6 )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t>
    </r>
  </si>
  <si>
    <t>EUR_INTERVEN
N\A
N\A
N\A
N\A</t>
  </si>
  <si>
    <t>PRRETENC
N\A
N\A
N\A
N\A</t>
  </si>
  <si>
    <t>N\A
"0.00"
"0.00"
"NULL"
"NULL"</t>
  </si>
  <si>
    <t>Current principal amount which has been used but has not reach its maturity date and is yet to be repaid. This field only applies to invoices, it does not apply to lines.</t>
  </si>
  <si>
    <t>EUR_CREDITO
EUR_INTERVEN
EUR_PRVCLICRD_BOP_NEW
EUR_INTERVEN
EUR_INTERVEN
INTERFACE_DCT01
TCT09_OPERCN</t>
  </si>
  <si>
    <t>CRD_VLADIANT, CRD_VLTOTADI, CRD_VLTOTCOB
N\A
PCC_VLADIANT
N\A
N\A
N\A
N\A</t>
  </si>
  <si>
    <r>
      <rPr>
        <b/>
        <sz val="11"/>
        <color rgb="FF000000"/>
        <rFont val="Calibri"/>
        <scheme val="minor"/>
      </rPr>
      <t>SELECT</t>
    </r>
    <r>
      <rPr>
        <sz val="11"/>
        <color rgb="FF000000"/>
        <rFont val="Calibri"/>
        <scheme val="minor"/>
      </rPr>
      <t xml:space="preserve"> IF( EUR_CREDITO.CRD_DTVENCIM &gt; EUR_CREDITO.DATA_DATE_PART AND EUR_INTERVEN.INT_TPGESCON = 'CC' ,
      CAST( ( EUR_PRVCLICRD_BOP_NEW.PCC_VLADIANT- EUR_CREDITO.CRD_VLTOTCOB) AS DECIMAL( 23, 6 ) ),
      IF( EUR_CREDITO.CRD_DTVENCIM &gt; EUR_CREDITO.DATA_DATE_PART AND EUR_INTERVEN.INT_TPGESCON = 'FF' AND EUR_CREDITO.crd_tprecurs = 'C',
        CAST( ( EUR_CREDITO.CRD_VLTOTADI- EUR_CREDITO.CRD_VLTOTCOB ) AS DECIMAL( 23,6 ) ),
        IF( EUR_CREDITO.CRD_DTVENCIM &gt; EUR_CREDITO.DATA_DATE_PART AND EUR_INTERVEN.INT_TPGESCON = 'FF' AND EUR_CREDITO.crd_tprecurs = 'S',
          CAST( ( EUR_CREDITO.CRD_VLCREDIT - EUR_CREDITO.CRD_VLTOTCOB ) AS DECIMAL( 23, 6 ) ),
          CAST( 0 AS DECIMAL( 23, 6 ) ) 
        )
      )
    )
</t>
    </r>
    <r>
      <rPr>
        <b/>
        <sz val="11"/>
        <color rgb="FF000000"/>
        <rFont val="Calibri"/>
        <scheme val="minor"/>
      </rPr>
      <t>WHERE</t>
    </r>
    <r>
      <rPr>
        <sz val="11"/>
        <color rgb="FF000000"/>
        <rFont val="Calibri"/>
        <scheme val="minor"/>
      </rPr>
      <t xml:space="preserve"> EUR_INTERVEN.INT_NRINTINT = 1 AND EUR_PRVCLICRD_BOP_NEW.PCC_IDSITUAC = 'A'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</si>
  <si>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EUR_CREDITO || EUR_CREDITO || (1) EUR_CREDITO + (2)EUR_PRVCLICRD_BOP_NEW
N\A
N\A
N\A
N\A</t>
  </si>
  <si>
    <t>VLCREDIT - VLTOTCOB || VLTOTADI -  VLTOTCOB || (2)VLADIANT - (1)VLTOTCOB || N\A
N\A
N\A
N\A
N\A</t>
  </si>
  <si>
    <t>N\A || N\A || N\A || "0.00"
"0.00"
"0.00"
"0.00"
"0.00"</t>
  </si>
  <si>
    <t>Current principal amount which has been used but has reached its maturity date and is yet to be repaid. This field only applies to invoices, it does not apply to lines.</t>
  </si>
  <si>
    <t>CRD_VLADIANT, CRD_VLTOTADI, CRD_VLTOTCOB
N\A
PCC_VLADIANT
N\A
N\A
DCYR8101_MSALDO
N\A</t>
  </si>
  <si>
    <r>
      <rPr>
        <sz val="11"/>
        <color rgb="FF000000"/>
        <rFont val="Calibri"/>
        <scheme val="minor"/>
      </rPr>
      <t xml:space="preserve">SELECT IF( EUR_CREDITO.CRD_DTVENCIM &lt;= EUR_CREDITO.DATA_DATE_PART AND EUR_INTERVEN.INT_TPGESCON = 'CC' ,
      CAST((EUR_PRVCLICRD_BOP_NEW.PCC_VLADIANT- EUR_CREDITO.CRD_VLTOTCOB) AS DECIMAL(23,6)),
      IF( EUR_CREDITO.CRD_DTVENCIM &lt;= EUR_CREDITO.DATA_DATE_PART AND EUR_INTERVEN.INT_TPGESCON = 'FF' AND EUR_CREDITO.crd_tprecurs = 'C',
        CAST((EUR_CREDITO.CRD_VLTOTADI- EUR_CREDITO.CRD_VLTOTCOB) AS DECIMAL(23,6)),
        IF( EUR_CREDITO.CRD_DTVENCIM &lt;= EUR_CREDITO.DATA_DATE_PART AND EUR_INTERVEN.INT_TPGESCON = 'FF' AND EUR_CREDITO.crd_tprecurs = 'S',
          CAST((EUR_CREDITO.CRD_VLCREDIT - EUR_CREDITO.CRD_VLTOTCOB) AS DECIMAL(23,6)),
          CAST(0 AS DECIMAL(23,6))
        )
      )
    )
</t>
    </r>
    <r>
      <rPr>
        <b/>
        <sz val="11"/>
        <color rgb="FF000000"/>
        <rFont val="Calibri"/>
        <scheme val="minor"/>
      </rPr>
      <t xml:space="preserve">WHERE </t>
    </r>
    <r>
      <rPr>
        <sz val="11"/>
        <color rgb="FF000000"/>
        <rFont val="Calibri"/>
        <scheme val="minor"/>
      </rPr>
      <t xml:space="preserve">EUR_INTERVEN.INT_NRINTINT = 1 AND EUR_PRVCLICRD_BOP_NEW.PCC_IDSITUAC = 'A'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</si>
  <si>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EUR_CREDITO || EUR_CREDITO || (1)EUR_CREDITO + (2)EUR_PRVCLICRD_BOP_NEW
N\A
N\A
DCYR8101
N\A</t>
  </si>
  <si>
    <t>VLCREDIT - VLTOTCOB || VLTOTADI - VLTOTCOB || (2)VLADIANT - (1)VLTOTCOB || N\A
N\A
N\A
( ( -MSALDO ) )
N\A</t>
  </si>
  <si>
    <t>N\A || N\A || N\A || "0.00"
"0.00"
"0.00"
N\A
"0.00"</t>
  </si>
  <si>
    <t>CURATED_INTERNAL_EUROFAC
CURATED_INTERNAL_EUROFAC
CURATED_INTERNAL_EUROFAC
CURATED_INTERNAL_MAINFRAME_CONTAS
CURATED_INTERNAL_MAINFRAME_CONTENCIOSO
CURATED_INTERNAL_MAINFRAME_CONTENCIOSO</t>
  </si>
  <si>
    <t>EUR_CREDITO
EUR_INTERVEN
EUR_INTERVEN
INTERFACE_DCT01
TCT09_OPERCN
TCT01_POSDIV</t>
  </si>
  <si>
    <t>N\A
N\A
N\A
N\A
N\A
MCAPITALD</t>
  </si>
  <si>
    <r>
      <rPr>
        <b/>
        <sz val="11"/>
        <color rgb="FF000000"/>
        <rFont val="Calibri"/>
        <scheme val="minor"/>
      </rPr>
      <t xml:space="preserve">SELECT </t>
    </r>
    <r>
      <rPr>
        <sz val="11"/>
        <color rgb="FF000000"/>
        <rFont val="Calibri"/>
        <scheme val="minor"/>
      </rPr>
      <t xml:space="preserve">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SELECT</t>
    </r>
    <r>
      <rPr>
        <sz val="11"/>
        <color rgb="FF000000"/>
        <rFont val="Calibri"/>
        <scheme val="minor"/>
      </rPr>
      <t xml:space="preserve"> CAST( SUM( TCT01_POSDIV.MCAPITALD ) AS DECIMAL( 23, 6 ) )
WHERE TCT09_OPERCN.ISITUAC = '1' AND (GROUP BY TCT09_OPERCN.CKBALCAO, TCT09_OPERCN,CKNUMCTA) 
   AND TCT01_POSDIVID.IACTIVO = 'S'</t>
    </r>
  </si>
  <si>
    <t>N\A
N\A
N\A
N\A
TCT01_POSDIVID</t>
  </si>
  <si>
    <t>N\A
N\A
N\A
N\A
MCAPITALD</t>
  </si>
  <si>
    <t>"0.00"
"0.00"
"0.00"
"0.00"
N\A</t>
  </si>
  <si>
    <t>CRD_DTPREPAG
N\A
N\A
N\A
N\A</t>
  </si>
  <si>
    <r>
      <rPr>
        <b/>
        <sz val="11"/>
        <color rgb="FF000000"/>
        <rFont val="Calibri"/>
        <scheme val="minor"/>
      </rPr>
      <t xml:space="preserve">SELECT </t>
    </r>
    <r>
      <rPr>
        <sz val="11"/>
        <color rgb="FF000000"/>
        <rFont val="Calibri"/>
        <scheme val="minor"/>
      </rPr>
      <t xml:space="preserve">IF(TRIM( EUR_CREDITO.CRD_DTPREPAG) = '', NULL, SUBSTRING( EUR_CREDITO.CRD_DTPREPAG,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sz val="11"/>
        <color rgb="FF000000"/>
        <rFont val="Calibri"/>
        <scheme val="minor"/>
      </rPr>
      <t>WHERE TCT09_OPERCN.ISITUAC = '1' AND (GROUP BY TCT09_OPERCN.CKBALCAO, TCT09_OPERCN,CKNUMCTA)</t>
    </r>
  </si>
  <si>
    <t>EUR_CREDITO
N\A
N\A
N\A
N\A</t>
  </si>
  <si>
    <t>DTPREPAG
N\A
N\A
N\A
N\A</t>
  </si>
  <si>
    <t>N\A
"#N/A"
"#N/A"
"NULL"
"NULL"</t>
  </si>
  <si>
    <t>Corresponds to the date in which the effective payment related to the billing of the invoice, was made.  This field only applies to invoices, it does not apply to lines.</t>
  </si>
  <si>
    <t>CRD_DTCOBRAN
N\A
N\A
N\A
N\A</t>
  </si>
  <si>
    <r>
      <rPr>
        <b/>
        <sz val="11"/>
        <color rgb="FF000000"/>
        <rFont val="Calibri"/>
        <scheme val="minor"/>
      </rPr>
      <t xml:space="preserve">SELECT </t>
    </r>
    <r>
      <rPr>
        <sz val="11"/>
        <color rgb="FF000000"/>
        <rFont val="Calibri"/>
        <scheme val="minor"/>
      </rPr>
      <t xml:space="preserve">IF(TRIM( EUR_CREDITO.CRD_DTCOBRAN) = '', NULL, SUBSTRING( EUR_CREDITO.CRD_DTCOBRAN,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0)9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</si>
  <si>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DTCOBRAN
N\A
N\A
N\A
N\A</t>
  </si>
  <si>
    <t>CRD_VLTOTCOB
N\A
N\A
N\A
N\A</t>
  </si>
  <si>
    <r>
      <rPr>
        <b/>
        <sz val="11"/>
        <color rgb="FF000000"/>
        <rFont val="Calibri"/>
        <scheme val="minor"/>
      </rPr>
      <t>SELECT</t>
    </r>
    <r>
      <rPr>
        <sz val="11"/>
        <color rgb="FF000000"/>
        <rFont val="Calibri"/>
        <scheme val="minor"/>
      </rPr>
      <t xml:space="preserve"> CAST( EUR_CREDITO.CRD_VLTOTCOB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</si>
  <si>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VLTOTCOB
N\A
N\A
N\A
N\A</t>
  </si>
  <si>
    <t>Corresponds to the date in which the effective payment related to the last advance of the invoice, was made. This field only applies to invoices, it does not apply to lines.</t>
  </si>
  <si>
    <t>EUR_CREDITO
EUR_LINADIAN
EUR_ADIANTAM
EUR_INTERVEN
INTERFACE_DCT01
TCT09_OPERCN</t>
  </si>
  <si>
    <t>N\A
N\A
ADI_DTVALMOV
N\A
N\A
N\A</t>
  </si>
  <si>
    <r>
      <rPr>
        <b/>
        <sz val="11"/>
        <color rgb="FF000000"/>
        <rFont val="Calibri"/>
        <scheme val="minor"/>
      </rPr>
      <t xml:space="preserve">SELECT </t>
    </r>
    <r>
      <rPr>
        <sz val="11"/>
        <color rgb="FF000000"/>
        <rFont val="Calibri"/>
        <scheme val="minor"/>
      </rPr>
      <t xml:space="preserve">IF(TRIM( EUR_ADIANTAM.ADI_DTVALMOV ) = '', NULL, SUBSTRING( EUR_ADIANTAM.ADI_DTVALMOV, 1, 10 ) )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strike/>
        <sz val="11"/>
        <color rgb="FF000000"/>
        <rFont val="Calibri"/>
        <scheme val="minor"/>
      </rPr>
      <t xml:space="preserv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</si>
  <si>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EUR_ADIANTAM
N\A
N\A
N\A
N\A</t>
  </si>
  <si>
    <t>DTVALMOV
N\A
N\A
N\A
N\A</t>
  </si>
  <si>
    <t>Last Advance Principal Amount</t>
  </si>
  <si>
    <t>last_advance_principal_amount</t>
  </si>
  <si>
    <t>Corresponds to the amount of the last advance of the invoice, was made. This field only applies to invoices, it does not apply to lines.</t>
  </si>
  <si>
    <t>Valor de capital do último avanço (financiamento) no âmbito do contrato.</t>
  </si>
  <si>
    <t>EUR_CREDITO
EUR_LINADIAN
EUR_INTERVEN
EUR_INTERVEN
INTERFACE_DCT01
TCT09_OPERCN</t>
  </si>
  <si>
    <t>N\A
LAD_VLADIANT 
N\A
N\A
N\A
N\A</t>
  </si>
  <si>
    <r>
      <rPr>
        <b/>
        <sz val="11"/>
        <color rgb="FF000000"/>
        <rFont val="Calibri"/>
        <scheme val="minor"/>
      </rPr>
      <t xml:space="preserve">SELECT </t>
    </r>
    <r>
      <rPr>
        <sz val="11"/>
        <color rgb="FF000000"/>
        <rFont val="Calibri"/>
        <scheme val="minor"/>
      </rPr>
      <t xml:space="preserve">CAST(CAST( EUR_LINADIAN.LAD_VLADIANT AS DECIMAL(23, 6)) AS STRING)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 xml:space="preserve">SELECT </t>
    </r>
    <r>
      <rPr>
        <sz val="11"/>
        <color rgb="FF000000"/>
        <rFont val="Calibri"/>
        <scheme val="minor"/>
      </rPr>
      <t xml:space="preserve">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</si>
  <si>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EUR_LINADIAN
N\A
N\A
N\A
N\A</t>
  </si>
  <si>
    <t>VLADIANT
N\A
N\A
N\A
N\A</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</si>
  <si>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</si>
  <si>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CRD_VLTOTADI
N\A
PCC_VLADIANT
N\A
N\A
N\A
N\A</t>
  </si>
  <si>
    <r>
      <rPr>
        <b/>
        <sz val="11"/>
        <color rgb="FF000000"/>
        <rFont val="Calibri"/>
      </rPr>
      <t>SELECT</t>
    </r>
    <r>
      <rPr>
        <sz val="11"/>
        <color rgb="FF000000"/>
        <rFont val="Calibri"/>
      </rPr>
      <t xml:space="preserve"> IF( EUR_INTERVEN.INT_TPGESCON = 'CC',
      CAST( EUR_PRVCLICRD_BOP_NEW.PCC_VLADIANT AS DECIMAL(23, 6)),
      IF( EUR_INTERVEN.INT_TPGESCON = 'FF', 
        CAST( EUR_CREDITO.CRD_VLTOTADIAS DECIMAL(23, 6)),
        NULL
      )
 )
</t>
    </r>
    <r>
      <rPr>
        <b/>
        <sz val="11"/>
        <color rgb="FF000000"/>
        <rFont val="Calibri"/>
      </rPr>
      <t xml:space="preserve">WHERE </t>
    </r>
    <r>
      <rPr>
        <sz val="11"/>
        <color rgb="FF000000"/>
        <rFont val="Calibri"/>
      </rPr>
      <t xml:space="preserve">EUR_INTERVEN.INT_NRINTINT = 1 AND EUR_PRVCLICRD_BOP_NEW.PCC_IDSITUAC = 'A' AND CONCAT( EUR_PRVCLICRD_BOP_NEW.PCC_NRANO, '-', LPAD( EUR_PRVCLICRD_BOP_NEW.PCC_CDMES, 2, '0'), '-', LPAD( EUR_PRVCLICRD_BOP_NEW.PCC_NRDIA, 2, '0' ) ) = EUR_PRVCLICRD_BOP_NEW.DATA_DATE_PART
</t>
    </r>
    <r>
      <rPr>
        <b/>
        <sz val="11"/>
        <color rgb="FF000000"/>
        <rFont val="Calibri"/>
      </rPr>
      <t>SELECT</t>
    </r>
    <r>
      <rPr>
        <sz val="11"/>
        <color rgb="FF000000"/>
        <rFont val="Calibri"/>
      </rPr>
      <t xml:space="preserve"> CAST( 0 AS DECIMAL( 23, 6 ) )
</t>
    </r>
    <r>
      <rPr>
        <b/>
        <sz val="11"/>
        <color rgb="FF000000"/>
        <rFont val="Calibri"/>
      </rPr>
      <t>WHERE</t>
    </r>
    <r>
      <rPr>
        <sz val="11"/>
        <color rgb="FF000000"/>
        <rFont val="Calibri"/>
      </rPr>
      <t xml:space="preserve"> EUR_INTERVEN.INT_NRINTINT = 1 AND EUR_PROCESSO.PRO_CDPRODUT NOT IN ('004', '005') AND (EUR_POTENCIAL_CRC.POT_NRINTINT IS NULL OR EUR_POTENCIAL_CRC.POT_LIMITECR != 0 OR EUR_INTERVEN.INT_VLPLAFAD != 0)
</t>
    </r>
    <r>
      <rPr>
        <b/>
        <sz val="11"/>
        <color rgb="FF000000"/>
        <rFont val="Calibri"/>
      </rPr>
      <t>SELECT</t>
    </r>
    <r>
      <rPr>
        <sz val="11"/>
        <color rgb="FF000000"/>
        <rFont val="Calibri"/>
      </rPr>
      <t xml:space="preserve"> CAST( 0 AS DECIMAL( 23, 6 ) )
</t>
    </r>
    <r>
      <rPr>
        <b/>
        <sz val="11"/>
        <color rgb="FF000000"/>
        <rFont val="Calibri"/>
      </rPr>
      <t>WHERE</t>
    </r>
    <r>
      <rPr>
        <sz val="11"/>
        <color rgb="FF000000"/>
        <rFont val="Calibri"/>
      </rPr>
      <t xml:space="preserve"> EUR_INTERVEN.INT_NRINTINT != 1 AND ( EUR_POTENCIAL_CRC.POT_NRINTINT IS NULL OR EUR_POTENCIAL_CRC.POT_VLPLARCR != 0)
</t>
    </r>
    <r>
      <rPr>
        <b/>
        <sz val="11"/>
        <color rgb="FF000000"/>
        <rFont val="Calibri"/>
      </rPr>
      <t>SELECT</t>
    </r>
    <r>
      <rPr>
        <sz val="11"/>
        <color rgb="FF000000"/>
        <rFont val="Calibri"/>
      </rPr>
      <t xml:space="preserve"> CAST( NULL AS DECIMAL( 23, 6 ) )
</t>
    </r>
    <r>
      <rPr>
        <b/>
        <sz val="11"/>
        <color rgb="FF000000"/>
        <rFont val="Calibri"/>
      </rPr>
      <t>SELECT</t>
    </r>
    <r>
      <rPr>
        <sz val="11"/>
        <color rgb="FF000000"/>
        <rFont val="Calibri"/>
      </rPr>
      <t xml:space="preserve"> CAST( NULL AS DECIMAL( 23, 6 ) )
</t>
    </r>
    <r>
      <rPr>
        <b/>
        <sz val="11"/>
        <color rgb="FF000000"/>
        <rFont val="Calibri"/>
      </rPr>
      <t>WHERE</t>
    </r>
    <r>
      <rPr>
        <sz val="11"/>
        <color rgb="FF000000"/>
        <rFont val="Calibri"/>
      </rPr>
      <t xml:space="preserve"> TCT09_OPERCN.ISITUAC = '1' AND (GROUP BY TCT09_OPERCN.CKBALCAO, TCT09_OPERCN,CKNUMCTA)</t>
    </r>
  </si>
  <si>
    <t>EUR_CREDITO || EUR_PRVCLICRD_BOP_NEW
N\A
N\A
N\A
N\A</t>
  </si>
  <si>
    <t>VLTOTADI || VLADIANT
N\A
N\A
N\A
N\A</t>
  </si>
  <si>
    <t>initial_active_rate_type_code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</si>
  <si>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</si>
  <si>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EUR_CREDITO
EUR_HISTINTE
EUR_INTERVEN
EUR_INTERVEN
INTERFACE_DCT01
TCT09_OPERCN</t>
  </si>
  <si>
    <r>
      <rPr>
        <b/>
        <sz val="11"/>
        <color rgb="FF000000"/>
        <rFont val="Calibri"/>
        <scheme val="minor"/>
      </rPr>
      <t xml:space="preserve">SELECT </t>
    </r>
    <r>
      <rPr>
        <sz val="11"/>
        <color rgb="FF000000"/>
        <rFont val="Calibri"/>
        <scheme val="minor"/>
      </rPr>
      <t xml:space="preserve">IF( EUR_HISTINTE.HIN_NRPROCES IS NOT NULL,
      IF(EUR_HISTINTE.HIN_CDINDADI= '9999', 
        'FIX' , 
        'REF'
      ),
      IF(EUR_INTERVEN.INT_CDINDADI = '9999', 
        'FIX', 
        'REF'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 (INIT).INT_NRINTINT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</si>
  <si>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 EUR_HISTINTE
N\A
N\A
N\A
N\A</t>
  </si>
  <si>
    <t>CDINDADI  || CDINDADI 
N\A
N\A
N\A
N\A</t>
  </si>
  <si>
    <t>N\A || N\A
"#NA"
"#NA"
"NULL"
"NULL"</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</si>
  <si>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</si>
  <si>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</si>
  <si>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</si>
  <si>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Código do indexante, se aplicável, inicialmente associada à taxa de juro ativa (devedora) do contrato, por exemplo, Euribor.</t>
  </si>
  <si>
    <t>Initial Reference Index:
EUR_INDEXANT
N\A
N\A
N\A
N\A</t>
  </si>
  <si>
    <t>EUR_CREDITO
EUR_HISTINTE
EUR_INTERVEN
EUR_INDEXANT (HIST) || EUR_INDEXANT (INT) 
EUR_INTERVEN
EUR_INTERVEN
INTERFACE_DCT01
TCT09_OPERCN</t>
  </si>
  <si>
    <t>N\A
N\A
N\A
INX_CDINDBAN || INX_CDINDBAN
N\A
N\A
N\A
N\A</t>
  </si>
  <si>
    <r>
      <rPr>
        <b/>
        <sz val="11"/>
        <color rgb="FF000000"/>
        <rFont val="Calibri"/>
        <scheme val="minor"/>
      </rPr>
      <t xml:space="preserve">SELECT </t>
    </r>
    <r>
      <rPr>
        <sz val="11"/>
        <color rgb="FF000000"/>
        <rFont val="Calibri"/>
        <scheme val="minor"/>
      </rPr>
      <t xml:space="preserve">IF(EUR_HISTINTE.HIN_NRPROCES IS NOT NULL,
      IF(EUR_HISTINTE.HIN_CDINDADI = '9999',
        '#N/A',
        IF(TRIM( EUR_INDEXANT (HIST).INX_CDINDBAN) = '' OR EUR_INDEXANT (HIST).INX_CDINDBAN IS NULL, 
          NULL, 
          EUR_INDEXANT (HIST).INX_CDINDBAN)
      ),
      IF( EUR_INTERVEN.INT_CDINDADI = '9999',
        '#N/A',
        IF(TRIM( EUR_INDEXANT (INT).INX_CDINDBAN) = '' OR EUR_INDEXANT (INT).INX_CDINDBAN IS NULL, 
          NULL,
          EUR_INDEXANT (INT).INX_CDINDBAN
        )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</si>
  <si>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-&gt; EUR_INDEXANT || EUR_HISTINTE  -&gt; EUR_INDEXANT || N\A
N\A
N\A
N\A
N\A</t>
  </si>
  <si>
    <t>CDINDADI -&gt; CDINDBAN || CDINDADI  -&gt; CDINDBAN || N\A
N\A
N\A
N\A
N\A</t>
  </si>
  <si>
    <t>N\A -&gt; N\A || N\A -&gt; N\A || "#N/A"
"#N/A"
"#N/A"
"NULL"
"NULL"</t>
  </si>
  <si>
    <t>Initial Active Index Rate</t>
  </si>
  <si>
    <t>initial_active_index_rate</t>
  </si>
  <si>
    <t>Represents the initial agreed, not necessarily applied,  interest rate, agreed,  interest rate, based on the reference index, applied over the contract's principal. This value can changed based on the reference rate reset period. This field only applies to invoices, it does not apply to lines.</t>
  </si>
  <si>
    <t>Quando aplicável, representa a taxa de juro ativa (devedora) do indexante incialmente acordado no contrato.</t>
  </si>
  <si>
    <t>EUR_CREDITO
EUR_HISTINTE
EUR_INTERVEN
EUR_LININDEX (HIST) || EUR_LININDEX (INT)
EUR_INTERVEN
EUR_INTERVEN
INTERFACE_DCT01
TCT09_OPERCN</t>
  </si>
  <si>
    <t>N\A
N\A
N\A
LIX_PRTAXVIG || LIX_PRTAXVIG 
N\A
N\A
N\A
N\A</t>
  </si>
  <si>
    <r>
      <rPr>
        <b/>
        <sz val="11"/>
        <color rgb="FF000000"/>
        <rFont val="Calibri"/>
        <scheme val="minor"/>
      </rPr>
      <t>SELECT</t>
    </r>
    <r>
      <rPr>
        <sz val="11"/>
        <color rgb="FF000000"/>
        <rFont val="Calibri"/>
        <scheme val="minor"/>
      </rPr>
      <t xml:space="preserve"> IF( EUR_HISTINTE.HIN_NRPROCES IS NOT NULL,
      IF( EUR_HISTINTE.HIN_CDINDADI = '9999',
        CAST(0 AS DECIMAL(23, 6)),
        CAST( EUR_LININDEX (HIST).LIX_PRTAXVIG AS DECIMAL(23, 6))
      ),
      IF( EUR_INTERVEN.INT_CDINDADI = '9999',
        CAST(0 AS DECIMAL(23,6)),
        CAST( EUR_LININDEX (INT).LIX_PRTAXVIG AS DECIMAL(23, 6))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 (HIST).LIX_DTINICIO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</si>
  <si>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EUR_LININDEX || N\A
N\A
N\A
N\A
N\A</t>
  </si>
  <si>
    <t>PRTAXVIG || N\A
N\A
N\A
N\A
N\A</t>
  </si>
  <si>
    <t>N\A || 0.00
"0.00"
"0.00"
"NULL"
"NULL"</t>
  </si>
  <si>
    <t>Initial Active Spread</t>
  </si>
  <si>
    <t>initial_active_spread</t>
  </si>
  <si>
    <t>Represents the initial defined interest rate of additional interests or margins applied to the contract's principal. This field only applies to invoices, it does not apply to lines.</t>
  </si>
  <si>
    <t>Taxa de spread ativa (devedora) inicialmente acordada no contrato.</t>
  </si>
  <si>
    <t>EUR_CREDITO
EUR_HISTINTE
EUR_INTERVEN
EUR_INTERVEN
EUR_INTERVEN
INTERFACE_DCT01
TCT09_OPERCN</t>
  </si>
  <si>
    <t>N\A
HIN_PRSPREAD
INT_PRSPREAD
N\A
N\A
N\A
N\A</t>
  </si>
  <si>
    <r>
      <rPr>
        <b/>
        <sz val="11"/>
        <color rgb="FF000000"/>
        <rFont val="Calibri"/>
        <scheme val="minor"/>
      </rPr>
      <t xml:space="preserve">SELECT </t>
    </r>
    <r>
      <rPr>
        <sz val="11"/>
        <color rgb="FF000000"/>
        <rFont val="Calibri"/>
        <scheme val="minor"/>
      </rPr>
      <t xml:space="preserve">IF( EUR_HISTINTE.HIN_NRPROCES IS NOT NULL,  EUR_HISTINTE.HIN_PRSPREAD, EUR_INTERVEN.INT_PRSPREAD)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</si>
  <si>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 PRSPREAD
N\A
N\A
N\A
N\A</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</si>
  <si>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</si>
  <si>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N\A
HIN_PRSPREAD
INT_PRSPREAD
LIX_PRTAXVIG || LIX_PRTAXVIG 
N\A
N\A
N\A
N\A</t>
  </si>
  <si>
    <r>
      <rPr>
        <b/>
        <sz val="11"/>
        <color rgb="FF000000"/>
        <rFont val="Calibri"/>
        <scheme val="minor"/>
      </rPr>
      <t xml:space="preserve">SELECT </t>
    </r>
    <r>
      <rPr>
        <sz val="11"/>
        <color rgb="FF000000"/>
        <rFont val="Calibri"/>
        <scheme val="minor"/>
      </rPr>
      <t xml:space="preserve">IF( EUR_HISTINTE.HIN_NRPROCES IS NULL,CAST( EUR_INTERVEN.INT_PRSPREAD + EUR_LININDEX (INT).LIX_PRTAXVIG AS DECIMAL(23,6)),CAST( EUR_HISTINTE.HIN_PRSPREAD+ EUR_LININDEX (HIST).LIX_PRTAXVIG AS DECIMAL(23,6)))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</si>
  <si>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 PRTAXVIG || PRSPREAD + PRTAXVIG
N\A
N\A
N\A
N\A</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</si>
  <si>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</si>
  <si>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r>
      <rPr>
        <b/>
        <sz val="11"/>
        <color rgb="FF000000"/>
        <rFont val="Calibri"/>
        <scheme val="minor"/>
      </rPr>
      <t xml:space="preserve">SELECT </t>
    </r>
    <r>
      <rPr>
        <sz val="11"/>
        <color rgb="FF000000"/>
        <rFont val="Calibri"/>
        <scheme val="minor"/>
      </rPr>
      <t xml:space="preserve">IF( EUR_INTERVEN.INT_CDINDADI = '9999', 'FIX', 'REF')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</si>
  <si>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N\A
N\A
N\A
N\A</t>
  </si>
  <si>
    <t>CDINDADI 
N\A
N\A
N\A
N\A</t>
  </si>
  <si>
    <t>EUR_CREDITO
EUR_INTERVEN
EUR_INDEXANT
EUR_INTERVEN
EUR_INTERVEN
INTERFACE_DCT01
TCT09_OPERCN</t>
  </si>
  <si>
    <t>N\A
N\A
INX_CDINDBAN
N\A
N\A
N\A
N\A</t>
  </si>
  <si>
    <r>
      <rPr>
        <b/>
        <sz val="11"/>
        <color rgb="FF000000"/>
        <rFont val="Calibri"/>
        <scheme val="minor"/>
      </rPr>
      <t xml:space="preserve">SELECT </t>
    </r>
    <r>
      <rPr>
        <sz val="11"/>
        <color rgb="FF000000"/>
        <rFont val="Calibri"/>
        <scheme val="minor"/>
      </rPr>
      <t xml:space="preserve">IF( EUR_INTERVEN.INT_CDINDADI= '9999',
      '#N/A',
      IF(TRIM( EUR_INDEXANT.INX_CDINDBAN) = '' OR EUR_INDEXANT.INX_CDINDBANIS NULL, 
        NULL ,
        EUR_INDEXANT.INX_CDINDBAN
      )
    )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</si>
  <si>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-&gt; EUR_INDEXANT || N\A
N\A
N\A
N\A
N\A</t>
  </si>
  <si>
    <t>CDINDADI -&gt; CDINDBAN || N\A
N\A
N\A
N\A
N\A</t>
  </si>
  <si>
    <t>N\A -&gt; N\A || "#N/A"
"0.00"
"0.00"
"NULL"
"NULL"</t>
  </si>
  <si>
    <t>Represents the current agreed, not necessarily applied,  interest rate, agreed,  interest rate, based on the reference index, applied over the contract's principal. This value can changed based on the reference rate reset period. This field only applies to invoices, it does not apply to lines.</t>
  </si>
  <si>
    <t>EUR_CREDITO
EUR_INTERVEN
EUR_LININDEX
EUR_INTERVEN
EUR_INTERVEN
INTERFACE_DCT01
TCT09_OPERCN</t>
  </si>
  <si>
    <t>N\A
N\A
LIX_PRTAXVIG
N\A
N\A
N\A
N\A</t>
  </si>
  <si>
    <r>
      <rPr>
        <b/>
        <sz val="11"/>
        <color rgb="FF000000"/>
        <rFont val="Calibri"/>
        <scheme val="minor"/>
      </rPr>
      <t xml:space="preserve">SELECT </t>
    </r>
    <r>
      <rPr>
        <sz val="11"/>
        <color rgb="FF000000"/>
        <rFont val="Calibri"/>
        <scheme val="minor"/>
      </rPr>
      <t xml:space="preserve">IF( EUR_INTERVEN.INT_CDINDADI= '9999', 
      CAST(0 AS DECIMAL(23, 6)),
      CAST( EUR_LININDEX.LIX_PRTAXVIG AS DECIMAL(23, 6))
    )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</si>
  <si>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N\A || "0.00"
 "0.00"
"0.00"
"NULL"
"NULL"</t>
  </si>
  <si>
    <t>N\A
INT_PRSPREAD
N\A
N\A
N\A
N\A</t>
  </si>
  <si>
    <r>
      <rPr>
        <b/>
        <sz val="11"/>
        <color rgb="FF000000"/>
        <rFont val="Calibri"/>
        <scheme val="minor"/>
      </rPr>
      <t xml:space="preserve">SELECT </t>
    </r>
    <r>
      <rPr>
        <sz val="11"/>
        <color rgb="FF000000"/>
        <rFont val="Calibri"/>
        <scheme val="minor"/>
      </rPr>
      <t xml:space="preserve">CAST( EUR_INTERVEN.INT_PRSPREAD AS DECIMAL(23, 6))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</si>
  <si>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N\A
N\A
N\A
N\A</t>
  </si>
  <si>
    <t>N\A 
"0.00"
"0.00"
"NULL"
"NULL"</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</si>
  <si>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</si>
  <si>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CURATED_INTERNAL_EUROFAC
CURATED_INTERNAL_EUROFAC
CURATED_INTERNAL_EUROFAC
CURATED_INTERNAL_EUROFAC
CURATED_INTERNAL_EUROFAC
CURATED_INTERMAL_MAINFRAME_CONTAS
CURATED_INTERNAL_MAINFRAME_CONTENCIOSO</t>
  </si>
  <si>
    <t>N\A
INT_PRSPREAD
LIX_PRTAXVIG
N\A
N\A
N\A
N\A</t>
  </si>
  <si>
    <r>
      <rPr>
        <b/>
        <sz val="11"/>
        <color rgb="FF000000"/>
        <rFont val="Calibri"/>
        <scheme val="minor"/>
      </rPr>
      <t xml:space="preserve">SELECT </t>
    </r>
    <r>
      <rPr>
        <sz val="11"/>
        <color rgb="FF000000"/>
        <rFont val="Calibri"/>
        <scheme val="minor"/>
      </rPr>
      <t xml:space="preserve">CAST( EUR_INTERVEN.INT_PRSPREAD + EUR_LININDEX.LIX_PRTAXVIG AS DECIMAL(23, 6))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SELECT CAST( NULL AS DECIMAL( 23, 6 ) )
WHERE TCT09_OPERCN.ISITUAC = '1' AND (GROUP BY TCT09_OPERCN.CKBALCAO, TCT09_OPERCN,CKNUMCTA)</t>
    </r>
  </si>
  <si>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</si>
  <si>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</si>
  <si>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</si>
  <si>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</si>
  <si>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</si>
  <si>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CRD_TPRECURS
N\A
N\A
N\A
N\A</t>
  </si>
  <si>
    <r>
      <rPr>
        <b/>
        <sz val="11"/>
        <color rgb="FF000000"/>
        <rFont val="Calibri"/>
        <scheme val="minor"/>
      </rPr>
      <t xml:space="preserve">SELECT </t>
    </r>
    <r>
      <rPr>
        <sz val="11"/>
        <color rgb="FF000000"/>
        <rFont val="Calibri"/>
        <scheme val="minor"/>
      </rPr>
      <t xml:space="preserve">IF( EUR_CREDITO.CRD_TPRECURS= 'C',
      '1',
      IF( EUR_CREDITO.CRD_TPRECURS= 'S',
        '0', 
        NULL
      )
    )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TCT09_OPERCN.ISITUAC = '1' AND (GROUP BY TCT09_OPERCN.CKBALCAO, TCT09_OPERCN,CKNUMCTA)</t>
    </r>
  </si>
  <si>
    <t>TPRECURS
N\A
N\A
N\A
N\A</t>
  </si>
  <si>
    <t>N\A
"1"
"0"
"#N/A"
"#N/A"</t>
  </si>
  <si>
    <t>Contract Status:
N\A (A - ATIVO; L - LIQUIDADO; P - PENDENTE)
N\A (A - ATIVO; L - LIQUIDADO; P - PENDENTE)
N\A (A - ATIVO; L - LIQUIDADO; P - PENDENTE)
TAT91 - CTABELA 205
TAT91 - CTABELA W98</t>
  </si>
  <si>
    <r>
      <rPr>
        <b/>
        <sz val="11"/>
        <color rgb="FF000000"/>
        <rFont val="Calibri"/>
        <scheme val="minor"/>
      </rPr>
      <t xml:space="preserve">SELECT </t>
    </r>
    <r>
      <rPr>
        <sz val="11"/>
        <color rgb="FF000000"/>
        <rFont val="Calibri"/>
        <scheme val="minor"/>
      </rPr>
      <t>CONF_GENERAL_CODE_CONVERTER</t>
    </r>
    <r>
      <rPr>
        <b/>
        <sz val="11"/>
        <color rgb="FF000000"/>
        <rFont val="Calibri"/>
        <scheme val="minor"/>
      </rPr>
      <t>.</t>
    </r>
    <r>
      <rPr>
        <sz val="11"/>
        <color rgb="FF000000"/>
        <rFont val="Calibri"/>
        <scheme val="minor"/>
      </rPr>
      <t xml:space="preserve">CDM_VALUE
</t>
    </r>
    <r>
      <rPr>
        <b/>
        <sz val="11"/>
        <color rgb="FF000000"/>
        <rFont val="Calibri"/>
        <scheme val="minor"/>
      </rPr>
      <t xml:space="preserve">WHERE </t>
    </r>
    <r>
      <rPr>
        <sz val="11"/>
        <color rgb="FF000000"/>
        <rFont val="Calibri"/>
        <scheme val="minor"/>
      </rPr>
      <t xml:space="preserve">IF(TRIM(EUR_CREDITO.CRD_IDSITCRE) = '', NULL, EUR_CREDITO.CRD_IDSITCRE) = CONF_GENERAL_CODE_CONVERTER.SOURCE_VALUE AND CONF_GENERAL_CODE_CONVERTER.SOURCE_CODE = 'FA'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EUR_PROCESSO.PRO_CDFASPRO = CONF_GENERAL_CODE_CONVERTER.SOURCE_VALUE AND CONF_GENERAL_CODE_CONVERTER.SOURCE_CODE = 'FA'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EUR_PROCESSO.PRO_CDFASPRO = CONF_GENERAL_CODE_CONVERTER.SOURCE_VALUE AND CONF_GENERAL_CODE_CONVERTER.SOURCE_CODE = 'FA'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INTERFACE_DCT01.DCYR8101_CSITCTA = CONF_GENERAL_CODE_CONVERTER.SOURCE_VALUE AND CONF_GENERAL_CODE_CONVERTER.SOURCE_CODE = 'DC'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TCT09_OPERCN.ISITUAC = '1' AND (GROUP BY TCT09_OPERCN.CKBALCAO, TCT09_OPERCN,CKNUMCTA)
   AND TCT09_OPERCN.ISITUAC = CONF_GENERAL_CODE_CONVERTER.SOURCE_VALUE AND CONF_GENERAL_CODE_CONVERTER.SOURCE_CODE = 'TC' AND CONF_GENERAL_CODE_CONVERTER.CODE_CATEGORY = 'contract_status_code' AND GENERAL_CODE_CONVERTER.PRIORITY_LEVEL = 1
</t>
    </r>
  </si>
  <si>
    <t>IDSITCRE
CDFASPRO
CDFASPRO
CSITCTA
ISITUAC</t>
  </si>
  <si>
    <t>Contract Opening Channel:
N\A
N\A
N\A
N\A
N\A</t>
  </si>
  <si>
    <t>CURATED_INTERNAL_EUROFAC
OPERATIONS_COMMON_REFERENCEDATA_CORE
CURATED_INTERNAL_EUROFAC
OPERATIONS_COMMON_REFERENCEDATA_CORE
CURATED_INTERNAL_EUROFAC
OPERATIONS_COMMON_REFERENCEDATA_CORE
CURATED_INTERMAL_MAINFRAME_CONTAS
OPERATIONS_COMMON_REFERENCEDATA_CORE
CURATED_INTERMAL_MAINFRAME_CONTENCIOSO
OPERATIONS_COMMON_REFERENCEDATA_CORE</t>
  </si>
  <si>
    <r>
      <rPr>
        <b/>
        <sz val="11"/>
        <color rgb="FF000000"/>
        <rFont val="Calibri"/>
        <scheme val="minor"/>
      </rPr>
      <t xml:space="preserve">SELECT </t>
    </r>
    <r>
      <rPr>
        <sz val="11"/>
        <color rgb="FF000000"/>
        <rFont val="Calibri"/>
        <scheme val="minor"/>
      </rPr>
      <t>CONF_GENERAL_CODE_CONVERTER</t>
    </r>
    <r>
      <rPr>
        <b/>
        <sz val="11"/>
        <color rgb="FF000000"/>
        <rFont val="Calibri"/>
        <scheme val="minor"/>
      </rPr>
      <t>.</t>
    </r>
    <r>
      <rPr>
        <sz val="11"/>
        <color rgb="FF000000"/>
        <rFont val="Calibri"/>
        <scheme val="minor"/>
      </rPr>
      <t xml:space="preserve">CDM_VALUE
</t>
    </r>
    <r>
      <rPr>
        <b/>
        <sz val="11"/>
        <color rgb="FF000000"/>
        <rFont val="Calibri"/>
        <scheme val="minor"/>
      </rPr>
      <t xml:space="preserve">WHERE </t>
    </r>
    <r>
      <rPr>
        <sz val="11"/>
        <color rgb="FF000000"/>
        <rFont val="Calibri"/>
        <scheme val="minor"/>
      </rPr>
      <t xml:space="preserve">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CONF_GENERAL_CODE_CONVERTER.SOURCE_VALUE = '' AND CONF_GENERAL_CODE_CONVERTER.SOURCE_CODE = 'DC'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CONF_GENERAL_CODE_CONVERTER.SOURCE_VALUE = '' AND CONF_GENERAL_CODE_CONVERTER.SOURCE_CODE = 'TC' AND CONF_GENERAL_CODE_CONVERTER.CODE_CATEGORY = 'contract_opening_channel_code' AND GENERAL_CODE_CONVERTER.PRIORITY_LEVEL = 1
   AND TCT09_OPERCN.ISITUAC = '1' AND (GROUP BY TCT09_OPERCN.CKBALCAO, TCT09_OPERCN,CKNUMCTA)
</t>
    </r>
  </si>
  <si>
    <t>"Branch"
"Branch"
"Branch"
"Branch"
"Branch"</t>
  </si>
  <si>
    <t>Source:
N\A
N\A
N\A
N\A
N\A</t>
  </si>
  <si>
    <r>
      <rPr>
        <b/>
        <sz val="11"/>
        <color rgb="FF000000"/>
        <rFont val="Calibri"/>
        <scheme val="minor"/>
      </rPr>
      <t xml:space="preserve">SELECT </t>
    </r>
    <r>
      <rPr>
        <sz val="11"/>
        <color rgb="FF000000"/>
        <rFont val="Calibri"/>
        <scheme val="minor"/>
      </rPr>
      <t xml:space="preserve">'FA'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 xml:space="preserve">SELECT </t>
    </r>
    <r>
      <rPr>
        <sz val="11"/>
        <color rgb="FF000000"/>
        <rFont val="Calibri"/>
        <scheme val="minor"/>
      </rPr>
      <t xml:space="preserve">'DC'
</t>
    </r>
    <r>
      <rPr>
        <b/>
        <sz val="11"/>
        <color rgb="FF000000"/>
        <rFont val="Calibri"/>
        <scheme val="minor"/>
      </rPr>
      <t>SELECT '</t>
    </r>
    <r>
      <rPr>
        <sz val="11"/>
        <color rgb="FF000000"/>
        <rFont val="Calibri"/>
        <scheme val="minor"/>
      </rPr>
      <t xml:space="preserve">TC'
</t>
    </r>
    <r>
      <rPr>
        <b/>
        <sz val="11"/>
        <color rgb="FF000000"/>
        <rFont val="Calibri"/>
        <scheme val="minor"/>
      </rPr>
      <t>WHERE</t>
    </r>
    <r>
      <rPr>
        <sz val="11"/>
        <color rgb="FF000000"/>
        <rFont val="Calibri"/>
        <scheme val="minor"/>
      </rPr>
      <t xml:space="preserve"> TCT09_OPERCN.ISITUAC = '1' AND (GROUP BY TCT09_OPERCN.CKBALCAO, TCT09_OPERCN,CKNUMCTA)</t>
    </r>
  </si>
  <si>
    <t>"FA"
"FA"
"FA"
"DC"
"TC"</t>
  </si>
  <si>
    <t>DATA_DATE_PART
DATA_DATE_PART
DATA_DATE_PART
DATA_DATE_PART
DATA_DATE_PART</t>
  </si>
  <si>
    <r>
      <rPr>
        <b/>
        <sz val="11"/>
        <color rgb="FF000000"/>
        <rFont val="Calibri"/>
        <scheme val="minor"/>
      </rPr>
      <t xml:space="preserve">SELECT </t>
    </r>
    <r>
      <rPr>
        <sz val="11"/>
        <color rgb="FF000000"/>
        <rFont val="Calibri"/>
        <scheme val="minor"/>
      </rPr>
      <t xml:space="preserve">EUR_CREDITO.DATA_DATE_PART
</t>
    </r>
    <r>
      <rPr>
        <b/>
        <sz val="11"/>
        <color rgb="FF000000"/>
        <rFont val="Calibri"/>
        <scheme val="minor"/>
      </rPr>
      <t>SELECT</t>
    </r>
    <r>
      <rPr>
        <sz val="11"/>
        <color rgb="FF000000"/>
        <rFont val="Calibri"/>
        <scheme val="minor"/>
      </rPr>
      <t xml:space="preserve"> EUR_INTERVEN.DATA_DATE_PART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SELECT</t>
    </r>
    <r>
      <rPr>
        <sz val="11"/>
        <color rgb="FF000000"/>
        <rFont val="Calibri"/>
        <scheme val="minor"/>
      </rPr>
      <t xml:space="preserve"> TCT09_OPERCN.ISITUAC
</t>
    </r>
    <r>
      <rPr>
        <b/>
        <sz val="11"/>
        <color rgb="FF000000"/>
        <rFont val="Calibri"/>
        <scheme val="minor"/>
      </rPr>
      <t>WHERE</t>
    </r>
    <r>
      <rPr>
        <sz val="11"/>
        <color rgb="FF000000"/>
        <rFont val="Calibri"/>
        <scheme val="minor"/>
      </rPr>
      <t xml:space="preserve"> TCT09_OPERCN.ISITUAC = '1' AND (GROUP BY TCT09_OPERCN.CKBALCAO, TCT09_OPERCN,CKNUMCTA)</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</si>
  <si>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t>
    </r>
  </si>
  <si>
    <t>Factoring Process</t>
  </si>
  <si>
    <t>CURATED_INTERNAL_EUROFAC
OPERATIONS_COMMON_REFERENCEDATA_CORE</t>
  </si>
  <si>
    <t>EUR_PROCESSO
CONF_GENERAL_CODE_CONVERTER</t>
  </si>
  <si>
    <t>N\A
CDM_VALUE</t>
  </si>
  <si>
    <t>SELECT CONF_GENERAL_CODE_CONVERTER.CDM_VALUE
WHERE EUR_PROCESSO.PRO_CDFASPRO = '05' AND CONF_GENERAL_CODE_CONVERTER.CODE CATEGORY = 'bank_id' AND CONF_GENERAL_CODE_CONVERTER.SOURCE_CODE = 'FA' AND CONF_GENERAL_CODE_CONVERTER.SOURCE_VALUE = '' AND CONF_GENERAL_CODE_CONVERTER.PRIORITY_LEVEL = '1'</t>
  </si>
  <si>
    <t>FA - Factoring Eurofac</t>
  </si>
  <si>
    <t>"89"</t>
  </si>
  <si>
    <t>Identifier of the factoring process.</t>
  </si>
  <si>
    <t>CURATED_INTERNAL_EUROFAC</t>
  </si>
  <si>
    <t>EUR_PROCESSO</t>
  </si>
  <si>
    <t>PRO_NRPROCES</t>
  </si>
  <si>
    <t>SELECT CONCAT( '0000', SUBSTRING( EUR_PROCESSO.PRO_NRPROCES, 3, 11 )
WHERE EUR_PROCESSO.PRO_CDFASPRO = '05'</t>
  </si>
  <si>
    <t>CONCAT( "0000", NRPROCES( 3, 11 ) )</t>
  </si>
  <si>
    <t>Main current account's bank identifier linked to the factoring process.</t>
  </si>
  <si>
    <t>SELECT IF( IF( TRIM( EUR_INTERVEN.INT_NRCTADEB ) = '',
    NULL,
    IF( SUBSTRING( EUR_INTERVEN.INT_NRCTADEB, 5, 4 ) = '0018', 
        '',
        '#N/A' ) ) IS NULL, NULL, GENERAL_CONVERTER.CDM_VALUE )
WHERE EUR_PROCESSO.PRO_CDFASPRO = '05' AND EUR_INTERVEN.INT_NRINTINT = 1 AND CONF_GENERAL_CODE_CONVERTER.CODE CATEGORY = 'bank_id'  AND  CONF_GENERAL_CODE_CONVERTER.SOURCE_CODE = 'DC' AND ( CONF_GENERAL_CODE_CONVERTER.SOURCE_VALUE = '' OR CONF_GENERAL_CODE_CONVERTER.SOURCE_VALUE = '#N/A' ) AND CONF_GENERAL_CODE_CONVERTER.PRIORITY_LEVEL = '1'</t>
  </si>
  <si>
    <t>"31" || "#N/A"</t>
  </si>
  <si>
    <t>Contract identifier of the main current account associated with the factoring process. It corresponds to the account associated to the process's client that provides the invoices.</t>
  </si>
  <si>
    <t>CURATED_INTERNAL_EUROFAC
CURATED_INTERNAL_EUROFAC</t>
  </si>
  <si>
    <t>EUR_INTERVEN
EUR_PROCESSO</t>
  </si>
  <si>
    <t>INT_NRCTADEB
N\A</t>
  </si>
  <si>
    <t>SELECT IF( TRIM( EUR_INTERVEN.INT_NRCTADEB ) = '',
    NULL,
    IF( SUBSTRING( EUR_INTERVEN.INT_NRCTADEB, 5, 4 ) = '0018', 
        CONCAT( SUBSTRING( EUR_INTERVEN.INT_NRCTADEB, 9 , 15 ), '000000000000000' ),
        '#N/A' ) )
WHERE EUR_PROCESSO.PRO_CDFASPRO = '05' AND EUR_INTERVEN.INT_NRINTINT = 1</t>
  </si>
  <si>
    <t>EUR_INTERVEN || N\A</t>
  </si>
  <si>
    <t>CONCAT( NRCTADEB(5, 15), "000000000000000" ) || N\A</t>
  </si>
  <si>
    <t>N\A || "#N/A"</t>
  </si>
  <si>
    <t>SELECT IF( TRIM( EUR_INTERVEN.INT_NRCTADEB) = '', NULL, EUR_INTERVEN.INT_NRCTADEB )
WHERE EUR_PROCESSO.PRO_CDFASPRO = '05' AND EUR_INTERVEN.INT_NRINTINT = 1</t>
  </si>
  <si>
    <t>EUR_INTERVEN</t>
  </si>
  <si>
    <t>NRCTADEB</t>
  </si>
  <si>
    <t>Main loan account's bank identifier linked to the factoring process.</t>
  </si>
  <si>
    <t>Código identificador do banco interno do Santander (CEMPRESA) da conta corrente âncora do contrato.</t>
  </si>
  <si>
    <t>SELECT IF( IF( TRIM( EUR_INTERVEN.INT_NRCTACRE ) = '', 
    NULL,
    IF( SUBSTRING( EUR_INTERVEN.INT_NRCTACRE, 5, 4 ) = '0018',
        '',
        '#N/A' ) ) IS NULL, NULL, GENERAL_CONVERTER.CDM_VALUE )
WHERE EUR_PROCESSO.PRO_CDFASPRO = '05' AND EUR_INTERVEN.INT_NRINTINT = 1  AND CONF_GENERAL_CODE_CONVERTER.CODE CATEGORY = 'bank_id'  AND GENERAL_CONVERTER.SOURCE_CODE = 'DC' AND ( CONF_GENERAL_CODE_CONVERTER.SOURCE_VALUE = '' OR CONF_GENERAL_CODE_CONVERTER.SOURCE_VALUE = '#N/A' ) AND CONF_GENERAL_CODE_CONVERTER.PRIORITY_LEVEL = '1'</t>
  </si>
  <si>
    <t>Contract identifier of the main loan account associated with the factoring process. It corresponds to the account associated to the process's client that provides the invoices.</t>
  </si>
  <si>
    <t>INT_NRCTACRE
N\A</t>
  </si>
  <si>
    <t>SELECT IF( TRIM( EUR_INTERVEN.INT_NRCTACRE ) = '', 
    NULL,    
    IF( SUBSTRING( EUR_INTERVEN.INT_NRCTACRE, 5, 4 ) = '0018', 
        CONCAT(SUBSTRING(EUR_INTERVEN.INT_NRCTACRE, 9 , 15 ), '000000000000000' ), 
         '#N/A' ) )
WHERE EUR_PROCESSO.PRO_CDFASPRO = '05' AND EUR_INTERVEN.INT_NRINTINT = 1</t>
  </si>
  <si>
    <t>CONCAT( NRCTACRE(5, 15), '000000000000000') || N\A</t>
  </si>
  <si>
    <t>SELECT IF( TRIM( EUR_INTERVEN.INT_NRCTACRE ) = '', NULL,  EUR_INTERVEN.INT_NRCTACRE )
WHERE EUR_PROCESSO.PRO_CDFASPRO = '05' AND EUR_INTERVEN.INT_NRINTINT = 1</t>
  </si>
  <si>
    <t>NRCTACRE</t>
  </si>
  <si>
    <t xml:space="preserve">N\A </t>
  </si>
  <si>
    <t>Int Inf - Con Inf - Date</t>
  </si>
  <si>
    <t>Date in which the client opened and formalised the factoring process.</t>
  </si>
  <si>
    <t xml:space="preserve">PRO_DTCONTRA </t>
  </si>
  <si>
    <t>SELECT IF( TRIM( EUR_PROCESSO.PRO_DTCONTRA ) = '', NULL, CAST( SUBSTRING(  EUR_PROCESSO.PRO_DTCONTRA , 1, 10 ) AS STRING ) )
WHERE EUR_PROCESSO.PRO_CDFASPRO = '05'</t>
  </si>
  <si>
    <t>DTCONTRA</t>
  </si>
  <si>
    <t>Current maturity date (contract end date) of the process.</t>
  </si>
  <si>
    <t xml:space="preserve">PRO_DTVENCIM </t>
  </si>
  <si>
    <t>SELECT IF( TRIM( EUR_PROCESSO.PRO_DTVENCIM ) = '',  NULL, CAST( SUBSTRING( EUR_PROCESSO.PRO_DTVENCIM, 1, 10 ) AS STRING ) )
WHERE EUR_PROCESSO.PRO_CDFASPRO = '05'</t>
  </si>
  <si>
    <t>DTVENCIM</t>
  </si>
  <si>
    <t>Identifier of the currency of the process, which should correspond to the main current account associated with the factoring' process.</t>
  </si>
  <si>
    <t>Currency:
EUR_MOEDA; CURATED_INTERNAL_EUROFAC.EUR_MOEDA</t>
  </si>
  <si>
    <t>INT_CMOEDA
N\A</t>
  </si>
  <si>
    <t>SELECT IF( TRIM( EUR_INTERVEN.INT_CMOEDA ) = '', NULL, EUR_INTERVEN.INT_CMOEDA )
WHERE EUR_PROCESSO.PRO_CDFASPRO = '05' AND EUR_INTERVEN.INT_NRINTINT = 1</t>
  </si>
  <si>
    <t xml:space="preserve">EUR_INTERVEN </t>
  </si>
  <si>
    <t>CDMOEDA</t>
  </si>
  <si>
    <t>Initial maximum theoretical amount that can be used as credit. Depending on the contract, this value can be totaly or pacially used. To determine which value can be used it is taken into account a retention percentage that ensures the health of the credit.</t>
  </si>
  <si>
    <t>CURATED_INTERNAL_EUROFAC
CURATED_INTERNAL_EUROFAC
CURATED_INTERNAL_EUROFAC</t>
  </si>
  <si>
    <t>EUR_INTERVEN
EUR_HISTINTE
EUR_PROCESSO</t>
  </si>
  <si>
    <t>INT_VLPLAFAD 
HIN_VLPLAFAD 
N\A</t>
  </si>
  <si>
    <t>SELECT IF( EUR_HISTINTE.HIN_NRPROCES IS NULL, CAST( EUR_INTERVEN.INT_PLAFAD AS DECIMAL( 23, 6 ) ), CAST( EUR_HISTINTE.HIN_VLPLAFAD AS DECIMAL( 23, 6 ) ) )
WHERE EUR_PROCESSO.PRO_CDFASPRO = '05' AND EUR_INTERVEN.INT_NRINTINT = 1 AND EUR_HISTINTE.HIN_NRINTINT = 1 AND MIN( EUR_HISTINTE.HIN_DTALTREG )</t>
  </si>
  <si>
    <t>EUR_INTERVEN || EUR_HISTINTE</t>
  </si>
  <si>
    <t>VLPLAFAD || VLPLAFAD</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</si>
  <si>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</si>
  <si>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INT_VLPLAFAD 
N\A</t>
  </si>
  <si>
    <t xml:space="preserve">SELECT CAST( EUR_INTERVEN.INT_VLPLAFAD AS DECIMAL( 23, 6 ) )
WHERE EUR_PROCESSO.PRO_CDFASPRO = '05' AND EUR_INTERVEN.INT_NRINTINT = 1 </t>
  </si>
  <si>
    <t>VLPLAFAD</t>
  </si>
  <si>
    <t>Process Status:
EUR_TABGERAL -  GER_CDTAGER 006; CURATED_INTERNAL_EUROFAC.EUR_TABGERAL - GER_CDTABGER 006</t>
  </si>
  <si>
    <t>SELECT IF( TRIM( EUR_PROCESSO.PRO_CDFASPRO ) = '', NULL, GENERAL_CONVERTER.CDM_VALUE )
WHERE EUR_PROCESSO.PRO_CDFASPRO = '05' AND CONF_GENERAL_CODE_CONVERTER.CODE CATEGORY = 'contract_status_code' AND CONF_GENERAL_CODE_CONVERTER.SOURCE_CODE = 'FA' AND CONF_GENERAL_CODE_CONVERTER.SOURCE_VALUE = EUR_PROCESSO.PRO_CDFASPRO AND CONF_GENERAL_CODE_CONVERTER.PRIORITY_LEVEL = '1'</t>
  </si>
  <si>
    <t>CDFASPRO</t>
  </si>
  <si>
    <t>SELECT CONF_GENERAL_CODE_CONVERTER.CDM_VALUE
WHERE EUR_PROCESSO.PRO_CDFASPRO = '05' AND CONF_GENERAL_CODE_CONVERTER.CODE CATEGORY = 'contract_opening_channel_code' AND CONF_GENERAL_CODE_CONVERTER.SOURCE_CODE = 'FA' AND CONF_GENERAL_CODE_CONVERTER.SOURCE_VALUE = '' AND CONF_GENERAL_CODE_CONVERTER.PRIORITY_LEVEL = '1'</t>
  </si>
  <si>
    <t>SELECT EUR_PROCESSO.DATA_DATE_PART
WHERE EUR_PROCESSO.PRO_CDFASPRO = '05'</t>
  </si>
  <si>
    <t>SELECT NOW()
WHERE EUR_PROCESSO.PRO_CDFASPRO = '05'</t>
  </si>
  <si>
    <t>Factoring Universe</t>
  </si>
  <si>
    <t>factoring_universe</t>
  </si>
  <si>
    <t>CURATED_INTERNAL_EUROFAC
CURATED_INTERNAL_EUROFAC
CURATED_INTERNAL_EUROFAC
CURATED_INTERNAL_MAINFRAME_CONTENCIOSO
CURATED_INTERNAL_MAINFRAME_CONTAS
OPERATIONS_COMMON_REFERENCEDATA_CORE</t>
  </si>
  <si>
    <t>EUR_CREDITO
EUR_INTERVEN
EUR_PROCESSO
TCT09_OPERCN
INTERFACE_DCT01
PARAM_LITIGATION_PRODUCT</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</si>
  <si>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</si>
  <si>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t>FA - Factoring
DC - Contas a Vista
TC - Terminal Contencioso</t>
  </si>
  <si>
    <t>CRD_NRPROCES, CRD_NRINTCRE
INT_CDCLIENT, INT_NRINTINT
PRO_NRPROCES, PRO_CDPRODUT
CKBALCAO, CKNUMCTA
DCYR8101_CKBALCAO, DCYR8101_CKNUMCTA
N\A</t>
  </si>
  <si>
    <r>
      <rPr>
        <b/>
        <sz val="11"/>
        <color rgb="FF000000"/>
        <rFont val="Calibri"/>
        <scheme val="minor"/>
      </rPr>
      <t>SELECT</t>
    </r>
    <r>
      <rPr>
        <sz val="11"/>
        <color rgb="FF000000"/>
        <rFont val="Calibri"/>
        <scheme val="minor"/>
      </rPr>
      <t xml:space="preserve"> CONCAT( '0000', SUBSTRING( EUR_CREDITO.CRD_NRPROCES, 3, 11 ), '00' , EUR_CREDITO.CRD_NRINTCRE )
</t>
    </r>
    <r>
      <rPr>
        <b/>
        <sz val="11"/>
        <color rgb="FF000000"/>
        <rFont val="Calibri"/>
        <scheme val="minor"/>
      </rPr>
      <t>SELECT</t>
    </r>
    <r>
      <rPr>
        <sz val="11"/>
        <color rgb="FF000000"/>
        <rFont val="Calibri"/>
        <scheme val="minor"/>
      </rPr>
      <t xml:space="preserve"> CONCAT('0000', SUBSTRING( EUR_PROCESSO.PRO_NRPROCES, 3, 11), SUBSTRING( CONF_GENERAL_CODE_CONVERTER.CDM_VALUE , 2, 2 ),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CONF_GENERAL_CODE_CONVERTER.CODE_CATEGORY = 'product_id' AND CONF_GENERAL_CODE_CONVERTER.SOURCE_CODE = 'FA' AND CONF_GENERAL_CODE_CONVERTER.SOURCE_VALUE = '' AND CONF_GENERAL_CODE_CONVERTER.PRIORITY_LEVEL = 1
</t>
    </r>
    <r>
      <rPr>
        <b/>
        <sz val="11"/>
        <color rgb="FF000000"/>
        <rFont val="Calibri"/>
        <scheme val="minor"/>
      </rPr>
      <t>SELECT</t>
    </r>
    <r>
      <rPr>
        <sz val="11"/>
        <color rgb="FF000000"/>
        <rFont val="Calibri"/>
        <scheme val="minor"/>
      </rPr>
      <t xml:space="preserve"> CONCAT('0000', SUBSTRING( EUR_PROCESSO.PRO_NRPROCES, 3, 11), SUBSTRING( CONF_GENERAL_CODE_CONVERTER.CDM_VALUE, 2, 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CONF_GENERAL_CODE_CONVERTER.CODE_CATEGORY = 'product_id' AND CONF_GENERAL_CODE_CONVERTER.SOURCE_CODE = 'FA' AND CONF_GENERAL_CODE_CONVERTER.SOURCE_VALUE = '' AND CONF_GENERAL_CODE_CONVERTER.PRIORITY_LEVEL = 2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CONCAT( INTERFACE_DCT01.DCYR8101_CKBALCAO, INTERFACE_DCT01.DCYR8101_CKNUMCTA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
</t>
    </r>
  </si>
  <si>
    <r>
      <rPr>
        <b/>
        <sz val="11"/>
        <color rgb="FF000000"/>
        <rFont val="Calibri"/>
        <scheme val="minor"/>
      </rPr>
      <t>SELECT</t>
    </r>
    <r>
      <rPr>
        <sz val="11"/>
        <color rgb="FF000000"/>
        <rFont val="Calibri"/>
        <scheme val="minor"/>
      </rPr>
      <t xml:space="preserve"> IF( EUR_CREDITO.CRD_IDSITCRE = 'A' , 1, 0 )
</t>
    </r>
    <r>
      <rPr>
        <b/>
        <sz val="11"/>
        <color rgb="FF000000"/>
        <rFont val="Calibri"/>
        <scheme val="minor"/>
      </rPr>
      <t>SELECT</t>
    </r>
    <r>
      <rPr>
        <sz val="11"/>
        <color rgb="FF000000"/>
        <rFont val="Calibri"/>
        <scheme val="minor"/>
      </rPr>
      <t xml:space="preserve"> IF( EUR_PROCESS.PRO_CDFASPRO = 5 , 1, 0)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 xml:space="preserve">SELECT </t>
    </r>
    <r>
      <rPr>
        <sz val="11"/>
        <color rgb="FF000000"/>
        <rFont val="Calibri"/>
        <scheme val="minor"/>
      </rPr>
      <t xml:space="preserve">IF( EUR_PROCESS.PRO_CDFASPRO = 5 AND EUR_INTERVEN.INT_IDSITUAC = 'A' , 1, 0 )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CASE
      WHEN TCT09_OPERCN.ISITUAC = '1' AND TCT09_OPERCN.DATA_DATE_PART &gt;= TCT09_OPERCN.DENTRADA THEN 1
      ELSE 0
    END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IF( INTERFACE_DCT01.DCYR8101_CSITCTA IN ('0', '1', '2', '3', '5', '6', '7', '8', '9') AND INTERFACE_DCT01.DCYR8101_DINICONT = '0001-01-01', 1, 0 )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</si>
  <si>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r>
      <rPr>
        <b/>
        <sz val="11"/>
        <color rgb="FF000000"/>
        <rFont val="Calibri"/>
        <scheme val="minor"/>
      </rPr>
      <t>SELECT</t>
    </r>
    <r>
      <rPr>
        <sz val="11"/>
        <color rgb="FF000000"/>
        <rFont val="Calibri"/>
        <scheme val="minor"/>
      </rPr>
      <t xml:space="preserve"> "FA"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'FA' AND PARAM_LITIGATION_PRODUCT.PRODUCT_ID = TCT09_OPERCN.CKPRODUT AND PARAM_LITIGATION_PRODUCT.SUBPRODUCT_ID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</si>
  <si>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t xml:space="preserve">
EUR_INTERVEN
EUR_PROCESSO
TCT09_OPERCN
INTERFACE_DCT01
PARAM_LITIGATION_PRODUCT</t>
  </si>
  <si>
    <t>DATA_DATE_PART
DATA_DATE_PART
DATA_DATE_PART
DATA_DATE_PART
DATA_DATE_PART
N\A</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</si>
  <si>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</si>
  <si>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'FA' AND PARAM_LITIGATION_PRODUCT.PRODUCT_ID = TCT09_OPERCN.CKPRODUT AND PARAM_LITIGATION_PRODUCT.SUBPRODUCT_ID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
</t>
    </r>
  </si>
  <si>
    <t>Income Saving Account</t>
  </si>
  <si>
    <t>Contract ID
Contract Number
Contract ID
Contract ID
Contract ID
Contract ID
Contract ID</t>
  </si>
  <si>
    <t>CURATED_INTERNAL_MAINFRAME_CONTAS
COMMON_REFERENCEDATA_CORE</t>
  </si>
  <si>
    <t>INTERFACE_DCT01
PARAM_GENERAL_CODE_CONVERTER</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</si>
  <si>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'bank_id' AND PARAM_GENERAL_CODE_CONVERTER.SOURCE_VALUE = '' AND PARAM_GENERAL_CODE_CONVERTER.OPTION_NUMBER = '1'</t>
    </r>
  </si>
  <si>
    <t>CURATED_INTERNAL_MAINFRAME_CONTAS</t>
  </si>
  <si>
    <t>DCYR8101_CKBALCAO, DCYR8101_CKNUMCTA</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</si>
  <si>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</si>
  <si>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rPr>
      <t xml:space="preserve">SELECT </t>
    </r>
    <r>
      <rPr>
        <sz val="11"/>
        <color rgb="FF000000"/>
        <rFont val="Calibri"/>
      </rPr>
      <t xml:space="preserve">IF( TRIM( INTERFACE_DCT01.DCYR8101_CFAMILIA ) = '', NULL, PARAM_GENERAL_CODE_CONVERTER.TARGET_VALUE)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'product_family_id' AND PARAM_GENERAL_CODE_CONVERTER.SOURCE_VALUE =  INTERFACE_DCT01.DCYR8101_CFAMILIA AND PARAM_GENERAL_CODE_CONVERTER.OPTION_NUMBER = '1'</t>
    </r>
  </si>
  <si>
    <t>DCRYR8101_CKPRODUT</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</si>
  <si>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</si>
  <si>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DCYR8101_CKSUBPRO</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</si>
  <si>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</si>
  <si>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Bank identifier (internal Santander’s company identification code) that is related to the current account contract which anchors the saving account contract.</t>
  </si>
  <si>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</si>
  <si>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</si>
  <si>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</si>
  <si>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</si>
  <si>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INTERFACE_DCT01.DCYR8101_CSITCTA IN( '0', '1', '2', '3', '5', '6', '7', '8', '9' ) AND INTERFACE_DCT01.DCRY8101_CFAMILIA = 'CR'
    AND REL_CONTRATOS.RCC_CORELCC = '040'  AND REL_CONTRATOS.RCC_FEVENCIM = '9999-12-31' AND REL_CONTRATOS.RCC_TIPOSIT = '10'</t>
    </r>
  </si>
  <si>
    <t>TA - Tabelas Gerais</t>
  </si>
  <si>
    <t>REL_CONTRATOS -&gt; COINT_LOC_CP</t>
  </si>
  <si>
    <t>CONCAT( IDCENTRE, IDPRODRE, IDCONTRRE ) -&gt; CONCAT( IDCENT_L, IDCONT_L, "000000000000000" )</t>
  </si>
  <si>
    <t xml:space="preserve">DCYR8101_DABERTUR </t>
  </si>
  <si>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</si>
  <si>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DCYR8100_DTVENCIM </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</si>
  <si>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</si>
  <si>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DCYR8101_CMOEDA</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</si>
  <si>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</si>
  <si>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DCYR8101_MSALDO </t>
  </si>
  <si>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</si>
  <si>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DCYR8101_MSLDCAT</t>
  </si>
  <si>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</si>
  <si>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DCYR8101_MSALDODI</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</si>
  <si>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</si>
  <si>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Initial Passive Rate Type Code</t>
  </si>
  <si>
    <t>init_passive_rate_type_code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</si>
  <si>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</si>
  <si>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inicialmente no âmbito do contrato, por exemplo: fixa, mista ou variável.</t>
  </si>
  <si>
    <t>Initial Passive Indexing</t>
  </si>
  <si>
    <t>initial_passive_indexing</t>
  </si>
  <si>
    <t>Código do indexante, se aplicável, inicialmente associada à taxa de juro passiva (credora) do contrato, por exemplo, Euribor.</t>
  </si>
  <si>
    <t>Initial Passive Index Rate</t>
  </si>
  <si>
    <t>initial_passive_index_rate</t>
  </si>
  <si>
    <t>Represents the initial agreed, not necessarily applied,  interest rate, agreed,  interest rate, based on the reference index, applied over the contract's principal. This value can changed based on the reference rate reset period.</t>
  </si>
  <si>
    <t>Quando aplicável, representa a taxa de juro passiva (credora) do indexante incialmente acordado no contrato.</t>
  </si>
  <si>
    <t>Initial Passive Spread</t>
  </si>
  <si>
    <t>initial_passive_spread</t>
  </si>
  <si>
    <t>Taxa de spread passiva (credora) inicialmente acordada no contrato.</t>
  </si>
  <si>
    <t>Initial Passive Interest Rate</t>
  </si>
  <si>
    <t>initial_passive_interest_rate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</si>
  <si>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</si>
  <si>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inicialmente acordada no âmbito do contrato (spread + indexante).</t>
  </si>
  <si>
    <t>Current Passive Rate Type Code</t>
  </si>
  <si>
    <t>cur_passive_rate_type_code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</si>
  <si>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</si>
  <si>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atualmente no âmbito do contrato, por exemplo: fixa, mista ou variável.</t>
  </si>
  <si>
    <t>Current Passive Indexing</t>
  </si>
  <si>
    <t>current_passive_indexing</t>
  </si>
  <si>
    <t>Código do indexante, se aplicável, atualmente associada à taxa de juro passiva (credora) do contrato, por exemplo, Euribor.</t>
  </si>
  <si>
    <t>Current Passive Index Rate</t>
  </si>
  <si>
    <t>current_passive_index_rate</t>
  </si>
  <si>
    <t>Represents the current agreed, not necessarily applied,  interest rate, agreed,  interest rate, based on the reference index, applied over the contract's principal. This value can changed based on the reference rate reset period.</t>
  </si>
  <si>
    <t>Quando aplicável, representa a taxa de juro passiva (credora) do indexante atualmente acordado no contrato.</t>
  </si>
  <si>
    <t>Current Passive Spread</t>
  </si>
  <si>
    <t>current_passive_spread</t>
  </si>
  <si>
    <t>Taxa de spread passiva (credora) atualmente acordada no contrato.</t>
  </si>
  <si>
    <t>Current Passive Interest Rate</t>
  </si>
  <si>
    <t>current_passive_interest_rate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</si>
  <si>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</si>
  <si>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atualmente acordada no âmbito do contrato (spread + indexante).</t>
  </si>
  <si>
    <r>
      <rPr>
        <b/>
        <sz val="11"/>
        <color rgb="FF000000"/>
        <rFont val="Calibri"/>
      </rPr>
      <t xml:space="preserve">SELECT </t>
    </r>
    <r>
      <rPr>
        <sz val="11"/>
        <color rgb="FF000000"/>
        <rFont val="Calibri"/>
      </rPr>
      <t xml:space="preserve">IF( TRIM( INTERFACE_DCT01.DCYR8101_CSITCTA ) = '', NULL, PARAM_GENERAL_CODE_CONVERTER.TARGET_VALUE)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'contract_status_code' AND PARAM_GENERAL_CODE_CONVERTER.SOURCE_VALUE = INTERFACE_DCT01.DCYR8101_CSITCTA AND PARAM_GENERAL_CODE_CONVERTER.OPTION_NUMBER = '1'</t>
    </r>
  </si>
  <si>
    <t>Contract Opening Channel:
?</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</si>
  <si>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</si>
  <si>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</si>
  <si>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</si>
  <si>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Income Saving Account Universe Universe</t>
  </si>
  <si>
    <t>incomesaving_account_universe</t>
  </si>
  <si>
    <r>
      <rPr>
        <b/>
        <sz val="11"/>
        <color rgb="FF000000"/>
        <rFont val="Calibri"/>
      </rPr>
      <t xml:space="preserve">SELECT ''
WHERE </t>
    </r>
    <r>
      <rPr>
        <sz val="11"/>
        <color rgb="FF000000"/>
        <rFont val="Calibri"/>
      </rPr>
      <t>INTERFACE_DCT01.DCRY8101_CFAMILIA = 'CR'</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</si>
  <si>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 'CR'</t>
    </r>
  </si>
  <si>
    <t>DCYR8101_CSITCTA</t>
  </si>
  <si>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 'CR'</t>
    </r>
  </si>
  <si>
    <r>
      <rPr>
        <b/>
        <sz val="11"/>
        <color rgb="FF000000"/>
        <rFont val="Calibri"/>
      </rPr>
      <t>SELECT</t>
    </r>
    <r>
      <rPr>
        <sz val="11"/>
        <color rgb="FF000000"/>
        <rFont val="Calibri"/>
      </rPr>
      <t xml:space="preserve"> 'DC'
</t>
    </r>
    <r>
      <rPr>
        <b/>
        <sz val="11"/>
        <color rgb="FF000000"/>
        <rFont val="Calibri"/>
      </rPr>
      <t xml:space="preserve">WHERE </t>
    </r>
    <r>
      <rPr>
        <sz val="11"/>
        <color rgb="FF000000"/>
        <rFont val="Calibri"/>
      </rPr>
      <t>INTERFACE_DCT01.DCRY8101_CFAMILIA = 'CR'</t>
    </r>
  </si>
  <si>
    <t>DC'</t>
  </si>
  <si>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 'CR'</t>
    </r>
  </si>
  <si>
    <r>
      <rPr>
        <b/>
        <sz val="11"/>
        <color rgb="FF000000"/>
        <rFont val="Calibri"/>
      </rPr>
      <t>SELECT</t>
    </r>
    <r>
      <rPr>
        <sz val="11"/>
        <color rgb="FF000000"/>
        <rFont val="Calibri"/>
      </rPr>
      <t xml:space="preserve"> NOW()
</t>
    </r>
    <r>
      <rPr>
        <b/>
        <sz val="11"/>
        <color rgb="FF000000"/>
        <rFont val="Calibri"/>
      </rPr>
      <t xml:space="preserve">WHERE </t>
    </r>
    <r>
      <rPr>
        <sz val="11"/>
        <color rgb="FF000000"/>
        <rFont val="Calibri"/>
      </rPr>
      <t>INTERFACE_DCT01.DCRY8101_CFAMILIA = 'CR'</t>
    </r>
  </si>
  <si>
    <t>Internal Account</t>
  </si>
  <si>
    <t>CURATED_INTERNAL_MAINFRAME_CONTAS
COMMON_REFERENCEDATA_CORE
COMMON_REFERENCEDATA_CORE</t>
  </si>
  <si>
    <t>INTERFACE_DCT01
PARAM_GENERAL_CODE_CONVERTER
PARAM_LITIGATION_PRODUCT</t>
  </si>
  <si>
    <t>N\A
TARGET_VALUE
N\A</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</si>
  <si>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'bank_id' AND PARAM_GENERAL_CODE_CONVERTER.SOURCE_VALUE = '' AND PARAM_GENERAL_CODE_CONVERTER.OPTION_NUMBER = '1'
    AND PARAM_LITIGATION_PRODUCT.PRODUCT_ID IS NULL</t>
    </r>
  </si>
  <si>
    <t>INTERFACE_DCT01
PARAM_LITIGATION_PRODUCT</t>
  </si>
  <si>
    <r>
      <rPr>
        <b/>
        <sz val="11"/>
        <color rgb="FF000000"/>
        <rFont val="Calibri"/>
      </rPr>
      <t xml:space="preserve">SELECT </t>
    </r>
    <r>
      <rPr>
        <sz val="11"/>
        <color rgb="FF000000"/>
        <rFont val="Calibri"/>
      </rPr>
      <t xml:space="preserve">CONCAT( INTERFACE_DCT01.DCYR8101_CKBALCAO, INTERFACE_DCT01.DCYR8101_CKNUMCTA, '000000000000000'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</si>
  <si>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INTERFACE_DCT01.DCYR8101_CFAMILIA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'product_family_id' AND PARAM_GENERAL_CODE_CONVERTER.SOURCE_VALUE =  INTERFACE_DCT01.DCYR8101_CFAMILIA AND PARAM_GENERAL_CODE_CONVERTER.OPTION_NUMBER = '1'
    AND PARAM_LITIGATION_PRODUCT.PRODUCT_ID IS NULL</t>
    </r>
  </si>
  <si>
    <t>DCRYR8101_CKPRODUT
N\A</t>
  </si>
  <si>
    <r>
      <rPr>
        <b/>
        <sz val="11"/>
        <color rgb="FF000000"/>
        <rFont val="Calibri"/>
      </rPr>
      <t xml:space="preserve">SELECT </t>
    </r>
    <r>
      <rPr>
        <sz val="11"/>
        <color rgb="FF000000"/>
        <rFont val="Calibri"/>
      </rPr>
      <t xml:space="preserve">IF( TRIM( INTERFACE_DCT01.DCRYR8101_CKPRODUT ) = '', NULL, INTERFACE_DCT01.DCRYR8101_CKPRODUT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</si>
  <si>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INTERFACE_DCT01.DCYR8101_CKSUBPRO ) = '', NULL, INTERFACE_DCT01.DCYR8101_CKSUBPRO )
</t>
    </r>
    <r>
      <rPr>
        <b/>
        <sz val="11"/>
        <color rgb="FF000000"/>
        <rFont val="Calibri"/>
      </rPr>
      <t>WHERE</t>
    </r>
    <r>
      <rPr>
        <sz val="11"/>
        <color rgb="FF000000"/>
        <rFont val="Calibri"/>
      </rPr>
      <t xml:space="preserve"> INTERFACE_DCT01.DCYR8101_CSITCTA IN( '0', '1', '2', '3', '5', '6', '7', '8', '9' ) AND INTERFACE_DCT01.DCRY8101_CFAMILIA IN ( 'IN', 'NC' )
    AND PARAM_LITIGATION_PRODUCT.PRODUCT_ID IS NULL</t>
    </r>
  </si>
  <si>
    <t>SELECT IF( ( INTERFACE_DCT01.DCYR8101_DABERTUR ) = '', NULL, CAST( INTERFACE_DCT01.DCYR8101_DABERTUR AS STRING ) )
WHERE INTERFACE_DCT01.DCYR8101_CSITCTA IN( '0', '1', '2', '3', '5', '6', '7', '8', '9' ) AND INTERFACE_DCT01.DCRY8101_CFAMILIA IN ( 'IN', 'NC' )
    AND PARAM_LITIGATION_PRODUCT.PRODUCT_ID IS NULL</t>
  </si>
  <si>
    <t>DCYR8100_DTVENCIM 
N\A</t>
  </si>
  <si>
    <r>
      <rPr>
        <b/>
        <sz val="11"/>
        <color rgb="FF000000"/>
        <rFont val="Calibri"/>
      </rPr>
      <t xml:space="preserve">SELECT </t>
    </r>
    <r>
      <rPr>
        <sz val="11"/>
        <color rgb="FF000000"/>
        <rFont val="Calibri"/>
      </rPr>
      <t xml:space="preserve">IF( TRIM( INTERFACE_DCT01.DCYR8100_DTVENCIM ) = '', NULL, INTERFACE_DCT01.DCYR8100_DTVENCIM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</si>
  <si>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INTERFACE_DCT01.DCYR8101_CMOEDA ) = '', NULL, INTERFACE_DCT01.DCYR8101_CMOEDA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</si>
  <si>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CAST( INTERFACE_DCT01.DCYR8101_MSALDO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</si>
  <si>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CAST( INTERFACE_DCT01.DCYR8101_MSLDCAT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</si>
  <si>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t>DCYR8101_MSALDODI
N\A</t>
  </si>
  <si>
    <r>
      <rPr>
        <b/>
        <sz val="11"/>
        <color rgb="FF000000"/>
        <rFont val="Calibri"/>
      </rPr>
      <t xml:space="preserve">SELECT </t>
    </r>
    <r>
      <rPr>
        <sz val="11"/>
        <color rgb="FF000000"/>
        <rFont val="Calibri"/>
      </rPr>
      <t xml:space="preserve">CAST( INTERFACE_DCT01.DCYR8101_MSALDODI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</si>
  <si>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t>Initial Rate Type Code</t>
  </si>
  <si>
    <t>initial_rate_type_code</t>
  </si>
  <si>
    <t>Initial Indexing</t>
  </si>
  <si>
    <t>initial_indexing</t>
  </si>
  <si>
    <t>Initial Index Rate</t>
  </si>
  <si>
    <t>initial_index_rate</t>
  </si>
  <si>
    <t>Initial Spread</t>
  </si>
  <si>
    <t>initial_spread</t>
  </si>
  <si>
    <t>Initial Interest Rate</t>
  </si>
  <si>
    <t>initial_interest_rate</t>
  </si>
  <si>
    <t>Current Rate Type Code</t>
  </si>
  <si>
    <t>current_rate_type_code</t>
  </si>
  <si>
    <t>Current Indexing</t>
  </si>
  <si>
    <t>current_indexing</t>
  </si>
  <si>
    <t>Código do indexante, se aplicável, atualmente associada à taxa de juro passiva (credota) do contrato, por exemplo, Euribor.</t>
  </si>
  <si>
    <t>Current Index Rate</t>
  </si>
  <si>
    <t>current_index_rate</t>
  </si>
  <si>
    <t>Current Spread</t>
  </si>
  <si>
    <t>current_spread</t>
  </si>
  <si>
    <t>Current Interest Rate</t>
  </si>
  <si>
    <t>current_interest_rate</t>
  </si>
  <si>
    <r>
      <rPr>
        <b/>
        <sz val="11"/>
        <color rgb="FF000000"/>
        <rFont val="Calibri"/>
      </rPr>
      <t xml:space="preserve">SELECT </t>
    </r>
    <r>
      <rPr>
        <sz val="11"/>
        <color rgb="FF000000"/>
        <rFont val="Calibri"/>
      </rPr>
      <t xml:space="preserve">IF( TRIM( INTERFACE_DCT01.DCYR8101_CSITCTA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'contract_status_code' AND PARAM_GENERAL_CODE_CONVERTER.SOURCE_VALUE = INTERFACE_DCT01.DCYR8101_CSITCTA AND PARAM_GENERAL_CODE_CONVERTER.OPTION_NUMBER = '1'
    AND PARAM_LITIGATION_PRODUCT.PRODUCT_ID IS NULL</t>
    </r>
  </si>
  <si>
    <r>
      <rPr>
        <b/>
        <sz val="11"/>
        <color rgb="FF000000"/>
        <rFont val="Calibri"/>
      </rPr>
      <t xml:space="preserve">SELECT </t>
    </r>
    <r>
      <rPr>
        <sz val="11"/>
        <color rgb="FF000000"/>
        <rFont val="Calibri"/>
      </rPr>
      <t xml:space="preserve">IF( TRIM( INTERFACE_DCT01.DCYR8101_CSITCTA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'contract_opening_channel_code' AND PARAM_GENERAL_CODE_CONVERTER.SOURCE_VALUE = '' AND PARAM_GENERAL_CODE_CONVERTER.OPTION_NUMBER = '1'
    AND PARAM_LITIGATION_PRODUCT.PRODUCT_ID IS NULL</t>
    </r>
  </si>
  <si>
    <r>
      <rPr>
        <b/>
        <sz val="11"/>
        <color rgb="FF000000"/>
        <rFont val="Calibri"/>
      </rPr>
      <t xml:space="preserve">SELECT </t>
    </r>
    <r>
      <rPr>
        <sz val="11"/>
        <color rgb="FF000000"/>
        <rFont val="Calibri"/>
      </rPr>
      <t xml:space="preserve">'DC'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</si>
  <si>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</si>
  <si>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INTERFACE_DCT01.DCYR8101_CSITCTA IN( '0', '1', '2', '3', '5', '6', '7', '8', '9' ) AND INTERFACE_DCT01.DCRY8101_CFAMILIA IN ( 'IN', 'NC' )
    AND PARAM_LITIGATION_PRODUCT.PRODUCT_ID IS NULL</t>
    </r>
  </si>
  <si>
    <t>Interal Account Universe</t>
  </si>
  <si>
    <t>internal_account_universe</t>
  </si>
  <si>
    <r>
      <rPr>
        <b/>
        <sz val="11"/>
        <color rgb="FF000000"/>
        <rFont val="Calibri"/>
      </rPr>
      <t xml:space="preserve">SELECT ''
WHERE </t>
    </r>
    <r>
      <rPr>
        <sz val="11"/>
        <color rgb="FF000000"/>
        <rFont val="Calibri"/>
      </rPr>
      <t>INTERFACE_DCT01.DCRY8101_CFAMILIA IN ( 'IN', 'NC' )
    AND PARAM_LITIGATION_PRODUCT.PRODUCT_ID IS NULL</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</si>
  <si>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IN ( 'IN', 'NC' )
    AND PARAM_LITIGATION_PRODUCT.PRODUCT_ID IS NULL</t>
    </r>
  </si>
  <si>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IN ( 'IN', 'NC' )
    AND PARAM_LITIGATION_PRODUCT.PRODUCT_ID IS NULL</t>
    </r>
  </si>
  <si>
    <r>
      <rPr>
        <b/>
        <sz val="11"/>
        <color rgb="FF000000"/>
        <rFont val="Calibri"/>
      </rPr>
      <t>SELECT</t>
    </r>
    <r>
      <rPr>
        <sz val="11"/>
        <color rgb="FF000000"/>
        <rFont val="Calibri"/>
      </rPr>
      <t xml:space="preserve"> 'DC'
</t>
    </r>
    <r>
      <rPr>
        <b/>
        <sz val="11"/>
        <color rgb="FF000000"/>
        <rFont val="Calibri"/>
      </rPr>
      <t>WHERE</t>
    </r>
    <r>
      <rPr>
        <sz val="11"/>
        <color rgb="FF000000"/>
        <rFont val="Calibri"/>
      </rPr>
      <t xml:space="preserve"> INTERFACE_DCT01.DCRY8101_CFAMILIA IN ( 'IN', 'NC' )
    AND PARAM_LITIGATION_PRODUCT.PRODUCT_ID IS NULL</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</si>
  <si>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IN ( 'IN', 'NC' )
    AND PARAM_LITIGATION_PRODUCT.PRODUCT_ID IS NULL</t>
    </r>
  </si>
  <si>
    <t>Leasing</t>
  </si>
  <si>
    <t>CURATED_INERNAL_MAINFRAME_LEASE
COMMON_REFERENCEDATA_CORE</t>
  </si>
  <si>
    <t>CONTRACTS_FULL
PARAM_GENERAL_CODE_CONVERTER</t>
  </si>
  <si>
    <t>CEMPRESA
TARGET_VALUE</t>
  </si>
  <si>
    <t>SELECT PARAM_GENERAL_CODE_CONVERTER.TARGET_VALUE
WHERE PARAM_GENERAL_CODE_CONVERTER.TARGET_FIELD = 'bank_id' AND PARAM_GENERAL_CODE_CONVERTER.SOURCE_CODE = 'LG' AND PARAM_GENERAL_CODE_CONVERTER.SOURCE_VALUE = CONTRACTS_FULL.CEMPRESA AND PARAM_GENERAL_CODE_CONVERTER.OPTION_NUMBER = '1'</t>
  </si>
  <si>
    <t>LG - Lease</t>
  </si>
  <si>
    <t>L_MCD_CONTRACTS ( LG - Contract Table )</t>
  </si>
  <si>
    <t>CURATED_INERNAL_MAINFRAME_LEASE</t>
  </si>
  <si>
    <t>CONTRACTS_FULL</t>
  </si>
  <si>
    <t>CKBALCAO, CKNUMCTA, ZDEPOSIT</t>
  </si>
  <si>
    <r>
      <rPr>
        <b/>
        <sz val="11"/>
        <color rgb="FF000000"/>
        <rFont val="Calibri"/>
        <scheme val="minor"/>
      </rPr>
      <t>SELECT</t>
    </r>
    <r>
      <rPr>
        <sz val="11"/>
        <color rgb="FF000000"/>
        <rFont val="Calibri"/>
        <scheme val="minor"/>
      </rPr>
      <t xml:space="preserve"> CONCAT( CONTRACTS_FULL.CKBALCAO, CONTRACTS_FULL.CKNUMCTA, CONTRACTS_FULL.ZDEPOSIT )</t>
    </r>
  </si>
  <si>
    <t>CONCAT ( CKBALCAO, CKNUMCTA, ZDEPOSIT )</t>
  </si>
  <si>
    <t>SELECT PARAM_GENERAL_CODE_CONVERTER.TARGET_VALUE
WHERE PARAM_GENERAL_CODE_CONVERTER.TARGET_FIELD = 'product_family_id' AND PARAM_GENERAL_CODE_CONVERTER.SOURCE_CODE = 'LG' AND PARAM_GENERAL_CODE_CONVERTER.SOURCE_VALUE = '' AND PARAM_GENERAL_CODE_CONVERTER.OPTION_NUMBER = '1'</t>
  </si>
  <si>
    <t>Product Lvl 1:
L_MCD_CONTRACTS_TYPE -&gt; TAT91 - 925; CURATED_INTERNAL_MAINFRAME_ESTRUTURAIS.TAT91_TABELAS - TAYD91C0_CTABELA 925</t>
  </si>
  <si>
    <t>PRD_SINTRA_CODE_1</t>
  </si>
  <si>
    <r>
      <rPr>
        <b/>
        <sz val="11"/>
        <color rgb="FF000000"/>
        <rFont val="Calibri"/>
        <scheme val="minor"/>
      </rPr>
      <t>SELECT</t>
    </r>
    <r>
      <rPr>
        <sz val="11"/>
        <color rgb="FF000000"/>
        <rFont val="Calibri"/>
        <scheme val="minor"/>
      </rPr>
      <t xml:space="preserve"> IF( TRIM( CONTRACTS_FULL.PRD_SINTRA_CODE_1 ) = '', NULL, CONTRACTS_FULL.PRD_SINTRA_CODE_1 )</t>
    </r>
  </si>
  <si>
    <t>L_MCD_CONTRACTS ( LG - Type of Business Table ) -&gt; L_MCD_CONTRACTS ( SQL Procedure )</t>
  </si>
  <si>
    <t xml:space="preserve"> PRD_LEASE_CODE_1 -&gt; PRD_SINTRA_CODE_1</t>
  </si>
  <si>
    <t>Product Lvl 2:
L_MCD_EQUIPMENT_CODE -&gt; TAT91 - CTABELA 925; CURATED_INTERNAL_MAINFRAME_ESTRUTURAIS.TAT91_TABELAS - TAYD91C0_CTABELA 925</t>
  </si>
  <si>
    <t>PRD_SINTRA_CODE_2</t>
  </si>
  <si>
    <r>
      <rPr>
        <b/>
        <sz val="11"/>
        <color rgb="FF000000"/>
        <rFont val="Calibri"/>
        <scheme val="minor"/>
      </rPr>
      <t>SELECT</t>
    </r>
    <r>
      <rPr>
        <sz val="11"/>
        <color rgb="FF000000"/>
        <rFont val="Calibri"/>
        <scheme val="minor"/>
      </rPr>
      <t xml:space="preserve"> IF( TRIM( CONTRACTS_FULL.PRD_SINTRA_CODE_2 ) = '', NULL, CONTRACTS_FULL.PRD_SINTRA_CODE_2 )</t>
    </r>
  </si>
  <si>
    <t>L_MCD_CONTRACTS (LG - Type of Equipment Table )  -&gt; L_MCD_CONTRACTS (  SQL Procedure )</t>
  </si>
  <si>
    <t xml:space="preserve"> PRD_LEASE_CODE_2 -&gt;  PRD_SINTRA_CODE_2</t>
  </si>
  <si>
    <t>Bank identifier (internal Santander’s company identification code) that is related to the current account contract which anchors the leasing contract. If the account is external (not Santander) the field is not applciable.</t>
  </si>
  <si>
    <t>SELECT PARAM_GENERAL_CODE_CONVERTER.TARGET_VALUE
WHERE PARAM_GENERAL_CODE_CONVERTER.TARGET_FIELD = 'bank_id' AND PARAM_GENERAL_CODE_CONVERTER.SOURCE_CODE = 'DC' AND PARAM_GENERAL_CODE_CONVERTER.SOURCE_VALUE = '' AND PARAM_GENERAL_CODE_CONVERTER.OPTION_NUMBER = '1'</t>
  </si>
  <si>
    <t>Contract identifier of the current account that anchors the leasing contract.</t>
  </si>
  <si>
    <t>MAIN_CKBALCAO, MAIN_CKNUMCTA</t>
  </si>
  <si>
    <r>
      <rPr>
        <b/>
        <sz val="11"/>
        <color rgb="FF000000"/>
        <rFont val="Calibri"/>
        <scheme val="minor"/>
      </rPr>
      <t>SELECT</t>
    </r>
    <r>
      <rPr>
        <sz val="11"/>
        <color rgb="FF000000"/>
        <rFont val="Calibri"/>
        <scheme val="minor"/>
      </rPr>
      <t xml:space="preserve"> IF( TRIM( CONCAT( CONTRACTS_FULL.MAIN_CKBALCAO, CONTRACTS_FULL.MAIN_CKNUMCTA ) ) = '', NULL, CONCAT( CONTRACTS_FULL.MAIN_CKBALCAO, CONTRACTS_FULL.MAIN_CKNUMCTA, '000000000000000' ) )</t>
    </r>
  </si>
  <si>
    <t>CONCAT ( MAIN_CKBALCAO, MAIN_CKNUMECTA, "000000000000000" )</t>
  </si>
  <si>
    <t>International number of banking identification of the main current account associated with the leasing contract. If the account is external (not Santander) the field is not applicable.</t>
  </si>
  <si>
    <t>IBAN</t>
  </si>
  <si>
    <r>
      <rPr>
        <b/>
        <sz val="11"/>
        <color rgb="FF000000"/>
        <rFont val="Calibri"/>
        <scheme val="minor"/>
      </rPr>
      <t>SELECT</t>
    </r>
    <r>
      <rPr>
        <sz val="11"/>
        <color rgb="FF000000"/>
        <rFont val="Calibri"/>
        <scheme val="minor"/>
      </rPr>
      <t xml:space="preserve"> IF( TRIM( CONTRACTS_FULL.IBAN ) = '', NULL, CONTRACTS_FULL.IBAN )</t>
    </r>
  </si>
  <si>
    <t>Main Current Account NIB</t>
  </si>
  <si>
    <t>main_current_account_nib</t>
  </si>
  <si>
    <t>Nacional number of banking identification of the main current account associated with the leasing contract. If the account is external (not Santander) the field is not applicable.</t>
  </si>
  <si>
    <t>NIB da conta âncora do contrato.</t>
  </si>
  <si>
    <t>NIB</t>
  </si>
  <si>
    <r>
      <rPr>
        <b/>
        <sz val="11"/>
        <color rgb="FF000000"/>
        <rFont val="Calibri"/>
        <scheme val="minor"/>
      </rPr>
      <t>SELECT</t>
    </r>
    <r>
      <rPr>
        <sz val="11"/>
        <color rgb="FF000000"/>
        <rFont val="Calibri"/>
        <scheme val="minor"/>
      </rPr>
      <t xml:space="preserve"> IF( TRIM( CONTRACTS_FULL.NIB ) = '', NULL, CONTRACTS_FULL.NIB )</t>
    </r>
  </si>
  <si>
    <t>Main Current Account Organisation ID</t>
  </si>
  <si>
    <t>main_current_account_org_id</t>
  </si>
  <si>
    <t>Ext Inf - Con Inf - Code</t>
  </si>
  <si>
    <t>Identifier of the bank to which the main current account belongs to. If it is an internal account then it is 0018 (Santander).</t>
  </si>
  <si>
    <t>Identificador da organização à qual a conta âncora do contrato pertence.</t>
  </si>
  <si>
    <t>Bank Code:
L_MCD_BANK_CODE; CURATED_INTERNAL_MAINFRAME_LEASE.BANK_CODE</t>
  </si>
  <si>
    <t>BANK</t>
  </si>
  <si>
    <r>
      <rPr>
        <b/>
        <sz val="11"/>
        <color rgb="FF000000"/>
        <rFont val="Calibri"/>
        <scheme val="minor"/>
      </rPr>
      <t>SELECT</t>
    </r>
    <r>
      <rPr>
        <sz val="11"/>
        <color rgb="FF000000"/>
        <rFont val="Calibri"/>
        <scheme val="minor"/>
      </rPr>
      <t xml:space="preserve"> IF(TRIM( CONTRACTS_FULL.BANK ) = '', NULL, CONTRACTS_FULL.BANK )</t>
    </r>
  </si>
  <si>
    <t>Main Current Account Agency ID</t>
  </si>
  <si>
    <t>main_current_account_agency_id</t>
  </si>
  <si>
    <t>Identifier of the agency to which the main current account belongs to.</t>
  </si>
  <si>
    <t>Identificador da agência responsável pela conta âncora do contrato.</t>
  </si>
  <si>
    <t>Agency:
L_MCD_AGENCY_CODE; CURATED_INTERNAL_MAINFRAME_LEASE.AGENCY_CODE</t>
  </si>
  <si>
    <t>AGENCY</t>
  </si>
  <si>
    <r>
      <rPr>
        <b/>
        <sz val="11"/>
        <color rgb="FF000000"/>
        <rFont val="Calibri"/>
        <scheme val="minor"/>
      </rPr>
      <t>SELECT</t>
    </r>
    <r>
      <rPr>
        <sz val="11"/>
        <color rgb="FF000000"/>
        <rFont val="Calibri"/>
        <scheme val="minor"/>
      </rPr>
      <t xml:space="preserve"> IF( TRIM( CONTRACTS_FULL.AGENCY ) = '', NULL, CONTRACTS_FULL.AGENCY )</t>
    </r>
  </si>
  <si>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</si>
  <si>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</si>
  <si>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</si>
  <si>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Número da conta âncora do contrato.</t>
  </si>
  <si>
    <t>ACCOUNTNUMBER</t>
  </si>
  <si>
    <r>
      <rPr>
        <b/>
        <sz val="11"/>
        <color rgb="FF000000"/>
        <rFont val="Calibri"/>
        <scheme val="minor"/>
      </rPr>
      <t>SELECT</t>
    </r>
    <r>
      <rPr>
        <sz val="11"/>
        <color rgb="FF000000"/>
        <rFont val="Calibri"/>
        <scheme val="minor"/>
      </rPr>
      <t xml:space="preserve"> IF( TRIM( CONTRACTS_FULL.ACCOUNTNUMBER ) = '', NULL, CONTRACTS_FULL.ACCOUNTNUMBER )</t>
    </r>
  </si>
  <si>
    <t>OPENING_DATE</t>
  </si>
  <si>
    <r>
      <rPr>
        <b/>
        <sz val="11"/>
        <color rgb="FF000000"/>
        <rFont val="Calibri"/>
        <scheme val="minor"/>
      </rPr>
      <t>SELECT</t>
    </r>
    <r>
      <rPr>
        <sz val="11"/>
        <color rgb="FF000000"/>
        <rFont val="Calibri"/>
        <scheme val="minor"/>
      </rPr>
      <t xml:space="preserve"> IF( TRIM( CONTRACTS_FULL.OPENING_DATE ) = '', NULL, CONCAT( SUBSTRING( CONTRACTS_FULL.OPENING_DATE , 1, 4 ), '-', SUBSTRING( CONTRACTS_FULL.OPENING_DATE , 5, 2 ), '-', SUBSTRING( CONTRACTS_FULL.OPENING_DATE , 7, 2 ) ) )</t>
    </r>
  </si>
  <si>
    <t>MATURITY_DATE</t>
  </si>
  <si>
    <r>
      <rPr>
        <b/>
        <sz val="11"/>
        <color rgb="FF000000"/>
        <rFont val="Calibri"/>
        <scheme val="minor"/>
      </rPr>
      <t>SELECT</t>
    </r>
    <r>
      <rPr>
        <sz val="11"/>
        <color rgb="FF000000"/>
        <rFont val="Calibri"/>
        <scheme val="minor"/>
      </rPr>
      <t xml:space="preserve"> IF( TRIM( CONTRACTS_FULL.MATURITY_DATE ) = '', NULL, CONCAT( SUBSTRING( CONTRACTS_FULL.MATURITY_DATE , 1, 4 ), '-', SUBSTRING( CONTRACTS_FULL.MATURITY_DATE, 5, 2 ), '-', SUBSTRING( CONTRACTS_FULL.MATURITY_DATE, 7, 2 ) ) )</t>
    </r>
  </si>
  <si>
    <t xml:space="preserve">CURRENCY </t>
  </si>
  <si>
    <r>
      <rPr>
        <b/>
        <sz val="11"/>
        <color rgb="FF000000"/>
        <rFont val="Calibri"/>
        <scheme val="minor"/>
      </rPr>
      <t>SELECT</t>
    </r>
    <r>
      <rPr>
        <sz val="11"/>
        <color rgb="FF000000"/>
        <rFont val="Calibri"/>
        <scheme val="minor"/>
      </rPr>
      <t xml:space="preserve"> IF( TRIM( CONTRACTS_FULL.TCURRENCY ) = '', NULL, CONTRACTS_FULL.CURRENCY )</t>
    </r>
  </si>
  <si>
    <t>L_MCD_CONTRACTS ( SQL Procedure )</t>
  </si>
  <si>
    <t>CURRENCY</t>
  </si>
  <si>
    <r>
      <rPr>
        <b/>
        <sz val="11"/>
        <color rgb="FF000000"/>
        <rFont val="Calibri"/>
        <scheme val="minor"/>
      </rPr>
      <t>SELECT</t>
    </r>
    <r>
      <rPr>
        <sz val="11"/>
        <color rgb="FF000000"/>
        <rFont val="Calibri"/>
        <scheme val="minor"/>
      </rPr>
      <t xml:space="preserve"> IF( CONTRACTS_FULL.CONTRACT_STATUS = 4, '1', '0' )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'LG' AND PARAM_GENERAL_CODE_CONVERTER.SOURCE_VALUE = IF(TRIM(CONTRACTS_FULL.CONTRACT_STATUS) IS NULL, NULL, CONTRACTS_FULL.CONTRACT_STATUS) AND PARAM_GENERAL_CODE_CONVERTER.OPTION_NUMBER = '1'</t>
    </r>
  </si>
  <si>
    <t>CONTRACT_STATUS</t>
  </si>
  <si>
    <t>Total Number of Past Due Installments</t>
  </si>
  <si>
    <t>total_num_past_due_installments</t>
  </si>
  <si>
    <t>Represents the total number of ordinary installments that reached their due date.</t>
  </si>
  <si>
    <t>Número total de prestações liquidadas no âmbito do contrato.</t>
  </si>
  <si>
    <t>Instalment Number</t>
  </si>
  <si>
    <t>INSTALLMENT_NUMBER</t>
  </si>
  <si>
    <r>
      <rPr>
        <b/>
        <sz val="11"/>
        <color rgb="FF000000"/>
        <rFont val="Calibri"/>
        <scheme val="minor"/>
      </rPr>
      <t>SELECT</t>
    </r>
    <r>
      <rPr>
        <sz val="11"/>
        <color rgb="FF000000"/>
        <rFont val="Calibri"/>
        <scheme val="minor"/>
      </rPr>
      <t xml:space="preserve"> CAST( CONTRACTS_FULL.INSTALLMENT_NUMBER AS INT )</t>
    </r>
  </si>
  <si>
    <t>L_MCD_CONTRACTS ( LG - Client Statement Table )</t>
  </si>
  <si>
    <t>Initial maximum amount that can be used as credit.</t>
  </si>
  <si>
    <t>INITIAL_LIMIT_AMOUNT</t>
  </si>
  <si>
    <r>
      <rPr>
        <b/>
        <sz val="11"/>
        <color rgb="FF000000"/>
        <rFont val="Calibri"/>
        <scheme val="minor"/>
      </rPr>
      <t>SELECT</t>
    </r>
    <r>
      <rPr>
        <sz val="11"/>
        <color rgb="FF000000"/>
        <rFont val="Calibri"/>
        <scheme val="minor"/>
      </rPr>
      <t xml:space="preserve"> CAST( CONTRACTS_FULL.INITIAL_LIMIT_AMOUNT AS DECIMAL( 23, 6 ) )</t>
    </r>
  </si>
  <si>
    <t>Current maximum amount that can be used as credit.</t>
  </si>
  <si>
    <t>Initial Advance Principal Amount</t>
  </si>
  <si>
    <t>initial_advance_principal_amount</t>
  </si>
  <si>
    <t>Initial total value lended to the client. It can either represent the total amount that the client will receive, or, in case of progressive payments, the first amount that the client received.</t>
  </si>
  <si>
    <t>Primeiro valor avançado (financiado) no âmbito do contrato, sendo que o valor corresponder ao total ou parcial do valor completo do empréstimo.</t>
  </si>
  <si>
    <t xml:space="preserve">INITIAL_FINANCIAL_AMOUNT </t>
  </si>
  <si>
    <r>
      <rPr>
        <b/>
        <sz val="11"/>
        <color rgb="FF000000"/>
        <rFont val="Calibri"/>
        <scheme val="minor"/>
      </rPr>
      <t>SELECT</t>
    </r>
    <r>
      <rPr>
        <sz val="11"/>
        <color rgb="FF000000"/>
        <rFont val="Calibri"/>
        <scheme val="minor"/>
      </rPr>
      <t xml:space="preserve"> CAST( CONTRACTS_FULL.INITIAL_FINACIAL_AMOUNT AS DECIMAL( 23, 6 ) )</t>
    </r>
  </si>
  <si>
    <t>INITIAL_FINACIAL_AMOUNT</t>
  </si>
  <si>
    <t>current_advance_principal_amount</t>
  </si>
  <si>
    <t>Current total value lended to the client. It can either represent the total amount that the client will receive, or, in case of progressive payments, the first amount that the client received.</t>
  </si>
  <si>
    <t>Valor total avançado (financiado) no âmbito do contrato, sendo que o valor corresponder ao total ou parcial do valor completo do lease.</t>
  </si>
  <si>
    <t>INITIAL_LIMIT_AMOUNT, AVAILABLE_LIMIT_AMOUNT</t>
  </si>
  <si>
    <r>
      <rPr>
        <b/>
        <sz val="11"/>
        <color rgb="FF000000"/>
        <rFont val="Calibri"/>
        <scheme val="minor"/>
      </rPr>
      <t>SELECT</t>
    </r>
    <r>
      <rPr>
        <sz val="11"/>
        <color rgb="FF000000"/>
        <rFont val="Calibri"/>
        <scheme val="minor"/>
      </rPr>
      <t xml:space="preserve"> CAST( ( CONTRACTS_FULL.INITIAL_LIMIT_AMOUNT - CONTRACTS_FULL.AVAILABLE_LIMIT_AMOUNT ) AS DECIMAL( 23, 6 ) )</t>
    </r>
  </si>
  <si>
    <t xml:space="preserve">INITIAL_LIMIT_AMOUNT - AVAILABLE_LIMIT_AMOUNT </t>
  </si>
  <si>
    <t>Current amount that can still be used as credit.</t>
  </si>
  <si>
    <t>AVAILABLE_LIMIT_AMOUNT</t>
  </si>
  <si>
    <r>
      <rPr>
        <b/>
        <sz val="11"/>
        <color rgb="FF000000"/>
        <rFont val="Calibri"/>
        <scheme val="minor"/>
      </rPr>
      <t>SELECT</t>
    </r>
    <r>
      <rPr>
        <sz val="11"/>
        <color rgb="FF000000"/>
        <rFont val="Calibri"/>
        <scheme val="minor"/>
      </rPr>
      <t xml:space="preserve"> CAST( ( CONTRACTS_FULL.AVAILABLE_LIMIT_AMOUNT ) AS DECIMAL( 23, 6 ) )</t>
    </r>
  </si>
  <si>
    <t xml:space="preserve">AVAILABLE_LIMIT_AMOUNT </t>
  </si>
  <si>
    <t xml:space="preserve">Outstanding Loan Balance
Balance Value </t>
  </si>
  <si>
    <t>OUTSTANDING</t>
  </si>
  <si>
    <r>
      <rPr>
        <b/>
        <sz val="11"/>
        <color rgb="FF000000"/>
        <rFont val="Calibri"/>
        <scheme val="minor"/>
      </rPr>
      <t>SELECT</t>
    </r>
    <r>
      <rPr>
        <sz val="11"/>
        <color rgb="FF000000"/>
        <rFont val="Calibri"/>
        <scheme val="minor"/>
      </rPr>
      <t xml:space="preserve"> CAST( CONTRACTS_FULL.OUTSTANDING AS DECIMAL( 23, 6 ) )</t>
    </r>
  </si>
  <si>
    <t>L_MCD_CONTRACTS ( LG - Responsability Table )</t>
  </si>
  <si>
    <t xml:space="preserve">OVERDUE_CAPITAL </t>
  </si>
  <si>
    <r>
      <rPr>
        <b/>
        <sz val="11"/>
        <color rgb="FF000000"/>
        <rFont val="Calibri"/>
        <scheme val="minor"/>
      </rPr>
      <t xml:space="preserve">SELECT </t>
    </r>
    <r>
      <rPr>
        <sz val="11"/>
        <color rgb="FF000000"/>
        <rFont val="Calibri"/>
        <scheme val="minor"/>
      </rPr>
      <t>CAST( CONTRACTS_FULL.OVERDUE_CAPITAL AS DECIMAL( 23, 6 ) )</t>
    </r>
  </si>
  <si>
    <t>L_MCD_CONTRACTS ( LG - Open Trial Balance Table )</t>
  </si>
  <si>
    <t>OVERDUE_CAPITAL</t>
  </si>
  <si>
    <t>Current Overdue Taxes Balance</t>
  </si>
  <si>
    <t>current_overdue_taxes_balance</t>
  </si>
  <si>
    <t>Current taxes amount which has been used but has reached its maturity date and is yet to be repaid.</t>
  </si>
  <si>
    <t>Saldo atual de impostos em incumprimento associados ao contrato.</t>
  </si>
  <si>
    <t>OVERDUE_TAXES</t>
  </si>
  <si>
    <r>
      <rPr>
        <b/>
        <sz val="11"/>
        <color rgb="FF000000"/>
        <rFont val="Calibri"/>
        <scheme val="minor"/>
      </rPr>
      <t>SELECT</t>
    </r>
    <r>
      <rPr>
        <sz val="11"/>
        <color rgb="FF000000"/>
        <rFont val="Calibri"/>
        <scheme val="minor"/>
      </rPr>
      <t xml:space="preserve"> CAST( CONTRACTS_FULL.OVERDUE_TAXES AS DECIMAL( 23, 6 ) )</t>
    </r>
  </si>
  <si>
    <t>Current Overdue Expenses Balance</t>
  </si>
  <si>
    <t>current_overdue_expenses_bal</t>
  </si>
  <si>
    <t>Current loan expenses amount which has been used but has reached its maturity date and is yet to be repaid.</t>
  </si>
  <si>
    <t>Saldo atual de despesas em incumprimento associados ao contrato.</t>
  </si>
  <si>
    <t xml:space="preserve">OVERDUE_EXPENSES </t>
  </si>
  <si>
    <r>
      <rPr>
        <b/>
        <sz val="11"/>
        <color rgb="FF000000"/>
        <rFont val="Calibri"/>
        <scheme val="minor"/>
      </rPr>
      <t>SELECT</t>
    </r>
    <r>
      <rPr>
        <sz val="11"/>
        <color rgb="FF000000"/>
        <rFont val="Calibri"/>
        <scheme val="minor"/>
      </rPr>
      <t xml:space="preserve"> CAST( CONTRACTS_FULL.OVERDUE_EXPENSES AS DECIMAL( 23, 6 ))</t>
    </r>
  </si>
  <si>
    <t>OVERDUE_EXPENSES</t>
  </si>
  <si>
    <t>Current Overdue Interest Balance</t>
  </si>
  <si>
    <t>current_overdue_interest_bal</t>
  </si>
  <si>
    <t>Current interest amount which has been used but has reached its maturity date and is yet to be repaid.</t>
  </si>
  <si>
    <t>Saldo atual de juros em incumprimento associados ao contrato.</t>
  </si>
  <si>
    <t>OVERDUE_INTEREST</t>
  </si>
  <si>
    <r>
      <rPr>
        <b/>
        <sz val="11"/>
        <color rgb="FF000000"/>
        <rFont val="Calibri"/>
        <scheme val="minor"/>
      </rPr>
      <t>SELECT</t>
    </r>
    <r>
      <rPr>
        <sz val="11"/>
        <color rgb="FF000000"/>
        <rFont val="Calibri"/>
        <scheme val="minor"/>
      </rPr>
      <t xml:space="preserve"> CAST( CONTRACTS_FULL.OVERDUE_INTEREST AS DECIMAL( 23, 6 ) )</t>
    </r>
  </si>
  <si>
    <r>
      <rPr>
        <b/>
        <sz val="11"/>
        <color rgb="FF000000"/>
        <rFont val="Calibri"/>
        <scheme val="minor"/>
      </rPr>
      <t>SELECT</t>
    </r>
    <r>
      <rPr>
        <sz val="11"/>
        <color rgb="FF000000"/>
        <rFont val="Calibri"/>
        <scheme val="minor"/>
      </rPr>
      <t xml:space="preserve"> IF( CONTRACTS_FULL.CONTRACT_STATUS  = 4, CAST( CONTRACTS_FULL.OVERDUE_CAPITAL AS DECIMAL( 23, 6 ) ), CAST( 0.00 AS DECIMAL( 23, 6 ) ) ) </t>
    </r>
  </si>
  <si>
    <t>Residual Value Principal Amount</t>
  </si>
  <si>
    <t>residual_value_principal_amount</t>
  </si>
  <si>
    <t>The estimated principal amount of the leased item at the end of the contract. This value only applies if the item is bought at the end of the contract.</t>
  </si>
  <si>
    <t>Valor de capital associado ao residual (valor a pagar para a aquisição do bem) do lease.</t>
  </si>
  <si>
    <t xml:space="preserve">PREDICTED_VR_CAPITAL </t>
  </si>
  <si>
    <r>
      <rPr>
        <b/>
        <sz val="11"/>
        <color rgb="FF000000"/>
        <rFont val="Calibri"/>
        <scheme val="minor"/>
      </rPr>
      <t>SELECT</t>
    </r>
    <r>
      <rPr>
        <sz val="11"/>
        <color rgb="FF000000"/>
        <rFont val="Calibri"/>
        <scheme val="minor"/>
      </rPr>
      <t xml:space="preserve"> CAST( CONTRACTS_FULL.PREDICTED_VR_CAPITAL AS DECIMAL( 23, 6 ) )</t>
    </r>
  </si>
  <si>
    <t>L_MCD_CONTRACTS ( CashFlows Table )</t>
  </si>
  <si>
    <t>PREDICTED_VR_CAPITAL</t>
  </si>
  <si>
    <t>Residual Value Taxes Amount</t>
  </si>
  <si>
    <t>residual_value_taxes_amount</t>
  </si>
  <si>
    <t>The estimated taxes amount of the leased item at the end of the contract. This value only applies if the item is bought at the end of the contract.</t>
  </si>
  <si>
    <t>Valor de impostos associado ao residual (valor a pagar para a aquisição do bem) do lease.</t>
  </si>
  <si>
    <t>PREDICTED_VR_TAXES</t>
  </si>
  <si>
    <r>
      <rPr>
        <b/>
        <sz val="11"/>
        <color rgb="FF000000"/>
        <rFont val="Calibri"/>
        <scheme val="minor"/>
      </rPr>
      <t>SELECT</t>
    </r>
    <r>
      <rPr>
        <sz val="11"/>
        <color rgb="FF000000"/>
        <rFont val="Calibri"/>
        <scheme val="minor"/>
      </rPr>
      <t xml:space="preserve"> CAST( CONTRACTS_FULL.PREDICTED_VR_TAXESAS DECIMAL( 23, 6 ) )</t>
    </r>
  </si>
  <si>
    <t>Residual Value Interest Amount</t>
  </si>
  <si>
    <t>residual_value_interest_amount</t>
  </si>
  <si>
    <t>The estimated interest amount of the leased item at the end of the contract. This value only applies if the item is bought at the end of the contract.</t>
  </si>
  <si>
    <t>Valor de juros associado ao residual (valor a pagar para a aquisição do bem) do lease.</t>
  </si>
  <si>
    <t>PREDICTED_VR_INTEREST</t>
  </si>
  <si>
    <r>
      <rPr>
        <b/>
        <sz val="11"/>
        <color rgb="FF000000"/>
        <rFont val="Calibri"/>
        <scheme val="minor"/>
      </rPr>
      <t>SELECT</t>
    </r>
    <r>
      <rPr>
        <sz val="11"/>
        <color rgb="FF000000"/>
        <rFont val="Calibri"/>
        <scheme val="minor"/>
      </rPr>
      <t xml:space="preserve"> CAST( CONTRACTS_FULL.PREDICTED_VR_INTEREST AS DECIMAL( 23, 6 ) )</t>
    </r>
  </si>
  <si>
    <t>Residual Value Expenses Amount</t>
  </si>
  <si>
    <t>residual_value_expenses_amount</t>
  </si>
  <si>
    <t>The estimated loan expenses amount of the leased item at the end of the contract. This value only applies if the item is bought at the end of the contract.</t>
  </si>
  <si>
    <t>Valor de despesas associado ao residual (valor a pagar para a aquisição do bem) do lease.</t>
  </si>
  <si>
    <t>PREDICTED_VR_EXPENSES</t>
  </si>
  <si>
    <r>
      <rPr>
        <b/>
        <sz val="11"/>
        <color rgb="FF000000"/>
        <rFont val="Calibri"/>
        <scheme val="minor"/>
      </rPr>
      <t>SELECT</t>
    </r>
    <r>
      <rPr>
        <sz val="11"/>
        <color rgb="FF000000"/>
        <rFont val="Calibri"/>
        <scheme val="minor"/>
      </rPr>
      <t xml:space="preserve"> CAST( CONTRACTS_FULL.PREDICTED_VR_EXPENSES AS DECIMAL( 23, 6 ) )</t>
    </r>
  </si>
  <si>
    <t>Date in which the next ordinary installment of the leasing is expected to be payed. If the leasing has payed all the installments, this field is not applicable.</t>
  </si>
  <si>
    <t>NEXT_INSTALLMENT_DATE</t>
  </si>
  <si>
    <r>
      <rPr>
        <b/>
        <sz val="11"/>
        <color rgb="FF000000"/>
        <rFont val="Calibri"/>
        <scheme val="minor"/>
      </rPr>
      <t>SELECT</t>
    </r>
    <r>
      <rPr>
        <sz val="11"/>
        <color rgb="FF000000"/>
        <rFont val="Calibri"/>
        <scheme val="minor"/>
      </rPr>
      <t xml:space="preserve"> IF( TRIM( CONTRACTS_FULL.NEXT_INSTALLMENT_DATE ) = '', NULL, CONCAT( SUBSTRING( CONTRACTS_FULL.NEXT_INSTALLMENT_DATE, 1, 4 ), '-', SUBSTRING( CONTRACTS_FULL.NEXT_INSTALLMENT_DATE, 5, 2 ), '-', SUBSTRING( CONTRACTS_FULL.NEXT_INSTALLMENT_DATE, 7, 2 ) ) )</t>
    </r>
  </si>
  <si>
    <t>The principal amount to be paid in the next ordinary installment of the leasing. If the leasing has payed all the installments, this field is not applicable.</t>
  </si>
  <si>
    <t>Instalment Value</t>
  </si>
  <si>
    <t>NEXT_INSTALLMENT_CAPITAL</t>
  </si>
  <si>
    <r>
      <rPr>
        <b/>
        <sz val="11"/>
        <color rgb="FF000000"/>
        <rFont val="Calibri"/>
        <scheme val="minor"/>
      </rPr>
      <t>SELECT</t>
    </r>
    <r>
      <rPr>
        <sz val="11"/>
        <color rgb="FF000000"/>
        <rFont val="Calibri"/>
        <scheme val="minor"/>
      </rPr>
      <t xml:space="preserve"> CAST( CONTRACTS_FULL.NEXT_INSTALLMENT_CAPITAL AS DECIMAL( 23, 6 ) )</t>
    </r>
  </si>
  <si>
    <t>The due date of the most recent leasing's ordinary installment. If the leasing does not have installment that reached its due date than this field is not applicable.</t>
  </si>
  <si>
    <t>LAST_INSALLMENTDATE</t>
  </si>
  <si>
    <r>
      <rPr>
        <b/>
        <sz val="11"/>
        <color rgb="FF000000"/>
        <rFont val="Calibri"/>
        <scheme val="minor"/>
      </rPr>
      <t>SELECT</t>
    </r>
    <r>
      <rPr>
        <sz val="11"/>
        <color rgb="FF000000"/>
        <rFont val="Calibri"/>
        <scheme val="minor"/>
      </rPr>
      <t xml:space="preserve"> IF(TRIM( CONTRACTS_FULL.LAST_INSALLMENTDATE ) = '', NULL, CONCAT( SUBSTRING( CONTRACTS_FULL.LAST_INSALLMENTDATE, 1, 4 ), '-', SUBSTRING( CONTRACTS_FULL.LAST_INSALLMENTDATE, 5, 2 ), '-', SUBSTRING( CONTRACTS_FULL.LAST_INSALLMENTDATE, 7, 2 ) ) )</t>
    </r>
  </si>
  <si>
    <t>LAST_INSTALLMENTDATE</t>
  </si>
  <si>
    <t>The principal amount associated with last ordinary installment of the leasing that reached its due date. If the leasing does not have installment that reached its due date than this field is not applicable.</t>
  </si>
  <si>
    <t>CAPITAL_AMOUNT</t>
  </si>
  <si>
    <r>
      <rPr>
        <b/>
        <sz val="11"/>
        <color rgb="FF000000"/>
        <rFont val="Calibri"/>
        <scheme val="minor"/>
      </rPr>
      <t>SELECT</t>
    </r>
    <r>
      <rPr>
        <sz val="11"/>
        <color rgb="FF000000"/>
        <rFont val="Calibri"/>
        <scheme val="minor"/>
      </rPr>
      <t xml:space="preserve"> CAST( CONTRACTS_FULL.CAPITAL_AMOUNTAS DECIMAL( 23, 6 ) )</t>
    </r>
  </si>
  <si>
    <t>Last Settled Amortization Taxes Amount</t>
  </si>
  <si>
    <t>last_settled_amort_taxes_amount</t>
  </si>
  <si>
    <t>The taxes amount associated with last ordinary installment of the loan that reached its due date. If the loan does not have installment that reached its due date than this field is not applicable.</t>
  </si>
  <si>
    <t xml:space="preserve">Valor de impostos da última amortização programada. </t>
  </si>
  <si>
    <t>TAXES_AMOUNT</t>
  </si>
  <si>
    <r>
      <rPr>
        <b/>
        <sz val="11"/>
        <color rgb="FF000000"/>
        <rFont val="Calibri"/>
        <scheme val="minor"/>
      </rPr>
      <t>SELECT</t>
    </r>
    <r>
      <rPr>
        <sz val="11"/>
        <color rgb="FF000000"/>
        <rFont val="Calibri"/>
        <scheme val="minor"/>
      </rPr>
      <t xml:space="preserve"> CAST( CONTRACTS_FULL.TAXES_AMOUNT AS DECIMAL( 23, 6 ) )</t>
    </r>
  </si>
  <si>
    <t>Last Settled Amortization Expesenses Amount</t>
  </si>
  <si>
    <t>last_settled_amort_expenses_amt</t>
  </si>
  <si>
    <t>The loan expenses amount associated with last ordinary installment of the loan that reached its due date. If the loan does not have installment that reached its due date than this field is not applicable.</t>
  </si>
  <si>
    <t xml:space="preserve">Valor de despensas da última amortização programada. </t>
  </si>
  <si>
    <t>EXPENSES_AMOUNT</t>
  </si>
  <si>
    <r>
      <rPr>
        <b/>
        <sz val="11"/>
        <color rgb="FF000000"/>
        <rFont val="Calibri"/>
        <scheme val="minor"/>
      </rPr>
      <t>SELECT</t>
    </r>
    <r>
      <rPr>
        <sz val="11"/>
        <color rgb="FF000000"/>
        <rFont val="Calibri"/>
        <scheme val="minor"/>
      </rPr>
      <t xml:space="preserve"> CAST( CONTRACTS_FULL.EXPENSES_AMOUNTAS DECIMAL( 23, 6 ) )</t>
    </r>
  </si>
  <si>
    <t>Last Settled Amortization Interest Amount</t>
  </si>
  <si>
    <t>last_settled_amort_interest_amt</t>
  </si>
  <si>
    <t>The interest amount associated with last ordinary installment of the loan that reached its due date. If the loan does not have installment that reached its due date than this field is not applicable.</t>
  </si>
  <si>
    <t xml:space="preserve">Valor de juros da última amortização programada. </t>
  </si>
  <si>
    <t>INTEREST_AMOUNT</t>
  </si>
  <si>
    <r>
      <rPr>
        <b/>
        <sz val="11"/>
        <color rgb="FF000000"/>
        <rFont val="Calibri"/>
        <scheme val="minor"/>
      </rPr>
      <t>SELECT</t>
    </r>
    <r>
      <rPr>
        <sz val="11"/>
        <color rgb="FF000000"/>
        <rFont val="Calibri"/>
        <scheme val="minor"/>
      </rPr>
      <t xml:space="preserve"> CAST( CONTRACTS_FULL.INTEREST_AMOUNT AS DECIMAL( 23, 6 ) )</t>
    </r>
  </si>
  <si>
    <t>Date in which the last amortization associated with the leasing was payed. If the leasing does not have a past amortization, this field is not applicable.</t>
  </si>
  <si>
    <t>LAST_AMORTIZATION_PAYMENT_DATE</t>
  </si>
  <si>
    <r>
      <rPr>
        <b/>
        <sz val="11"/>
        <color rgb="FF000000"/>
        <rFont val="Calibri"/>
        <scheme val="minor"/>
      </rPr>
      <t>SELECT</t>
    </r>
    <r>
      <rPr>
        <sz val="11"/>
        <color rgb="FF000000"/>
        <rFont val="Calibri"/>
        <scheme val="minor"/>
      </rPr>
      <t xml:space="preserve"> IF( TRIM( CONTRACTS_FULL.LAST_AMORTIZATION_PAYMENT_DATE ) = '', NULL, CONCAT( SUBSTRING( CONTRACTS_FULL.LAST_AMORTIZATION_PAYMENT_DATE, 1, 4 ), '-', SUBSTRING( CONTRACTS_FULL.LAST_AMORTIZATION_PAYMENT_DATE, 5, 2 ), '-', SUBSTRING( CONTRACTS_FULL.LAST_AMORTIZATION_PAYMENT_DATE, 7, 2 ) ) )</t>
    </r>
  </si>
  <si>
    <t>The principal amount that was paid in the last amortization of the leasing. If the leasing does not have a paid installment, this field is not applicable.</t>
  </si>
  <si>
    <t>LAST_AMORTIZATION_CAPITAL</t>
  </si>
  <si>
    <r>
      <rPr>
        <b/>
        <sz val="11"/>
        <color rgb="FF000000"/>
        <rFont val="Calibri"/>
        <scheme val="minor"/>
      </rPr>
      <t>SELECT</t>
    </r>
    <r>
      <rPr>
        <sz val="11"/>
        <color rgb="FF000000"/>
        <rFont val="Calibri"/>
        <scheme val="minor"/>
      </rPr>
      <t xml:space="preserve"> CAST( CONTRACTS_FULL.LAST_AMORTIZATION_CAPITAL AS DECIMAL( 23, 6 ) )</t>
    </r>
  </si>
  <si>
    <t>Last Early Amortization Taxes Amount</t>
  </si>
  <si>
    <t>last_early_amort_taxes_amount</t>
  </si>
  <si>
    <t>The taxes amount that was paid in the last amortization of the leasing. If the leasing does not have a paid installment, this field is not applicable.</t>
  </si>
  <si>
    <t>Valor de impostos da última amortização antecipada.</t>
  </si>
  <si>
    <t>LAST_AMORTIZATION_TAXES</t>
  </si>
  <si>
    <r>
      <rPr>
        <b/>
        <sz val="11"/>
        <color rgb="FF000000"/>
        <rFont val="Calibri"/>
        <scheme val="minor"/>
      </rPr>
      <t>SELECT</t>
    </r>
    <r>
      <rPr>
        <sz val="11"/>
        <color rgb="FF000000"/>
        <rFont val="Calibri"/>
        <scheme val="minor"/>
      </rPr>
      <t xml:space="preserve"> CAST( CONTRACTS_FULL.LAST_AMORTIZATION_TAXES AS DECIMAL( 23, 6 ) )</t>
    </r>
  </si>
  <si>
    <t>Last Early Amortization Expesenses Amount</t>
  </si>
  <si>
    <t>last_early_amort_expenses_amt</t>
  </si>
  <si>
    <t>The loan expenses amount that was paid in the last amortization of the leasing. If the leasing does not have a paid installment, this field is not applicable.</t>
  </si>
  <si>
    <t>Valor das despesas da última amortização antecipada.</t>
  </si>
  <si>
    <t xml:space="preserve">LAST_AMORTIZATION_EXPENSES </t>
  </si>
  <si>
    <r>
      <rPr>
        <b/>
        <sz val="11"/>
        <color rgb="FF000000"/>
        <rFont val="Calibri"/>
        <scheme val="minor"/>
      </rPr>
      <t>SELECT</t>
    </r>
    <r>
      <rPr>
        <sz val="11"/>
        <color rgb="FF000000"/>
        <rFont val="Calibri"/>
        <scheme val="minor"/>
      </rPr>
      <t xml:space="preserve"> CAST( CONTRACTS_FULL.LAST_AMORTIZATION_EXPENSES AS DECIMAL( 23, 6 ) )</t>
    </r>
  </si>
  <si>
    <t>LAST_AMORTIZATION_EXPENSES</t>
  </si>
  <si>
    <t>Date in which the last ordinary installment payment associated with the leasing was made. If the leasing does not a past payment than this field is not applicable.</t>
  </si>
  <si>
    <t>LAST_PAYMENT_DATE</t>
  </si>
  <si>
    <r>
      <rPr>
        <b/>
        <sz val="11"/>
        <color rgb="FF000000"/>
        <rFont val="Calibri"/>
        <scheme val="minor"/>
      </rPr>
      <t>SELECT</t>
    </r>
    <r>
      <rPr>
        <sz val="11"/>
        <color rgb="FF000000"/>
        <rFont val="Calibri"/>
        <scheme val="minor"/>
      </rPr>
      <t xml:space="preserve"> IF( TRIM( CONTRACTS_FULL.LAST_PAYMENT_DATE ) = '', NULL, CONCAT( SUBSTRING( CONTRACTS_FULL.LAST_PAYMENT_DATE , 1, 4 ), '-', SUBSTRING( CONTRACTS_FULL.LAST_PAYMENT_DATE , 5, 2 ), '-', SUBSTRING( CONTRACTS_FULL.LAST_PAYMENT_DATE , 7, 2 ) ) )</t>
    </r>
  </si>
  <si>
    <t>The principal amount that was paid in the last ordinary installment payment associated to the leasing. If the leasing does not have a past installment payment , this field is not applicable.</t>
  </si>
  <si>
    <t>LAST_PAYMENT_CAPITAL</t>
  </si>
  <si>
    <r>
      <rPr>
        <b/>
        <sz val="11"/>
        <color rgb="FF000000"/>
        <rFont val="Calibri"/>
        <scheme val="minor"/>
      </rPr>
      <t>SELECT</t>
    </r>
    <r>
      <rPr>
        <sz val="11"/>
        <color rgb="FF000000"/>
        <rFont val="Calibri"/>
        <scheme val="minor"/>
      </rPr>
      <t xml:space="preserve"> CAST( CONTRACTS_FULL.LAST_PAYMENT_CAPITAL AS DECIMAL( 23, 6 ) )</t>
    </r>
  </si>
  <si>
    <t>LAST_INTALLMENTNR</t>
  </si>
  <si>
    <r>
      <rPr>
        <b/>
        <sz val="11"/>
        <color rgb="FF000000"/>
        <rFont val="Calibri"/>
        <scheme val="minor"/>
      </rPr>
      <t>SELECT</t>
    </r>
    <r>
      <rPr>
        <sz val="11"/>
        <color rgb="FF000000"/>
        <rFont val="Calibri"/>
        <scheme val="minor"/>
      </rPr>
      <t xml:space="preserve"> CAST( CONTRACTS_FULL.LAST_INTALLMENTNR AS DECIMAL( 23, 6 ) )</t>
    </r>
  </si>
  <si>
    <t>LAST_INSTALLMENTNR</t>
  </si>
  <si>
    <t>Rate Type:
L_MCD_TAX_TYPE_CODE; CURATED_MAINFRAME_INTERNAL_LEASE.TAXTYPE_CODE</t>
  </si>
  <si>
    <t>SELECT IF( TRIM( CONTRACTS_FULL.INITIAL_TAX_TYPE ) = '', NULL, PARAM_GENERAL_CODE_CONVERTER.TARGET_VALUE)
WHERE PARAM_GENERAL_CODE_CONVERTER.TARGET_FIELD = 'active_rate_type_code' AND PARAM_GENERAL_CODE_CONVERTER.SOURCE_CODE = 'LG' AND PARAM_GENERAL_CODE_CONVERTER.SOURCE_VALUE = CONTRACTS_FULL.INITIAL_TAXT_TYPE AND PARAM_GENERAL_CODE_CONVERTER.OPTION_NUMBER = '1'</t>
  </si>
  <si>
    <t>INITIAL_TAX_TYPE</t>
  </si>
  <si>
    <t>Initial Reference Index:
L_MCDINDEXTYPE_CODE; CURATED_INTERNAL_MAINFRAME_LEASE.INDEXTYPE_CODE</t>
  </si>
  <si>
    <t>INITIAL_INDEX_CODE</t>
  </si>
  <si>
    <r>
      <rPr>
        <b/>
        <sz val="11"/>
        <color rgb="FF000000"/>
        <rFont val="Calibri"/>
        <scheme val="minor"/>
      </rPr>
      <t>SELECT</t>
    </r>
    <r>
      <rPr>
        <sz val="11"/>
        <color rgb="FF000000"/>
        <rFont val="Calibri"/>
        <scheme val="minor"/>
      </rPr>
      <t xml:space="preserve"> IF( CONTRACTS_FULL.INITIAL_TAX_TYPE = 'F',
    '#N/A',
    IF( TRIM(CONTRACTS_FULL.INITIAL_INDEX_CODE ) = '', 
      NULL, 
      CONTRACTS_FULL.INITIAL_INDEX_CODE )</t>
    </r>
  </si>
  <si>
    <t>INITIAL_INDEX_VALUE</t>
  </si>
  <si>
    <r>
      <rPr>
        <b/>
        <sz val="11"/>
        <color rgb="FF000000"/>
        <rFont val="Calibri"/>
        <scheme val="minor"/>
      </rPr>
      <t>SELECT</t>
    </r>
    <r>
      <rPr>
        <sz val="11"/>
        <color rgb="FF000000"/>
        <rFont val="Calibri"/>
        <scheme val="minor"/>
      </rPr>
      <t xml:space="preserve"> CAST( CONTRACTS_FULL.INITIAL_INDEX_VALUE AS DECIMAL( 23, 6 ) )</t>
    </r>
  </si>
  <si>
    <t xml:space="preserve">INITIAL_SPREAD </t>
  </si>
  <si>
    <r>
      <rPr>
        <b/>
        <sz val="11"/>
        <color rgb="FF000000"/>
        <rFont val="Calibri"/>
        <scheme val="minor"/>
      </rPr>
      <t>SELECT</t>
    </r>
    <r>
      <rPr>
        <sz val="11"/>
        <color rgb="FF000000"/>
        <rFont val="Calibri"/>
        <scheme val="minor"/>
      </rPr>
      <t xml:space="preserve"> CAST( CONTRACTS_FULL.INITIAL_SPREAD AS DECIMAL( 23, 6) )</t>
    </r>
  </si>
  <si>
    <t>INITIAL_SPREAD</t>
  </si>
  <si>
    <t>INITIAL_RATE</t>
  </si>
  <si>
    <r>
      <rPr>
        <b/>
        <sz val="11"/>
        <color rgb="FF000000"/>
        <rFont val="Calibri"/>
        <scheme val="minor"/>
      </rPr>
      <t>SELECT</t>
    </r>
    <r>
      <rPr>
        <sz val="11"/>
        <color rgb="FF000000"/>
        <rFont val="Calibri"/>
        <scheme val="minor"/>
      </rPr>
      <t xml:space="preserve"> CAST( CONTRACTS_FULL.INITIAL_RATE AS DECIMAL( 23, 6 ) )</t>
    </r>
  </si>
  <si>
    <t>SELECT IF( TRIM( CONTRACTS_FULL.ACTUAL_TAXE_TYPE ) = '', NULL, PARAM_GENERAL_CODE_CONVERTER.TARGET_VALUE)
WHERE PARAM_GENERAL_CODE_CONVERTER.TARGET_FIELD = 'active_rate_type_code' AND PARAM_GENERAL_CODE_CONVERTER.SOURCE_CODE = 'LG' AND PARAM_GENERAL_CODE_CONVERTER.SOURCE_VALUE = CONTRACTS_FULL.ACTUAL_TAXE_TYPE AND PARAM_GENERAL_CODE_CONVERTER.OPTION_NUMBER = '1'</t>
  </si>
  <si>
    <t>ACTUAL_TAXE_TYPE</t>
  </si>
  <si>
    <t>Current Reference Index:
L_MCDINDEXTYPE_CODE; CURATED_MAINFRAME_INTERNAL_LEASE.INDEXTYPE_CODE</t>
  </si>
  <si>
    <t>ACTUAL_INDEX_CODE</t>
  </si>
  <si>
    <r>
      <rPr>
        <b/>
        <sz val="11"/>
        <color rgb="FF000000"/>
        <rFont val="Calibri"/>
        <scheme val="minor"/>
      </rPr>
      <t xml:space="preserve">SELECT </t>
    </r>
    <r>
      <rPr>
        <sz val="11"/>
        <color rgb="FF000000"/>
        <rFont val="Calibri"/>
        <scheme val="minor"/>
      </rPr>
      <t>IF( CONTRACTS_FULL.ACTUAL_TAX_TYPE = 'F',
    '#N/A',
    IF( TRIM(CONTRACTS_FULL.ACTUAL_INDEX_CODE ) = '',
      NULL, 
      CONTRACTS_FULL.ACTUAL_INDEX_CODE )</t>
    </r>
  </si>
  <si>
    <t>ACTUAL_INDEX_VALUE</t>
  </si>
  <si>
    <r>
      <rPr>
        <b/>
        <sz val="11"/>
        <color rgb="FF000000"/>
        <rFont val="Calibri"/>
        <scheme val="minor"/>
      </rPr>
      <t>SELECT</t>
    </r>
    <r>
      <rPr>
        <sz val="11"/>
        <color rgb="FF000000"/>
        <rFont val="Calibri"/>
        <scheme val="minor"/>
      </rPr>
      <t xml:space="preserve"> CAST( CONTRACTS_FULL.ACTUAL_INDEX_VALUE AS DECIMAL( 23, 6 ) )</t>
    </r>
  </si>
  <si>
    <t>ACTUAL_SPREAD</t>
  </si>
  <si>
    <r>
      <rPr>
        <b/>
        <sz val="11"/>
        <color rgb="FF000000"/>
        <rFont val="Calibri"/>
        <scheme val="minor"/>
      </rPr>
      <t>SELECT</t>
    </r>
    <r>
      <rPr>
        <sz val="11"/>
        <color rgb="FF000000"/>
        <rFont val="Calibri"/>
        <scheme val="minor"/>
      </rPr>
      <t xml:space="preserve"> CAST( CONTRACTS_FULL.ACTUAL_SPREAD AS DECIMAL( 23, 6 ) )</t>
    </r>
  </si>
  <si>
    <t>ACTUAL_TAN</t>
  </si>
  <si>
    <r>
      <rPr>
        <b/>
        <sz val="11"/>
        <color rgb="FF000000"/>
        <rFont val="Calibri"/>
        <scheme val="minor"/>
      </rPr>
      <t>SELECT</t>
    </r>
    <r>
      <rPr>
        <sz val="11"/>
        <color rgb="FF000000"/>
        <rFont val="Calibri"/>
        <scheme val="minor"/>
      </rPr>
      <t xml:space="preserve"> CAST( CONTRACTS_FULL.ACTUAL_TAN AS DECIMAL( 23, 6 ) )</t>
    </r>
  </si>
  <si>
    <t>Contract Status:
L_MCD_CONTRACTS_STATUS; CURATED_INTERNAL_MAINFRAME_LEASE.CONTRACTSTATUS_CODE</t>
  </si>
  <si>
    <t>SELECT IF( TRIM( CONTRACTS_FULL.CONTRACT_STATUS ) = '', NULL, PARAM_GENERAL_CODE_CONVERTER.TARGET_VALUE)
WHERE PARAM_GENERAL_CODE_CONVERTER.TARGET_FIELD = 'contract_status_code' AND PARAM_GENERAL_CODE_CONVERTER.SOURCE_CODE = 'LG' AND PARAM_GENERAL_CODE_CONVERTER.SOURCE_VALUE = CONTRACTS_FULL.CONTRACT_STATUS AND PARAM_GENERAL_CODE_CONVERTER.OPTION_NUMBER = '1'</t>
  </si>
  <si>
    <t>CURATED_INERNAL_MAINFRAME_LEASE
CURATED_INTERNAL_MAINFRAME_PROPOSTAS
COMMON_REFERENCEDATA_CORE</t>
  </si>
  <si>
    <t>CONTRACTS_FULL
PRT01_PROPOSTAS
PARAM_GENERAL_CODE_CONVERTER</t>
  </si>
  <si>
    <t>SELECT IF( TRIM( CASE
    WHEN TRIM(CONCAT( PRT01_PROPOSTAS.CKUOEMI , PRT01_PROPOSTAS.CCANLCAP ) ) = '' THEN NULL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PRT01_PROPOSTAS.CCANLCAP IN ( '002', '003', '006', '007', '008', '012', '015' ) ) THEN 'Broker'
    WHEN PRT01_PROPOSTAS.CKUOEMI IS NOT NULL 
        AND ( PRT01_PROPOSTAS.CKUOEMI NOT IN ( '6411', '6922', '6936', '6901', '6935', '5249', '0282', '5258', '0260', '5457', '5310', '5263', '0372', '3505', '5334', '5042', '5035','5298', '5405' ) AND PRT01_PROPOSTAS.CCANLCAP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 AND PRT01_PROPOSTAS.CCANLCAP IN ( '004', '011', '013' ) )
    THEN 'Branch'
    ELSE NULL ) IS NULL, NULL, PARAM_GENERAL_CODE_CONVERTER.TARGET_VALUE
WHERE PARAM_GENERAL_CODE_CONVERTER.TARGET_FIELD = 'contract_opening_channel_code' AND PARAM_GENERAL_CODE_CONVERTER.SOURCE_CODE = 'LG' AND ( PARAM_GENERAL_CODE_CONVERTER.SOURCE_VALUE = 'Branch' OR PARAM_GENERAL_CODE_CONVERTER.SOURCE_VALUE  = 'Internet' OR PARAM_GENERAL_CODE_CONVERTER.SOURCE_VALUE  = 'Broker' OR PARAM_GENERAL_CODE_CONVERTER.SOURCE_VALUE = 'Other' )</t>
  </si>
  <si>
    <t>LG - Lease -&gt; PR - Propostas</t>
  </si>
  <si>
    <t>L_MCD_CONTRACTS ( LG - Contract Table ) -&gt; PRT01_PROPOSTAS</t>
  </si>
  <si>
    <t>ZPROPOST -&gt;  CONCAT( CKUOEMI, CCANLCAP )</t>
  </si>
  <si>
    <r>
      <rPr>
        <b/>
        <sz val="11"/>
        <color rgb="FF000000"/>
        <rFont val="Calibri"/>
        <scheme val="minor"/>
      </rPr>
      <t>SELECT</t>
    </r>
    <r>
      <rPr>
        <sz val="11"/>
        <color rgb="FF000000"/>
        <rFont val="Calibri"/>
        <scheme val="minor"/>
      </rPr>
      <t xml:space="preserve"> 'LG'</t>
    </r>
  </si>
  <si>
    <t>"LG"</t>
  </si>
  <si>
    <r>
      <rPr>
        <b/>
        <sz val="11"/>
        <color rgb="FF000000"/>
        <rFont val="Calibri"/>
        <scheme val="minor"/>
      </rPr>
      <t>SELECT</t>
    </r>
    <r>
      <rPr>
        <sz val="11"/>
        <color rgb="FF000000"/>
        <rFont val="Calibri"/>
        <scheme val="minor"/>
      </rPr>
      <t xml:space="preserve"> CONTRACTS_FULL.DATA_DATE_PART</t>
    </r>
  </si>
  <si>
    <t>Leasing Universe</t>
  </si>
  <si>
    <r>
      <rPr>
        <b/>
        <sz val="11"/>
        <color rgb="FF000000"/>
        <rFont val="Calibri"/>
        <scheme val="minor"/>
      </rPr>
      <t>SELECT</t>
    </r>
    <r>
      <rPr>
        <sz val="11"/>
        <color rgb="FF000000"/>
        <rFont val="Calibri"/>
        <scheme val="minor"/>
      </rPr>
      <t xml:space="preserve"> CONTRACTS_FULL.CEMPRESA</t>
    </r>
  </si>
  <si>
    <r>
      <rPr>
        <b/>
        <sz val="11"/>
        <color rgb="FF000000"/>
        <rFont val="Calibri"/>
        <scheme val="minor"/>
      </rPr>
      <t>SELECT</t>
    </r>
    <r>
      <rPr>
        <sz val="11"/>
        <color rgb="FF000000"/>
        <rFont val="Calibri"/>
        <scheme val="minor"/>
      </rPr>
      <t xml:space="preserve"> CONCAT(CONTRACTS_FULL.CKBALCAO, CONTRACTS_FULL.CKNUMCTA, CONTRACTS_FULL.ZDEPOSIT )</t>
    </r>
  </si>
  <si>
    <t>CONCAT ( CKBALCAO, CKNUMECTA, ZDEPOSIT )</t>
  </si>
  <si>
    <r>
      <rPr>
        <b/>
        <sz val="11"/>
        <color rgb="FF000000"/>
        <rFont val="Calibri"/>
        <scheme val="minor"/>
      </rPr>
      <t>SELECT</t>
    </r>
    <r>
      <rPr>
        <sz val="11"/>
        <color rgb="FF000000"/>
        <rFont val="Calibri"/>
        <scheme val="minor"/>
      </rPr>
      <t xml:space="preserve"> IF( CONTRACTS_FULL.CONTRACT_STATUS  IN ( 1, 2 ) OR ( CONTRACTS_FULL.CONTRACT_STATUS  NOT IN ( 1, 2 ) AND ( CONTRACTS_FULL.OVERDUE_CAPITAL &gt; 0 OR CONTRACTS_FULL.OVERDUE_TAXES &gt;  0 OR CONTRACTS_FULL.OVERDUE_EXPENSES &gt; 0 OR CONTRACTS_FULL.OVERDUE_INTEREST &gt; 0 ) ), 1, 0 )</t>
    </r>
  </si>
  <si>
    <t>"1" | "0"</t>
  </si>
  <si>
    <t>Loan</t>
  </si>
  <si>
    <t>CURATED_INTERNAL_MAINFRAME_EMPRESTIMOS
CURATED_INTERNAL_MAINFRAME_EMPRESTIMOS
CURATED_INTERNAL_MAINFRAME_CONTENCIOSO
COMMON_REFERENCEDATA_CORE</t>
  </si>
  <si>
    <t>EPT01_CONTAS
CONTBACH_PRESTM
TCT09_OPERCN
PARAM_GENERAL_CODE_CONVERTER</t>
  </si>
  <si>
    <t>N\A
N\A
N\A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</si>
  <si>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'bank_id' AND PARAM_GENERAL_CODE_CONVERTER.SOURCE_CODE = 'EP'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 0 OR TCT09_OPERCN.ISITUAC = '1' ) AND PARAM_GENERAL_CODE_CONVERTER.CODE CATEGORY = 'bank_id' AND PARAM_GENERAL_CODE_CONVERTER.SOURCE_CODE = 'EP' AND GENERAL_CONVERTER.SOURCE_VALUE = ''
    AND TCT09_OPERCN.DENTRADA &lt;= TCT09_OPERCN.DATA_DATE_PART</t>
    </r>
  </si>
  <si>
    <t>EP - Empréstimos
EH - Empréstimos</t>
  </si>
  <si>
    <t>N\A
CONTBACH_PRESTM</t>
  </si>
  <si>
    <t>N\A
CTP_IDEMPR</t>
  </si>
  <si>
    <t>"31"
"31"</t>
  </si>
  <si>
    <t>CURATED_INTERNAL_MAINFRAME_EMPRESTIMOS
CURATED_INTERNAL_MAINFRAME_EMPRESTIMOS
CURATED_INTERNAL_MAINFRAME_CONTENCIOSO
CURATED_INTERNAL_MAINFRAME_ESTRUTURAIS</t>
  </si>
  <si>
    <t>EPT01_CONTAS
CONTBACH_PRESTM
TCT09_OPERCN
COINT_CTOLOC_P</t>
  </si>
  <si>
    <t>CKBALCAO, CKNUMCTA
N\A
N\A
E2616_IDCENT_L, E2616_IDCONT_L</t>
  </si>
  <si>
    <r>
      <rPr>
        <b/>
        <sz val="11"/>
        <color rgb="FF000000"/>
        <rFont val="Calibri"/>
        <scheme val="minor"/>
      </rPr>
      <t xml:space="preserve">SELECT </t>
    </r>
    <r>
      <rPr>
        <sz val="11"/>
        <color rgb="FF000000"/>
        <rFont val="Calibri"/>
        <scheme val="minor"/>
      </rPr>
      <t xml:space="preserve">CONCAT( EPT01_CONTAS.CKBALCAO, EPT01_CONTAS.CKNUMCTA,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</si>
  <si>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EP - Empréstimos
EH - Empréstimos -&gt; TA - Tabelas Gerais</t>
  </si>
  <si>
    <t>EPT01_CONTAS
CONTBACH_PRESTM -&gt; COINT_CTOLOC_P</t>
  </si>
  <si>
    <t>CONCAT( CKBALCAO, CKNUMCTA, "000000000000000" )
CONCAT( IDCENT, IDPROD, IDCONTR ) -&gt; CONCAT( IDCENT_L, IDCONT_L, "000000000000000" )</t>
  </si>
  <si>
    <t>N\A
N\A -&gt; N\A</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</si>
  <si>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'product_family_id' AND PARAM_GENERAL_CODE_CONVERTER.SOURCE_CODE = 'EP'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 0 OR TCT09_OPERCN.ISITUAC = '1' )
    AND PARAM_GENERAL_CODE_CONVERTER.CODE CATEGORY = 'product_family_id' AND PARAM_GENERAL_CODE_CONVERTER.SOURCE_CODE = 'EP' AND PARAM_GENERAL_CODE_CONVERTER.SOURCE_VALUE = ''
    AND TCT09_OPERCN.DENTRADA &lt;= TCT09_OPERCN.DATA_DATE_PART</t>
    </r>
  </si>
  <si>
    <t>Product Lvl 1:
TAT91 - CTABELA 023; CURATED_INTERNAL_MAINFRAME_ESTRUTURAIS.TAT91_TABELAS - TAYD91C0_CTABELA 023
EMPRESA_PRODUCT -&gt; TAT91 - CTABELA 925; CURATED_INTERNAL_MAINFRAME_ESTRUTURAIS.TAT91_TABELAS - TAYD91C0_CTABELA 925</t>
  </si>
  <si>
    <t>EPT01_CONTAS
CONTBACH_PRESTM
TCT09_OPERCN
TAT22_PRODUTO</t>
  </si>
  <si>
    <t>CKPRODUT
N\A
N\A
CKPRODUT</t>
  </si>
  <si>
    <r>
      <rPr>
        <b/>
        <sz val="11"/>
        <color rgb="FF000000"/>
        <rFont val="Calibri"/>
        <scheme val="minor"/>
      </rPr>
      <t xml:space="preserve">SELECT </t>
    </r>
    <r>
      <rPr>
        <sz val="11"/>
        <color rgb="FF000000"/>
        <rFont val="Calibri"/>
        <scheme val="minor"/>
      </rPr>
      <t xml:space="preserve">IF( TRIM( EPT01_CONTAS.CKPRODUT ) = '', NULL, EPT01_CONTAS.CKPRODUT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</si>
  <si>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EPT01_CONTAS
CONTBACH_PRESTM -&gt; TAT22_PRODUTO</t>
  </si>
  <si>
    <t>CKPRODUT
IDPROD -&gt; CKPRODUT</t>
  </si>
  <si>
    <t>Product Lvl 2:
TAT91 - CTABELA 925; CURATED_INTERNAL_MAINFRAME_ESTRUTURAIS.TAT91_TABELAS - TAYD91C0_CTABELA 925
EMPRESA_SUBPROD -&gt; TAT91 - CTABELA 925; CURATED_INTERNAL_MAINFRAME_ESTRUTURAIS.TAT91_TABELAS - TAYD91C0_CTABELA 925</t>
  </si>
  <si>
    <t>CKSUBPRO
N\A
N\A
CKSUBPRO</t>
  </si>
  <si>
    <r>
      <rPr>
        <b/>
        <sz val="11"/>
        <color rgb="FF000000"/>
        <rFont val="Calibri"/>
        <scheme val="minor"/>
      </rPr>
      <t xml:space="preserve">SELECT </t>
    </r>
    <r>
      <rPr>
        <sz val="11"/>
        <color rgb="FF000000"/>
        <rFont val="Calibri"/>
        <scheme val="minor"/>
      </rPr>
      <t xml:space="preserve">IF( TRIM( EPT01_CONTAS.CKSUBPRO ) = '', NULL, EPT01_CONTAS.CKSUBPRO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SELECT</t>
    </r>
    <r>
      <rPr>
        <sz val="11"/>
        <color rgb="FF000000"/>
        <rFont val="Calibri"/>
        <scheme val="minor"/>
      </rPr>
      <t xml:space="preserve"> IF( TRIM( TAT22_PRODUTO.CKSUBPRO ) = '', NULL, TAT22_PRODUTO.CKSUBPRO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</si>
  <si>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CKSUBPRO
IDSTIPRO -&gt; CKSUBPRO</t>
  </si>
  <si>
    <t>Bank identifier (internal Santander’s company identification code) that is related to the current account contract which anchors the loan contract.</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</si>
  <si>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'bank_id' AND PARAM_GENERAL_CODE_CONVERTER.SOURCE_CODE = 'DC'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 0 OR TCT09_OPERCN.ISITUAC = '1' ) AND EPT01_CONTAS.CSITCTA != 'EH'
    AND PARAM_GENERAL_CODE_CONVERTER.CODE CATEGORY = 'bank_id' AND PARAM_GENERAL_CODE_CONVERTER.SOURCE_CODE = 'DC' AND PARAM_GENERAL_CODE_CONVERTER.SOURCE_VALUE = ''
    AND TCT09_OPERCN.DENTRADA &lt;= TCT09_OPERCN.DATA_DATE_PART</t>
    </r>
  </si>
  <si>
    <t>Contract identifier of the current account that anchors the loan contract.</t>
  </si>
  <si>
    <t>CURATED_INTERNAL_MAINFRAME_EMPRESTIMOS
CURATED_INTERNAL_MAINFRAME_EMPRESTIMOS
CURATED_INTERNAL_MAINFRAME_CONTENCIOSO
CURATED_INTERNAL_MAINFRAME_ESTRUTURAIS
CURATED_INTERNAL_MAINFRAME_ESTRUTURAIS</t>
  </si>
  <si>
    <t>EPT01_CONTAS
CONTBACH_PRESTM
TCT09_OPERCN
COINT_CTOLOC_P
REL_CONTRATOS</t>
  </si>
  <si>
    <t>CKBALDO, CKCTADO
N\A
N\A
E2616_IDCENT_L, E2616_IDCONT_L
N\A</t>
  </si>
  <si>
    <r>
      <rPr>
        <b/>
        <sz val="11"/>
        <color rgb="FF000000"/>
        <rFont val="Calibri"/>
        <scheme val="minor"/>
      </rPr>
      <t xml:space="preserve">SELECT </t>
    </r>
    <r>
      <rPr>
        <sz val="11"/>
        <color rgb="FF000000"/>
        <rFont val="Calibri"/>
        <scheme val="minor"/>
      </rPr>
      <t xml:space="preserve">CONCAT( EPT01_CONTAS.CKBALDO, EPT01_CONTAS.CKCTADO,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 0 OR TCT09_OPERCN.ISITUAC = '1' )
    AND REL_CONTRATOS.RCC_CORELCC = '040' AND AND REL_CONTRATOS.RCC_FEVENCIM = '9999-12-31' AND REL_CONTRATOS.RCC_TIPOSIT = '10'
    AND TCT09_OPERCN.DENTRADA &lt;= TCT09_OPERCN.DATA_DATE_PART</t>
    </r>
  </si>
  <si>
    <t>EPT01_CONTAS
REL_CONTRATOS  -&gt; COINT_CTOLOC_P</t>
  </si>
  <si>
    <t>CONCAT( CKBALDO, CKCTADO, "000000000000000" )
CONCAT( IDCENTR, IDPRODR, IDCONTR ) -&gt; CONCAT( IDCENT_L, IDCONT_L, "000000000000000" )</t>
  </si>
  <si>
    <t>CURATED_INTERNAL_MAINFRAME_EMPRESTIMOS
CURATED_INTERNAL_MAINFRAME_EMPRESTIMOS
CURATED_INTERNAL_MAINFRAME_CONTENCIOSO</t>
  </si>
  <si>
    <t>EPT01_CONTAS
CONTBACH_PRESTM
TCT09_OPERCN</t>
  </si>
  <si>
    <t>DFORMALI
CTP_FEULTREN
N\A</t>
  </si>
  <si>
    <r>
      <rPr>
        <b/>
        <sz val="11"/>
        <color rgb="FF000000"/>
        <rFont val="Calibri"/>
        <scheme val="minor"/>
      </rPr>
      <t xml:space="preserve">SELECT </t>
    </r>
    <r>
      <rPr>
        <sz val="11"/>
        <color rgb="FF000000"/>
        <rFont val="Calibri"/>
        <scheme val="minor"/>
      </rPr>
      <t xml:space="preserve">IF( TRIM( EPT01_CONTAS.DFORMALI ) = '', NULL, EPT01_CONTAS.DFORMALI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CONTBACH_PRESTM.CTP_FEULTREN ) = '', NULL, CONTBACH_PRESTM.CTP_FEULTREN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</si>
  <si>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EPT01_CONTAS
CONTBACH_PRESTM</t>
  </si>
  <si>
    <t>DFORMALI
FEULTREN</t>
  </si>
  <si>
    <t>DVENCIME
CTP_FEVENCIM
DVENCIM</t>
  </si>
  <si>
    <r>
      <rPr>
        <b/>
        <sz val="11"/>
        <color rgb="FF000000"/>
        <rFont val="Calibri"/>
        <scheme val="minor"/>
      </rPr>
      <t xml:space="preserve">SELECT </t>
    </r>
    <r>
      <rPr>
        <sz val="11"/>
        <color rgb="FF000000"/>
        <rFont val="Calibri"/>
        <scheme val="minor"/>
      </rPr>
      <t xml:space="preserve">IF( TCT09_OPERCN.CKBALCAO IS NULL,
    IF( TRIM( EPT01_CONTAS.DVENCIME ) = '',
        NULL,
        EPT01_CONTAS.DVENCIME ),
    IF( TRIM( TCT09_OPERCN.DVENCIM ) = '',
        NULL,
        TCT09_OPERCN.DVENCIM )
</t>
    </r>
    <r>
      <rPr>
        <b/>
        <sz val="11"/>
        <color rgb="FF000000"/>
        <rFont val="Calibri"/>
        <scheme val="minor"/>
      </rPr>
      <t>WHERE</t>
    </r>
    <r>
      <rPr>
        <sz val="11"/>
        <color rgb="FF000000"/>
        <rFont val="Calibri"/>
        <scheme val="minor"/>
      </rPr>
      <t xml:space="preserve"> (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IF( TRIM( CONTBACH_PRESTM.CTP_FEVENCIM ) = '',
        NULL,
        CONTBACH_PRESTM.CTP_FEVENCIM ),
      IF( TRIM( TCT09_OPERCN.DVENCIM ) = '',
        NULL,
        TCT09_OPERCN.DVENCIM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</si>
  <si>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EP - Empréstimos || TC - Terminal Contencioso
EH - Empréstimos || TC - Terminal Contencioso</t>
  </si>
  <si>
    <t>EPT01_CONTAS || TCT09_OPERCN
CONTBACH_PRESTM || TCT09_OPERCN</t>
  </si>
  <si>
    <t>DVENCIME || DVENCIM
FEVENCIM || DVENCIM</t>
  </si>
  <si>
    <t>N\A || N\A
N\A || N\A</t>
  </si>
  <si>
    <t>Currency:
TAT91 - CTABELA 206; CURATED_INTERNAL_MAINFRAME_ESTRUTURAIS.TAT91_TABELAS - TAYD91C0_CTABELA 206
MONEDA -&gt; TAT91 - CTABELA 206; CURATED_INTERNAL_MAINFRAME_ESTRUTURAIS.TAT91_TABELAS - TAYD91C0_CTABELA 206</t>
  </si>
  <si>
    <t>EPT01_CONTAS
CONTBACH_PRESTM
TCT09_OPERCN
TAT21_MOEDA</t>
  </si>
  <si>
    <t>N\A
N\A
N\A
CMOEDA</t>
  </si>
  <si>
    <r>
      <rPr>
        <b/>
        <sz val="11"/>
        <color rgb="FF000000"/>
        <rFont val="Calibri"/>
        <scheme val="minor"/>
      </rPr>
      <t xml:space="preserve">SELECT </t>
    </r>
    <r>
      <rPr>
        <sz val="11"/>
        <color rgb="FF000000"/>
        <rFont val="Calibri"/>
        <scheme val="minor"/>
      </rPr>
      <t xml:space="preserve">IF( TRIM( EPT01_CONTAS.CMOEDA ) = '', NULL, EPT01_CONTAS.CMOEDA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TAT21_MOEDA.CMOEDA ) = '', NULL, TAT21_MOEDA.CMOEDA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</si>
  <si>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EPT01_CONTAS
CONTBACH_PRESTM -&gt; TAT21_MOEDA</t>
  </si>
  <si>
    <t>CMOEDA
CODMONBE -&gt; CMOEDA</t>
  </si>
  <si>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</si>
  <si>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"0" || "1"
"0" || "1"</t>
  </si>
  <si>
    <t>CURATED_INTERNAL_MAINFRAME_EMPRESTIMOS
CURATED_INTERNAL_MAINFRAME_EMPRESTIMOS
CURATED_INTERNAL_MAINFRAME_EMPRESTIMOS
CURATED_INTERNAL_MAINFRAME_CONTENCIOSO</t>
  </si>
  <si>
    <t>EPT01_CONTAS
CONTBACH_PRESTM
EH_DET_REC_COB
TCT09_OPERCN</t>
  </si>
  <si>
    <t>ZNUMPRES
N\A
N\A
N\A</t>
  </si>
  <si>
    <r>
      <rPr>
        <b/>
        <sz val="11"/>
        <color rgb="FF000000"/>
        <rFont val="Calibri"/>
        <scheme val="minor"/>
      </rPr>
      <t xml:space="preserve">SELECT </t>
    </r>
    <r>
      <rPr>
        <sz val="11"/>
        <color rgb="FF000000"/>
        <rFont val="Calibri"/>
        <scheme val="minor"/>
      </rPr>
      <t xml:space="preserve">CAST( EPT01_CONTAS.ZNUMPRES AS INT )
WHERE (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COUNT( DISTINCT( EH_DET_REC_COB.E4279_FECALTA ) ) IS NULL, CAST( 0 AS INT ), CAST( COUNT( DISTINCT( EH_DET_REC_COB.E4279_FECALTA ) ) AS INT )
</t>
    </r>
    <r>
      <rPr>
        <b/>
        <sz val="11"/>
        <color rgb="FF000000"/>
        <rFont val="Calibri"/>
        <scheme val="minor"/>
      </rPr>
      <t xml:space="preserve">WHERE </t>
    </r>
    <r>
      <rPr>
        <sz val="11"/>
        <color rgb="FF000000"/>
        <rFont val="Calibri"/>
        <scheme val="minor"/>
      </rPr>
      <t>( CONTBACH_PRESTM.CTP_COTSITCO = 0 OR TCT09_OPERCN.ISITUAC = '1' )
    AND EH_DET_REC_COB.E4279_CODCONP NOT IN ( '212', '424' ) GROUP BY  EH_DET_REC_COB.E4279_IDEMPR, EH_DET_REC_COB.E4279_IDCENT, EH_DET_REC_COB.E4279_CODPROD, EH_DET_REC_COB.E4279_IDCONTR
    AND TCT09_OPERCN.DENTRADA &lt;= TCT09_OPERCN.DATA_DATE_PART</t>
    </r>
  </si>
  <si>
    <t>EPT01_CONTAS
REC_DEC_COB</t>
  </si>
  <si>
    <t>ZNUMPRES
FECALTA</t>
  </si>
  <si>
    <t>Current Asked Amount</t>
  </si>
  <si>
    <t>current_asked_amount</t>
  </si>
  <si>
    <t>Current amount that the client asked. It does not have to correspond to the authorized amount.</t>
  </si>
  <si>
    <t>Valor atualmente pedido pelo cliente, isto é, o valor do pedido de financiamento mais recente do cliente no âmbito do contrato (pode não corresponder ao valor efetivamente financiado).</t>
  </si>
  <si>
    <t>EPT01_CONTAS
CONTBACH_PRESTM
EH_CTR_ONL_POSI
TCT09_OPERCN</t>
  </si>
  <si>
    <t>MCAPSOLI
N\A
EH04_SLDCON
N\A</t>
  </si>
  <si>
    <r>
      <rPr>
        <b/>
        <sz val="11"/>
        <color rgb="FF000000"/>
        <rFont val="Calibri"/>
        <scheme val="minor"/>
      </rPr>
      <t xml:space="preserve">SELECT </t>
    </r>
    <r>
      <rPr>
        <sz val="11"/>
        <color rgb="FF000000"/>
        <rFont val="Calibri"/>
        <scheme val="minor"/>
      </rPr>
      <t xml:space="preserve">CAST( EPT01_CONTAS.MCAPSOLI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 xml:space="preserve">WHERE </t>
    </r>
    <r>
      <rPr>
        <sz val="11"/>
        <color rgb="FF000000"/>
        <rFont val="Calibri"/>
        <scheme val="minor"/>
      </rPr>
      <t>( CONTBACH_PRESTM.CTP_COTSITCO = 0 OR TCT09_OPERCN.ISITUAC = '1' )
    AND EH_CTR_ONL_POSI.EH04_TIPMVTO = '336'
    AND TCT09_OPERCN.DENTRADA &lt;= TCT09_OPERCN.DATA_DATE_PART</t>
    </r>
  </si>
  <si>
    <t>EPT01_CONTAS
EH_CTR_ONL_POSI</t>
  </si>
  <si>
    <t>MCAPSOLI
SLDCON - DEBE1 + HABER1 - DEBE2 + HABER2</t>
  </si>
  <si>
    <t>MCAPCONC
N\A
EH04_SLDCON
N\A</t>
  </si>
  <si>
    <r>
      <rPr>
        <b/>
        <sz val="11"/>
        <color rgb="FF000000"/>
        <rFont val="Calibri"/>
        <scheme val="minor"/>
      </rPr>
      <t xml:space="preserve">SELECT </t>
    </r>
    <r>
      <rPr>
        <sz val="11"/>
        <color rgb="FF000000"/>
        <rFont val="Calibri"/>
        <scheme val="minor"/>
      </rPr>
      <t xml:space="preserve">CAST( EPT01_CONTAS.MCAPCONC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WHERE</t>
    </r>
    <r>
      <rPr>
        <sz val="11"/>
        <color rgb="FF000000"/>
        <rFont val="Calibri"/>
        <scheme val="minor"/>
      </rPr>
      <t xml:space="preserve"> ( CONTBACH_PRESTM.CTP_COTSITCO = 0 OR TCT09_OPERCN.ISITUAC = '1' )
    AND EH_CTR_ONL_POSI.EH04_TIPMVTO = '336'
    AND TCT09_OPERCN.DENTRADA &lt;= TCT09_OPERCN.DATA_DATE_PART</t>
    </r>
  </si>
  <si>
    <t>MCAPCONC
SLDCON - DEBE1 + HABER1 - DEBE2 + HABER2</t>
  </si>
  <si>
    <t>Valor total avançado (financiado) no âmbito do contrato, sendo que o valor corresponder ao total ou parcial do valor completo do empréstimo.</t>
  </si>
  <si>
    <t>MCAPUTIL
N\A
EH04_SLDCON
N\A</t>
  </si>
  <si>
    <r>
      <rPr>
        <b/>
        <sz val="11"/>
        <color rgb="FF000000"/>
        <rFont val="Calibri"/>
        <scheme val="minor"/>
      </rPr>
      <t xml:space="preserve">SELECT </t>
    </r>
    <r>
      <rPr>
        <sz val="11"/>
        <color rgb="FF000000"/>
        <rFont val="Calibri"/>
        <scheme val="minor"/>
      </rPr>
      <t xml:space="preserve">CAST( EPT01_CONTAS.MCAPUTIL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 xml:space="preserve">WHERE </t>
    </r>
    <r>
      <rPr>
        <sz val="11"/>
        <color rgb="FF000000"/>
        <rFont val="Calibri"/>
        <scheme val="minor"/>
      </rPr>
      <t>( CONTBACH_PRESTM.CTP_COTSITCO = 0 OR TCT09_OPERCN.ISITUAC = '1' )
    AND EH_CTR_ONL_POSI.EH04_TIPMVTO = '336'
    AND TCT09_OPERCN.DENTRADA &lt;= TCT09_OPERCN.DATA_DATE_PART</t>
    </r>
  </si>
  <si>
    <t>MCAPUTIL
SLDCON - DEBE1 + HABER1 - DEBE2 + HABER2</t>
  </si>
  <si>
    <t>CURATED_INTERNAL_MAINFRAME_EMPRESTIMOS
CURATED_INTERNAL_MAINFRAME_EMPRESTIMOS
CURATED_INTERNAL_MAINFRAME_EMPRESTIMOS
CURATED_INTERNAL_MAINFRAME_EMPRESTIMOS
CURATED_INTERNAL_MAINFRAME_CONTENCIOSO</t>
  </si>
  <si>
    <t>EPT01_CONTAS
EPT08_PRESTACOES
CONTBACH_PRESTM
EH_CTR_ONL_POSI
TCT09_OPERCN</t>
  </si>
  <si>
    <t>MSLDREAL
MCAPTOT, MCAPPAG
N\A
EH04_SLDCON
N\A</t>
  </si>
  <si>
    <r>
      <rPr>
        <b/>
        <sz val="11"/>
        <color rgb="FF000000"/>
        <rFont val="Calibri"/>
        <scheme val="minor"/>
      </rPr>
      <t xml:space="preserve">SELECT </t>
    </r>
    <r>
      <rPr>
        <sz val="11"/>
        <color rgb="FF000000"/>
        <rFont val="Calibri"/>
        <scheme val="minor"/>
      </rPr>
      <t xml:space="preserve">CASE
        WHEN TCT09_OPERCN.CKBALCAO IS NOT NULL THEN CAST(0.00 AS DECIMAL(23, 6))
        WHEN EPT08_PRESTACOES.CKBALCAO IS NULL THEN CAST(EPT01_CONTAS.MSLDREAL AS DECIMAL(23, 6))
        ELSE CAST(EPT01_CONTAS.MSLDREAL - SUM( EPT08_PRESTACOES.MCAPTOT - EPT08_PRESTACOES.MCAPPAG )  AS DECIMAL(23, 6))
      END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CAST( - ( EH_CTR_ONL_POSI.EH04_SLDCON ) AS DECIMAL( 23, 6 ) ),
    CAST( 0.00 AS DECIMAL(23, 6))
</t>
    </r>
    <r>
      <rPr>
        <b/>
        <sz val="11"/>
        <color rgb="FF000000"/>
        <rFont val="Calibri"/>
        <scheme val="minor"/>
      </rPr>
      <t xml:space="preserve">WHERE </t>
    </r>
    <r>
      <rPr>
        <sz val="11"/>
        <color rgb="FF000000"/>
        <rFont val="Calibri"/>
        <scheme val="minor"/>
      </rPr>
      <t>( CONTBACH_PRESTM.CTP_COTSITCO = 0 OR TCT09_OPERCN.ISITUAC = '1' )
    AND EH_CTR_ONL_POSI.EH04_TIPMVTO = '000'
    AND TCT09_OPERCN.DENTRADA &lt;= TCT09_OPERCN.DATA_DATE_PART</t>
    </r>
  </si>
  <si>
    <t>EPT01_CONTAS || N\A
EH_CTR_ONL_POSI || N\A</t>
  </si>
  <si>
    <t>MSLDTEOR || N\A
ABS( SLDCON - DEBE1 + HABER1 - DEBE2 + HABER2 ) || N\A</t>
  </si>
  <si>
    <t>N\A || "0.00"
N\A || "0.00"</t>
  </si>
  <si>
    <t>Saldo atual de capital em incumprimento associados ao contrato.</t>
  </si>
  <si>
    <t xml:space="preserve">Balance Value </t>
  </si>
  <si>
    <t>MCAPTOT, MCAPPAG
N\A
EH04_SLDCON
N\A</t>
  </si>
  <si>
    <r>
      <rPr>
        <b/>
        <sz val="11"/>
        <color rgb="FF000000"/>
        <rFont val="Calibri"/>
        <scheme val="minor"/>
      </rPr>
      <t xml:space="preserve">SELECT </t>
    </r>
    <r>
      <rPr>
        <sz val="11"/>
        <color rgb="FF000000"/>
        <rFont val="Calibri"/>
        <scheme val="minor"/>
      </rPr>
      <t xml:space="preserve">IF( TCT09_OPERCN.CKBALCAO IS NULL,
      IF( EPT08_PRESTACOES.CKBALCAO IS NULL,
        CAST( 0.00 AS DECIMAL( 23, 6 ) ),
        CAST( SUM( EPT08_PRESTACOES.MCAPTOT - EPT08_PRESTACOES.MCAPPAG ) AS DECIMAL( 23, 6 ) ) ), 
        CAST( 0.00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IF( EH_CTR_ONL_POSI.eh04_idcent IS NOT NULL,
        CAST( - ( EH_CTR_ONL_POSI.EH04_SLDCON ) AS DECIMAL( 23, 6 ) ),
        CAST( 0.00 AS DECIMAL( 23, 6 ) ) ),
    CAST( 0.00 AS DECIMAL( 23, 6 ) )
</t>
    </r>
    <r>
      <rPr>
        <b/>
        <sz val="11"/>
        <color rgb="FF000000"/>
        <rFont val="Calibri"/>
        <scheme val="minor"/>
      </rPr>
      <t xml:space="preserve">WHERE </t>
    </r>
    <r>
      <rPr>
        <sz val="11"/>
        <color rgb="FF000000"/>
        <rFont val="Calibri"/>
        <scheme val="minor"/>
      </rPr>
      <t>( CONTBACH_PRESTM.CTP_COTSITCO = 0 OR TCT09_OPERCN.ISITUAC = '1' )
    AND EH_CTR_ONL_POSI.EH04_TIPMVTO = 'KIM'
    AND TCT09_OPERCN.DENTRADA &lt;= TCT09_OPERCN.DATA_DATE_PART</t>
    </r>
  </si>
  <si>
    <t>EPT08_PRESTACOES || N\A
EH_CTR_ONL_POSI || N\A</t>
  </si>
  <si>
    <t>MCAPTOT - MCAPPAG || N\A
ABS( SLDCON - DEBE1 + HABER1 - DEBE2 + HABER2 ) N\A</t>
  </si>
  <si>
    <t>CURATED_INTERNAL_MAINFRAME_EMPRESTIMOS
CURATED_INTERNAL_MAINFRAME_EMPRESTIMOS
CURATED_INTERNAL_MAINFRAME_CONTENCIOSO
CURATED_INTERNAL_MAINFRAME_CONTENCIOSO</t>
  </si>
  <si>
    <t>EPT01_CONTAS
CONTBACH_PRESTM
TCT09_OPERCN
TCT01_POSDIVID</t>
  </si>
  <si>
    <t xml:space="preserve">N\A
N\A
N\A
MCAPITALD </t>
  </si>
  <si>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TCT01_POSDIVID.IACTIVO = 'S'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CONTBACH_PRESTM.CTP_COTSITCO = 0 OR TCT09_OPERCN.ISITUAC = '1' )
    AND EPT01_CONTAS.CSITCTA != 'EH' AND TCT01_POSDIVID.IACTIVO = 'S'
    AND TCT09_OPERCN.DENTRADA &lt;= TCT09_OPERCN.DATA_DATE_PART</t>
    </r>
  </si>
  <si>
    <t>N\A || TCT01_POSDIVID
N\A || TCT01_POSDIVID</t>
  </si>
  <si>
    <t>N\A || MCAPITALD
N\A || MCAPITALD</t>
  </si>
  <si>
    <t>"0.00" || N\A
"0.00" || N\A</t>
  </si>
  <si>
    <t>Date in which the next ordinary installment of the loan is expected to be payed. If the loan has payed all the installments, this field is not applicable.</t>
  </si>
  <si>
    <t>DPROXAMO 
CTP_FEPROAMO
N\A</t>
  </si>
  <si>
    <r>
      <rPr>
        <b/>
        <sz val="11"/>
        <color rgb="FF000000"/>
        <rFont val="Calibri"/>
        <scheme val="minor"/>
      </rPr>
      <t xml:space="preserve">SELECT </t>
    </r>
    <r>
      <rPr>
        <sz val="11"/>
        <color rgb="FF000000"/>
        <rFont val="Calibri"/>
        <scheme val="minor"/>
      </rPr>
      <t xml:space="preserve">IF( TRIM( EPT01_CONTAS.DPROXAMO ) = '', NULL, CAST( EPT01_CONTAS.DPROXAMO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CONTBACH_PRESTM.CTP_FEPROAMO ) = '', NULL, CAST( CONTBACH_PRESTM.CTP_FEPROAMO AS STRING )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</si>
  <si>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DPROXAMO
FEPROAMO</t>
  </si>
  <si>
    <t>Next Regular Amortization Amount</t>
  </si>
  <si>
    <t>next_regular_amortization_amount</t>
  </si>
  <si>
    <t>EPT01_CONTAS
EPT06_QUOTAS
CONTBACH_PRESTM
CUOTAS_PRTM
TCT09_OPERCN</t>
  </si>
  <si>
    <t>N\A
MQUOTA
N\A
PART_ACUOTAS
N\A</t>
  </si>
  <si>
    <r>
      <rPr>
        <b/>
        <sz val="11"/>
        <color rgb="FF000000"/>
        <rFont val="Calibri"/>
        <scheme val="minor"/>
      </rPr>
      <t xml:space="preserve">SELECT </t>
    </r>
    <r>
      <rPr>
        <sz val="11"/>
        <color rgb="FF000000"/>
        <rFont val="Calibri"/>
        <scheme val="minor"/>
      </rPr>
      <t xml:space="preserve">CAST( EPT06_QUOTAS.MQUOTA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EPT06_QUOTAS.DINIVALI ) AND EPT06_QUOTAS.DFIMVALI &gt;= EPT06_QUOTAS.DATA_DATE_PART AND EPT06_QUOTAS.DINIVALI &lt;= EPT06_QUOTAS.DATA_DATE_PART
    AND TCT09_OPERCN.DENTRADA &lt;= TCT09_OPERCN.DATA_DATE_PART
</t>
    </r>
    <r>
      <rPr>
        <b/>
        <sz val="11"/>
        <color rgb="FF000000"/>
        <rFont val="Calibri"/>
        <scheme val="minor"/>
      </rPr>
      <t xml:space="preserve">SELECT </t>
    </r>
    <r>
      <rPr>
        <sz val="11"/>
        <color rgb="FF000000"/>
        <rFont val="Calibri"/>
        <scheme val="minor"/>
      </rPr>
      <t xml:space="preserve">CAST( CUOTAS_PRTM.PART_ACUOTAS AS DECIMAL( 23, 6 ) )
</t>
    </r>
    <r>
      <rPr>
        <b/>
        <sz val="11"/>
        <color rgb="FF000000"/>
        <rFont val="Calibri"/>
        <scheme val="minor"/>
      </rPr>
      <t xml:space="preserve">WHERE </t>
    </r>
    <r>
      <rPr>
        <sz val="11"/>
        <color rgb="FF000000"/>
        <rFont val="Calibri"/>
        <scheme val="minor"/>
      </rPr>
      <t>( CONTBACH_PRESTM.CTP_COTSITCO = 0 OR TCT09_OPERCN.ISITUAC = '1' )
    AND MAX( CUOTAS_PRTM.PART_FECOMVAL ) AND  CUOTAS_PRTM.PART_FECOMVAL &lt;= CUOTAS_PRTM.DATA_DATE_PART AND CUOTAS_PRTM.PART_FEFINVAL &gt; CUOTAS_PRTM.DATA_DATE_PART
    AND TCT09_OPERCN.DENTRADA &lt;= TCT09_OPERCN.DATA_DATE_PART</t>
    </r>
  </si>
  <si>
    <t>EPT06_QUOTAS
CUOTAS_PRTM</t>
  </si>
  <si>
    <t>MQUOTA
ACUOTAS</t>
  </si>
  <si>
    <t>Next Subsidized Regular Amortization Amount</t>
  </si>
  <si>
    <t>next_subsidized_reg_amort_amount</t>
  </si>
  <si>
    <t>The principal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</si>
  <si>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Valor de capital da próxima amortização regular bonificada.</t>
  </si>
  <si>
    <t>EPT01_CONTAS
EPT10_CTABONIF
CONTBACH_PRESTM
TCT09_OPERCN</t>
  </si>
  <si>
    <t>N\A
MQUOTA 
N\A
N\A</t>
  </si>
  <si>
    <r>
      <rPr>
        <b/>
        <sz val="11"/>
        <color rgb="FF000000"/>
        <rFont val="Calibri"/>
        <scheme val="minor"/>
      </rPr>
      <t xml:space="preserve">SELECT </t>
    </r>
    <r>
      <rPr>
        <sz val="11"/>
        <color rgb="FF000000"/>
        <rFont val="Calibri"/>
        <scheme val="minor"/>
      </rPr>
      <t xml:space="preserve">IF( EPT01_CONTAS.IBONIF != 'S', CAST( 0.00 AS DECIMAL( 23, 6 ) ), CAST( EPT10_CTABONIF.MQUOTA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</si>
  <si>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EPT10_CTABONIF || N\A
N\A</t>
  </si>
  <si>
    <t>MQUOTA || N\A
N\A</t>
  </si>
  <si>
    <t>N\A || "0.00"
"0.00"</t>
  </si>
  <si>
    <t>The due date of the most recent loan's ordinary installment. If the loan does not have installment that reached its due date than this field is not applicable.</t>
  </si>
  <si>
    <t>EPT01_CONTAS
EPT08_PRESTACOES
CONTBACH_PRESTM
EH_DET_REC_COB
TCT09_OPERCN</t>
  </si>
  <si>
    <t>N\A
DLIQUID
N\A
E4279_FECALTA
N\A</t>
  </si>
  <si>
    <r>
      <rPr>
        <b/>
        <sz val="11"/>
        <color rgb="FF000000"/>
        <rFont val="Calibri"/>
        <scheme val="minor"/>
      </rPr>
      <t xml:space="preserve">SELECT </t>
    </r>
    <r>
      <rPr>
        <sz val="11"/>
        <color rgb="FF000000"/>
        <rFont val="Calibri"/>
        <scheme val="minor"/>
      </rPr>
      <t xml:space="preserve">IF( TRIM( EPT08_PRESTACOES.DLIQUID ) = '', NULL, CAST( EPT08_PRESTACOES.DLIQUID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AND TCT09_OPERCN.DENTRADA &lt;= TCT09_OPERCN.DATA_DATE_PART
</t>
    </r>
    <r>
      <rPr>
        <b/>
        <sz val="11"/>
        <color rgb="FF000000"/>
        <rFont val="Calibri"/>
        <scheme val="minor"/>
      </rPr>
      <t xml:space="preserve">SELECT </t>
    </r>
    <r>
      <rPr>
        <sz val="11"/>
        <color rgb="FF000000"/>
        <rFont val="Calibri"/>
        <scheme val="minor"/>
      </rPr>
      <t xml:space="preserve">IF( TRIM( EH_DET_REC_COB.E4279_FECALTA ) = '', NULL, CAST( EH_DET_REC_COB.E4279_FECALTA AS STRING ) )
</t>
    </r>
    <r>
      <rPr>
        <b/>
        <sz val="11"/>
        <color rgb="FF000000"/>
        <rFont val="Calibri"/>
        <scheme val="minor"/>
      </rPr>
      <t xml:space="preserve">WHERE </t>
    </r>
    <r>
      <rPr>
        <sz val="11"/>
        <color rgb="FF000000"/>
        <rFont val="Calibri"/>
        <scheme val="minor"/>
      </rPr>
      <t>( CONTBACH_PRESTM.CTP_COTSITCO = 0 OR TCT09_OPERCN.ISITUAC = '1' )
    AND EH_DET_REC_COB.E4279_CODCONP NOT IN ( '323', '424' ) AND MAX( EH_DET_REC_COB.E4279_FECALTA )
    AND TCT09_OPERCN.DENTRADA &lt;= TCT09_OPERCN.DATA_DATE_PART</t>
    </r>
  </si>
  <si>
    <t>EPT08_PRESTACOES
EH_REC_DEC_COB</t>
  </si>
  <si>
    <t>DLIQUID
FECALTA</t>
  </si>
  <si>
    <t>CURATED_INTERNAL_MAINFRAME_EMPRESTIMOS
CURATED_INTERNAL_MAINFRAME_EMPRESTIMOS
CURATED_INTERNAL_MAINFRAME_EMPRESTIMOS
CURATED_INTERNAL_MAINFRAME_EMPRESTIMOS
CURATED_INTERNAL_MAINFRAME_EMPRESTIMOS
CURATED_INTERNAL_MAINFRAME_CONTENCIOSO</t>
  </si>
  <si>
    <t>EPT01_CONTAS
EPT08_PRESTACOES
CONTBACH_PRESTM
EH_DET_REC_COB
EH_DET_REC_COB (AMT)
TCT09_OPERCN</t>
  </si>
  <si>
    <t>N\A
MCAPTOT
N\A
N\A
E4279_IMPORCON
N\A</t>
  </si>
  <si>
    <r>
      <rPr>
        <b/>
        <sz val="11"/>
        <color rgb="FF000000"/>
        <rFont val="Calibri"/>
        <scheme val="minor"/>
      </rPr>
      <t xml:space="preserve">SELECT </t>
    </r>
    <r>
      <rPr>
        <sz val="11"/>
        <color rgb="FF000000"/>
        <rFont val="Calibri"/>
        <scheme val="minor"/>
      </rPr>
      <t xml:space="preserve">CAST( EPT08_PRESTACOES.MCAPTOT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AND TCT09_OPERCN.DENTRADA &lt;= TCT09_OPERCN.DATA_DATE_PART
</t>
    </r>
    <r>
      <rPr>
        <b/>
        <sz val="11"/>
        <color rgb="FF000000"/>
        <rFont val="Calibri"/>
        <scheme val="minor"/>
      </rPr>
      <t xml:space="preserve">SELECT </t>
    </r>
    <r>
      <rPr>
        <sz val="11"/>
        <color rgb="FF000000"/>
        <rFont val="Calibri"/>
        <scheme val="minor"/>
      </rPr>
      <t xml:space="preserve">IF( EH_DET_REC_COB (AMT).E4279_IMPORCON IS NULL AND EH_DET_REC_COB.E4279_FECALTA IS NOT NULL, CAST( 0.00 AS DECIMAL( 23, 6 ) ), CAST( EH_DET_REC_COB (AMT).E4279_IMPORCON AS DECIMAL( 23, 6 ) ) )
</t>
    </r>
    <r>
      <rPr>
        <b/>
        <sz val="11"/>
        <color rgb="FF000000"/>
        <rFont val="Calibri"/>
        <scheme val="minor"/>
      </rPr>
      <t xml:space="preserve">WHERE </t>
    </r>
    <r>
      <rPr>
        <sz val="11"/>
        <color rgb="FF000000"/>
        <rFont val="Calibri"/>
        <scheme val="minor"/>
      </rPr>
      <t>( CONTBACH_PRESTM.CTP_COTSITCO = 0 OR TCT09_OPERCN.ISITUAC = '1' )
    AND EH_DET_REC_COB.E4279_CODCONP NOT IN ( '323', '424' ) AND MAX( EH_DET_REC_COB.E4279_FECALTA )
    AND EH_DET_REC_COB (AMT).E4279_CODCONP = '323'
    AND TCT09_OPERCN.DENTRADA &lt;= TCT09_OPERCN.DATA_DATE_PART</t>
    </r>
  </si>
  <si>
    <t>EP - Empréstimos
CA - Catálogo</t>
  </si>
  <si>
    <t>MCAPTOT
IMPORCON</t>
  </si>
  <si>
    <t>EPT01_CONTAS
EPT07_MOVCTA
CONTBACH_PRESTM
EH_DET_REC_COB
EH_OPER_CONTR
TCT09_OPERCN</t>
  </si>
  <si>
    <t>N\A
DDIAOP
N\A
N\A
EH10_FECOPER
N\A</t>
  </si>
  <si>
    <r>
      <rPr>
        <b/>
        <sz val="11"/>
        <color rgb="FF000000"/>
        <rFont val="Calibri"/>
        <scheme val="minor"/>
      </rPr>
      <t xml:space="preserve">SELECT </t>
    </r>
    <r>
      <rPr>
        <sz val="11"/>
        <color rgb="FF000000"/>
        <rFont val="Calibri"/>
        <scheme val="minor"/>
      </rPr>
      <t xml:space="preserve">IF( TRIM( EPT07_MOVCTA.DDIAOP )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AND TCT09_OPERCN.DENTRADA &lt;= TCT09_OPERCN.DATA_DATE_PART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 0 OR TCT09_OPERCN.ISITUAC = '1' )
    AND EH_OPER_CONTR.EH10_CODOPBAS IN ( '028', '005' ) AND EH_OPER_CONTR.EH10_IMPOPERA != 0 AND MAX( EH_DET_REC_COB.EH10_HNUOPEM )
    AND TCT09_OPERCN.DENTRADA &lt;= TCT09_OPERCN.DATA_DATE_PART</t>
    </r>
  </si>
  <si>
    <t>EPT07_MOVCTA
EH_OPER_CONTR</t>
  </si>
  <si>
    <t>DDIAOP
FECOPER</t>
  </si>
  <si>
    <t>N\A
MMOVORIG
N\A
EH10_IMPOPERA
N\A</t>
  </si>
  <si>
    <r>
      <rPr>
        <b/>
        <sz val="11"/>
        <color rgb="FF000000"/>
        <rFont val="Calibri"/>
        <scheme val="minor"/>
      </rPr>
      <t>SELECT</t>
    </r>
    <r>
      <rPr>
        <sz val="11"/>
        <color rgb="FF000000"/>
        <rFont val="Calibri"/>
        <scheme val="minor"/>
      </rPr>
      <t xml:space="preserve"> CAST( EPT07_MOVCTA.MMOVORIG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AND TCT09_OPERCN.DENTRADA &lt;= TCT09_OPERCN.DATA_DATE_PART
</t>
    </r>
    <r>
      <rPr>
        <b/>
        <sz val="11"/>
        <color rgb="FF000000"/>
        <rFont val="Calibri"/>
        <scheme val="minor"/>
      </rPr>
      <t>SELECT</t>
    </r>
    <r>
      <rPr>
        <sz val="11"/>
        <color rgb="FF000000"/>
        <rFont val="Calibri"/>
        <scheme val="minor"/>
      </rPr>
      <t xml:space="preserve"> CAST( EH_OPER_CONTR.EH10_IMPOPERA AS DECIMAL( 23, 6 ) )
</t>
    </r>
    <r>
      <rPr>
        <b/>
        <sz val="11"/>
        <color rgb="FF000000"/>
        <rFont val="Calibri"/>
        <scheme val="minor"/>
      </rPr>
      <t xml:space="preserve">WHERE </t>
    </r>
    <r>
      <rPr>
        <sz val="11"/>
        <color rgb="FF000000"/>
        <rFont val="Calibri"/>
        <scheme val="minor"/>
      </rPr>
      <t>( CONTBACH_PRESTM.CTP_COTSITCO = 0 OR TCT09_OPERCN.ISITUAC = '1' )
    AND EH_OPER_CONTR.EH10_CODOPBAS IN ( '028', '005' ) AND EH_OPER_CONTR.EH10_IMPOPERA != 0 AND MAX( EH_DET_REC_COB.EH10_HNUOPEM )
    AND TCT09_OPERCN.DENTRADA &lt;= TCT09_OPERCN.DATA_DATE_PART</t>
    </r>
  </si>
  <si>
    <t>MMOVORIG
IMPOPERA</t>
  </si>
  <si>
    <t>Date in which the last ordinary installment payment associated with the loan was made. If the loan does not a past payment than this field is not applicable.</t>
  </si>
  <si>
    <r>
      <rPr>
        <b/>
        <sz val="11"/>
        <color rgb="FF000000"/>
        <rFont val="Calibri"/>
        <scheme val="minor"/>
      </rPr>
      <t xml:space="preserve">SELECT  </t>
    </r>
    <r>
      <rPr>
        <sz val="11"/>
        <color rgb="FF000000"/>
        <rFont val="Calibri"/>
        <scheme val="minor"/>
      </rPr>
      <t xml:space="preserve">IF( TRIM( EPT07_MOVCTA.DDIAOP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'EP50' ) AND EPT07_MOVCTA.CMVTO = 'CAP'
    AND TCT09_OPERCN.DENTRADA &lt;= TCT09_OPERCN.DATA_DATE_PART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 0 OR TCT09_OPERCN.ISITUAC = '1' )
    AND EH_OPER_CONTR.EH10_CODOPBAS = '031' AND EH_OPER_CONTR.EH10_IMPOPERA != 0 AND MAX( EH_DET_REC_COB.EH10_HNUOPEM )
    AND TCT09_OPERCN.DENTRADA &lt;= TCT09_OPERCN.DATA_DATE_PART</t>
    </r>
  </si>
  <si>
    <t>The principal amount that was paid in the last ordinary installment payment associated to the loan. If the loan does not have a past installment payment , this field is not applicable.</t>
  </si>
  <si>
    <r>
      <rPr>
        <b/>
        <sz val="11"/>
        <color rgb="FF000000"/>
        <rFont val="Calibri"/>
        <scheme val="minor"/>
      </rPr>
      <t xml:space="preserve">SELECT </t>
    </r>
    <r>
      <rPr>
        <sz val="11"/>
        <color rgb="FF000000"/>
        <rFont val="Calibri"/>
        <scheme val="minor"/>
      </rPr>
      <t xml:space="preserve">IF(EPT07_MOVCTA.CTIPOPER = 'D', CAST(- EPT07_MOVCTA.MMOVORIG AS DECIMAL(23, 6)), CAST(EPT07_MOVCTA.MMOVORIG AS DECIMAL(23, 6)))
</t>
    </r>
    <r>
      <rPr>
        <b/>
        <sz val="11"/>
        <color rgb="FF000000"/>
        <rFont val="Calibri"/>
        <scheme val="minor"/>
      </rPr>
      <t>WHERE</t>
    </r>
    <r>
      <rPr>
        <sz val="11"/>
        <color rgb="FF000000"/>
        <rFont val="Calibri"/>
        <scheme val="minor"/>
      </rPr>
      <t xml:space="preserve"> ( EPT01_CONTAS.CSITCTA IN ( 'FO', 'SU', 'ES' ) OR TCT09_OPERCN.ISITUAC = '1' ) AND EPT01_CONTAS.CSITCTA != 'EH'
    AND MAX( EPT07_MOVCTA.DDIAOP, EPT07_MOVCTA.HTIMEST ) AND EPT07_MOVCTA.CCODTRAN IN ( 'EP50' ) AND EPT07_MOVCTA.CMVTO  = 'CAP'
</t>
    </r>
    <r>
      <rPr>
        <b/>
        <sz val="11"/>
        <color rgb="FF000000"/>
        <rFont val="Calibri"/>
        <scheme val="minor"/>
      </rPr>
      <t xml:space="preserve">SELECT </t>
    </r>
    <r>
      <rPr>
        <sz val="11"/>
        <color rgb="FF000000"/>
        <rFont val="Calibri"/>
        <scheme val="minor"/>
      </rPr>
      <t xml:space="preserve">IF(EH_OPER_CONTR.EH10_IMPOPERA IS NULL, CAST(0.00 AS DECIMAL(23, 6)), CAST(EH_OPER_CONTR.EH10_IMPOPERA AS DECIMAL(23, 6)))
</t>
    </r>
    <r>
      <rPr>
        <b/>
        <sz val="11"/>
        <color rgb="FF000000"/>
        <rFont val="Calibri"/>
        <scheme val="minor"/>
      </rPr>
      <t xml:space="preserve">WHERE </t>
    </r>
    <r>
      <rPr>
        <sz val="11"/>
        <color rgb="FF000000"/>
        <rFont val="Calibri"/>
        <scheme val="minor"/>
      </rPr>
      <t>( CONTBACH_PRESTM.CTP_COTSITCO = 0 OR TCT09_OPERCN.ISITUAC = '1' )
    AND EH_OPER_CONTR.EH10_CODOPBAS = '031' AND EH_OPER_CONTR.EH10_IMPOPERA != 0 AND MAX( EH_DET_REC_COB.EH10_HNUOPEM )</t>
    </r>
  </si>
  <si>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</si>
  <si>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EH_REL_REC_OPER
EH_OPER_CONTR
EPT99_MOVIMENTO
TCT09_OPERCN</t>
  </si>
  <si>
    <t>N\A
ZNUMPRE
N\A
N\A
N\A
ZNUMPRES
N\A</t>
  </si>
  <si>
    <r>
      <rPr>
        <b/>
        <sz val="11"/>
        <color rgb="FF000000"/>
        <rFont val="Calibri"/>
        <scheme val="minor"/>
      </rPr>
      <t xml:space="preserve">SELECT </t>
    </r>
    <r>
      <rPr>
        <sz val="11"/>
        <color rgb="FF000000"/>
        <rFont val="Calibri"/>
        <scheme val="minor"/>
      </rPr>
      <t xml:space="preserve">CAST( EPT07_MOVCTA.ZNUMPRE AS INT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'EP50' ) AND EPT07_MOVCTA.CMVTO  = 'CAP'
    AND TCT09_OPERCN.DENTRADA &lt;= TCT09_OPERCN.DATA_DATE_PART
</t>
    </r>
    <r>
      <rPr>
        <b/>
        <sz val="11"/>
        <color rgb="FF000000"/>
        <rFont val="Calibri"/>
        <scheme val="minor"/>
      </rPr>
      <t xml:space="preserve">SELECT </t>
    </r>
    <r>
      <rPr>
        <sz val="11"/>
        <color rgb="FF000000"/>
        <rFont val="Calibri"/>
        <scheme val="minor"/>
      </rPr>
      <t xml:space="preserve">CAST( EPT99_MOVIMENTO.ZNUMPRES AS INT )
</t>
    </r>
    <r>
      <rPr>
        <b/>
        <sz val="11"/>
        <color rgb="FF000000"/>
        <rFont val="Calibri"/>
        <scheme val="minor"/>
      </rPr>
      <t>WHERE</t>
    </r>
    <r>
      <rPr>
        <sz val="11"/>
        <color rgb="FF000000"/>
        <rFont val="Calibri"/>
        <scheme val="minor"/>
      </rPr>
      <t xml:space="preserve"> ( CONTBACH_PRESTM.CTP_COTSITCO = 0 OR TCT09_OPERCN.ISITUAC = '1' )
    AND EH_OPER_CONTR.EH10_CODOPBAS = '031' AND EH_OPER_CONTR.EH10_IMPOPERA != 0 AND MAX( EH_DET_REC_COB.EH10_HNUOPEM )
    AND MAX( EH_REL_REC_OPER.E4282_FECALTA ) AND EH_REL_REC_OPER.E4282_CODOPBAS = '031'
    AND MAX( EPT99_MOVIMENTO.ZSEQOPER ) AND EPT99_MOVIMENTO.DLIQUID = EH_REL_REC_OPER.E4282_FECALTA
    AND TCT09_OPERCN.DENTRADA &lt;= TCT09_OPERCN.DATA_DATE_PART</t>
    </r>
  </si>
  <si>
    <t>EPT07_MOVCTA
EPT99_MOVIMENTOS</t>
  </si>
  <si>
    <t>ZNUMPRE
ZNUMPRE</t>
  </si>
  <si>
    <t>Subsidized Rate Type Code</t>
  </si>
  <si>
    <t>subsidized_rate_type_code</t>
  </si>
  <si>
    <t>Indicates whether the contract is currently paying a subsidized rate.</t>
  </si>
  <si>
    <t>Identifica se o contrato está a beneficiar de uma bonificação.</t>
  </si>
  <si>
    <t>Subsidized Rate Type:
N\A (A - Elegível para Bonificação; C - Bonificação Cancelada; N - Não Bonificado; S - Bonificado); N\A (A - Elegível para Bonificação; C - Bonificação Cancelada; N - Não Bonificado; S - Bonificado)</t>
  </si>
  <si>
    <t>IBONIF
N\A
N\A</t>
  </si>
  <si>
    <r>
      <rPr>
        <b/>
        <sz val="11"/>
        <color rgb="FF000000"/>
        <rFont val="Calibri"/>
        <scheme val="minor"/>
      </rPr>
      <t xml:space="preserve">SELECT </t>
    </r>
    <r>
      <rPr>
        <sz val="11"/>
        <color rgb="FF000000"/>
        <rFont val="Calibri"/>
        <scheme val="minor"/>
      </rPr>
      <t xml:space="preserve">IF( TRIM( EPT01_CONTAS.IBONIF ) = '', NULL, EPT01_CONTAS.IBONIF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'N'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</si>
  <si>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EPT01_CONTAS
N\A</t>
  </si>
  <si>
    <t>IBONIF
N\A</t>
  </si>
  <si>
    <t>N\A
"0"</t>
  </si>
  <si>
    <t>EPT01_CONTAS
EPT04_AGENDACTA
CONTBACH_PRESTM
PREPART_PRESTAM
TCT09_OPERCN</t>
  </si>
  <si>
    <t>N\A
ITAXAVAR
N\A
PRESO_COTREFER
N\A</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</si>
  <si>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WHERE</t>
    </r>
    <r>
      <rPr>
        <sz val="11"/>
        <color rgb="FF000000"/>
        <rFont val="Calibri"/>
        <scheme val="minor"/>
      </rPr>
      <t xml:space="preserve"> ( EPT01_CONTAS.CSITCTA IN ( 'FO', 'SU', 'ES' ) OR TCT09_OPERCN.ISITUAC = '1' ) AND EPT01_CONTAS.CSITCTA != 'EH'
    AND MIN( EPT04_AGENDACTA.DINIVALI )
    AND TCT09_OPERCN.DENTRADA &lt;= TCT09_OPERCN.DATA_DATE_PART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
    AND TCT09_OPERCN.DENTRADA &lt;= TCT09_OPERCN.DATA_DATE_PART</t>
    </r>
  </si>
  <si>
    <t>EPT04_AGENDACTA
PREPART_PRESTAM -&gt; TAT29_IDEXANT</t>
  </si>
  <si>
    <t>ITAXAVAR
COTREFER -&gt; CTXREF</t>
  </si>
  <si>
    <t>Initial Reference Index:
CAT01_TAXREF; CURATED_INTERNAL_MAINFRAME_CATALOGOS.CAT01_TAXREF;
INTERES_REFENCI -&gt; CAT01_TAXREF; CURATED_INTERNAL_MAINFRAME_CATALOGOS.CAT01_TAXREF;</t>
  </si>
  <si>
    <t>CURATED_INTERNAL_MAINFRAME_EMPRESTIMOS
CURATED_INTERNAL_MAINFRAME_EMPRESTIMOS
CURATED_INTERNAL_MAINFRAME_EMPRESTIMOS
CURATED_INTERNAL_MAINFRAME_EMPRESTIMOS
CURATED_INTERNAL_MAINFRAME_CONTENCIOSO
CURATED_INTERNAL_MAINFRAME_ESTRUTURAIS</t>
  </si>
  <si>
    <t>EPT01_CONTAS
EPT04_AGENDACTA
CONTBACH_PRESTM
PREPART_PRESTAM
TCT09_OPERCN
TAT29_INDEXANT</t>
  </si>
  <si>
    <t>N\A
CTAXAREF
N\A
N\A
N\A
CTXREF</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</si>
  <si>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'#N/A',
    IF( TRIM( TAT29_INDEXANT.CTXREF ) = '',
        NULL,
</t>
    </r>
    <r>
      <rPr>
        <b/>
        <sz val="11"/>
        <color rgb="FF000000"/>
        <rFont val="Calibri"/>
        <scheme val="minor"/>
      </rPr>
      <t xml:space="preserve">        </t>
    </r>
    <r>
      <rPr>
        <sz val="11"/>
        <color rgb="FF000000"/>
        <rFont val="Calibri"/>
        <scheme val="minor"/>
      </rPr>
      <t xml:space="preserve">TAT29_INDEXANT.CTXREF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
    AND TCT09_OPERCN.DENTRADA &lt;= TCT09_OPERCN.DATA_DATE_PART</t>
    </r>
  </si>
  <si>
    <t>EPT04_AGENDACTA || N\A
PREPART_PRESTAM -&gt; TAT29_INDEXANT || N\A</t>
  </si>
  <si>
    <t>CTAXAREF || N\A
COTREFER -&gt; CTXREF || N\A</t>
  </si>
  <si>
    <t>N\A || "#N/A"
N\A -&gt; N\A || "#N/A"</t>
  </si>
  <si>
    <t>EPT01_CONTAS
EPT03_LIQCTA
EPT04_AGENDACTA
CONTBACH_PRESTM
PREPART_PRESTAM
TCT09_OPERCN</t>
  </si>
  <si>
    <t>N\A
TKJURO
N\A
N\A
N\A
PRESO_TASA, PRESO_DIFERNCI
N\A</t>
  </si>
  <si>
    <r>
      <rPr>
        <b/>
        <sz val="11"/>
        <color rgb="FF000000"/>
        <rFont val="Calibri"/>
        <scheme val="minor"/>
      </rPr>
      <t xml:space="preserve">SELECT </t>
    </r>
    <r>
      <rPr>
        <sz val="11"/>
        <color rgb="FF000000"/>
        <rFont val="Calibri"/>
        <scheme val="minor"/>
      </rPr>
      <t xml:space="preserve">CAST( IF( EPT04_AGENDACTA.ITAXAVAR = 'S',
</t>
    </r>
    <r>
      <rPr>
        <b/>
        <sz val="11"/>
        <color rgb="FF000000"/>
        <rFont val="Calibri"/>
        <scheme val="minor"/>
      </rPr>
      <t xml:space="preserve">      </t>
    </r>
    <r>
      <rPr>
        <sz val="11"/>
        <color rgb="FF000000"/>
        <rFont val="Calibri"/>
        <scheme val="minor"/>
      </rPr>
      <t xml:space="preserve">IF( EPT04_AGENDACTA.STAXAVAR = '+',
        EPT03_LIQCTA.TKJURO -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MIN( EPT03_LIQCTA.DINIVALI ) AND ( EPT03_LIQCTA.CCONDLIQ= 'JUR' OR EPT03_LIQCTA.CCONDLIQ = 'SPR' )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
    AND TCT09_OPERCN.DENTRADA &lt;= TCT09_OPERCN.DATA_DATE_PART</t>
    </r>
  </si>
  <si>
    <t>(1)EPT03_LIQCTA + (2)EPT04_AGENDACTA || N\A
PREPART_PRESTAM || N\A</t>
  </si>
  <si>
    <t>(1)TKJURO (2)STAXAVAR (1) TKJURO || N\A
TASA INTACTUA DIFERNCI || N\A</t>
  </si>
  <si>
    <t>N\A|| "0.00"
N\A || "0.00"</t>
  </si>
  <si>
    <t>EPT01_CONTAS
EPT03_LIQCTA
CONTBACH_PRESTM
PREPART_PRESTAM
TCT09_OPERCN</t>
  </si>
  <si>
    <t>N\A
TKJURO
N\A
PRESO_DIFERNCI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</si>
  <si>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'SPR' 
    AND TCT09_OPERCN.DENTRADA &lt;= TCT09_OPERCN.DATA_DATE_PART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
    AND TCT09_OPERCN.DENTRADA &lt;= TCT09_OPERCN.DATA_DATE_PART</t>
    </r>
  </si>
  <si>
    <t>EPT03_LIQCTA
PREPART_PRESTAM</t>
  </si>
  <si>
    <t>TKJURO
DIFERNCI</t>
  </si>
  <si>
    <t>N\A
TKJURO
N\A
PRESO_TASA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</si>
  <si>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'JUR' 
    AND TCT09_OPERCN.DENTRADA &lt;= TCT09_OPERCN.DATA_DATE_PART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
    AND TCT09_OPERCN.DENTRADA &lt;= TCT09_OPERCN.DATA_DATE_PART</t>
    </r>
  </si>
  <si>
    <t>TKJURO
TASA</t>
  </si>
  <si>
    <t>Initial Active Subsidized Interest Rate</t>
  </si>
  <si>
    <t>init_active_subsid_interest_rate</t>
  </si>
  <si>
    <t>Represents the inicial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</si>
  <si>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inicialmente no contrato. Representa uma % da taxa de juro acordada no contrato.</t>
  </si>
  <si>
    <t>N\A
TXCLEF
N\A
N\A</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</si>
  <si>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EPT10_CTABONIF.DINIBON )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
    AND TCT09_OPERCN.DENTRADA &lt;= TCT09_OPERCN.DATA_DATE_PART</t>
    </r>
  </si>
  <si>
    <t>TXCLEF || N\A
N\A</t>
  </si>
  <si>
    <t>Rate Type:
?; ?</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</si>
  <si>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TCT09_OPERCN.DENTRADA &lt;= TCT09_OPERCN.DATA_DATE_PART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TCT09_OPERCN.DENTRADA &lt;= TCT09_OPERCN.DATA_DATE_PART</t>
    </r>
  </si>
  <si>
    <t xml:space="preserve">EPT04_AGENDACTA
PREPART_PRESTAM </t>
  </si>
  <si>
    <t>ITAXAVAR
COTREFER</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</si>
  <si>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WHERE</t>
    </r>
    <r>
      <rPr>
        <sz val="11"/>
        <color rgb="FF000000"/>
        <rFont val="Calibri"/>
        <scheme val="minor"/>
      </rPr>
      <t xml:space="preserve"> ( EPT01_CONTAS.CSITCTA IN ( 'FO', 'SU', 'ES' ) OR TCT09_OPERCN.ISITUAC = '1' ) AND EPT01_CONTAS.CSITCTA != 'EH' 
    AND MAX( EPT04_AGENDACTA.DINIVALI ) AND EPT04_AGENDACTA.ISITUACA = 'V'
    AND TCT09_OPERCN.DENTRADA &lt;= TCT09_OPERCN.DATA_DATE_PART
</t>
    </r>
    <r>
      <rPr>
        <b/>
        <sz val="11"/>
        <color rgb="FF000000"/>
        <rFont val="Calibri"/>
        <scheme val="minor"/>
      </rPr>
      <t>SELECT</t>
    </r>
    <r>
      <rPr>
        <sz val="11"/>
        <color rgb="FF000000"/>
        <rFont val="Calibri"/>
        <scheme val="minor"/>
      </rPr>
      <t xml:space="preserve"> IF( PREPART_PRESTAM.PRESO_COTREFER = '',
    '#N/A',
    IF( TRIM( TAT29_INDEXANT.CTXREF ) = '',
        NULL,
        TAT29_INDEXANT.CTXREF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</si>
  <si>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r>
      <rPr>
        <b/>
        <sz val="11"/>
        <color rgb="FF000000"/>
        <rFont val="Calibri"/>
        <scheme val="minor"/>
      </rPr>
      <t xml:space="preserve">SELECT </t>
    </r>
    <r>
      <rPr>
        <sz val="11"/>
        <color rgb="FF000000"/>
        <rFont val="Calibri"/>
        <scheme val="minor"/>
      </rPr>
      <t xml:space="preserve">CAST( IF( EPT04_AGENDACTA.ITAXAVAR = 'S',
      IF( EPT04_AGENDACTA.STAXAVAR = '+',
        EPT03_LIQCTA.TKJURO -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MAX( EPT03_LIQCTA.DINIVALI ) AND ( EPT03_LIQCTA.CCCONDLIQ = 'JUR' OR EPT03_LIQCTA.CCCONDLIQ = 'SPR' )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</si>
  <si>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t>N\A || "0..00"
N\A || "0.00"</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</si>
  <si>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'SPR'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</si>
  <si>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'JUR'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</si>
  <si>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t>Current Active Subsidized Interest Rate</t>
  </si>
  <si>
    <t>cur_active_subsid_interest_rate</t>
  </si>
  <si>
    <t>Represents the current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</si>
  <si>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atualmente no contrato. Representa uma % da taxa de juro acordada no contrato.</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</si>
  <si>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</si>
  <si>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Contract Status:
TAT91 - CTABELA 674; CURATED_INTERNAL_MAINFRAME_ESTRUTURAIS.TAT91_TABELAS - TAYD91C0_CTABELA 674
TIP_SITCONTRA; N\A</t>
  </si>
  <si>
    <r>
      <rPr>
        <b/>
        <sz val="11"/>
        <color rgb="FF000000"/>
        <rFont val="Calibri"/>
      </rPr>
      <t xml:space="preserve">SELECT </t>
    </r>
    <r>
      <rPr>
        <sz val="11"/>
        <color rgb="FF000000"/>
        <rFont val="Calibri"/>
      </rPr>
      <t xml:space="preserve">IF( TCT09_OPERCN.CKBALCAO IS NULL,
      IF( TRIM( EPT01_CONTAS.CSITTCTA ) = '', 
        NULL,
        PARAM_GENERAL_CODE_CONVERTER.TARGET_VALUE),
      IF( TRIM( TCT09_OPERCN.ISITUAC ) = '',
        NULL,
        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'contract_status_code' AND PARAM_GENERAL_CODE_CONVERTER.SOURCE_CODE = ('EP' OR 'TC') AND ( PARAM_GENERAL_CODE_CONVERTER.SOURCE_VALUE = EPT01_CONTAS.CSITTCTA OR PARAM_GENERAL_CODE_CONVERTER.SOURCE_VALUE  = TCT09_OPERCN.ISITUAC )
    AND TCT09_OPERCN.DENTRADA &lt;= TCT09_OPERCN.DATA_DATE_PART
</t>
    </r>
    <r>
      <rPr>
        <b/>
        <sz val="11"/>
        <color rgb="FF000000"/>
        <rFont val="Calibri"/>
      </rPr>
      <t xml:space="preserve">SELECT </t>
    </r>
    <r>
      <rPr>
        <sz val="11"/>
        <color rgb="FF000000"/>
        <rFont val="Calibri"/>
      </rPr>
      <t xml:space="preserve">IF( TCT09_OPERCN.CKBALCAO IS NULL,
      IF( TRIM( CONTBACH_PRESTM.CTP_COTSITCO ) = '', 
        NULL,
        PARAM_GENERAL_CODE_CONVERTER.TARGET_VALUE),
      IF( TRIM( TCT09_OPERCN.ISITUAC ) = '',
        NULL,
        PARAM_GENERAL_CODE_CONVERTER.TARGET_VALUE)
</t>
    </r>
    <r>
      <rPr>
        <b/>
        <sz val="11"/>
        <color rgb="FF000000"/>
        <rFont val="Calibri"/>
      </rPr>
      <t xml:space="preserve">WHERE </t>
    </r>
    <r>
      <rPr>
        <sz val="11"/>
        <color rgb="FF000000"/>
        <rFont val="Calibri"/>
      </rPr>
      <t>( CONTBACH_PRESTM.CTP_COTSITCO = 0 OR TCT09_OPERCN.ISITUAC = '1' )
    AND PARAM_GENERAL_CODE_CONVERTER.CODE CATEGORY = 'contract_status_code' AND PARAM_GENERAL_CODE_CONVERTER.SOURCE_CODE = ( 'EP' OR 'TC') AND ( PARAM_GENERAL_CODE_CONVERTER.SOURCE_VALUE = CONTBACH_PRESTM.CTP_COTSITCO OR PARAM_GENERAL_CODE_CONVERTER.SOURCE_VALUE  = TCT09_OPERCN.ISITUAC )
    AND TCT09_OPERCN.DENTRADA &lt;= TCT09_OPERCN.DATA_DATE_PART</t>
    </r>
  </si>
  <si>
    <t xml:space="preserve">EPT01_CONTAS
CONTBACH_PRESTM -&gt; TAT31_CSITCTA </t>
  </si>
  <si>
    <t>CSITCTA
COTSITCO -&gt; CSITCTAS</t>
  </si>
  <si>
    <t>Contract Opening Channel:
N\A; ?
N\A; ?</t>
  </si>
  <si>
    <t>CURATED_INTERNAL_MAINFRAME_EMPRESTIMOS
CURATED_INTERNAL_MAINFRAME_EMPRESTIMOS
CURATED_INTERNAL_MAINFRAME_CONTENCIOSO
CURATED_INTERNAL_MAINFRAME_PROPOSTAS
CURATED_INTERNAL_MAINFRAME_PROPOSTAS
COMMON_REFERENCEDATA_CORE</t>
  </si>
  <si>
    <t>EPT01_CONTAS
CONTBACH_PRESTM
TCT09_OPERCN
PRT01_PROPOSTAS
PRT03_PRMULTI
PARAM_GENERAL_CODE_CONVERTER</t>
  </si>
  <si>
    <t>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PARAM_GENERAL_CODE_CONVERTER.TARGET_VALUE
WHERE ( EPT01_CONTAS.CSITCTA IN ( 'FO', 'SU', 'ES' ) OR TCT09_OPERCN.ISITUAC = '1' ) AND EPT01_CONTAS.CSITCTA != 'EH'
    AND PRT01_PROPOSTAS.ZPROPOST = EPT01_CONTAS.ZPROPOST
    AND PARAM_GENERAL_CODE_CONVERTER.CODE CATEGORY = 'contract_opening_channel_code' AND PARAM_GENERAL_CODE_CONVERTER.SOURCE_CODE = 'EP' AND ( PARAM_GENERAL_CODE_CONVERTER.SOURCE_VALUE = 'Branch' OR PARAM_GENERAL_CODE_CONVERTER.SOURCE_VALUE  = 'Internet' OR PARAM_GENERAL_CODE_CONVERTER.SOURCE_VALUE  = 'Broker' OR PARAM_GENERAL_CODE_CONVERTER.SOURCE_VALUE = 'Other' )
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PARAM_GENERAL_CODE_CONVERTER.TARGET_VALUE
WHERE ( CONTBACH_PRESTM.CTP_COTSITCO = 0 OR TCT09_OPERCN.ISITUAC = '1' )
    AND MAX(PRT03_PRMULTI.ZPROPOST) AND SUBSTRING( PRT03_PRMULTI.HTIMEST , 1, 10 ) &lt;= CONTBACH_PRESTM.CTP_FEULTREN
    AND PARAM_GENERAL_CODE_CONVERTER.CODE CATEGORY = 'contract_opening_channel_code' AND PARAM_GENERAL_CODE_CONVERTER.SOURCE_CODE = 'EP' AND ( PARAM_GENERAL_CODE_CONVERTER.SOURCE_VALUE = 'Branch' OR PARAM_GENERAL_CODE_CONVERTER.SOURCE_VALUE  = 'Internet' OR PARAM_GENERAL_CODE_CONVERTER.SOURCE_VALUE  = 'Broker' OR PARAM_GENERAL_CODE_CONVERTER.SOURCE_VALUE = 'Other' )
    AND TCT09_OPERCN.DENTRADA &lt;= TCT09_OPERCN.DATA_DATE_PART</t>
  </si>
  <si>
    <t>PR - Propostas
PR - Propostas</t>
  </si>
  <si>
    <t>PRT01_PROPOSTAS
PRT01_PROPOSTAS</t>
  </si>
  <si>
    <t>CONCAT( CKUOEMI, CCANLCAP )
CONCAT( CKUOEMI, CCANLCAP )</t>
  </si>
  <si>
    <t>Source:
N\A
N\A</t>
  </si>
  <si>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</si>
  <si>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"EP" || "TC"
"EP" || "TC"</t>
  </si>
  <si>
    <t>DATA_DATE_PART
DATA_DATE_PART
N\A</t>
  </si>
  <si>
    <r>
      <rPr>
        <b/>
        <sz val="11"/>
        <color rgb="FF000000"/>
        <rFont val="Calibri"/>
        <scheme val="minor"/>
      </rPr>
      <t xml:space="preserve">SELECT </t>
    </r>
    <r>
      <rPr>
        <sz val="11"/>
        <color rgb="FF000000"/>
        <rFont val="Calibri"/>
        <scheme val="minor"/>
      </rPr>
      <t xml:space="preserve">EPT01_CONTAS.DATA_DATE_PART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CONTBACH_PRESTM.DATA_DATE_PART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</si>
  <si>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</si>
  <si>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Loan Universe</t>
  </si>
  <si>
    <t>loan_universe</t>
  </si>
  <si>
    <t>CURATED_INTERNAL_MAINFRAME_EMPRESTIMOS
CURATED_INTERNAL_MAINFRAME_CONTENCIOSO
CURATED_INTERNAL_MAINFRAME_EMPRESTIMOS
CURATED_INTERNAL_MAINFRAME_CONTENCIOSO</t>
  </si>
  <si>
    <t>EPT01_CONTAS
TCT09_OPERCN
CONTBACH_PRESTM
TCT09_OPERCN</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</si>
  <si>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 xml:space="preserve">
SELECT</t>
    </r>
    <r>
      <rPr>
        <sz val="11"/>
        <color rgb="FF000000"/>
        <rFont val="Calibri"/>
        <scheme val="minor"/>
      </rPr>
      <t xml:space="preserve"> ''
</t>
    </r>
    <r>
      <rPr>
        <b/>
        <sz val="11"/>
        <color rgb="FF000000"/>
        <rFont val="Calibri"/>
        <scheme val="minor"/>
      </rPr>
      <t>SELECT</t>
    </r>
    <r>
      <rPr>
        <sz val="11"/>
        <color rgb="FF000000"/>
        <rFont val="Calibri"/>
        <scheme val="minor"/>
      </rPr>
      <t xml:space="preserve"> ''</t>
    </r>
  </si>
  <si>
    <t>CURATED_INTERNAL_MAINFRAME_EMPRESTIMOS
CURATED_INTERNAL_MAINFRAME_CONTENCIOSO
CURATED_INTERNAL_MAINFRAME_EMPRESTIMOS
CURATED_INTERNAL_MAINFRAME_ESTRUTURAIS
CURATED_INTERNAL_MAINFRAME_CONTENCIOSO</t>
  </si>
  <si>
    <t>EPT01_CONTAS
TCT09_OPERCN
CONTBACH_PRESTM
COINT_CTOLOC_P
TCT09_OPERCN</t>
  </si>
  <si>
    <t>CKBALCAO, CKNUMCTA
CKBALCAO, CKNUMCTA
N\A
E2616_IDCENT_L , E2616_IDCONT_L
CKBALCAO, CKNUMCTA</t>
  </si>
  <si>
    <r>
      <rPr>
        <b/>
        <sz val="11"/>
        <color rgb="FF000000"/>
        <rFont val="Calibri"/>
        <scheme val="minor"/>
      </rPr>
      <t>SELECT</t>
    </r>
    <r>
      <rPr>
        <sz val="11"/>
        <color rgb="FF000000"/>
        <rFont val="Calibri"/>
        <scheme val="minor"/>
      </rPr>
      <t xml:space="preserve"> CONCAT(EPT01_CONTAS.CKBALCAO, EPT01_CONTAS.CKNUMCTA, '000000000000000')
</t>
    </r>
    <r>
      <rPr>
        <b/>
        <sz val="11"/>
        <color rgb="FF000000"/>
        <rFont val="Calibri"/>
        <scheme val="minor"/>
      </rPr>
      <t>SELECT</t>
    </r>
    <r>
      <rPr>
        <sz val="11"/>
        <color rgb="FF000000"/>
        <rFont val="Calibri"/>
        <scheme val="minor"/>
      </rPr>
      <t xml:space="preserve"> CONCAT(TCT09_OPERCN.CKBALCAO, TCT09_OPERCN.CKNUMCTA, '000000000000000')
</t>
    </r>
    <r>
      <rPr>
        <b/>
        <sz val="11"/>
        <color rgb="FF000000"/>
        <rFont val="Calibri"/>
        <scheme val="minor"/>
      </rPr>
      <t>SELECT</t>
    </r>
    <r>
      <rPr>
        <sz val="11"/>
        <color rgb="FF000000"/>
        <rFont val="Calibri"/>
        <scheme val="minor"/>
      </rPr>
      <t xml:space="preserve"> CONCAT(COINT_CTOLOC_P.E2616_IDCENT_L, COINT_CTOLOC_P.E2616_IDCONT_L, '000000000000000')
</t>
    </r>
    <r>
      <rPr>
        <b/>
        <sz val="11"/>
        <color rgb="FF000000"/>
        <rFont val="Calibri"/>
        <scheme val="minor"/>
      </rPr>
      <t>SELECT</t>
    </r>
    <r>
      <rPr>
        <sz val="11"/>
        <color rgb="FF000000"/>
        <rFont val="Calibri"/>
        <scheme val="minor"/>
      </rPr>
      <t xml:space="preserve"> CONCAT(TCT09_OPERCN.CKBALCAO, TCT09_OPERCN.CKNUMCTA, '000000000000000')
</t>
    </r>
  </si>
  <si>
    <r>
      <rPr>
        <b/>
        <sz val="11"/>
        <color rgb="FF000000"/>
        <rFont val="Calibri"/>
        <scheme val="minor"/>
      </rPr>
      <t>SELECT</t>
    </r>
    <r>
      <rPr>
        <sz val="11"/>
        <color rgb="FF000000"/>
        <rFont val="Calibri"/>
        <scheme val="minor"/>
      </rPr>
      <t xml:space="preserve"> IF(EPT01_CONTAS.CSITCTA IN ('FO', 'SU', 'ES'), '1', '0')
</t>
    </r>
    <r>
      <rPr>
        <b/>
        <sz val="11"/>
        <color rgb="FF000000"/>
        <rFont val="Calibri"/>
        <scheme val="minor"/>
      </rPr>
      <t>SELECT</t>
    </r>
    <r>
      <rPr>
        <sz val="11"/>
        <color rgb="FF000000"/>
        <rFont val="Calibri"/>
        <scheme val="minor"/>
      </rPr>
      <t xml:space="preserve"> IF( TCT09_OPERCN.ISITUAC = 1 AND TCT09_OPERCN.DENTRADA &lt;= TCT09_OPERCN.DATA_DATE_PART, '1', '0')
</t>
    </r>
    <r>
      <rPr>
        <b/>
        <sz val="11"/>
        <color rgb="FF000000"/>
        <rFont val="Calibri"/>
        <scheme val="minor"/>
      </rPr>
      <t>SELECT</t>
    </r>
    <r>
      <rPr>
        <sz val="11"/>
        <color rgb="FF000000"/>
        <rFont val="Calibri"/>
        <scheme val="minor"/>
      </rPr>
      <t xml:space="preserve"> IF(CONTBACH_PRESTM.CTP_COTSITCO IN ( 0, 7 ), '1', '0')
</t>
    </r>
    <r>
      <rPr>
        <b/>
        <sz val="11"/>
        <color rgb="FF000000"/>
        <rFont val="Calibri"/>
        <scheme val="minor"/>
      </rPr>
      <t>SELECT</t>
    </r>
    <r>
      <rPr>
        <sz val="11"/>
        <color rgb="FF000000"/>
        <rFont val="Calibri"/>
        <scheme val="minor"/>
      </rPr>
      <t xml:space="preserve"> IF( TCT09_OPERCN.ISITUAC = 1 AND TCT09_OPERCN.DENTRADA &lt;= TCT09_OPERCN.DATA_DATE_PART, '1', '0')</t>
    </r>
  </si>
  <si>
    <r>
      <rPr>
        <b/>
        <sz val="11"/>
        <color rgb="FF000000"/>
        <rFont val="Calibri"/>
        <scheme val="minor"/>
      </rPr>
      <t>SELECT</t>
    </r>
    <r>
      <rPr>
        <sz val="11"/>
        <color rgb="FF000000"/>
        <rFont val="Calibri"/>
        <scheme val="minor"/>
      </rPr>
      <t xml:space="preserve"> 'EP'
</t>
    </r>
    <r>
      <rPr>
        <b/>
        <sz val="11"/>
        <color rgb="FF000000"/>
        <rFont val="Calibri"/>
        <scheme val="minor"/>
      </rPr>
      <t>SELECT</t>
    </r>
    <r>
      <rPr>
        <sz val="11"/>
        <color rgb="FF000000"/>
        <rFont val="Calibri"/>
        <scheme val="minor"/>
      </rPr>
      <t xml:space="preserve"> 'TC'
</t>
    </r>
    <r>
      <rPr>
        <b/>
        <sz val="11"/>
        <color rgb="FF000000"/>
        <rFont val="Calibri"/>
        <scheme val="minor"/>
      </rPr>
      <t xml:space="preserve">
SELECT</t>
    </r>
    <r>
      <rPr>
        <sz val="11"/>
        <color rgb="FF000000"/>
        <rFont val="Calibri"/>
        <scheme val="minor"/>
      </rPr>
      <t xml:space="preserve"> 'EP'
</t>
    </r>
    <r>
      <rPr>
        <b/>
        <sz val="11"/>
        <color rgb="FF000000"/>
        <rFont val="Calibri"/>
        <scheme val="minor"/>
      </rPr>
      <t>SELECT</t>
    </r>
    <r>
      <rPr>
        <sz val="11"/>
        <color rgb="FF000000"/>
        <rFont val="Calibri"/>
        <scheme val="minor"/>
      </rPr>
      <t xml:space="preserve"> 'TC'</t>
    </r>
  </si>
  <si>
    <r>
      <rPr>
        <b/>
        <sz val="11"/>
        <color rgb="FF000000"/>
        <rFont val="Calibri"/>
        <scheme val="minor"/>
      </rPr>
      <t>SELECT</t>
    </r>
    <r>
      <rPr>
        <sz val="11"/>
        <color rgb="FF000000"/>
        <rFont val="Calibri"/>
        <scheme val="minor"/>
      </rPr>
      <t xml:space="preserve"> EPT01_CONTAS.DATA_DATE_PART
</t>
    </r>
    <r>
      <rPr>
        <b/>
        <sz val="11"/>
        <color rgb="FF000000"/>
        <rFont val="Calibri"/>
        <scheme val="minor"/>
      </rPr>
      <t>SELECT</t>
    </r>
    <r>
      <rPr>
        <sz val="11"/>
        <color rgb="FF000000"/>
        <rFont val="Calibri"/>
        <scheme val="minor"/>
      </rPr>
      <t xml:space="preserve"> EPT01_CONTAS.DATA_DATE_PART
</t>
    </r>
    <r>
      <rPr>
        <b/>
        <sz val="11"/>
        <color rgb="FF000000"/>
        <rFont val="Calibri"/>
        <scheme val="minor"/>
      </rPr>
      <t xml:space="preserve">
SELECT</t>
    </r>
    <r>
      <rPr>
        <sz val="11"/>
        <color rgb="FF000000"/>
        <rFont val="Calibri"/>
        <scheme val="minor"/>
      </rPr>
      <t xml:space="preserve"> CONTBACH_PRESTM.DATA_DATE_PART
</t>
    </r>
    <r>
      <rPr>
        <b/>
        <sz val="11"/>
        <color rgb="FF000000"/>
        <rFont val="Calibri"/>
        <scheme val="minor"/>
      </rPr>
      <t>SELECT</t>
    </r>
    <r>
      <rPr>
        <sz val="11"/>
        <color rgb="FF000000"/>
        <rFont val="Calibri"/>
        <scheme val="minor"/>
      </rPr>
      <t xml:space="preserve"> CONTBACH_PRESTM.DATA_DATE_PART</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</si>
  <si>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 xml:space="preserve">
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t>
    </r>
  </si>
  <si>
    <t>Loan Account</t>
  </si>
  <si>
    <t>SELECT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'bank_id' AND PARAM_GENERAL_CODE_CONVERTER.SOURCE_VALUE = '' AND PARAM_GENERAL_CODE_CONVERTER.OPTION_NUMBER= '1'</t>
  </si>
  <si>
    <t xml:space="preserve">SELECT CONCAT( INTERFACE_DCT01.DCYR8101_CKBALCAO, INTERFACE_DCT01.DCYR8101_CKNUMCTA, '000000000000000' )
WHERE ( INTERFACE_DCT01.DCYR8101_CSITCTA IN ( '0', '1', '2', '3', '5', '6', '7', '8', '9' ) OR TCT09_OPERCN.CKBALCAO IS NOT NULL )  AND INTERFACE_DCT01.DCYR8101_CFAMILIA IN ( 'CC' ) GROUP BY TCT09_OPERCN.CKBALCAO AND TCT09_OPERCN.CKNUMCTA </t>
  </si>
  <si>
    <t>SELECT IF( TRIM( INTERFACE_DCT01.DCYR8101_CFAMILIA ) = '', NULL,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'product_family_id' AND PARAM_GENERAL_CODE_CONVERTER.SOURCE_VALUE =  INTERFACE_DCT01.DCYR8101_CFAMILIA AND PARAM_GENERAL_CODE_CONVERTER.OPTION_NUMBER= '1'</t>
  </si>
  <si>
    <t>Product Lvl 1
TAT91 - CTABELA 925; CURATED_INTERNAL_MAINFRAME_ESTRUTURAIS.TAT91_TABELAS - TAYD91C0_CTABELA 925</t>
  </si>
  <si>
    <t xml:space="preserve">SELECT IF( TRIM( INTERFACE_DCT01.DCRYR8101_CKPRODUT ) = '', NULL, INTERFACE_DCT01.DCRYR8101_CKPRODUT )
WHERE ( INTERFACE_DCT01.DCYR8101_CSITCTA IN ( '0', '1', '2', '3', '5', '6', '7', '8', '9' ) OR TCT09_OPERCN.CKBALCAO IS NOT NULL )  AND INTERFACE_DCT01.DCYR8101_CFAMILIA IN ( 'CC' ) GROUP BY TCT09_OPERCN.CKBALCAO AND TCT09_OPERCN.CKNUMCTA </t>
  </si>
  <si>
    <t>Product Lvl 2
TAT91 - CTABELA 925; CURATED_INTERNAL_MAINFRAME_ESTRUTURAIS.TAT91_TABELAS - TAYD91C0_CTABELA 925</t>
  </si>
  <si>
    <t xml:space="preserve">SELECT IF( TRIM( INTERFACE_DCT01.DCYR8101_CKSUBPRO ) = '', NULL, INTERFACE_DCT01.DCYR8101_CKSUBPRO )
WHERE ( INTERFACE_DCT01.DCYR8101_CSITCTA IN ( '0', '1', '2', '3', '5', '6', '7', '8', '9' ) OR TCT09_OPERCN.CKBALCAO IS NOT NULL )  AND INTERFACE_DCT01.DCYR8101_CFAMILIA IN ( 'CC' ) GROUP BY TCT09_OPERCN.CKBALCAO AND TCT09_OPERCN.CKNUMCTA </t>
  </si>
  <si>
    <t>Bank identifier (internal Santander’s company identification code) that is related to the current account contract which anchors the loan account contract.</t>
  </si>
  <si>
    <t>Contract identifier of the current account that anchors the loan account.</t>
  </si>
  <si>
    <t>CURATED_INTERNAL_MAINFRAME_ESTRUTURAIS
CURATED_INTERNAL_MAINFRAME_CONTAS
CURATED_INTERNAL_MAINFRAME_CONTENCIOSO
CURATED_INTERNAL_MAINFRAME_ESTRUTURAIS</t>
  </si>
  <si>
    <t>COINT_CTOLOC_P
INTERFACE_DCT01
TCT09_OPERCN
REL_CONTRATOS</t>
  </si>
  <si>
    <t>E2616_IDCENT_L, E2616_IDCONT_L
N\A
N\A
N\A</t>
  </si>
  <si>
    <t>SELECT IF( TRIM( CONCAT( COINT_CTOLOC_P.E2616_IDCENT_L, COINT_CTOLOC_P.E2616_IDCONT_L ) ) = '', NULL, CONCAT( COINT_CTOLOC_P.E2616_IDCENT_L, COINT_CTOLOC_P.E2616_IDCONT_L, '000000000000000' ) )
WHERE ( INTERFACE_DCT01.DCYR8101_CSITCTA IN ( '0', '1', '2', '3', '5', '6', '7', '8', '9' ) OR TCT09_OPERCN.CKBALCAO IS NOT NULL )  AND INTERFACE_DCT01.DCYR8101_CFAMILIA IN ( 'CC' ) GROUP BY TCT09_OPERCN.CKBALCAO AND TCT09_OPERCN.CKNUMCTA
    AND REL_CONTRATOS.RCC_CORELCC = '040'  AND REL_CONTRATOS.RCC_FEVENCIM = '9999-12-31' AND REL_CONTRATOS.RCC_TIPOSIT = '10'</t>
  </si>
  <si>
    <t xml:space="preserve">SELECT IF( ( INTERFACE_DCT01.DCYR8101_DABERTUR ) = '', NULL, CAST( INTERFACE_DCT01.DCYR8101_DABERTUR AS STRING ) )
WHERE ( INTERFACE_DCT01.DCYR8101_CSITCTA IN ( '0', '1', '2', '3', '5', '6', '7', '8', '9' ) OR TCT09_OPERCN.CKBALCAO IS NOT NULL )  AND INTERFACE_DCT01.DCYR8101_CFAMILIA IN ( 'CC' ) GROUP BY TCT09_OPERCN.CKBALCAO AND TCT09_OPERCN.CKNUMCTA </t>
  </si>
  <si>
    <t>SELECT IF( TCT09_OPERCN.CKBALCAO IS NULL, 
    IF( TRIM( INTERFACE_DCT01.DCYR8100_DTVENCIM ) = '',
        NULL,
        INTERFACE_DCT01.DCYR8100_DTVENCIM ),
    IF( TRIM( TCT09_OPERCN.DVENCIM) = '',
        NULL,
        CAST( TCT09_OPERCN.DVENCIM AS STRING ) )
WHERE ( INTERFACE_DCT01.DCYR8101_CSITCTA IN ( '0', '1', '2', '3', '5', '6', '7', '8', '9' ) OR TCT09_OPERCN.CKBALCAO IS NOT NULL )  AND INTERFACE_DCT01.DCYR8101_CFAMILIA IN ( 'CC' ) GROUP BY TCT09_OPERCN.CKBALCAO AND TCT09_OPERCN.CKNUMCTA
    AND MAX( TCT09_OPERCN.DVENCIM )</t>
  </si>
  <si>
    <t>DTVENCIM || DVENCIM</t>
  </si>
  <si>
    <t xml:space="preserve">SELECT IF( TRIM( INTERFACE_DCT01.DCYR8101_CMOEDA ) = '', NULL, INTERFACE_DCT01.DCYR8101_CMOEDA )
WHERE ( INTERFACE_DCT01.DCYR8101_CSITCTA IN ( '0', '1', '2', '3', '5', '6', '7', '8', '9' ) OR TCT09_OPERCN.CKBALCAO IS NOT NULL )  AND INTERFACE_DCT01.DCYR8101_CFAMILIA IN ( 'CC' ) GROUP BY TCT09_OPERCN.CKBALCAO AND TCT09_OPERCN.CKNUMCTA </t>
  </si>
  <si>
    <t xml:space="preserve">SELECT IF( TCT09_OPERCN.CKBALCAO IS NULL, '0', '1' )
WHERE ( INTERFACE_DCT01.DCYR8101_CSITCTA IN ( '0', '1', '2', '3', '5', '6', '7', '8', '9' ) OR TCT09_OPERCN.CKBALCAO IS NOT NULL )  AND INTERFACE_DCT01.DCYR8101_CFAMILIA IN ( 'CC' ) GROUP BY TCT09_OPERCN.CKBALCAO AND TCT09_OPERCN.CKNUMCTA </t>
  </si>
  <si>
    <t>Current amount that can be used as credit. In this case, it represents maximum amount that can be lended by the loan account contract.</t>
  </si>
  <si>
    <t>DCYR8100_MDESMAX, DCYR8101_MDESAUT
N\A</t>
  </si>
  <si>
    <t xml:space="preserve">SELECT IF( INTERFACE_DCT01.DCYR8101_CKPRODUT = '097' AND SUBSTRING( INTERFACE_DCT01.DCYR8101_CKSUBPRO, 2, 2 ) IN ( '22', '23' ),
    CAST( INTERFACE_DCT01.DCYR8100_MDESMAX AS DECIMAL( 23, 6 ) ),
    CAST( INTERFACE_DCT01.DCYR8101_MDESAUT AS DECIMAL( 23, 6 ) )
WHERE ( INTERFACE_DCT01.DCYR8101_CSITCTA IN ( '0', '1', '2', '3', '5', '6', '7', '8', '9' ) OR TCT09_OPERCN.CKBALCAO IS NOT NULL )  AND INTERFACE_DCT01.DCYR8101_CFAMILIA IN ( 'CC' ) GROUP BY TCT09_OPERCN.CKBALCAO AND TCT09_OPERCN.CKNUMCTA </t>
  </si>
  <si>
    <t>DCYR8101 || DCYR8101</t>
  </si>
  <si>
    <t xml:space="preserve">MDESAUT|| MDESMAX </t>
  </si>
  <si>
    <t>Current total actual amount that can still be used as credit. In this case, the total amount minus the used amount.</t>
  </si>
  <si>
    <t xml:space="preserve">SELECT IF( TCT09_OPERCN.CKBALCAO IS NULL, CAST( INTERFACE_DCT01.DCYR8101_MSALDODI AS DECIMAL( 23, 6 ) ), CAST( 0.00 AS DECIMAL( 23, 6 ) ) )
WHERE ( INTERFACE_DCT01.DCYR8101_CSITCTA IN ( '0', '1', '2', '3', '5', '6', '7', '8', '9' ) OR TCT09_OPERCN.CKBALCAO IS NOT NULL )  AND INTERFACE_DCT01.DCYR8101_CFAMILIA IN ( 'CC' ) GROUP BY TCT09_OPERCN.CKBALCAO AND TCT09_OPERCN.CKNUMCTA </t>
  </si>
  <si>
    <t>DCYR8101 || N\A</t>
  </si>
  <si>
    <t>MSALDODI || N\A</t>
  </si>
  <si>
    <t xml:space="preserve">SELECT CAST( INTERFACE_DCT01.DCYR8101_MSLDCAT AS DECIMAL( 23, 6 ) )
WHERE ( INTERFACE_DCT01.DCYR8101_CSITCTA IN ( '0', '1', '2', '3', '5', '6', '7', '8', '9' ) OR TCT09_OPERCN.CKBALCAO IS NOT NULL )  AND INTERFACE_DCT01.DCYR8101_CFAMILIA IN ( 'CC' ) GROUP BY TCT09_OPERCN.CKBALCAO AND TCT09_OPERCN.CKNUMCTA </t>
  </si>
  <si>
    <t xml:space="preserve">SELECT IF( TCT09_OPERCN.CKBALCO IS NULL,
    IF( INTERFACE_DCT01.DCYR8100_DTVENCIM &gt;= INTERFACE_DCT01.DATA_DATE_PART,
        CAST( - INTERFACE_DCT01.DCYR8101_MSALDO AS DECIMAL( 23, 6 ) ),
        CAST( 0.00 AS DECIMAL(23, 6 ) ) ),
    CAST( 0.00 AS DECIMAL( 23, 6 ) ) 
WHERE ( INTERFACE_DCT01.DCYR8101_CSITCTA IN ( '0', '1', '2', '3', '5', '6', '7', '8', '9' ) OR TCT09_OPERCN.CKBALCAO IS NOT NULL )  AND INTERFACE_DCT01.DCYR8101_CFAMILIA IN ( 'CC' ) GROUP BY TCT09_OPERCN.CKBALCAO AND TCT09_OPERCN.CKNUMCTA </t>
  </si>
  <si>
    <t>( - MSALDO )|| N\A</t>
  </si>
  <si>
    <t xml:space="preserve">SELECT IF( TCT09_OPERCN.CKBALCAO IS NULL,
    IF( INTERFACE_DCT01.DCYR8100_DTVENCIM &lt; INTERFACE_DCT01.DATA_DATE_PART,
        CAST( - INTERFACE_DCT01.DCYR8101_MSALDO AS DECIMAL( 23, 6 ) ),
        CAST( 0.00 AS DECIMAL( 23, 6) ) ),
    CAST( 0.00 AS DECIMAL( 23, 6 ) )
WHERE ( INTERFACE_DCT01.DCYR8101_CSITCTA IN ( '0', '1', '2', '3', '5', '6', '7', '8', '9' ) OR TCT09_OPERCN.CKBALCAO IS NOT NULL )  AND INTERFACE_DCT01.DCYR8101_CFAMILIA IN ( 'CC' ) GROUP BY TCT09_OPERCN.CKBALCAO AND TCT09_OPERCN.CKNUMCTA </t>
  </si>
  <si>
    <t>INTERFACE_DCT01
TCT09_OPERCN
TCT01_POSDIVID</t>
  </si>
  <si>
    <t>DCYR8101_MSALDO 
N\A
MCAPITALD</t>
  </si>
  <si>
    <t>SELECT IF( TCT09_OPERCN.CKBALCAO IS NULL, CAST( 0.00 AS DECIMAL( 23, 6 ) ), CAST( TCT01_POSDIVID.MCAPITALD AS DECIMAL( 23, 6 ) ) )
WHERE ( INTERFACE_DCT01.DCYR8101_CSITCTA IN ( '0', '1', '2', '3', '5', '6', '7', '8', '9' ) OR TCT09_OPERCN.CKBALCAO IS NOT NULL )  AND INTERFACE_DCT01.DCYR8101_CFAMILIA IN ( 'CC' ) GROUP BY TCT09_OPERCN.CKBALCAO AND TCT09_OPERCN.CKNUMCTA
    AND TCT01_POSDIVID.IACTIVO = 'S' AND SUM ( MACAPITALD )</t>
  </si>
  <si>
    <t>N\A || MCAPITALD</t>
  </si>
  <si>
    <t>DC -  Contas a Vista || TA - Tabelas Gerais</t>
  </si>
  <si>
    <t>PREPART_CREDITO || PRECIO_ESTANDAR</t>
  </si>
  <si>
    <t>COTREFER || COTREFER</t>
  </si>
  <si>
    <t>DC -  Contas a Vista -&gt; TA - Tabelas Gerais</t>
  </si>
  <si>
    <t>PREPART_CREDITO -&gt; TAT29_INDEXANT || PRECIO_ESTANDAR -&gt; TAT29_INDEXANT</t>
  </si>
  <si>
    <t>COTREFER -&gt; CTXREF || COTREFER -&gt; CTXREF</t>
  </si>
  <si>
    <t>N\A -&gt; N\A || N\A</t>
  </si>
  <si>
    <t>INTERES_REFENCI</t>
  </si>
  <si>
    <t>TASA</t>
  </si>
  <si>
    <t>TASA || TASA</t>
  </si>
  <si>
    <t>(1)PREPART_CREDITO + (2)INTERES_REFENCI || (1)PRECIO_ESTANDAR + (2)INTERES_REFENCI</t>
  </si>
  <si>
    <t>(1)TASA (1)INTACTUA (2)TASA || (1)TASA (1)INTACTUA (2)TASA</t>
  </si>
  <si>
    <t>Contract Status:
TAT91 - CTABELA 205; CURATED_INTERNAL_MAINFRAME_ESTRUTURAIS.TAT91_TABELAS - TAYD91C0_CTABELA 205</t>
  </si>
  <si>
    <t>SELECT IF( TCT09_OPERCN.CKBALCAO IS NULL,
    IF( TRIM( INTERFACE_DCT01.DCYR8101_CSITCTA ) = '',
        NULL,
        PARAM_GENERAL_CODE_CONVERTER.TARGET_VALUE),
    IF(TRIM(TCT09_OPERCN.ISITUACT ) = '',
        NULL,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'contract_status_code' AND ( PARAM_GENERAL_CODE_CONVERTER.SOURCE_VALUE =  INTERFACE_DCT01.DCYR8101_CSITCTA OR PARAM_GENERAL_CODE_CONVERTER.SOURCE_VALUE =  TCT09_OPERCN.ISITUACT ) AND PARAM_GENERAL_CODE_CONVERTER.OPTION_NUMBER= '1'</t>
  </si>
  <si>
    <t>SELECT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'contract_opening_channel_code' AND PARAM_GENERAL_CODE_CONVERTER.SOURCE_VALUE =  '' AND PARAM_GENERAL_CODE_CONVERTER.OPTION_NUMBER= '1'</t>
  </si>
  <si>
    <t xml:space="preserve">SELECT IF( TCT09_OPERCN.CKBALCAO IS NULL, 'DC', 'TC' )
WHERE ( INTERFACE_DCT01.DCYR8101_CSITCTA IN ( '0', '1', '2', '3', '5', '6', '7', '8', '9' ) OR TCT09_OPERCN.CKBALCAO IS NOT NULL )  AND INTERFACE_DCT01.DCYR8101_CFAMILIA IN ( 'CC' ) GROUP BY TCT09_OPERCN.CKBALCAO AND TCT09_OPERCN.CKNUMCTA </t>
  </si>
  <si>
    <t>"DC" || "TC"</t>
  </si>
  <si>
    <t xml:space="preserve">SELECT INTERFACE_DCT01.DATA_DATE_PART
WHERE ( INTERFACE_DCT01.DCYR8101_CSITCTA IN ( '0', '1', '2', '3', '5', '6', '7', '8', '9' ) OR TCT09_OPERCN.CKBALCAO IS NOT NULL )  AND INTERFACE_DCT01.DCYR8101_CFAMILIA IN ( 'CC' ) GROUP BY TCT09_OPERCN.CKBALCAO AND TCT09_OPERCN.CKNUMCTA </t>
  </si>
  <si>
    <t xml:space="preserve">SELECT NOW()
WHERE ( INTERFACE_DCT01.DCYR8101_CSITCTA IN ( '0', '1', '2', '3', '5', '6', '7', '8', '9' ) OR TCT09_OPERCN.CKBALCAO IS NOT NULL )  AND INTERFACE_DCT01.DCYR8101_CFAMILIA IN ( 'CC' ) GROUP BY TCT09_OPERCN.CKBALCAO AND TCT09_OPERCN.CKNUMCTA </t>
  </si>
  <si>
    <t>Nostro Vostro Account</t>
  </si>
  <si>
    <t>SELECT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'bank_id' AND PARAM_GENERAL_CODE_CONVERTER.SOURCE_VALUE = '' AND PARAM_GENERAL_CODE_CONVERTER.OPTION_NUMBER= '1'</t>
  </si>
  <si>
    <t xml:space="preserve">SELECT CONCAT( INTERFACE_DCT01.DCYR8101_CKBALCAO, INTERFACE_DCT01.DCYR8101_CKNUMCTA, '000000000000000' )
WHERE ( INTERFACE_DCT01.DCYR8101_CSITCTA IN ( '0', '1', '2', '3', '5', '6', '7', '8', '9' ) OR TCT09_OPERCN.CKBALCAO IS NOT NULL )  AND INTERFACE_DCT01.DCYR8101_CFAMILIA IN ( 'NT' ) GROUP BY TCT09_OPERCN.CKBALCAO AND TCT09_OPERCN.CKNUMCTA </t>
  </si>
  <si>
    <t>SELECT IF( TRIM( INTERFACE_DCT01.DCYR8101_CFAMILIA ) = '', NULL,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'product_family_id' AND PARAM_GENERAL_CODE_CONVERTER.SOURCE_VALUE =  INTERFACE_DCT01.DCYR8101_CFAMILIA AND PARAM_GENERAL_CODE_CONVERTER.OPTION_NUMBER= '1'</t>
  </si>
  <si>
    <t xml:space="preserve">SELECT IF( TRIM( INTERFACE_DCT01.DCRYR8101_CKPRODUT ) = '', NULL, INTERFACE_DCT01.DCRYR8101_CKPRODUT )
WHERE ( INTERFACE_DCT01.DCYR8101_CSITCTA IN ( '0', '1', '2', '3', '5', '6', '7', '8', '9' ) OR TCT09_OPERCN.CKBALCAO IS NOT NULL )  AND INTERFACE_DCT01.DCYR8101_CFAMILIA IN ( 'NT' ) GROUP BY TCT09_OPERCN.CKBALCAO AND TCT09_OPERCN.CKNUMCTA </t>
  </si>
  <si>
    <t xml:space="preserve">SELECT IF( TRIM( INTERFACE_DCT01.DCYR8101_CKSUBPRO ) = '', NULL, INTERFACE_DCT01.DCYR8101_CKSUBPRO )
WHERE ( INTERFACE_DCT01.DCYR8101_CSITCTA IN ( '0', '1', '2', '3', '5', '6', '7', '8', '9' ) OR TCT09_OPERCN.CKBALCAO IS NOT NULL )  AND INTERFACE_DCT01.DCYR8101_CFAMILIA IN ( 'NT' ) GROUP BY TCT09_OPERCN.CKBALCAO AND TCT09_OPERCN.CKNUMCTA </t>
  </si>
  <si>
    <t xml:space="preserve">SELECT IF( ( INTERFACE_DCT01.DCYR8101_DABERTUR ) = '', NULL, CAST( INTERFACE_DCT01.DCYR8101_DABERTUR AS STRING ) )
WHERE ( INTERFACE_DCT01.DCYR8101_CSITCTA IN ( '0', '1', '2', '3', '5', '6', '7', '8', '9' ) OR TCT09_OPERCN.CKBALCAO IS NOT NULL )  AND INTERFACE_DCT01.DCYR8101_CFAMILIA IN ( 'NT' ) GROUP BY TCT09_OPERCN.CKBALCAO AND TCT09_OPERCN.CKNUMCTA </t>
  </si>
  <si>
    <t>SELECT IF( TCT09_OPERCN.CKBALCAO IS NULL, 
    IF( TRIM( INTERFACE_DCT01.DCYR8100_DTVENCIM ) = '',
        NULL,
        INTERFACE_DCT01.DCYR8100_DTVENCIM ),
    IF( TRIM( TCT09_OPERCN.DVENCIM ) = '',
        NULL,
        CAST( TCT09_OPERCN.DVENCIM AS STRING ) )
WHERE ( INTERFACE_DCT01.DCYR8101_CSITCTA IN ( '0', '1', '2', '3', '5', '6', '7', '8', '9' ) OR TCT09_OPERCN.CKBALCAO IS NOT NULL )  AND INTERFACE_DCT01.DCYR8101_CFAMILIA IN ( 'NT' ) GROUP BY TCT09_OPERCN.CKBALCAO AND TCT09_OPERCN.CKNUMCTA
    AND MAX( TCT09_OPERCN.DVENCIM )</t>
  </si>
  <si>
    <t>DCYR8101  || TCT09_OPERCN</t>
  </si>
  <si>
    <t xml:space="preserve">SELECT IF( TRIM( INTERFACE_DCT01.DCYR8101_CMOEDA ) = '', NULL, INTERFACE_DCT01.DCYR8101_CMOEDA )
WHERE ( INTERFACE_DCT01.DCYR8101_CSITCTA IN ( '0', '1', '2', '3', '5', '6', '7', '8', '9' ) OR TCT09_OPERCN.CKBALCAO IS NOT NULL )  AND INTERFACE_DCT01.DCYR8101_CFAMILIA IN ( 'NT' ) GROUP BY TCT09_OPERCN.CKBALCAO AND TCT09_OPERCN.CKNUMCTA </t>
  </si>
  <si>
    <t xml:space="preserve">SELECT IF( TCT09_OPERCN.CKBALCAO IS NULL, '0', '1' )
WHERE ( INTERFACE_DCT01.DCYR8101_CSITCTA IN ( '0', '1', '2', '3', '5', '6', '7', '8', '9' ) OR TCT09_OPERCN.CKBALCAO IS NOT NULL )  AND INTERFACE_DCT01.DCYR8101_CFAMILIA IN ( 'NT' ) GROUP BY TCT09_OPERCN.CKBALCAO AND TCT09_OPERCN.CKNUMCTA </t>
  </si>
  <si>
    <t xml:space="preserve">SELECT CAST( INTERFACE_DCT01.DCYR8101_MSALDO AS DECIMAL( 23, 6 ) )
WHERE ( INTERFACE_DCT01.DCYR8101_CSITCTA IN ( '0', '1', '2', '3', '5', '6', '7', '8', '9' ) OR TCT09_OPERCN.CKBALCAO IS NOT NULL )  AND INTERFACE_DCT01.DCYR8101_CFAMILIA IN ( 'NT' ) GROUP BY TCT09_OPERCN.CKBALCAO AND TCT09_OPERCN.CKNUMCTA </t>
  </si>
  <si>
    <t xml:space="preserve">SELECT CAST( INTERFACE_DCT01.DCYR8101_MSLDCAT AS DECIMAL( 23, 6 ) )
WHERE ( INTERFACE_DCT01.DCYR8101_CSITCTA IN ( '0', '1', '2', '3', '5', '6', '7', '8', '9' ) OR TCT09_OPERCN.CKBALCAO IS NOT NULL )  AND INTERFACE_DCT01.DCYR8101_CFAMILIA IN ( 'NT' ) GROUP BY TCT09_OPERCN.CKBALCAO AND TCT09_OPERCN.CKNUMCTA </t>
  </si>
  <si>
    <t xml:space="preserve">SELECT CAST( INTERFACE_DCT01.DCYR8101_MSALDODI AS DECIMAL( 23, 6 ) )
WHERE ( INTERFACE_DCT01.DCYR8101_CSITCTA IN ( '0', '1', '2', '3', '5', '6', '7', '8', '9' ) OR TCT09_OPERCN.CKBALCAO IS NOT NULL )  AND INTERFACE_DCT01.DCYR8101_CFAMILIA IN ( 'NT' ) GROUP BY TCT09_OPERCN.CKBALCAO AND TCT09_OPERCN.CKNUMCTA </t>
  </si>
  <si>
    <t>SELECT IF( TCT09_OPERCN.CKBALCAO IS NULL, CAST( 0.00 AS DECIMAL( 23, 6 ) ), TCT01_POSDIVID.MCAPITALD )
WHERE ( INTERFACE_DCT01.DCYR8101_CSITCTA IN ( '0', '1', '2', '3', '5', '6', '7', '8', '9' ) OR TCT09_OPERCN.CKBALCAO IS NOT NULL )  AND INTERFACE_DCT01.DCYR8101_CFAMILIA IN ( 'NT' ) GROUP BY TCT09_OPERCN.CKBALCAO AND TCT09_OPERCN.CKNUMCTA
    AND TCT01_POSDIVID.IATIVO = 'S' AND SUM( MCAPITALD )</t>
  </si>
  <si>
    <t>? || PRECIO_ESTANDAR</t>
  </si>
  <si>
    <t>? -&gt; TAT29_INDEXANT || PRECIO_ESTANDAR -&gt; TAT29_INDEXANT</t>
  </si>
  <si>
    <t>(1)? + (2)INTERES_REFENCI || (1)PRECIO_ESTANDAR + (2)INTERES_REFENCI</t>
  </si>
  <si>
    <t>Current  Spread</t>
  </si>
  <si>
    <t>SELECT IF( TCT09_OPERCN.CKBALCAO IS NULL,
    IF( TRIM( INTERFACE_DCT01.DCYR8101_CSITCTA ) = '',
        NULL,
        PARAM_GENERAL_CODE_CONVERTER.TARGET_VALUE),
    IF(TRIM(TCT09_OPERCN.ISITUACT ) = '',
        NULL,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'contract_status_code' AND ( PARAM_GENERAL_CODE_CONVERTER.SOURCE_VALUE =  INTERFACE_DCT01.DCYR8101_CSITCTA OR PARAM_GENERAL_CODE_CONVERTER.SOURCE_VALUE =  TCT09_OPERCN.ISITUACT ) AND PARAM_GENERAL_CODE_CONVERTER.OPTION_NUMBER = '1'</t>
  </si>
  <si>
    <t>SELECT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'contract_opening_channel_code' AND PARAM_GENERAL_CODE_CONVERTER.SOURCE_VALUE =  '' AND PARAM_GENERAL_CODE_CONVERTER.OPTION_NUMBER= '1'</t>
  </si>
  <si>
    <t xml:space="preserve">SELECT IF( TCT09_OPERCN.CKBALCAO IS NULL, 'DC', 'TC' )
WHERE ( INTERFACE_DCT01.DCYR8101_CSITCTA IN ( '0', '1', '2', '3', '5', '6', '7', '8', '9' ) OR TCT09_OPERCN.CKBALCAO IS NOT NULL )  AND INTERFACE_DCT01.DCYR8101_CFAMILIA IN ( 'NT' ) GROUP BY TCT09_OPERCN.CKBALCAO AND TCT09_OPERCN.CKNUMCTA </t>
  </si>
  <si>
    <t xml:space="preserve">SELECT INTERFACE_DCT01.DATA_DATE_PART
WHERE ( INTERFACE_DCT01.DCYR8101_CSITCTA IN ( '0', '1', '2', '3', '5', '6', '7', '8', '9' ) OR TCT09_OPERCN.CKBALCAO IS NOT NULL )  AND INTERFACE_DCT01.DCYR8101_CFAMILIA IN ( 'NT' ) GROUP BY TCT09_OPERCN.CKBALCAO AND TCT09_OPERCN.CKNUMCTA </t>
  </si>
  <si>
    <t xml:space="preserve">SELECT NOW()
WHERE ( INTERFACE_DCT01.DCYR8101_CSITCTA IN ( '0', '1', '2', '3', '5', '6', '7', '8', '9' ) OR TCT09_OPERCN.CKBALCAO IS NOT NULL )  AND INTERFACE_DCT01.DCYR8101_CFAMILIA IN ( 'NT' ) GROUP BY TCT09_OPERCN.CKBALCAO AND TCT09_OPERCN.CKNUMCTA </t>
  </si>
  <si>
    <t>Pre-paid Card</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</si>
  <si>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</si>
  <si>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PARAM_GENERAL_CODE_CONVERTER.CODE CATEGORY = 'bank_id' AND PARAM_GENERAL_CODE_CONVERTER.SOURCE_CODE = 'CR' AND PARAM_GENERAL_CODE_CONVERTER.SOURCE_VALUE = '' AND PARAM_GENERAL_CODE_CONVERTER.OPTION_NUMBER= '1'</t>
    </r>
  </si>
  <si>
    <r>
      <rPr>
        <b/>
        <sz val="11"/>
        <color rgb="FF000000"/>
        <rFont val="Calibri"/>
        <scheme val="minor"/>
      </rPr>
      <t xml:space="preserve">SELECT </t>
    </r>
    <r>
      <rPr>
        <sz val="11"/>
        <color rgb="FF000000"/>
        <rFont val="Calibri"/>
        <scheme val="minor"/>
      </rPr>
      <t xml:space="preserve">IF( CONCAT( CRT07_TBCTATAR.CKBALCAO, CRT07_TBCTATAR.CKNUMCTA) = '', NULL, CONCAT(CRT07_TBCTATAR.CKBALCAO, CRT07_TBCTATAR.CKNUMCTA, '000000000000000'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</si>
  <si>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</si>
  <si>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sz val="11"/>
        <color rgb="FF000000"/>
        <rFont val="Calibri"/>
        <scheme val="minor"/>
      </rPr>
      <t xml:space="preserve">BIF(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</si>
  <si>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</si>
  <si>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</si>
  <si>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rPr>
      <t xml:space="preserve">SELECT </t>
    </r>
    <r>
      <rPr>
        <sz val="11"/>
        <color rgb="FF000000"/>
        <rFont val="Calibri"/>
      </rPr>
      <t xml:space="preserve">IF( TRIM( CRT09_TBTARJET.INDSITTAR ) = '', NULL, PARAM_GENERAL_CODE_CONVERTER.TARGET_VALUE)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PARAM_GENERAL_CODE_CONVERTER.CODE CATEGORY = 'card_status_code' AND PARAM_GENERAL_CODE_CONVERTER.SOURCE_CODE = 'CR' AND PARAM_GENERAL_CODE_CONVERTER.SOURCE_VALUE = CRT09_TBTARJET.INDSITTAR AND PARAM_GENERAL_CODE_CONVERTER.OPTION_NUMBER= '1'</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</si>
  <si>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</si>
  <si>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</si>
  <si>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Pre-paid Card Account</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</si>
  <si>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'bank_id' AND PARAM_GENERAL_CODE_CONVERTER.SOURCE_CODE = 'CR' AND PARAM_GENERAL_CODE_CONVERTER.SOURCE_VALUE = '' AND PARAM_GENERAL_CODE_CONVERTER.OPTION_NUMBER= '1'</t>
    </r>
  </si>
  <si>
    <r>
      <rPr>
        <b/>
        <sz val="11"/>
        <color rgb="FF000000"/>
        <rFont val="Calibri"/>
        <scheme val="minor"/>
      </rPr>
      <t xml:space="preserve">SELECT </t>
    </r>
    <r>
      <rPr>
        <sz val="11"/>
        <color rgb="FF000000"/>
        <rFont val="Calibri"/>
        <scheme val="minor"/>
      </rPr>
      <t xml:space="preserve">CONCAT(CRT07_TBCTATAR.CKBALCAO,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</si>
  <si>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SELECT PARAM_GENERAL_CODE_CONVERTER.TARGET_VALUE
WHERE 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'product_family_id' AND PARAM_GENERAL_CODE_CONVERTER.SOURCE_CODE = 'CR' AND PARAM_GENERAL_CODE_CONVERTER.SOURCE_VALUE = '' AND PARAM_GENERAL_CODE_CONVERTER.OPTION_NUMBER= '1'</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</si>
  <si>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</si>
  <si>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</si>
  <si>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'bank_id' AND PARAM_GENERAL_CODE_CONVERTER.SOURCE_CODE = 'DC' AND PARAM_GENERAL_CODE_CONVERTER.SOURCE_VALUE = ''</t>
    </r>
  </si>
  <si>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</si>
  <si>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</si>
  <si>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PARAM_GENERAL_CODE_CONVERTER.SOURCE_CODE = 'CR' AND PARAM_GENERAL_CODE_CONVERTER.TARGET_FIELD = 'current_maturity_date' AND PARAM_GENERAL_CODE_CONVERTER.SOURCE_VALUE = ''</t>
    </r>
  </si>
  <si>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</si>
  <si>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rPr>
      <t xml:space="preserve">SELECT </t>
    </r>
    <r>
      <rPr>
        <sz val="11"/>
        <color rgb="FF000000"/>
        <rFont val="Calibri"/>
      </rPr>
      <t xml:space="preserve">IF( TRIM( CRT07_TBCTATAR.BLOQUEACT ) = '', NULL, PARAM_GENERAL_CODE_CONVERTER.TARGET_VALUE)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'contract_status_code' AND PARAM_GENERAL_CODE_CONVERTER.SOURCE_CODE = 'CR' AND PARAM_GENERAL_CODE_CONVERTER.SOURCE_VALUE = CRT07_TBCTATAR.BLOQUEACT AND PARAM_GENERAL_CODE_CONVERTER.OPTION_NUMBER= '1'</t>
    </r>
  </si>
  <si>
    <r>
      <rPr>
        <b/>
        <sz val="11"/>
        <color rgb="FF000000"/>
        <rFont val="Calibri"/>
      </rPr>
      <t xml:space="preserve">SELECT </t>
    </r>
    <r>
      <rPr>
        <sz val="11"/>
        <color rgb="FF000000"/>
        <rFont val="Calibri"/>
      </rPr>
      <t xml:space="preserve">CASE
    WHEN CRT68_TBHISBLQ.USUARIO = 'CRHC6001' THEN 'NBE' THEN  PARAM_GENERAL_CODE_CONVERTER.TARGET_VALUE
    WHEN CRT68_TBHISBLQ.USUARIO = 'CRHC9801' THEN 'Backoffice' THEN  PARAM_GENERAL_CODE_CONVERTER.TARGET_VALUE
    WHEN CRT68_TBHISBLQ.USUARIO = 'BATCH' THEN 'RED' THEN  PARAM_GENERAL_CODE_CONVERTER.TARGET_VALUE
    ELSE IF(T RIM( SUBSTRING( TAT91_TABELAS_NEW.TAYD91C0_NELEMC13, 3, 3 ) ) = '', NULL, PARAM_GENERAL_CODE_CONVERTER.TARGET_VALUE)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'contract_opening_channel_code' AND PARAM_GENERAL_CODE_CONVERTER.SOURCE_CODE = 'CR' AND PARAM_GENERAL_CODE_CONVERTER.SOURCE_VALUE = SUBSTR(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TAT91_TABELAS.TAYD91C0_CTABELA = '091'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</si>
  <si>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</si>
  <si>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</si>
  <si>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</si>
  <si>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Saving Account</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</si>
  <si>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</si>
  <si>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</si>
  <si>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CURATED_INTERNAL_MAINFRAME_DEPOSITOSPRAZO
COMMON_REFERENCEDATA_CORE</t>
  </si>
  <si>
    <t>DP_DPYR0550_DEPOSITOS
PARAM_GENERAL_CODE_CONVERTER</t>
  </si>
  <si>
    <t>SELECT PARAM_GENERAL_CODE_CONVERTER.TARGET_VALUE
WHERE DP_DPYR0550_DEPOSITOS.CSITCTA = 'NR'
    AND PARAM_GENERAL_CODE_CONVERTER.CODE CATEGORY = 'bank_id' AND PARAM_GENERAL_CODE_CONVERTER.SOURCE_CODE = 'DP' AND PARAM_GENERAL_CODE_CONVERTER.SOURCE_VALUE = '' AND PARAM_GENERAL_CODE_CONVERTER.OPTION_NUMBER= '1'</t>
  </si>
  <si>
    <t>DP - Contas a Prazo</t>
  </si>
  <si>
    <t>CURATED_INTERNAL_MAINFRAME_DEPOSITOSPRAZO</t>
  </si>
  <si>
    <t>DP_DPYR0550_DEPOSITOS</t>
  </si>
  <si>
    <r>
      <rPr>
        <b/>
        <sz val="11"/>
        <color rgb="FF000000"/>
        <rFont val="Calibri"/>
        <scheme val="minor"/>
      </rPr>
      <t xml:space="preserve">SELECT </t>
    </r>
    <r>
      <rPr>
        <sz val="11"/>
        <color rgb="FF000000"/>
        <rFont val="Calibri"/>
        <scheme val="minor"/>
      </rPr>
      <t xml:space="preserve">CONCAT( DP_DPYR0550_DEPOSITOS.CKBALCAO, DP_DPYR0550_DEPOSITOS.CKNUMCTA, SUBSTRING( DP_DPYR0550_DEPOSITOS.ZDEPOSIT, 2, 6 ), '000000000' )
</t>
    </r>
    <r>
      <rPr>
        <b/>
        <sz val="11"/>
        <color rgb="FF000000"/>
        <rFont val="Calibri"/>
        <scheme val="minor"/>
      </rPr>
      <t xml:space="preserve">WHERE </t>
    </r>
    <r>
      <rPr>
        <sz val="11"/>
        <color rgb="FF000000"/>
        <rFont val="Calibri"/>
        <scheme val="minor"/>
      </rPr>
      <t>DP_DPYR0550_DEPOSITOS.CSITCTA = 'NR'</t>
    </r>
  </si>
  <si>
    <t>DPYR0550</t>
  </si>
  <si>
    <t>CONCAT (CKBALCAO, CKNUMCTA, ZDEPOSIT( 2, 6 ) )</t>
  </si>
  <si>
    <r>
      <rPr>
        <b/>
        <sz val="11"/>
        <color rgb="FF000000"/>
        <rFont val="Calibri"/>
        <scheme val="minor"/>
      </rPr>
      <t xml:space="preserve">SELECT </t>
    </r>
    <r>
      <rPr>
        <sz val="11"/>
        <color rgb="FF000000"/>
        <rFont val="Calibri"/>
        <scheme val="minor"/>
      </rPr>
      <t xml:space="preserve">IF( TRIM( DP_DPYR0550_DEPOSITOS.DABERTUR ) = '', NULL, DP_DPYR0550_DEPOSITOS.DABERTUR )
</t>
    </r>
    <r>
      <rPr>
        <b/>
        <sz val="11"/>
        <color rgb="FF000000"/>
        <rFont val="Calibri"/>
        <scheme val="minor"/>
      </rPr>
      <t xml:space="preserve">WHERE </t>
    </r>
    <r>
      <rPr>
        <sz val="11"/>
        <color rgb="FF000000"/>
        <rFont val="Calibri"/>
        <scheme val="minor"/>
      </rPr>
      <t>DP_DPYR0550_DEPOSITOS.CSITCTA = 'NR'</t>
    </r>
  </si>
  <si>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DP_DPYR0550_DEPOSITOS.CSITCTA = 'NR'
    AND PARAM_GENERAL_CODE_CONVERTER.CODE CATEGORY = 'product_family_id' AND PARAM_GENERAL_CODE_CONVERTER.SOURCE_CODE = 'DP' AND PARAM_GENERAL_CODE_CONVERTER.SOURCE_VALUE = '' AND PARAM_GENERAL_CODE_CONVERTER.OPTION_NUMBER= '1'</t>
    </r>
  </si>
  <si>
    <r>
      <rPr>
        <b/>
        <sz val="11"/>
        <color rgb="FF000000"/>
        <rFont val="Calibri"/>
        <scheme val="minor"/>
      </rPr>
      <t xml:space="preserve">SELECT </t>
    </r>
    <r>
      <rPr>
        <sz val="11"/>
        <color rgb="FF000000"/>
        <rFont val="Calibri"/>
        <scheme val="minor"/>
      </rPr>
      <t xml:space="preserve">IF( TRIM( DP_DPYR0550_DEPOSITOS.CKPRODUT ) = '', NULL, DP_DPYR0550_DEPOSITOS.CKPRODUT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</si>
  <si>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IF( TRIM( DP_DPYR0550_DEPOSITOS.CKSUBPRO ) = '', NULL, DP_DPYR0550_DEPOSITOS.CKSUBPRO ) 
</t>
    </r>
    <r>
      <rPr>
        <b/>
        <sz val="11"/>
        <color rgb="FF000000"/>
        <rFont val="Calibri"/>
        <scheme val="minor"/>
      </rPr>
      <t xml:space="preserve">WHERE </t>
    </r>
    <r>
      <rPr>
        <sz val="11"/>
        <color rgb="FF000000"/>
        <rFont val="Calibri"/>
        <scheme val="minor"/>
      </rPr>
      <t>DP_DPYR0550_DEPOSITOS.CSITCTA = 'NR'</t>
    </r>
  </si>
  <si>
    <t>Contract Static
Transactions - Deposits</t>
  </si>
  <si>
    <t>SELECT PARAM_GENERAL_CODE_CONVERTER.TARGET_VALUE
WHERE DP_DPYR0550_DEPOSITOS.CSITCTA = 'NR'
    AND PARAM_GENERAL_CODE_CONVERTER.CODE CATEGORY = 'bank_id' AND PARAM_GENERAL_CODE_CONVERTER.SOURCE_CODE = 'DC' AND PARAM_GENERAL_CODE_CONVERTER.SOURCE_VALUE = '' AND PARAM_GENERAL_CODE_CONVERTER.OPTION_NUMBER= '1'</t>
  </si>
  <si>
    <t>Contract identifier of the current account that anchors the saving account.</t>
  </si>
  <si>
    <t>CURATED_INTERNAL_MAINFRAME_DEPOSITOSPRAZO
CURATED_INTERNAL_MAINFRAME_ESTRUTURAIS
CURATED_INTERNAL_MAINFRAME_ESTRUTURAIS</t>
  </si>
  <si>
    <t>DP_DPYR0550_DEPOSITOS
COINT_CTOLOC_P
REL_CONTRATOS</t>
  </si>
  <si>
    <t>N\A
E2616_IDCENT_L, E2616_IDCONT_L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</si>
  <si>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DP_DPYR0550_DEPOSITOS.CSITCTA = 'NR'
    AND REL_CONTRATOS.RCC_FEVENCIM = '9999-12-31' AND REL_CONTRATOS.RCC_TIPOSIT = '10' AND REL_CONTRATOS.RCC_CORELCC = '040' AND COINT_CTOLOC_P. E2616_IDEMPR = '0018'</t>
    </r>
  </si>
  <si>
    <t>Contract basics low update
Contracts - Deposits
Contracts - Deposits</t>
  </si>
  <si>
    <t>Current Maturity Date
Expiration Date
Maturity Time</t>
  </si>
  <si>
    <t>DDVENCIM</t>
  </si>
  <si>
    <r>
      <rPr>
        <b/>
        <sz val="11"/>
        <color rgb="FF000000"/>
        <rFont val="Calibri"/>
        <scheme val="minor"/>
      </rPr>
      <t xml:space="preserve">SELECT </t>
    </r>
    <r>
      <rPr>
        <sz val="11"/>
        <color rgb="FF000000"/>
        <rFont val="Calibri"/>
        <scheme val="minor"/>
      </rPr>
      <t xml:space="preserve">IF( TRIM( DP_DPYR0550_DEPOSITOS.DDVENCIM ) = '', NULL, DP_DPYR0550_DEPOSITOS.DDVENCIM )
</t>
    </r>
    <r>
      <rPr>
        <b/>
        <sz val="11"/>
        <color rgb="FF000000"/>
        <rFont val="Calibri"/>
        <scheme val="minor"/>
      </rPr>
      <t xml:space="preserve">WHERE </t>
    </r>
    <r>
      <rPr>
        <sz val="11"/>
        <color rgb="FF000000"/>
        <rFont val="Calibri"/>
        <scheme val="minor"/>
      </rPr>
      <t>DP_DPYR0550_DEPOSITOS.CSITCTA = 'NR'</t>
    </r>
  </si>
  <si>
    <t>Contract Static
Balances
Contract Static</t>
  </si>
  <si>
    <t>CURATED_INTERNAL_MAINFRAME_DEPOSITOSPRAZO
CURATED_INTERNAL_MAINFRAME_DEPOSITOSPRAZO</t>
  </si>
  <si>
    <t>DP_DPYR0550_DEPOSITOS
DP_DPYR0560_SALDOS_DEPOSITOS</t>
  </si>
  <si>
    <t>N\A
MOEDA</t>
  </si>
  <si>
    <r>
      <rPr>
        <b/>
        <sz val="11"/>
        <color rgb="FF000000"/>
        <rFont val="Calibri"/>
        <scheme val="minor"/>
      </rPr>
      <t xml:space="preserve">SELECT </t>
    </r>
    <r>
      <rPr>
        <sz val="11"/>
        <color rgb="FF000000"/>
        <rFont val="Calibri"/>
        <scheme val="minor"/>
      </rPr>
      <t xml:space="preserve">IF( TRIM( DP_DPYR0560_SALDOS_DEPOSITOS.MOEDA ) = '', NULL, DP_DPYR0560_SALDOS_DEPOSITOS.MOEDA  )
</t>
    </r>
    <r>
      <rPr>
        <b/>
        <sz val="11"/>
        <color rgb="FF000000"/>
        <rFont val="Calibri"/>
        <scheme val="minor"/>
      </rPr>
      <t xml:space="preserve">WHERE </t>
    </r>
    <r>
      <rPr>
        <sz val="11"/>
        <color rgb="FF000000"/>
        <rFont val="Calibri"/>
        <scheme val="minor"/>
      </rPr>
      <t>DP_DPYR0550_DEPOSITOS.CSITCTA = 'NR' 
    AND DP_DPYR0560_SALDOS_DEPOSITOS.TIPMVTO = '155'</t>
    </r>
  </si>
  <si>
    <t>DPYR056O</t>
  </si>
  <si>
    <t>MOEDA</t>
  </si>
  <si>
    <t>Initial Deposit Amount</t>
  </si>
  <si>
    <t>initial_deposit_amount</t>
  </si>
  <si>
    <t>Ext Inf - DP Fin Inf - Value</t>
  </si>
  <si>
    <t>The initial amount deposited in the saving account.</t>
  </si>
  <si>
    <t>Valor inicial depositado no depósito a prazo.</t>
  </si>
  <si>
    <t>Contracts - Deposits</t>
  </si>
  <si>
    <t>Deposit Amount</t>
  </si>
  <si>
    <t>N\A
MSALDO</t>
  </si>
  <si>
    <r>
      <rPr>
        <b/>
        <sz val="11"/>
        <color rgb="FF000000"/>
        <rFont val="Calibri"/>
        <scheme val="minor"/>
      </rPr>
      <t xml:space="preserve">SELECT </t>
    </r>
    <r>
      <rPr>
        <sz val="11"/>
        <color rgb="FF000000"/>
        <rFont val="Calibri"/>
        <scheme val="minor"/>
      </rPr>
      <t xml:space="preserve">CAST( DP_DPYR0580_MOVIMENTOS.MMOVIM AS DECIMAL( 23, 6 ) )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t>
    </r>
  </si>
  <si>
    <t>DPYR0580</t>
  </si>
  <si>
    <r>
      <rPr>
        <b/>
        <sz val="11"/>
        <color rgb="FF000000"/>
        <rFont val="Calibri"/>
        <scheme val="minor"/>
      </rPr>
      <t xml:space="preserve">SELECT </t>
    </r>
    <r>
      <rPr>
        <sz val="11"/>
        <color rgb="FF000000"/>
        <rFont val="Calibri"/>
        <scheme val="minor"/>
      </rPr>
      <t xml:space="preserve">CAST( DP_DPYR0560_SALDOS_DEPOSITOS.MSALDO AS DECIMAL( 23, 6 ) )
</t>
    </r>
    <r>
      <rPr>
        <b/>
        <sz val="11"/>
        <color rgb="FF000000"/>
        <rFont val="Calibri"/>
        <scheme val="minor"/>
      </rPr>
      <t>WHERE</t>
    </r>
    <r>
      <rPr>
        <sz val="11"/>
        <color rgb="FF000000"/>
        <rFont val="Calibri"/>
        <scheme val="minor"/>
      </rPr>
      <t xml:space="preserve"> DP_DPYR0550_DEPOSITOS.CSITCTA = 'NR' 
    AND DP_DPYR0560_SALDOS_DEPOSITOS.TIPMVTO = '155'</t>
    </r>
  </si>
  <si>
    <t>Early Withdraw Penalty Fee</t>
  </si>
  <si>
    <t>early_withdraw_penalty_fee</t>
  </si>
  <si>
    <t>The amount charged for a withdraw before the contract's maturity date.</t>
  </si>
  <si>
    <t>Taxa de penalização aplicada à taxa de juro passiva (credora) em caso de levantamento antecipado. Por exemplo, pagamento apenas de 20% dos juros credores ao invés dos 100%.</t>
  </si>
  <si>
    <t>Penalty Fee</t>
  </si>
  <si>
    <t>Contract Status:
?; ?</t>
  </si>
  <si>
    <t>Contract basics high update
Contracts - Deposits</t>
  </si>
  <si>
    <r>
      <rPr>
        <b/>
        <sz val="11"/>
        <color rgb="FF000000"/>
        <rFont val="Calibri"/>
      </rPr>
      <t xml:space="preserve">SELECT </t>
    </r>
    <r>
      <rPr>
        <sz val="11"/>
        <color rgb="FF000000"/>
        <rFont val="Calibri"/>
      </rPr>
      <t xml:space="preserve">IF( TRIM( DP_DPYR0550_DEPOSITOS.CSITCTA ) = '', NULL, PARAM_GENERAL_CODE_CONVERTER.TARGET_VALUE)
</t>
    </r>
    <r>
      <rPr>
        <b/>
        <sz val="11"/>
        <color rgb="FF000000"/>
        <rFont val="Calibri"/>
      </rPr>
      <t xml:space="preserve">WHERE </t>
    </r>
    <r>
      <rPr>
        <sz val="11"/>
        <color rgb="FF000000"/>
        <rFont val="Calibri"/>
      </rPr>
      <t>DP_DPYR0550_DEPOSITOS.CSITCTA = 'NR'
    AND PARAM_GENERAL_CODE_CONVERTER.CODE CATEGORY = 'contract_status_code' AND PARAM_GENERAL_CODE_CONVERTER.SOURCE_CODE = 'DP' AND PARAM_GENERAL_CODE_CONVERTER.SOURCE_VALUE = DP_DPYR0550_DEPOSITOS.CSITCTA AND PARAM_GENERAL_CODE_CONVERTER.OPTION_NUMBER= '1'</t>
    </r>
  </si>
  <si>
    <t>CURATED_INTERNAL_MAINFRAME_DEPOSITOSPRAZO
CURATED_INTERNAL_MAINFRAME_DEPOSITOSPRAZO
CURATED_INTERNAL_MAINFRAME_ESTRUTURAIS
COMMON_REFERENCEDATA_CORE</t>
  </si>
  <si>
    <t>DP_DPYR0550_DEPOSITOS
DP_DPYR0580_MOVIMENTOS
TAT91_TABELAS
PARAM_GENERAL_CODE_CONVERTER</t>
  </si>
  <si>
    <r>
      <rPr>
        <b/>
        <sz val="11"/>
        <color rgb="FF000000"/>
        <rFont val="Calibri"/>
      </rPr>
      <t xml:space="preserve">SELECT </t>
    </r>
    <r>
      <rPr>
        <sz val="11"/>
        <color rgb="FF000000"/>
        <rFont val="Calibri"/>
      </rPr>
      <t xml:space="preserve">IF( DP_DPYR0580_MOVIMENTOS.CANAL ) = '', NULL, PARAM_GENERAL_CODE_CONVERTER.TARGET_VALUE
</t>
    </r>
    <r>
      <rPr>
        <b/>
        <sz val="11"/>
        <color rgb="FF000000"/>
        <rFont val="Calibri"/>
      </rPr>
      <t xml:space="preserve">WHERE </t>
    </r>
    <r>
      <rPr>
        <sz val="11"/>
        <color rgb="FF000000"/>
        <rFont val="Calibri"/>
      </rPr>
      <t>DP_DPYR0550_DEPOSITOS.CSITCTA = 'NR'
    AND DP_DPYR0580_MOVIMENTOS.TIPMVTO = '155' AND DP_DPYR0580_MOVIMENTOS.OPERBAS = '129'  AND DP_DPYR0580_MOVIMENTOS.OPERBAN = '001'
    AND PARAM_GENERAL_CODE_CONVERTER.CODE CATEGORY = 'contract_opening_channel_code' AND PARAM_GENERAL_CODE_CONVERTER.SOURCE_CODE = 'DP' AND PARAM_GENERAL_CODE_CONVERTER.SOURCE_VALUE =DP_DPYR0580_MOVIMENTOS.CANAL AND PARAM_GENERAL_CODE_CONVERTER.OPTION_NUMBER= '1'</t>
    </r>
  </si>
  <si>
    <t>DP - Contas a Prazo -&gt; TA - Tabelas Gerais</t>
  </si>
  <si>
    <t>DPYR0580 -&gt; TAT41_CANAL -&gt; TAT91_TABELAS</t>
  </si>
  <si>
    <t>CANAL -&gt; CKBALCAO -&gt; NELEMC13</t>
  </si>
  <si>
    <r>
      <rPr>
        <b/>
        <sz val="11"/>
        <color rgb="FF000000"/>
        <rFont val="Calibri"/>
        <scheme val="minor"/>
      </rPr>
      <t xml:space="preserve">SELECT </t>
    </r>
    <r>
      <rPr>
        <sz val="11"/>
        <color rgb="FF000000"/>
        <rFont val="Calibri"/>
        <scheme val="minor"/>
      </rPr>
      <t xml:space="preserve">'DP'
</t>
    </r>
    <r>
      <rPr>
        <b/>
        <sz val="11"/>
        <color rgb="FF000000"/>
        <rFont val="Calibri"/>
        <scheme val="minor"/>
      </rPr>
      <t xml:space="preserve">WHERE </t>
    </r>
    <r>
      <rPr>
        <sz val="11"/>
        <color rgb="FF000000"/>
        <rFont val="Calibri"/>
        <scheme val="minor"/>
      </rPr>
      <t>DP_DPYR0550_DEPOSITOS.CSITCTA = 'NR'</t>
    </r>
  </si>
  <si>
    <t>"DP"</t>
  </si>
  <si>
    <r>
      <rPr>
        <b/>
        <sz val="11"/>
        <color rgb="FF000000"/>
        <rFont val="Calibri"/>
        <scheme val="minor"/>
      </rPr>
      <t xml:space="preserve">SELECT </t>
    </r>
    <r>
      <rPr>
        <sz val="11"/>
        <color rgb="FF000000"/>
        <rFont val="Calibri"/>
        <scheme val="minor"/>
      </rPr>
      <t xml:space="preserve">DP_DPYR0560_SALDOS_DEPOSITOS.DATA_DATE_PART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</si>
  <si>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DP_DPYR0550_DEPOSITOS.CSITCTA = 'NR'</t>
    </r>
  </si>
  <si>
    <t>Trade Finance</t>
  </si>
  <si>
    <t>Contract Static
Contract Static
Contract basics low update
Contract basics medium update
Contract basics high update
Contract interest
Contracts - Trade Finance</t>
  </si>
  <si>
    <t>CURATED_INTERNAL_MAINFRAME_ESTRANGEIRO
CURATED_INTERNAL_MAINFRAME_ESTRANGEIRO
CURATED_INTERNAL_MAINFRAME_ESTRANGEIRO
CURATED_INTERNAL_MAINFRAME_ESTRANGEIRO
CURATED_INTERNAL_MAINFRAME_CONTAS
COMMON_REFERENCEDATA_CORE</t>
  </si>
  <si>
    <t>EST54_REMIMP
EST78_REMEXP
EST85_CREIMP
EST89_CREEXP
INTERFACE_DCT01
PARAM_GENERAL_CODE_CONVERTER</t>
  </si>
  <si>
    <t>N\A
N\A
N\A
N\A
N\A
N\A
N\A
TARGET_VALUE</t>
  </si>
  <si>
    <t>SELECT PARAM_GENERAL_CODE_CONVERTER.TARGET_VALUE
WHERE MAX(EST54_REMIMP.ESYD54C0_ZSEQMOV) GROUP BY EST54_REMIMP.ESYD54C0_CKREFEST
   AND PARAM_GENERAL_CODE_CONVERTER.SOURCE_VALUE = '', AND PARAM_GENERAL_CODE_CONVERTER.TARGET_FIELD = 'bank_id' AND PARAM_GENERAL_CODE_CONVERTER.SOURCE_CODE = 'RM'
SELECT PARAM_GENERAL_CODE_CONVERTER.TARGET_VALUE
WHERE EST78_REMEXP.ZSEQCRE = '999'
   AND PARAM_GENERAL_CODE_CONVERTER.SOURCE_VALUE = '', AND PARAM_GENERAL_CODE_CONVERTER.TARGET_FIELD = 'bank_id' AND PARAM_GENERAL_CODE_CONVERTER.SOURCE_CODE = 'RX'
SELECT PARAM_GENERAL_CODE_CONVERTER.TARGET_VALUE
WHERE EST85_CREIMP.ZSEQREM = '999'
   AND PARAM_GENERAL_CODE_CONVERTER.SOURCE_VALUE = '', AND PARAM_GENERAL_CODE_CONVERTER.TARGET_FIELD = 'bank_id' AND PARAM_GENERAL_CODE_CONVERTER.SOURCE_CODE = 'MC'
SELECT PARAM_GENERAL_CODE_CONVERTER.TARGET_VALUE
WHERE EST85_CREIMP.ZSEQREM = '999'
   AND PARAM_GENERAL_CODE_CONVERTER.SOURCE_VALUE = '', AND PARAM_GENERAL_CODE_CONVERTER.TARGET_FIELD = 'bank_id' AND PARAM_GENERAL_CODE_CONVERTER.SOURCE_CODE = 'MC'
SELECT PARAM_GENERAL_CODE_CONVERTER.TARGET_VALUE
WHERE EST85_CREIMP.ZSEQCRE = '999'
   AND PARAM_GENERAL_CODE_CONVERTER.SOURCE_VALUE = '', AND PARAM_GENERAL_CODE_CONVERTER.TARGET_FIELD = 'bank_id' AND PARAM_GENERAL_CODE_CONVERTER.SOURCE_CODE = 'MC' AND EST87_CDNEG.ESYD87C1_IPEDADI = 'S'
SELECT PARAM_GENERAL_CODE_CONVERTER.TARGET_VALUE
WHERE EST89_CREEXP.ZSEQREM = '99' AND MAX(EST89_CREEXP.ZSEQUEN) GROUP BY EST89_CREEXP.CKREFEST
   AND PARAM_GENERAL_CODE_CONVERTER.SOURCE_VALUE = '', AND PARAM_GENERAL_CODE_CONVERTER.TARGET_FIELD = 'bank_id' AND PARAM_GENERAL_CODE_CONVERTER.SOURCE_CODE = 'XC'
SELECT PARAM_GENERAL_CODE_CONVERTER.TARGET_VALUE
WHERE PARAM_GENERAL_CODE_CONVERTER.TARGET_FIELD = 'bank_id' AND PARAM_GENERAL_CODE_CONVERTER.SOURCE_CODE = 'DC' AND PARAM_GENERAL_CODE_CONVERTER.SOURCE_VALUE = '' AND PARAM_GENERAL_CODE_CONVERTER.OPTION_NUMBER = '1'
SELECT PARAM_GENERAL_CODE_CONVERTER.TARGET_VALUE
WHERE TCT09_OPERCN.ISITUAC = '1' AND TCT09_OPERCN.DENTRADA &lt;= TCT09_OPERCN.DATA_DATE_PART  AND (GROUP BY TCT09_OPERCN.CKBALCAO, TCT09_OPERCN,CKNUMCTA)
   AND PARAM_GENERAL_CODE_CONVERTER.TARGET_FIELD = 'bank_id' AND PARAM_GENERAL_CODE_CONVERTER.SOURCE_CODE = 'TC' AND PARAM_GENERAL_CODE_CONVERTER.SOURCE_VALUE = '' AND PARAM_GENERAL_CODE_CONVERTER.OPTION_NUMBER = '1'</t>
  </si>
  <si>
    <t>RM - Estrangeiro
RX - Estrangeiro
MC - Estrangeiro
XC - Estrangeiro
DC - Contas a Vista
TC - Terminal Contencioso</t>
  </si>
  <si>
    <t>"31"
"31"
"31"
"31"
"31"
"31"</t>
  </si>
  <si>
    <t>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</si>
  <si>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</si>
  <si>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DCYR8101_CKBALCAO, DCRY8101_CKNUMCTA
CKBALCAO, CKNUMCTA</t>
  </si>
  <si>
    <t>SELECT CONCAT(EST54_REMIMP.ESYD54C0_CKBALCAO, EST54_REMIMP.ESYD54C0_CKNUMCTA, EST54_REMIMP.ESYD54C0_CKREFEST, '0')
WHERE MAX(EST54_REMIMP.ESYD54C0_ZSEQMOV) GROUP BY EST54_REMIMP.ESYD54C0_CKREFEST
SELECT CONCAT( EST78_REMEXP.CKBALCAO, EST78_REMEXP.CKNUMCTA, EST78_REMEXP.CKREFEST, '0')
WHERE EST78_REMEXP.ZSEQREM = '999'
SELECT CONCAT( EST85_CREIMP.CKBALCAO, EST85_CREIMP.CKNUMCTA, EST85_CREIMP.CKREFEST, '0')
WHERE EST85_CREIMP.ZSEQCRE = '999'
SELECT CONCAT( EST85_CREIMP.CKBALCAO, EST85_CREIMP.CKNUMCTA, EST85_CREIMP.CKREFEST, '9' )
WHERE EST85_CREIMP.ZSEQCRE = '999'
SELECT CONCAT( EST85_CREIMP.CKBALCAO, EST85_CREIMP.CKNUMCTA, EST85_CREIMP.CKREFEST, EST87_CDNEG.ESYD87C1_ZSEQNEG)
WHERE EST85_CREIMP.ZSEQCRE = '999' AND AND EST87_CDNEG.ESYD87C1_IPEDADI = 'S'
SELECT CONCAT( EST89_CREEXP.CKBALCAO, EST89_CREEXP.CKNUMCTA, EST89_CREEXP.CKREFEST, '0')
WHERE EST89_CREEXP.ZSEQCRE = '99' AND MAX(EST89_CREEXP.ZSEQUEN) GROUP BY EST89_CREEXP.CKREFEST
SELECT CONCAT(INTERFACE_DCT01.DCYR8101_CKBALCAO, INTERFACE_DCT01.DCYR8101_CKNUMCTA, '000000000000000')
SELECT CONCAT( TCT09_OPERCN.CKBALCAO, TCT09_OPERCN.CKNUMCTA, '000000000000000')
WHERE TCT09_OPERCN.ISITUAC = '1' AND TCT09_OPERCN.DENTRADA &lt;= TCT09_OPERCN.DATA_DATE_PART  AND (GROUP BY TCT09_OPERCN.CKBALCAO, TCT09_OPERCN,CKNUMCTA)</t>
  </si>
  <si>
    <t>EST54_REMIMP
EST78_REMEXP
EST85_CREIMP || EST85_CREIMP || (1)EST85_CREIMP + (2)EST87_CDINEG
EST89_CREEXP
DCYR8101
TCT09_OPERCN</t>
  </si>
  <si>
    <t>CONCAT( CKBALCAO, CKNUMECTA, CKREFEST, "0" )
CONCAT( CKBALCAO, CKNUMECTA, CKREFEST, "0" )
CONCAT( CKBALCAO, CKNUMECTA, CKREFEST, "0" ) || CONCAT( CKBALCAO, CKNUMECTA, CKREFEST, "9" ) || CONCAT( (1)CKBALCAO, (1)CKNUMECTA, (1)CKREFEST, (2)ZSEQNEG )
CONCAT( CKBALCAO, CKNUMECTA, CKREFEST, "0" )
CONCAT ( CKBALCAO, CKKNUMCTA, ZDEPOSIT )
CONCAT ( CKBALCAO, CKKNUMCTA, ZDEPOSIT )</t>
  </si>
  <si>
    <t>Product Type:
N\A
N\A
N\A
N\A
N\A
N\A</t>
  </si>
  <si>
    <t>CURATED_INTERNAL_MAINFRAME_ESTRANGEIRO
CURATED_INTERNAL_MAINFRAME_ESTRANGEIRO
CURATED_INTERNAL_MAINFRAME_ESTRANGEIRO
CURATED_INTERNAL_MAINFRAME_ESTRANGEIRO
CURATED_INTERNAL_MAINFRAME_ESTRANGEIRO
CURATED_INTERNAL_MAINFRAME_CONTAS
CURATED_INTERNAL_MAINFRAME_CONTENCIOSO
COMMON_REFERENCEDATA_CORE</t>
  </si>
  <si>
    <t>EST54_REMIMP
EST78_REMEXP
EST85_CREIMP
EST89_CREEXP
INTERFACE_DCT01
TCT09_OPERCN
PARAM_GENERAL_CODE_CONVERTER</t>
  </si>
  <si>
    <r>
      <rPr>
        <sz val="11"/>
        <color rgb="FF000000"/>
        <rFont val="Calibri"/>
      </rPr>
      <t xml:space="preserve">SELECT PARAM_GENERAL_CODE_CONVERTER.TARGET_VALUE
WHERE MAX(EST54_REMIMP.ESYD54C0_ZSEQMOV) GROUP BY EST54_REMIMP.ESYD54C0_CKREFEST
   AND PARAM_GENERAL_CODE_CONVERTER.SOURCE_VALUE = '', AND PARAM_GENERAL_CODE_CONVERTER.TARGET_FIELD = 'product_family_id' AND PARAM_GENERAL_CODE_CONVERTER.SOURCE_CODE = 'RM'
SELECT PARAM_GENERAL_CODE_CONVERTER.TARGET_VALUE
WHERE EST78_REMEXP.ZSEQREM = '999'
   AND PARAM_GENERAL_CODE_CONVERTER.SOURCE_VALUE = '', AND PARAM_GENERAL_CODE_CONVERTER.TARGET_FIELD = 'product_family_id' AND PARAM_GENERAL_CODE_CONVERTER.SOURCE_CODE = 'RX'
SELECT PARAM_GENERAL_CODE_CONVERTER.TARGET_VALUE
WHERE EST85_CREIMP.ZSEQCRE = '999'
   AND PARAM_GENERAL_CODE_CONVERTER.SOURCE_VALUE = '', AND PARAM_GENERAL_CODE_CONVERTER.TARGET_FIELD = 'product_family_id' AND PARAM_GENERAL_CODE_CONVERTER.SOURCE_CODE = 'MC'
SELECT PARAM_GENERAL_CODE_CONVERTER.TARGET_VALUE
WHERE EST85_CREIMP.ZSEQCRE = '999'
   AND PARAM_GENERAL_CODE_CONVERTER.SOURCE_VALUE = '', AND PARAM_GENERAL_CODE_CONVERTER.TARGET_FIELD = 'product_family_id' AND PARAM_GENERAL_CODE_CONVERTER.SOURCE_CODE = 'MC'
SELECT PARAM_GENERAL_CODE_CONVERTER.TARGET_VALUE
WHERE EST85_CREIMP.ZSEQCRE = '999' AND EST87_CDNEG.ESYD87C1_IPEDADI = 'S'
   AND PARAM_GENERAL_CODE_CONVERTER.SOURCE_VALUE = '' AND PARAM_GENERAL_CODE_CONVERTER.TARGET_FIELD = 'product_family_id' AND PARAM_GENERAL_CODE_CONVERTER.SOURCE_CODE = 'MC'
SELECT PARAM_GENERAL_CODE_CONVERTER.TARGET_VALUE
WHERE EST89_CREEXP.ZSEQCRE = '99' AND MAX(EST89_CREEXP.ZSEQUEN) GROUP BY EST89_CREEXP.CKREFEST
   AND PARAM_GENERAL_CODE_CONVERTER.SOURCE_VALUE = '' AND PARAM_GENERAL_CODE_CONVERTER.TARGET_FIELD = 'product_family_id' AND PARAM_GENERAL_CODE_CONVERTER.SOURCE_CODE = 'XC'
SELECT CASE
      WHEN INTERFACE_DCT01.DCYR8101_CKPRODUT = '029' AND INTERFACE_DCT01.DCYR8101_CKSUBPRO = '048' THEN PARAM_GENERAL_CODE_CONVERTER.TARGET_VALUE
      WHEN INTERFACE_DCT01.DCYR8101_CKPRODUT = '029' AND INTERFACE_DCT01.DCYR8101_CKSUBPRO = '083' THEN PARAM_GENERAL_CODE_CONVERTER.TARGET_VALUE
      WHEN INTERFACE_DCT01.DCYR8101_CKPRODUT = '029' AND INTERFACE_DCT01.DCYR8101_CKSUBPRO = '085' THEN PARAM_GENERAL_CODE_CONVERTER.TARGET_VALUE
      WHEN INTERFACE_DCT01.DCYR8101_CKPRODUT = '030' AND INTERFACE_DCT01.DCYR8101_CKSUBPRO = '302' THEN PARAM_GENERAL_CODE_CONVERTER(XC).TARGET_VALUE
    END
WHERE PARAM_GENERAL_CODE_CONVERTER.SOURCE_VALUE = '' AND PARAM_GENERAL_CODE_CONVERTER.TARGET_FIELD = 'product_family_id' AND PARAM_GENERAL_CODE_CONVERTER.SOURCE_CODE IN ('RM', 'RX', 'MC', 'XC')
</t>
    </r>
    <r>
      <rPr>
        <b/>
        <sz val="11"/>
        <color rgb="FF000000"/>
        <rFont val="Calibri"/>
      </rPr>
      <t>SELECT</t>
    </r>
    <r>
      <rPr>
        <sz val="11"/>
        <color rgb="FF000000"/>
        <rFont val="Calibri"/>
      </rPr>
      <t xml:space="preserve"> CASE
      WHEN TCT09_OPERCN.CKPRODUT = '029' AND TCT09_OPERCN.CKSUBPRO = '048' THEN PARAM_GENERAL_CODE_CONVERTER(RM).TARGET_VALUE
      WHEN TCT09_OPERCN.CKPRODUT = '029' AND TCT09_OPERCN.CKSUBPRO = '083' THEN PARAM_GENERAL_CODE_CONVERTER(RX).TARGET_VALUE
      WHEN TCT09_OPERCN.CKPRODUT = '029' AND TCT09_OPERCN.CKSUBPRO = '085' THEN PARAM_GENERAL_CODE_CONVERTER(MC).TARGET_VALUE
      WHEN TCT09_OPERCN.CKPRODUT = '030' AND TCT09_OPERCN.CKSUBPRO = '302' THEN PARAM_GENERAL_CODE_CONVERTER(XC).TARGET_VALUE
    END
</t>
    </r>
    <r>
      <rPr>
        <b/>
        <sz val="11"/>
        <color rgb="FF000000"/>
        <rFont val="Calibri"/>
      </rPr>
      <t>WHERE</t>
    </r>
    <r>
      <rPr>
        <sz val="11"/>
        <color rgb="FF000000"/>
        <rFont val="Calibri"/>
      </rPr>
      <t xml:space="preserve"> TCT09_OPERCN.ISITUAC = '1'  AND TCT09_OPERCN.DENTRADA &lt;= TCT09_OPERCN.DATA_DATE_PART AND (GROUP BY TCT09_OPERCN.CKBALCAO, TCT09_OPERCN,CKNUMCTA)
   AND PARAM_GENERAL_CODE_CONVERTER.SOURCE_VALUE = '' AND PARAM_GENERAL_CODE_CONVERTER.TARGET_FIELD = 'product_family_id' AND PARAM_GENERAL_CODE_CONVERTER.SOURCE_CODE IN ('RM', 'RX', 'MC', 'XC')
</t>
    </r>
  </si>
  <si>
    <t>Product Lvl 1:
TAT91 - CTABELA 925
TAT91 - CTABELA 925
TAT91 - CTABELA 925
TAT91 - CTABELA 925
TAT91 - CTABELA 925
TAT91 - CTABELA 925</t>
  </si>
  <si>
    <t>EST54_REMIMP
EST78_REMEXP
EST85_CREIMP
EST89_CREEXP
INTERFACE_DCT01
TCT09_OPERCN</t>
  </si>
  <si>
    <t>ESYD54C0_CKPRODUT
CKPRODUT
CKPRODUT
CKPRODUT
CKPRODUT
CKPRODUT
DCYR8101_CKPRODUT
CKPRODUT</t>
  </si>
  <si>
    <t xml:space="preserve">SELECT IF(TRIM(EST54_REMIMP.ESYD54C0_CKPRODUT) = '', NULL, EST54_REMIMP.ESYD54C0_CKPRODUT)
WHERE MAX(EST54_REMIMP.ESYD54C0_ZSEQMOV) GROUP BY EST54_REMIMP.ESYD54C0_CKREFEST
SELECT IF(TRIM(EST78_REMEXP.CKPRODUT) = '', NULL, EST78_REMEXP.CKPRODUT)
WHERE EST78_REMEXP.ZSEQREM = '999'
SELECT IF(TRIM(EST85_CREIMP.CKPRODUT) = '', NULL, EST85_CREIMP.CKPRODUT)
WHERE EST85_CREIMP.ZSEQCRE = '999'
SELECT IF(TRIM(EST85_CREIMP.CKPRODUT) = '', NULL, EST85_CREIMP.CKPRODUT)
WHERE EST85_CREIMP.ZSEQCRE = '999'
SELECT IF(TRIM(EST85_CREIMP.CKPRODUT) = '', NULL, EST85_CREIMP.CKPRODUT)
WHERE EST85_CREIMP.ZSEQCRE = '999'  AND EST87_CDNEG.ESYD87C1_IPEDADI = 'S'
SELECT IF(TRIM(EST89_CREEXP.CKPRODUT) = '', NULL, EST89_CREEXP.CKPRODUT)
WHERE EST89_CREEXP.ZSEQCRE = '99' AND MAX(EST89_CREEXP.ZSEQUEN) GROUP BY EST89_CREEXP.CKREFEST
SELECT IF(TRIM(INTERFACE_DCT01.DCYR8101_CKPRODUT) = '', NULL, INTERFACE_DCT01.DCYR8101_CKPRODUT)
SELECT IF(TRIM(TCT09_OPERCN.CKPRODUT) = '', NULL, TCT09_OPERCN.CKPRODUT)
WHERE TCT09_OPERCN.ISITUAC = '1'  AND TCT09_OPERCN.DENTRADA &lt;= TCT09_OPERCN.DATA_DATE_PART AND (GROUP BY TCT09_OPERCN.CKBALCAO, TCT09_OPERCN,CKNUMCTA)
</t>
  </si>
  <si>
    <t>EST54_REMIMP
EST78_REMEXP
EST85_CREIMP
EST89_CREEXP
DCYR8101
TCT09_OPERCN</t>
  </si>
  <si>
    <t>CKPRODUT
CKPRODUT
CKPRODUT
CKPRODUT
CKPRODUT
CKPRODUT</t>
  </si>
  <si>
    <t>Product Lvl 2:
TAT91 - CTABELA 925
TAT91 - CTABELA 925
TAT91 - CTABELA 925
TAT91 - CTABELA 925
TAT91 - CTABELA 925
TAT91 - CTABELA 925</t>
  </si>
  <si>
    <t>ESYD54C0_CKSUBPRO
CKSUBPRO
CKSUBPRO
CKSUBPRO
CKSUBPRO
CKSUBPRO
DCYR8101_CKSUBPRO
CKSUBPRO</t>
  </si>
  <si>
    <t xml:space="preserve">SELECT IF(TRIM(EST54_REMIMP.ESYD54C0_CKSUBPRO) = '', NULL, EST54_REMIMP.ESYD54C0_CKSUBPRO)
WHERE MAX(EST54_REMIMP.ESYD54C0_ZSEQMOV) GROUP BY EST54_REMIMP.ESYD54C0_CKREFEST
SELECT IF(TRIM(EST78_REMEXP.CKSUBPRO) = '', NULL, EST78_REMEXP.CKSUBPRO)
WHERE EST78_REMEXP.ZSEQREM = '999'
SELECT IF(TRIM(EST85_CREIMP.CKSUBPRO) = '', NULL, EST85_CREIMP.CKSUBPRO)
WHERE EST85_CREIMP.ZSEQCRE = '999'
SELECT IF(TRIM(EST85_CREIMP.CKSUBPRO) = '', NULL, EST85_CREIMP.CKSUBPRO)
WHERE EST85_CREIMP.ZSEQCRE = '999'
SELECT IF(TRIM(EST85_CREIMP.CKSUBPRO) = '', NULL, EST85_CREIMP.CKSUBPRO)
WHERE EST85_CREIMP.ZSEQCRE = '999' AND EST87_CDNEG.ESYD87C1_IPEDADI = 'S'
SELECT IF(TRIM(EST89_CREEXP.CKSUBPRO) = '', NULL, EST89_CREEXP.CKSUBPRO)
WHERE EST89_CREEXP.ZSEQCRE = '99' AND MAX(EST89_CREEXP.ZSEQUEN) GROUP BY EST89_CREEXP.CKREFEST
SELECT IF(TRIM(INTERFACE_DCT01.DCYR8101_CKSUBPRO) = '', NULL, INTERFACE_DCT01.DCYR8101_CKSUBPRO)
SELECT IF(TRIM(TCT09_OPERCN.CKSUBPRO) = '', NULL, TCT09_OPERCN.CKSUBPRO)
WHERE TCT09_OPERCN.ISITUAC = '1' AND TCT09_OPERCN.DENTRADA &lt;= TCT09_OPERCN.DATA_DATE_PART AND (GROUP BY TCT09_OPERCN.CKBALCAO, TCT09_OPERCN,CKNUMCTA)
</t>
  </si>
  <si>
    <t>CKSUBPRO
CKSUBPRO
CKSUBPRO
CKSUBPRO
CKSUBPRO
CKSUBPRO</t>
  </si>
  <si>
    <t>Bank identifier (internal Santander’s company identification code) that is related to the current account contract which anchors the trade finance contract.</t>
  </si>
  <si>
    <t>Contract Static
Contracts - Trade Finance</t>
  </si>
  <si>
    <t>CURATED_INTERNAL_MAINFRAME_ESTRANGEIRO
CURATED_INTERNAL_MAINFRAME_ESTRANGEIRO
CURATED_INTERNAL_MAINFRAME_ESTRANGEIRO
CURATED_INTERNAL_MAINFRAME_ESTRANGEIRO
CURATED_INTERNAL_MAINFRAME_ESTRANGEIRO
CURATED_INTERNAL_MAINFRAME_CONTAS
CURATED_INTERNAL_MAINFRAME_CONTENCIOSO</t>
  </si>
  <si>
    <t>N\A
N\A
N\A
N\A
N\A
N\A
N\A
N\A
TARGET_VALUE</t>
  </si>
  <si>
    <t xml:space="preserve">SELECT PARAM_GENERAL_CODE_CONVERTER.TARGET_VALUE
WHERE MAX(EST54_REMIMP.ESYD54C0_ZSEQMOV) GROUP BY EST54_REMIMP.ESYD54C0_CKREFEST
   AND PARAM_GENERAL_CODE_CONVERTER.SOURCE_VALUE = '', AND PARAM_GENERAL_CODE_CONVERTER.TARGET_FIELD = 'bank_id' AND PARAM_GENERAL_CODE_CONVERTER.SOURCE_CODE = 'DC'
SELECT PARAM_GENERAL_CODE_CONVERTER.TARGET_VALUE
WHERE EST78_REMEXP.ZSEQREM = '999'
   AND PARAM_GENERAL_CODE_CONVERTER.SOURCE_VALUE = '', AND PARAM_GENERAL_CODE_CONVERTER.TARGET_FIELD = 'bank_id' AND PARAM_GENERAL_CODE_CONVERTER.SOURCE_CODE = 'DC'
SELECT PARAM_GENERAL_CODE_CONVERTER.TARGET_VALUE
WHERE EST85_CREIMP.ZSEQCRE = '999'
   AND PARAM_GENERAL_CODE_CONVERTER.SOURCE_VALUE = '', AND PARAM_GENERAL_CODE_CONVERTER.TARGET_FIELD = 'bank_id' AND PARAM_GENERAL_CODE_CONVERTER.SOURCE_CODE = 'DC' AND EST87_CDNEG.ESYD87C1_IPEDADI = 'S'
SELECT PARAM_GENERAL_CODE_CONVERTER.TARGET_VALUE
WHERE EST85_CREIMP.ZSEQCRE = '999'
   AND PARAM_GENERAL_CODE_CONVERTER.SOURCE_VALUE = '', AND PARAM_GENERAL_CODE_CONVERTER.TARGET_FIELD = 'bank_id' AND PARAM_GENERAL_CODE_CONVERTER.SOURCE_CODE = 'DC'
SELECT PARAM_GENERAL_CODE_CONVERTER.TARGET_VALUE
WHERE EST89_CREEXP.ZSEQCRE = '99' AND MAX(EST89_CREEXP.ZSEQUEN) GROUP BY EST89_CREEXP.CKREFEST
   AND PARAM_GENERAL_CODE_CONVERTER.SOURCE_VALUE = '', AND PARAM_GENERAL_CODE_CONVERTER.TARGET_FIELD = 'bank_id' AND PARAM_GENERAL_CODE_CONVERTER.SOURCE_CODE = 'DC'
SELECT NULL
SELECT PARAM_GENERAL_CODE_CONVERTER.TARGET_VALUE
WHERE TCT09_OPERCN.ISITUAC = '1'AND TCT09_OPERCN.DENTRADA &lt;= TCT09_OPERCN.DATA_DATE_PART  AND (GROUP BY TCT09_OPERCN.CKBALCAO, TCT09_OPERCN,CKNUMCTA)
   AND PARAM_GENERAL_CODE_CONVERTER.SOURCE_VALUE = '', AND PARAM_GENERAL_CODE_CONVERTER.TARGET_FIELD = 'bank_id' AND PARAM_GENERAL_CODE_CONVERTER.SOURCE_CODE = 'DC'
</t>
  </si>
  <si>
    <t>"31"
"31"
"31"
"31"
"NULL"
"31"</t>
  </si>
  <si>
    <t>Contract identifier of the current account that anchors  the trade finance.</t>
  </si>
  <si>
    <t>ESYD54C0_CKBALDO, ESYD54C0_CKCTADO
CKBALDO, CKCTADO
CKBALDO, CKCTADO
CKBALDO, CKCTADO
CKBALDO, CKCTADO
CKCTADO, CKCTADO
N\A
CKBALDO, CKCTADO</t>
  </si>
  <si>
    <t xml:space="preserve">SELECT IF(TRIM(CONCAT(EST54_REMIMP.ESYD54C0_CKBALDO, EST54_REMIMP.ESYD54C0_CKCTADO)) = '', NULL, CONCAT(EST54_REMIMP.ESYD54C0_CKBALDO, EST54_REMIMP.ESYD54C0_CKCTADO, '000000000000000'))
WHERE MAX(EST54_REMIMP.ESYD54C0_ZSEQMOV) GROUP BY EST54_REMIMP.ESYD54C0_CKREFEST
SELECT IF(TRIM(CONCAT( EST78_REMEXP.CKBALDO, EST78_REMEXP.CKCTADO)) = '', NULL, CONCAT( EST78_REMEXP.CKBALDO, EST78_REMEXP.CKCTADO, '000000000000000'))
WHERE EST78_REMEXP.ZSEQREM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AND EST87_CDNEG.ESYD87C1_IPEDADI = 'S'
SELECT IF(TRIM(CONCAT(EST89_CREEXP.CKBALDO, EST89_CREEXP.CKCTADO)) = '', NULL, CONCAT(EST89_CREEXP.CKBALDO, EST89_CREEXP.CKCTADO, '000000000000000'))
WHERE EST89_CREEXP.ZSEQCRE = '99' AND MAX(EST89_CREEXP.ZSEQUEN) GROUP BY EST89_CREEXP.CKREFEST
SELECT NULL
SELECT IF(TRIM(CONCAT( TCT09_OPERCN.CKBALDO, TCT09_OPERCN.CKCTADO)) = '', NULL, CONCAT( TCT09_OPERCN.CKBALDO, TCT09_OPERCN.CKCTADO, '000000000000000'))
WHERE TCT09_OPERCN.ISITUAC = '1'  AND TCT09_OPERCN.DENTRADA &lt;= TCT09_OPERCN.DATA_DATE_PART AND (GROUP BY TCT09_OPERCN.CKBALCAO, TCT09_OPERCN,CKNUMCTA)
</t>
  </si>
  <si>
    <t>EST54_REMIMP
EST78_REMEXP
EST85_CREIMP
EST89_CREEXP
N\A
TCT09_OPERCN</t>
  </si>
  <si>
    <t>CONCAT( CKBALDO, CKCTADO, "000000000000000" )
CONCAT( CKBALDO, CKCTADO, "000000000000000" )
CONCAT( CKBALDO, CKCTADO, "000000000000000" )
CONCAT( CKBALDO, CKCTADO, "000000000000000" )
N\A
CONCAT( CKBALDO, CKCTADO, "000000000000000" )</t>
  </si>
  <si>
    <t>N\A
N\A
N\A
N\A
"NULL"
N\A</t>
  </si>
  <si>
    <t>ESYD54C0_DTREM
DTREM
DTEMIS
DTEMIS
N\A
ESYD87C1_DTVENC
DTEMIS
DCYR8100_DABERTUR
DCONTRAT</t>
  </si>
  <si>
    <t xml:space="preserve">SELECT IF(TRIM(EST54_REMIMP.ESYD54C0_DTREM) = '', NULL, EST54_REMIMP.ESYD54C0_DTREM)
WHERE MAX(EST54_REMIMP.ESYD54C0_ZSEQMOV) GROUP BY EST54_REMIMP.ESYD54C0_CKREFEST
SELECT IF(TRIM(EST78_REMEXP.DTREM) = '', NULL, EST78_REMEXP.DTREM)
WHERE EST78_REMEXP.ZSEQREM = '999'
SELECT IF(TRIM(EST85_CREIMP.DTEMIS) = '', NULL, EST85_CREIMP.DTEMIS)
WHERE EST85_CREIMP.ZSEQCRE = '999'
SELECT IF(TRIM(EST85_CREIMP.DTEMIS) = '', NULL, EST85_CREIMP.DTEMIS)
WHERE EST85_CREIMP.ZSEQCRE = '999'
SELECT IF(TRIM(EST87_CDNEG.ESYD87C1_DTVENC) = '', NULL, EST87_CDNEG.ESYD87C1_DTVENC) 
WHERE EST85_CREIMP.ZSEQCRE = '999' AND EST87_CDNEG.ESYD87C1_IPEDADI = 'S'
SELECT IF(TRIM(EST89_CREEXP.DTEMIS) = '', NULL, EST89_CREEXP.DTEMIS)
WHERE EST89_CREEXP.ZSEQCRE = '99' AND MAX(EST89_CREEXP.ZSEQUEN) GROUP BY EST89_CREEXP.CKREFEST
SELECT IF(TRIM( INTERFACE_DCT01.DCYR8100_DABERTUR) = '' , NULL , INTERFACE_DCT01.DCYR8100_DABERTUR)
SELECT IF( TRIM( MIN( TCT09_OPERCN.DCONTRAT) = '', NULL, MIN( TCT09_OPERCN.DCONTRAT ) )
WHERE TCT09_OPERCN.ISITUAC = '1'  AND TCT09_OPERCN.DENTRADA &lt;= TCT09_OPERCN.DATA_DATE_PART AND (GROUP BY TCT09_OPERCN.CKBALCAO, TCT09_OPERCN,CKNUMCTA)
</t>
  </si>
  <si>
    <t>EST54_REMIMP
EST78_REMEXP
EST85_CREIMP || EST87_CDINEG
EST89_CREEXP
DCYR8101
TCT09_OPERCN</t>
  </si>
  <si>
    <t>DTREM
DTREM
DTEMIS || DTVENC
DTEMIS
DABERTUR
DCONTRAT</t>
  </si>
  <si>
    <t>N\A
N\A
N\A || N\A
N\A
N\A
N\A</t>
  </si>
  <si>
    <t>ESYD54C0_DTVENC
DTVENC
DTVALNEG
DTVALNEG
ESYD87C1_DTLIQ2
DTAVLNEG
DCYR8101_DVENCIM
DVENCIM</t>
  </si>
  <si>
    <t xml:space="preserve">SELECT IF(TRIM(EST54_REMIMP.ESYD54C0_DTVENC) = '', NULL,  EST54_REMIMP.ESYD54C0_DTVENC) )
WHERE MAX(EST54_REMIMP.ESYD54C0_ZSEQMOV) GROUP BY EST54_REMIMP.ESYD54C0_CKREFEST
SELECT IF(EST78_REMEXP.CODVENC = 'CAD',
      PARAM_GENERAL_CODE_CONVERTER.TARGET_VALUE,
      IF(TRIM(EST78_REMEXP.DTVENC) = '',
        NULL,
        EST78_REMEXP.DTVENC) 
WHERE EST78_REMEXP.ZSEQREM = '999'
   AND PARAM_GENERAL_CODE_CONVERTER.TARGET_FIELD = 'current_maturity_date' AND PARAM_GENERAL_CODE_CONVERTER.SOURCE_VALUE = '1' AND PARAM_GENERAL_CODE_CONVERTER.SOURCE_CODE = 'RX' AND PARAM_GENERAL_CODE_CONVERTER.OPTION_NUMBER = '1'
SELECT IF(TRIM(EST85_CREIMP.DTVALNEG) = '', NULL, EST85_CREIMP.DTVALNEG)
WHERE EST85_CREIMP.ZSEQCRE = '999'
SELECT IF(TRIM(EST85_CREIMP.DTEMIS) = '', NULL, EST85_CREIMP.DTEMIS)
WHERE EST85_CREIMP.ZSEQCRE = '999'
SELECT IF(TRIM(EST87_CDNEG.ESYD87C1_DTLIQ2) = '', NULL, EST87_CDNEG.ESYD87C1_DTLIQ2) 
WHERE EST85_CREIMP.ZSEQCRE = '999' AND EST87_CDNEG.ESYD87C1_IPEDADI = 'S'
SELECT IF(TRIM(EST89_CREEXP.DTVALNEG) = '', NULL, EST89_CREEXP.DTVALNEG)
WHERE EST89_CREEXP.ZSEQCRE = '99' AND MAX(EST89_CREEXP.ZSEQUEN) GROUP BY EST89_CREEXP.CKREFEST
SELECT IF(TRIM(INTERFACE_DCT01.DCYR8101_DVENCIM) = '' , NULL , INTERFACE_DCT01.DCYR8101_DVENCIM)
SELECT IF( TRIM( MAX( TCT09_OPERCN.DVENCIM) = '', NULL, MAX( TCT09_OPERCN.DVENCIM ) )
WHERE TCT09_OPERCN.ISITUAC = '1' AND TCT09_OPERCN.DENTRADA &lt;= TCT09_OPERCN.DATA_DATE_PART  AND (GROUP BY TCT09_OPERCN.CKBALCAO, TCT09_OPERCN,CKNUMCTA)
</t>
  </si>
  <si>
    <t>EST54_REMIMP || EST54_REMIMP 
EST78_REMEXP || EST78_REMEXP 
EST85_CREIMP  || EST87_CDINEG
EST89_CREEXP
DCYR8101
TCT09_OPERCN</t>
  </si>
  <si>
    <t>DTVENC || N\A
DTVENC || N\A
DTVALNEG || DTLIQ2
DTVALNEG
DTVENCIM
DVENCIM</t>
  </si>
  <si>
    <t>N\A || "9999-12-31"
N\A || "9999-12-31"
N\A || N\A
N\A
N\A
N\A</t>
  </si>
  <si>
    <t>Currency:
TAT91 - CTABELA 206
TAT91 - CTABELA 206
TAT91 - CTABELA 206
TAT91 - CTABELA 206
TAT91 - CTABELA 206
TAT91 - CTABELA 206</t>
  </si>
  <si>
    <t>Contract Static
Contracts - Trade Finance
Balances</t>
  </si>
  <si>
    <t>CURATED_INTERNAL_MAINFRAME_ESTRANGEIRO
CURATED_INTERNAL_MAINFRAME_ESTRANGEIRO
CURATED_INTERNAL_MAINFRAME_ESTRANGEIRO
CURATED_INTERNAL_MAINFRAME_ESTRANGEIRO
CURATED_INTERNAL_MAINFRAME_CONTAS
CURATED_INTERNAL_MAINFRAME_CONTENCIOSO
CURATED_INTERNAL_MAINFRAME_ESTRUTURAIS</t>
  </si>
  <si>
    <t>EST54_REMIMP
EST78_REMEXP
EST85_CREIMP
EST89_CREEXP
INTERFACE_DCT01
TCT09_OPERCN
TAT91_TABELAS_NEW</t>
  </si>
  <si>
    <t>N\A
N\A
N\A
N\A
N\A
N\A
DCYR8101_CMOEDA
N\A
TAYD91C0_CELEMTAB</t>
  </si>
  <si>
    <t xml:space="preserve">SELECT IF(TRIM(TAT91_TABELAS_NEW.TAYD91C0_CELEMTAB) = '', NULL, TRIM(TAT91_TABELAS_NEW.TAYD91C0_CELEMTAB) )
WHERE MAX(EST54_REMIMP.ESYD54C0_ZSEQMOV) GROUP BY EST54_REMIMP.ESYD54C0_CKREFEST
   AND TAT91_TABELAS_NEW.TAYD91C0_CTABELA = '206'
SELECT IF(TRIM(TAT91_TABELAS_NEW.TAYD91C0_CELEMTAB) = '', NULL, TRIM( TAT91_TABELAS_NEW.TAYD91C0_CELEMTAB) )
WHERE EST78_REMEXP.ZSEQREM = '999'
   AND TAT91_TABELAS_NEW.TAYD91C0_CTABELA = '206'
SELECT IF(TRIM(TAT91_TABELAS_NEW.TAYD91C0_CELEMTAB) = '', NULL, TRIM(TAT91_TABELAS_NEW.TAYD91C0_CELEMTAB) )
WHERE EST85_CREIMP.ZSEQCRE = '999'
   AND TAT91_TABELAS_NEW.TAYD91C0_CTABELA = '206'
SELECT IF(TRIM(TAT91_TABELAS_NEW.TAYD91C0_CELEMTAB) = '', NULL, TRIM( TAT91_TABELAS_NEW.TAYD91C0_CELEMTAB) )
WHERE EST85_CREIMP.ZSEQCRE = '999'
   AND TAT91_TABELAS_NEW.TAYD91C0_CTABELA = '206'
SELECT IF(TRIM(TAT91_TABELAS_NEW.TAYD91C0_CELEMTAB) = '', NULL, TRIM( TAT91_TABELAS_NEW.TAYD91C0_CELEMTAB) )
WHERE EST85_CREIMP.ZSEQCRE = '999' AND EST87_CDNEG.ESYD87C1_IPEDADI = 'S'
   AND TAT91_TABELAS_NEW.TAYD91C0_CTABELA = '206'
SELECT IF(TRIM(TAT91_TABELAS_NEW.TAYD91C0_CELEMTAB) = '', NULL, TAT91_TABELAS_NEW.TAYD91C0_CELEMTAB)
WHERE EST89_CREEXP.ZSEQCRE = '99' AND MAX(EST89_CREEXP.ZSEQUEN) GROUP BY EST89_CREEXP.CKREFEST
   AND TAT91_TABELAS_NEW.TAYD91C0_CTABELA = '206'
SELECT IF(TRIM(INTERFACE_DCT01.DCYR8101_CMOEDA) = '' , NULL , INTERFACE_DCT01.DCYR8101_CMOEDA)
SELECT IF(TRIM(TAT91_TABELAS_NEW.TAYD91C0_CELEMTAB) = '', NULL, TAT91_TABELAS_NEW.TAYD91C0_CELEMTAB)
WHERE TCT09_OPERCN.ISITUAC = '1' AND TCT09_OPERCN.DENTRADA &lt;= TCT09_OPERCN.DATA_DATE_PART AND (GROUP BY TCT09_OPERCN.CKBALCAO, TCT09_OPERCN,CKNUMCTA)
   AND TAT91_TABELAS_NEW.TAYD91C0_CTABELA = '206'
</t>
  </si>
  <si>
    <t>RM - Estrangeiro
RX - Estrangeiro
MC - Estrangeiro
XC - Estrangeiro
DC - Contas a Vista
TC - Terminal Contencioso -&gt; TA - Tabelas Gerais</t>
  </si>
  <si>
    <t>EST54_REMIMP
EST78_REMEXP
EST85_CREIMP
EST89_CREEXP
DCYR8101
TCT09_OPERCN -&gt;  TAT91_TABELAS</t>
  </si>
  <si>
    <t>CMOEDA
CMOEDA
CMOEDA
CMOEDA
CMOEDA
CMOEDALF -&gt; CELEMTAB</t>
  </si>
  <si>
    <t>N\A
N\A
N\A
N\A
N\A
N\A -&gt; N\A</t>
  </si>
  <si>
    <t>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</si>
  <si>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 xml:space="preserve">N\A
N\A
N\A
N\A
N\A
N\A
</t>
  </si>
  <si>
    <t xml:space="preserve">SELECT PARAM_GENERAL_CODE_CONVERTER.TARGET_VALUE
WHERE MAX(EST54_REMIMP.ESYD54C0_ZSEQMOV) GROUP BY EST54_REMIMP.ESYD54C0_CKREFEST
   AND PARAM_GENERAL_CODE_CONVERTER.TARGET_FIELD = 'litigation_indicator' AND PARAM_GENERAL_CODE_CONVERTER.SOURCE_VALUE = '1' AND PARAM_GENERAL_CODE_CONVERTER.SOURCE_CODE = 'RM' AND PARAM_GENERAL_CODE_CONVERTER.OPTION_NUMBER = '1'
SELECT PARAM_GENERAL_CODE_CONVERTER.TARGET_VALUE
WHERE EST78_REMEXP.ZSEQREM = '999'
    AND PARAM_GENERAL_CODE_CONVERTER.TARGET_FIELD = 'litigation_indicator' AND PARAM_GENERAL_CODE_CONVERTER.SOURCE_VALUE = '1' AND PARAM_GENERAL_CODE_CONVERTER.SOURCE_CODE = 'RM' AND PARAM_GENERAL_CODE_CONVERTER.OPTION_NUMBER = '1'
SELECT PARAM_GENERAL_CODE_CONVERTER.TARGET_VALUE
WHERE EST85_CREIMP.ZSEQCRE = '999'
    AND PARAM_GENERAL_CODE_CONVERTER.TARGET_FIELD = 'litigation_indicator' AND PARAM_GENERAL_CODE_CONVERTER.SOURCE_VALUE = '1' AND PARAM_GENERAL_CODE_CONVERTER.SOURCE_CODE = 'RX' AND PARAM_GENERAL_CODE_CONVERTER.OPTION_NUMBER = '1'
SELECT PARAM_GENERAL_CODE_CONVERTER.TARGET_VALUE
WHERE EST85_CREIMP.ZSEQCRE = '999'
    AND PARAM_GENERAL_CODE_CONVERTER.TARGET_FIELD = 'litigation_indicator' AND PARAM_GENERAL_CODE_CONVERTER.SOURCE_VALUE = '1' AND PARAM_GENERAL_CODE_CONVERTER.SOURCE_CODE = 'MC' AND PARAM_GENERAL_CODE_CONVERTER.OPTION_NUMBER = '1'
SELECT PARAM_GENERAL_CODE_CONVERTER.TARGET_VALUE
WHERE EST85_CREIMP.ZSEQCRE = '999' AND EST87_CDNEG.ESYD87C1_IPEDADI = 'S'
   AND PARAM_GENERAL_CODE_CONVERTER.TARGET_FIELD = 'litigation_indicator' AND PARAM_GENERAL_CODE_CONVERTER.SOURCE_VALUE = '1' AND PARAM_GENERAL_CODE_CONVERTER.SOURCE_CODE = 'MC' AND PARAM_GENERAL_CODE_CONVERTER.OPTION_NUMBER = '1'
SELECT PARAM_GENERAL_CODE_CONVERTER.TARGET_VALUE
WHERE EST89_CREEXP.ZSEQCRE = '99' AND MAX(EST89_CREEXP.ZSEQUEN) GROUP BY EST89_CREEXP.CKREFEST
   AND PARAM_GENERAL_CODE_CONVERTER.TARGET_FIELD = 'litigation_indicator' AND PARAM_GENERAL_CODE_CONVERTER.SOURCE_VALUE = '1' AND PARAM_GENERAL_CODE_CONVERTER.SOURCE_CODE = 'MC' AND PARAM_GENERAL_CODE_CONVERTER.OPTION_NUMBER = '1'
SELECT PARAM_GENERAL_CODE_CONVERTER.TARGET_VALUE
   AND PARAM_GENERAL_CODE_CONVERTER.TARGET_FIELD = 'litigation_indicator' AND PARAM_GENERAL_CODE_CONVERTER.SOURCE_VALUE = '1' AND PARAM_GENERAL_CODE_CONVERTER.SOURCE_CODE = 'XC' AND PARAM_GENERAL_CODE_CONVERTER.OPTION_NUMBER = '1'
SELECT PARAM_GENERAL_CODE_CONVERTER.TARGET_VALUE
WHERE TCT09_OPERCN.ISITUAC = '1'AND TCT09_OPERCN.DENTRADA &lt;= TCT09_OPERCN.DATA_DATE_PART  AND (GROUP BY TCT09_OPERCN.CKBALCAO, TCT09_OPERCN,CKNUMCTA)
   AND PARAM_GENERAL_CODE_CONVERTER.TARGET_FIELD = 'litigation_indicator' AND PARAM_GENERAL_CODE_CONVERTER.SOURCE_VALUE = '1' AND PARAM_GENERAL_CODE_CONVERTER.SOURCE_CODE = 'TC' AND PARAM_GENERAL_CODE_CONVERTER.OPTION_NUMBER = '1'
</t>
  </si>
  <si>
    <t>"0"
"0"
"0"
"0"
"0"
"1"</t>
  </si>
  <si>
    <t>Beneficiary Applicant Indicator</t>
  </si>
  <si>
    <t>beneficiary_applicant_indicator</t>
  </si>
  <si>
    <t>Ext Inf - Con TS Inf - Ind</t>
  </si>
  <si>
    <t>Indicates whether the Santander's client is the buyer or seller of the trade.</t>
  </si>
  <si>
    <t>Identifica se o cliente do Santander é o importador (beneficia com a compra dos bens) no âmbito do contrato.</t>
  </si>
  <si>
    <t>Contracts - Trade Finance</t>
  </si>
  <si>
    <t>Beneficiary / Applicant Indicator</t>
  </si>
  <si>
    <t>SELECT '1'
WHERE MAX(EST54_REMIMP.ESYD54C0_ZSEQMOV) GROUP BY EST54_REMIMP.ESYD54C0_CKREFEST
   AND PARAM_GENERAL_CODE_CONVERTER.TARGET_FIELD = 'beneficiary_applicant_indicator' AND PARAM_GENERAL_CODE_CONVERTER.SOURCE_VALUE = '1' AND PARAM_GENERAL_CODE_CONVERTER.SOURCE_CODE = 'RM' AND PARAM_GENERAL_CODE_CONVERTER.OPTION_NUMBER = '1'
SELECT '1'
WHERE EST78_REMEXP.ZSEQREM = '999'
   AND PARAM_GENERAL_CODE_CONVERTER.TARGET_FIELD = 'beneficiary_applicant_indicator' AND PARAM_GENERAL_CODE_CONVERTER.SOURCE_VALUE = '1' AND PARAM_GENERAL_CODE_CONVERTER.SOURCE_CODE = 'RX' AND PARAM_GENERAL_CODE_CONVERTER.OPTION_NUMBER = '1'
SELECT '1'
WHERE EST85_CREIMP.ZSEQCRE = '999'
   AND PARAM_GENERAL_CODE_CONVERTER.TARGET_FIELD = 'beneficiary_applicant_indicator' AND PARAM_GENERAL_CODE_CONVERTER.SOURCE_VALUE = '1' AND PARAM_GENERAL_CODE_CONVERTER.SOURCE_CODE = 'MC' AND PARAM_GENERAL_CODE_CONVERTER.OPTION_NUMBER = '1'
SELECT '1'
WHERE EST85_CREIMP.ZSEQCRE = '999'
    AND PARAM_GENERAL_CODE_CONVERTER.TARGET_FIELD = 'beneficiary_applicant_indicator' AND PARAM_GENERAL_CODE_CONVERTER.SOURCE_VALUE = '1' AND PARAM_GENERAL_CODE_CONVERTER.SOURCE_CODE = 'MC' AND PARAM_GENERAL_CODE_CONVERTER.OPTION_NUMBER = '1'
SELECT '1'
WHERE EST85_CREIMP.ZSEQCRE = '999' AND EST87_CDNEG.ESYD87C1_IPEDADI = 'S'
   AND PARAM_GENERAL_CODE_CONVERTER.TARGET_FIELD = 'beneficiary_applicant_indicator' AND PARAM_GENERAL_CODE_CONVERTER.SOURCE_VALUE = '1' AND PARAM_GENERAL_CODE_CONVERTER.SOURCE_CODE = 'MC' AND PARAM_GENERAL_CODE_CONVERTER.OPTION_NUMBER = '1'
SELECT '0'
WHERE EST89_CREEXP.ZSEQCRE = '99' AND MAX(EST89_CREEXP.ZSEQUEN) GROUP BY EST89_CREEXP.CKREFEST
   AND PARAM_GENERAL_CODE_CONVERTER.TARGET_FIELD = 'beneficiary_applicant_indicator' AND PARAM_GENERAL_CODE_CONVERTER.SOURCE_VALUE = '1' AND PARAM_GENERAL_CODE_CONVERTER.SOURCE_CODE = 'XC' AND PARAM_GENERAL_CODE_CONVERTER.OPTION_NUMBER = '1'
SELECT NULL
SELECT NULL
WHERE TCT09_OPERCN.ISITUAC = '1'  AND TCT09_OPERCN.DENTRADA &lt;= TCT09_OPERCN.DATA_DATE_PART AND (GROUP BY TCT09_OPERCN.CKBALCAO, TCT09_OPERCN,CKNUMCTA)</t>
  </si>
  <si>
    <t>EST54_REMIMP
EST78_REMEXP
EST85_CREIMP
EST89_CREEXP
N\A
N\A</t>
  </si>
  <si>
    <t>"1"
"0"
"1"
"0"
"NULL"
"NULL"</t>
  </si>
  <si>
    <t>Organisation ID</t>
  </si>
  <si>
    <t>organisation_id</t>
  </si>
  <si>
    <t>Ext Inf - Con Fin Inf - ID</t>
  </si>
  <si>
    <t>Identification of the correspondent bank of the beneficiary that serves as an intermediator \ facilitator of the contract's transfers.</t>
  </si>
  <si>
    <t>Identifica o banco correspondente utilizado pelo importador como intermediário \ facilitador das transferências no âmbito do contrato.</t>
  </si>
  <si>
    <t>Bank:
?
?
?
?
N\A
N\A</t>
  </si>
  <si>
    <t>ESYD54C0_BKCORBEN
BKCOR
BKCOR
BKCORBEN
N\A
N\A</t>
  </si>
  <si>
    <t xml:space="preserve">SELECT IF(TRIM(EST54_REMIMP.ESYD54C0_BKCORBEN) = '', NULL, LPAD(EST54_REMIMP.ESYD54C0_BKCORBEN, 4, '0'))
WHERE MAX(EST54_REMIMP.ESYD54C0_ZSEQMOV) GROUP BY EST54_REMIMP.ESYD54C0_CKREFEST
SELECT IF(TRIM(EST78_REMEXP.BKCOR) = '', NULL, LPAD(EST78_REMEXP.BKCOR, 4, '0'))
WHERE EST78_REMEXP.ZSEQREM = '999'
SELECT IF(TRIM(EST85_CREIMP.BKCOR) = '', NULL, LPAD(EST85_CREIMP.BKCOR, 4, '0'))
WHERE EST85_CREIMP.ZSEQCRE = '999'
SELECT IF(TRIM(EST85_CREIMP.BKCOR) = '', NULL, LPAD(EST85_CREIMP.BKCOR, 4, '0'))
WHERE EST85_CREIMP.ZSEQCRE = '999'
SELECT IF(TRIM(EST85_CREIMP.BKCOR) = '', NULL, LPAD(EST85_CREIMP.BKCOR, 4, '0'))
WHERE EST85_CREIMP.ZSEQCRE = '999' AND EST87_CDNEG.ESYD87C1_IPEDADI = 'S'
SELECT IF(TRIM(EST89_CREEXP.BKCORBEN) = '', NULL, LPAD(EST89_CREEXP.BKCORBEN, 4, '0'))
WHERE EST89_CREEXP.ZSEQCRE = '99' AND MAX(EST89_CREEXP.ZSEQUEN) GROUP BY EST89_CREEXP.CKREFEST
SELECT NULL
SELECT NULL
WHERE TCT09_OPERCN.ISITUAC = '1' AND TCT09_OPERCN.DENTRADA &lt;= TCT09_OPERCN.DATA_DATE_PART  AND (GROUP BY TCT09_OPERCN.CKBALCAO, TCT09_OPERCN,CKNUMCTA)
</t>
  </si>
  <si>
    <t>BKCORBEN
BKCORBEN
BKCOR
BKCORBEN
N\A
N\A</t>
  </si>
  <si>
    <t>N\A
N\A
N\A
N\A
"NULL"
"NULL"</t>
  </si>
  <si>
    <t>Confirming Type Code</t>
  </si>
  <si>
    <t>confirming_type_code</t>
  </si>
  <si>
    <t>Ext Inf - Con TS Inf - Code</t>
  </si>
  <si>
    <t>Indicates the type of confirming process applied to the document involves a confirming bank</t>
  </si>
  <si>
    <t>Tipo de confirmação realizada no âmbito da troca comercial mediada pelo contrato de trade finance.</t>
  </si>
  <si>
    <t>Confirming Type:
N\A
N\A
TAT91 - CTABELA 830
TAT91 - CTABELA 830
N\A
N\A</t>
  </si>
  <si>
    <t>Confirming Indicator</t>
  </si>
  <si>
    <t>N\A
N\A
CODIGO49
FLGMT730
N\A
N\A</t>
  </si>
  <si>
    <t xml:space="preserve">SELECT '#N/A'
WHERE MAX(EST54_REMIMP.ESYD54C0_ZSEQMOV) GROUP BY EST54_REMIMP.ESYD54C0_CKREFEST
SELECT '#N/A'
WHERE EST78_REMEXP.ZSEQREM = '999'
SELECT IF(TRIM(EST85_CREIMP.CODIGO49) = '', NULL, EST85_CREIMP.CODIGO49)
WHERE EST85_CREIMP.ZSEQCRE = '999'
SELECT IF(TRIM(EST85_CREIMP.CODIGO49) = '', NULL, EST85_CREIMP.CODIGO49)
WHERE EST85_CREIMP.ZSEQCRE = '999'
SELECT IF(TRIM(EST85_CREIMP.CODIGO49) = '', NULL, EST85_CREIMP.CODIGO49)
WHERE EST85_CREIMP.ZSEQCRE = '999' AND EST87_CDNEG.ESYD87C1_IPEDADI = 'S'
SELECT IF(TRIM(EST89_CREEXP.FLGMT730) = '', NULL, EST89_CREEXP.FLGMT730)
WHERE EST89_CREEXP.ZSEQCRE = '99' AND MAX(EST89_CREEXP.ZSEQUEN) GROUP BY EST89_CREEXP.CKREFEST
SELECT NULL
SELECT NULL
WHERE TCT09_OPERCN.ISITUAC = '1' AND TCT09_OPERCN.DENTRADA &lt;= TCT09_OPERCN.DATA_DATE_PART  AND (GROUP BY TCT09_OPERCN.CKBALCAO, TCT09_OPERCN,CKNUMCTA)
</t>
  </si>
  <si>
    <t>N\A
N\A
EST85_CREIMP
EST89_CREEXP
N\A
N\A</t>
  </si>
  <si>
    <t>"#NA"
"#NA"
N\A
N\A
"NULL"
"NULL"</t>
  </si>
  <si>
    <t>Confirming Organisation ID</t>
  </si>
  <si>
    <t>confirming_organisation_id</t>
  </si>
  <si>
    <t>Ext Inf - Con TS Inf - ID</t>
  </si>
  <si>
    <t>Unique identifier of the trade finance contract's confirming financial institution.</t>
  </si>
  <si>
    <t>Identificador da organização responsável por confirmar a entrega dos bens.</t>
  </si>
  <si>
    <t>Confirming Organization:
?
?
?
?
N\A
N\A</t>
  </si>
  <si>
    <t>Confirming Organization ID</t>
  </si>
  <si>
    <t>N\A
N\A
BANCO58
BANCO58
N\A
N\A</t>
  </si>
  <si>
    <t>SELECT '#N/A'
WHERE MAX(EST54_REMIMP.ESYD54C0_ZSEQMOV) GROUP BY EST54_REMIMP.ESYD54C0_CKREFEST
SELECT '#N/A'
WHERE EST78_REMEXP.ZSEQREM = '999'
SELECT IF(TRIM(EST85_CREIMP.BANCO58) = '', NULL, LPAD(EST85_CREIMP.BANCO58, 4, '0') )
WHERE EST85_CREIMP.ZSEQCRE = '999'
SELECT IF(TRIM(EST85_CREIMP.BANCO58) = '', NULL, LPAD(EST85_CREIMP.BANCO58, 4, '0'))
WHERE EST85_CREIMP.ZSEQCRE = '999' 
SELECT IF(TRIM(EST85_CREIMP.BANCO58) = '', NULL, LPAD(EST85_CREIMP.BANCO58, 4, '0'))
WHERE EST85_CREIMP.ZSEQCRE = '999'  AND EST87_CDNEG.ESYD87C1_IPEDADI = 'S'
SELECT IF(TRIM(EST89_CREEXP.BANCO58) = '', NULL, LPAD(EST89_CREEXP.BANCO58, 4, '0'))
WHERE EST89_CREEXP.ZSEQCRE = '99' AND MAX(EST89_CREEXP.ZSEQUEN) GROUP BY EST89_CREEXP.CKREFEST
SELECT NULL
SELECT NULL
WHERE TCT09_OPERCN.ISITUAC = '1' AND TCT09_OPERCN.DENTRADA &lt;= TCT09_OPERCN.DATA_DATE_PART AND (GROUP BY TCT09_OPERCN.CKBALCAO, TCT09_OPERCN,CKNUMCTA)</t>
  </si>
  <si>
    <t>Credit Document Issue Date</t>
  </si>
  <si>
    <t>credit_document_issue_date</t>
  </si>
  <si>
    <t>Ext Inf - Con TS Doc Inf - Date</t>
  </si>
  <si>
    <t>The date in which the trade finance's document was issued.</t>
  </si>
  <si>
    <t>Data de emissão do documento associado ao crédito documentário.</t>
  </si>
  <si>
    <t>Issue Date</t>
  </si>
  <si>
    <t>N\A
N\A
DTEMIS
DTEMIS
N\A
N\A</t>
  </si>
  <si>
    <t xml:space="preserve">SELECT '#N/A'
WHERE MAX(EST54_REMIMP.ESYD54C0_ZSEQMOV) GROUP BY EST54_REMIMP.ESYD54C0_CKREFEST
SELECT '#N/A'
WHERE EST78_REMEXP.ZSEQREM = '999'
SELECT IF(TRIM(EST85_CREIMP.DTEMIS) = '', NULL, EST85_CREIMP.DTEMIS)
WHERE EST85_CREIMP.ZSEQCRE = '999'
SELECT IF(TRIM(EST85_CREIMP.DTEMIS) = '', NULL, EST85_CREIMP.DTEMIS)
WHERE EST85_CREIMP.ZSEQCRE = '999'
SELECT IF(TRIM(EST85_CREIMP.DTEMIS) = '', NULL, EST85_CREIMP.DTEMIS)
WHERE EST85_CREIMP.ZSEQCRE = '999'  AND EST87_CDNEG.ESYD87C1_IPEDADI = 'S'
SELECT IF(TRIM(EST89_CREEXP.DTEMIS) = '', NULL, EST89_CREEXP.DTEMIS)
WHERE EST89_CREEXP.ZSEQCRE = '99' AND MAX(EST89_CREEXP.ZSEQUEN) GROUP BY EST89_CREEXP.CKREFEST
SELECT NULL
SELECT NULL
WHERE TCT09_OPERCN.ISITUAC = '1' AND TCT09_OPERCN.DENTRADA &lt;= TCT09_OPERCN.DATA_DATE_PART  AND (GROUP BY TCT09_OPERCN.CKBALCAO, TCT09_OPERCN,CKNUMCTA)
</t>
  </si>
  <si>
    <t>"#N/A"
"#N/A"
N\A
"NULL"
"NULL"</t>
  </si>
  <si>
    <t>Credit Document Submission Date</t>
  </si>
  <si>
    <t>credit_document_submission_date</t>
  </si>
  <si>
    <t>Last date stipulated to submit the trade finance's documents.</t>
  </si>
  <si>
    <t>Data limite para a submissão dos documentos associados ao crédito documentário.</t>
  </si>
  <si>
    <t>Expiry Date</t>
  </si>
  <si>
    <t>N\A
N\A
DTEXPIRY
DTEXPIRY
N\A
N\A</t>
  </si>
  <si>
    <t xml:space="preserve">SELECT '#N/A'
WHERE MAX(EST54_REMIMP.ESYD54C0_ZSEQMOV) GROUP BY EST54_REMIMP.ESYD54C0_CKREFEST
SELECT '#N/A'
WHERE EST78_REMEXP.ZSEQREM = '999'
SELECT IF(TRIM(EST85_CREIMP.DTEXPIRY) = '', NULL, EST85_CREIMP.DTEXPIRY)
WHERE EST85_CREIMP.ZSEQCRE = '999'
SELECT IF(TRIM(EST85_CREIMP.DTEMIS) = '', NULL, EST85_CREIMP.DTEMIS)
WHERE EST85_CREIMP.ZSEQCRE = '999'
SELECT IF(TRIM(EST85_CREIMP.DTEMIS) = '', NULL, EST85_CREIMP.DTEMIS)
WHERE EST85_CREIMP.ZSEQCRE = '999' AND EST87_CDNEG.ESYD87C1_IPEDADI = 'S'
SELECT IF(TRIM(EST89_CREEXP.DTEXPIRY) = '', NULL, EST89_CREEXP.DTEXPIRY)
WHERE EST89_CREEXP.ZSEQCRE = '99' AND MAX(EST89_CREEXP.ZSEQUEN) GROUP BY EST89_CREEXP.CKREFEST
SELECT NULL
SELECT NULL
WHERE TCT09_OPERCN.ISITUAC = '1' AND TCT09_OPERCN.DENTRADA &lt;= TCT09_OPERCN.DATA_DATE_PART  AND (GROUP BY TCT09_OPERCN.CKBALCAO, TCT09_OPERCN,CKNUMCTA)
</t>
  </si>
  <si>
    <t>"#N/A"
"#N/A"
N\A
N\A
"NULL"
"NULL"</t>
  </si>
  <si>
    <t>Credit Document Type Code</t>
  </si>
  <si>
    <t>credit_document_type_code</t>
  </si>
  <si>
    <t>Ext Inf - Con TS Doc Inf - Code</t>
  </si>
  <si>
    <t>Category in which the trade finance document is classified. Possible values are: letter of credit, guarantee, documentary credit, etc.</t>
  </si>
  <si>
    <t>Tipo de documento dos documentos associados ao crédito documento.</t>
  </si>
  <si>
    <t>Trade Finance Document Type:
N\A
N\A
N\A (C - Confirmado; D - Domiciliado; N - Notificado; S - SBLC)
N\A (C - Confirmado; D - Domiciliado; N - Notificado; S - SBLC)</t>
  </si>
  <si>
    <t>Document Type</t>
  </si>
  <si>
    <t>N\A
N\A
TIPCDI
TIPCDE
N\A
N\A</t>
  </si>
  <si>
    <t xml:space="preserve">SELECT '#N/A'
WHERE MAX(EST54_REMIMP.ESYD54C0_ZSEQMOV) GROUP BY EST54_REMIMP.ESYD54C0_CKREFEST
SELECT '#N/A'
WHERE EST78_REMEXP.ZSEQREM = '999'
SELECT IF(TRIM(EST85_CREIMP.TIPCDI) = '', NULL, EST85_CREIMP.TIPCDI)
WHERE EST85_CREIMP.ZSEQCRE = '999'
SELECT IF(TRIM(EST85_CREIMP.TIPCDI) = '', NULL, EST85_CREIMP.TIPCDI)
WHERE EST85_CREIMP.ZSEQCRE = '999'
SELECT IF(TRIM(EST85_CREIMP.TIPCDI) = '', NULL, EST85_CREIMP.TIPCDI)
WHERE EST85_CREIMP.ZSEQCRE = '999' AND EST87_CDNEG.ESYD87C1_IPEDADI = 'S'
SELECT IF(TRIM(EST89_CREEXP.TIPCDE) = '', NULL, EST89_CREEXP.TIPCDE)
WHERE EST89_CREEXP.ZSEQCRE = '99' AND MAX(EST89_CREEXP.ZSEQUEN) GROUP BY EST89_CREEXP.CKREFEST
SELECT NULL
SELECT NULL
WHERE TCT09_OPERCN.ISITUAC = '1' AND TCT09_OPERCN.DENTRADA &lt;= TCT09_OPERCN.DATA_DATE_PART  AND (GROUP BY TCT09_OPERCN.CKBALCAO, TCT09_OPERCN,CKNUMCTA)
</t>
  </si>
  <si>
    <t>Initial maximum amount that can be payed for the goods. Each contract has a percentage for negotiation that generates a value that can not be surprassed.</t>
  </si>
  <si>
    <t>EST54_REMIMP
EST78_REMEXP
EST78_REMEXP (INIT)
EST85_CREIMP
EST85_CREIMP (INIT)
EST87_CDNEG
EST89_CREEXP
INTERFACE_DCT01
TCT09_OPERCN</t>
  </si>
  <si>
    <t>N\A
N\A
N\A
MONTAB
MONTAB
ESYD87C1_MONTMOV
N\A
N\A
N\A</t>
  </si>
  <si>
    <t xml:space="preserve">SELECT CAST(0 AS DECIMAL(23, 6))
WHERE MAX(EST54_REMIMP.ESYD54C0_ZSEQMOV) GROUP BY EST54_REMIMP.ESYD54C0_CKREFEST
SELECT CASE
        WHEN EST78_REMEXP.ckprodut = '035' AND EST78_REMEXP.cksubpro IN ('001', 'K01') THEN CAST(0.00 AS DECIMAL(23, 6))
        WHEN EST78_REMEXP.ckprodut = '035' AND EST78_REMEXP.cksubpro IN ('006, '005', '003') THEN CAST(EST78_REMEXP (INIT).MONTADI AS DECIMAL(23, 6))
END
WHERE EST78_REMEXP.ZSEQREM = '999' AND EST78_REMEXP (INIT).ZSEQREM = '001'
SELECT IF(EST85_CREIMP (INIT).CKREFEST IS NOT NULL,
      CAST(EST85_CREIMP (INIT).MONTAB AS DECIMAL(23, 6)),
      CAST(EST85_CREIMP.MONTAB AS DECIMAL(23, 6)) 
    )
WHERE EST85_CREIMP.ZSEQREM = '999' AND EST85_CREIMP (INIT).ZSEQCRE = '001'
SELECT IF(EST85_CREIMP (INIT).CKREFEST IS NOT NULL,
      CAST(EST85_CREIMP (INIT).MONTAB AS DECIMAL(23, 6)),
      CAST(EST85_CREIMP.MONTAB AS DECIMAL(23, 6)) 
    )
WHERE EST85_CREIMP.ZSEQCRE = '999' AND EST85_CREIMP (INIT).ZSEQCRE = '001'
SELECT CAST(EST87_CDNEG.ESYD87C1_MONTMOV AS DECIMAL(23, 6))
WHERE EST85_CREIMP.ZSEQCRE = '999' AND EST87_CDNEG.ESYD87C1_IPEDADI = 'S'
SELECT CAST( 0 AS DECIMAL(23,6))
WHERE EST89_CREEXP.ZSEQCRE = '99' AND MAX(EST89_CREEXP.ZSEQUEN) GROUP BY EST89_CREEXP.CKREFEST
   AND EST89_CREEXP.ZSEQCRE (INIT) = '01'
SELECT NULL
SELECT NULL
WHERE TCT09_OPERCN.ISITUAC = '1' AND TCT09_OPERCN.DENTRADA &lt;= TCT09_OPERCN.DATA_DATE_PART  AND (GROUP BY TCT09_OPERCN.CKBALCAO, TCT09_OPERCN,CKNUMCTA)
</t>
  </si>
  <si>
    <t>EST54_REMIMP
EST78_REMEXP
EST85_CREIMP || EST87_CDINEG
EST89_CREEXP
N\A
N\A</t>
  </si>
  <si>
    <t>MONTREM
MONTREM
MONTCRE  || MONTMOV
MONTCRE
N\A
N\A</t>
  </si>
  <si>
    <t>N\A
N\A
N\A || N\A
N\A
"NULL"
"NULL"</t>
  </si>
  <si>
    <t>Current maximum amount that can be payed for the goods. Each contract has a percentage for negotiation that generates a value that can not be surprassed.</t>
  </si>
  <si>
    <t>N\A
N\A
MONTAB
ESYD87C1_MONTMOV
N\A
N\A
N\A</t>
  </si>
  <si>
    <t xml:space="preserve">SELECT CAST(0 AS DECIMAL(23, 6))
WHERE MAX(EST54_REMIMP.ESYD54C0_ZSEQMOV) GROUP BY EST54_REMIMP.ESYD54C0_CKREFEST
SELECT CASE
        WHEN EST78_REMEXP.ckprodut = '035' AND EST78_REMEXP.cksubpro IN ('001', 'K01') THEN CAST(0.00 AS DECIMAL(23, 6))
        WHEN EST78_REMEXP.ckprodut = '035' AND EST78_REMEXP.cksubpro IN ('006, '005', '003')  THEN CAST(EST78_REMEXP.MONTADI AS DECIMAL(23, 6))
      END
WHERE EST78_REMEXP.ZSEQREM = '999'
CAST(EST85_CREIMP.MONTAB AS DECIMAL(23, 6)) 
WHERE EST85_CREIMP.ZSEQREM = '999'
SELECT CAST(EST85_CREIMP.MONTAB AS DECIMAL(23, 6)) 
WHERE EST85_CREIMP.ZSEQCRE = '999' AND EST85_CREIMP (INIT).ZSEQCRE = '001'
SELECT CAST(EST87_CDNEG.ESYD87C1_MONTMOV AS DECIMAL(23, 6))
WHERE EST85_CREIMP.ZSEQCRE = '999' AND EST87_CDNEG.ESYD87C1_IPEDADI = 'S'
SELECT CAST( 0 AS DECIMAL(23,6))
WHERE EST89_CREEXP.ZSEQCRE = '99' AND MAX(EST89_CREEXP.ZSEQUEN) GROUP BY EST89_CREEXP.CKREFEST
   AND EST89_CREEXP.ZSEQCRE (INIT) = '01'
SELECT NULL
SELECT NULL
WHERE TCT09_OPERCN.ISITUAC = '1' AND TCT09_OPERCN.DENTRADA &lt;= TCT09_OPERCN.DATA_DATE_PART  AND (GROUP BY TCT09_OPERCN.CKBALCAO, TCT09_OPERCN,CKNUMCTA)
</t>
  </si>
  <si>
    <t xml:space="preserve">Current retention rate of the contract. This rates determines the minimum amount withheld by the bank in the credit contract. It is used to mitigate the risk associated with the trade finance product. </t>
  </si>
  <si>
    <t>Taxa de retenção atual associada ao contrato.</t>
  </si>
  <si>
    <t>N\A
N\A
PERFLU2
PERFLU2
N\A
N\A</t>
  </si>
  <si>
    <t xml:space="preserve">SELECT CAST(0 AS DECIMAL(23, 6))
WHERE MAX(EST54_REMIMP.ESYD54C0_ZSEQMOV) GROUP BY EST54_REMIMP.ESYD54C0_CKREFEST
SELECT CAST(0 AS DECIMAL(23, 6))
WHERE EST78_REMEXP.ZSEQREM = '999'
SELECT CAST( EST85_CREIMP.PERFLU2 AS DECIMAL(23, 6))
WHERE EST85_CREIMP.ZSEQCRE = '999'
SELECT IF(TRIM( EST85_CREIMP.PERFLU2 ) = '', NULL, CAST( EST85_CREIMP.PERFLU2 AS DECIMAL(23, 6))
)
WHERE EST85_CREIMP.ZSEQCRE = '999'
SELECT CAST( 0 AS DECIMAL(23, 6) )
WHERE EST85_CREIMP.ZSEQCRE = '999' AND EST87_CDNEG.ESYD87C1_IPEDADI = 'S'
SELECT CAST( EST89_CREEXP.PERFLU2 AS DECIMAL(23, 6))
WHERE EST89_CREEXP.ZSEQCRE = '99' AND MAX(EST89_CREEXP.ZSEQUEN) GROUP BY EST89_CREEXP.CKREFEST
SELECT NULL
SELECT NULL
WHERE TCT09_OPERCN.ISITUAC = '1'  AND TCT09_OPERCN.DENTRADA &lt;= TCT09_OPERCN.DATA_DATE_PART AND (GROUP BY TCT09_OPERCN.CKBALCAO, TCT09_OPERCN,CKNUMCTA)
</t>
  </si>
  <si>
    <t>"0.00"
"0.00"
N\A
N\A
"NULL"
"NULL"</t>
  </si>
  <si>
    <t>Current actual amount that can still be used as credit.</t>
  </si>
  <si>
    <t xml:space="preserve">SELECT CAST(0 AS DECIMAL(23, 6))
WHERE MAX(EST54_REMIMP.ESYD54C0_ZSEQMOV) GROUP BY EST54_REMIMP.ESYD54C0_CKREFEST
SELECT CAST(0 AS DECIMAL(23, 6))
WHERE EST78_REMEXP.ZSEQREM = '999'
SELECT CAST(EST85_CREIMP.MONTAB AS DECIMAL(23, 6))
WHERE EST85_CREIMP.ZSEQCRE = '999'
SELECT CAST(EST85_CREIMP.MONTAB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TCT09_OPERCN.DENTRADA &lt;= TCT09_OPERCN.DATA_DATE_PART  AND (GROUP BY TCT09_OPERCN.CKBALCAO, TCT09_OPERCN,CKNUMCTA)
</t>
  </si>
  <si>
    <t>MONTABE
MONTABE || N\A
MONTAB || MONTMOV
MONTAB
N\A
N\A</t>
  </si>
  <si>
    <t>N\A
N\A || "0.00"
N\A
N\A
"0.00"
"0.00"</t>
  </si>
  <si>
    <t>N\A
MONTADAB
N\A
N\A
N\A
N\A</t>
  </si>
  <si>
    <t xml:space="preserve">SELECT CAST(0 AS DECIMAL(23, 6))
WHERE MAX(EST54_REMIMP.ESYD54C0_ZSEQMOV) GROUP BY EST54_REMIMP.ESYD54C0_CKREFEST
SELECT CASE
      WHEN EST78_REMEXP.CKPRODUT = '035' AND EST78_REMEXP.CKSUBPRO IN ('001', 'K01') THEN CAST(0 AS DECIMAL(23, 6))
      WHEN EST78_REMEXP.CKPRODUT = '035' AND EST78_REMEXP.CKSUBPRO IN ('003', '005', '006') THEN CAST(EST78_REMEXP.MONTADAB AS DECIMAL(23, 6))
      ELSE NULL
    END
WHERE EST78_REMEXP.ZSEQREM = '999'
SELECT CAST(0 AS DECIMAL(23, 6))
WHERE EST85_CREIMP.ZSEQCRE = '999'
SELECT CAST(0 AS DECIMAL(23, 6))
WHERE EST85_CREIMP.ZSEQCRE = '999'
SELECT CAST(EST87_CDNEG.ESYD87C1_MONTMOV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TCT09_OPERCN.DENTRADA &lt;= TCT09_OPERCN.DATA_DATE_PART  AND (GROUP BY TCT09_OPERCN.CKBALCAO, TCT09_OPERCN,CKNUMCTA)
</t>
  </si>
  <si>
    <t>N\A
MONTADI || N\A
N\A || MONTMOV
N\A
N\A
N\A</t>
  </si>
  <si>
    <t>"0.00"
N\A || "0.00"
"0.00" || N\A
"0.00"
"0.00"
"0.00"</t>
  </si>
  <si>
    <t>N\A
N\A
N\A
N\A
DCYR8101_MSALDO
N\A</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</si>
  <si>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 INTERFACE_DCT01.DCYR8101_MSALDO AS DECIMAL(23,6))
SELECT( 0 AS DECIMAL(23, 6))
WHERE TCT09_OPERCN.ISITUAC = '1' AND TCT09_OPERCN.DENTRADA &lt;= TCT09_OPERCN.DATA_DATE_PART  AND (GROUP BY TCT09_OPERCN.CKBALCAO, TCT09_OPERCN,CKNUMCTA)
   AND TCT01_POSDIVID.IACTIVO = 'S'</t>
  </si>
  <si>
    <t>N\A
N\A
N\A
N\A
INTERFACE_DCT01
N\A</t>
  </si>
  <si>
    <t>"0.00"
"0.00"
"0.00"
"0.00"
N\A
"0.00"</t>
  </si>
  <si>
    <t>CURATED_INTERNAL_MAINFRAME_ESTRANGEIRO
CURATED_INTERNAL_MAINFRAME_ESTRANGEIRO
CURATED_INTERNAL_MAINFRAME_ESTRANGEIRO
CURATED_INTERNAL_MAINFRAME_ESTRANGEIRO
CURATED_INTERNAL_MAINFRAME_CONTAS
CURATED_INTERNAL_MAINFRAME_CONTENCIOSO
CURATED_INTERNAL_MAINFRAME_CONTENCIOSO</t>
  </si>
  <si>
    <t>EST54_REMIMP
EST78_REMEXP
EST85_CREIMP
EST89_CREEXP
INTERFACE_DCT01
TCT09_OPERCN
TCT01_POSDIVID</t>
  </si>
  <si>
    <t>N\A
N\A
N\A
N\A
N\A
N\A
N\A
MCAPITALD</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</si>
  <si>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DECIMAL(23,6))
SELECT( CAST( SUM(TCT01_POSDIVID.MCAPITALD) AS DECIMAL(23,6))
WHERE TCT09_OPERCN.ISITUAC = '1' AND TCT09_OPERCN.DENTRADA &lt;= TCT09_OPERCN.DATA_DATE_PART  AND (GROUP BY TCT09_OPERCN.CKBALCAO, TCT09_OPERCN,CKNUMCTA)
   AND TCT01_POSDIVID.IACTIVO = 'S'</t>
  </si>
  <si>
    <t>N\A
N\A
N\A
N\A
N\A
TCT01_POSDIVID</t>
  </si>
  <si>
    <t>"0.00"
"0.00"
"0.00"
"0.00"
"0.00"
N\A</t>
  </si>
  <si>
    <t>SELECT CAST(EST54_REMIMP.ESYD54C0_MONTAB AS DECIMAL(23, 6))
WHERE MAX(EST54_REMIMP.ESYD54C0_ZSEQMOV) GROUP BY EST54_REMIMP.ESYD54C0_CKREFEST
SELECT CASE
        WHEN EST78_REMEXP.ckprodut = '035' AND EST78_REMEXP.cksubpro IN ('001', 'K01', '003') THEN CAST(EST78_REMEXP.montabe AS DECIMAL(23, 6))
        WHEN EST78_REMEXP.ckprodut = '035' AND EST78_REMEXP.cksubpro IN ( '005', '006') THEN CAST(0.00 AS DECIMAL(23, 6))
        ELSE NULL
      END
WHERE EST78_REMEXP.ZSEQREM = '999'
SELECT CAST(0 AS DECIMAL(23, 6))
WHERE EST85_CREIMP.ZSEQCRE = '999'
SELECT CAST(0 AS DECIMAL(23, 6))
WHERE EST85_CREIMP.ZSEQCRE = '999'
SELECT CAST(0 AS DECIMAL(23, 6))
WHERE EST85_CREIMP.ZSEQCRE = '999' AND EST87_CDNEG.ESYD87C1_IPEDADI = 'S'
SELECT CAST(EST89_CREEXP.MONTAB AS DECIMAL(23, 6))
WHERE EST89_CREEXP.ZSEQCRE = '99' AND MAX(EST89_CREEXP.ZSEQUEN) GROUP BY EST89_CREEXP.CKREFEST
SELECT CAST( - INTERFACE_DCT01.DCYR8101_MSALDO AS DECIMAL(23,6))
SELECT( 0 AS DECIMAL(23, 6))
WHERE TCT09_OPERCN.ISITUAC = '1' AND TCT09_OPERCN.DENTRADA &lt;= TCT09_OPERCN.DATA_DATE_PART  AND (GROUP BY TCT09_OPERCN.CKBALCAO, TCT09_OPERCN,CKNUMCTA)
   AND TCT01_POSDIVID.IACTIVO = 'S'</t>
  </si>
  <si>
    <t>SELECT CAST(EST54_REMIMP.ESYD54C0_MONTABE  / CBT02_CAMBIOS.TCMBME AS DECIMAL(23, 6))
WHERE MAX(EST54_REMIMP.ESYD54C0_ZSEQMOV) GROUP BY EST54_REMIMP.ESYD54C0_CKREFEST
SELECT CASE
        WHEN EST78_REMEXP.ckprodut = '035' AND EST78_REMEXP.cksubpro = '001' THEN CAST(EST78_REMEXP.montabe  / CBT02_CAMBIOS.TCMBME AS DECIMAL(23, 6))
        WHEN EST78_REMEXP.ckprodut = '035' AND EST78_REMEXP.cksubpro = '003' THEN CAST(EST78_REMEXP.montabe  / CBT02_CAMBIOS.TCMBME AS DECIMAL(23, 6))
        WHEN EST78_REMEXP.ckprodut = '035' AND EST78_REMEXP.cksubpro IN ('001', 'K01', '006') THEN CAST(0.00 AS DECIMAL(23, 6))
        ELSE NULL
      END
WHERE EST78_REMEXP.ZSEQREM = '999'
SELECT CAST(0 AS DECIMAL(23, 6))
WHERE EST85_CREIMP.ZSEQCRE = '999'
SELECT CAST(0 AS DECIMAL(23, 6))
WHERE EST85_CREIMP.ZSEQCRE = '999'
SELECT CAST(0 AS DECIMAL(23, 6))
WHERE EST85_CREIMP.ZSEQCRE = '999' AND EST87_CDNEG.ESYD87C1_IPEDADI = 'S'
SELECT CAST(EST89_CREEXP.MONTAB / CBT02_CAMBIOS.TCMBME AS DECIMAL(23, 6))
WHERE EST89_CREEXP.ZSEQCRE = '99' AND MAX(EST89_CREEXP.ZSEQUEN) GROUP BY EST89_CREEXP.CKREFEST
SELECT CAST( - INTERFACE_DCT01.DCYR8101_MSALDO AS DECIMAL(23,6))
SELECT( 0 AS DECIMAL(23, 6))
WHERE TCT09_OPERCN.ISITUAC = '1'  AND TCT09_OPERCN.DENTRADA &lt;= TCT09_OPERCN.DATA_DATE_PART AND (GROUP BY TCT09_OPERCN.CKBALCAO, TCT09_OPERCN,CKNUMCTA)
   AND TCT01_POSDIVID.IACTIVO = 'S'</t>
  </si>
  <si>
    <t>EST54_REMIMP
EST78_REMEXP
EST78_REMEXP (INIT)
EST85_CREIMP
EST89_CREEXP
INTERFACE_DCT01
TCT09_OPERCN</t>
  </si>
  <si>
    <t>N\A
TJURO
TJURO
N\A
N\A</t>
  </si>
  <si>
    <t xml:space="preserve">SELECT CAST(0 AS DECIMAL(23, 6)
WHERE MAX(EST54_REMIMP.ESYD54C0_ZSEQMOV) GROUP BY EST54_REMIMP.ESYD54C0_CKREFEST
SELECT IF(EST78_REMEXP (INIT).CKREFEST IS NOT NULL,
      CAST(EST78_REMEXP (INIT).TJURO AS DECIMAL(23, 6)),
      CAST(EST78_REMEXP.TJURO AS DECIMAL(23, 6))
    )
WHERE EST78_REMEXP.ZSEQREM = '999'
SELECT CAST(0 AS DECIMAL(23, 6)
WHERE EST85_CREIMP.ZSEQCRE = '999'
SELECT CAST(0 AS DECIMAL(23, 6)
WHERE EST85_CREIMP.ZSEQCRE = '999'
SELECT CAST(EST87_CDNEG.ESYD87C1_MONTMOV AS DECIMAL(23, 6) )
WHERE EST85_CREIMP.ZSEQCRE = '999' AND EST87_CDNEG.ESYD87C1_IPEDADI = 'S'
SELECT CAST(0 AS DECIMAL(23, 6)
WHERE EST89_CREEXP.ZSEQCRE = '99' AND MAX(EST89_CREEXP.ZSEQUEN) GROUP BY EST89_CREEXP.CKREFEST
SELECT CAST(0 AS DECIMAL(23,6))
SELECT NULL
SELECT NULL
WHERE TCT09_OPERCN.ISITUAC = '1' AND TCT09_OPERCN.DENTRADA &lt;= TCT09_OPERCN.DATA_DATE_PART  AND (GROUP BY TCT09_OPERCN.CKBALCAO, TCT09_OPERCN,CKNUMCTA)
</t>
  </si>
  <si>
    <t>N\A
EST78_REMEXP
N\A
N\A
N\A
N\A</t>
  </si>
  <si>
    <t>N\A
TJURO
N\A
N\A
N\A
N\A</t>
  </si>
  <si>
    <t>"0.00"
N\A
"0.00"
"0.00"
"NULL"
"NULL"</t>
  </si>
  <si>
    <t>N\A
TJURO
N\A
N\A</t>
  </si>
  <si>
    <t xml:space="preserve">SELECT CAST(0 AS DECIMAL(23, 6))
WHERE MAX(EST54_REMIMP.ESYD54C0_ZSEQMOV) GROUP BY EST54_REMIMP.ESYD54C0_CKREFEST
SELECT CAST(EST78_REMEXP.TJURO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NULL
SELECT NULL
WHERE TCT09_OPERCN.ISITUAC = '1'  AND TCT09_OPERCN.DENTRADA &lt;= TCT09_OPERCN.DATA_DATE_PART AND (GROUP BY TCT09_OPERCN.CKBALCAO, TCT09_OPERCN,CKNUMCTA)
</t>
  </si>
  <si>
    <t>N\A
EST78_REMEXP
N\A || EST87_CDINEG
N\A
N\A
N\A</t>
  </si>
  <si>
    <t>N\A
TJURO
N\A || TJURO + SPREAD
N\A
N\A
N\A</t>
  </si>
  <si>
    <t>Multimodal Indicator</t>
  </si>
  <si>
    <t>multimodal_indicator</t>
  </si>
  <si>
    <t>Ext Inf - TS Ship Inf - Ind</t>
  </si>
  <si>
    <t>Indicates whether more than one vessel performs the trade finance shipment.</t>
  </si>
  <si>
    <t>Identica se o transporte de mercadoria é realizado por mais do que um navio.</t>
  </si>
  <si>
    <t>EST54_REMIMP
EST78_REMEXP
EST51_INF_DET
EST85_CREIMP
EST89_CREEXP
EST48_CRESWIFT
INTERFACE_DCT01
TCT09_OPERCN</t>
  </si>
  <si>
    <t>N\A
N\A
DETPAGAM
N\A
N\A
GDETALHE
N\A
N\A</t>
  </si>
  <si>
    <t xml:space="preserve">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MAX(EST54_REMIMP.ESYD54C0_ZSEQMOV) GROUP BY EST54_REMIMP.ESYD54C0_CKREFEST
   AND EST51_INF_DET.TIPINFOR (700) = '00700' AND EST51_INF_DET (600).TIPINFOR '00600')
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EST78_REMEXP.ZSEQREM = '999'
   AND EST51_INF_DET.TIPINFOR (700) = '00700' AND EST51_INF_DET (600).TIPINFOR '00600')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TRIM(EST51_INF_DET (700).DETPAGAM) = '' AND TRIM(EST51_INF_DET (700).DETPAGAM)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EST48_CRESWIFT (007).gdetalhe IS NULL AND EST48_CRESWIFT (006).gdetalhe IS NOT NULL THEN '0'
      WHEN EST48_CRESWIFT (007).gdetalhe IS NOT NULL AND EST48_CRESWIFT (006).gdetalhe IS NOT NULL THEN '1'
    END
WHERE EST85_CREIMP.ZSEQCRE = '999' AND EST87_CDNEG.ESYD87C1_IPEDADI = 'S'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EST89_CREEXP.ZSEQCRE = '99' AND MAX(EST89_CREEXP.ZSEQUEN) GROUP BY EST89_CREEXP.CKREFEST
   AND EST48_CRESWIFT.CTIPMSG = 'ITR' AND EST48_CRESWIFT (006).ZCAMPO = '0006' EST48_CRESWIFT (007).ZCAMPO = '0007' 
   OVER (PARTITION BY EST48_CRESWIFT.CKREFEST ORDER BY EST48_CRESWIFT.HTIMEST DESC)
SELECT NULL
SELECT NULL
WHERE TCT09_OPERCN.ISITUAC = '1'  AND TCT09_OPERCN.DENTRADA &lt;= TCT09_OPERCN.DATA_DATE_PART AND (GROUP BY TCT09_OPERCN.CKBALCAO, TCT09_OPERCN,CKNUMCTA)
</t>
  </si>
  <si>
    <t>EST51_INF_DET
EST51_INF_DET
EST48_CRESWIFT
EST48_CRESWIFT
N\A
N\A</t>
  </si>
  <si>
    <t>DETPAGAM
DETPAGAM
GDETALHE 
GDETALHE 
N\A
N\A</t>
  </si>
  <si>
    <t>Shipment Date</t>
  </si>
  <si>
    <t>shipment_date</t>
  </si>
  <si>
    <t>Ext Inf - TS Ship Inf - Date</t>
  </si>
  <si>
    <t>Last date by which the shipment of the goods has to take place.</t>
  </si>
  <si>
    <t>Data de envio da mercadoria.</t>
  </si>
  <si>
    <t>N\A
N\A
DTULTEMB
DTULTEMB
N\A
N\A</t>
  </si>
  <si>
    <t xml:space="preserve">SELECT '#N/A'
WHERE MAX(EST54_REMIMP.ESYD54C0_ZSEQMOV) GROUP BY EST54_REMIMP.ESYD54C0_CKREFEST
SELECT '#N/A'
WHERE EST78_REMEXP.ZSEQREM = '999'
SELECT IF(TRIM( EST85_CREIMP.DTULTEMB) = '', NULL, EST85_CREIMP.DTULTEMB)
WHERE EST85_CREIMP.ZSEQCRE = '999'
SELECT IF(TRIM( EST85_CREIMP.DTULTEMB) = '', NULL, EST85_CREIMP.DTULTEMB)
WHERE EST85_CREIMP.ZSEQCRE = '999'
SELECT IF(TRIM( EST85_CREIMP.DTULTEMB) = '', NULL, EST85_CREIMP.DTULTEMB)
WHERE EST85_CREIMP.ZSEQCRE = '999'
   AND EST87_CDNEG.ESYD87C1_IPEDADI = 'S'
SELECT IF(TRIM( EST89_CREEXP.DTULTEMB) = '', NULL, EST89_CREEXP.DTULTEMB)
WHERE EST89_CREEXP.ZSEQCRE = '99' AND MAX(EST89_CREEXP.ZSEQUEN) GROUP BY EST89_CREEXP.CKREFEST
SELECT NULL
SELECT NULL
WHERE TCT09_OPERCN.ISITUAC = '1' AND TCT09_OPERCN.DENTRADA &lt;= TCT09_OPERCN.DATA_DATE_PART  AND (GROUP BY TCT09_OPERCN.CKBALCAO, TCT09_OPERCN,CKNUMCTA)
</t>
  </si>
  <si>
    <t>Port of Loading</t>
  </si>
  <si>
    <t>port_of_loading</t>
  </si>
  <si>
    <t>Ext Inf - TS Ship Inf - Value</t>
  </si>
  <si>
    <t>The port at which the goods are loaded on to the ship. (POL)</t>
  </si>
  <si>
    <t>O porto no qual os bens foram carregados no navio. (POL)</t>
  </si>
  <si>
    <t>Port Pair Type:
N\A
N\A
N\A
N\A
N\A
N\A</t>
  </si>
  <si>
    <t>Port Pairs</t>
  </si>
  <si>
    <t>SELECT IF(TRIM(EST51_INF_DET.DETPAGAM) = '', NULL, EST51_INF_DET.DETPAGAM)
WHERE MAX(EST54_REMIMP.ESYD54C0_ZSEQMOV) GROUP BY EST54_REMIMP.ESYD54C0_CKREFEST
   AND EST51_INF_DET.TIPINFOR IN ('00100')
SELECT IF(TRIM(EST51_INF_DET.DETPAGAM) = '', NULL, EST51_INF_DET.DETPAGAM)
WHERE EST78_REMEXP.ZSEQREM = '999'
   AND EST51_INF_DET.TIPINFOR IN ('00100')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('44E')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('44E') 
ORDER BY EST48_CRESWIFT.ZCAMPO ASC
GROUP BY EST48_CRESWIFT.CKREFEST, EST48_CRESWIFT.ZSEQMOV
SELECT NULL
SELECT NULL
WHERE TCT09_OPERCN.ISITUAC = '1'   AND TCT09_OPERCN.DENTRADA &lt;= TCT09_OPERCN.DATA_DATE_PART AND (GROUP BY TCT09_OPERCN.CKBALCAO, TCT09_OPERCN,CKNUMCTA)</t>
  </si>
  <si>
    <t>Port of Discharge</t>
  </si>
  <si>
    <t>port_of_discharge</t>
  </si>
  <si>
    <t>The port at which the goods are unloaded from to the ship. (POD)</t>
  </si>
  <si>
    <t>O porto no qual os bens foram descarregados no navio (POD)</t>
  </si>
  <si>
    <t xml:space="preserve">SELECT IF(TRIM(EST51_INF_DET.DETPAGAM) = '', NULL, EST51_INF_DET.DETPAGAM)
WHERE MAX(EST54_REMIMP.ESYD54C0_ZSEQMOV) GROUP BY EST54_REMIMP.ESYD54C0_CKREFEST
   AND EST51_INF_DET.TIPINFOR IN ('00500')
SELECT IF(TRIM(EST51_INF_DET.DETPAGAM) = '', NULL, EST51_INF_DET.DETPAGAM)
WHERE EST78_REMEXP.ZSEQREM = '999'
   AND EST51_INF_DET.TIPINFOR IN ('00500')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('44F')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('44F') 
ORDER BY EST48_CRESWIFT.ZCAMPO ASC
GROUP BY EST48_CRESWIFT.CKREFEST, EST48_CRESWIFT.ZSEQMOV
SELECT NULL
SELECT NULL
WHERE TCT09_OPERCN.ISITUAC = '1'  AND TCT09_OPERCN.DENTRADA &lt;= TCT09_OPERCN.DATA_DATE_PART AND (GROUP BY TCT09_OPERCN.CKBALCAO, TCT09_OPERCN,CKNUMCTA) </t>
  </si>
  <si>
    <t>Goods Description</t>
  </si>
  <si>
    <t>goods_description</t>
  </si>
  <si>
    <t>Describes the commodity or product that is traded.</t>
  </si>
  <si>
    <t>Descrição dos bens que estão a ser comercializados no âmbito contrato.</t>
  </si>
  <si>
    <t>EST54_REMIMP
EST78_REMEXP
EST85_CREIMP
EST89_CREEXP
EST48_CRESWIFT
INTERFACE_DCT01
TCT09_OPERCN</t>
  </si>
  <si>
    <t>N\A
N\A
N\A
N\A
GDETALHE
N\A
N\A</t>
  </si>
  <si>
    <t>SELECT '#N/A'
WHERE MAX(EST54_REMIMP.ESYD54C0_ZSEQMOV) GROUP BY EST54_REMIMP.ESYD54C0_CKREFEST
SELECT '#N/A'
WHERE EST78_REMEXP.ZSEQREM = '999'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 COLLECT_LIST(EST48_CRESWIFT.GDETALHE), '')
WHERE EST85_CREIMP.ZSEQCRE = '999' AND EST87_CDNEG.ESYD87C1_IPEDADI = 'S'
   AND EST48_CRESWIFT.CTIPMSG = '700' AND CTAG IN ('45A')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('45A') 
ORDER BY EST48_CRESWIFT.ZCAMPO ASC
GROUP BY EST48_CRESWIFT.CKREFEST, EST48_CRESWIFT.ZSEQMOV
SELECT NULL
SELECT NULL
WHERE TCT09_OPERCN.ISITUAC = '1'  AND TCT09_OPERCN.DENTRADA &lt;= TCT09_OPERCN.DATA_DATE_PART AND (GROUP BY TCT09_OPERCN.CKBALCAO, TCT09_OPERCN,CKNUMCTA)</t>
  </si>
  <si>
    <t>N\A
N\A
EST48_CRESWIFT
EST48_CRESWIFT
N\A
N\A</t>
  </si>
  <si>
    <t>N\A
N\A
GDETALHE 
GDETALHE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</si>
  <si>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</si>
  <si>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CURATED_INTERNAL_MAINFRAME_ESTRANGEIRO
CURATED_INTERNAL_MAINFRAME_ESTRANGEIRO
CURATED_INTERNAL_MAINFRAME_ESTRANGEIRO
CURATED_INTERNAL_MAINFRAME_ESTRANGEIRO
CURATED_INTERNAL_MAINFRAME_CONTAS
CURATED_INTERNAL_MAINFRAME_CONTENCIOSO
COMMON_REFERENCEDATA_CORE</t>
  </si>
  <si>
    <t>N\A
N\A
N\A
N\A
N\A
N\A
TARGET_VALUE</t>
  </si>
  <si>
    <t xml:space="preserve">SELECT PARAM_GENERAL_CODE_CONVERTER.TARGET_VALUE
WHERE MAX(EST54_REMIMP.ESYD54C0_ZSEQMOV) GROUP BY EST54_REMIMP.ESYD54C0_CKREFEST
   AND IF(TRIM(EST54_REMIMP.ESYD54C0_CODEST) = '', NULL, EST54_REMIMP.ESYD54C0_CODEST) ) = PARAM_GENERAL_CODE_CONVERTER.SOURCE_VALUE AND PARAM_GENERAL_CODE_CONVERTER.SOURCE_CODE = 'RM' AND PARAM_GENERAL_CODE_CONVERTER.TARGET_FIELD = 'contract_status_code' AND PARAM_GENERAL_CODE_CONVERTER.OPTION_NUMBER = 1
SELECT PARAM_GENERAL_CODE_CONVERTER.TARGET_VALUE
WHERE EST78_REMEXP.ZSEQREM = '999'
   AND IF(TRIM(EST78_REMEXP.CODEST) = '', NULL, EST78_REMEXP.CODEST) ) = PARAM_GENERAL_CODE_CONVERTER.SOURCE_VALUE AND PARAM_GENERAL_CODE_CONVERTER.SOURCE_CODE = 'RX' AND PARAM_GENERAL_CODE_CONVERTER.TARGET_FIELD = 'contract_status_code' AND PARAM_GENERAL_CODE_CONVERTER.OPTION_NUMBER = 1
SELECT PARAM_GENERAL_CODE_CONVERTER.TARGET_VALUE
WHERE EST85_CREIMP.ZSEQCRE = '999'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EST85_CREIMP.ZSEQCRE = '999'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EST85_CREIMP.ZSEQCRE = '999' AND EST87_CDNEG.ESYD87C1_IPEDADI = 'S'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EST89_CREEXP.ZSEQCRE = '99' AND MAX(EST89_CREEXP.ZSEQUEN) GROUP BY EST89_CREEXP.CKREFEST
   AND IF(TRIM(EST89_CREEXP.CODEST) = '', NULL, EST89_CREEXP.CODEST) ) = PARAM_GENERAL_CODE_CONVERTER.SOURCE_VALUE AND PARAM_GENERAL_CODE_CONVERTER.SOURCE_CODE = 'XC' AND PARAM_GENERAL_CODE_CONVERTER.TARGET_FIELD = 'contract_status_code' AND PARAM_GENERAL_CODE_CONVERTER.OPTION_NUMBER = 1
SELECT PARAM_GENERAL_CODE_CONVERTER.TARGET_VALUE
WHERE IF(TRIM(INTERFACE_DCT01.DCYR8101_CSITCTA) = '', NULL, INTERFACE_DCT01.DCYR8101_CSITCTA) ) = PARAM_GENERAL_CODE_CONVERTER.SOURCE_VALUE AND PARAM_GENERAL_CODE_CONVERTER.SOURCE_CODE = 'DC' AND PARAM_GENERAL_CODE_CONVERTER.TARGET_FIELD = 'contract_status_code' AND PARAM_GENERAL_CODE_CONVERTER.OPTION_NUMBER = 1
SELECT PARAM_GENERAL_CODE_CONVERTER.TARGET_VALUE
WHERE TCT09_OPERCN.ISITUAC = '1' AND TCT09_OPERCN.DENTRADA &lt;= TCT09_OPERCN.DATA_DATE_PART  AND (GROUP BY TCT09_OPERCN.CKBALCAO, TCT09_OPERCN,CKNUMCTA)
   AND TCT09_OPERCN.ISITUAC = PARAM_GENERAL_CODE_CONVERTER.SOURCE_VALUE AND PARAM_GENERAL_CODE_CONVERTER.SOURCE_CODE = 'TC' AND PARAM_GENERAL_CODE_CONVERTER.TARGET_FIELD = 'contract_status_code' AND PARAM_GENERAL_CODE_CONVERTER.OPTION_NUMBER = 1
</t>
  </si>
  <si>
    <t>CODEST
CODEST
CODEST
CODEST
CSITCTA
ISITUAC</t>
  </si>
  <si>
    <t>Contract Opening Channel:
TAT91 - CTABELA 091
TAT91 - CTABELA 091
TAT91 - CTABELA 091
TAT91 - CTABELA 091
N\A
N\A</t>
  </si>
  <si>
    <t xml:space="preserve">CURATED_INTERNAL_MAINFRAME_ESTRANGEIRO
CURATED_INTERNAL_MAINFRAME_ESTRANGEIRO
CURATED_INTERNAL_MAINFRAME_ESTRANGEIRO
CURATED_INTERNAL_MAINFRAME_ESTRANGEIRO
CURATED_INTERNAL_MAINFRAME_CONTAS
CURATED_INTERNAL_MAINFRAME_CONTENCIOSO
CURATED_INTERNAL_MAINFRAME_ESTRUTURAIS
COMMON_REFERENCEDATA_CORE
</t>
  </si>
  <si>
    <t>EST54_REMIMP
EST78_REMEXP
EST85_CREIMP
ESST89_CREEXP
INTERFACE_DCT01
TCT09_OPERCN
TAT91_TABELAS_NEW
PARAM_GENERAL_CODE_CONVERTER</t>
  </si>
  <si>
    <t xml:space="preserve">SELECT PARAM_GENERAL_CODE_CONVERTER.TARGET_VALUE
WHERE MAX(EST54_REMIMP.ESYD54C0_ZSEQMOV) GROUP BY EST54_REMIMP.ESYD54C0_CKREFEST
   AND TAT91_ESTRUTURAIS_NEW.TAYD91C0_CTABELA = '091'
   AND IF(TRIM(TAT91_ESTRUTURAIS_NEW.TAYD91C0_NELEMC13) = '', NULL, SUBSTRING(TAT91_ESTRUTURAIS_NEW.TAYD91C0_NELEMC13, 3, 3) ) = PARAM_GENERAL_CODE_CONVERTER.SOURCE_VALUE AND PARAM_GENERAL_CODE_CONVERTER.SOURCE_CODE = 'RM' AND PARAM_GENERAL_CODE_CONVERTER.TARGET_FIELD = 'contract_opening_channel_code' AND PARAM_GENERAL_CODE_CONVERTER.OPTION_NUMBER = 1
SELECT PARAM_GENERAL_CODE_CONVERTER.TARGET_VALUE
WHERE EST78_REMEXP.ZSEQREM = '999'
   AND TAT91_ESTRUTURAIS_NEW.TAYD91C0_CTABELA = '091'
   AND IF(TRIM(TAT91_ESTRUTURAIS_NEW.TAYD91C0_NELEMC13) = '', NULL, SUBSTRING(TAT91_ESTRUTURAIS_NEW.TAYD91C0_NELEMC13, 3, 3) ) = PARAM_GENERAL_CODE_CONVERTER.SOURCE_VALUE AND PARAM_GENERAL_CODE_CONVERTER.SOURCE_CODE = 'RX' AND PARAM_GENERAL_CODE_CONVERTER.TARGET_FIELD = 'contract_opening_channel_code' AND PARAM_GENERAL_CODE_CONVERTER.OPTION_NUMBER = 1
SELECT PARAM_GENERAL_CODE_CONVERTER.TARGET_VALUE
WHERE EST85_CREIMP.ZSEQCRE = '999'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EST85_CREIMP.ZSEQCRE = '999'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EST85_CREIMP.ZSEQCRE = '999' AND EST87_CDNEG.ESYD87C1_IPEDADI = 'S'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EST89_CREEXP.ZSEQCRE = '99' AND MAX(EST89_CREEXP.ZSEQUEN) GROUP BY EST89_CREEXP.CKREFEST
   AND IF(TRIM(TAT91_ESTRUTURAIS_NEW.TAYD91C0_NELEMC13) = '', NULL, SUBSTRING(TAT91_ESTRUTURAIS_NEW.TAYD91C0_NELEMC13, 3, 3) ) = PARAM_GENERAL_CODE_CONVERTER.SOURCE_VALUE AND PARAM_GENERAL_CODE_CONVERTER.SOURCE_CODE = 'XC' AND PARAM_GENERAL_CODE_CONVERTER.TARGET_FIELD = 'contract_opening_channel_code' AND PARAM_GENERAL_CODE_CONVERTER.OPTION_NUMBER = 1
SELECT PARAM_GENERAL_CODE_CONVERTER.TARGET_VALUE
WHERE '' = PARAM_GENERAL_CODE_CONVERTER.SOURCE_VALUE AND PARAM_GENERAL_CODE_CONVERTER.SOURCE_CODE = 'DC' AND PARAM_GENERAL_CODE_CONVERTER.TARGET_FIELD = 'contract_opening_channel_code' AND PARAM_GENERAL_CODE_CONVERTER.OPTION_NUMBER = 1
SELECT PARAM_GENERAL_CODE_CONVERTER.TARGET_VALUE
WHERE TCT09_OPERCN.ISITUAC = '1'  AND TCT09_OPERCN.DENTRADA &lt;= TCT09_OPERCN.DATA_DATE_PART AND (GROUP BY TCT09_OPERCN.CKBALCAO, TCT09_OPERCN,CKNUMCTA)
   AND '' = PARAM_GENERAL_CODE_CONVERTER.SOURCE_VALUE AND PARAM_GENERAL_CODE_CONVERTER.SOURCE_CODE = 'TC' AND PARAM_GENERAL_CODE_CONVERTER.TARGET_FIELD = 'contract_opening_channel_code' AND PARAM_GENERAL_CODE_CONVERTER.OPTION_NUMBER = 1
</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</si>
  <si>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</si>
  <si>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</si>
  <si>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</si>
  <si>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Source:
N\A
N\A
N\A
N\A
N\A
N\A</t>
  </si>
  <si>
    <t xml:space="preserve">SELECT 'RM'
WHERE MAX(EST54_REMIMP.ESYD54C0_ZSEQMOV) GROUP BY EST54_REMIMP.ESYD54C0_CKREFEST
SELECT 'RX'
WHERE EST78_REMEXP.ZSEQREM = '999'
SELECT 'MC'
WHERE EST85_CREIMP.ZSEQCRE = '999'
SELECT 'MC'
WHERE EST85_CREIMP.ZSEQCRE = '999'
SELECT 'MC'
WHERE EST85_CREIMP.ZSEQCRE = '999' AND EST87_CDNEG.ESYD87C1_IPEDADI = 'S'
SELECT 'XC'
WHERE EST89_CREEXP.ZSEQCRE = '99' AND MAX(EST89_CREEXP.ZSEQUEN) GROUP BY EST89_CREEXP.CKREFEST
SELECT 'DC'
SELECT 'TC'
WHERE TCT09_OPERCN.ISITUAC = '1' AND TCT09_OPERCN.DENTRADA &lt;= TCT09_OPERCN.DATA_DATE_PART AND (GROUP BY TCT09_OPERCN.CKBALCAO, TCT09_OPERCN,CKNUMCTA)
</t>
  </si>
  <si>
    <t>"RM"
"RX"
"MC"
"XC"
"DC"
"TC"</t>
  </si>
  <si>
    <t>DATA_DATE_PART
DATA_DATE_PART
DATA_DATE_PART
DATA_DATE_PART
DATA_DATE_PART
DATA_DATE_PART</t>
  </si>
  <si>
    <t xml:space="preserve">SELECT EST54_REMIMP.DATA_DATE_PART
WHERE MAX(EST54_REMIMP.ESYD54C0_ZSEQMOV) GROUP BY EST54_REMIMP.ESYD54C0_CKREFEST
SELECT EST78_REMEXP.DATA_DATE_PART
WHERE EST78_REMEXP.ZSEQREM = '999'
SELECT EST85_CREIMP.DATA_DATE_PART
WHERE EST85_CREIMP.ZSEQCRE = '999'
SELECT EST85_CREIMP.DATA_DATE_PART
WHERE EST85_CREIMP.ZSEQCRE = '999'
SELECT EST85_CREIMP.DATA_DATE_PART
WHERE EST85_CREIMP.ZSEQCRE = '999' AND EST87_CDNEG.ESYD87C1_IPEDADI = 'S'
SELECT EST89_CREEXP.DATA_DATE_PART
WHERE EST89_CREEXP.ZSEQCRE = '99' AND MAX(EST89_CREEXP.ZSEQUEN) GROUP BY EST89_CREEXP.CKREFEST
SELECT INTERFACE_DCT01.DATA_DATE_PART
SELECT TCT09_OPERCN.DATA_DATE_PART
WHERE TCT09_OPERCN.ISITUAC = '1' AND TCT09_OPERCN.DENTRADA &lt;= TCT09_OPERCN.DATA_DATE_PART  AND (GROUP BY TCT09_OPERCN.CKBALCAO, TCT09_OPERCN,CKNUMCTA)
</t>
  </si>
  <si>
    <t>SELECT NOW()
WHERE MAX(EST54_REMIMP.ESYD54C0_ZSEQMOV) GROUP BY EST54_REMIMP.ESYD54C0_CKREFEST
SELECT NOW()
WHERE EST78_REMEXP.ZSEQREM = '999'
SELECT NOW()
WHERE EST85_CREIMP.ZSEQCRE = '999'
SELECT EST85_CREIMP.DATA_DATE_PART
WHERE EST85_CREIMP.ZSEQCRE = '999'
SELECT EST85_CREIMP.DATA_DATE_PART
WHERE EST85_CREIMP.ZSEQCRE = '999' AND EST87_CDNEG.ESYD87C1_IPEDADI = 'S'
SELECT NOW()
WHERE EST89_CREEXP.ZSEQCRE = '99' AND MAX(EST89_CREEXP.ZSEQUEN) GROUP BY EST89_CREEXP.CKREFEST
SELECT NOW()
SELECT NOW()
WHERE TCT09_OPERCN.ISITUAC = '1'  AND (GROUP BY TCT09_OPERCN.CKBALCAO, TCT09_OPERCN,CKNUMCTA)</t>
  </si>
  <si>
    <t>Trade Finance Universe</t>
  </si>
  <si>
    <t>trade_finance_universe</t>
  </si>
  <si>
    <t>EST54_REMIMP
EST78_REMEXP
EST85_CREIMP
EST85_CREIMP
EST85_CREIMP
EST89_CREEXP
INTERFACE_DCT01
TCT09_OPERCN</t>
  </si>
  <si>
    <t>N\A
N\A
N\A
N\A
N\A
N\A
N\A</t>
  </si>
  <si>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NOT (EST85_CREIMP.CKPRODUT = '038' AND EST85_CREIMP.CKSUBPRO IN ('002', '003') )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</si>
  <si>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</si>
  <si>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EST85_CREIMP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</si>
  <si>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CKBALCAO, CKNUMCTA, CKREFEST
DCYR8101_CKBALCAO, DCRY8101_CKNUMCTA
CKBALCAO, CKNUMCTA</t>
  </si>
  <si>
    <r>
      <rPr>
        <b/>
        <sz val="11"/>
        <color rgb="FF000000"/>
        <rFont val="Calibri"/>
      </rPr>
      <t>SELECT</t>
    </r>
    <r>
      <rPr>
        <sz val="11"/>
        <color rgb="FF000000"/>
        <rFont val="Calibri"/>
      </rPr>
      <t xml:space="preserve"> CONCAT( EST54_REMIMP.ESYD54C0_CKBALCAO, EST54_REMIMP.ESYD54C0_CKNUMCTA, EST54_REMIMP.ESYD54C0_CKREFEST, '0')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CONCAT( EST78_REMEXP.CKBALCAO, EST78_REMEXP.CKNUMCTA, EST78_REMEXP.CKREFEST, '0')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CONCAT( EST85_CREIMP.CKBALCAO, EST85_CREIMP.CKNUMCTA, EST85_CREIMP.CKREFEST, '0')
</t>
    </r>
    <r>
      <rPr>
        <b/>
        <sz val="11"/>
        <color rgb="FF000000"/>
        <rFont val="Calibri"/>
      </rPr>
      <t xml:space="preserve">WHERE </t>
    </r>
    <r>
      <rPr>
        <sz val="11"/>
        <color rgb="FF000000"/>
        <rFont val="Calibri"/>
      </rPr>
      <t xml:space="preserve">MAX(EST85_CREIMP.ZSEQCRE) GROUP BY EST85_CREIMP.CKREFEST AND NOT (EST85_CREIMP.CKPRODUT = '038' AND EST85_CREIMP.CKSUBPRO IN ('002', '003') )
</t>
    </r>
    <r>
      <rPr>
        <b/>
        <sz val="11"/>
        <color rgb="FF000000"/>
        <rFont val="Calibri"/>
      </rPr>
      <t>SELECT</t>
    </r>
    <r>
      <rPr>
        <sz val="11"/>
        <color rgb="FF000000"/>
        <rFont val="Calibri"/>
      </rPr>
      <t xml:space="preserve"> CONCAT( EST85_CREIMP.CKBALCAO, EST85_CREIMP.CKNUMCTA, EST85_CREIMP.CKREFEST, '9')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CONCAT( EST85_CREIMP.CKBALCAO, EST85_CREIMP.CKNUMCTA, EST85_CREIMP.CKREFEST, EST87_CDNEG.ESYD87C1_ZSEQNEG )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CONCAT(EST89_CREEXP.CKBALCAO, EST89_CREEXP.CKNUMCTA, EST89_CREEXP.CKREFEST, '0')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CONCAT( INTERFACE_DCT01.DCYR_8191_CKBALCAO, INTERFACE_DCT01.DCRY8101_CKNUMCTA, '000000000000000' )
WHERE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CONCAT( TCT09_OPERCN.CKBALCAO, TCT09_OPERCN.CKNUMCTA, '000000000000000'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</si>
  <si>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EST54_REMIMP
EST78_REMEXP
EST85_CREIMP
EST85_CREIMP
EST89_CREEXP
INTERFACE_DCT01
TCT09_OPERCN</t>
  </si>
  <si>
    <r>
      <rPr>
        <b/>
        <sz val="11"/>
        <color rgb="FF000000"/>
        <rFont val="Calibri"/>
      </rPr>
      <t>SELECT</t>
    </r>
    <r>
      <rPr>
        <sz val="11"/>
        <color rgb="FF000000"/>
        <rFont val="Calibri"/>
      </rPr>
      <t xml:space="preserve"> IF(CAST(EST54_REMIMP.ESYD54C0_MONTABE AS DECIMAL(23, 6)) &gt; 0, 1, 0)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IF(CAST(EST78_REMEXP.MONTABE AS DECIMAL(23, 6)) &gt; 0 AND EST78_REMEXP.ZSEQREM = '999', 1, 0)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IF(CAST(EST85_CREIMP.MONTAB AS DECIMAL(23, 6)) &gt; 0 AND EST85_CREIMP.ZSEQCRE = '999', 1, 0)
</t>
    </r>
    <r>
      <rPr>
        <b/>
        <sz val="11"/>
        <color rgb="FF000000"/>
        <rFont val="Calibri"/>
      </rPr>
      <t>WHERE</t>
    </r>
    <r>
      <rPr>
        <sz val="11"/>
        <color rgb="FF000000"/>
        <rFont val="Calibri"/>
      </rPr>
      <t xml:space="preserve"> MAX(EST85_CREIMP.ZSEQCRE) GROUP BY EST85_CREIMP.CKREFEST AND NOT (EST85_CREIMP.CKPRODUT = '038' AND EST85_CREIMP.CKSUBPRO IN ('002', '003') )
</t>
    </r>
    <r>
      <rPr>
        <b/>
        <sz val="11"/>
        <color rgb="FF000000"/>
        <rFont val="Calibri"/>
      </rPr>
      <t>SELECT</t>
    </r>
    <r>
      <rPr>
        <sz val="11"/>
        <color rgb="FF000000"/>
        <rFont val="Calibri"/>
      </rPr>
      <t xml:space="preserve"> IF(CAST(EST85_CREIMP.MONTAB AS DECIMAL(23, 6)) &gt; 0 AND EST85_CREIMP.ZSEQCRE = '999', 1, 0)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IF(IF(EST87_CDNEG.ESYD87C1_DTVENC &gt; = EST85_CREIMP.DATA_DATE_PART, 1, 0), 1, 0)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IF(CAST( EST89_CREEXP.MONTAB AS DECIMAL(23, 6)) &gt; 0 AND EST89_CREEXP.ZSEQCRE= '99', 1, 0)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IF( INTERFACE_DCT01.DCYR8101_CSITCTA IN ( '0', '1', '2', '3', '5', '6', '7', '8', '9' ) AND INTERFACE_DCT01.DCYR8101_DINICONT = '0001-01-01', 1, 0 )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CASE
    WHEN INTERFACE_DCT01.ISITUAC = '1' AND TCT09_OPERCN.DATA_DATE_PART &gt;= TCT09_OPERCN.DENTREADA THEN 1
    ELSE 0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</si>
  <si>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r>
      <rPr>
        <b/>
        <sz val="11"/>
        <color rgb="FF000000"/>
        <rFont val="Calibri"/>
      </rPr>
      <t>SELECT</t>
    </r>
    <r>
      <rPr>
        <sz val="11"/>
        <color rgb="FF000000"/>
        <rFont val="Calibri"/>
      </rPr>
      <t xml:space="preserve"> 'RM'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'RX'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'XC'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'DC'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'TC'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</si>
  <si>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DATA_DATE_PART
DATA_DATE_PART
DATA_DATE_PART
DATA_DATE_PART
DATA_DATE_PART
DATA_DATE_PART
DATA_DATE_PART</t>
  </si>
  <si>
    <r>
      <rPr>
        <b/>
        <sz val="11"/>
        <color rgb="FF000000"/>
        <rFont val="Calibri"/>
      </rPr>
      <t>SELECT</t>
    </r>
    <r>
      <rPr>
        <sz val="11"/>
        <color rgb="FF000000"/>
        <rFont val="Calibri"/>
      </rPr>
      <t xml:space="preserve"> EST54_REMIMP.DATA_DATE_PART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EST78_REMEXP.DATA_DATE_PART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(EST85_REIMP.CKPRODUT = '038' AND EST85_CREIMP.CKSUBPRO IN ('002', '003') )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EST89_CREEXP.DATA_DATE_PART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INTERFACE_DCT01.DATA_DATE_PART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TCT09_OPERCN.DATA_DATE_PART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</si>
  <si>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</si>
  <si>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</si>
  <si>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</si>
  <si>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</si>
  <si>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</si>
  <si>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</si>
  <si>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</si>
  <si>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</si>
  <si>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</si>
  <si>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bg_contr_batch</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</si>
  <si>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</si>
  <si>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</si>
  <si>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</si>
  <si>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</si>
  <si>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</si>
  <si>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</si>
  <si>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</si>
  <si>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</si>
  <si>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</si>
  <si>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</si>
  <si>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inner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</si>
  <si>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</si>
  <si>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</si>
  <si>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</si>
  <si>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</si>
  <si>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</si>
  <si>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</si>
  <si>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</si>
  <si>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</si>
  <si>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curated_internal_mainframe_contencioso</t>
  </si>
  <si>
    <t xml:space="preserve">tct09_opercn </t>
  </si>
  <si>
    <t>tct01_posdivid</t>
  </si>
  <si>
    <t>tct09_opercn.zanoproc =  tct01_posdivid.zanoproc and tct09_opercn.zproc = tct01_posdivid.zproc and tct09_opercn.zoper = tct01_posdivid.zoper</t>
  </si>
  <si>
    <t>tat91_tabelas</t>
  </si>
  <si>
    <t>tct09_opercn .cmoedalf = substring( tat91_tabelas.tayd91c0_nelemc01, 1, 3 )</t>
  </si>
  <si>
    <t>tat41_canal</t>
  </si>
  <si>
    <t>bg_contr_batch.canalope = tat41_canal.cdcanal</t>
  </si>
  <si>
    <t>tat41_canal.ckbalcao = tat91_tabelas.tayd91c0_celemtab</t>
  </si>
  <si>
    <t>CONCAT( '000000000000000', coint_ctoloc_p.e2616_idcent_l, SUBSTRING( coint_ctoloc_p.e2616_idcont_l, 2, 10 ), '0' ) = bank_guarantee_universe.contract_id AND '' = bank_guarantee_universe.bank_id AND bank_guarantee_universe.contract_alive_indicator = 1 AND bank_guarantee_universe.source_code = 'BG'</t>
  </si>
  <si>
    <t>curated_internal_mainframe_contas</t>
  </si>
  <si>
    <t>interface_dct01</t>
  </si>
  <si>
    <t>CONCAT( interface_dct01.dcyr8101_ckbalcao, interface_dct01.dcyr8101_cknumcta, '000000000000000' ) = bank_guarantee_universe.contract_id AND '' = bank_guarantee_universe.bank_id AND bank_guarantee_universe.contract_alive_indicator = 1 AND bank_guarantee_universe.source_code = 'DC'</t>
  </si>
  <si>
    <t>CONCAT( ckbalcao, cknumcta, '000000000000000' ) = universe.contract_id AND '' = universe.bank_id AND bank_guarantee_universe.contract_alive_indicator = 1 AND bank_guarantee_universe.source_code = 'TC'</t>
  </si>
  <si>
    <t>curated_internal_cofresaluguer</t>
  </si>
  <si>
    <t>contracts</t>
  </si>
  <si>
    <t>vaults</t>
  </si>
  <si>
    <t>contracts.vaultid = vaults.id</t>
  </si>
  <si>
    <t>contract_payments</t>
  </si>
  <si>
    <t>contracts.id = contract_payments.contractid</t>
  </si>
  <si>
    <t>contracts.doaccount = concat( interface_dct01.dcy58191_ckbalcao, dcy58191_cknumecta )</t>
  </si>
  <si>
    <t>visits</t>
  </si>
  <si>
    <t>visits.contractid = contracts.id</t>
  </si>
  <si>
    <t>curated_internal_outsystems</t>
  </si>
  <si>
    <t>user_internal</t>
  </si>
  <si>
    <t>visits.initialuserid = user_internal.id</t>
  </si>
  <si>
    <t>visits.finaluserid = user_internal.id</t>
  </si>
  <si>
    <t>curated_internal_mainframe_efeitos</t>
  </si>
  <si>
    <t>eft01_contefto</t>
  </si>
  <si>
    <t>eft05_cespeft</t>
  </si>
  <si>
    <t xml:space="preserve">eft01_contefto.ckbalcao = eft05_cespeft.ckbalcao and eft01_contefto.cknumcta = eft05_cespeft.cknumcta </t>
  </si>
  <si>
    <t>eft02_crteft</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</si>
  <si>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</si>
  <si>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</si>
  <si>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</si>
  <si>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</si>
  <si>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</si>
  <si>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 = bills_promissory_notes_universe.bank_id AND CONCAT(eft02_crteft.ckbalcao, eft02_crteft.cknumcta, LPAD(SUBSTRING(eft02_crteft.zloteft, 1, 8), 8, '0'), LPAD(SUBSTRING(eft02_crteft.zseqeft, 1, 2), 2,'0'), '00000') = universe.contract_id AND 1 = bills_promissory_notes_universe.contract_alive_indicator AND ( 'EF' = bills_promissory_notes_universe.source_code OR ('TC' = bills_promissory_notes_universe.source_code AND contencioso.ckbalcao IS NOT NULL) )</t>
  </si>
  <si>
    <t>curated_internal_mainframe_cambios</t>
  </si>
  <si>
    <t>cbt02_cambios</t>
  </si>
  <si>
    <t>eft01_contefto.cmoeda = cbt02_cambios.cmoeda</t>
  </si>
  <si>
    <t>concat( tct09_opercn.ckbalcao, tct09_opercn.cknumcta, tct09_opercn.zdeposit ) = concat( eft02_crteft.ckbalcao, eft02_crteft.cknumcta, lpad( substring( eft02_crteft.zloteft, 1, 8 ), 8, '0' ), lpad( substring( eft02_crteft.zseqeft, 1, 2 ), 2, '0' ), '00000' )</t>
  </si>
  <si>
    <t>curated_internal_mainframe_confirming</t>
  </si>
  <si>
    <t>fct03_factura</t>
  </si>
  <si>
    <t>fct01_ctaconf</t>
  </si>
  <si>
    <t>fct03_factura.ckbalcao = fct01_ctaconf.ckbalcao and fct03_factura.cknumcta = fct01_ctaconf.cknumcta</t>
  </si>
  <si>
    <t>fct12_anulfin</t>
  </si>
  <si>
    <t>fct03_factura.zseqfact = fct12_anulfin.zseqfact</t>
  </si>
  <si>
    <t>dct15_relcta</t>
  </si>
  <si>
    <t>fct03_factura.ckbalcao = dct15_relcta.ckbalrel and fct03_factura.cknumcta = dct15_relcta.ckctarel</t>
  </si>
  <si>
    <t>fct16_movidev</t>
  </si>
  <si>
    <t>fct03_factura.zseqfact = fct16_movidev.cmovimen</t>
  </si>
  <si>
    <t>fct01_ctaconf.ckbalcao = dct15_relcta.ckbalrel and fct01_ctaconf.cknumcta = dct15_relcta.ckctarel</t>
  </si>
  <si>
    <t>curated_internal_mainframe_contabilidade</t>
  </si>
  <si>
    <t>carteiras</t>
  </si>
  <si>
    <t>fct01_ctaconf.ckbalcao = carteiras.icyrr0n00_cbalcao and fct01_ctaconf.cknumcta = carteiras.icyrr0n00_cnumecta and carteiras.icyr0n00_zdeposit = '000000000000000'</t>
  </si>
  <si>
    <t>CONCAT(tct09_opercn.ckbalcao, tct09_opercn.cknumcta, '000000000000000') = confirming_universe.contract_id AND '' = confirming_universe.bank_id AND 'TC' = confirming_universe.source_code AND 1 = confirming_universe.contract_alive_indicator AND tct09_opercn.isituac = 1</t>
  </si>
  <si>
    <t>CONCAT(interface_dct01.dcyr8101_ckbalcao, interface_dct01.dcyr8101_cknumcta, '000000000000000') = confirming_universe.contract_id AND '' = confirming_universe.bank_id AND 'DC' = confirming_universe.source_code AND 1 = confirming_universe.contract_alive_indicator AND tct09_opercn.isituac = 1</t>
  </si>
  <si>
    <t>CONCAT(fct01_ctaconf.ckbalcao, fct01_ctaconf.cknumcta, '000000000000000') = confirming_universe.contract_id AND '' = confirming_universe.bank_id AND 'FC' = confirming_universe.source_code AND 1 = confirming_universe.contract_alive_indicator</t>
  </si>
  <si>
    <t>CONCAT(fct03_factura.ckbalcao, fct03_factura.cknumcta, '10', LPAD(fct03.zseqfact, 9, '0'), '0000') = confirming_universe.contract_id AND '' = confirming_universe.bank_id AND 'FC' = confirming_universe.source_code AND 1 = confirming_universe.contract_alive_indicator</t>
  </si>
  <si>
    <t>conf_litigation_product</t>
  </si>
  <si>
    <t>interface_dct01.dcyr8101_ckprodut = conf_litigation_product.source_product_id AND interface_dct01.dcyr8101_cksubpro = conf_litigation_product.source_subproduct_id AND "FC" = conf_litigation_product.source_code</t>
  </si>
  <si>
    <t>tct09_opercn.ckprodut = conf_litigation_product.source_product_id AND tct09_opercn.cksubpro = conf_litigation_product.source_subproduct_id AND "FC" = conf_litigation_product.source_code</t>
  </si>
  <si>
    <t>contract_party_relation</t>
  </si>
  <si>
    <t>curated_internal_datalake_loantapes</t>
  </si>
  <si>
    <t>cl001_interv_cto</t>
  </si>
  <si>
    <t>curated_internal_mainframe_cartoes</t>
  </si>
  <si>
    <t>crt09_tbtarjet</t>
  </si>
  <si>
    <t>crt08</t>
  </si>
  <si>
    <t xml:space="preserve">crt09_tbtarjet.numctatar = crt08.numctatar and crt09_tbtarjet.codent = crt08.codent and crt09_tbtarjet.numbencta = crt08.numbencta </t>
  </si>
  <si>
    <t>crt07_tbctatar</t>
  </si>
  <si>
    <t>crt09_tbtarjet.numctatar = crt07_tbctatar.numctatar and crt09_tbtarjet.codent = crt07_tbctatar.codent</t>
  </si>
  <si>
    <t>concat( lpad( crt07_tbctatar.codmar, 2, '0' ), lpad( crt07_tbctatar.indtipt, 2, '0' ) ) = tat91_tabelas.tayd91c0_celemtab and crt07_tbctatar.cmarca = tat91_tabelas.tayd91c0_cempmarc and tat91_tabelas.tayd91c0_ctabela = '593'</t>
  </si>
  <si>
    <t>curated_internal_mainframe_clientes</t>
  </si>
  <si>
    <t>clt18_ctacli</t>
  </si>
  <si>
    <t xml:space="preserve">clt18_ctacli.clyd18c1_ckbalcao = crt07_tbctatar.ckbalcao and clt18_ctacli.clyd18c1_cknumcta = crt07_tbctatar.cknumcta </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</si>
  <si>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</si>
  <si>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</si>
  <si>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</si>
  <si>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</si>
  <si>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carteiras.icyr0n00_cbalcao = crt07_tbctatar.ckbalcao and carteiras.icyr0n00_cnumecta = crt07_tbctatar.cknumcta</t>
  </si>
  <si>
    <t>crt11_tbextrac</t>
  </si>
  <si>
    <t>crt07_tbctatar.codent = crt11_tbextrac.codent and crt07_tbctatar.numctatar = crt11_tbextrac.numctatar</t>
  </si>
  <si>
    <t>crt12_tbmovext_new</t>
  </si>
  <si>
    <t>crt07_tbctatar.numctatar = crt12_tbmovext_new.numctatar and crt07_tbctatar.codent = crt12_tbmovext_new.codent</t>
  </si>
  <si>
    <t>crt14_tbmoroso</t>
  </si>
  <si>
    <t>crt07_tbctatar.codent = crt14_tbmoroso.codent and crt07_tbctatar.numctatar = crt14_tbmoroso.numctatar</t>
  </si>
  <si>
    <t>crt07_tbctatar.codmar = crt50_tbparbin.crt50dl_codmar and crt07_tbctatar.cmarca = crt50_tbparbin.crt50dl_cmarca and crt07_tbctatar.indtipt = crt50_tbparbin.crt50dl_indtipt and crt07_tbctatar.clamoneur = crt50_tbparbin.crt50dl_clamoneur</t>
  </si>
  <si>
    <t>crt85_tbgruliq</t>
  </si>
  <si>
    <t>crt07_tbctatar.codmar = crt85_tbgruliq.codmar and crt07_tbctatar.indtipt = crt85.indtipt and crt07_tbctatar.cmarca = crt85_tbgruliq.cmarca</t>
  </si>
  <si>
    <t>crta08.codent = crt07.codent and crta08.numctatar = crt07.numctatar and crta08.numbencta = crt07.numben</t>
  </si>
  <si>
    <t>concat( lpad( crt07_tbctatar.codmar, 2, '0' ), lpad( crt07_tbctatar.indtipt, 2, '0' ) ) = tat91_tabelas.tayd91c0_celemtab and crt07_tbctatar.cmarca = tat91_tabelas.tayd91c0_cempmarc</t>
  </si>
  <si>
    <t>crt07_tbctatar.ckbalcao = tct09_opercn.ckbalcao and crt07_tbctatar.cknumcta = tct09_opercn.cknumcta</t>
  </si>
  <si>
    <t>crt44_tbtipfac</t>
  </si>
  <si>
    <t xml:space="preserve">crt12_tbmovext_new.crt12_indori = crt44_tbtipfac.indori and crt12_tbmovext_new.crt12_tipofacn = crt44_tbtipfac.tipofacn and crt12_tbmovext_new.crt12_indestr = crt44_tbtipfac.indestr </t>
  </si>
  <si>
    <t>crt63_adesecl</t>
  </si>
  <si>
    <t>crt63_adesecl.numctatar = crt07_tbctatar.numctatar and crt63_adesecl.codent = crt07_tbctatar.codent</t>
  </si>
  <si>
    <t>crt73_prestecl</t>
  </si>
  <si>
    <t>crt63_adesecl.numctatar = crt73_prestecl.numctatar and crt63_adesecl.codent = crt73_prestecl.codent and crt63_adesecl.zplano = crt73_prestecl.zplano</t>
  </si>
  <si>
    <t>curated_internal_mainframe_propostas</t>
  </si>
  <si>
    <t>ngt14_relcta</t>
  </si>
  <si>
    <t>ngt14_relcta.ckbalcao = crt07_tbctatar.ckbalcao and ngt14_relcta.cknumcta= crt07_tbctatar.cknumcta</t>
  </si>
  <si>
    <t>prt01_propostas</t>
  </si>
  <si>
    <t xml:space="preserve">prt01_propostas.zpropost = ngt14_relcta.zplanprop  </t>
  </si>
  <si>
    <t>prt20_prcart</t>
  </si>
  <si>
    <t>prt20_prcart.ckbalcao = crt07_tbctatar.ckbalcao and prt20_prcart.cknumcta= crt07_tbctatar.cknumcta</t>
  </si>
  <si>
    <t xml:space="preserve">prt01_propostas.zpropost = prt20_prcart.zpropost </t>
  </si>
  <si>
    <t>tct09_opercn.cmoedalf = substring( tat91_tabelas.tayd91c0_nelemc01, 1, 3 )</t>
  </si>
  <si>
    <t>tct09_opercn.zoper = tct01_posdivid.zoper and tct09_opercn.zanoproc = tct01_posdivid.zanoproc and tct09_opercn.zproc = tct01_posdivid.zproc</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</si>
  <si>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</si>
  <si>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</si>
  <si>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</si>
  <si>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</si>
  <si>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crt09.numctatar = crt08.numctatar and crt09.codent = crt08.codent and crt09.numbencta = crt08.numbencta</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</si>
  <si>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</si>
  <si>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</si>
  <si>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</si>
  <si>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</si>
  <si>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</si>
  <si>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</si>
  <si>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curated_internal_eurofac</t>
  </si>
  <si>
    <t>eur_processo</t>
  </si>
  <si>
    <t>eur_interven</t>
  </si>
  <si>
    <t xml:space="preserve">eur_processo.pro_nrproces = eur_interven.int_nrproces </t>
  </si>
  <si>
    <t>eur_histinte</t>
  </si>
  <si>
    <t>eur_processo.pro_nrproces = eur_histinte.hin_nrproces</t>
  </si>
  <si>
    <t>eur_linindex</t>
  </si>
  <si>
    <t>eur_indexant</t>
  </si>
  <si>
    <t>eur_indexant.inx_cdindexa = eur_linindex.lix_cdindexa</t>
  </si>
  <si>
    <t>eur_credito</t>
  </si>
  <si>
    <t>eur_histinte.hin_nrproces = eur_credito.crd_nrproces</t>
  </si>
  <si>
    <t>eur_linindex.lix_cdindexa = eur_histinte.hin_cdindadi AND (SUBSTRING(eur_linindex.lix_dtinicio, 1, 10) &lt;= eur_credito.crd_dtemissa OR eur_linindex.lix_cdindexa = 9999</t>
  </si>
  <si>
    <t>eur_interven.int_nrproces = eur_credito.crd_nrproces</t>
  </si>
  <si>
    <t>eur_linindex ( INIT )</t>
  </si>
  <si>
    <t>eur_linindex.lix_cdindexa = eur_interven.int_cdindadi AND ( SUBSTRING(eur_linindex.lix_dtinicio, 1, 10) &lt;= eur_credito.crd_dtemissa OR eur_linindex.lix_cdindexa = 9999</t>
  </si>
  <si>
    <t>eur_linindex (CURR)</t>
  </si>
  <si>
    <t xml:space="preserve">eur_linindex.lix_cdindexa = eur_interven.int_cdindadi </t>
  </si>
  <si>
    <t xml:space="preserve">eur_linadian </t>
  </si>
  <si>
    <t>eur_adiantam</t>
  </si>
  <si>
    <t>eur_adiantam.adi_nradiant = eur_linadian.lad_nradiant</t>
  </si>
  <si>
    <t>eur_prvclicrd_bop_new</t>
  </si>
  <si>
    <t>eur_credito.crd_nrproces = eur_prvclicrd_bop_new.pcc_nrproces 
    AND (
      ( eur_credito.crd_nrintint = eur_prvclicrd_bop_new.pcc_nrintint AND eur_credito.crd_tprecurs = 'S')
      OR 
      (1 = eur_prvclicrd_bop_new.pcc_nrintint AND eur_credito.crd_tprecurs != 'S')
    )
    AND eur_credito.crd_nrintcre = eur_prvclicrd_bop_new.pcc_nrintcre</t>
  </si>
  <si>
    <t>eur_credito.crd_nrintcre = eur_linadian.lad_nrintcre</t>
  </si>
  <si>
    <t>CONCAT('0000', SUBSTRING( eur_credito.crd_nrproces, 3, 11), '00' , eur_credito.crd_nrintcre) = factoring_universe.contract_id AND factoring_universe.contract_alive_indicator = 1 AND factoring_universe.source_code = 'FA' AND factoring_universe.bank_id = ''</t>
  </si>
  <si>
    <t>eur_interven.int_nrproces = eur_processo.eur_nrproces</t>
  </si>
  <si>
    <t>eur_credito.crd_nrproces = eur_processo.eur_nrproces</t>
  </si>
  <si>
    <t>tat91_tabelas_new</t>
  </si>
  <si>
    <t>SUBSTRING( tat91_tabelas_new.tayd91c0_nelemc01, 1, 3) = eur_credito.crd_cdmoeda</t>
  </si>
  <si>
    <t>SUBSTRING( tat91_tabelas_new.tayd91c0_nelemc01, 1, 3) = eur_interven.int_cdmoeda</t>
  </si>
  <si>
    <t>eur_potencial_crc</t>
  </si>
  <si>
    <t>eur_interven.int_nrproces = eur_potencial_crc.pot_nrproces AND eur_interven.int_nrintint = eur_potencial_crc.pot_nrintint</t>
  </si>
  <si>
    <t>factoring_universe (ADE)</t>
  </si>
  <si>
    <t>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 factoring_universe.contract_id AND factoring_universe.contract_alive_indicator = 1 AND factoring_universe.source_code = 'FA' AND factoring_universe.bank_id = ''</t>
  </si>
  <si>
    <t>factoring_universe (DEV)</t>
  </si>
  <si>
    <t>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 factoring_universe.contract_id AND factoring_universe.contract_alive_indicator = 1 AND factoring_universe.source_code = 'FA' AND factoring_universe.bank_id = ''</t>
  </si>
  <si>
    <t>CONCAT( interface_dct01.dcyr8101_ckbalcao, interface_dct01.dcyr8101_cknumcta, '000000000000000') = factoring_universe.contract_id AND factoring_universe.contract_alive_indicator = 1 AND factoring_universe.source_code = 'DC' AND factoring_universe.bank_id = ''</t>
  </si>
  <si>
    <t>CONCAT( tct09_opercn.ckbalcao, tct09_opercn.cknumcta , '000000000000000') = factoring_universe.contract_id AND factoring_universe.contract_alive_indicator = 1 AND factoring_universe.source_code = 'TC' AND factoring_universe.bank_id = ''</t>
  </si>
  <si>
    <t>tct09_opercn.zanoproc = tct01_posdivid.zanoproc AND tct09_opercn.zproc = tct01_posdivid.zproc AND tct09_opercn.zoper = tct01_posdivid.zoper</t>
  </si>
  <si>
    <t>SUBSTRING( tat91_tabelas_new.tayd91c0_nelemc01, 1, 3) = tct09_opercn.cmoedalf</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</si>
  <si>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</si>
  <si>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</si>
  <si>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curated_internal_mainframe_lease</t>
  </si>
  <si>
    <t>contracts_full</t>
  </si>
  <si>
    <t>contracts_full.bank_id = leasing_universe.bank_id AND contracts_full.contract_id = leasing_universe.contract_id
    AND contracts_full.source_code = leasing_universe.source_code
    AND contracts_full.data_date_part = leasing_universe.data_date_part
    AND leasing_universe.contract_alive_indicator = 1</t>
  </si>
  <si>
    <t>contracts_full.zpropost = prt01_propostas.zpropost</t>
  </si>
  <si>
    <t>curated_internal_mainframe_emprestimos</t>
  </si>
  <si>
    <t>ept99_movimento</t>
  </si>
  <si>
    <t>coint_ctoloc_p.e2616_idcent_l = ept99_movimento.ckbalcao and coint_ctoloc_p.e2616_idcont_l = ept99_movimento.cknumcta</t>
  </si>
  <si>
    <t>prt03_prmulti</t>
  </si>
  <si>
    <t>coint_ctoloc_p.e2616_idcent_l = prt03_prmulti.ckbalcao and coint_ctoloc_p.e2616_idcont_l = prt03_prmulti.cknumcta</t>
  </si>
  <si>
    <t>coint_ctoloc_p.e2616_idcent_l =  tct09_opercn.ckbalcao and coint_ctoloc_p.e2616_idcont_l = tct09_opercn.cknumcta</t>
  </si>
  <si>
    <t>contbach_prestm</t>
  </si>
  <si>
    <t xml:space="preserve">coint_ctoloc_p.e2616_idempr = contbach_prestm.ctp_idempr and coint_ctoloc_p.e2616_idcent = contbach_prestm.ctp_idcent  and coint_ctoloc_p.e2616_idprod = contbach_prestm.ctp_idprod and coint_ctoloc_p.e2616_idcontr = contbach_prestm.ctp_idcontr </t>
  </si>
  <si>
    <t>cuotas_prtm</t>
  </si>
  <si>
    <t>cuotas_prtm.part_idcent = contbach_prestm.ctp_idcent and cuotas_prtm.part_idempr = contbach_prestm.ctp_idempr and cuotas_prtm.part_idprod = contbach_prestm.ctp_idprod and cuotas_prtm.part_idcontr = contbach_prestm.ctp_idcontr</t>
  </si>
  <si>
    <t>eh_ctr_onl_posi</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</si>
  <si>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t>
  </si>
  <si>
    <t>eh_det_rec_cob</t>
  </si>
  <si>
    <t>eh_det_rec_cob.e4279_idcent = contbach_prestm.ctp_idcent and eh_det_rec_cob.e4279_codprod = contbach_prestm.ctp_idprod and eh_det_rec_cob.e4279_idcontr = contbach_prestm.ctp_idcontr and eh_det_rec_cob.e4279_idempr = contbach_prestm.ctp_idempr</t>
  </si>
  <si>
    <t>eh_oper_contr</t>
  </si>
  <si>
    <t>eh_oper_contr.eh10_idcent = contbach_prestm.ctp_idcent and eh_oper_contr.eh10_idempr = contbach_prestm.ctp_idempr and eh_oper_contr.eh10_codprod = contbach_prestm.ctp_idprod and eh_oper_contr.eh10_idcontr = contbach_prestm.ctp_idcontr</t>
  </si>
  <si>
    <t>prepart_prestam</t>
  </si>
  <si>
    <t xml:space="preserve">prepart_prestam.preso_cdempres = contbach_prestm.ctp_idempr and prepart_prestam.preso_cdcentr = contbach_prestm.ctp_idcent and prepart_prestam.preso_idprod = contbach.ctp_idprod and prepart_prestam.preso_idcontr = contbach_prestm.ctp_idcontr  </t>
  </si>
  <si>
    <t>rel_contratos.rcc_idempr = contbach_prestm.ctp_idempr and rel_cont.rcc_idcent = contbach_prestm.ctp_idcent and rel_contratos.rcc_idprod = contbach.ctp_idprod rel_contratos.rcc_idcontr = contbach_prestm.ctp_idcontr</t>
  </si>
  <si>
    <t>tat21_moeda.codmon = contbach_prestm.ctp_codmonbe</t>
  </si>
  <si>
    <t>tat22_produto.codprod = contbach_prestm.ctp_idprod and tat22_produto.codsprod = contbach_prestm.ctp_idstipro and tat22_produto.coestref = contbach_prestm.ctp_coestref</t>
  </si>
  <si>
    <t>eh_rel_rec_oper</t>
  </si>
  <si>
    <t>eh_oper_contr.eh10_codprod = eh_rel_rec_oper.e4282_codprod and eh_oper_contr.eh10_idcent = eh_rel_rec_oper.e4282_idcent and eh_oper_contr.eh10_idempr = eh_rel_rec_oper.e4282_idempr and eh_oper_contr.eh10_idcontr = eh_rel_rec_oper.e4282_idcontr and eh_oper_contr.eh10_hnuopem = eh_rel_rec_oper.e4282_hnuopem</t>
  </si>
  <si>
    <t>ept01_contas</t>
  </si>
  <si>
    <t>ept03_liqcta</t>
  </si>
  <si>
    <t>ept01_contas.ckbalcao = ept03_liqcta.ckbalcao and ept01_contas.cknumcta = ept03_liqcta.cknumcta</t>
  </si>
  <si>
    <t>ept04_agendacta</t>
  </si>
  <si>
    <t>eptt01_contas.ckbalcao = ept04_agendacta.ckbalcao and eptt01_contas.cknumcta = ept04_agendacta.cknumcta</t>
  </si>
  <si>
    <t>ept06_quotas</t>
  </si>
  <si>
    <t>ept01_contas.ckbalcao = ept06_quotas.ckbalcao and ept01_contas.cknumcta = ept06_quotas.cknumcta</t>
  </si>
  <si>
    <t>ept07_movcta</t>
  </si>
  <si>
    <t>ept01_contas.ckbalcao = ept07_movcta.ckbalcao and ept01_contas.cknumcta = ept07_movcta.cknumcta</t>
  </si>
  <si>
    <t>ept08_prestacoes</t>
  </si>
  <si>
    <t>ept01_contas.ckbalcao = ept08_prestacoes.ckbalcao and ept01_contas.cknumcta = ept08_prestacoes.cknumcta</t>
  </si>
  <si>
    <t>ept10_ctabonif</t>
  </si>
  <si>
    <t>ept01_contas.ckbalcao = ept10_ctabonif.ckbalcao and ept01_contas.cknumcta = ept10_ctabonif.cknumcta</t>
  </si>
  <si>
    <t>ept01_contas.ckbalcao = prt03_prmulti.ckbalcao and ept01_contas.cknumcta = prt03_prmulti.cknumcta</t>
  </si>
  <si>
    <t>ept01_contas.ckbalcao = tct09_opercn.ckbalcao and ept01_contas.cknumcta = tct09_opercn.cknumcta</t>
  </si>
  <si>
    <t>tat29_indexant</t>
  </si>
  <si>
    <t>tat29_indexant.cotrefer = prepart_prestam.preso_cotrefer</t>
  </si>
  <si>
    <t xml:space="preserve">prt01_propostas.zpropost = prt03_prmulti.zpropost  </t>
  </si>
  <si>
    <t>eh_det_rec_cob (AMT)</t>
  </si>
  <si>
    <t>eh_det_rec_cob.e4279_idcent = eh_det_rec_cob.e4279_idcent and eh_det_rec_cob.e4279_codprod = eh_det_rec_cob.e4279_codprod and eh_det_rec_cob.e4279_idcontr = eh_det_rec_cob.e4279_idcontr and eh_det_rec_cob.e4279_idempr = eh_det_rec_cob.e4279_idempr and eh_det_rec_cob.e4279_fecalta = eh_det_rec_cob.e4279_fecalta and eh_det_rec_cob.e4279_secualta = eh_det_rec_cob.e4279_secualta</t>
  </si>
  <si>
    <t xml:space="preserve">coint_ctoloc_p.e2616_idempr = rel_contratos.rcc_idemprre and coint_ctoloc_p.e2616_idcent = rel_contratos.rcc_idcentre and coint_ctoloc_p.e2616_idprod = rel_contratos.rcc_idprodre and coint_ctoloc_p.e2616_idcontr = rel_contratos.rcc_idcontrr </t>
  </si>
  <si>
    <t>tct09_opercn.zanoproc = tct01_posdivid.zanoproc and tct09_opercn.zoper = tct01_posdivid.zoper and tct09_opercn.zproc = tct01_posdivid.zproc</t>
  </si>
  <si>
    <t xml:space="preserve">coint_ctoloc_p </t>
  </si>
  <si>
    <t>coint_ctoloc_p .e2616_idcent_l = interface_dct01.dcyr8101_ckbalcao and coint_ctoloc_p .e2616_idcont_l = interface_dct01.dcyr8101_cknumcta</t>
  </si>
  <si>
    <t>rel_contratos.rcc_idempr = coint_ctoloc_p .e2616_idempr and rel_contratos.rcc_idcent = coint_ctoloc_p .e2616_idcent and rel_contratos.rcc_idprod = coint_ctoloc_p .e2616_idprod and rel_contratos.rcc_idcontr = coint_ctoloc_p .e2616_idcontr</t>
  </si>
  <si>
    <t>curated_internal_mainframe_depositosprazo</t>
  </si>
  <si>
    <t>dp_dpyr0550_depositos</t>
  </si>
  <si>
    <t>dp_dpyr0560_saldos_depositos</t>
  </si>
  <si>
    <t>dp_dpyr0550_depositos.ckbalcao = dp_dpyr0560_saldos_depositos.ckbalcao and dp_dpyr0550_depositos.cknumcta = dp_dpyr0560_saldos_depositos.cknumcta and dp_dpyr0550_depositos.zdeposit = dp_dpyr0560_saldos_depositos.zdeposit  and dp_dpyr0550_depositos.dabertur = dp_dpyr0560_saldos_depositos.dabertur</t>
  </si>
  <si>
    <t>dp_dpyr0550_depositos.ckbalcao = coint_ctoloc_p.e2616_idcent_l and dp_dpyr0550_depositos.cknumcta = coint_ctoloc_p.e2616_idcont_l</t>
  </si>
  <si>
    <t>dp_dpyr0580_movimentos</t>
  </si>
  <si>
    <t>dp_dpyr0550_depositos.ckbalcao = dp_dpyr0580_movimentos.ckbalcao and dp_dpyr0550_depositos.cknumcta = dp_dpyr0580_movimentos.cknumcta and dp_dpyr0550_depositos.zdeposit = dp_dpyr0580_movimentos.zdeposit and dp_dpyr0550_depositos.dabertur = dp_dpyr0580_movimentos.dabertur</t>
  </si>
  <si>
    <t>dp_dpyr0580_movimentos.canal = tat41_canal.cdcanal</t>
  </si>
  <si>
    <t>curated_internal_mainframe_estrangeiro</t>
  </si>
  <si>
    <t>est54_remimp</t>
  </si>
  <si>
    <t>tat91_tabelas _new (OPENING CHANNEL CODE)</t>
  </si>
  <si>
    <t>TRIM( tat91_tabelas_new.tayd91c0_celemtab ) = est54_remimp.esyd54c0_ckbalcao</t>
  </si>
  <si>
    <t>est51_inf_det</t>
  </si>
  <si>
    <t xml:space="preserve"> remimp.esyd54c0_ckrefest = est51_inf_det.ckrefest</t>
  </si>
  <si>
    <t>tat91_tabelas_new (CURRENCY CODE)</t>
  </si>
  <si>
    <t>est54_remimp.esyd54c0_cmoeda = TRIM(tat91_tabelas_new.tayd91c0_nelemc01)</t>
  </si>
  <si>
    <t>' = trade_finance_universe.bank_id AND CONCAT(est54_remimp.esyd54c0_ckbalcao, est54_remimp.esyd54c0_cknumcta, est54_remimp.esyd54c0_ckrefest, '0') = universe.contract_id
    AND 1 = trade_finance_universe.contract_alive_indicator
    AND 'RM' = trade_finance_universe.source_code</t>
  </si>
  <si>
    <t>est78_remexp</t>
  </si>
  <si>
    <t>est78_remexp (INIT)</t>
  </si>
  <si>
    <t>est78_remexp.ckrefest = est78_remexp ( INIT ).ckrefest</t>
  </si>
  <si>
    <t>TRIM( tat91_tabelas_new.tayd91c0_celemtab ) = est78_remexp.ckbalcao</t>
  </si>
  <si>
    <t>est78_remexp.cmoeda = TRIM( tat91_tabelas_new.tayd91c0_nelemc01 )</t>
  </si>
  <si>
    <t xml:space="preserve"> est78_remexp.ckrefest = est51_inf_det.ckrefest</t>
  </si>
  <si>
    <t>"" = trade_finance_universe.bank_id AND CONCAT(est78_remexp.ckbalcao, est78_remexp.cknumcta, est78_remexp.ckrefest, '0') = universe.contract_id AND 1 = trade_finance_universe.contract_alive_indicator AND 'RX' = trade_finance_universe.source_code</t>
  </si>
  <si>
    <t>est85_creimp</t>
  </si>
  <si>
    <t>est85_creimp (INIT)</t>
  </si>
  <si>
    <t>est85_creimp.ckrefest = est85_creimp ( INIT ).ckrefest</t>
  </si>
  <si>
    <t>TRIM( tat91_tabelas_new.tayd91c0_celemtab ) = est85_creimp.ckbalcao</t>
  </si>
  <si>
    <t>est85_creimp.cmoeda = TRIM( tat91_tabelas_new.tayd91c0_nelemc01 )</t>
  </si>
  <si>
    <t>est48_creswift</t>
  </si>
  <si>
    <t>est85_creimp.ckrefest = est48_creswift.ckrefest</t>
  </si>
  <si>
    <t>"" = trade_finance_universe.bank_id AND CONCAT(est85_creimp.ckbalcao, est85_creimp.cknumcta, est85_creimp.ckrefest, '0') = trade_finance_universe.contract_id AND 1 = trade_finance_universe.contract_alive_indicator AND 'MC' = trade_finance_universe.source_code</t>
  </si>
  <si>
    <t>est89_creexp</t>
  </si>
  <si>
    <t>est89_creexp (INIT)</t>
  </si>
  <si>
    <t>est89_creexp.ckrefest = est89_creexp ( INIT ).ckrefest</t>
  </si>
  <si>
    <t>tat91_tabelas_new.tayd91c0_celemtab = est89_creexp .ckbalcao</t>
  </si>
  <si>
    <t>est89_creexp .cmoeda = TRIM( tat91_tabelas_new.tayd91c0_nelemc01 )</t>
  </si>
  <si>
    <t>est89_creexp .ckrefest = est48_creswift.ckrefest</t>
  </si>
  <si>
    <t>"" = trade_finance_universe.bank_id AND CONCAT(est89_creexp .ckbalcao, est89_creexp .cknumcta, est89_creexp .ckrefest, '0') = trade_finance_universe.contract_id AND 1 = trade_finance_universe.contract_alive_indicator AND 'XC' = trade_finance_universe.source_code</t>
  </si>
  <si>
    <t>"" = trade_finance_universe.bank_id AND CONCAT(interface_dct01.dcyr8101_ckbalcao, interface_dct01.dcyr8101_cknumcta, '000000000000000') = trade_finance_universe.contract_id AND 1 = trade_finance_universe.contract_alive_indicator AND 'DC' = trade_finance_universe.source_code</t>
  </si>
  <si>
    <t>"" = trade_finance_universe.bank_id AND CONCAT(tct09_opercn.ckbalcao, tct09_opercn.cknumcta, '000000000000000') = trade_finance_universe.contract_id AND 1 = trade_finance_universe.contract_alive_indicator AND 'TC' = trade_finance_universe.source_code</t>
  </si>
  <si>
    <t>tct09_opercn (VARIABLE)</t>
  </si>
  <si>
    <t>tct09_opercn (STATIC)</t>
  </si>
  <si>
    <t>tct09_opercn (VARIABLE).ckbalcao = tct09_opercn (VARIABLE).ckbalcao AND tct09_opercn (VARIABLE).cknumcta = tct09_opercn (VARIABLE).cknumcta AND MAX( tct09_opercn (VARIABLE).zdeposit ) = tct09_opercn (VARIABLE).zdeposit</t>
  </si>
  <si>
    <t>tct09_opercn.cmoedalf = TRIM( tat91_tabelas_new.tayd91c0_nelemc01 )</t>
  </si>
  <si>
    <t>' = trade_finance_universe.bank_id AND CONCAT(est54_remimp.esyd54c0_ckbalcao, est54_remimp.esyd54c0_cknumcta, est54_remimp.esyd54c0_ckrefest, '0') = trade_finance_universe.contract_id AND 1 = trade_finance_universe.contract_alive_indicator AND 'RM' = trade_finance_universe.source_code</t>
  </si>
  <si>
    <t>"" = trade_finance_universe.bank_id AND CONCAT(est78_remexp.ckbalcao, est78_remexp.cknumcta, est78_remexp.ckrefest, '0') = trade_finance_universe.contract_id AND 1 = trade_finance_universe.contract_alive_indicator AND 'RX' = trade_finance_universe.source_code</t>
  </si>
  <si>
    <t>est85_creimp (U Regular)</t>
  </si>
  <si>
    <t>est85_creimp (U UPA)</t>
  </si>
  <si>
    <t>"" = trade_finance_universe.bank_id AND CONCAT(est85_creimp.ckbalcao, est85_creimp.cknumcta, est85_creimp.ckrefest, '9') = trade_finance_universe.contract_id AND 1 = trade_finance_universe.contract_alive_indicator AND 'MC' = trade_finance_universe.source_code</t>
  </si>
  <si>
    <t>est85_creimp (U UPA Patrimonial)</t>
  </si>
  <si>
    <t>"" = trade_finance_universe.bank_id AND CONCAT(est85_creimp.ckbalcao, est85_creimp.cknumcta, est85_creimp.ckrefest, est87_cdneg.esyd87c1_zseqneg) = trade_finance_universe.contract_id AND 1 = trade_finance_universe.contract_alive_indicator AND 'MC' = trade_finance_universe.source_code</t>
  </si>
  <si>
    <t>"" = trade_finance_universe.bank_id AND CONCAT(est89_creexp.ckbalcao, est89_creexp.cknumcta, est89_creexp.ckrefest, '0') = trade_finance_universe.contract_id AND 1 = trade_finance_universe.contract_alive_indicator AND 'XC' = trade_finance_universe.source_code</t>
  </si>
  <si>
    <t>trade_finance_universe.contract_id = CONCAT(interface_dct01.dcyr8101_ckbalcao, interface_dct01.dcyr8101_cknumcta, '000000000000000') AND trade_finance_universe.bank_id = '' AND 1 = trade_finance_universe.contract_alive_indicator AND 'DC' = trade_finance_universe.source_code</t>
  </si>
  <si>
    <t>trade_finance_universe.contract_id = CONCAT(tct09_opercn.ckbalcao, tct09_opercn.cknumcta, '000000000000000') AND trade_finance_universe.bank_id = '' AND 1 = trade_finance_universe.contract_alive_indicator AND 'TC' = trade_finance_universe.source_code</t>
  </si>
  <si>
    <t>est87_cdneg</t>
  </si>
  <si>
    <t>est85_creimp.ckrefest = est87_cdneg.esyd87c1_ckrefest AND 0 = est87_cdneg.esyd87c1_zseqliq</t>
  </si>
  <si>
    <t>NOME FÍSICO BD FONTE</t>
  </si>
  <si>
    <t>NOME FÍSICO TABELA FONTE</t>
  </si>
  <si>
    <t>REGRA DE ATAQUE</t>
  </si>
  <si>
    <t>DESCRIÇÃO ESTADOS CONSIDERADOS</t>
  </si>
  <si>
    <t>DESCRIÇÃO ESTADOS DESCONSIDERADOS</t>
  </si>
  <si>
    <t>bg_contr_batch.cdsituac = 'NR' and bg_contr_batch.codsprod != '550'</t>
  </si>
  <si>
    <t>NR - NORMAL</t>
  </si>
  <si>
    <t xml:space="preserve">CA - CANCELADA
TR - TRANSFERIDA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</si>
  <si>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</si>
  <si>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</si>
  <si>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</si>
  <si>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</si>
  <si>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</si>
  <si>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</si>
  <si>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contracts.statusid in ( 5, 6 )</t>
  </si>
  <si>
    <t>5 - ATIVO
6 - DENUNCIADO</t>
  </si>
  <si>
    <t>1 - PENDENTE DOCUMENTACAO
2 - PENDENTE INTERVENIENTES
3 - PENDENTE FORMALIZACAO
4 - CESSADO</t>
  </si>
  <si>
    <t>bill_promissory_note_contract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</si>
  <si>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</si>
  <si>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</si>
  <si>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</si>
  <si>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</si>
  <si>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eft01_contefto.csitcef = 0</t>
  </si>
  <si>
    <t>0 - ABERTA</t>
  </si>
  <si>
    <t>1 - BLOQUEADA A CREDITO
4 - CANCELADA</t>
  </si>
  <si>
    <t>bill_promissory_note_process</t>
  </si>
  <si>
    <t>fct03_factura.csitfct in ( 'I', 'S', 'K', 'A' )</t>
  </si>
  <si>
    <t>I - EM INCUMPRIMENTO
S - SUSPENSA
K - EM COBRANCA (CONTA CORRENTE)
A - ACTIVA</t>
  </si>
  <si>
    <t>C - CANCELADA
E - ERRADA
T - TRATADA</t>
  </si>
  <si>
    <t>fct01_ctaconf.csitcta = '0'</t>
  </si>
  <si>
    <t>1 - SEM SALDO SUFICIENTE
2 - SITUACAO DA CONTA ERRADA
3 - BLOQUEADA
4 - CANCELADA
9 - CRIADA</t>
  </si>
  <si>
    <t>tct09_opercn.isituac = 1 and tct09_opercn.ckprodut = '029' and tct09_opercn.cksubpro = '287'</t>
  </si>
  <si>
    <t>tct01_posdivid.iactivo = 'S'</t>
  </si>
  <si>
    <t>interface_dct01.dcyr8101_csitcta IN ( '0', '1', '2', '3', '5', '6', '7', '8', '9' ) and interface_dct01.dcyr8101_dinicont = '0001-01-01' and interface_dct01.dcyr8101_ckprodut = '029' and interface_dct01.dcyr8101_cksubpro = '287'</t>
  </si>
  <si>
    <t>cl001_interv_cto.dfim_relacao = '9999-12-31'</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</si>
  <si>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</si>
  <si>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</si>
  <si>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</si>
  <si>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crt07_tbctatar.fecbaja = 0 and tat91_tabelas.tayd91c0_ctabela = '593' and ( substring( tat91_tabelas.tayd91c0_nelemc08, 1, 1 ) = '1' or substring( tat91_tabelas.tayd91c0_nelemc08, 1, 1 ) = '3'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</si>
  <si>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</si>
  <si>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
or tct09_opercn.isituac = 1 and ( crt07_tbctatar.ckbalcao and crt07_tbctatar.cknumcta exists in (tct09_opern.ckbalcao and tct09_opern.cknumcta )</t>
  </si>
  <si>
    <t>crt63_adesecl.cestado = 'C'</t>
  </si>
  <si>
    <t>C - CRIADO</t>
  </si>
  <si>
    <t>A - AGENDADO
L - LIQUIDADO
N - CANCELADO
P - PAGO
R - INCUMPRIMENTO
S - SUBSTÍTUIDO
X - PARA CANCELAR PLANO
Y - PLANO INDEVIDAMENTE CRIADO</t>
  </si>
  <si>
    <t xml:space="preserve">tct09_opercn.isituac = 1 and tct09_opercn.ckprodut = '029' and tct09_opercn.cksubpro = '286' </t>
  </si>
  <si>
    <t xml:space="preserve">dcyr8101_csitcta IN ( '0', '1', '2', '3', '5', '6', '7', '8', '9' ) and interface_dct01.dcyr8101_ckprodut = '029' and interface_dct01.dcyr8101_cksubpro = '213' </t>
  </si>
  <si>
    <t>interface_dct01.dcyr8101_csitcta IN ( '0', '1', '2', '3', '5', '6', '7', '8', '9' ) and interface_dct01.dcyr8101_cfamilia in ( 'ME', 'MN )</t>
  </si>
  <si>
    <t>0 - CONTA ABERTA
1 - CONTA BLOQUEADA DEBITO
2 - CONTA BLOQUEADA CREDITO
3 - CONTA BLOQUEADA
7 - CONTA EM CREDITO VENCIDO
8 - CONTA EM CONTENCIOSO
5 - CONTA COM PEDIDO CANCELAMENTO SEM DESTINO
6 - CONTA COM PEDIDO CANCELAMENTO COM DESTINO
9 - CONTA PRE-ABERTA
ME - D.O. MOEDA ESTRANGEIRA
MN - D.O. MOEDA NACIONAL</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</si>
  <si>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</si>
  <si>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crt07_tbctatar.fecbaja = '0'</t>
  </si>
  <si>
    <t>N/A</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</si>
  <si>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</si>
  <si>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</si>
  <si>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eur_processo.pro_cdfaspro = '05'</t>
  </si>
  <si>
    <t>05 - CONTRATO</t>
  </si>
  <si>
    <t>01 - OPORTUNIDADE
02 - ANÁLISE
03 - PROPOSTA
04- ASSINATURA
06 - ARQUIVO</t>
  </si>
  <si>
    <t>common_contracts_incomesavingsaccounts</t>
  </si>
  <si>
    <t>interface_dct01.dcyr8101_csitcta in ('0', '1', '2', '3', '5', '6', '7', '8', '9')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</si>
  <si>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</si>
  <si>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</si>
  <si>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contracts_full.contract_status in ( 1, 2 ) or ( contracts_full.contract_status not in ( 1, 2 ) and ( contracts_full.overdue_capital &gt; 0 or contracts_full.overdue_taxes &gt;  0 or contracts_full.overdue_expenses &gt; 0 or contracts_full.overdue_interest &gt; 0 ) )</t>
  </si>
  <si>
    <t>1	ACTIVO
2	ACTIVO COM ALTERACOES</t>
  </si>
  <si>
    <t>0	POR ATIVAR
3	RESCINDIDO ANTECIPADAMENTE
4	RESCINDIDO POR INCUMPRIMENTO
5	TERMINADO
6	CANCELADO</t>
  </si>
  <si>
    <t>ept01_contas.csitcta in ( 'FO', 'SU', 'ES' ) and csitcta != 'EH'</t>
  </si>
  <si>
    <t>ES - ESTORNADA
FO - FORMALIZADA
SU - SUSPENSA</t>
  </si>
  <si>
    <t>AN - ANULADA
AP - APROVADA
CA - CANCELADA
CN - LIQUIDADA PARA CONTENCIOSO
EX - LIQUIDADO EM CONTENCIOSO
LI - LIQUIDADA
RE - RECUSADA
TR - TRAMITE</t>
  </si>
  <si>
    <t>contbach_prestm.ctp_cotsitco = 0</t>
  </si>
  <si>
    <t>0 - Ativo</t>
  </si>
  <si>
    <t>7 - Cancelada
C - Pago</t>
  </si>
  <si>
    <t>interface_dct01.dcyr8101_csitcta IN ( '0', '1', '2', '3', '5', '6', '7', '8', '9' ) and interface_dct01.dcyr8101_cfamilia in ( 'CC' )</t>
  </si>
  <si>
    <t>0 - CONTA ABERTA
1 - CONTA BLOQUEADA DEBITO
2 - CONTA BLOQUEADA CREDITO
3 - CONTA BLOQUEADA
7 - CONTA EM CREDITO VENCIDO
8 - CONTA EM CONTENCIOSO
5 - CONTA COM PEDIDO CANCELAMENTO SEM DESTINO
6 - CONTA COM PEDIDO CANCELAMENTO COM DESTINO
9 - CONTA PRE-ABERTA
CC - CONTAS CORRENTES</t>
  </si>
  <si>
    <t>4 - CONTA CANCELADA
AF - APLICACAO FINANCEIRA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</si>
  <si>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interface_dct01.dcyr8101_csitcta IN ( '0', '1', '2', '3', '5', '6', '7', '8', '9' ) and interface_dct01.dcyr8101_cfamilia in ( 'NT' )</t>
  </si>
  <si>
    <t>0 - CONTA ABERTA
1 - CONTA BLOQUEADA DEBITO
2 - CONTA BLOQUEADA CREDITO
3 - CONTA BLOQUEADA
7 - CONTA EM CREDITO VENCIDO
8 - CONTA EM CONTENCIOSO
5 - CONTA COM PEDIDO CANCELAMENTO SEM DESTINO
6 - CONTA COM PEDIDO CANCELAMENTO COM DESTINO
9 - CONTA PRE-ABERTA
NT - CONTAS NOSTRO</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</si>
  <si>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</si>
  <si>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</si>
  <si>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</si>
  <si>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dp_dpyr0550_depositos.csitcta = 'NR'</t>
  </si>
  <si>
    <t>AN - ANULADO
CA - CANCELADO</t>
  </si>
  <si>
    <t>max( est54_remimp.esyd54c0_zseqmov ) and est54_remimp.esyd54c0_montabe &gt; 0</t>
  </si>
  <si>
    <t>est78_remexp.zseqrem = '999' and est78_remexp.montabe &gt; 0</t>
  </si>
  <si>
    <t>est85_creimp.zseqcre = '999' and est85_creimp.montab &gt; 0</t>
  </si>
  <si>
    <t xml:space="preserve">est89_creexp.zseqcre = '99' and est89_creexp.montab &gt; 0 </t>
  </si>
  <si>
    <t>interface_dct01.dcyr8101_csitcta in ('0', '1', '2', '3', '5', '6', '7', '8', '9') and interface_dct01.dcyr8101_cfamilia in ( 'IN', 'NC' )</t>
  </si>
  <si>
    <t>0 - CONTA ABERTA
1 - CONTA BLOQUEADA DEBITO
2 - CONTA BLOQUEADA CREDITO
3 - CONTA BLOQUEADA
7 - CONTA EM CREDITO VENCIDO
8 - CONTA EM CONTENCIOSO
5 - CONTA COM PEDIDO CANCELAMENTO SEM DESTINO
6 - CONTA COM PEDIDO CANCELAMENTO COM DESTINO
9 - CONTA PRE-ABERTA
IN - CONTAS INTERNAS
NC - CONTAS INTERNAS NÃO CLIENTES</t>
  </si>
  <si>
    <t>4 - CONTA CANCELADA
AF - APLICACAO FINANCEIRA
CC - CONTAS CORRENTES
ME - D.O. MOEDA ESTRANGEIRA
MN - D.O. MOEDA NACIONAL
FI - FINANCIAMENTOS
CR - CRP - RENDIMENTO POUPANÇA
FT0 - REMANESCENTE DP - 100%
FT1 - REMANESCENTE DE D.PRAZO FINANCEIRO
FT2 - REMANESCENTE D.PRAZO FINANCEIRO TIL
FT3 - DEP.SEMESTRAL ESPECIAL
FT4 - REMANESCENTE DEPOSITO MAIS
FT5 - REMANESCENTE DEPOSITO MAIS
FU - FUNDOS DE INVESTIMENTOS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</si>
  <si>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</si>
  <si>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</si>
  <si>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</si>
  <si>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</si>
  <si>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</si>
  <si>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</si>
  <si>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</si>
  <si>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</si>
  <si>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</si>
  <si>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</si>
  <si>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</si>
  <si>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</si>
  <si>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</si>
  <si>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</si>
  <si>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</si>
  <si>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</si>
  <si>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</si>
  <si>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</si>
  <si>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</si>
  <si>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</si>
  <si>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</si>
  <si>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</si>
  <si>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</si>
  <si>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</si>
  <si>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</si>
  <si>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</si>
  <si>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</si>
  <si>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</si>
  <si>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</si>
  <si>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</si>
  <si>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</si>
  <si>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</si>
  <si>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</si>
  <si>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</si>
  <si>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</si>
  <si>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</si>
  <si>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</si>
  <si>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</si>
  <si>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</si>
  <si>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</si>
  <si>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</si>
  <si>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</si>
  <si>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</si>
  <si>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</si>
  <si>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</si>
  <si>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</si>
  <si>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</si>
  <si>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</si>
  <si>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</si>
  <si>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</si>
  <si>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</si>
  <si>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</si>
  <si>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</si>
  <si>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</si>
  <si>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</si>
  <si>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2024-08-19T10:42:55.520</t>
  </si>
  <si>
    <t>null</t>
  </si>
  <si>
    <t>2024-08-19T10:43:00.319</t>
  </si>
  <si>
    <t>2024-08-19T10:43:07.511</t>
  </si>
  <si>
    <t>-</t>
  </si>
  <si>
    <t>2024-08-19T10:43:20.167</t>
  </si>
  <si>
    <t>2024-08-19T10:43:23.647</t>
  </si>
  <si>
    <t>2024-08-19T10:43:28.036</t>
  </si>
  <si>
    <t>BGR</t>
  </si>
  <si>
    <t>0001-01-01</t>
  </si>
  <si>
    <t>0.000000</t>
  </si>
  <si>
    <t>ACT</t>
  </si>
  <si>
    <t>BRN</t>
  </si>
  <si>
    <t>BG</t>
  </si>
  <si>
    <t>2024-08-19 09:58:29.397000</t>
  </si>
  <si>
    <t>2024-08-19T10:45:30.680</t>
  </si>
  <si>
    <t>BRANCH</t>
  </si>
  <si>
    <t>2024-08-19 10:43:30.636000</t>
  </si>
  <si>
    <t>2024-08-19T10:45:35.310</t>
  </si>
  <si>
    <t>EUR</t>
  </si>
  <si>
    <t>LIT</t>
  </si>
  <si>
    <t>TC</t>
  </si>
  <si>
    <t>2024-08-19T10:46:59.597</t>
  </si>
  <si>
    <t>S96</t>
  </si>
  <si>
    <t>YXT</t>
  </si>
  <si>
    <t>ZAR</t>
  </si>
  <si>
    <t>NR</t>
  </si>
  <si>
    <t>RED</t>
  </si>
  <si>
    <t>2024-08-19 10:45:37.824000</t>
  </si>
  <si>
    <t>2024-08-19T10:47:10.642</t>
  </si>
  <si>
    <t>2024-08-19T10:47:13.988</t>
  </si>
  <si>
    <t>2024-08-19T10:47:23.611</t>
  </si>
  <si>
    <t>2024-08-19T10:57:08.773</t>
  </si>
  <si>
    <t>2024-08-19T10:57:37.489</t>
  </si>
  <si>
    <t>2024-08-19T10:57:41.290</t>
  </si>
  <si>
    <t>string</t>
  </si>
  <si>
    <t>decimal(23,6)</t>
  </si>
  <si>
    <t>timestamp</t>
  </si>
  <si>
    <t>Data Model Data Types</t>
  </si>
  <si>
    <t>now()</t>
  </si>
  <si>
    <t>today()</t>
  </si>
  <si>
    <t>Data Model Lenghts</t>
  </si>
  <si>
    <t>Test Summary</t>
  </si>
  <si>
    <t>Test ID</t>
  </si>
  <si>
    <t>Field</t>
  </si>
  <si>
    <t>Justification</t>
  </si>
  <si>
    <t>Number of Occurences</t>
  </si>
  <si>
    <t>Justification State</t>
  </si>
  <si>
    <t>Test 12</t>
  </si>
  <si>
    <t>1 - Contratos no universo contas passagem, sendo que esta informação não está disponível nesta situação. Como tal é aplicado o valor default NULL.
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</si>
  <si>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1 - 279
2 - 123</t>
  </si>
  <si>
    <t>1 - OK
2 - OK</t>
  </si>
  <si>
    <t>1 - Contratos no universo contas passagem, sendo que esta informação não está disponível nesta situação. Como tal é aplicado o valor default NULL.</t>
  </si>
  <si>
    <t>Total : 279
1 - 279</t>
  </si>
  <si>
    <t>1 - OK</t>
  </si>
  <si>
    <t>1 - Campo pendente da disponibilidade da tabela tat41 no databricks.</t>
  </si>
  <si>
    <t>Total : 21257
1 - 21257</t>
  </si>
  <si>
    <t>1 - NOK</t>
  </si>
  <si>
    <t>Test 17</t>
  </si>
  <si>
    <t>universe</t>
  </si>
  <si>
    <t>Em validação</t>
  </si>
  <si>
    <t>Total - 37139
1 - 37139</t>
  </si>
  <si>
    <t>Total: 36690
1 - 36690</t>
  </si>
  <si>
    <t>Test 2</t>
  </si>
  <si>
    <t>1 - Existem contratos que têm mais que uma conta DO identificada como âncora, como tal, por cada conta DO extra é gerado um duplicado. O tema está em análise com a owner técnica (email enviado a 11/06/2024).</t>
  </si>
  <si>
    <t>Total : 2
1 - 2</t>
  </si>
  <si>
    <t>case_tests</t>
  </si>
  <si>
    <t>initial_amount_granted</t>
  </si>
  <si>
    <t>current_amount_granted</t>
  </si>
  <si>
    <t>pred_billing_due_date</t>
  </si>
  <si>
    <t>last_billing_date</t>
  </si>
  <si>
    <t>cur_total_billed_principal_amt</t>
  </si>
  <si>
    <t>cur_ttl_bill_litig_princip_amt</t>
  </si>
  <si>
    <t>2024-07-10T14:15:03.521+00:00</t>
  </si>
  <si>
    <t>2024-07-10T14:15:36.512+00:00</t>
  </si>
  <si>
    <t>2024-07-10T14:16:44.960+00:00</t>
  </si>
  <si>
    <t>2024-07-10T14:17:49.098+00:00</t>
  </si>
  <si>
    <t>2024-07-10T14:18:28.902+00:00</t>
  </si>
  <si>
    <t>2024-07-10T14:19:00.650+00:00</t>
  </si>
  <si>
    <t>TBD</t>
  </si>
  <si>
    <t>REF</t>
  </si>
  <si>
    <t>12M</t>
  </si>
  <si>
    <t>EF</t>
  </si>
  <si>
    <t>2024-07-10 14:10:30.890000</t>
  </si>
  <si>
    <t>2024-07-10T14:20:50.854+00:00</t>
  </si>
  <si>
    <t>22.86</t>
  </si>
  <si>
    <t>0.00</t>
  </si>
  <si>
    <t>0.00000</t>
  </si>
  <si>
    <t>CO</t>
  </si>
  <si>
    <t>2024-07-10 14:19:27.135000</t>
  </si>
  <si>
    <t>2024-07-10T14:21:15.299+00:00</t>
  </si>
  <si>
    <t>Y02</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</si>
  <si>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</si>
  <si>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</si>
  <si>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</si>
  <si>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</si>
  <si>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</si>
  <si>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</si>
  <si>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</si>
  <si>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</si>
  <si>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</si>
  <si>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</si>
  <si>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</si>
  <si>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</si>
  <si>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</si>
  <si>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</si>
  <si>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</si>
  <si>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Formula Auxiliary Information</t>
  </si>
  <si>
    <t>Test  12</t>
  </si>
  <si>
    <t>1 - Valor default para códigos. Representam contratos que não têm condições especiais de juros ativas (e como tal a aplicação não guarda a informação). Assim, aplicou-se o valor default dos montantes: NULL.</t>
  </si>
  <si>
    <t>Total : 3528
1 - 3528</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</si>
  <si>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</si>
  <si>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</si>
  <si>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</si>
  <si>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As ICs não reportam contratos com dívida (Current Outstanding Principal Balance) = 0, sendo que todos os contratos identificados têm a dívida a zero.</t>
  </si>
  <si>
    <t>Total : 283
1 - 283</t>
  </si>
  <si>
    <t>Test 18</t>
  </si>
  <si>
    <t>1 - Dois contratos marcados como CT na aplicação de Efeitos, mas como 05 (Cessão de Crédito) em Terminal Contencioso. O caso foi analisado com o owner técnico de TC e IC e é um erro estarem a ser reportados em ICs.</t>
  </si>
  <si>
    <t>Case_Test</t>
  </si>
  <si>
    <t>2024-08-20T13:57:05.193+00:00</t>
  </si>
  <si>
    <t>1057898</t>
  </si>
  <si>
    <t>2024-08-20T13:57:40.112+00:00</t>
  </si>
  <si>
    <t>2024-08-20T13:58:32.534+00:00</t>
  </si>
  <si>
    <t>2024-08-20T13:59:33.902+00:00</t>
  </si>
  <si>
    <t>None</t>
  </si>
  <si>
    <t>2024-08-20T13:59:53.423+00:00</t>
  </si>
  <si>
    <t>2024-08-20T14:00:27.714+00:00</t>
  </si>
  <si>
    <t>ISA</t>
  </si>
  <si>
    <t>-0.120000</t>
  </si>
  <si>
    <t>DC</t>
  </si>
  <si>
    <t>2024-08-20 10:50:53.813000</t>
  </si>
  <si>
    <t>2024-08-20T14:01:57.753+00:00</t>
  </si>
  <si>
    <t>CR</t>
  </si>
  <si>
    <t>-0.12</t>
  </si>
  <si>
    <t>-998680.19</t>
  </si>
  <si>
    <t>2024-08-20 14:00:41.622000</t>
  </si>
  <si>
    <t>2024-08-20T14:02:44.632+00:00</t>
  </si>
  <si>
    <t>Y07</t>
  </si>
  <si>
    <t>CND</t>
  </si>
  <si>
    <t>2024-08-20T14:04:26.221+00:00</t>
  </si>
  <si>
    <t>100424890.30</t>
  </si>
  <si>
    <t>3415494.90</t>
  </si>
  <si>
    <t>2024-08-20 14:02:53.151000</t>
  </si>
  <si>
    <t>2024-08-20T14:07:20.277+00:00</t>
  </si>
  <si>
    <t>2024-08-20T14:07:30.708+00:00</t>
  </si>
  <si>
    <t>2024-08-20T14:08:37.196+00:00</t>
  </si>
  <si>
    <t>2024-08-20T14:15:06.202+00:00</t>
  </si>
  <si>
    <t>2024-08-20T14:20:55.315+00:00</t>
  </si>
  <si>
    <t>0.78</t>
  </si>
  <si>
    <t>0.99</t>
  </si>
  <si>
    <t>2024-08-20T14:21:20.407+00:00</t>
  </si>
  <si>
    <t>Test 7</t>
  </si>
  <si>
    <t>1 - O tamanho máximo definido é superado devido a ter o nome da coluna correspondente por causa de ainda não existir mapeamento.</t>
  </si>
  <si>
    <t>Total: 1057898
1 - 1057898</t>
  </si>
  <si>
    <t>1 - O mapeamento para o campo está pendente, como tal quando é convertido fica a NULL.</t>
  </si>
  <si>
    <t>1 - Contratos de contas CRP que não têm nenhuma relação ativa com uma conta DO âncora. Tentativamente em validação com a owner.</t>
  </si>
  <si>
    <t>Total : 840046
1 - 840046</t>
  </si>
  <si>
    <t>1 -  Existem 229635 registo no MCD que não existem nas ICs. Estes contratos são contas com um saldo igual a zero, como tal não aparecem na Contabilidade.</t>
  </si>
  <si>
    <t>Total: 229642
1 - 229642</t>
  </si>
  <si>
    <t>1 - Existem 1197 registos nas ICs que não existem no MCD. São contratos com o estado 4 ou 5 na aplicação que não são considerados pela regra de ataque. Em validação com a Contabilidade.</t>
  </si>
  <si>
    <t>Total: 1188
1 - 1188</t>
  </si>
  <si>
    <t>Test 19</t>
  </si>
  <si>
    <t>1 - Por ainda não existir mapeamento e estar a ser colocado o nome da coluna no seu conteudo, o tipo de dados vai em formato de string em vez do formato definido no modelo.</t>
  </si>
  <si>
    <t>current_overdraft_limit_amount</t>
  </si>
  <si>
    <t>overdraft_available_limit_amount</t>
  </si>
  <si>
    <t>2024-08-07T17:33:52.709+00:00</t>
  </si>
  <si>
    <t>2284509</t>
  </si>
  <si>
    <t>2024-08-07T17:34:10.346+00:00</t>
  </si>
  <si>
    <t>2024-08-07T17:34:28.085+00:00</t>
  </si>
  <si>
    <t>2024-08-07T17:34:53.671+00:00</t>
  </si>
  <si>
    <t>2024-08-07T17:35:09.205+00:00</t>
  </si>
  <si>
    <t>2024-08-07T17:35:40.684+00:00</t>
  </si>
  <si>
    <t>CAI</t>
  </si>
  <si>
    <t>-0.010000</t>
  </si>
  <si>
    <t>2024-08-07 17:22:39.803000</t>
  </si>
  <si>
    <t>2024-08-07T17:36:12.547+00:00</t>
  </si>
  <si>
    <t>ME</t>
  </si>
  <si>
    <t>-1208895086.58</t>
  </si>
  <si>
    <t>-0.01</t>
  </si>
  <si>
    <t>-100000000016.41</t>
  </si>
  <si>
    <t>BALCAO</t>
  </si>
  <si>
    <t>2024-08-07 17:35:51.597000</t>
  </si>
  <si>
    <t>2024-08-07T17:36:47.334+00:00</t>
  </si>
  <si>
    <t>CAN</t>
  </si>
  <si>
    <t>Y95</t>
  </si>
  <si>
    <t>OVR</t>
  </si>
  <si>
    <t>ONL</t>
  </si>
  <si>
    <t>2024-08-07T17:38:01.738+00:00</t>
  </si>
  <si>
    <t>MN</t>
  </si>
  <si>
    <t>509360745.52</t>
  </si>
  <si>
    <t>99999999999.99</t>
  </si>
  <si>
    <t>714240769.23</t>
  </si>
  <si>
    <t>1209000000.00</t>
  </si>
  <si>
    <t>82574.00</t>
  </si>
  <si>
    <t>100000000016.41</t>
  </si>
  <si>
    <t>141710.78</t>
  </si>
  <si>
    <t>ONLINE</t>
  </si>
  <si>
    <t>2024-08-07 17:37:05.716000</t>
  </si>
  <si>
    <t>2024-08-07T17:40:38.097+00:00</t>
  </si>
  <si>
    <t>0.91</t>
  </si>
  <si>
    <t>2024-08-07T17:41:05.613+00:00</t>
  </si>
  <si>
    <t>2024-08-07T17:41:52.476+00:00</t>
  </si>
  <si>
    <t>2024-08-07T17:43:15.548+00:00</t>
  </si>
  <si>
    <t>7664</t>
  </si>
  <si>
    <t>2024-08-07T17:49:02.822+00:00</t>
  </si>
  <si>
    <t>0.85</t>
  </si>
  <si>
    <t>335464</t>
  </si>
  <si>
    <t>0.96</t>
  </si>
  <si>
    <t>27992</t>
  </si>
  <si>
    <t>2024-08-07T17:49:21.466+00:00</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</si>
  <si>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</si>
  <si>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</si>
  <si>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</si>
  <si>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</si>
  <si>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</si>
  <si>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</si>
  <si>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</si>
  <si>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</si>
  <si>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</si>
  <si>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</si>
  <si>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</si>
  <si>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</si>
  <si>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1 - O tipo de dados é diferente do esperado devido a ter o nome da coluna correspondente por não existir ainda mapeamento.</t>
  </si>
  <si>
    <t>Total : 2276845
1 - 2276845</t>
  </si>
  <si>
    <t>2024-08-19T16:15:24.746+00:00</t>
  </si>
  <si>
    <t>175772</t>
  </si>
  <si>
    <t>2024-08-19T16:15:38.465+00:00</t>
  </si>
  <si>
    <t>2024-08-19T16:15:46.316+00:00</t>
  </si>
  <si>
    <t>2024-08-19T16:16:00.119+00:00</t>
  </si>
  <si>
    <t>2024-08-19T16:16:06.363+00:00</t>
  </si>
  <si>
    <t>2024-08-19T16:16:12.306+00:00</t>
  </si>
  <si>
    <t>INV</t>
  </si>
  <si>
    <t>2024-08-19 10:11:31.438000</t>
  </si>
  <si>
    <t>2024-08-19T16:16:27.339+00:00</t>
  </si>
  <si>
    <t>BACKOFFICE</t>
  </si>
  <si>
    <t>2024-08-19 11:38:16.151000</t>
  </si>
  <si>
    <t>2024-08-19T16:16:46.388+00:00</t>
  </si>
  <si>
    <t>Y40</t>
  </si>
  <si>
    <t>9411TE00010230</t>
  </si>
  <si>
    <t>I6I</t>
  </si>
  <si>
    <t>SUS</t>
  </si>
  <si>
    <t>2024-08-19T16:17:04.405+00:00</t>
  </si>
  <si>
    <t>70000000.00</t>
  </si>
  <si>
    <t>9500000.00</t>
  </si>
  <si>
    <t>94818.24</t>
  </si>
  <si>
    <t>328950.89</t>
  </si>
  <si>
    <t>403478.75</t>
  </si>
  <si>
    <t>691581.37</t>
  </si>
  <si>
    <t>19152000.00</t>
  </si>
  <si>
    <t>S</t>
  </si>
  <si>
    <t>2024-08-19 11:42:48.219000</t>
  </si>
  <si>
    <t>2024-08-19T16:18:10.796+00:00</t>
  </si>
  <si>
    <t>2024-08-19T16:18:27.341+00:00</t>
  </si>
  <si>
    <t>2024-08-19T16:18:48.000+00:00</t>
  </si>
  <si>
    <t>2024-08-19T16:19:43.639+00:00</t>
  </si>
  <si>
    <t>2024-08-19T16:20:11.017+00:00</t>
  </si>
  <si>
    <t>3589</t>
  </si>
  <si>
    <t>2024-08-19T16:20:14.804+00:00</t>
  </si>
  <si>
    <t>2024-07-04T17:56:03.957+00:00</t>
  </si>
  <si>
    <t>1 -  O campo é definido como valor default  NULL (universo passagem a contencioso)</t>
  </si>
  <si>
    <t>Total: 53
1 - 53</t>
  </si>
  <si>
    <t>1 -  O campo é definido como valor default  NULL (universo passagem a contencioso).  Representam os contratos que estão em contas de passagem a contencioso, sendo que este conceito está em falta aplica-se a estes contratos.
2 -  O campo é definido como valor default  NULL (universo contencioso). Representam os contratos que estão em contencioso, sendo que este conceito está em falta aplica-se a estes contratos.</t>
  </si>
  <si>
    <t>Total: 160
1 - 53
2 - 107</t>
  </si>
  <si>
    <t xml:space="preserve">last_advance_annulment_indicator	</t>
  </si>
  <si>
    <t xml:space="preserve">last_advance_date	</t>
  </si>
  <si>
    <t xml:space="preserve">last_advance_exec_date	</t>
  </si>
  <si>
    <t xml:space="preserve">last_advance_transfer_ref_num	</t>
  </si>
  <si>
    <t xml:space="preserve">cur_advance_principal_amt	</t>
  </si>
  <si>
    <t xml:space="preserve">current_active_rate_type_code	</t>
  </si>
  <si>
    <t>1 - As ICSs não encontram correspondência na tabela de contas de confirming</t>
  </si>
  <si>
    <t>Total: 13764
1 - 13764</t>
  </si>
  <si>
    <t>1 - O tipo de dados é diferente do esperado devido a ter o nome da coluna correspondente por não existir ainda mapeamento. Como tal, quando é aplicado o CAST fica a NULL.</t>
  </si>
  <si>
    <t>Total: 160536
1 - 160536</t>
  </si>
  <si>
    <t>1 -  O campo é definido como valor default  NULL (universo passagem a contencioso). Representam os contratos ativos que não tiveram um financiamento. A aplicação não têm este conceito quando não existe um financiamento, como tal, foi aplicado o valor NULL de missing.
2 - O campo é definido como valor default  NULL (universo contencioso). Representam os contratos ativos que não tiveram um financiamento. A aplicação não têm este conceito quando não existe um financiamento, como tal, foi aplicado o valor NULL de missing.
3 - A condição da data de financiamento não se verifica por isso o campo é definido como NULL (Universo fc faturas )</t>
  </si>
  <si>
    <t>Total : 82815
1 - 53
2 - 107
3 - 82655</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</si>
  <si>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</si>
  <si>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</si>
  <si>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3589
1 - 3589</t>
  </si>
  <si>
    <t>Test 6</t>
  </si>
  <si>
    <t>1 - No universo de contratos de faturas existem faturas que ainda não tiveram financiamento ou que não foram financiadas por transfências. Esses casos não representam um missing nem um N\A, como tal, o campo fica a vazio.</t>
  </si>
  <si>
    <t>Total: 1
1 - 1</t>
  </si>
  <si>
    <t>last_annual_fee_payment_date</t>
  </si>
  <si>
    <t>last_annual_fee_paym_princip_amt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</si>
  <si>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</si>
  <si>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</si>
  <si>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</si>
  <si>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</si>
  <si>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</si>
  <si>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</si>
  <si>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</si>
  <si>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</si>
  <si>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</si>
  <si>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</si>
  <si>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</si>
  <si>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</si>
  <si>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</si>
  <si>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</si>
  <si>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</si>
  <si>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</si>
  <si>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</si>
  <si>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</si>
  <si>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</si>
  <si>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</si>
  <si>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</si>
  <si>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</si>
  <si>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</si>
  <si>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</si>
  <si>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</si>
  <si>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</si>
  <si>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</si>
  <si>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</si>
  <si>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</si>
  <si>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</si>
  <si>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</si>
  <si>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</si>
  <si>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</si>
  <si>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</si>
  <si>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</si>
  <si>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</si>
  <si>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</si>
  <si>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</si>
  <si>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</si>
  <si>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</si>
  <si>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</si>
  <si>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</si>
  <si>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</si>
  <si>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</si>
  <si>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</si>
  <si>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</si>
  <si>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</si>
  <si>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</si>
  <si>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2024-08-19T17:33:54.145+00:00</t>
  </si>
  <si>
    <t>2024-08-19T17:33:59.022+00:00</t>
  </si>
  <si>
    <t>2024-08-19T17:34:04.203+00:00</t>
  </si>
  <si>
    <t>2024-08-19T17:34:12.446+00:00</t>
  </si>
  <si>
    <t>2024-08-19T17:34:15.123+00:00</t>
  </si>
  <si>
    <t>2024-08-19T17:34:18.239+00:00</t>
  </si>
  <si>
    <t>2024-08-19 17:23:28.162000</t>
  </si>
  <si>
    <t>2024-08-19T17:34:23.281+00:00</t>
  </si>
  <si>
    <t>2024-08-19 17:34:20.143000</t>
  </si>
  <si>
    <t>2024-08-19T17:34:26.162+00:00</t>
  </si>
  <si>
    <t>70000000.000000</t>
  </si>
  <si>
    <t>DBM</t>
  </si>
  <si>
    <t>2024-08-19T17:34:30.580+00:00</t>
  </si>
  <si>
    <t>2024-08-19 17:34:28.023000</t>
  </si>
  <si>
    <t>2024-08-19T17:34:40.218+00:00</t>
  </si>
  <si>
    <t>2024-08-19T17:34:43.081+00:00</t>
  </si>
  <si>
    <t>2024-08-19T17:34:49.931+00:00</t>
  </si>
  <si>
    <t>2024-08-19T17:35:03.474+00:00</t>
  </si>
  <si>
    <t>2024-08-19T17:35:05.606+00:00</t>
  </si>
  <si>
    <t>date</t>
  </si>
  <si>
    <t>2024-07-03T18:51:35.559+00:00</t>
  </si>
  <si>
    <t>initial_limit_amount</t>
  </si>
  <si>
    <t>current_limit_amount</t>
  </si>
  <si>
    <t>2024-08-20T14:11:48.370+00:00</t>
  </si>
  <si>
    <t>923.00</t>
  </si>
  <si>
    <t>2024-08-20T14:12:03.898+00:00</t>
  </si>
  <si>
    <t>2024-08-20T14:12:28.612+00:00</t>
  </si>
  <si>
    <t>2024-08-20T14:13:23.308+00:00</t>
  </si>
  <si>
    <t>2024-08-20T14:14:00.362+00:00</t>
  </si>
  <si>
    <t>2024-08-20T14:14:12.289+00:00</t>
  </si>
  <si>
    <t>CAD</t>
  </si>
  <si>
    <t>2024-08-20 14:10:10.233000</t>
  </si>
  <si>
    <t>2024-08-20T14:14:36.435+00:00</t>
  </si>
  <si>
    <t xml:space="preserve">                                  </t>
  </si>
  <si>
    <t>2024-08-20 14:14:16.719000</t>
  </si>
  <si>
    <t>10</t>
  </si>
  <si>
    <t>2024-08-20T14:15:19.906+00:00</t>
  </si>
  <si>
    <t>89</t>
  </si>
  <si>
    <t>000020240000133</t>
  </si>
  <si>
    <t>31</t>
  </si>
  <si>
    <t>239302783937020000000000000000</t>
  </si>
  <si>
    <t xml:space="preserve">PT50518000050000050810730         </t>
  </si>
  <si>
    <t>2024-03-26</t>
  </si>
  <si>
    <t>2099-01-01</t>
  </si>
  <si>
    <t>USD</t>
  </si>
  <si>
    <t>160000000.000000</t>
  </si>
  <si>
    <t>199999961.040000</t>
  </si>
  <si>
    <t>2024-04-08</t>
  </si>
  <si>
    <t>11</t>
  </si>
  <si>
    <t>2024-08-20T14:15:55.344+00:00</t>
  </si>
  <si>
    <t>#N/A</t>
  </si>
  <si>
    <t>160000000.00</t>
  </si>
  <si>
    <t>199999961.04</t>
  </si>
  <si>
    <t>05</t>
  </si>
  <si>
    <t>2024-08-20 14:15:40.554000</t>
  </si>
  <si>
    <t>2024-08-20T14:16:50.042+00:00</t>
  </si>
  <si>
    <t>2024-08-20T14:17:32.950+00:00</t>
  </si>
  <si>
    <t>2024-08-20T14:17:58.215+00:00</t>
  </si>
  <si>
    <t>Universo Comparison MCD - Source</t>
  </si>
  <si>
    <t>2024-08-20T14:18:39.614+00:00</t>
  </si>
  <si>
    <t>Universo Comparison Source - MCD</t>
  </si>
  <si>
    <t>2024-08-20T14:18:49.014+00:00</t>
  </si>
  <si>
    <t>1 - Representam os casos em que IBAN associado ao processo está a vazio, como tal é aplicado o valor default missing de NULL.</t>
  </si>
  <si>
    <t>Total : 4
1 - 4</t>
  </si>
  <si>
    <t>\</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</si>
  <si>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</si>
  <si>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</si>
  <si>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</si>
  <si>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</si>
  <si>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</si>
  <si>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</si>
  <si>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</si>
  <si>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</si>
  <si>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</si>
  <si>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</si>
  <si>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</si>
  <si>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</si>
  <si>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</si>
  <si>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</si>
  <si>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</si>
  <si>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</si>
  <si>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</si>
  <si>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</si>
  <si>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</si>
  <si>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</si>
  <si>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</si>
  <si>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</si>
  <si>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</si>
  <si>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</si>
  <si>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</si>
  <si>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</si>
  <si>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</si>
  <si>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</si>
  <si>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</si>
  <si>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contract_beneficiary_order_num</t>
  </si>
  <si>
    <t>2024-07-02T19:29:49.059+00:00</t>
  </si>
  <si>
    <t>19709007</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</si>
  <si>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</si>
  <si>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</si>
  <si>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</si>
  <si>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</si>
  <si>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</si>
  <si>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</si>
  <si>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</si>
  <si>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</si>
  <si>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</si>
  <si>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</si>
  <si>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</si>
  <si>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</si>
  <si>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</si>
  <si>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</si>
  <si>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</si>
  <si>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</si>
  <si>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</si>
  <si>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</si>
  <si>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</si>
  <si>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</si>
  <si>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</si>
  <si>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2024-08-22T11:04:09.369</t>
  </si>
  <si>
    <t>2024-08-22T11:04:23.624</t>
  </si>
  <si>
    <t>2024-08-22T11:04:48.341</t>
  </si>
  <si>
    <t>2024-08-22T11:05:18.094</t>
  </si>
  <si>
    <t>2024-08-22T11:05:29.390</t>
  </si>
  <si>
    <t>2024-08-22T11:05:41.649</t>
  </si>
  <si>
    <t>000019950000013000490000C350I1</t>
  </si>
  <si>
    <t>FAC</t>
  </si>
  <si>
    <t>-0.371000</t>
  </si>
  <si>
    <t>-0.550000</t>
  </si>
  <si>
    <t>2024-08-22 11:02:11.930000</t>
  </si>
  <si>
    <t>2024-08-22T11:05:51.789</t>
  </si>
  <si>
    <t>2024-08-22T11:06:04.419</t>
  </si>
  <si>
    <t>0V0</t>
  </si>
  <si>
    <t>Y52</t>
  </si>
  <si>
    <t>E3M</t>
  </si>
  <si>
    <t>0.058000</t>
  </si>
  <si>
    <t>E6M</t>
  </si>
  <si>
    <t>2024-08-22T11:06:15.321</t>
  </si>
  <si>
    <t>2024-08-22T11:07:54.584</t>
  </si>
  <si>
    <t>2024-08-22T11:08:07.088</t>
  </si>
  <si>
    <t>2024-08-22T11:09:07.135</t>
  </si>
  <si>
    <t>2024-08-22T11:09:44.732</t>
  </si>
  <si>
    <t>2024-08-22T11:10:01.636</t>
  </si>
  <si>
    <t>1 - Estamos a mapear para um IBAN ao invés de um NIF, sendo então necessário ter 34 dígitos.
ALTERAR MAPEAMENTO</t>
  </si>
  <si>
    <t>1 - Faturas com recurso para os quais o processo está associado a um produto de importação. Como tal, não são obedecidas as condições para nenhum subproduct_id, ficando por consequência o contract_id a NULL</t>
  </si>
  <si>
    <t>Total : 3
1 - 3*</t>
  </si>
  <si>
    <t>1 - ?</t>
  </si>
  <si>
    <t>* validar faturas a NULL | Idealmente deveriam ter os valores das taxas a 0</t>
  </si>
  <si>
    <t>1 - Contratos de universo contencioso, sendo que este campo não se encontra disponível
2 - Contratos de universo conta passagem, sendo que este campo não se encontra disponível</t>
  </si>
  <si>
    <t>Total: 9
1 - 4
2 - 5</t>
  </si>
  <si>
    <t>1 - Contratos de universo contencioso, sendo que este campo não se encontra disponível
2 - Contratos de universo conta passagem, sendo que este campo não se encontra disponível
3 - Faturas nas quais o valor para o qual mapeamos se encontra a vazio ou NULL na origem
4 - Linhas de aderentes nas quais o valor para o qual mapeamos se encontra a vazio ou NULL na origem
5 - Linhas de devedores nas quais o valor para o qual mapeamos se encontra a vazio ou NULL na origem</t>
  </si>
  <si>
    <t>Total: 7669
1 - 4
2 - 5
3 - 60
4 - 4
5 - 7596</t>
  </si>
  <si>
    <t>1 - OK
2 - OK
3 - OK
4 - OK
5 - OK</t>
  </si>
  <si>
    <t>1 - Contratos de universo contencioso, sendo que este campo não se encontra disponível
2 - Contratos de universo conta passagem, sendo que este campo não se encontra disponível
3 - Linhas de aderentes sem correspondência na tabela crc.
4 - Linhas de devedores sem correspondência na tabela crc.</t>
  </si>
  <si>
    <t>Total: 488
1 - 4
2 - 5
3 - 49
4 - 432</t>
  </si>
  <si>
    <t>1 - OK
2 - OK
3 - NOK
4 - NOK</t>
  </si>
  <si>
    <t>current_outsng_principal_amount</t>
  </si>
  <si>
    <t>1 - Faturas que ainda não ultrapassaram a data de validade, para as quais não foi encontrada correspondência na tabela eur_prvclicrd_bop</t>
  </si>
  <si>
    <t>Total : 3
1 - 3</t>
  </si>
  <si>
    <t>1 - Faturas que já ultrapassarem a sua data de validade, e para as quais não foi encontrada correspondência na tabela eur_prvclicrd_bop.</t>
  </si>
  <si>
    <t>Total: 42
1 - 42</t>
  </si>
  <si>
    <t>1 - Contratos de universo contencioso, sendo que este campo não se encontra disponível
2 - Contratos de universo conta passagem, sendo que este campo não se encontra disponível
3 - Faturas que possuem o campo que utilizamos no mapeamento a NULL na origem.</t>
  </si>
  <si>
    <t>Total: 932
1 - 4
2 - 5
3 - 923</t>
  </si>
  <si>
    <t>1 - OK
2 - OK
3 - OK</t>
  </si>
  <si>
    <t>current_bill_princip_amt</t>
  </si>
  <si>
    <t>1 - Contratos de universo contencioso, sendo que este campo não se encontra disponível
2 - Contratos de universo conta passagem, sendo que este campo não se encontra disponível
3 - Faturas para as quais não foi encontrado qualquer adiantamento.</t>
  </si>
  <si>
    <t>Total: 78201
1 - 4
2 - 5
3 - 78192</t>
  </si>
  <si>
    <t>1 - OK
2 - OK
3 - ?</t>
  </si>
  <si>
    <t>1 - Contratos de universo contencioso, sendo que este campo não se encontra disponível
2 - Contratos de universo conta passagem, sendo que este campo não se encontra disponível
3 - Faturas para as quais não foi encontrado qualquer adiantamento.
4 - Linhas de aderentes, sendo que este campo não se encontra disponível
5 - Linhas de devedor, sendo que este campo não se encontra disponível</t>
  </si>
  <si>
    <t>Total: 87148
1 - 4
2 - 5
3 - 78192
4 - 923
5 - 8024</t>
  </si>
  <si>
    <t>1 - OK
2 - OK
3 - ?
4- OK
5 - OK</t>
  </si>
  <si>
    <t>1 - Contratos de universo contencioso, sendo que este campo não se encontra disponível
2 - Contratos de universo conta passagem, sendo que este campo não se encontra disponível
3 -  Faturas para as quais não foi encontrada correspondência na tabela eur_prvclicrd_bop.
4 - Linhas de aderentes, sendo que este campo não se encontra disponível
5 - Linhas de devedor, sendo que este campo não se encontra disponível</t>
  </si>
  <si>
    <t>Total: 9001
1 - 4
2 - 5
3 -  45
4 - 923
5 - 8024</t>
  </si>
  <si>
    <t>initial_active_variable_rate_ind</t>
  </si>
  <si>
    <t>1 - Linhas de Aderente no MCD, que não estão presentes no IC.
2 - Linhas de Devedor no MCD, que não estão presentes no IC.
3 - Faturas no MCD, que não estão no IC.
4 - Contratos em contencioso no MCD, que não estão presentes no IC.
5 - Contratos em contas passagem no MCD, que não estão presentes no IC.</t>
  </si>
  <si>
    <t>Total : 13292
1 - 129
2 - 4904
3 - 8243
4 - 3
5 - 4</t>
  </si>
  <si>
    <t>1 - ?
2 - ?
3 - ?
4 - ?
5 - ?</t>
  </si>
  <si>
    <t>1 - Faturas no IC que estão presentes na tabela eur_credito, mas estão marcadas com estado liquidado.
2 - Faturas no IC que não estão presentes na eur_credito.
3 - Linhas de aderentes no IC que não estão presentes no MCD (estas 3 linhas estão associadas ao aderente do processo '000020230000046'). 
4 - Linhas de devedores no IC que estão presentes na tabela eur_interven, mas que não estão marcados com estado Ativo.
5 - Linhas de devedores no IC, que estão associadas a devedores ativos na eur_interven, mas para os quais não existe coerência entre o número de cliente (para o mesmo processo, número de interveniente, temos números de clientes diferentes entre IC e eur_interven)</t>
  </si>
  <si>
    <t>Total: 3682
1 - 3347
2 - 2
3 - 3
4 - 67
5 - 263</t>
  </si>
  <si>
    <t>* análise está disponível em https://adb-4333425462262739.19.azuredatabricks.net/?o=4333425462262739#notebook/508706272153579/command/1792492257650954</t>
  </si>
  <si>
    <t>main_contract_bank_id</t>
  </si>
  <si>
    <t>main_contract_id</t>
  </si>
  <si>
    <t>beneficiary_order_number</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</si>
  <si>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</si>
  <si>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</si>
  <si>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</si>
  <si>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</si>
  <si>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</si>
  <si>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</si>
  <si>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</si>
  <si>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</si>
  <si>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</si>
  <si>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</si>
  <si>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</si>
  <si>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</si>
  <si>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</si>
  <si>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</si>
  <si>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</si>
  <si>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</si>
  <si>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</si>
  <si>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</si>
  <si>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</si>
  <si>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</si>
  <si>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main_card_account_bank_id</t>
  </si>
  <si>
    <t>main_card_account_contract_id</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</si>
  <si>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</si>
  <si>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</si>
  <si>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</si>
  <si>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</si>
  <si>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</si>
  <si>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</si>
  <si>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</si>
  <si>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</si>
  <si>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</si>
  <si>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</si>
  <si>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</si>
  <si>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</si>
  <si>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</si>
  <si>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</si>
  <si>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</si>
  <si>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</si>
  <si>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</si>
  <si>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</si>
  <si>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</si>
  <si>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</si>
  <si>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</si>
  <si>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</si>
  <si>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</si>
  <si>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</si>
  <si>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</si>
  <si>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</si>
  <si>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</si>
  <si>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</si>
  <si>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</si>
  <si>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</si>
  <si>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</si>
  <si>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</si>
  <si>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</si>
  <si>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</si>
  <si>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</si>
  <si>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</si>
  <si>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</si>
  <si>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</si>
  <si>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</si>
  <si>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</si>
  <si>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</si>
  <si>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</si>
  <si>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</si>
  <si>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</si>
  <si>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</si>
  <si>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</si>
  <si>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</si>
  <si>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</si>
  <si>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</si>
  <si>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</si>
  <si>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</si>
  <si>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</si>
  <si>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</si>
  <si>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</si>
  <si>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</si>
  <si>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</si>
  <si>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</si>
  <si>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</si>
  <si>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</si>
  <si>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</si>
  <si>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</si>
  <si>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</si>
  <si>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</si>
  <si>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</si>
  <si>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</si>
  <si>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</si>
  <si>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</si>
  <si>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</si>
  <si>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</si>
  <si>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</si>
  <si>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</si>
  <si>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</si>
  <si>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</si>
  <si>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</si>
  <si>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</si>
  <si>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</si>
  <si>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</si>
  <si>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</si>
  <si>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</si>
  <si>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</si>
  <si>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</si>
  <si>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</si>
  <si>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</si>
  <si>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</si>
  <si>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</si>
  <si>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</si>
  <si>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</si>
  <si>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</si>
  <si>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</si>
  <si>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</si>
  <si>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</si>
  <si>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</si>
  <si>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</si>
  <si>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</si>
  <si>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</si>
  <si>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</si>
  <si>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</si>
  <si>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</si>
  <si>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</si>
  <si>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</si>
  <si>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</si>
  <si>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</si>
  <si>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</si>
  <si>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2024-08-09T09:15:10.668+00:00</t>
  </si>
  <si>
    <t>0.999942</t>
  </si>
  <si>
    <t>790019</t>
  </si>
  <si>
    <t>2024-08-09T09:15:19.723+00:00</t>
  </si>
  <si>
    <t>2024-08-09T09:15:30.803+00:00</t>
  </si>
  <si>
    <t>2024-08-09T09:15:55.311+00:00</t>
  </si>
  <si>
    <t>2024-08-09T09:16:05.294+00:00</t>
  </si>
  <si>
    <t>2024-08-09T09:16:15.799+00:00</t>
  </si>
  <si>
    <t>CCA</t>
  </si>
  <si>
    <t>FIX</t>
  </si>
  <si>
    <t>BRK</t>
  </si>
  <si>
    <t>2024-08-09 09:10:15.587000</t>
  </si>
  <si>
    <t>2024-08-09T09:17:35.362+00:00</t>
  </si>
  <si>
    <t>.00</t>
  </si>
  <si>
    <t>-.01</t>
  </si>
  <si>
    <t>2024-08-09 09:16:20.313000</t>
  </si>
  <si>
    <t>2024-08-09T09:17:44.875+00:00</t>
  </si>
  <si>
    <t>9999-12-31</t>
  </si>
  <si>
    <t>OTH</t>
  </si>
  <si>
    <t>2024-08-09T09:18:50.651+00:00</t>
  </si>
  <si>
    <t>95.00</t>
  </si>
  <si>
    <t>9999.00</t>
  </si>
  <si>
    <t>9999.91</t>
  </si>
  <si>
    <t>9.99</t>
  </si>
  <si>
    <t>C</t>
  </si>
  <si>
    <t>2024-08-09 09:17:49.360000</t>
  </si>
  <si>
    <t>2024-08-09T09:20:33.807+00:00</t>
  </si>
  <si>
    <t>0.627907</t>
  </si>
  <si>
    <t>2024-08-09T09:20:55.428+00:00</t>
  </si>
  <si>
    <t>2024-08-09T09:21:37.928+00:00</t>
  </si>
  <si>
    <t>2024-08-09T09:27:31.109+00:00</t>
  </si>
  <si>
    <t>46</t>
  </si>
  <si>
    <t>Data Type Check</t>
  </si>
  <si>
    <t>2024-08-09T09:27:34.701+00:00</t>
  </si>
  <si>
    <t>2024-08-01T11:28:21.058</t>
  </si>
  <si>
    <t>current_available_limit_amount</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</si>
  <si>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</si>
  <si>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</si>
  <si>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</si>
  <si>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</si>
  <si>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</si>
  <si>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</si>
  <si>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</si>
  <si>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</si>
  <si>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</si>
  <si>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</si>
  <si>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</si>
  <si>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</si>
  <si>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</si>
  <si>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</si>
  <si>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</si>
  <si>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</si>
  <si>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</si>
  <si>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</si>
  <si>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</si>
  <si>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</si>
  <si>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</si>
  <si>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</si>
  <si>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</si>
  <si>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</si>
  <si>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</si>
  <si>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</si>
  <si>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</si>
  <si>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</si>
  <si>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</si>
  <si>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</si>
  <si>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</si>
  <si>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</si>
  <si>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</si>
  <si>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</si>
  <si>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</si>
  <si>
    <t>query_driver_data_date_part **</t>
  </si>
  <si>
    <t>nxt_subsd_reg_amort_princip_amt</t>
  </si>
  <si>
    <t>2024-08-13T10:06:36.372+00:00</t>
  </si>
  <si>
    <t>2024-08-13T10:06:41.322+00:00</t>
  </si>
  <si>
    <t>2024-08-13T10:06:50.031+00:00</t>
  </si>
  <si>
    <t>2024-08-13T10:07:04.603+00:00</t>
  </si>
  <si>
    <t>2024-08-13T10:07:10.191+00:00</t>
  </si>
  <si>
    <t>2024-08-13T10:07:18.450+00:00</t>
  </si>
  <si>
    <t>LON</t>
  </si>
  <si>
    <t>0.010000</t>
  </si>
  <si>
    <t>-0.200000</t>
  </si>
  <si>
    <t>-0.202600</t>
  </si>
  <si>
    <t>EP</t>
  </si>
  <si>
    <t>2024-08-12 11:52:39.440000</t>
  </si>
  <si>
    <t>2024-08-13T10:09:32.211+00:00</t>
  </si>
  <si>
    <t>2024-08-12 12:02:31.009000</t>
  </si>
  <si>
    <t>2024-08-13T10:09:38.122+00:00</t>
  </si>
  <si>
    <t>YXF</t>
  </si>
  <si>
    <t>1</t>
  </si>
  <si>
    <t>X1F</t>
  </si>
  <si>
    <t>2024-08-13T10:11:54.982+00:00</t>
  </si>
  <si>
    <t>SU</t>
  </si>
  <si>
    <t>2024-08-12 12:05:08.272000</t>
  </si>
  <si>
    <t>2024-08-13T10:12:37.569+00:00</t>
  </si>
  <si>
    <t>2024-08-13T10:12:42.433+00:00</t>
  </si>
  <si>
    <t>2024-08-13T10:12:54.155+00:00</t>
  </si>
  <si>
    <t>2024-08-13T10:24:44.469+00:00</t>
  </si>
  <si>
    <t>2024-08-13T10:25:18.453+00:00</t>
  </si>
  <si>
    <t>* Temos 341 contratos presentes tanto em Partenon com em SIntra, mas não estão a aparecer nos resultados do teste visto que estamos a usar data_date_part diferentes entre os universos, devido a falta de dados.</t>
  </si>
  <si>
    <t>1 - Contratos em Partenon cuja relação com a conta DO não foi encontrada na tabela rel_contratos em estruturais. Necessário validar com owner.</t>
  </si>
  <si>
    <t>Total: 125
1 - 125</t>
  </si>
  <si>
    <t>** Para o Universo Partenon está a ser usada a data 2024-07-18</t>
  </si>
  <si>
    <t xml:space="preserve">1 - Contratos em Partenon sem nenhum registo de uma prestação liquidada. </t>
  </si>
  <si>
    <t>Total: 32
1 - 32</t>
  </si>
  <si>
    <t>current_outsng_principal_balance</t>
  </si>
  <si>
    <t>1 -  Contratos em Partenon cuja data de maturidade foi ultrapassada, não tendo nenhum registo associado a capital vencido na tabela de posição de divida eh_ctr_onl_posi.  Necessário validar com owner.
2  - Contratos em partenon sem nenhum registo associado a capital vencido (codigo '000') na tabela da posição da dívida.  Necessário validar com owner.</t>
  </si>
  <si>
    <t>Total : 18
1 - 16
2 - 2</t>
  </si>
  <si>
    <t>cur_debt_litigation_princip_amt</t>
  </si>
  <si>
    <t>1 - Contratos Sintra em contencioso sem nenhum registo de posição de divida na tct01 ativo. Em verificação com owner.</t>
  </si>
  <si>
    <t>next_regular_amort_princip_amt</t>
  </si>
  <si>
    <t>1 - Contratos em Partenon onde não foi encontrada correspondencia na tabela cuotas_prtm para a data atual. 
2 - Contratos em Sintra sem correspondencia na tabela ept06_quotas dentro da data de validade.
3 - Contratos em Sintra com correspondencia na ept06_quotas, mas cujo valor para o qual estamos a mapear se encontra a NULL.</t>
  </si>
  <si>
    <t>Total: 914346
1 - 1620
2 - 507344
3 - 405382</t>
  </si>
  <si>
    <t>1-  NOK
2 - NOK
3 - OK</t>
  </si>
  <si>
    <t>1 - Contratos em Sintra com bonificações, mas para os quais não foi encontrado um registo na ept10 à data corrente.</t>
  </si>
  <si>
    <t>1 - Contratos em Sintra para os quais ainda não liquidada qualquer prestação.
2 -  Contratos em Sintra para os quais não foi encontrada nenhuma prestação na tabela ept08, mas cuja data da primeira liquidaçao já foi ultrapassada.
3 - Contratos em Partenon sem nenhum registo de uma prestação liquidada.</t>
  </si>
  <si>
    <t>Total:  210140
1 - 16639
2 - 193469
3 - 32</t>
  </si>
  <si>
    <t>1 - OK
2 - NOK
3- OK</t>
  </si>
  <si>
    <t>1 - Contratos em Sintra para os quais não foi registado qualquer pagamento antecipado na tabela de movimentos ept07.
2 - Contratos em Partenon para os quais não foi registado qualquer pagamento antecipado na tabela de movimentos eh_oper_contr.</t>
  </si>
  <si>
    <t>Total : 928764
1 - 903045
2 - 25719</t>
  </si>
  <si>
    <t>1 - Contratos em Sintra para os quais não foi registado qualquer pagamento antecipado na tabela de movimentos ept07.
2 - Contratos em Sintra com pelo menos  um pagamento antecipado na tabela de movimentos ept07, mas para o qual o campo que utilizamos no mapeamento se encontra a NULL.
3 - Contratos em Partenon para os quais não foi registado qualquer pagamento antecipado na tabela de movimentos eh_oper_contr.</t>
  </si>
  <si>
    <t>Total: 962101
1 - 903045
2 - 33337
3 - 25719</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</si>
  <si>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t>
  </si>
  <si>
    <t>Total: 288913
1 - 20
2 - 22521
3 - 266372</t>
  </si>
  <si>
    <t>1 - Contratos em Partenon sem registos de pagamentos efetuados de prestações regulares (todos estes passaram de sintra para Partenon - estão presententes na tabela ept01 com estado EH, é possível que se tenha perdido informação relativa a pagamentos devido a esta passagem).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et07, mas com o campo utilizado no mapeamento mmvorig a NULL.</t>
  </si>
  <si>
    <t>Total: 865663
1 - 20
2 - 22521
3 - 266372
4 - 576750</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</si>
  <si>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ept07, mas com o campo utilizado no mapeamento mmvorig a NULL.
5 - Contratos Partenon com pagamentos de prestações registados, mas cujo ultimo movimento não se encontra registado na tabela eh_rel_rec_oper.
6 - Contratos em Partenon sem correspondencia na tabela ept99.</t>
  </si>
  <si>
    <t>Total : 776653
1 - 20
2 - 22521
3 - 266372
4 - 486283
5 - 955
6 - 502</t>
  </si>
  <si>
    <t>1 - OK
2 - OK
3 - NOK
4 - OK
5 - NOK
6 - NOK</t>
  </si>
  <si>
    <t>1 - Entradas em SIntra sem correspondencia na tabela ept03 para a taxa de juro, ou para o spread.
2 - Entradas com correspondencia na ept03, tanto para juros como para spread, mas cujo valor para qual estamos a mapear se encontra a NULL para alguma das taxas.</t>
  </si>
  <si>
    <t>Total: 287066
1 - 1941
2 - 285125</t>
  </si>
  <si>
    <t>1 - NOK
2 - OK</t>
  </si>
  <si>
    <t>1 - Entradas em sintra com correspondencia na ept03 para o spread, mas cujo campo para o qual estamos a mapear está NULL.
2 - Contratos em Sintra para os quais não foi encontrada nenhuma correspondencia associada ao spread na tabela ept03 à data de inicio do contrato.</t>
  </si>
  <si>
    <t>Total: 664129
1 - 103270
2 - 560859</t>
  </si>
  <si>
    <t>1 - Entradas em Sintra sem correspondência na ept03 para a taxa de juro à data de inicio do contrato.
2 - Entradas em sintra com correspondencia na ept03 para os juros, mas cujo campo para o qual estamos a mapear está NULL.</t>
  </si>
  <si>
    <t>Total: 540317 
1 - 198924
2 - 341393</t>
  </si>
  <si>
    <t>1 - Contratos em Sintra com bonificações, sem correspondências á data de inicio do contrato na tabela ept10.</t>
  </si>
  <si>
    <t>Total : 8700
1 - 8700</t>
  </si>
  <si>
    <t>1 - Contratos em SIntra sem correspondencia na tabela ept03 para a taxa de juro, ou para o spread.
2 - Contratos em Sintra com correspondencia na ept03, tanto para juros como para spread, mas cujo valor para qual estamos a mapear se encontra a NULL para alguma das taxas.
3 - Contrato em Partenon com campo indexante intactua = 0, o que não corresponde a nenhuma operação válida</t>
  </si>
  <si>
    <t>Total :  297063
1 - 1507
2 - 295556
3 - 1</t>
  </si>
  <si>
    <t>1 - NOK
2 - OK
3 - OK</t>
  </si>
  <si>
    <t>Total: 641484
1 - 127845
2 - 560859</t>
  </si>
  <si>
    <t>1 - Entradas em sintra com correspondencia na ept03 para a taxa de juro, mas cujo campo para o qual estamos a mapear está NULL.
2 - Contratos em Sintra para os quais não foi encontrada nenhuma correspondencia associada ao spread na tabela ept03 à data de inicio do contrato.</t>
  </si>
  <si>
    <t>Total : 522387
1 -  324015
2 -  198372</t>
  </si>
  <si>
    <t>1 - Contratos em Sintra associados com bonificações, sem correspondências á data de inicio do contrato na tabela ept10.</t>
  </si>
  <si>
    <t>Total: 7
1 - 7</t>
  </si>
  <si>
    <t>1 - Contratos para os quais não foi encontrada a proposta associada, na tabela prt03.</t>
  </si>
  <si>
    <t>Total : 565360
1 - 565360</t>
  </si>
  <si>
    <t>1 - Contratos que não obedecem às regras de ataque, não estando o seu estado presente nos dados de referencia. Pendente da atualização dos dados de referência.</t>
  </si>
  <si>
    <t>Total: 87565
1 - 87565</t>
  </si>
  <si>
    <t xml:space="preserve">
</t>
  </si>
  <si>
    <t>1- Contratos de empréstimos cuja data de validade já foi ultrapassada (current_maturity_date &lt;= data_date_part), mas que possuem um saldo associado superior a 0.
2 - Contratos de empréstimos cuja data de validade já foi ultrapassada (current_maturity_date &lt;= data_date_part), mas que possuem o saldo a 0, ou NULL.
3 - Contratos de empréstimos dentro das regras de ataque, para os quais o saldo associado é superior a 0.
4 - Contratos de empréstimos dentro das regras de ataque, com saldo associado a 0, ou a NULL.
5 - Contratos de empréstimos que estão fora das regras de ataque, para os quais o saldo associado é superior a 0.
6 - Contratos em contencioso dentro das regras de ataque, com saldo associado.
7 - Contratos em contencioso dentro das regras de ataque, para os quais o saldo associado se encontra a 0, ou a NULL.
Necessário validar</t>
  </si>
  <si>
    <t>Total: 269168
1 - 220514
2 - 119
3 - 22
4 - 121
5 - 46945
6 - 1429
7 - 17</t>
  </si>
  <si>
    <t>1 - NOK
2 - OK
3 - NOK
4 - OK
5 - NOK
6 - NOK
7 - NOK</t>
  </si>
  <si>
    <t>Universo</t>
  </si>
  <si>
    <t>1 - Contratos cuja data de validade está definida para o próprio dia.
2 - Contratos cuja data de terminada já foi ultrapassada, mas que ainda estão em divida para com o banco. Todos têm um valor relativamente baixo para o montante (menos de 100 euros), e estes contratos já não estão presentes nas ICs no data_date_part seguinte.</t>
  </si>
  <si>
    <t>Total: 27 *
1 - 2
2 - 25</t>
  </si>
  <si>
    <t>2024-08-12T16:08:55.986+00:00</t>
  </si>
  <si>
    <t>2024-08-12T16:09:20.509+00:00</t>
  </si>
  <si>
    <t>2024-08-12T16:09:55.831+00:00</t>
  </si>
  <si>
    <t>2024-08-12T16:10:36.048+00:00</t>
  </si>
  <si>
    <t>2024-08-12T16:11:38.232+00:00</t>
  </si>
  <si>
    <t>2024-08-12T16:12:07.563+00:00</t>
  </si>
  <si>
    <t>SVA</t>
  </si>
  <si>
    <t>DP</t>
  </si>
  <si>
    <t>2024-08-12 15:51:26.750000</t>
  </si>
  <si>
    <t>2024-08-12T16:15:16.505+00:00</t>
  </si>
  <si>
    <t>2024-08-12 16:12:51.474000</t>
  </si>
  <si>
    <t>2024-08-12T16:15:26.954+00:00</t>
  </si>
  <si>
    <t>Y13</t>
  </si>
  <si>
    <t>2024-08-12T16:18:27.064+00:00</t>
  </si>
  <si>
    <t>120000000.00</t>
  </si>
  <si>
    <t>2024-08-12 16:15:36.455000</t>
  </si>
  <si>
    <t>2024-08-12T16:21:40.483+00:00</t>
  </si>
  <si>
    <t>2024-08-12T16:22:11.206+00:00</t>
  </si>
  <si>
    <t>2024-08-12T16:23:42.299+00:00</t>
  </si>
  <si>
    <t>2024-08-12T16:38:27.274+00:00</t>
  </si>
  <si>
    <t>2024-08-12T16:39:40.854+00:00</t>
  </si>
  <si>
    <t>2024-08-12T16:40:15.678+00:00</t>
  </si>
  <si>
    <t>1 - Ids de DP que não apresentam correspondência de ids DO através da tabela rel_contratos</t>
  </si>
  <si>
    <t>Total: 6
1 - 6</t>
  </si>
  <si>
    <t>1 - Falta de correspondencia entre a tabela de depósitos e a de saldos</t>
  </si>
  <si>
    <t>Total: 251
1 - 251</t>
  </si>
  <si>
    <t>1 - Pendente da ingesão da tabela tat41.</t>
  </si>
  <si>
    <t>Total: 269078
1 - 269078</t>
  </si>
  <si>
    <t>Universe</t>
  </si>
  <si>
    <t>1 - Duplicados presentes na tabela origem (dp_dpyr0550_depositos). Pendente da rotinação da ingesta para validar se a causa foi um teste sem sucesso.</t>
  </si>
  <si>
    <t xml:space="preserve">Total: 10
1 - 10
</t>
  </si>
  <si>
    <t>1 - Contratos que apresentam capital a 0</t>
  </si>
  <si>
    <t>Total:  4682
1 - 4682</t>
  </si>
  <si>
    <t>2024-09-25T14:05:53.837+00:00</t>
  </si>
  <si>
    <t>2024-09-25T14:06:09.805+00:00</t>
  </si>
  <si>
    <t>2024-09-25T14:06:26.009+00:00</t>
  </si>
  <si>
    <t>2024-09-25T14:06:57.947+00:00</t>
  </si>
  <si>
    <t>2024-09-25T14:07:10.323+00:00</t>
  </si>
  <si>
    <t>2024-09-25T14:07:25.611+00:00</t>
  </si>
  <si>
    <t>INA</t>
  </si>
  <si>
    <t>2024-09-25 14:04:28.395000</t>
  </si>
  <si>
    <t>2024-09-25T14:07:48.334+00:00</t>
  </si>
  <si>
    <t>IN</t>
  </si>
  <si>
    <t>2024-09-25 14:07:35.805000</t>
  </si>
  <si>
    <t>2024-09-25T14:08:05.639+00:00</t>
  </si>
  <si>
    <t>K99</t>
  </si>
  <si>
    <t>2024-09-25T14:08:34.935+00:00</t>
  </si>
  <si>
    <t>NC</t>
  </si>
  <si>
    <t>2024-09-25 14:08:18.557000</t>
  </si>
  <si>
    <t>2024-09-25T14:10:14.367+00:00</t>
  </si>
  <si>
    <t>2024-09-25T14:10:32.444+00:00</t>
  </si>
  <si>
    <t>2024-09-25T14:11:17.123+00:00</t>
  </si>
  <si>
    <t>2024-09-25T14:12:20.497+00:00</t>
  </si>
  <si>
    <t>2024-09-25T14:17:09.184+00:00</t>
  </si>
  <si>
    <t>2024-09-25T14:17:22.170+00:00</t>
  </si>
  <si>
    <t>1 - Contratos que apresentam capital a 0, por isso não se apresentam na tabela de contabilidade 
2 - Contratos com saldos associados</t>
  </si>
  <si>
    <t>Total:  365684
1 - 365 034
2 - 650</t>
  </si>
  <si>
    <t>1 - OK
2 - ?</t>
  </si>
  <si>
    <t xml:space="preserve">Total: 956041
1 - 956041
</t>
  </si>
  <si>
    <t>2024-09-04T13:21:36.530+00:00</t>
  </si>
  <si>
    <t>175</t>
  </si>
  <si>
    <t>2024-09-04T13:21:39.990+00:00</t>
  </si>
  <si>
    <t>2024-09-04T13:21:44.355+00:00</t>
  </si>
  <si>
    <t>2024-09-04T13:21:52.203+00:00</t>
  </si>
  <si>
    <t>2024-09-04T13:21:56.590+00:00</t>
  </si>
  <si>
    <t>2024-09-04T13:21:59.428+00:00</t>
  </si>
  <si>
    <t>NTA</t>
  </si>
  <si>
    <t>2024-09-04 13:20:23.360000</t>
  </si>
  <si>
    <t>2024-09-04T13:22:10.868+00:00</t>
  </si>
  <si>
    <t>NT</t>
  </si>
  <si>
    <t>2024-09-04 13:22:01.704000</t>
  </si>
  <si>
    <t>2024-09-04T13:22:27.173+00:00</t>
  </si>
  <si>
    <t>2024-09-04T13:22:33.979+00:00</t>
  </si>
  <si>
    <t>2024-09-04 13:22:29.808000</t>
  </si>
  <si>
    <t>2024-09-04T13:23:00.678+00:00</t>
  </si>
  <si>
    <t>2024-09-04T13:23:14.166+00:00</t>
  </si>
  <si>
    <t>2024-09-04T13:23:22.625+00:00</t>
  </si>
  <si>
    <t>2024-09-04T13:23:36.674+00:00</t>
  </si>
  <si>
    <t>2024-09-04T13:25:52.733+00:00</t>
  </si>
  <si>
    <t>65</t>
  </si>
  <si>
    <t>2024-09-04T13:26:05.688+00:00</t>
  </si>
  <si>
    <t xml:space="preserve">1 - Contratos que apresentam capital a 0, por isso não se apresentam na tabela de contabilidade </t>
  </si>
  <si>
    <t>Total:  65
1 - 65</t>
  </si>
  <si>
    <t xml:space="preserve">Total: 175
1 - 175
</t>
  </si>
  <si>
    <t>2024-08-16T09:31:02.695+00:00</t>
  </si>
  <si>
    <t>1,00</t>
  </si>
  <si>
    <t>967308</t>
  </si>
  <si>
    <t>2024-08-16T09:31:14.695+00:00</t>
  </si>
  <si>
    <t>2024-08-16T09:31:43.670+00:00</t>
  </si>
  <si>
    <t>2024-08-16T09:31:53.561+00:00</t>
  </si>
  <si>
    <t>2024-08-16T09:31:56.849+00:00</t>
  </si>
  <si>
    <t>2024-08-16T09:31:59.899+00:00</t>
  </si>
  <si>
    <t>2024-08-16 09:11:09.058000</t>
  </si>
  <si>
    <t>2024-08-16T09:32:04.022+00:00</t>
  </si>
  <si>
    <t>2024-08-16 09:32:02.107000</t>
  </si>
  <si>
    <t>2024-08-16T09:32:08.559+00:00</t>
  </si>
  <si>
    <t>2024-08-16T09:32:11.921+00:00</t>
  </si>
  <si>
    <t>2024-08-16 09:32:10.407000</t>
  </si>
  <si>
    <t>2024-08-16T09:32:17.464+00:00</t>
  </si>
  <si>
    <t>2024-08-16T09:32:20.103+00:00</t>
  </si>
  <si>
    <t>2024-08-16T09:32:26.783+00:00</t>
  </si>
  <si>
    <t>2024-08-16T09:32:43.495+00:00</t>
  </si>
  <si>
    <t>2024-08-16T09:32:47.082+00:00</t>
  </si>
  <si>
    <t>2024-08-14T09:07:09.861+00:00</t>
  </si>
  <si>
    <t>2024-08-16T09:31:02.695+00:01</t>
  </si>
  <si>
    <t>1 - Pendente de atualização do mapeamento</t>
  </si>
  <si>
    <t>Total:  967308
1 - 967308</t>
  </si>
  <si>
    <t>order_number</t>
  </si>
  <si>
    <t>transport_imo_id</t>
  </si>
  <si>
    <t>arrival_location_name</t>
  </si>
  <si>
    <t>departure_location_name</t>
  </si>
  <si>
    <t>2024-09-09T11:14:49.727+00:00</t>
  </si>
  <si>
    <t>2024-09-09T11:14:52.764+00:00</t>
  </si>
  <si>
    <t>2024-09-09T11:14:56.895+00:00</t>
  </si>
  <si>
    <t>2024-09-09T11:15:03.218+00:00</t>
  </si>
  <si>
    <t>2024-09-09T11:15:06.503+00:00</t>
  </si>
  <si>
    <t>2024-09-09T11:15:08.939+00:00</t>
  </si>
  <si>
    <t>.</t>
  </si>
  <si>
    <t>MC</t>
  </si>
  <si>
    <t>2024-09-09 10:16:47.277000</t>
  </si>
  <si>
    <t>2024-09-09T11:15:25.218+00:00</t>
  </si>
  <si>
    <t>2024-09-09 11:15:10.440000</t>
  </si>
  <si>
    <t>2024-09-09T11:15:36.019+00:00</t>
  </si>
  <si>
    <t>XTRANS TRANSITOS E LOGISTICA, LDA</t>
  </si>
  <si>
    <t>Z. IND. TERRAFINO EMPOLI</t>
  </si>
  <si>
    <t>VN FAMALICAO</t>
  </si>
  <si>
    <t>XC</t>
  </si>
  <si>
    <t>2024-09-09T11:15:50.948+00:00</t>
  </si>
  <si>
    <t>2024-09-09 11:15:47.047000</t>
  </si>
  <si>
    <t>2024-09-09T11:16:00.946+00:00</t>
  </si>
  <si>
    <t>2024-08-23T15:35:30.439+00:00</t>
  </si>
  <si>
    <t>2024-09-09T11:16:09.412+00:00</t>
  </si>
  <si>
    <t>2024-09-09T11:16:26.785+00:00</t>
  </si>
  <si>
    <t>2024-09-09T11:16:29.829+00:00</t>
  </si>
  <si>
    <t>bigint</t>
  </si>
  <si>
    <t>1 - Não encontra correspondência no left join em RM
2 -  Não encontra correspondência no left join em RX
3 -  Não encontra correspondência no left join em MC
4 -  Não encontra correspondência no left join em XC
5 - Campo vazio de origem em MC
6 - Campo vazio de origem em XC</t>
  </si>
  <si>
    <t>1 - 140
2 - 809
3 - 5765
4 - 1007
5 - 1422
6 - 362</t>
  </si>
  <si>
    <t>1 - 153
2  - 893
3 - 5765
4 - 1007
5 - 1811
6 - 459</t>
  </si>
  <si>
    <t>Test 14</t>
  </si>
  <si>
    <t>1 - 152
2 - 885
3 - 5765
4 - 1007
5 -1233
6 - 407</t>
  </si>
  <si>
    <t>Duplicados eliminados por UNION</t>
  </si>
  <si>
    <t>1 - duplicados em xc</t>
  </si>
  <si>
    <t>1 - 281</t>
  </si>
  <si>
    <t>2024-09-06T10:04:44.887+00:00</t>
  </si>
  <si>
    <t>26499</t>
  </si>
  <si>
    <t>2024-09-06T10:05:11.146+00:00</t>
  </si>
  <si>
    <t>2024-09-06T10:06:21.382+00:00</t>
  </si>
  <si>
    <t>2024-09-06T10:07:04.793+00:00</t>
  </si>
  <si>
    <t>2024-09-06T10:07:15.198+00:00</t>
  </si>
  <si>
    <t>2024-09-06T10:07:24.549+00:00</t>
  </si>
  <si>
    <t>000000000230552000000000000000</t>
  </si>
  <si>
    <t>LAC</t>
  </si>
  <si>
    <t>2024-09-06 09:32:28.891000</t>
  </si>
  <si>
    <t>2024-09-06T10:08:53.763+00:00</t>
  </si>
  <si>
    <t>CC</t>
  </si>
  <si>
    <t>-42408.66</t>
  </si>
  <si>
    <t>2024-09-06 10:07:30.060000</t>
  </si>
  <si>
    <t>2024-09-06T10:09:11.661+00:00</t>
  </si>
  <si>
    <t>239300366394097000000000000000</t>
  </si>
  <si>
    <t>YCV</t>
  </si>
  <si>
    <t>100000000.000000</t>
  </si>
  <si>
    <t>2024-09-06T10:11:30.894+00:00</t>
  </si>
  <si>
    <t>100000000.00</t>
  </si>
  <si>
    <t>1634115.96</t>
  </si>
  <si>
    <t>571000.00</t>
  </si>
  <si>
    <t>2024-09-06 10:09:17.600000</t>
  </si>
  <si>
    <t>2024-09-06T10:12:50.249+00:00</t>
  </si>
  <si>
    <t>0.968750</t>
  </si>
  <si>
    <t>2024-09-06T10:13:23.567+00:00</t>
  </si>
  <si>
    <t>2024-09-06T10:15:08.482+00:00</t>
  </si>
  <si>
    <t>2024-09-06T10:26:26.305+00:00</t>
  </si>
  <si>
    <t>2024-09-06T10:32:46.347+00:00</t>
  </si>
  <si>
    <t>0.785652</t>
  </si>
  <si>
    <t>5680</t>
  </si>
  <si>
    <t>0.999832</t>
  </si>
  <si>
    <t>467</t>
  </si>
  <si>
    <t>2024-09-06T10:32:54.628+00:00</t>
  </si>
  <si>
    <t>Total: 26499
1 - 26499</t>
  </si>
  <si>
    <t xml:space="preserve">1 - OK
</t>
  </si>
  <si>
    <t>1 - 782 ids de conta corrente que não se encontram presentes na rel_contratos
2 - 1 id conta corrente que não apresenta tradução pela coint loc</t>
  </si>
  <si>
    <t>Total: 783
1 -  782 
2 - 1</t>
  </si>
  <si>
    <t>Total: 5680</t>
  </si>
  <si>
    <t>Total: 467</t>
  </si>
  <si>
    <t>main_current_acc_supp_bank_code</t>
  </si>
  <si>
    <t>last_settled_amort_interest_amount</t>
  </si>
  <si>
    <t>last_installment_payment_date</t>
  </si>
  <si>
    <t>last_install_payment_princip_amt</t>
  </si>
  <si>
    <t>2024-09-04T17:16:45.973+00:00</t>
  </si>
  <si>
    <t>28328</t>
  </si>
  <si>
    <t>2024-09-04T17:16:49.284+00:00</t>
  </si>
  <si>
    <t>2024-09-04T17:16:53.890+00:00</t>
  </si>
  <si>
    <t>2024-09-04T17:17:01.635+00:00</t>
  </si>
  <si>
    <t>2024-09-04T17:17:06.382+00:00</t>
  </si>
  <si>
    <t>2024-09-04T17:17:10.210+00:00</t>
  </si>
  <si>
    <t>LEA</t>
  </si>
  <si>
    <t>PT50000000000000000000000</t>
  </si>
  <si>
    <t>-93554.100000</t>
  </si>
  <si>
    <t>-0.790000</t>
  </si>
  <si>
    <t>F</t>
  </si>
  <si>
    <t>12E</t>
  </si>
  <si>
    <t>LG</t>
  </si>
  <si>
    <t>2024-09-04 16:54:16.464000</t>
  </si>
  <si>
    <t>2024-09-04T17:17:19.100+00:00</t>
  </si>
  <si>
    <t>-93554.10</t>
  </si>
  <si>
    <t>-0.79</t>
  </si>
  <si>
    <t>-2.48</t>
  </si>
  <si>
    <t>0.0000</t>
  </si>
  <si>
    <t>Branch</t>
  </si>
  <si>
    <t>2024-09-04 17:17:12.601000</t>
  </si>
  <si>
    <t>2024-09-04T17:17:22.901+00:00</t>
  </si>
  <si>
    <t>Y45</t>
  </si>
  <si>
    <t>PT50999999997408000085362</t>
  </si>
  <si>
    <t>17057000.000000</t>
  </si>
  <si>
    <t>3497121.590000</t>
  </si>
  <si>
    <t>10579101.540000</t>
  </si>
  <si>
    <t>865240.130000</t>
  </si>
  <si>
    <t>115967.240000</t>
  </si>
  <si>
    <t>61792.430000</t>
  </si>
  <si>
    <t>209414.280000</t>
  </si>
  <si>
    <t>411372.810000</t>
  </si>
  <si>
    <t>10438195.730000</t>
  </si>
  <si>
    <t>2405861.370000</t>
  </si>
  <si>
    <t>21746.090000</t>
  </si>
  <si>
    <t>325.000000</t>
  </si>
  <si>
    <t>219741.220000</t>
  </si>
  <si>
    <t>610944.000000</t>
  </si>
  <si>
    <t>55773.910000</t>
  </si>
  <si>
    <t>2175.500000</t>
  </si>
  <si>
    <t>143327.350000</t>
  </si>
  <si>
    <t>1554854.740000</t>
  </si>
  <si>
    <t>359059.060000</t>
  </si>
  <si>
    <t>5130.890000</t>
  </si>
  <si>
    <t>224921.850000</t>
  </si>
  <si>
    <t>I</t>
  </si>
  <si>
    <t>X1M</t>
  </si>
  <si>
    <t>91.788100</t>
  </si>
  <si>
    <t>11.540000</t>
  </si>
  <si>
    <t>96.788100</t>
  </si>
  <si>
    <t>11.333300</t>
  </si>
  <si>
    <t>17.125000</t>
  </si>
  <si>
    <t>2024-09-04T17:17:31.067+00:00</t>
  </si>
  <si>
    <t>17057000.00</t>
  </si>
  <si>
    <t>3497121.59</t>
  </si>
  <si>
    <t>10579101.54</t>
  </si>
  <si>
    <t>865240.13</t>
  </si>
  <si>
    <t>115967.24</t>
  </si>
  <si>
    <t>61792.43</t>
  </si>
  <si>
    <t>209414.28</t>
  </si>
  <si>
    <t>411372.81</t>
  </si>
  <si>
    <t>10438195.73</t>
  </si>
  <si>
    <t>2405861.37</t>
  </si>
  <si>
    <t>21746.09</t>
  </si>
  <si>
    <t>325.00</t>
  </si>
  <si>
    <t>219741.22</t>
  </si>
  <si>
    <t>610944.00</t>
  </si>
  <si>
    <t>55773.91</t>
  </si>
  <si>
    <t>2175.50</t>
  </si>
  <si>
    <t>143327.35</t>
  </si>
  <si>
    <t>1554854.74</t>
  </si>
  <si>
    <t>359059.06</t>
  </si>
  <si>
    <t>5130.89</t>
  </si>
  <si>
    <t>224921.85</t>
  </si>
  <si>
    <t>91.7881</t>
  </si>
  <si>
    <t>11.5400</t>
  </si>
  <si>
    <t>96.7881</t>
  </si>
  <si>
    <t>11.3333</t>
  </si>
  <si>
    <t>17.1250</t>
  </si>
  <si>
    <t>Internet</t>
  </si>
  <si>
    <t>2024-09-04 17:17:25.238000</t>
  </si>
  <si>
    <t>2024-09-04T17:18:03.768+00:00</t>
  </si>
  <si>
    <t>0.836066</t>
  </si>
  <si>
    <t>2024-09-04T17:18:09.193+00:00</t>
  </si>
  <si>
    <t>2024-09-04T17:18:18.756+00:00</t>
  </si>
  <si>
    <t>2024-09-04T17:18:32.288+00:00</t>
  </si>
  <si>
    <t>2024-09-04T17:18:51.437+00:00</t>
  </si>
  <si>
    <t>0.990681</t>
  </si>
  <si>
    <t>264</t>
  </si>
  <si>
    <t>0.992839</t>
  </si>
  <si>
    <t>1181</t>
  </si>
  <si>
    <t>2024-09-04T17:18:53.667+00:00</t>
  </si>
  <si>
    <t>1 - Comprimento do IBAN, que vem da origem, superado em alguns casos por aquele definido no mapeamento</t>
  </si>
  <si>
    <t>Total:  3
1 - 3</t>
  </si>
  <si>
    <t>1 - Campo vazio na origem</t>
  </si>
  <si>
    <t>Total:  21
1 - 21</t>
  </si>
  <si>
    <t>Total:  2
1 - 2</t>
  </si>
  <si>
    <t>Total:  2014
1 - 2014</t>
  </si>
  <si>
    <t>Total:  1337
1 - 1337</t>
  </si>
  <si>
    <t>Total:  28102
1 - 28102</t>
  </si>
  <si>
    <t>Total:  1500
1 - 1500</t>
  </si>
  <si>
    <t>Total:  437
1 - 437</t>
  </si>
  <si>
    <t>1 - Falta de correspondência entre a tabela de contratos de leasing com  a tabela de propostas
2 - Condições não correspondidas</t>
  </si>
  <si>
    <t>Total:  3641
1 - 2548
2 - 1093</t>
  </si>
  <si>
    <t>1 - Contratos de leasing cuja data de validade já foi ultrapassada (current_maturity_date &lt;= data_date_part), mas que possuem o saldo a 0
2 - Contratos de leasing dentro das regras de ataque, com saldo associado a 0</t>
  </si>
  <si>
    <t>Total: 264
1 - 59
2 - 205</t>
  </si>
  <si>
    <t>1 - 1181 contratos de leasing que aparecem nas IC e não aparecem no MCD</t>
  </si>
  <si>
    <t>Total: 1181
1 - 1181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</si>
</sst>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51" x14ac:knownFonts="1">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
      <sz val="11"/>
      <color rgb="FF000000"/>
      <name val="Calibri"/>
      <charset val="1"/>
    </font>
    <font>
      <sz val="8"/>
      <color theme="1"/>
      <name val="Calibri"/>
      <family val="2"/>
    </font>
    <font>
      <sz val="8"/>
      <color theme="1"/>
      <name val="Calibri"/>
      <family val="2"/>
      <scheme val="minor"/>
    </font>
    <font>
      <i/>
      <sz val="11"/>
      <color theme="1"/>
      <name val="Calibri"/>
      <family val="2"/>
      <scheme val="minor"/>
    </font>
    <font>
      <b/>
      <sz val="11"/>
      <color theme="0"/>
      <name val="Calibri"/>
      <family val="2"/>
      <scheme val="minor"/>
    </font>
    <font>
      <sz val="11"/>
      <color rgb="FF000000"/>
      <name val="Calibri"/>
      <family val="2"/>
      <scheme val="minor"/>
    </font>
    <font>
      <b/>
      <sz val="11"/>
      <color theme="1"/>
      <name val="Calibri"/>
      <family val="2"/>
      <scheme val="minor"/>
    </font>
    <font>
      <sz val="11"/>
      <color rgb="FF242424"/>
      <name val="Aptos Narrow"/>
      <charset val="1"/>
    </font>
    <font>
      <b/>
      <sz val="11"/>
      <color rgb="FFFF0000"/>
      <name val="Calibri"/>
      <family val="2"/>
      <scheme val="minor"/>
    </font>
    <font>
      <sz val="11"/>
      <color rgb="FF000000"/>
      <name val="Calibri"/>
    </font>
    <font>
      <b/>
      <sz val="11"/>
      <color rgb="FF000000"/>
      <name val="Calibri"/>
      <scheme val="minor"/>
    </font>
    <font>
      <b/>
      <sz val="11"/>
      <color rgb="FF000000"/>
      <name val="Calibri"/>
    </font>
    <font>
      <sz val="11"/>
      <color theme="1"/>
      <name val="Calibri"/>
      <family val="2"/>
    </font>
    <font>
      <sz val="11"/>
      <color theme="1"/>
      <name val="Calibri"/>
    </font>
    <font>
      <strike/>
      <sz val="11"/>
      <color rgb="FF000000"/>
      <name val="Calibri"/>
      <scheme val="minor"/>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00B05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FF"/>
        <bgColor indexed="64"/>
      </patternFill>
    </fill>
  </fills>
  <borders count="30">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405">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0" xfId="0" applyAlignment="1">
      <alignment horizontal="left" vertical="center"/>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30" fillId="0" borderId="11" xfId="0" applyFont="1" applyBorder="1" applyAlignment="1">
      <alignment horizontal="left" vertical="center"/>
    </xf>
    <xf numFmtId="0" fontId="0" fillId="0" borderId="11" xfId="0" applyBorder="1" applyAlignment="1" applyProtection="1">
      <alignment horizontal="left" vertical="center"/>
      <protection locked="0"/>
    </xf>
    <xf numFmtId="0" fontId="30" fillId="0" borderId="11" xfId="0" applyFont="1" applyBorder="1" applyAlignment="1">
      <alignment horizontal="left" vertical="center" wrapText="1"/>
    </xf>
    <xf numFmtId="49" fontId="0" fillId="0" borderId="11" xfId="0" applyNumberFormat="1" applyBorder="1" applyAlignment="1">
      <alignment horizontal="center" vertical="center"/>
    </xf>
    <xf numFmtId="0" fontId="30" fillId="0" borderId="11" xfId="0" applyFont="1" applyBorder="1" applyAlignment="1">
      <alignment vertical="center" wrapText="1"/>
    </xf>
    <xf numFmtId="0" fontId="0" fillId="8" borderId="11" xfId="0" applyFill="1" applyBorder="1" applyAlignment="1">
      <alignment horizontal="left" vertical="center"/>
    </xf>
    <xf numFmtId="0" fontId="0" fillId="8" borderId="11" xfId="0" applyFill="1" applyBorder="1" applyAlignment="1">
      <alignment horizontal="left" vertical="center" wrapText="1"/>
    </xf>
    <xf numFmtId="0" fontId="28" fillId="0" borderId="11" xfId="0" applyFont="1" applyBorder="1" applyAlignment="1">
      <alignment vertical="center" wrapText="1"/>
    </xf>
    <xf numFmtId="0" fontId="30" fillId="0" borderId="11" xfId="0" applyFont="1" applyBorder="1" applyAlignment="1">
      <alignment vertical="center"/>
    </xf>
    <xf numFmtId="0" fontId="30" fillId="0" borderId="11" xfId="0" applyFont="1" applyBorder="1" applyAlignment="1">
      <alignment horizontal="center" vertical="center"/>
    </xf>
    <xf numFmtId="0" fontId="0" fillId="0" borderId="11" xfId="0" quotePrefix="1" applyBorder="1" applyAlignment="1">
      <alignment horizontal="center" vertical="center" wrapText="1"/>
    </xf>
    <xf numFmtId="0" fontId="0" fillId="8" borderId="11" xfId="0" applyFill="1" applyBorder="1" applyAlignment="1">
      <alignment vertical="center" wrapText="1"/>
    </xf>
    <xf numFmtId="0" fontId="0" fillId="0" borderId="13" xfId="0" applyBorder="1" applyAlignment="1" applyProtection="1">
      <alignment horizontal="center" vertical="center" wrapText="1"/>
      <protection locked="0"/>
    </xf>
    <xf numFmtId="0" fontId="0" fillId="8" borderId="11" xfId="0" applyFill="1" applyBorder="1" applyAlignment="1">
      <alignment vertical="center"/>
    </xf>
    <xf numFmtId="0" fontId="0" fillId="8" borderId="11" xfId="0" applyFill="1" applyBorder="1" applyAlignment="1">
      <alignment horizontal="center" vertical="center" wrapText="1"/>
    </xf>
    <xf numFmtId="0" fontId="27" fillId="0" borderId="11" xfId="0" applyFont="1" applyBorder="1" applyAlignment="1">
      <alignment horizontal="left" vertical="center" wrapText="1"/>
    </xf>
    <xf numFmtId="0" fontId="0" fillId="8" borderId="11" xfId="0" applyFill="1" applyBorder="1" applyAlignment="1">
      <alignment horizontal="center" vertical="center"/>
    </xf>
    <xf numFmtId="0" fontId="28" fillId="0" borderId="11" xfId="0" applyFont="1" applyBorder="1" applyAlignment="1">
      <alignment vertical="center"/>
    </xf>
    <xf numFmtId="0" fontId="0" fillId="0" borderId="11" xfId="0" applyBorder="1" applyAlignment="1" applyProtection="1">
      <alignment vertical="center"/>
      <protection locked="0"/>
    </xf>
    <xf numFmtId="49" fontId="31" fillId="0" borderId="11" xfId="0" applyNumberFormat="1" applyFont="1" applyBorder="1" applyAlignment="1">
      <alignment vertical="center" wrapText="1"/>
    </xf>
    <xf numFmtId="49" fontId="30" fillId="0" borderId="11" xfId="0" applyNumberFormat="1" applyFont="1" applyBorder="1" applyAlignment="1">
      <alignment vertical="center" wrapText="1"/>
    </xf>
    <xf numFmtId="0" fontId="33"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0" fillId="8" borderId="11" xfId="0" applyFill="1" applyBorder="1" applyAlignment="1" applyProtection="1">
      <alignment horizontal="left" vertical="center"/>
      <protection locked="0"/>
    </xf>
    <xf numFmtId="49" fontId="0" fillId="0" borderId="11" xfId="0" applyNumberFormat="1" applyBorder="1" applyAlignment="1">
      <alignment horizontal="center" vertical="center" wrapText="1"/>
    </xf>
    <xf numFmtId="0" fontId="32" fillId="0" borderId="11" xfId="0" applyFont="1" applyBorder="1" applyAlignment="1">
      <alignment vertical="center" wrapText="1"/>
    </xf>
    <xf numFmtId="0" fontId="31" fillId="0" borderId="11" xfId="0" applyFont="1" applyBorder="1" applyAlignment="1">
      <alignment vertical="center" wrapText="1"/>
    </xf>
    <xf numFmtId="0" fontId="32" fillId="0" borderId="11" xfId="0" applyFont="1" applyBorder="1" applyAlignment="1">
      <alignment vertical="center"/>
    </xf>
    <xf numFmtId="0" fontId="0" fillId="0" borderId="17" xfId="0" applyBorder="1" applyAlignment="1">
      <alignment horizontal="left" vertical="center" wrapText="1"/>
    </xf>
    <xf numFmtId="0" fontId="0" fillId="0" borderId="11" xfId="0" applyBorder="1" applyAlignment="1" applyProtection="1">
      <alignment vertical="center" wrapText="1"/>
      <protection locked="0"/>
    </xf>
    <xf numFmtId="0" fontId="0" fillId="0" borderId="0" xfId="0" applyAlignment="1">
      <alignment horizontal="center" vertical="center"/>
    </xf>
    <xf numFmtId="0" fontId="38" fillId="0" borderId="11" xfId="0" applyFont="1" applyBorder="1" applyAlignment="1">
      <alignment horizontal="left" vertical="center"/>
    </xf>
    <xf numFmtId="0" fontId="38" fillId="0" borderId="12" xfId="0" applyFont="1" applyBorder="1" applyAlignment="1">
      <alignment horizontal="left" vertical="center" wrapText="1"/>
    </xf>
    <xf numFmtId="0" fontId="38" fillId="0" borderId="11" xfId="0" applyFont="1" applyBorder="1" applyAlignment="1">
      <alignment horizontal="left" vertical="center" wrapText="1"/>
    </xf>
    <xf numFmtId="0" fontId="38" fillId="0" borderId="12" xfId="0" applyFont="1" applyBorder="1" applyAlignment="1">
      <alignment horizontal="left" vertical="center"/>
    </xf>
    <xf numFmtId="0" fontId="26" fillId="5" borderId="17"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37" fillId="0" borderId="16" xfId="0" applyFont="1" applyBorder="1" applyAlignment="1">
      <alignment horizontal="center" vertical="center"/>
    </xf>
    <xf numFmtId="0" fontId="38" fillId="0" borderId="16" xfId="0" applyFont="1" applyBorder="1" applyAlignment="1">
      <alignment horizontal="center" vertical="center"/>
    </xf>
    <xf numFmtId="0" fontId="38" fillId="0" borderId="22" xfId="0" applyFont="1" applyBorder="1" applyAlignment="1">
      <alignment horizontal="center" vertical="center"/>
    </xf>
    <xf numFmtId="0" fontId="26" fillId="5" borderId="23" xfId="0" applyFont="1" applyFill="1" applyBorder="1" applyAlignment="1">
      <alignment horizontal="center" vertical="center" wrapText="1"/>
    </xf>
    <xf numFmtId="0" fontId="38" fillId="0" borderId="14" xfId="0" applyFont="1" applyBorder="1" applyAlignment="1">
      <alignment horizontal="left" vertical="center"/>
    </xf>
    <xf numFmtId="0" fontId="38" fillId="0" borderId="24"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0" fontId="39" fillId="8" borderId="11" xfId="0" applyFont="1" applyFill="1" applyBorder="1" applyAlignment="1">
      <alignment vertical="center" wrapText="1"/>
    </xf>
    <xf numFmtId="22" fontId="0" fillId="0" borderId="0" xfId="0" applyNumberFormat="1"/>
    <xf numFmtId="0" fontId="0" fillId="0" borderId="0" xfId="0" applyAlignment="1">
      <alignment horizontal="left"/>
    </xf>
    <xf numFmtId="0" fontId="36" fillId="0" borderId="11" xfId="0" applyFont="1" applyBorder="1" applyAlignment="1">
      <alignment vertical="center"/>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5" xfId="0" applyFont="1" applyFill="1" applyBorder="1" applyAlignment="1">
      <alignment horizontal="center" vertical="center" wrapText="1"/>
    </xf>
    <xf numFmtId="0" fontId="41" fillId="0" borderId="11" xfId="0" applyFont="1" applyBorder="1" applyAlignment="1">
      <alignment horizontal="left" vertical="center" wrapText="1"/>
    </xf>
    <xf numFmtId="0" fontId="0" fillId="0" borderId="14" xfId="0" applyBorder="1"/>
    <xf numFmtId="0" fontId="0" fillId="0" borderId="13" xfId="0" applyBorder="1"/>
    <xf numFmtId="22" fontId="0" fillId="0" borderId="13" xfId="0" applyNumberFormat="1" applyBorder="1"/>
    <xf numFmtId="0" fontId="0" fillId="0" borderId="15" xfId="0" applyBorder="1"/>
    <xf numFmtId="22" fontId="0" fillId="0" borderId="15" xfId="0" applyNumberFormat="1" applyBorder="1"/>
    <xf numFmtId="0" fontId="0" fillId="0" borderId="23" xfId="0" applyBorder="1"/>
    <xf numFmtId="0" fontId="0" fillId="0" borderId="16" xfId="0" applyBorder="1"/>
    <xf numFmtId="0" fontId="0" fillId="0" borderId="21" xfId="0" applyBorder="1"/>
    <xf numFmtId="0" fontId="0" fillId="0" borderId="13" xfId="0" applyBorder="1" applyAlignment="1">
      <alignment horizontal="left"/>
    </xf>
    <xf numFmtId="0" fontId="0" fillId="0" borderId="15" xfId="0" applyBorder="1" applyAlignment="1">
      <alignment vertical="center"/>
    </xf>
    <xf numFmtId="22" fontId="0" fillId="0" borderId="15" xfId="0" applyNumberFormat="1" applyBorder="1" applyAlignment="1">
      <alignment vertical="center"/>
    </xf>
    <xf numFmtId="0" fontId="0" fillId="0" borderId="13" xfId="0" applyBorder="1" applyAlignment="1">
      <alignment horizontal="left" vertical="center"/>
    </xf>
    <xf numFmtId="22" fontId="0" fillId="0" borderId="13" xfId="0" applyNumberFormat="1" applyBorder="1" applyAlignment="1">
      <alignment horizontal="left" vertical="center"/>
    </xf>
    <xf numFmtId="0" fontId="0" fillId="0" borderId="14" xfId="0" applyBorder="1" applyAlignment="1">
      <alignment vertical="center"/>
    </xf>
    <xf numFmtId="0" fontId="0" fillId="0" borderId="16" xfId="0" applyBorder="1" applyAlignment="1">
      <alignment vertical="center"/>
    </xf>
    <xf numFmtId="0" fontId="0" fillId="0" borderId="23" xfId="0" applyBorder="1" applyAlignment="1">
      <alignment vertical="center"/>
    </xf>
    <xf numFmtId="0" fontId="0" fillId="0" borderId="13" xfId="0" applyBorder="1" applyAlignment="1">
      <alignment vertical="center"/>
    </xf>
    <xf numFmtId="22" fontId="0" fillId="0" borderId="13" xfId="0" applyNumberFormat="1" applyBorder="1" applyAlignment="1">
      <alignment vertical="center"/>
    </xf>
    <xf numFmtId="0" fontId="0" fillId="0" borderId="21" xfId="0" applyBorder="1" applyAlignment="1">
      <alignment horizontal="left" vertical="center"/>
    </xf>
    <xf numFmtId="0" fontId="0" fillId="0" borderId="23" xfId="0" applyBorder="1" applyAlignment="1">
      <alignment horizontal="left" vertical="center"/>
    </xf>
    <xf numFmtId="0" fontId="0" fillId="0" borderId="14" xfId="0" applyBorder="1" applyAlignment="1">
      <alignment horizontal="left" vertical="center"/>
    </xf>
    <xf numFmtId="0" fontId="0" fillId="0" borderId="17" xfId="0" applyBorder="1" applyAlignment="1">
      <alignment vertical="center" wrapText="1"/>
    </xf>
    <xf numFmtId="0" fontId="40" fillId="10" borderId="15" xfId="0" applyFont="1" applyFill="1" applyBorder="1" applyAlignment="1">
      <alignment horizontal="left"/>
    </xf>
    <xf numFmtId="0" fontId="40" fillId="10" borderId="16" xfId="0" applyFont="1" applyFill="1" applyBorder="1" applyAlignment="1">
      <alignment horizontal="left"/>
    </xf>
    <xf numFmtId="0" fontId="40" fillId="10" borderId="16" xfId="0" applyFont="1" applyFill="1" applyBorder="1" applyAlignment="1">
      <alignment horizontal="center" vertical="center"/>
    </xf>
    <xf numFmtId="0" fontId="40" fillId="10" borderId="11" xfId="0" applyFont="1" applyFill="1" applyBorder="1" applyAlignment="1">
      <alignment horizontal="left"/>
    </xf>
    <xf numFmtId="0" fontId="40" fillId="10" borderId="14" xfId="0" applyFont="1" applyFill="1" applyBorder="1" applyAlignment="1">
      <alignment horizontal="center" vertical="center"/>
    </xf>
    <xf numFmtId="0" fontId="40" fillId="10" borderId="15" xfId="0" applyFont="1" applyFill="1" applyBorder="1" applyAlignment="1">
      <alignment horizontal="center" vertical="center"/>
    </xf>
    <xf numFmtId="0" fontId="40" fillId="10" borderId="12" xfId="0" applyFont="1" applyFill="1" applyBorder="1" applyAlignment="1">
      <alignment horizontal="left"/>
    </xf>
    <xf numFmtId="0" fontId="40" fillId="10" borderId="0" xfId="0" applyFont="1" applyFill="1" applyAlignment="1">
      <alignment horizontal="center" vertical="center"/>
    </xf>
    <xf numFmtId="0" fontId="40" fillId="0" borderId="13" xfId="0" applyFont="1" applyBorder="1" applyAlignment="1">
      <alignment vertical="center"/>
    </xf>
    <xf numFmtId="0" fontId="40" fillId="10" borderId="23" xfId="0" applyFont="1" applyFill="1" applyBorder="1" applyAlignment="1">
      <alignment horizontal="center" vertical="center"/>
    </xf>
    <xf numFmtId="0" fontId="40" fillId="10" borderId="13" xfId="0" applyFont="1" applyFill="1" applyBorder="1" applyAlignment="1">
      <alignment horizontal="center" vertical="center"/>
    </xf>
    <xf numFmtId="0" fontId="40" fillId="10" borderId="21" xfId="0" applyFont="1" applyFill="1" applyBorder="1" applyAlignment="1">
      <alignment horizontal="center" vertical="center"/>
    </xf>
    <xf numFmtId="0" fontId="0" fillId="0" borderId="23" xfId="0" applyBorder="1" applyAlignment="1">
      <alignment vertical="center" wrapText="1"/>
    </xf>
    <xf numFmtId="0" fontId="0" fillId="0" borderId="26" xfId="0" applyBorder="1" applyAlignment="1">
      <alignment vertical="center"/>
    </xf>
    <xf numFmtId="0" fontId="0" fillId="0" borderId="24" xfId="0" applyBorder="1" applyAlignment="1">
      <alignment vertical="center"/>
    </xf>
    <xf numFmtId="0" fontId="0" fillId="0" borderId="12" xfId="0" applyBorder="1" applyAlignment="1">
      <alignment vertical="center" wrapText="1"/>
    </xf>
    <xf numFmtId="0" fontId="40" fillId="10" borderId="11" xfId="0" applyFont="1" applyFill="1" applyBorder="1" applyAlignment="1">
      <alignment vertical="center"/>
    </xf>
    <xf numFmtId="0" fontId="40" fillId="10" borderId="12" xfId="0" applyFont="1" applyFill="1" applyBorder="1" applyAlignment="1">
      <alignment vertical="center"/>
    </xf>
    <xf numFmtId="0" fontId="40" fillId="0" borderId="0" xfId="0" applyFont="1" applyAlignment="1">
      <alignment vertical="center"/>
    </xf>
    <xf numFmtId="0" fontId="0" fillId="0" borderId="15" xfId="0" applyBorder="1" applyAlignment="1">
      <alignment horizontal="left" vertical="center"/>
    </xf>
    <xf numFmtId="0" fontId="0" fillId="0" borderId="16" xfId="0" applyBorder="1" applyAlignment="1">
      <alignment horizontal="left" vertical="center"/>
    </xf>
    <xf numFmtId="22" fontId="0" fillId="0" borderId="15" xfId="0" applyNumberFormat="1" applyBorder="1" applyAlignment="1">
      <alignment horizontal="left" vertical="center"/>
    </xf>
    <xf numFmtId="49" fontId="0" fillId="0" borderId="23" xfId="0" applyNumberFormat="1" applyBorder="1" applyAlignment="1">
      <alignment vertical="center" wrapText="1"/>
    </xf>
    <xf numFmtId="49" fontId="0" fillId="0" borderId="10" xfId="0" applyNumberFormat="1" applyBorder="1" applyAlignment="1">
      <alignment vertical="center" wrapText="1"/>
    </xf>
    <xf numFmtId="0" fontId="40" fillId="10" borderId="15" xfId="0" applyFont="1" applyFill="1" applyBorder="1"/>
    <xf numFmtId="0" fontId="40" fillId="10" borderId="10" xfId="0" applyFont="1" applyFill="1" applyBorder="1" applyAlignment="1">
      <alignment horizontal="center" vertical="center"/>
    </xf>
    <xf numFmtId="0" fontId="40" fillId="10" borderId="27" xfId="0" applyFont="1" applyFill="1" applyBorder="1" applyAlignment="1">
      <alignment horizontal="center" vertical="center"/>
    </xf>
    <xf numFmtId="0" fontId="0" fillId="0" borderId="15" xfId="0" applyBorder="1" applyAlignment="1">
      <alignment horizontal="left"/>
    </xf>
    <xf numFmtId="0" fontId="0" fillId="0" borderId="16" xfId="0" applyBorder="1" applyAlignment="1">
      <alignment horizontal="left"/>
    </xf>
    <xf numFmtId="0" fontId="0" fillId="0" borderId="13" xfId="0" applyBorder="1" applyAlignment="1">
      <alignment horizontal="left" vertical="center" wrapText="1"/>
    </xf>
    <xf numFmtId="0" fontId="0" fillId="0" borderId="23" xfId="0" applyBorder="1" applyAlignment="1">
      <alignment horizontal="left" vertical="center" wrapText="1"/>
    </xf>
    <xf numFmtId="0" fontId="0" fillId="0" borderId="13" xfId="0" applyBorder="1" applyAlignment="1">
      <alignment vertical="center" wrapText="1"/>
    </xf>
    <xf numFmtId="0" fontId="0" fillId="0" borderId="11" xfId="0" quotePrefix="1" applyBorder="1" applyAlignment="1">
      <alignment vertical="center" wrapText="1"/>
    </xf>
    <xf numFmtId="49" fontId="31" fillId="0" borderId="0" xfId="0" applyNumberFormat="1" applyFont="1"/>
    <xf numFmtId="0" fontId="42" fillId="0" borderId="0" xfId="0" applyFont="1"/>
    <xf numFmtId="0" fontId="0" fillId="0" borderId="11" xfId="0" applyBorder="1" applyAlignment="1" applyProtection="1">
      <alignment horizontal="left" vertical="center" wrapText="1"/>
      <protection locked="0"/>
    </xf>
    <xf numFmtId="0" fontId="41" fillId="0" borderId="11" xfId="0" applyFont="1" applyBorder="1" applyAlignment="1">
      <alignment horizontal="left" vertical="center"/>
    </xf>
    <xf numFmtId="0" fontId="0" fillId="0" borderId="0" xfId="0" applyAlignment="1">
      <alignment horizontal="right"/>
    </xf>
    <xf numFmtId="0" fontId="0" fillId="0" borderId="0" xfId="0" applyAlignment="1">
      <alignment horizontal="right" vertical="center"/>
    </xf>
    <xf numFmtId="0" fontId="40" fillId="10" borderId="28" xfId="0" applyFont="1" applyFill="1" applyBorder="1" applyAlignment="1">
      <alignment horizontal="right" vertical="center"/>
    </xf>
    <xf numFmtId="0" fontId="0" fillId="0" borderId="13" xfId="0" applyBorder="1" applyAlignment="1">
      <alignment horizontal="right"/>
    </xf>
    <xf numFmtId="0" fontId="0" fillId="0" borderId="15" xfId="0" applyBorder="1" applyAlignment="1">
      <alignment horizontal="right"/>
    </xf>
    <xf numFmtId="0" fontId="42" fillId="0" borderId="0" xfId="0" applyFont="1" applyAlignment="1">
      <alignment horizontal="right"/>
    </xf>
    <xf numFmtId="0" fontId="40" fillId="6" borderId="15" xfId="0" applyFont="1" applyFill="1" applyBorder="1" applyAlignment="1">
      <alignment horizontal="center" vertical="center"/>
    </xf>
    <xf numFmtId="0" fontId="40" fillId="6" borderId="14" xfId="0" applyFont="1" applyFill="1" applyBorder="1" applyAlignment="1">
      <alignment horizontal="center" vertical="center"/>
    </xf>
    <xf numFmtId="0" fontId="40" fillId="6" borderId="15" xfId="0" applyFont="1" applyFill="1" applyBorder="1" applyAlignment="1">
      <alignment horizontal="right" vertical="center"/>
    </xf>
    <xf numFmtId="0" fontId="40" fillId="10" borderId="29" xfId="0" applyFont="1" applyFill="1" applyBorder="1" applyAlignment="1">
      <alignment horizontal="right" vertical="center"/>
    </xf>
    <xf numFmtId="0" fontId="0" fillId="0" borderId="21" xfId="0" applyBorder="1" applyAlignment="1">
      <alignment horizontal="right"/>
    </xf>
    <xf numFmtId="0" fontId="0" fillId="0" borderId="10" xfId="0" applyBorder="1" applyAlignment="1">
      <alignment vertical="center"/>
    </xf>
    <xf numFmtId="0" fontId="0" fillId="2" borderId="15" xfId="0" applyFill="1" applyBorder="1" applyAlignment="1">
      <alignment vertical="center"/>
    </xf>
    <xf numFmtId="0" fontId="0" fillId="2" borderId="14" xfId="0" applyFill="1" applyBorder="1" applyAlignment="1">
      <alignment vertical="center"/>
    </xf>
    <xf numFmtId="0" fontId="0" fillId="2" borderId="11" xfId="0" applyFill="1" applyBorder="1" applyAlignment="1">
      <alignment vertical="center" wrapText="1"/>
    </xf>
    <xf numFmtId="0" fontId="0" fillId="2" borderId="13" xfId="0" applyFill="1" applyBorder="1" applyAlignment="1">
      <alignment vertical="center" wrapText="1"/>
    </xf>
    <xf numFmtId="0" fontId="0" fillId="2" borderId="23" xfId="0" applyFill="1" applyBorder="1" applyAlignment="1">
      <alignment vertical="center" wrapText="1"/>
    </xf>
    <xf numFmtId="0" fontId="0" fillId="0" borderId="26" xfId="0" applyBorder="1" applyAlignment="1">
      <alignment horizontal="left" vertical="center"/>
    </xf>
    <xf numFmtId="0" fontId="0" fillId="0" borderId="24" xfId="0" applyBorder="1" applyAlignment="1">
      <alignment horizontal="left" vertical="center"/>
    </xf>
    <xf numFmtId="49" fontId="0" fillId="0" borderId="0" xfId="0" applyNumberFormat="1" applyAlignment="1">
      <alignment horizontal="left" vertical="center"/>
    </xf>
    <xf numFmtId="49" fontId="0" fillId="0" borderId="0" xfId="0" applyNumberFormat="1"/>
    <xf numFmtId="3" fontId="0" fillId="0" borderId="0" xfId="0" quotePrefix="1" applyNumberFormat="1" applyAlignment="1">
      <alignment horizontal="left" vertical="center"/>
    </xf>
    <xf numFmtId="0" fontId="0" fillId="0" borderId="28" xfId="0" applyBorder="1" applyAlignment="1">
      <alignment horizontal="left" vertical="center"/>
    </xf>
    <xf numFmtId="0" fontId="0" fillId="0" borderId="12"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0" xfId="0" applyBorder="1" applyAlignment="1">
      <alignment vertical="center" wrapText="1"/>
    </xf>
    <xf numFmtId="0" fontId="43" fillId="0" borderId="0" xfId="0" applyFont="1"/>
    <xf numFmtId="0" fontId="0" fillId="0" borderId="0" xfId="0" quotePrefix="1" applyAlignment="1">
      <alignment horizontal="left" vertical="center"/>
    </xf>
    <xf numFmtId="0" fontId="0" fillId="0" borderId="16" xfId="0" quotePrefix="1" applyBorder="1" applyAlignment="1">
      <alignment horizontal="left"/>
    </xf>
    <xf numFmtId="2" fontId="0" fillId="0" borderId="0" xfId="0" applyNumberFormat="1" applyAlignment="1">
      <alignment horizontal="left" vertical="center"/>
    </xf>
    <xf numFmtId="49" fontId="38" fillId="0" borderId="14"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3" xfId="0" applyNumberFormat="1" applyBorder="1" applyAlignment="1">
      <alignment horizontal="left" vertical="center" wrapText="1"/>
    </xf>
    <xf numFmtId="0" fontId="0" fillId="0" borderId="10" xfId="0" applyBorder="1" applyAlignment="1">
      <alignment horizontal="left" vertical="center" wrapText="1"/>
    </xf>
    <xf numFmtId="49" fontId="0" fillId="0" borderId="10" xfId="0" applyNumberFormat="1" applyBorder="1" applyAlignment="1">
      <alignment horizontal="left" vertical="center" wrapText="1"/>
    </xf>
    <xf numFmtId="0" fontId="0" fillId="0" borderId="24"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0" fillId="0" borderId="17" xfId="0" applyBorder="1" applyAlignment="1">
      <alignment horizontal="left" vertical="center"/>
    </xf>
    <xf numFmtId="0" fontId="40" fillId="10" borderId="28" xfId="0" applyFont="1" applyFill="1" applyBorder="1" applyAlignment="1">
      <alignment horizontal="center" vertical="center"/>
    </xf>
    <xf numFmtId="0" fontId="40" fillId="0" borderId="10" xfId="0" applyFont="1" applyBorder="1" applyAlignment="1">
      <alignment horizontal="center" vertical="center"/>
    </xf>
    <xf numFmtId="0" fontId="0" fillId="0" borderId="10" xfId="0" applyBorder="1"/>
    <xf numFmtId="0" fontId="0" fillId="0" borderId="10"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40" fillId="9" borderId="16" xfId="0" applyFont="1" applyFill="1" applyBorder="1"/>
    <xf numFmtId="0" fontId="40" fillId="0" borderId="0" xfId="0" applyFont="1" applyAlignment="1">
      <alignment horizontal="center" vertical="center"/>
    </xf>
    <xf numFmtId="0" fontId="0" fillId="0" borderId="0" xfId="0" applyAlignment="1">
      <alignment vertical="center"/>
    </xf>
    <xf numFmtId="0" fontId="0" fillId="0" borderId="10" xfId="0" applyBorder="1" applyAlignment="1">
      <alignment horizontal="left" vertical="center"/>
    </xf>
    <xf numFmtId="0" fontId="40" fillId="9" borderId="0" xfId="0" applyFont="1" applyFill="1"/>
    <xf numFmtId="0" fontId="40" fillId="9" borderId="0" xfId="0" applyFont="1" applyFill="1" applyAlignment="1">
      <alignment horizontal="center" vertical="center"/>
    </xf>
    <xf numFmtId="2" fontId="0" fillId="0" borderId="0" xfId="0" applyNumberFormat="1" applyAlignment="1">
      <alignment horizontal="left"/>
    </xf>
    <xf numFmtId="0" fontId="40" fillId="0" borderId="0" xfId="0" applyFont="1"/>
    <xf numFmtId="0" fontId="40" fillId="9" borderId="27" xfId="0" applyFont="1" applyFill="1" applyBorder="1"/>
    <xf numFmtId="1" fontId="0" fillId="0" borderId="0" xfId="0" quotePrefix="1" applyNumberFormat="1" applyAlignment="1">
      <alignment horizontal="left" vertical="center"/>
    </xf>
    <xf numFmtId="0" fontId="0" fillId="11" borderId="11" xfId="0" applyFill="1" applyBorder="1" applyAlignment="1">
      <alignment horizontal="left" vertical="center"/>
    </xf>
    <xf numFmtId="0" fontId="0" fillId="11" borderId="11" xfId="0" applyFill="1" applyBorder="1" applyAlignment="1">
      <alignment horizontal="center" vertical="center"/>
    </xf>
    <xf numFmtId="0" fontId="0" fillId="11" borderId="11" xfId="0" applyFill="1" applyBorder="1" applyAlignment="1">
      <alignment vertical="center"/>
    </xf>
    <xf numFmtId="0" fontId="0" fillId="11" borderId="11" xfId="0" applyFill="1" applyBorder="1" applyAlignment="1">
      <alignment vertical="center" wrapText="1"/>
    </xf>
    <xf numFmtId="0" fontId="0" fillId="11" borderId="11" xfId="0" applyFill="1" applyBorder="1" applyAlignment="1">
      <alignment horizontal="left" vertical="center" wrapText="1"/>
    </xf>
    <xf numFmtId="0" fontId="0" fillId="11" borderId="11" xfId="0" applyFill="1" applyBorder="1" applyAlignment="1">
      <alignment horizontal="center" vertical="center" wrapText="1"/>
    </xf>
    <xf numFmtId="0" fontId="0" fillId="0" borderId="14" xfId="0" applyBorder="1" applyAlignment="1">
      <alignment vertical="center" wrapText="1"/>
    </xf>
    <xf numFmtId="0" fontId="0" fillId="0" borderId="14" xfId="0" applyBorder="1" applyAlignment="1">
      <alignment horizontal="left" vertical="center" wrapText="1"/>
    </xf>
    <xf numFmtId="0" fontId="0" fillId="2" borderId="13" xfId="0" applyFill="1" applyBorder="1"/>
    <xf numFmtId="49" fontId="38" fillId="0" borderId="0" xfId="0" applyNumberFormat="1" applyFont="1" applyAlignment="1">
      <alignment horizontal="left" vertical="center"/>
    </xf>
    <xf numFmtId="0" fontId="38" fillId="0" borderId="0" xfId="0" applyFont="1" applyAlignment="1">
      <alignment horizontal="left" vertical="center"/>
    </xf>
    <xf numFmtId="0" fontId="33" fillId="0" borderId="18" xfId="0" applyFont="1" applyBorder="1" applyAlignment="1">
      <alignment vertical="center" wrapText="1"/>
    </xf>
    <xf numFmtId="49" fontId="33" fillId="0" borderId="10" xfId="0" applyNumberFormat="1" applyFont="1" applyBorder="1" applyAlignment="1">
      <alignment vertical="center" wrapText="1"/>
    </xf>
    <xf numFmtId="0" fontId="33" fillId="0" borderId="17" xfId="0" applyFont="1" applyBorder="1" applyAlignment="1">
      <alignment vertical="center" wrapText="1"/>
    </xf>
    <xf numFmtId="0" fontId="41" fillId="0" borderId="17" xfId="0" applyFont="1" applyBorder="1" applyAlignment="1">
      <alignment vertical="center" wrapText="1"/>
    </xf>
    <xf numFmtId="0" fontId="0" fillId="0" borderId="18" xfId="0" applyBorder="1" applyAlignment="1">
      <alignment vertical="center" wrapText="1"/>
    </xf>
    <xf numFmtId="0" fontId="40" fillId="12" borderId="15" xfId="0" applyFont="1" applyFill="1" applyBorder="1" applyAlignment="1">
      <alignment horizontal="center" vertical="center"/>
    </xf>
    <xf numFmtId="0" fontId="0" fillId="12" borderId="13" xfId="0" applyFill="1" applyBorder="1"/>
    <xf numFmtId="0" fontId="0" fillId="12" borderId="15" xfId="0" applyFill="1" applyBorder="1" applyAlignment="1">
      <alignment horizontal="left"/>
    </xf>
    <xf numFmtId="0" fontId="0" fillId="0" borderId="27" xfId="0" applyBorder="1"/>
    <xf numFmtId="0" fontId="0" fillId="13" borderId="0" xfId="0" applyFill="1" applyAlignment="1">
      <alignment horizontal="left" vertical="center"/>
    </xf>
    <xf numFmtId="3" fontId="0" fillId="13" borderId="0" xfId="0" applyNumberFormat="1" applyFill="1" applyAlignment="1">
      <alignment horizontal="left" vertical="center"/>
    </xf>
    <xf numFmtId="14" fontId="0" fillId="13" borderId="0" xfId="0" applyNumberFormat="1" applyFill="1" applyAlignment="1">
      <alignment horizontal="left" vertical="center"/>
    </xf>
    <xf numFmtId="0" fontId="36" fillId="14" borderId="0" xfId="0" applyFont="1" applyFill="1"/>
    <xf numFmtId="16" fontId="41" fillId="0" borderId="17" xfId="0" applyNumberFormat="1" applyFont="1" applyBorder="1" applyAlignment="1">
      <alignment vertical="center" wrapText="1"/>
    </xf>
    <xf numFmtId="167" fontId="0" fillId="0" borderId="0" xfId="0" quotePrefix="1" applyNumberFormat="1" applyAlignment="1">
      <alignment horizontal="left" vertical="center"/>
    </xf>
    <xf numFmtId="49" fontId="33" fillId="0" borderId="0" xfId="0" applyNumberFormat="1" applyFont="1" applyAlignment="1">
      <alignment horizontal="left" vertical="center"/>
    </xf>
    <xf numFmtId="0" fontId="0" fillId="2" borderId="26" xfId="0" applyFill="1" applyBorder="1" applyAlignment="1">
      <alignment vertical="center"/>
    </xf>
    <xf numFmtId="0" fontId="33" fillId="2" borderId="17" xfId="0" applyFont="1" applyFill="1" applyBorder="1" applyAlignment="1">
      <alignment vertical="center" wrapText="1"/>
    </xf>
    <xf numFmtId="49" fontId="0" fillId="2" borderId="23" xfId="0" applyNumberFormat="1" applyFill="1" applyBorder="1" applyAlignment="1">
      <alignment vertical="center" wrapText="1"/>
    </xf>
    <xf numFmtId="49" fontId="33" fillId="0" borderId="23" xfId="0" applyNumberFormat="1" applyFont="1" applyBorder="1" applyAlignment="1">
      <alignment vertical="center" wrapText="1"/>
    </xf>
    <xf numFmtId="0" fontId="0" fillId="2" borderId="17" xfId="0" applyFill="1" applyBorder="1" applyAlignment="1">
      <alignment vertical="center" wrapText="1"/>
    </xf>
    <xf numFmtId="0" fontId="0" fillId="2" borderId="24" xfId="0" applyFill="1" applyBorder="1" applyAlignment="1">
      <alignment vertical="center" wrapText="1"/>
    </xf>
    <xf numFmtId="0" fontId="0" fillId="2" borderId="18" xfId="0" applyFill="1" applyBorder="1" applyAlignment="1">
      <alignment vertical="center" wrapText="1"/>
    </xf>
    <xf numFmtId="49" fontId="0" fillId="2" borderId="10" xfId="0" applyNumberFormat="1" applyFill="1" applyBorder="1" applyAlignment="1">
      <alignment vertical="center" wrapText="1"/>
    </xf>
    <xf numFmtId="0" fontId="0" fillId="2" borderId="10" xfId="0" applyFill="1" applyBorder="1" applyAlignment="1">
      <alignment vertical="center" wrapText="1"/>
    </xf>
    <xf numFmtId="0" fontId="0" fillId="2" borderId="24" xfId="0" applyFill="1" applyBorder="1" applyAlignment="1">
      <alignment vertical="center"/>
    </xf>
    <xf numFmtId="2" fontId="0" fillId="0" borderId="0" xfId="0" quotePrefix="1" applyNumberFormat="1" applyAlignment="1">
      <alignment horizontal="left" vertical="center"/>
    </xf>
    <xf numFmtId="0" fontId="0" fillId="0" borderId="0" xfId="0" applyAlignment="1">
      <alignment horizontal="center" vertical="center" wrapText="1"/>
    </xf>
    <xf numFmtId="0" fontId="41" fillId="0" borderId="11" xfId="0" applyFont="1" applyBorder="1" applyAlignment="1">
      <alignment vertical="center" wrapText="1"/>
    </xf>
    <xf numFmtId="0" fontId="41" fillId="2" borderId="15" xfId="0" applyFont="1" applyFill="1" applyBorder="1" applyAlignment="1">
      <alignment horizontal="left" vertical="center"/>
    </xf>
    <xf numFmtId="0" fontId="41" fillId="2" borderId="14" xfId="0" applyFont="1" applyFill="1" applyBorder="1" applyAlignment="1">
      <alignment horizontal="left" vertical="center"/>
    </xf>
    <xf numFmtId="0" fontId="41" fillId="2" borderId="11" xfId="0" applyFont="1" applyFill="1" applyBorder="1" applyAlignment="1">
      <alignment horizontal="left" vertical="center" wrapText="1"/>
    </xf>
    <xf numFmtId="49" fontId="41" fillId="2" borderId="23" xfId="0" applyNumberFormat="1" applyFont="1" applyFill="1" applyBorder="1" applyAlignment="1">
      <alignment horizontal="left" vertical="center" wrapText="1"/>
    </xf>
    <xf numFmtId="0" fontId="0" fillId="2" borderId="11" xfId="0" applyFill="1" applyBorder="1" applyAlignment="1">
      <alignment horizontal="left" vertical="center" wrapText="1"/>
    </xf>
    <xf numFmtId="49" fontId="0" fillId="2" borderId="23" xfId="0" applyNumberFormat="1" applyFill="1" applyBorder="1" applyAlignment="1">
      <alignment horizontal="left" vertical="center" wrapText="1"/>
    </xf>
    <xf numFmtId="0" fontId="0" fillId="2" borderId="24" xfId="0" applyFill="1" applyBorder="1" applyAlignment="1">
      <alignment horizontal="left" vertical="center" wrapText="1"/>
    </xf>
    <xf numFmtId="0" fontId="0" fillId="2" borderId="12" xfId="0" applyFill="1" applyBorder="1" applyAlignment="1">
      <alignment horizontal="left" vertical="center" wrapText="1"/>
    </xf>
    <xf numFmtId="49" fontId="0" fillId="2" borderId="10" xfId="0" applyNumberFormat="1" applyFill="1" applyBorder="1" applyAlignment="1">
      <alignment horizontal="left" vertical="center" wrapText="1"/>
    </xf>
    <xf numFmtId="3" fontId="0" fillId="0" borderId="0" xfId="0" applyNumberFormat="1" applyAlignment="1">
      <alignment horizontal="left"/>
    </xf>
    <xf numFmtId="4" fontId="0" fillId="0" borderId="0" xfId="0" applyNumberFormat="1" applyAlignment="1">
      <alignment horizontal="left"/>
    </xf>
    <xf numFmtId="14" fontId="0" fillId="0" borderId="0" xfId="0" applyNumberFormat="1" applyAlignment="1">
      <alignment horizontal="left"/>
    </xf>
    <xf numFmtId="0" fontId="44" fillId="6" borderId="15" xfId="0" applyFont="1" applyFill="1" applyBorder="1" applyAlignment="1">
      <alignment horizontal="right" vertical="center"/>
    </xf>
    <xf numFmtId="22" fontId="0" fillId="0" borderId="0" xfId="0" applyNumberFormat="1" applyAlignment="1">
      <alignment horizontal="left"/>
    </xf>
    <xf numFmtId="0" fontId="0" fillId="0" borderId="0" xfId="0" applyAlignment="1">
      <alignment horizontal="left" wrapText="1"/>
    </xf>
    <xf numFmtId="0" fontId="0" fillId="8" borderId="13" xfId="0" applyFill="1" applyBorder="1" applyAlignment="1">
      <alignment vertical="center"/>
    </xf>
    <xf numFmtId="0" fontId="0" fillId="8" borderId="23" xfId="0" applyFill="1" applyBorder="1" applyAlignment="1">
      <alignment horizontal="left" vertical="center"/>
    </xf>
    <xf numFmtId="0" fontId="0" fillId="8" borderId="13" xfId="0" applyFill="1" applyBorder="1" applyAlignment="1">
      <alignment horizontal="left" vertical="center" wrapText="1"/>
    </xf>
    <xf numFmtId="0" fontId="0" fillId="8" borderId="23" xfId="0" applyFill="1" applyBorder="1" applyAlignment="1">
      <alignment vertical="center" wrapText="1"/>
    </xf>
    <xf numFmtId="0" fontId="31" fillId="0" borderId="11" xfId="0" applyFont="1" applyBorder="1"/>
    <xf numFmtId="0" fontId="31" fillId="0" borderId="17" xfId="0" applyFont="1" applyBorder="1"/>
    <xf numFmtId="0" fontId="31" fillId="0" borderId="14" xfId="0" applyFont="1" applyBorder="1" applyAlignment="1">
      <alignment vertical="center"/>
    </xf>
    <xf numFmtId="0" fontId="0" fillId="2" borderId="13" xfId="0" applyFill="1" applyBorder="1" applyAlignment="1">
      <alignment horizontal="left" vertical="center" wrapText="1"/>
    </xf>
    <xf numFmtId="0" fontId="33" fillId="0" borderId="12" xfId="0" applyFont="1" applyBorder="1" applyAlignment="1">
      <alignment horizontal="left" vertical="center" wrapText="1"/>
    </xf>
    <xf numFmtId="49" fontId="45" fillId="0" borderId="0" xfId="0" applyNumberFormat="1" applyFont="1"/>
    <xf numFmtId="0" fontId="40" fillId="9" borderId="26" xfId="0" applyFont="1" applyFill="1" applyBorder="1"/>
    <xf numFmtId="0" fontId="40" fillId="10" borderId="26" xfId="0" applyFont="1" applyFill="1" applyBorder="1" applyAlignment="1">
      <alignment horizontal="center" vertical="center"/>
    </xf>
    <xf numFmtId="0" fontId="40" fillId="9" borderId="26" xfId="0" applyFont="1" applyFill="1" applyBorder="1" applyAlignment="1">
      <alignment horizontal="center" vertical="center"/>
    </xf>
    <xf numFmtId="0" fontId="40" fillId="9" borderId="22" xfId="0" applyFont="1" applyFill="1" applyBorder="1" applyAlignment="1">
      <alignment horizontal="center" vertical="center"/>
    </xf>
    <xf numFmtId="0" fontId="0" fillId="0" borderId="22" xfId="0" applyBorder="1"/>
    <xf numFmtId="0" fontId="40" fillId="9" borderId="15" xfId="0" applyFont="1" applyFill="1" applyBorder="1" applyAlignment="1">
      <alignment horizontal="center" vertical="center"/>
    </xf>
    <xf numFmtId="0" fontId="40" fillId="9" borderId="15" xfId="0" applyFont="1" applyFill="1" applyBorder="1"/>
    <xf numFmtId="0" fontId="0" fillId="8" borderId="26" xfId="0" applyFill="1" applyBorder="1" applyAlignment="1">
      <alignment vertical="center"/>
    </xf>
    <xf numFmtId="0" fontId="0" fillId="8" borderId="24" xfId="0" applyFill="1" applyBorder="1" applyAlignment="1">
      <alignment vertical="center"/>
    </xf>
    <xf numFmtId="0" fontId="0" fillId="8" borderId="12" xfId="0" applyFill="1" applyBorder="1" applyAlignment="1">
      <alignment vertical="center" wrapText="1"/>
    </xf>
    <xf numFmtId="0" fontId="0" fillId="8" borderId="0" xfId="0" applyFill="1" applyAlignment="1">
      <alignment horizontal="center" vertical="center"/>
    </xf>
    <xf numFmtId="0" fontId="0" fillId="8" borderId="10" xfId="0" applyFill="1" applyBorder="1" applyAlignment="1">
      <alignment vertical="center" wrapText="1"/>
    </xf>
    <xf numFmtId="0" fontId="33" fillId="0" borderId="11" xfId="0" applyFont="1" applyBorder="1" applyAlignment="1">
      <alignment vertical="center" wrapText="1"/>
    </xf>
    <xf numFmtId="0" fontId="33" fillId="0" borderId="17" xfId="0" applyFont="1" applyBorder="1" applyAlignment="1">
      <alignment horizontal="left" vertical="center" wrapText="1"/>
    </xf>
    <xf numFmtId="0" fontId="33" fillId="0" borderId="11" xfId="0" applyFont="1" applyBorder="1" applyAlignment="1" applyProtection="1">
      <alignment horizontal="left" vertical="center" wrapText="1"/>
      <protection locked="0"/>
    </xf>
    <xf numFmtId="0" fontId="33" fillId="0" borderId="11" xfId="0" applyFont="1" applyBorder="1" applyAlignment="1" applyProtection="1">
      <alignment vertical="center" wrapText="1"/>
      <protection locked="0"/>
    </xf>
    <xf numFmtId="0" fontId="33" fillId="11" borderId="11" xfId="0" applyFont="1" applyFill="1" applyBorder="1" applyAlignment="1">
      <alignment vertical="center" wrapText="1"/>
    </xf>
    <xf numFmtId="0" fontId="25" fillId="9"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45" fillId="0" borderId="11" xfId="0" applyFont="1" applyBorder="1" applyAlignment="1">
      <alignment vertical="center" wrapText="1"/>
    </xf>
    <xf numFmtId="0" fontId="0" fillId="0" borderId="11" xfId="0" applyBorder="1" applyAlignment="1" applyProtection="1">
      <alignment horizontal="center" vertical="center" wrapText="1"/>
      <protection locked="0"/>
    </xf>
    <xf numFmtId="0" fontId="48" fillId="0" borderId="11" xfId="0" applyFont="1" applyBorder="1" applyAlignment="1">
      <alignment vertical="center" wrapText="1"/>
    </xf>
    <xf numFmtId="0" fontId="49" fillId="0" borderId="11" xfId="0" applyFont="1" applyBorder="1" applyAlignment="1">
      <alignment vertical="center" wrapText="1"/>
    </xf>
    <xf numFmtId="0" fontId="31" fillId="0" borderId="11" xfId="0" applyFont="1" applyBorder="1" applyAlignment="1">
      <alignment horizontal="left" vertical="center"/>
    </xf>
    <xf numFmtId="0" fontId="31" fillId="0" borderId="11" xfId="0" applyFont="1" applyBorder="1" applyAlignment="1">
      <alignment horizontal="center" vertical="center"/>
    </xf>
    <xf numFmtId="0" fontId="31" fillId="0" borderId="11" xfId="0" applyFont="1" applyBorder="1" applyAlignment="1">
      <alignment vertical="center"/>
    </xf>
    <xf numFmtId="0" fontId="45" fillId="0" borderId="11" xfId="0" applyFont="1" applyBorder="1" applyAlignment="1">
      <alignment wrapText="1"/>
    </xf>
    <xf numFmtId="0" fontId="31" fillId="0" borderId="11" xfId="0" applyFont="1" applyBorder="1" applyAlignment="1">
      <alignment horizontal="center" vertical="center" wrapText="1"/>
    </xf>
    <xf numFmtId="0" fontId="0" fillId="0" borderId="12" xfId="0" applyBorder="1" applyAlignment="1">
      <alignment horizontal="center" vertical="center"/>
    </xf>
    <xf numFmtId="0" fontId="0" fillId="0" borderId="17" xfId="0" applyBorder="1" applyAlignment="1">
      <alignment horizontal="center" vertical="center"/>
    </xf>
    <xf numFmtId="0" fontId="0" fillId="8" borderId="14" xfId="0" applyFill="1" applyBorder="1" applyAlignment="1">
      <alignment horizontal="left" vertical="center"/>
    </xf>
    <xf numFmtId="0" fontId="0" fillId="8" borderId="14" xfId="0" applyFill="1" applyBorder="1" applyAlignment="1">
      <alignment vertical="center"/>
    </xf>
    <xf numFmtId="0" fontId="30" fillId="0" borderId="12" xfId="0" applyFont="1" applyBorder="1" applyAlignment="1">
      <alignment vertical="center" wrapText="1"/>
    </xf>
    <xf numFmtId="0" fontId="0" fillId="0" borderId="11" xfId="0" quotePrefix="1" applyBorder="1" applyAlignment="1" applyProtection="1">
      <alignment horizontal="center" vertical="center" wrapText="1"/>
      <protection locked="0"/>
    </xf>
    <xf numFmtId="0" fontId="0" fillId="0" borderId="12" xfId="0" applyBorder="1" applyAlignment="1">
      <alignment horizontal="center" vertical="center" wrapText="1"/>
    </xf>
    <xf numFmtId="0" fontId="0" fillId="0" borderId="24" xfId="0" applyBorder="1" applyAlignment="1">
      <alignment vertical="center" wrapText="1"/>
    </xf>
    <xf numFmtId="0" fontId="30" fillId="0" borderId="17" xfId="0" applyFont="1" applyBorder="1" applyAlignment="1">
      <alignment horizontal="left" vertical="center" wrapText="1"/>
    </xf>
    <xf numFmtId="0" fontId="33" fillId="0" borderId="16" xfId="0" applyFont="1" applyBorder="1" applyAlignment="1">
      <alignment vertical="center" wrapText="1"/>
    </xf>
    <xf numFmtId="0" fontId="30" fillId="0" borderId="16" xfId="0" applyFont="1" applyBorder="1" applyAlignment="1">
      <alignment horizontal="left" vertical="center" wrapText="1"/>
    </xf>
    <xf numFmtId="0" fontId="30" fillId="0" borderId="12" xfId="0" applyFont="1" applyBorder="1" applyAlignment="1">
      <alignment horizontal="left" vertical="center" wrapText="1"/>
    </xf>
    <xf numFmtId="49" fontId="0" fillId="0" borderId="11" xfId="0" applyNumberFormat="1" applyBorder="1" applyAlignment="1">
      <alignment vertical="center" wrapText="1"/>
    </xf>
    <xf numFmtId="0" fontId="29" fillId="2" borderId="4" xfId="0" applyFont="1" applyFill="1" applyBorder="1" applyAlignment="1">
      <alignment horizontal="left" vertical="center" indent="1"/>
    </xf>
    <xf numFmtId="0" fontId="0" fillId="0" borderId="12" xfId="0" applyBorder="1" applyAlignment="1" applyProtection="1">
      <alignment horizontal="left" vertical="center"/>
      <protection locked="0"/>
    </xf>
    <xf numFmtId="0" fontId="0" fillId="0" borderId="12" xfId="0" applyBorder="1" applyAlignment="1" applyProtection="1">
      <alignment horizontal="center" vertical="center"/>
      <protection locked="0"/>
    </xf>
    <xf numFmtId="0" fontId="0" fillId="0" borderId="12" xfId="0" applyBorder="1" applyAlignment="1" applyProtection="1">
      <alignment vertical="center"/>
      <protection locked="0"/>
    </xf>
    <xf numFmtId="0" fontId="0" fillId="0" borderId="12" xfId="0" applyBorder="1" applyAlignment="1" applyProtection="1">
      <alignment vertical="center" wrapText="1"/>
      <protection locked="0"/>
    </xf>
    <xf numFmtId="0" fontId="0" fillId="0" borderId="12" xfId="0" applyBorder="1" applyAlignment="1" applyProtection="1">
      <alignment horizontal="left" vertical="center" wrapText="1"/>
      <protection locked="0"/>
    </xf>
    <xf numFmtId="0" fontId="0" fillId="0" borderId="17" xfId="0" applyBorder="1" applyAlignment="1">
      <alignment horizontal="center" vertical="center" wrapText="1"/>
    </xf>
    <xf numFmtId="0" fontId="45" fillId="0" borderId="11" xfId="0" applyFont="1" applyBorder="1" applyAlignment="1">
      <alignment horizontal="left" vertical="center" wrapText="1"/>
    </xf>
    <xf numFmtId="0" fontId="0" fillId="2" borderId="11" xfId="0" applyFill="1" applyBorder="1" applyAlignment="1">
      <alignment horizontal="left" vertical="center"/>
    </xf>
    <xf numFmtId="0" fontId="0" fillId="2" borderId="11" xfId="0" applyFill="1" applyBorder="1" applyAlignment="1">
      <alignment horizontal="center" vertical="center"/>
    </xf>
    <xf numFmtId="0" fontId="0" fillId="2" borderId="11" xfId="0" applyFill="1" applyBorder="1" applyAlignment="1">
      <alignment vertical="center"/>
    </xf>
    <xf numFmtId="0" fontId="45" fillId="2" borderId="11" xfId="0" applyFont="1" applyFill="1" applyBorder="1" applyAlignment="1">
      <alignment horizontal="left" vertical="center" wrapText="1"/>
    </xf>
    <xf numFmtId="0" fontId="30" fillId="2" borderId="11" xfId="0" applyFont="1" applyFill="1" applyBorder="1" applyAlignment="1">
      <alignment horizontal="left" vertical="center" wrapText="1"/>
    </xf>
    <xf numFmtId="0" fontId="0" fillId="2" borderId="11" xfId="0" applyFill="1" applyBorder="1" applyAlignment="1">
      <alignment horizontal="center" vertical="center" wrapText="1"/>
    </xf>
    <xf numFmtId="0" fontId="33" fillId="2" borderId="11" xfId="0" applyFont="1" applyFill="1" applyBorder="1" applyAlignment="1">
      <alignment horizontal="left" vertical="center" wrapText="1"/>
    </xf>
    <xf numFmtId="0" fontId="45" fillId="0" borderId="11" xfId="0" applyFont="1" applyBorder="1" applyAlignment="1">
      <alignment horizontal="left" vertical="center"/>
    </xf>
    <xf numFmtId="0" fontId="45" fillId="0" borderId="11" xfId="0" applyFont="1" applyBorder="1" applyAlignment="1">
      <alignment horizontal="center" vertical="center"/>
    </xf>
    <xf numFmtId="0" fontId="45" fillId="0" borderId="11" xfId="0" applyFont="1" applyBorder="1" applyAlignment="1">
      <alignment vertical="center"/>
    </xf>
    <xf numFmtId="0" fontId="0" fillId="0" borderId="17" xfId="0" applyBorder="1" applyAlignment="1">
      <alignment vertical="center"/>
    </xf>
    <xf numFmtId="0" fontId="32" fillId="0" borderId="17" xfId="0" applyFont="1" applyBorder="1" applyAlignment="1">
      <alignment vertical="center" wrapText="1"/>
    </xf>
    <xf numFmtId="0" fontId="33" fillId="0" borderId="12" xfId="0" applyFont="1" applyBorder="1" applyAlignment="1">
      <alignment vertical="center" wrapText="1"/>
    </xf>
    <xf numFmtId="0" fontId="0" fillId="8" borderId="17" xfId="0" applyFill="1" applyBorder="1" applyAlignment="1">
      <alignment horizontal="left" vertical="center"/>
    </xf>
    <xf numFmtId="0" fontId="33" fillId="0" borderId="16" xfId="0" applyFont="1" applyBorder="1" applyAlignment="1">
      <alignment horizontal="left" vertical="center" wrapText="1"/>
    </xf>
    <xf numFmtId="0" fontId="0" fillId="2" borderId="12" xfId="0" applyFill="1" applyBorder="1" applyAlignment="1">
      <alignment horizontal="left" vertical="center"/>
    </xf>
    <xf numFmtId="0" fontId="0" fillId="2" borderId="12" xfId="0" applyFill="1" applyBorder="1" applyAlignment="1">
      <alignment horizontal="center" vertical="center"/>
    </xf>
    <xf numFmtId="0" fontId="0" fillId="2" borderId="12" xfId="0" applyFill="1" applyBorder="1" applyAlignment="1">
      <alignment vertical="center" wrapText="1"/>
    </xf>
    <xf numFmtId="0" fontId="0" fillId="2" borderId="12" xfId="0" applyFill="1" applyBorder="1" applyAlignment="1">
      <alignment vertical="center"/>
    </xf>
    <xf numFmtId="0" fontId="30" fillId="0" borderId="12" xfId="0" applyFont="1" applyBorder="1" applyAlignment="1">
      <alignment horizontal="left" vertical="center"/>
    </xf>
    <xf numFmtId="0" fontId="45" fillId="0" borderId="12" xfId="0" applyFont="1" applyBorder="1" applyAlignment="1">
      <alignment horizontal="left" vertical="center" wrapText="1"/>
    </xf>
    <xf numFmtId="0" fontId="33" fillId="0" borderId="0" xfId="0" applyFont="1" applyAlignment="1">
      <alignment horizontal="left" vertical="center" wrapText="1"/>
    </xf>
    <xf numFmtId="0" fontId="30" fillId="2" borderId="12" xfId="0" applyFont="1" applyFill="1" applyBorder="1" applyAlignment="1">
      <alignment vertical="center" wrapText="1"/>
    </xf>
    <xf numFmtId="0" fontId="0" fillId="2" borderId="12" xfId="0" applyFill="1" applyBorder="1" applyAlignment="1">
      <alignment horizontal="center" vertical="center" wrapText="1"/>
    </xf>
    <xf numFmtId="0" fontId="0" fillId="0" borderId="11" xfId="0" quotePrefix="1" applyBorder="1" applyAlignment="1">
      <alignment horizontal="center" vertical="center"/>
    </xf>
    <xf numFmtId="0" fontId="33" fillId="0" borderId="17" xfId="0" applyFont="1" applyBorder="1" applyAlignment="1" applyProtection="1">
      <alignment horizontal="left" vertical="center" wrapText="1"/>
      <protection locked="0"/>
    </xf>
    <xf numFmtId="0" fontId="45" fillId="0" borderId="17" xfId="0" applyFont="1" applyBorder="1" applyAlignment="1">
      <alignment horizontal="left" vertical="center" wrapText="1"/>
    </xf>
    <xf numFmtId="0" fontId="45" fillId="0" borderId="11" xfId="0" applyFont="1" applyBorder="1" applyAlignment="1" applyProtection="1">
      <alignment vertical="center" wrapText="1"/>
      <protection locked="0"/>
    </xf>
    <xf numFmtId="0" fontId="45" fillId="0" borderId="11" xfId="0" applyFont="1" applyBorder="1" applyAlignment="1" applyProtection="1">
      <alignment horizontal="left" vertical="center" wrapText="1"/>
      <protection locked="0"/>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2" xfId="0" quotePrefix="1" applyFont="1" applyBorder="1" applyAlignment="1">
      <alignment horizontal="left" vertical="center" wrapText="1"/>
    </xf>
    <xf numFmtId="0" fontId="1" fillId="0" borderId="11" xfId="0" applyFont="1" applyBorder="1" applyAlignment="1" applyProtection="1">
      <alignment horizontal="left" vertical="center"/>
      <protection locked="0"/>
    </xf>
    <xf numFmtId="0" fontId="1" fillId="0" borderId="14" xfId="0" applyFont="1" applyBorder="1" applyAlignment="1">
      <alignment horizontal="left" vertical="center" wrapText="1"/>
    </xf>
    <xf numFmtId="0" fontId="1" fillId="0" borderId="11" xfId="0" quotePrefix="1" applyFont="1" applyBorder="1" applyAlignment="1">
      <alignment horizontal="left" vertical="center" wrapText="1"/>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5" fillId="3" borderId="12" xfId="0" applyFont="1" applyFill="1" applyBorder="1" applyAlignment="1" applyProtection="1">
      <alignment horizontal="center" vertical="center" wrapText="1" readingOrder="1"/>
      <protection locked="0"/>
    </xf>
    <xf numFmtId="0" fontId="35" fillId="3" borderId="24"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9"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3"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189">
    <dxf>
      <font>
        <color rgb="FF9C0006"/>
      </font>
      <fill>
        <patternFill patternType="solid">
          <bgColor theme="5" tint="0.79998168889431442"/>
        </patternFill>
      </fill>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rder>
    </dxf>
    <dxf>
      <alignment vertical="cent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rder>
    </dxf>
    <dxf>
      <alignment vertical="cent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alignment horizontal="left"/>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left style="thin">
          <color rgb="FF000000"/>
        </left>
        <right style="thin">
          <color rgb="FF000000"/>
        </right>
        <top style="thin">
          <color rgb="FF000000"/>
        </top>
        <bottom style="thin">
          <color rgb="FF000000"/>
        </bottom>
      </border>
    </dxf>
    <dxf>
      <alignment horizontal="left" vertical="center"/>
    </dxf>
    <dxf>
      <border>
        <bottom style="thin">
          <color rgb="FF000000"/>
        </bottom>
      </border>
    </dxf>
    <dxf>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left style="thin">
          <color rgb="FF969696"/>
        </left>
        <right style="thin">
          <color rgb="FF969696"/>
        </right>
        <top style="thin">
          <color rgb="FF969696"/>
        </top>
        <bottom style="thin">
          <color rgb="FF969696"/>
        </bottom>
      </border>
    </dxf>
    <dxf>
      <border outline="0">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eetMetadata" Target="metadata.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microsoft.com/office/2017/06/relationships/rdRichValue" Target="richData/rdrichvalue.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284FBEF1-F24D-4111-9EFB-10B5CF48E7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97683E51-4416-44CA-99AE-906D64EA170A}"/>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829F72B9-E7D5-4AD5-88BA-C4A3F5763122}"/>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347E5D2-CD2E-443B-A51A-5D40668CC181}"/>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AE543640-7559-4AF7-A634-6ADD661A79F7}"/>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05098A86-FC6F-4362-BC26-C55FAD7EA883}"/>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6108609E-CB53-46C0-AB10-B4F50AB77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C18C90CB-FC0E-482D-B4C3-D1F712CE45B8}"/>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0" totalsRowShown="0" headerRowBorderDxfId="1188" tableBorderDxfId="1187" totalsRowBorderDxfId="1186">
  <autoFilter ref="B5:D700" xr:uid="{00000000-0009-0000-0100-000001000000}"/>
  <sortState xmlns:xlrd2="http://schemas.microsoft.com/office/spreadsheetml/2017/richdata2" ref="B6:D63">
    <sortCondition ref="B5:B63"/>
  </sortState>
  <tableColumns count="3">
    <tableColumn id="1" xr3:uid="{00000000-0010-0000-0000-000001000000}" name="SCHEMA" dataDxfId="1185"/>
    <tableColumn id="2" xr3:uid="{00000000-0010-0000-0000-000002000000}" name="TABELA" dataDxfId="1184"/>
    <tableColumn id="3" xr3:uid="{00000000-0010-0000-0000-000003000000}" name="DESCRIÇÃO" dataDxfId="118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AA750" totalsRowShown="0" headerRowDxfId="1182" dataDxfId="1181" tableBorderDxfId="1180">
  <autoFilter ref="B7:AA750" xr:uid="{00000000-000C-0000-FFFF-FFFF01000000}">
    <filterColumn colId="4">
      <filters>
        <filter val="Contract Opening Channel Code"/>
        <filter val="Process Opening Channel Code"/>
      </filters>
    </filterColumn>
  </autoFilter>
  <sortState xmlns:xlrd2="http://schemas.microsoft.com/office/spreadsheetml/2017/richdata2" ref="B8:AA750">
    <sortCondition ref="C7:C750"/>
    <sortCondition ref="I7:I750"/>
  </sortState>
  <tableColumns count="26">
    <tableColumn id="1" xr3:uid="{00000000-0010-0000-0100-000001000000}" name="NOME BD" dataDxfId="1179"/>
    <tableColumn id="2" xr3:uid="{00000000-0010-0000-0100-000002000000}" name="NOME TABELA" dataDxfId="1178"/>
    <tableColumn id="3" xr3:uid="{00000000-0010-0000-0100-000003000000}" name="NOME FÍSICO TABELA" dataDxfId="1177"/>
    <tableColumn id="4" xr3:uid="{00000000-0010-0000-0100-000004000000}" name="NÍVEL TABELA" dataDxfId="1176"/>
    <tableColumn id="28" xr3:uid="{00000000-0010-0000-0100-00001C000000}" name="NOME CAMPO" dataDxfId="1175"/>
    <tableColumn id="29" xr3:uid="{00000000-0010-0000-0100-00001D000000}" name="NOME FÍSICO CAMPO" dataDxfId="1174"/>
    <tableColumn id="7" xr3:uid="{00000000-0010-0000-0100-000007000000}" name="BLOCO" dataDxfId="1173"/>
    <tableColumn id="8" xr3:uid="{00000000-0010-0000-0100-000008000000}" name="ORDEM" dataDxfId="1172"/>
    <tableColumn id="9" xr3:uid="{00000000-0010-0000-0100-000009000000}" name="FORMATO" dataDxfId="1171"/>
    <tableColumn id="10" xr3:uid="{00000000-0010-0000-0100-00000A000000}" name="COMP_ CAMPO" dataDxfId="1170"/>
    <tableColumn id="11" xr3:uid="{00000000-0010-0000-0100-00000B000000}" name="NUM_ DECIMAIS" dataDxfId="1169"/>
    <tableColumn id="5" xr3:uid="{8FA01CC9-8899-473E-BC6A-30EBD9C8801E}" name="COMP_FIXO" dataDxfId="1168"/>
    <tableColumn id="12" xr3:uid="{00000000-0010-0000-0100-00000C000000}" name="DESCRIÇÃO FUNCIONAL (ENG)" dataDxfId="1167"/>
    <tableColumn id="13" xr3:uid="{00000000-0010-0000-0100-00000D000000}" name="DESCRIÇÃO FUNCIONAL (PT)" dataDxfId="1166"/>
    <tableColumn id="14" xr3:uid="{00000000-0010-0000-0100-00000E000000}" name="CHAVE PRIMÁRIA" dataDxfId="1165"/>
    <tableColumn id="15" xr3:uid="{00000000-0010-0000-0100-00000F000000}" name="DADOS REFERÊNCIA" dataDxfId="1164"/>
    <tableColumn id="16" xr3:uid="{00000000-0010-0000-0100-000010000000}" name="NOME TABELA ONEFCC" dataDxfId="1163"/>
    <tableColumn id="17" xr3:uid="{00000000-0010-0000-0100-000011000000}" name="NOME CAMPO ONEFCC" dataDxfId="1162"/>
    <tableColumn id="18" xr3:uid="{00000000-0010-0000-0100-000012000000}" name="NOME BD CURATED" dataDxfId="1161"/>
    <tableColumn id="19" xr3:uid="{00000000-0010-0000-0100-000013000000}" name="NOME FISICO TABELA CURATED" dataDxfId="1160"/>
    <tableColumn id="20" xr3:uid="{00000000-0010-0000-0100-000014000000}" name="NOME FISICO CAMPO CURATED" dataDxfId="1159"/>
    <tableColumn id="22" xr3:uid="{00000000-0010-0000-0100-000016000000}" name="CONDIÇÃO CURATED - CDM" dataDxfId="1158"/>
    <tableColumn id="24" xr3:uid="{00000000-0010-0000-0100-000018000000}" name="ID APLICAÇÂO TÉCNICA" dataDxfId="1157"/>
    <tableColumn id="25" xr3:uid="{00000000-0010-0000-0100-000019000000}" name="NOME FISICO TABELA FONTE" dataDxfId="1156"/>
    <tableColumn id="26" xr3:uid="{00000000-0010-0000-0100-00001A000000}" name="NOME FISICO CAMPO FONTE" dataDxfId="1155"/>
    <tableColumn id="27" xr3:uid="{00000000-0010-0000-0100-00001B000000}" name="VALOR MANUAL FONTE" dataDxfId="115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197" totalsRowShown="0" headerRowDxfId="1153" dataDxfId="1152" tableBorderDxfId="1151">
  <sortState xmlns:xlrd2="http://schemas.microsoft.com/office/spreadsheetml/2017/richdata2" ref="B3:I184">
    <sortCondition ref="C2:C184"/>
  </sortState>
  <tableColumns count="8">
    <tableColumn id="1" xr3:uid="{00000000-0010-0000-0200-000001000000}" name="NOME BD " dataDxfId="1150" totalsRowDxfId="1149"/>
    <tableColumn id="2" xr3:uid="{00000000-0010-0000-0200-000002000000}" name="NOME FÍSICO TABELA" dataDxfId="1148" totalsRowDxfId="1147"/>
    <tableColumn id="6" xr3:uid="{00000000-0010-0000-0200-000006000000}" name="NOME FÍSICO BD FONTE ESQUERDA" dataDxfId="1146" totalsRowDxfId="1145"/>
    <tableColumn id="3" xr3:uid="{00000000-0010-0000-0200-000003000000}" name="NOME FÍSICO TABELA FONTE ESQUERDA" dataDxfId="1144" totalsRowDxfId="1143"/>
    <tableColumn id="7" xr3:uid="{00000000-0010-0000-0200-000007000000}" name="NOME FÍSICO BD FONTE DIREITA" dataDxfId="1142" totalsRowDxfId="1141"/>
    <tableColumn id="4" xr3:uid="{00000000-0010-0000-0200-000004000000}" name="NOME FÍSICO TABELA FONTE DIREITA" dataDxfId="1140" totalsRowDxfId="1139"/>
    <tableColumn id="5" xr3:uid="{00000000-0010-0000-0200-000005000000}" name="REGRA DE CRUZAMENTO" dataDxfId="1138" totalsRowDxfId="1137"/>
    <tableColumn id="8" xr3:uid="{00000000-0010-0000-0200-000008000000}" name="TIPO CRUZAMENTO" dataDxfId="1136" totalsRowDxfId="113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47" totalsRowShown="0" headerRowDxfId="1134" dataDxfId="1133" tableBorderDxfId="1132">
  <autoFilter ref="B2:H47" xr:uid="{00000000-0009-0000-0100-000006000000}">
    <filterColumn colId="3">
      <filters>
        <filter val="tct09_opercn"/>
      </filters>
    </filterColumn>
  </autoFilter>
  <sortState xmlns:xlrd2="http://schemas.microsoft.com/office/spreadsheetml/2017/richdata2" ref="B3:H47">
    <sortCondition ref="C2:C47"/>
  </sortState>
  <tableColumns count="7">
    <tableColumn id="1" xr3:uid="{00000000-0010-0000-0300-000001000000}" name="NOME BD" dataDxfId="1131" totalsRowDxfId="1130"/>
    <tableColumn id="2" xr3:uid="{00000000-0010-0000-0300-000002000000}" name="NOME FÍSICO TABELA" dataDxfId="1129" totalsRowDxfId="1128"/>
    <tableColumn id="5" xr3:uid="{00000000-0010-0000-0300-000005000000}" name="NOME FÍSICO BD FONTE" dataDxfId="1127" totalsRowDxfId="1126"/>
    <tableColumn id="6" xr3:uid="{00000000-0010-0000-0300-000006000000}" name="NOME FÍSICO TABELA FONTE" dataDxfId="1125" totalsRowDxfId="1124"/>
    <tableColumn id="3" xr3:uid="{00000000-0010-0000-0300-000003000000}" name="REGRA DE ATAQUE" dataDxfId="1123" totalsRowDxfId="1122"/>
    <tableColumn id="4" xr3:uid="{00000000-0010-0000-0300-000004000000}" name="DESCRIÇÃO ESTADOS CONSIDERADOS" dataDxfId="1121" totalsRowDxfId="1120"/>
    <tableColumn id="7" xr3:uid="{00000000-0010-0000-0300-000007000000}" name="DESCRIÇÃO ESTADOS DESCONSIDERADOS" dataDxfId="1119" totalsRowDxfId="1118"/>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1117" dataDxfId="1115" headerRowBorderDxfId="1116" tableBorderDxfId="1114" totalsRowBorderDxfId="1113">
  <autoFilter ref="B2:E23" xr:uid="{00000000-0009-0000-0100-000002000000}"/>
  <tableColumns count="4">
    <tableColumn id="1" xr3:uid="{00000000-0010-0000-0400-000001000000}" name="ID" dataDxfId="1112">
      <calculatedColumnFormula>ROW() - ROW(Table2[[#Headers],[ID]])</calculatedColumnFormula>
    </tableColumn>
    <tableColumn id="2" xr3:uid="{00000000-0010-0000-0400-000002000000}" name="Case Test" dataDxfId="1111"/>
    <tableColumn id="3" xr3:uid="{00000000-0010-0000-0400-000003000000}" name="Description" dataDxfId="1110"/>
    <tableColumn id="4" xr3:uid="{00000000-0010-0000-0400-000004000000}" name="Observation" dataDxfId="1109"/>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5000000}" name="Table16" displayName="Table16" ref="B2:AB23" totalsRowShown="0" headerRowDxfId="1108" dataDxfId="1107">
  <autoFilter ref="B2:AB23" xr:uid="{00000000-0009-0000-0100-000010000000}"/>
  <tableColumns count="27">
    <tableColumn id="1" xr3:uid="{00000000-0010-0000-0500-000001000000}" name="case_test" dataDxfId="1106"/>
    <tableColumn id="2" xr3:uid="{00000000-0010-0000-0500-000002000000}" name="test_id" dataDxfId="1105"/>
    <tableColumn id="3" xr3:uid="{00000000-0010-0000-0500-000003000000}" name="test_timestamp" dataDxfId="1104"/>
    <tableColumn id="4" xr3:uid="{00000000-0010-0000-0500-000004000000}" name="query_driver_data_date_part" dataDxfId="1103"/>
    <tableColumn id="5" xr3:uid="{00000000-0010-0000-0500-000005000000}" name="test_number" dataDxfId="1102"/>
    <tableColumn id="6" xr3:uid="{00000000-0010-0000-0500-000006000000}" name="score" dataDxfId="1101"/>
    <tableColumn id="7" xr3:uid="{00000000-0010-0000-0500-000007000000}" name="general_result" dataDxfId="1100"/>
    <tableColumn id="8" xr3:uid="{00000000-0010-0000-0500-000008000000}" name="bank_id" dataDxfId="1099"/>
    <tableColumn id="9" xr3:uid="{00000000-0010-0000-0500-000009000000}" name="contract_id" dataDxfId="1098"/>
    <tableColumn id="10" xr3:uid="{00000000-0010-0000-0500-00000A000000}" name="product_family_id" dataDxfId="1097"/>
    <tableColumn id="11" xr3:uid="{00000000-0010-0000-0500-00000B000000}" name="product_id" dataDxfId="1096"/>
    <tableColumn id="12" xr3:uid="{00000000-0010-0000-0500-00000C000000}" name="subproduct_id" dataDxfId="1095"/>
    <tableColumn id="13" xr3:uid="{00000000-0010-0000-0500-00000D000000}" name="main_current_account_bank_id" dataDxfId="1094"/>
    <tableColumn id="14" xr3:uid="{00000000-0010-0000-0500-00000E000000}" name="main_current_account_contract_id" dataDxfId="1093"/>
    <tableColumn id="15" xr3:uid="{00000000-0010-0000-0500-00000F000000}" name="opening_date" dataDxfId="1092"/>
    <tableColumn id="16" xr3:uid="{00000000-0010-0000-0500-000010000000}" name="current_maturity_date" dataDxfId="1091"/>
    <tableColumn id="17" xr3:uid="{00000000-0010-0000-0500-000011000000}" name="currency_code" dataDxfId="1090"/>
    <tableColumn id="18" xr3:uid="{00000000-0010-0000-0500-000012000000}" name="litigation_indicator" dataDxfId="1089"/>
    <tableColumn id="19" xr3:uid="{00000000-0010-0000-0500-000013000000}" name="initial_authorized_amount" dataDxfId="1088"/>
    <tableColumn id="20" xr3:uid="{00000000-0010-0000-0500-000014000000}" name="current_authorized_amount" dataDxfId="1087"/>
    <tableColumn id="21" xr3:uid="{00000000-0010-0000-0500-000015000000}" name="current_overdue_principal_bal" dataDxfId="1086"/>
    <tableColumn id="22" xr3:uid="{00000000-0010-0000-0500-000016000000}" name="cur_debt_litigation_princip_bal" dataDxfId="1085"/>
    <tableColumn id="23" xr3:uid="{00000000-0010-0000-0500-000017000000}" name="contract_status_code" dataDxfId="1084"/>
    <tableColumn id="24" xr3:uid="{00000000-0010-0000-0500-000018000000}" name="contract_opening_channel_code" dataDxfId="1083"/>
    <tableColumn id="25" xr3:uid="{00000000-0010-0000-0500-000019000000}" name="source_code" dataDxfId="1082"/>
    <tableColumn id="26" xr3:uid="{00000000-0010-0000-0500-00001A000000}" name="data_date_part" dataDxfId="1081"/>
    <tableColumn id="27" xr3:uid="{00000000-0010-0000-0500-00001B000000}" name="data_timestamp_part" dataDxfId="1080"/>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Table1519" displayName="Table1519" ref="B30:F36" totalsRowShown="0" headerRowDxfId="1079" headerRowBorderDxfId="1078" tableBorderDxfId="1077">
  <autoFilter ref="B30:F36" xr:uid="{00000000-0009-0000-0100-000012000000}"/>
  <sortState xmlns:xlrd2="http://schemas.microsoft.com/office/spreadsheetml/2017/richdata2" ref="B31:F36">
    <sortCondition ref="B30:B36"/>
  </sortState>
  <tableColumns count="5">
    <tableColumn id="1" xr3:uid="{00000000-0010-0000-0600-000001000000}" name="Test ID" dataDxfId="1076"/>
    <tableColumn id="2" xr3:uid="{00000000-0010-0000-0600-000002000000}" name="Field" dataDxfId="1075"/>
    <tableColumn id="3" xr3:uid="{00000000-0010-0000-0600-000003000000}" name="Justification" dataDxfId="1074"/>
    <tableColumn id="4" xr3:uid="{00000000-0010-0000-0600-000004000000}" name="Number of Occurences" dataDxfId="1073"/>
    <tableColumn id="5" xr3:uid="{00000000-0010-0000-0600-000005000000}" name="Justification State" dataDxfId="1072"/>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B2:AN23" totalsRowShown="0" headerRowDxfId="1071" dataDxfId="1070">
  <autoFilter ref="B2:AN23" xr:uid="{00000000-0009-0000-0100-000009000000}"/>
  <tableColumns count="39">
    <tableColumn id="1" xr3:uid="{00000000-0010-0000-0700-000001000000}" name="case_tests" dataDxfId="1069"/>
    <tableColumn id="2" xr3:uid="{00000000-0010-0000-0700-000002000000}" name="test_id" dataDxfId="1068"/>
    <tableColumn id="3" xr3:uid="{00000000-0010-0000-0700-000003000000}" name="test_timestamp" dataDxfId="1067"/>
    <tableColumn id="4" xr3:uid="{00000000-0010-0000-0700-000004000000}" name="query_driver_data_date_part" dataDxfId="1066"/>
    <tableColumn id="5" xr3:uid="{00000000-0010-0000-0700-000005000000}" name="test_number" dataDxfId="1065"/>
    <tableColumn id="6" xr3:uid="{00000000-0010-0000-0700-000006000000}" name="score" dataDxfId="1064"/>
    <tableColumn id="7" xr3:uid="{00000000-0010-0000-0700-000007000000}" name="general_result" dataDxfId="1063"/>
    <tableColumn id="8" xr3:uid="{00000000-0010-0000-0700-000008000000}" name="bank_id" dataDxfId="1062"/>
    <tableColumn id="9" xr3:uid="{00000000-0010-0000-0700-000009000000}" name="contract_id" dataDxfId="1061"/>
    <tableColumn id="10" xr3:uid="{00000000-0010-0000-0700-00000A000000}" name="product_family_id" dataDxfId="1060"/>
    <tableColumn id="11" xr3:uid="{00000000-0010-0000-0700-00000B000000}" name="product_id" dataDxfId="1059"/>
    <tableColumn id="12" xr3:uid="{00000000-0010-0000-0700-00000C000000}" name="subproduct_id" dataDxfId="1058"/>
    <tableColumn id="13" xr3:uid="{00000000-0010-0000-0700-00000D000000}" name="main_current_account_bank_id" dataDxfId="1057"/>
    <tableColumn id="14" xr3:uid="{00000000-0010-0000-0700-00000E000000}" name="main_current_account_contract_id" dataDxfId="1056"/>
    <tableColumn id="15" xr3:uid="{00000000-0010-0000-0700-00000F000000}" name="process_bank_id" dataDxfId="1055"/>
    <tableColumn id="16" xr3:uid="{00000000-0010-0000-0700-000010000000}" name="process_id" dataDxfId="1054"/>
    <tableColumn id="17" xr3:uid="{00000000-0010-0000-0700-000011000000}" name="opening_date" dataDxfId="1053"/>
    <tableColumn id="18" xr3:uid="{00000000-0010-0000-0700-000012000000}" name="current_maturity_date" dataDxfId="1052"/>
    <tableColumn id="19" xr3:uid="{00000000-0010-0000-0700-000013000000}" name="currency_code" dataDxfId="1051"/>
    <tableColumn id="20" xr3:uid="{00000000-0010-0000-0700-000014000000}" name="litigation_indicator" dataDxfId="1050"/>
    <tableColumn id="21" xr3:uid="{00000000-0010-0000-0700-000015000000}" name="initial_amount_granted" dataDxfId="1049"/>
    <tableColumn id="22" xr3:uid="{00000000-0010-0000-0700-000016000000}" name="current_amount_granted" dataDxfId="1048"/>
    <tableColumn id="23" xr3:uid="{00000000-0010-0000-0700-000017000000}" name="cur_outsng_principal_balance" dataDxfId="1047"/>
    <tableColumn id="24" xr3:uid="{00000000-0010-0000-0700-000018000000}" name="current_overdue_principal_bal" dataDxfId="1046"/>
    <tableColumn id="25" xr3:uid="{00000000-0010-0000-0700-000019000000}" name="cur_debt_litigation_princip_bal" dataDxfId="1045"/>
    <tableColumn id="26" xr3:uid="{00000000-0010-0000-0700-00001A000000}" name="pred_billing_due_date" dataDxfId="1044"/>
    <tableColumn id="27" xr3:uid="{00000000-0010-0000-0700-00001B000000}" name="last_billing_date" dataDxfId="1043"/>
    <tableColumn id="28" xr3:uid="{00000000-0010-0000-0700-00001C000000}" name="cur_total_billed_principal_amt" dataDxfId="1042"/>
    <tableColumn id="29" xr3:uid="{00000000-0010-0000-0700-00001D000000}" name="cur_ttl_bill_litig_princip_amt" dataDxfId="1041"/>
    <tableColumn id="30" xr3:uid="{00000000-0010-0000-0700-00001E000000}" name="current_active_rate_type_code" dataDxfId="1040"/>
    <tableColumn id="31" xr3:uid="{00000000-0010-0000-0700-00001F000000}" name="current_active_indexing" dataDxfId="1039"/>
    <tableColumn id="32" xr3:uid="{00000000-0010-0000-0700-000020000000}" name="current_active_index_rate" dataDxfId="1038"/>
    <tableColumn id="33" xr3:uid="{00000000-0010-0000-0700-000021000000}" name="current_active_spread" dataDxfId="1037"/>
    <tableColumn id="34" xr3:uid="{00000000-0010-0000-0700-000022000000}" name="current_active_interest_rate" dataDxfId="1036"/>
    <tableColumn id="35" xr3:uid="{00000000-0010-0000-0700-000023000000}" name="contract_status_code" dataDxfId="1035"/>
    <tableColumn id="36" xr3:uid="{00000000-0010-0000-0700-000024000000}" name="contract_opening_channel_code" dataDxfId="1034"/>
    <tableColumn id="37" xr3:uid="{00000000-0010-0000-0700-000025000000}" name="source_code" dataDxfId="1033"/>
    <tableColumn id="38" xr3:uid="{00000000-0010-0000-0700-000026000000}" name="data_date_part" dataDxfId="1032"/>
    <tableColumn id="39" xr3:uid="{00000000-0010-0000-0700-000027000000}" name="data_timestamp_part" dataDxfId="1031"/>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Table15" displayName="Table15" ref="B31:F37" totalsRowShown="0" headerRowDxfId="1030" headerRowBorderDxfId="1029" tableBorderDxfId="1028">
  <autoFilter ref="B31:F37" xr:uid="{00000000-0009-0000-0100-00000F000000}"/>
  <tableColumns count="5">
    <tableColumn id="1" xr3:uid="{00000000-0010-0000-0800-000001000000}" name="Test ID" dataDxfId="1027"/>
    <tableColumn id="2" xr3:uid="{00000000-0010-0000-0800-000002000000}" name="Field" dataDxfId="1026"/>
    <tableColumn id="3" xr3:uid="{00000000-0010-0000-0800-000003000000}" name="Justification" dataDxfId="1025"/>
    <tableColumn id="5" xr3:uid="{00000000-0010-0000-0800-000005000000}" name="Number of Occurences" dataDxfId="1024"/>
    <tableColumn id="4" xr3:uid="{00000000-0010-0000-0800-000004000000}" name="Justification State" dataDxfId="1023"/>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9000000}" name="Table151924" displayName="Table151924" ref="B32:F50" totalsRowShown="0" headerRowDxfId="1022" headerRowBorderDxfId="1021" tableBorderDxfId="1020">
  <autoFilter ref="B32:F50" xr:uid="{00000000-0009-0000-0100-000017000000}"/>
  <tableColumns count="5">
    <tableColumn id="1" xr3:uid="{00000000-0010-0000-0900-000001000000}" name="Test ID" dataDxfId="1019"/>
    <tableColumn id="2" xr3:uid="{00000000-0010-0000-0900-000002000000}" name="Field" dataDxfId="1018"/>
    <tableColumn id="3" xr3:uid="{00000000-0010-0000-0900-000003000000}" name="Justification" dataDxfId="1017"/>
    <tableColumn id="4" xr3:uid="{00000000-0010-0000-0900-000004000000}" name="Number of Occurences" dataDxfId="1016"/>
    <tableColumn id="5" xr3:uid="{00000000-0010-0000-0900-000005000000}" name="Justification State" dataDxfId="1015"/>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Table1623" displayName="Table1623" ref="B2:AJ23" totalsRowShown="0" headerRowDxfId="1014" dataDxfId="1013">
  <autoFilter ref="B2:AJ23" xr:uid="{00000000-0009-0000-0100-000016000000}"/>
  <tableColumns count="35">
    <tableColumn id="1" xr3:uid="{00000000-0010-0000-0A00-000001000000}" name="Case_Test" dataDxfId="1012"/>
    <tableColumn id="2" xr3:uid="{00000000-0010-0000-0A00-000002000000}" name="test_id" dataDxfId="1011"/>
    <tableColumn id="3" xr3:uid="{00000000-0010-0000-0A00-000003000000}" name="test_timestamp" dataDxfId="1010"/>
    <tableColumn id="4" xr3:uid="{00000000-0010-0000-0A00-000004000000}" name="query_driver_data_date_part" dataDxfId="1009"/>
    <tableColumn id="5" xr3:uid="{00000000-0010-0000-0A00-000005000000}" name="test_number" dataDxfId="1008"/>
    <tableColumn id="6" xr3:uid="{00000000-0010-0000-0A00-000006000000}" name="score" dataDxfId="1007"/>
    <tableColumn id="7" xr3:uid="{00000000-0010-0000-0A00-000007000000}" name="general_result" dataDxfId="1006"/>
    <tableColumn id="8" xr3:uid="{00000000-0010-0000-0A00-000008000000}" name="bank_id" dataDxfId="1005"/>
    <tableColumn id="9" xr3:uid="{00000000-0010-0000-0A00-000009000000}" name="contract_id" dataDxfId="1004"/>
    <tableColumn id="10" xr3:uid="{00000000-0010-0000-0A00-00000A000000}" name="product_family_id" dataDxfId="1003"/>
    <tableColumn id="11" xr3:uid="{00000000-0010-0000-0A00-00000B000000}" name="product_id" dataDxfId="1002"/>
    <tableColumn id="12" xr3:uid="{00000000-0010-0000-0A00-00000C000000}" name="subproduct_id" dataDxfId="1001"/>
    <tableColumn id="13" xr3:uid="{00000000-0010-0000-0A00-00000D000000}" name="main_current_account_bank_id" dataDxfId="1000"/>
    <tableColumn id="14" xr3:uid="{00000000-0010-0000-0A00-00000E000000}" name="main_current_account_contract_id" dataDxfId="999"/>
    <tableColumn id="15" xr3:uid="{00000000-0010-0000-0A00-00000F000000}" name="opening_date" dataDxfId="998"/>
    <tableColumn id="16" xr3:uid="{00000000-0010-0000-0A00-000010000000}" name="current_maturity_date" dataDxfId="997"/>
    <tableColumn id="17" xr3:uid="{00000000-0010-0000-0A00-000011000000}" name="currency_code" dataDxfId="996"/>
    <tableColumn id="18" xr3:uid="{00000000-0010-0000-0A00-000012000000}" name="current_ledger_balance" dataDxfId="995"/>
    <tableColumn id="19" xr3:uid="{00000000-0010-0000-0A00-000013000000}" name="current_reserved_balance" dataDxfId="994"/>
    <tableColumn id="20" xr3:uid="{00000000-0010-0000-0A00-000014000000}" name="current_available_balance" dataDxfId="993"/>
    <tableColumn id="21" xr3:uid="{00000000-0010-0000-0A00-000015000000}" name="init_passive_rate_type_code" dataDxfId="992"/>
    <tableColumn id="22" xr3:uid="{00000000-0010-0000-0A00-000016000000}" name="initial_passive_indexing" dataDxfId="991"/>
    <tableColumn id="23" xr3:uid="{00000000-0010-0000-0A00-000017000000}" name="initial_passive_index_rate" dataDxfId="990"/>
    <tableColumn id="24" xr3:uid="{00000000-0010-0000-0A00-000018000000}" name="initial_passive_spread" dataDxfId="989"/>
    <tableColumn id="25" xr3:uid="{00000000-0010-0000-0A00-000019000000}" name="initial_passive_interest_rate" dataDxfId="988"/>
    <tableColumn id="26" xr3:uid="{00000000-0010-0000-0A00-00001A000000}" name="cur_passive_rate_type_code" dataDxfId="987"/>
    <tableColumn id="27" xr3:uid="{00000000-0010-0000-0A00-00001B000000}" name="current_passive_indexing" dataDxfId="986"/>
    <tableColumn id="28" xr3:uid="{00000000-0010-0000-0A00-00001C000000}" name="current_passive_index_rate" dataDxfId="985"/>
    <tableColumn id="29" xr3:uid="{00000000-0010-0000-0A00-00001D000000}" name="current_passive_spread" dataDxfId="984"/>
    <tableColumn id="30" xr3:uid="{00000000-0010-0000-0A00-00001E000000}" name="current_passive_interest_rate" dataDxfId="983"/>
    <tableColumn id="31" xr3:uid="{00000000-0010-0000-0A00-00001F000000}" name="contract_status_code" dataDxfId="982"/>
    <tableColumn id="32" xr3:uid="{00000000-0010-0000-0A00-000020000000}" name="contract_opening_channel_code" dataDxfId="981"/>
    <tableColumn id="33" xr3:uid="{00000000-0010-0000-0A00-000021000000}" name="source_code" dataDxfId="980"/>
    <tableColumn id="34" xr3:uid="{00000000-0010-0000-0A00-000022000000}" name="data_date_part" dataDxfId="979"/>
    <tableColumn id="35" xr3:uid="{00000000-0010-0000-0A00-000023000000}" name="data_timestamp_part" dataDxfId="978"/>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D000000}" name="Table15192425" displayName="Table15192425" ref="B31:F41" totalsRowShown="0" headerRowDxfId="977" headerRowBorderDxfId="976" tableBorderDxfId="975">
  <autoFilter ref="B31:F41" xr:uid="{00000000-0009-0000-0100-000018000000}"/>
  <sortState xmlns:xlrd2="http://schemas.microsoft.com/office/spreadsheetml/2017/richdata2" ref="B32:F41">
    <sortCondition ref="B31:B41"/>
  </sortState>
  <tableColumns count="5">
    <tableColumn id="1" xr3:uid="{00000000-0010-0000-0D00-000001000000}" name="Test ID" dataDxfId="974"/>
    <tableColumn id="2" xr3:uid="{00000000-0010-0000-0D00-000002000000}" name="Field" dataDxfId="973"/>
    <tableColumn id="3" xr3:uid="{00000000-0010-0000-0D00-000003000000}" name="Justification" dataDxfId="972"/>
    <tableColumn id="4" xr3:uid="{00000000-0010-0000-0D00-000004000000}" name="Number of Occurences" dataDxfId="971"/>
    <tableColumn id="5" xr3:uid="{00000000-0010-0000-0D00-000005000000}" name="Justification State" dataDxfId="970"/>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E000000}" name="Table162326" displayName="Table162326" ref="B2:AN23" totalsRowShown="0" headerRowDxfId="969" dataDxfId="968">
  <autoFilter ref="B2:AN23" xr:uid="{00000000-0009-0000-0100-000019000000}"/>
  <tableColumns count="39">
    <tableColumn id="1" xr3:uid="{00000000-0010-0000-0E00-000001000000}" name="Case_Test" dataDxfId="967"/>
    <tableColumn id="2" xr3:uid="{00000000-0010-0000-0E00-000002000000}" name="test_id" dataDxfId="966"/>
    <tableColumn id="3" xr3:uid="{00000000-0010-0000-0E00-000003000000}" name="test_timestamp" dataDxfId="965"/>
    <tableColumn id="4" xr3:uid="{00000000-0010-0000-0E00-000004000000}" name="query_driver_data_date_part" dataDxfId="964"/>
    <tableColumn id="5" xr3:uid="{00000000-0010-0000-0E00-000005000000}" name="test_number" dataDxfId="963"/>
    <tableColumn id="6" xr3:uid="{00000000-0010-0000-0E00-000006000000}" name="score" dataDxfId="962"/>
    <tableColumn id="7" xr3:uid="{00000000-0010-0000-0E00-000007000000}" name="general_result" dataDxfId="961"/>
    <tableColumn id="8" xr3:uid="{00000000-0010-0000-0E00-000008000000}" name="bank_id" dataDxfId="960"/>
    <tableColumn id="9" xr3:uid="{00000000-0010-0000-0E00-000009000000}" name="contract_id" dataDxfId="959"/>
    <tableColumn id="10" xr3:uid="{00000000-0010-0000-0E00-00000A000000}" name="product_family_id" dataDxfId="958"/>
    <tableColumn id="11" xr3:uid="{00000000-0010-0000-0E00-00000B000000}" name="product_id" dataDxfId="957"/>
    <tableColumn id="12" xr3:uid="{00000000-0010-0000-0E00-00000C000000}" name="subproduct_id" dataDxfId="956"/>
    <tableColumn id="13" xr3:uid="{00000000-0010-0000-0E00-00000D000000}" name="opening_date" dataDxfId="955"/>
    <tableColumn id="14" xr3:uid="{00000000-0010-0000-0E00-00000E000000}" name="current_maturity_date" dataDxfId="954"/>
    <tableColumn id="15" xr3:uid="{00000000-0010-0000-0E00-00000F000000}" name="currency_code" dataDxfId="953"/>
    <tableColumn id="16" xr3:uid="{00000000-0010-0000-0E00-000010000000}" name="litigation_indicator" dataDxfId="952"/>
    <tableColumn id="17" xr3:uid="{00000000-0010-0000-0E00-000011000000}" name="current_ledger_balance" dataDxfId="951"/>
    <tableColumn id="18" xr3:uid="{00000000-0010-0000-0E00-000012000000}" name="current_reserved_balance" dataDxfId="950"/>
    <tableColumn id="19" xr3:uid="{00000000-0010-0000-0E00-000013000000}" name="current_available_balance" dataDxfId="949"/>
    <tableColumn id="20" xr3:uid="{00000000-0010-0000-0E00-000014000000}" name="current_overdraft_limit_amount" dataDxfId="948"/>
    <tableColumn id="21" xr3:uid="{00000000-0010-0000-0E00-000015000000}" name="overdraft_available_limit_amount" dataDxfId="947"/>
    <tableColumn id="22" xr3:uid="{00000000-0010-0000-0E00-000016000000}" name="cur_ovrdrft_outsng_principal_bal" dataDxfId="946"/>
    <tableColumn id="23" xr3:uid="{00000000-0010-0000-0E00-000017000000}" name="cur_ovrdrft_overdue_princip_bal" dataDxfId="945"/>
    <tableColumn id="24" xr3:uid="{00000000-0010-0000-0E00-000018000000}" name="cur_ovrdrft_debt_litig_princ_bal" dataDxfId="944"/>
    <tableColumn id="25" xr3:uid="{00000000-0010-0000-0E00-000019000000}" name="init_ovrdrft_act_rate_type_code" dataDxfId="943"/>
    <tableColumn id="26" xr3:uid="{00000000-0010-0000-0E00-00001A000000}" name="init_overdraft_active_indexing" dataDxfId="942"/>
    <tableColumn id="27" xr3:uid="{00000000-0010-0000-0E00-00001B000000}" name="init_overdraft_active_index_rate" dataDxfId="941"/>
    <tableColumn id="28" xr3:uid="{00000000-0010-0000-0E00-00001C000000}" name="initial_overdraft_active_spread" dataDxfId="940"/>
    <tableColumn id="29" xr3:uid="{00000000-0010-0000-0E00-00001D000000}" name="init_overdraft_active_intr_rate" dataDxfId="939"/>
    <tableColumn id="30" xr3:uid="{00000000-0010-0000-0E00-00001E000000}" name="cur_ovrdrft_act_rate_type_code" dataDxfId="938"/>
    <tableColumn id="31" xr3:uid="{00000000-0010-0000-0E00-00001F000000}" name="cur_overdraft_active_indexing" dataDxfId="937"/>
    <tableColumn id="32" xr3:uid="{00000000-0010-0000-0E00-000020000000}" name="cur_overdraft_active_index_rate" dataDxfId="936"/>
    <tableColumn id="33" xr3:uid="{00000000-0010-0000-0E00-000021000000}" name="cur_overdraft_active_spread" dataDxfId="935"/>
    <tableColumn id="34" xr3:uid="{00000000-0010-0000-0E00-000022000000}" name="cur_ovrdrft_active_interest_rate" dataDxfId="934"/>
    <tableColumn id="35" xr3:uid="{00000000-0010-0000-0E00-000023000000}" name="contract_status_code" dataDxfId="933"/>
    <tableColumn id="36" xr3:uid="{00000000-0010-0000-0E00-000024000000}" name="contract_opening_channel_code" dataDxfId="932"/>
    <tableColumn id="37" xr3:uid="{00000000-0010-0000-0E00-000025000000}" name="source_code" dataDxfId="931"/>
    <tableColumn id="38" xr3:uid="{00000000-0010-0000-0E00-000026000000}" name="data_date_part" dataDxfId="930"/>
    <tableColumn id="39" xr3:uid="{00000000-0010-0000-0E00-000027000000}" name="data_timestamp_part" dataDxfId="929"/>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B000000}" name="Table7" displayName="Table7" ref="B2:AS23" totalsRowShown="0" headerRowDxfId="928" dataDxfId="927">
  <autoFilter ref="B2:AS23" xr:uid="{00000000-0009-0000-0100-000007000000}"/>
  <tableColumns count="44">
    <tableColumn id="1" xr3:uid="{00000000-0010-0000-0B00-000001000000}" name="case_test" dataDxfId="926"/>
    <tableColumn id="2" xr3:uid="{00000000-0010-0000-0B00-000002000000}" name="test_id" dataDxfId="925"/>
    <tableColumn id="3" xr3:uid="{00000000-0010-0000-0B00-000003000000}" name="test_timestamp" dataDxfId="924"/>
    <tableColumn id="4" xr3:uid="{00000000-0010-0000-0B00-000004000000}" name="query_driver_data_date_part" dataDxfId="923"/>
    <tableColumn id="5" xr3:uid="{00000000-0010-0000-0B00-000005000000}" name="test_number" dataDxfId="922"/>
    <tableColumn id="6" xr3:uid="{00000000-0010-0000-0B00-000006000000}" name="score" dataDxfId="921"/>
    <tableColumn id="7" xr3:uid="{00000000-0010-0000-0B00-000007000000}" name="general_result" dataDxfId="920"/>
    <tableColumn id="8" xr3:uid="{00000000-0010-0000-0B00-000008000000}" name="bank_id" dataDxfId="919"/>
    <tableColumn id="9" xr3:uid="{00000000-0010-0000-0B00-000009000000}" name="contract_id" dataDxfId="918"/>
    <tableColumn id="10" xr3:uid="{00000000-0010-0000-0B00-00000A000000}" name="product_family_id" dataDxfId="917"/>
    <tableColumn id="11" xr3:uid="{00000000-0010-0000-0B00-00000B000000}" name="product_id" dataDxfId="916"/>
    <tableColumn id="12" xr3:uid="{00000000-0010-0000-0B00-00000C000000}" name="subproduct_id" dataDxfId="915"/>
    <tableColumn id="13" xr3:uid="{00000000-0010-0000-0B00-00000D000000}" name="main_current_account_bank_id" dataDxfId="914"/>
    <tableColumn id="14" xr3:uid="{00000000-0010-0000-0B00-00000E000000}" name="main_current_account_contract_id" dataDxfId="913"/>
    <tableColumn id="15" xr3:uid="{00000000-0010-0000-0B00-00000F000000}" name="process_bank_id" dataDxfId="912"/>
    <tableColumn id="16" xr3:uid="{00000000-0010-0000-0B00-000010000000}" name="process_id" dataDxfId="911"/>
    <tableColumn id="17" xr3:uid="{00000000-0010-0000-0B00-000011000000}" name="opening_date" dataDxfId="910"/>
    <tableColumn id="18" xr3:uid="{00000000-0010-0000-0B00-000012000000}" name="current_maturity_date" dataDxfId="909"/>
    <tableColumn id="19" xr3:uid="{00000000-0010-0000-0B00-000013000000}" name="currency_code" dataDxfId="908"/>
    <tableColumn id="20" xr3:uid="{00000000-0010-0000-0B00-000014000000}" name="litigation_indicator" dataDxfId="907"/>
    <tableColumn id="21" xr3:uid="{00000000-0010-0000-0B00-000015000000}" name="current_authorized_amount" dataDxfId="906"/>
    <tableColumn id="22" xr3:uid="{00000000-0010-0000-0B00-000016000000}" name="current_available_amount" dataDxfId="905"/>
    <tableColumn id="23" xr3:uid="{00000000-0010-0000-0B00-000017000000}" name="cur_outsng_principal_balance" dataDxfId="904"/>
    <tableColumn id="24" xr3:uid="{00000000-0010-0000-0B00-000018000000}" name="current_overdue_principal_bal" dataDxfId="903"/>
    <tableColumn id="40" xr3:uid="{00000000-0010-0000-0B00-000028000000}" name="cur_debt_litigation_princip_bal" dataDxfId="902"/>
    <tableColumn id="25" xr3:uid="{00000000-0010-0000-0B00-000019000000}" name="next_regular_amort_due_date" dataDxfId="901"/>
    <tableColumn id="26" xr3:uid="{00000000-0010-0000-0B00-00001A000000}" name="last_regular_amort_pay_date" dataDxfId="900"/>
    <tableColumn id="27" xr3:uid="{00000000-0010-0000-0B00-00001B000000}" name="current_bill_princip_amount" dataDxfId="899"/>
    <tableColumn id="28" xr3:uid="{00000000-0010-0000-0B00-00001C000000}" name="cur_bill_litig_princip_amt" dataDxfId="898"/>
    <tableColumn id="29" xr3:uid="{00000000-0010-0000-0B00-00001D000000}" name="last_advance_annulment_indicator" dataDxfId="897"/>
    <tableColumn id="30" xr3:uid="{00000000-0010-0000-0B00-00001E000000}" name="last_advance_date" dataDxfId="896"/>
    <tableColumn id="31" xr3:uid="{00000000-0010-0000-0B00-00001F000000}" name="last_advance_exec_date" dataDxfId="895"/>
    <tableColumn id="32" xr3:uid="{00000000-0010-0000-0B00-000020000000}" name="last_advance_transfer_ref_num" dataDxfId="894"/>
    <tableColumn id="33" xr3:uid="{00000000-0010-0000-0B00-000021000000}" name="cur_advance_principal_amt" dataDxfId="893"/>
    <tableColumn id="34" xr3:uid="{00000000-0010-0000-0B00-000022000000}" name="current_active_rate_type_code" dataDxfId="892"/>
    <tableColumn id="35" xr3:uid="{00000000-0010-0000-0B00-000023000000}" name="current_active_indexing" dataDxfId="891"/>
    <tableColumn id="36" xr3:uid="{00000000-0010-0000-0B00-000024000000}" name="current_active_index_rate" dataDxfId="890"/>
    <tableColumn id="37" xr3:uid="{00000000-0010-0000-0B00-000025000000}" name="current_active_spread" dataDxfId="889"/>
    <tableColumn id="38" xr3:uid="{00000000-0010-0000-0B00-000026000000}" name="current_active_interest_rate" dataDxfId="888"/>
    <tableColumn id="42" xr3:uid="{00000000-0010-0000-0B00-00002A000000}" name="contract_status_code" dataDxfId="887"/>
    <tableColumn id="43" xr3:uid="{00000000-0010-0000-0B00-00002B000000}" name="contract_opening_channel_code" dataDxfId="886"/>
    <tableColumn id="44" xr3:uid="{00000000-0010-0000-0B00-00002C000000}" name="source_code" dataDxfId="885"/>
    <tableColumn id="45" xr3:uid="{00000000-0010-0000-0B00-00002D000000}" name="data_date_part" dataDxfId="884"/>
    <tableColumn id="46" xr3:uid="{00000000-0010-0000-0B00-00002E000000}" name="data_timestamp_part" dataDxfId="883"/>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C000000}" name="Table1522" displayName="Table1522" ref="B31:F53" totalsRowShown="0" headerRowDxfId="882" dataDxfId="880" headerRowBorderDxfId="881" tableBorderDxfId="879">
  <autoFilter ref="B31:F53" xr:uid="{00000000-0009-0000-0100-000015000000}"/>
  <sortState xmlns:xlrd2="http://schemas.microsoft.com/office/spreadsheetml/2017/richdata2" ref="B32:F53">
    <sortCondition ref="B31:B53"/>
  </sortState>
  <tableColumns count="5">
    <tableColumn id="1" xr3:uid="{00000000-0010-0000-0C00-000001000000}" name="Test ID" dataDxfId="878"/>
    <tableColumn id="2" xr3:uid="{00000000-0010-0000-0C00-000002000000}" name="Field" dataDxfId="877"/>
    <tableColumn id="3" xr3:uid="{00000000-0010-0000-0C00-000003000000}" name="Justification" dataDxfId="876"/>
    <tableColumn id="5" xr3:uid="{00000000-0010-0000-0C00-000005000000}" name="Number of Occurences" dataDxfId="875"/>
    <tableColumn id="4" xr3:uid="{00000000-0010-0000-0C00-000004000000}" name="Justification State" dataDxfId="874"/>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F000000}" name="Table8" displayName="Table8" ref="B2:AC19" totalsRowShown="0" headerRowDxfId="873" dataDxfId="872">
  <autoFilter ref="B2:AC19" xr:uid="{00000000-0009-0000-0100-000008000000}"/>
  <tableColumns count="28">
    <tableColumn id="1" xr3:uid="{00000000-0010-0000-0F00-000001000000}" name="case_test" dataDxfId="871"/>
    <tableColumn id="2" xr3:uid="{00000000-0010-0000-0F00-000002000000}" name="test_id" dataDxfId="870"/>
    <tableColumn id="3" xr3:uid="{00000000-0010-0000-0F00-000003000000}" name="test_timestamp" dataDxfId="869"/>
    <tableColumn id="4" xr3:uid="{00000000-0010-0000-0F00-000004000000}" name="query_driver_data_date_part" dataDxfId="868"/>
    <tableColumn id="5" xr3:uid="{00000000-0010-0000-0F00-000005000000}" name="test_number" dataDxfId="867"/>
    <tableColumn id="6" xr3:uid="{00000000-0010-0000-0F00-000006000000}" name="score" dataDxfId="866"/>
    <tableColumn id="7" xr3:uid="{00000000-0010-0000-0F00-000007000000}" name="general_result" dataDxfId="865"/>
    <tableColumn id="8" xr3:uid="{00000000-0010-0000-0F00-000008000000}" name="bank_id" dataDxfId="864"/>
    <tableColumn id="9" xr3:uid="{00000000-0010-0000-0F00-000009000000}" name="contract_id" dataDxfId="863"/>
    <tableColumn id="10" xr3:uid="{00000000-0010-0000-0F00-00000A000000}" name="bank_vault_id" dataDxfId="862"/>
    <tableColumn id="11" xr3:uid="{00000000-0010-0000-0F00-00000B000000}" name="product_family_id" dataDxfId="861"/>
    <tableColumn id="12" xr3:uid="{00000000-0010-0000-0F00-00000C000000}" name="product_id" dataDxfId="860"/>
    <tableColumn id="13" xr3:uid="{00000000-0010-0000-0F00-00000D000000}" name="subproduct_id" dataDxfId="859"/>
    <tableColumn id="14" xr3:uid="{00000000-0010-0000-0F00-00000E000000}" name="bank_vault_branch_code" dataDxfId="858"/>
    <tableColumn id="15" xr3:uid="{00000000-0010-0000-0F00-00000F000000}" name="main_current_account_bank_id" dataDxfId="857"/>
    <tableColumn id="16" xr3:uid="{00000000-0010-0000-0F00-000010000000}" name="main_current_account_contract_id" dataDxfId="856"/>
    <tableColumn id="17" xr3:uid="{00000000-0010-0000-0F00-000011000000}" name="opening_date" dataDxfId="855"/>
    <tableColumn id="18" xr3:uid="{00000000-0010-0000-0F00-000012000000}" name="current_maturity_date" dataDxfId="854"/>
    <tableColumn id="19" xr3:uid="{00000000-0010-0000-0F00-000013000000}" name="currency_code" dataDxfId="853"/>
    <tableColumn id="20" xr3:uid="{00000000-0010-0000-0F00-000014000000}" name="last_annual_fee_payment_date" dataDxfId="852"/>
    <tableColumn id="21" xr3:uid="{00000000-0010-0000-0F00-000015000000}" name="last_annual_fee_paym_princip_amt" dataDxfId="851"/>
    <tableColumn id="23" xr3:uid="{00000000-0010-0000-0F00-000017000000}" name="security_deposit_payment_date" dataDxfId="850"/>
    <tableColumn id="24" xr3:uid="{00000000-0010-0000-0F00-000018000000}" name="security_deposit_principal_amt" dataDxfId="849"/>
    <tableColumn id="26" xr3:uid="{00000000-0010-0000-0F00-00001A000000}" name="contract_status_code" dataDxfId="848"/>
    <tableColumn id="27" xr3:uid="{00000000-0010-0000-0F00-00001B000000}" name="contract_opening_channel_code" dataDxfId="847"/>
    <tableColumn id="28" xr3:uid="{00000000-0010-0000-0F00-00001C000000}" name="source_code" dataDxfId="846"/>
    <tableColumn id="29" xr3:uid="{00000000-0010-0000-0F00-00001D000000}" name="data_date_part" dataDxfId="845"/>
    <tableColumn id="30" xr3:uid="{00000000-0010-0000-0F00-00001E000000}" name="data_timestamp_part" dataDxfId="844"/>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0000000}" name="Table14" displayName="Table14" ref="B28:F34" totalsRowShown="0" headerRowDxfId="843" headerRowBorderDxfId="842" tableBorderDxfId="841">
  <autoFilter ref="B28:F34" xr:uid="{00000000-0009-0000-0100-00000E000000}"/>
  <tableColumns count="5">
    <tableColumn id="1" xr3:uid="{00000000-0010-0000-1000-000001000000}" name="Test ID" dataDxfId="840"/>
    <tableColumn id="2" xr3:uid="{00000000-0010-0000-1000-000002000000}" name="Field" dataDxfId="839"/>
    <tableColumn id="3" xr3:uid="{00000000-0010-0000-1000-000003000000}" name="Justification" dataDxfId="838"/>
    <tableColumn id="5" xr3:uid="{00000000-0010-0000-1000-000005000000}" name="Number of Occurences" dataDxfId="837"/>
    <tableColumn id="4" xr3:uid="{00000000-0010-0000-1000-000004000000}" name="Justification State" dataDxfId="836"/>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1000000}" name="Table11" displayName="Table11" ref="B2:W21" totalsRowShown="0" headerRowDxfId="835" dataDxfId="834">
  <autoFilter ref="B2:W21" xr:uid="{00000000-0009-0000-0100-00000B000000}"/>
  <tableColumns count="22">
    <tableColumn id="1" xr3:uid="{00000000-0010-0000-1100-000001000000}" name="case_test" dataDxfId="833"/>
    <tableColumn id="2" xr3:uid="{00000000-0010-0000-1100-000002000000}" name="test_id" dataDxfId="832"/>
    <tableColumn id="3" xr3:uid="{00000000-0010-0000-1100-000003000000}" name="test_timestamp" dataDxfId="831"/>
    <tableColumn id="4" xr3:uid="{00000000-0010-0000-1100-000004000000}" name="query_driver_data_date_part" dataDxfId="830"/>
    <tableColumn id="5" xr3:uid="{00000000-0010-0000-1100-000005000000}" name="test_number" dataDxfId="829"/>
    <tableColumn id="6" xr3:uid="{00000000-0010-0000-1100-000006000000}" name="score" dataDxfId="828"/>
    <tableColumn id="7" xr3:uid="{00000000-0010-0000-1100-000007000000}" name="general_result" dataDxfId="827"/>
    <tableColumn id="8" xr3:uid="{00000000-0010-0000-1100-000008000000}" name="bank_id" dataDxfId="826"/>
    <tableColumn id="9" xr3:uid="{00000000-0010-0000-1100-000009000000}" name="process_id" dataDxfId="825"/>
    <tableColumn id="10" xr3:uid="{00000000-0010-0000-1100-00000A000000}" name="product_family_id" dataDxfId="824"/>
    <tableColumn id="11" xr3:uid="{00000000-0010-0000-1100-00000B000000}" name="product_id" dataDxfId="823"/>
    <tableColumn id="12" xr3:uid="{00000000-0010-0000-1100-00000C000000}" name="subproduct_id" dataDxfId="822"/>
    <tableColumn id="13" xr3:uid="{00000000-0010-0000-1100-00000D000000}" name="main_current_account_bank_id" dataDxfId="821"/>
    <tableColumn id="14" xr3:uid="{00000000-0010-0000-1100-00000E000000}" name="main_current_account_contract_id" dataDxfId="820"/>
    <tableColumn id="15" xr3:uid="{00000000-0010-0000-1100-00000F000000}" name="opening_date" dataDxfId="819"/>
    <tableColumn id="16" xr3:uid="{00000000-0010-0000-1100-000010000000}" name="current_maturity_date" dataDxfId="818"/>
    <tableColumn id="17" xr3:uid="{00000000-0010-0000-1100-000011000000}" name="currency_code" dataDxfId="817"/>
    <tableColumn id="18" xr3:uid="{00000000-0010-0000-1100-000012000000}" name="cur_outsng_principal_balance" dataDxfId="816"/>
    <tableColumn id="19" xr3:uid="{00000000-0010-0000-1100-000013000000}" name="process_status_code" dataDxfId="815"/>
    <tableColumn id="20" xr3:uid="{00000000-0010-0000-1100-000014000000}" name="process_opening_channel_code" dataDxfId="814"/>
    <tableColumn id="21" xr3:uid="{00000000-0010-0000-1100-000015000000}" name="data_date_part" dataDxfId="813"/>
    <tableColumn id="22" xr3:uid="{00000000-0010-0000-1100-000016000000}" name="data_timestamp_part" dataDxfId="812"/>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520" displayName="Table1520" ref="B29:F30" totalsRowShown="0" headerRowDxfId="811" headerRowBorderDxfId="810" tableBorderDxfId="809">
  <autoFilter ref="B29:F30" xr:uid="{00000000-0009-0000-0100-000013000000}"/>
  <tableColumns count="5">
    <tableColumn id="1" xr3:uid="{00000000-0010-0000-1200-000001000000}" name="Test ID" dataDxfId="808"/>
    <tableColumn id="2" xr3:uid="{00000000-0010-0000-1200-000002000000}" name="Field" dataDxfId="807"/>
    <tableColumn id="3" xr3:uid="{00000000-0010-0000-1200-000003000000}" name="Justification" dataDxfId="806"/>
    <tableColumn id="5" xr3:uid="{00000000-0010-0000-1200-000005000000}" name="Number of Occurences" dataDxfId="805"/>
    <tableColumn id="4" xr3:uid="{00000000-0010-0000-1200-000004000000}" name="Justification State" dataDxfId="804"/>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3000000}" name="Table4" displayName="Table4" ref="B2:W21" totalsRowShown="0" headerRowDxfId="803" dataDxfId="802">
  <autoFilter ref="B2:W21" xr:uid="{00000000-0009-0000-0100-000004000000}"/>
  <tableColumns count="22">
    <tableColumn id="1" xr3:uid="{00000000-0010-0000-1300-000001000000}" name="case_test" dataDxfId="801"/>
    <tableColumn id="2" xr3:uid="{00000000-0010-0000-1300-000002000000}" name="test_id" dataDxfId="800"/>
    <tableColumn id="3" xr3:uid="{00000000-0010-0000-1300-000003000000}" name="test_timestamp" dataDxfId="799"/>
    <tableColumn id="4" xr3:uid="{00000000-0010-0000-1300-000004000000}" name="query_driver_data_date_part" dataDxfId="798"/>
    <tableColumn id="5" xr3:uid="{00000000-0010-0000-1300-000005000000}" name="test_number" dataDxfId="797"/>
    <tableColumn id="6" xr3:uid="{00000000-0010-0000-1300-000006000000}" name="score" dataDxfId="796"/>
    <tableColumn id="7" xr3:uid="{00000000-0010-0000-1300-000007000000}" name="general_result" dataDxfId="795"/>
    <tableColumn id="8" xr3:uid="{00000000-0010-0000-1300-000008000000}" name="bank_id" dataDxfId="794"/>
    <tableColumn id="9" xr3:uid="{00000000-0010-0000-1300-000009000000}" name="process_id" dataDxfId="793"/>
    <tableColumn id="10" xr3:uid="{00000000-0010-0000-1300-00000A000000}" name="product_family_id" dataDxfId="792"/>
    <tableColumn id="11" xr3:uid="{00000000-0010-0000-1300-00000B000000}" name="product_id" dataDxfId="791"/>
    <tableColumn id="12" xr3:uid="{00000000-0010-0000-1300-00000C000000}" name="subproduct_id" dataDxfId="790"/>
    <tableColumn id="13" xr3:uid="{00000000-0010-0000-1300-00000D000000}" name="main_current_account_bank_id" dataDxfId="789"/>
    <tableColumn id="14" xr3:uid="{00000000-0010-0000-1300-00000E000000}" name="main_current_account_contract_id" dataDxfId="788"/>
    <tableColumn id="15" xr3:uid="{00000000-0010-0000-1300-00000F000000}" name="opening_date" dataDxfId="787"/>
    <tableColumn id="16" xr3:uid="{00000000-0010-0000-1300-000010000000}" name="current_maturity_date" dataDxfId="786"/>
    <tableColumn id="17" xr3:uid="{00000000-0010-0000-1300-000011000000}" name="currency_code" dataDxfId="785"/>
    <tableColumn id="18" xr3:uid="{00000000-0010-0000-1300-000012000000}" name="current_authorized_amount" dataDxfId="784"/>
    <tableColumn id="19" xr3:uid="{00000000-0010-0000-1300-000013000000}" name="process_status_code" dataDxfId="783"/>
    <tableColumn id="20" xr3:uid="{00000000-0010-0000-1300-000014000000}" name="process_opening_channel_code" dataDxfId="782"/>
    <tableColumn id="21" xr3:uid="{00000000-0010-0000-1300-000015000000}" name="data_date_part" dataDxfId="781"/>
    <tableColumn id="22" xr3:uid="{00000000-0010-0000-1300-000016000000}" name="data_timestamp_part" dataDxfId="780"/>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4000000}" name="Table152021" displayName="Table152021" ref="B29:F30" insertRow="1" totalsRowShown="0" headerRowDxfId="779" headerRowBorderDxfId="778" tableBorderDxfId="777">
  <autoFilter ref="B29:F30" xr:uid="{00000000-0009-0000-0100-000014000000}"/>
  <tableColumns count="5">
    <tableColumn id="1" xr3:uid="{00000000-0010-0000-1400-000001000000}" name="Test ID" dataDxfId="776"/>
    <tableColumn id="2" xr3:uid="{00000000-0010-0000-1400-000002000000}" name="Field" dataDxfId="775"/>
    <tableColumn id="3" xr3:uid="{00000000-0010-0000-1400-000003000000}" name="Justification" dataDxfId="774"/>
    <tableColumn id="5" xr3:uid="{00000000-0010-0000-1400-000005000000}" name="Number of Occurences" dataDxfId="773"/>
    <tableColumn id="4" xr3:uid="{00000000-0010-0000-1400-000004000000}" name="Justification State" dataDxfId="772"/>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5000000}" name="Table1519242527" displayName="Table1519242527" ref="B29:F35" totalsRowShown="0" headerRowDxfId="771" dataDxfId="769" headerRowBorderDxfId="770" tableBorderDxfId="768">
  <autoFilter ref="B29:F35" xr:uid="{00000000-0009-0000-0100-00001A000000}"/>
  <tableColumns count="5">
    <tableColumn id="1" xr3:uid="{00000000-0010-0000-1500-000001000000}" name="Test ID" dataDxfId="767"/>
    <tableColumn id="2" xr3:uid="{00000000-0010-0000-1500-000002000000}" name="Field" dataDxfId="766"/>
    <tableColumn id="3" xr3:uid="{00000000-0010-0000-1500-000003000000}" name="Justification" dataDxfId="765"/>
    <tableColumn id="4" xr3:uid="{00000000-0010-0000-1500-000004000000}" name="Number of Occurences" dataDxfId="764"/>
    <tableColumn id="5" xr3:uid="{00000000-0010-0000-1500-000005000000}" name="Justification State" dataDxfId="763"/>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Table16232628" displayName="Table16232628" ref="B2:Y22" totalsRowShown="0" headerRowDxfId="762" dataDxfId="761">
  <autoFilter ref="B2:Y22" xr:uid="{00000000-0009-0000-0100-00001B000000}"/>
  <tableColumns count="24">
    <tableColumn id="1" xr3:uid="{00000000-0010-0000-1600-000001000000}" name="Case_Test" dataDxfId="760"/>
    <tableColumn id="2" xr3:uid="{00000000-0010-0000-1600-000002000000}" name="test_id" dataDxfId="759"/>
    <tableColumn id="3" xr3:uid="{00000000-0010-0000-1600-000003000000}" name="test_timestamp" dataDxfId="758"/>
    <tableColumn id="4" xr3:uid="{00000000-0010-0000-1600-000004000000}" name="query_driver_data_date_part" dataDxfId="757"/>
    <tableColumn id="5" xr3:uid="{00000000-0010-0000-1600-000005000000}" name="test_number" dataDxfId="756"/>
    <tableColumn id="6" xr3:uid="{00000000-0010-0000-1600-000006000000}" name="score" dataDxfId="755"/>
    <tableColumn id="7" xr3:uid="{00000000-0010-0000-1600-000007000000}" name="general_result" dataDxfId="754"/>
    <tableColumn id="8" xr3:uid="{00000000-0010-0000-1600-000008000000}" name="bank_id" dataDxfId="753"/>
    <tableColumn id="9" xr3:uid="{00000000-0010-0000-1600-000009000000}" name="process_id" dataDxfId="752"/>
    <tableColumn id="10" xr3:uid="{00000000-0010-0000-1600-00000A000000}" name="main_current_account_bank_id" dataDxfId="751"/>
    <tableColumn id="11" xr3:uid="{00000000-0010-0000-1600-00000B000000}" name="main_current_account_contract_id" dataDxfId="750"/>
    <tableColumn id="12" xr3:uid="{00000000-0010-0000-1600-00000C000000}" name="main_current_account_iban" dataDxfId="749"/>
    <tableColumn id="13" xr3:uid="{00000000-0010-0000-1600-00000D000000}" name="main_loan_account_bank_id" dataDxfId="748"/>
    <tableColumn id="14" xr3:uid="{00000000-0010-0000-1600-00000E000000}" name="main_loan_account_contract_id" dataDxfId="747"/>
    <tableColumn id="15" xr3:uid="{00000000-0010-0000-1600-00000F000000}" name="main_loan_account_iban" dataDxfId="746"/>
    <tableColumn id="16" xr3:uid="{00000000-0010-0000-1600-000010000000}" name="opening_date" dataDxfId="745"/>
    <tableColumn id="17" xr3:uid="{00000000-0010-0000-1600-000011000000}" name="current_maturity_date" dataDxfId="744"/>
    <tableColumn id="18" xr3:uid="{00000000-0010-0000-1600-000012000000}" name="currency_code" dataDxfId="743"/>
    <tableColumn id="19" xr3:uid="{00000000-0010-0000-1600-000013000000}" name="initial_limit_amount" dataDxfId="742"/>
    <tableColumn id="20" xr3:uid="{00000000-0010-0000-1600-000014000000}" name="current_limit_amount" dataDxfId="741"/>
    <tableColumn id="21" xr3:uid="{00000000-0010-0000-1600-000015000000}" name="process_status_code" dataDxfId="740"/>
    <tableColumn id="22" xr3:uid="{00000000-0010-0000-1600-000016000000}" name="process_opening_channel_code" dataDxfId="739"/>
    <tableColumn id="23" xr3:uid="{00000000-0010-0000-1600-000017000000}" name="data_date_part" dataDxfId="738"/>
    <tableColumn id="24" xr3:uid="{00000000-0010-0000-1600-000018000000}" name="data_timestamp_part" dataDxfId="737"/>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7000000}" name="Table10" displayName="Table10" ref="B2:S21" totalsRowShown="0" headerRowDxfId="736" dataDxfId="735">
  <autoFilter ref="B2:S21" xr:uid="{00000000-0009-0000-0100-00000A000000}"/>
  <tableColumns count="18">
    <tableColumn id="1" xr3:uid="{00000000-0010-0000-1700-000001000000}" name="case_test" dataDxfId="734"/>
    <tableColumn id="2" xr3:uid="{00000000-0010-0000-1700-000002000000}" name="test_id" dataDxfId="733"/>
    <tableColumn id="3" xr3:uid="{00000000-0010-0000-1700-000003000000}" name="test_timestamp" dataDxfId="732"/>
    <tableColumn id="4" xr3:uid="{00000000-0010-0000-1700-000004000000}" name="query_driver_data_date_part" dataDxfId="731"/>
    <tableColumn id="5" xr3:uid="{00000000-0010-0000-1700-000005000000}" name="test_number" dataDxfId="730"/>
    <tableColumn id="6" xr3:uid="{00000000-0010-0000-1700-000006000000}" name="score" dataDxfId="729"/>
    <tableColumn id="7" xr3:uid="{00000000-0010-0000-1700-000007000000}" name="general_result" dataDxfId="728"/>
    <tableColumn id="8" xr3:uid="{00000000-0010-0000-1700-000008000000}" name="bank_vault_visit_id" dataDxfId="727"/>
    <tableColumn id="9" xr3:uid="{00000000-0010-0000-1700-000009000000}" name="bank_id" dataDxfId="726"/>
    <tableColumn id="10" xr3:uid="{00000000-0010-0000-1700-00000A000000}" name="contract_id" dataDxfId="725"/>
    <tableColumn id="11" xr3:uid="{00000000-0010-0000-1700-00000B000000}" name="visit_start_employee_id" dataDxfId="724"/>
    <tableColumn id="12" xr3:uid="{00000000-0010-0000-1700-00000C000000}" name="visit_end_employee_id" dataDxfId="723"/>
    <tableColumn id="13" xr3:uid="{00000000-0010-0000-1700-00000D000000}" name="start_datetime" dataDxfId="722"/>
    <tableColumn id="14" xr3:uid="{00000000-0010-0000-1700-00000E000000}" name="end_datetime" dataDxfId="721"/>
    <tableColumn id="15" xr3:uid="{00000000-0010-0000-1700-00000F000000}" name="visit_type_code" dataDxfId="720"/>
    <tableColumn id="16" xr3:uid="{00000000-0010-0000-1700-000010000000}" name="observation" dataDxfId="719"/>
    <tableColumn id="17" xr3:uid="{00000000-0010-0000-1700-000011000000}" name="data_date_part" dataDxfId="718"/>
    <tableColumn id="18" xr3:uid="{00000000-0010-0000-1700-000012000000}" name="data_timestamp_part" dataDxfId="717"/>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8000000}" name="Table1218" displayName="Table1218" ref="B31:F33" totalsRowShown="0" headerRowDxfId="716" dataDxfId="714" headerRowBorderDxfId="715" tableBorderDxfId="713">
  <autoFilter ref="B31:F33" xr:uid="{00000000-0009-0000-0100-000011000000}"/>
  <tableColumns count="5">
    <tableColumn id="1" xr3:uid="{00000000-0010-0000-1800-000001000000}" name="Test ID" dataDxfId="712"/>
    <tableColumn id="2" xr3:uid="{00000000-0010-0000-1800-000002000000}" name="Field" dataDxfId="711"/>
    <tableColumn id="3" xr3:uid="{00000000-0010-0000-1800-000003000000}" name="Justification" dataDxfId="710"/>
    <tableColumn id="5" xr3:uid="{00000000-0010-0000-1800-000005000000}" name="Number of Occurences" dataDxfId="709"/>
    <tableColumn id="4" xr3:uid="{00000000-0010-0000-1800-000004000000}" name="Justification State" dataDxfId="708"/>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9000000}" name="Table13" displayName="Table13" ref="B2:P19" totalsRowShown="0" headerRowDxfId="707" dataDxfId="706">
  <autoFilter ref="B2:P19" xr:uid="{00000000-0009-0000-0100-00000D000000}"/>
  <tableColumns count="15">
    <tableColumn id="1" xr3:uid="{00000000-0010-0000-1900-000001000000}" name="case_test" dataDxfId="705"/>
    <tableColumn id="2" xr3:uid="{00000000-0010-0000-1900-000002000000}" name="test_id" dataDxfId="704"/>
    <tableColumn id="3" xr3:uid="{00000000-0010-0000-1900-000003000000}" name="test_timestamp" dataDxfId="703"/>
    <tableColumn id="4" xr3:uid="{00000000-0010-0000-1900-000004000000}" name="query_driver_data_date_part" dataDxfId="702"/>
    <tableColumn id="5" xr3:uid="{00000000-0010-0000-1900-000005000000}" name="test_number" dataDxfId="701"/>
    <tableColumn id="6" xr3:uid="{00000000-0010-0000-1900-000006000000}" name="score" dataDxfId="700"/>
    <tableColumn id="7" xr3:uid="{00000000-0010-0000-1900-000007000000}" name="general_result" dataDxfId="699"/>
    <tableColumn id="8" xr3:uid="{00000000-0010-0000-1900-000008000000}" name="bank_id" dataDxfId="698"/>
    <tableColumn id="9" xr3:uid="{00000000-0010-0000-1900-000009000000}" name="contract_id" dataDxfId="697"/>
    <tableColumn id="10" xr3:uid="{00000000-0010-0000-1900-00000A000000}" name="party_id" dataDxfId="696"/>
    <tableColumn id="11" xr3:uid="{00000000-0010-0000-1900-00000B000000}" name="contract_intervention_type_code" dataDxfId="695"/>
    <tableColumn id="12" xr3:uid="{00000000-0010-0000-1900-00000C000000}" name="contract_beneficiary_order_num" dataDxfId="694"/>
    <tableColumn id="13" xr3:uid="{00000000-0010-0000-1900-00000D000000}" name="relationship_start_date" dataDxfId="693"/>
    <tableColumn id="14" xr3:uid="{00000000-0010-0000-1900-00000E000000}" name="data_date_part" dataDxfId="692"/>
    <tableColumn id="15" xr3:uid="{00000000-0010-0000-1900-00000F000000}" name="data_timestamp_part" dataDxfId="691"/>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A000000}" name="Table12" displayName="Table12" ref="B28:F29" totalsRowShown="0" headerRowDxfId="690" dataDxfId="688" headerRowBorderDxfId="689" tableBorderDxfId="687">
  <autoFilter ref="B28:F29" xr:uid="{00000000-0009-0000-0100-00000C000000}"/>
  <tableColumns count="5">
    <tableColumn id="1" xr3:uid="{00000000-0010-0000-1A00-000001000000}" name="Test ID" dataDxfId="686"/>
    <tableColumn id="2" xr3:uid="{00000000-0010-0000-1A00-000002000000}" name="Field" dataDxfId="685"/>
    <tableColumn id="3" xr3:uid="{00000000-0010-0000-1A00-000003000000}" name="Justification" dataDxfId="684"/>
    <tableColumn id="5" xr3:uid="{00000000-0010-0000-1A00-000005000000}" name="Number of Occurences" dataDxfId="683"/>
    <tableColumn id="4" xr3:uid="{00000000-0010-0000-1A00-000004000000}" name="Justification State" dataDxfId="682"/>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1519242529" displayName="Table1519242529" ref="B31:F65" totalsRowShown="0" headerRowDxfId="681" dataDxfId="679" headerRowBorderDxfId="680" tableBorderDxfId="678">
  <autoFilter ref="B31:F65" xr:uid="{00000000-0009-0000-0100-00001C000000}"/>
  <tableColumns count="5">
    <tableColumn id="1" xr3:uid="{00000000-0010-0000-1B00-000001000000}" name="Test ID" dataDxfId="677"/>
    <tableColumn id="2" xr3:uid="{00000000-0010-0000-1B00-000002000000}" name="Field" dataDxfId="676"/>
    <tableColumn id="3" xr3:uid="{00000000-0010-0000-1B00-000003000000}" name="Justification" dataDxfId="675"/>
    <tableColumn id="4" xr3:uid="{00000000-0010-0000-1B00-000004000000}" name="Number of Occurences" dataDxfId="674"/>
    <tableColumn id="5" xr3:uid="{00000000-0010-0000-1B00-000005000000}" name="Justification State" dataDxfId="673"/>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16232630" displayName="Table16232630" ref="B2:BA23" totalsRowShown="0" headerRowDxfId="672" dataDxfId="671">
  <autoFilter ref="B2:BA23" xr:uid="{00000000-0009-0000-0100-00001D000000}"/>
  <tableColumns count="52">
    <tableColumn id="1" xr3:uid="{00000000-0010-0000-1C00-000001000000}" name="Case_Test" dataDxfId="670"/>
    <tableColumn id="2" xr3:uid="{00000000-0010-0000-1C00-000002000000}" name="test_id" dataDxfId="669"/>
    <tableColumn id="3" xr3:uid="{00000000-0010-0000-1C00-000003000000}" name="test_timestamp" dataDxfId="668"/>
    <tableColumn id="4" xr3:uid="{00000000-0010-0000-1C00-000004000000}" name="query_driver_data_date_part" dataDxfId="667"/>
    <tableColumn id="5" xr3:uid="{00000000-0010-0000-1C00-000005000000}" name="test_number" dataDxfId="666"/>
    <tableColumn id="6" xr3:uid="{00000000-0010-0000-1C00-000006000000}" name="score" dataDxfId="665"/>
    <tableColumn id="7" xr3:uid="{00000000-0010-0000-1C00-000007000000}" name="general_result" dataDxfId="664"/>
    <tableColumn id="8" xr3:uid="{00000000-0010-0000-1C00-000008000000}" name="bank_id" dataDxfId="663"/>
    <tableColumn id="9" xr3:uid="{00000000-0010-0000-1C00-000009000000}" name="contract_id" dataDxfId="662"/>
    <tableColumn id="10" xr3:uid="{00000000-0010-0000-1C00-00000A000000}" name="product_family_id" dataDxfId="661"/>
    <tableColumn id="11" xr3:uid="{00000000-0010-0000-1C00-00000B000000}" name="product_id" dataDxfId="660"/>
    <tableColumn id="12" xr3:uid="{00000000-0010-0000-1C00-00000C000000}" name="subproduct_id" dataDxfId="659"/>
    <tableColumn id="52" xr3:uid="{00000000-0010-0000-1C00-000034000000}" name="main_current_account_bank_id" dataDxfId="658"/>
    <tableColumn id="54" xr3:uid="{00000000-0010-0000-1C00-000036000000}" name="main_current_account_contract_id" dataDxfId="657"/>
    <tableColumn id="55" xr3:uid="{00000000-0010-0000-1C00-000037000000}" name="main_current_account_iban" dataDxfId="656"/>
    <tableColumn id="56" xr3:uid="{00000000-0010-0000-1C00-000038000000}" name="main_loan_account_bank_id" dataDxfId="655"/>
    <tableColumn id="57" xr3:uid="{00000000-0010-0000-1C00-000039000000}" name="main_loan_account_contract_id" dataDxfId="654"/>
    <tableColumn id="42" xr3:uid="{00000000-0010-0000-1C00-00002A000000}" name="main_loan_account_iban" dataDxfId="653"/>
    <tableColumn id="43" xr3:uid="{00000000-0010-0000-1C00-00002B000000}" name="process_bank_id" dataDxfId="652"/>
    <tableColumn id="44" xr3:uid="{00000000-0010-0000-1C00-00002C000000}" name="process_id" dataDxfId="651"/>
    <tableColumn id="13" xr3:uid="{00000000-0010-0000-1C00-00000D000000}" name="opening_date" dataDxfId="650"/>
    <tableColumn id="14" xr3:uid="{00000000-0010-0000-1C00-00000E000000}" name="current_maturity_date" dataDxfId="649"/>
    <tableColumn id="15" xr3:uid="{00000000-0010-0000-1C00-00000F000000}" name="currency_code" dataDxfId="648"/>
    <tableColumn id="46" xr3:uid="{00000000-0010-0000-1C00-00002E000000}" name="litigation_indicator" dataDxfId="647"/>
    <tableColumn id="47" xr3:uid="{00000000-0010-0000-1C00-00002F000000}" name="current_authorized_amount" dataDxfId="646"/>
    <tableColumn id="48" xr3:uid="{00000000-0010-0000-1C00-000030000000}" name="current_available_amount" dataDxfId="645"/>
    <tableColumn id="49" xr3:uid="{00000000-0010-0000-1C00-000031000000}" name="current_retention_rate" dataDxfId="644"/>
    <tableColumn id="50" xr3:uid="{00000000-0010-0000-1C00-000032000000}" name="cur_outsng_principal_balance" dataDxfId="643"/>
    <tableColumn id="51" xr3:uid="{00000000-0010-0000-1C00-000033000000}" name="current_overdue_principal_bal" dataDxfId="642"/>
    <tableColumn id="53" xr3:uid="{00000000-0010-0000-1C00-000035000000}" name="cur_debt_litigation_princip_bal" dataDxfId="641"/>
    <tableColumn id="16" xr3:uid="{00000000-0010-0000-1C00-000010000000}" name="next_regular_amort_due_date" dataDxfId="640"/>
    <tableColumn id="17" xr3:uid="{00000000-0010-0000-1C00-000011000000}" name="last_regular_amort_pay_date" dataDxfId="639"/>
    <tableColumn id="18" xr3:uid="{00000000-0010-0000-1C00-000012000000}" name="current_bill_princip_amount" dataDxfId="638"/>
    <tableColumn id="19" xr3:uid="{00000000-0010-0000-1C00-000013000000}" name="last_advance_date" dataDxfId="637"/>
    <tableColumn id="58" xr3:uid="{00000000-0010-0000-1C00-00003A000000}" name="last_advance_principal_amount" dataDxfId="636"/>
    <tableColumn id="59" xr3:uid="{00000000-0010-0000-1C00-00003B000000}" name="cur_advance_principal_amt" dataDxfId="635"/>
    <tableColumn id="62" xr3:uid="{00000000-0010-0000-1C00-00003E000000}" name="initial_active_rate_type_code" dataDxfId="634"/>
    <tableColumn id="61" xr3:uid="{00000000-0010-0000-1C00-00003D000000}" name="initial_active_indexing" dataDxfId="633"/>
    <tableColumn id="60" xr3:uid="{00000000-0010-0000-1C00-00003C000000}" name="initial_active_index_rate" dataDxfId="632"/>
    <tableColumn id="20" xr3:uid="{00000000-0010-0000-1C00-000014000000}" name="initial_active_spread" dataDxfId="631"/>
    <tableColumn id="21" xr3:uid="{00000000-0010-0000-1C00-000015000000}" name="initial_active_interest_rate" dataDxfId="630"/>
    <tableColumn id="22" xr3:uid="{00000000-0010-0000-1C00-000016000000}" name="cur_active_rate_type_code" dataDxfId="629"/>
    <tableColumn id="23" xr3:uid="{00000000-0010-0000-1C00-000017000000}" name="current_active_indexing" dataDxfId="628"/>
    <tableColumn id="24" xr3:uid="{00000000-0010-0000-1C00-000018000000}" name="current_active_index_rate" dataDxfId="627"/>
    <tableColumn id="25" xr3:uid="{00000000-0010-0000-1C00-000019000000}" name="current_active_spread" dataDxfId="626"/>
    <tableColumn id="26" xr3:uid="{00000000-0010-0000-1C00-00001A000000}" name="current_active_interest_rate" dataDxfId="625"/>
    <tableColumn id="27" xr3:uid="{00000000-0010-0000-1C00-00001B000000}" name="recourse_indicator" dataDxfId="624"/>
    <tableColumn id="28" xr3:uid="{00000000-0010-0000-1C00-00001C000000}" name="contract_status_code" dataDxfId="623"/>
    <tableColumn id="29" xr3:uid="{00000000-0010-0000-1C00-00001D000000}" name="contract_opening_channel_code" dataDxfId="622"/>
    <tableColumn id="30" xr3:uid="{00000000-0010-0000-1C00-00001E000000}" name="source_code" dataDxfId="621"/>
    <tableColumn id="31" xr3:uid="{00000000-0010-0000-1C00-00001F000000}" name="data_date_part" dataDxfId="620"/>
    <tableColumn id="32" xr3:uid="{00000000-0010-0000-1C00-000020000000}" name="data_timestamp_part" dataDxfId="619"/>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433" displayName="Table433" ref="B2:S21" totalsRowShown="0" headerRowDxfId="618" dataDxfId="617">
  <autoFilter ref="B2:S21" xr:uid="{00000000-0009-0000-0100-000020000000}"/>
  <tableColumns count="18">
    <tableColumn id="1" xr3:uid="{00000000-0010-0000-1D00-000001000000}" name="case_test" dataDxfId="616"/>
    <tableColumn id="2" xr3:uid="{00000000-0010-0000-1D00-000002000000}" name="test_id" dataDxfId="615"/>
    <tableColumn id="3" xr3:uid="{00000000-0010-0000-1D00-000003000000}" name="test_timestamp" dataDxfId="614"/>
    <tableColumn id="4" xr3:uid="{00000000-0010-0000-1D00-000004000000}" name="query_driver_data_date_part" dataDxfId="613"/>
    <tableColumn id="5" xr3:uid="{00000000-0010-0000-1D00-000005000000}" name="test_number" dataDxfId="612"/>
    <tableColumn id="6" xr3:uid="{00000000-0010-0000-1D00-000006000000}" name="score" dataDxfId="611"/>
    <tableColumn id="7" xr3:uid="{00000000-0010-0000-1D00-000007000000}" name="general_result" dataDxfId="610"/>
    <tableColumn id="8" xr3:uid="{00000000-0010-0000-1D00-000008000000}" name="card_number" dataDxfId="609"/>
    <tableColumn id="9" xr3:uid="{00000000-0010-0000-1D00-000009000000}" name="main_contract_bank_id" dataDxfId="608"/>
    <tableColumn id="10" xr3:uid="{00000000-0010-0000-1D00-00000A000000}" name="main_contract_id" dataDxfId="607"/>
    <tableColumn id="11" xr3:uid="{00000000-0010-0000-1D00-00000B000000}" name="beneficiary_order_number" dataDxfId="606"/>
    <tableColumn id="12" xr3:uid="{00000000-0010-0000-1D00-00000C000000}" name="card_activation_date" dataDxfId="605"/>
    <tableColumn id="13" xr3:uid="{00000000-0010-0000-1D00-00000D000000}" name="card_expiration_date" dataDxfId="604"/>
    <tableColumn id="14" xr3:uid="{00000000-0010-0000-1D00-00000E000000}" name="daily_atm_limit" dataDxfId="603"/>
    <tableColumn id="15" xr3:uid="{00000000-0010-0000-1D00-00000F000000}" name="daily_purchase_limit" dataDxfId="602"/>
    <tableColumn id="16" xr3:uid="{00000000-0010-0000-1D00-000010000000}" name="card_status_code" dataDxfId="601"/>
    <tableColumn id="17" xr3:uid="{00000000-0010-0000-1D00-000011000000}" name="data_date_part" dataDxfId="600"/>
    <tableColumn id="18" xr3:uid="{00000000-0010-0000-1D00-000012000000}" name="data_timestamp_part" dataDxfId="599"/>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5202134" displayName="Table15202134" ref="B29:F30" insertRow="1" totalsRowShown="0" headerRowDxfId="598" headerRowBorderDxfId="597" tableBorderDxfId="596">
  <autoFilter ref="B29:F30" xr:uid="{00000000-0009-0000-0100-000021000000}"/>
  <tableColumns count="5">
    <tableColumn id="1" xr3:uid="{00000000-0010-0000-1E00-000001000000}" name="Test ID" dataDxfId="595"/>
    <tableColumn id="2" xr3:uid="{00000000-0010-0000-1E00-000002000000}" name="Field" dataDxfId="594"/>
    <tableColumn id="3" xr3:uid="{00000000-0010-0000-1E00-000003000000}" name="Justification" dataDxfId="593"/>
    <tableColumn id="5" xr3:uid="{00000000-0010-0000-1E00-000005000000}" name="Number of Occurences" dataDxfId="592"/>
    <tableColumn id="4" xr3:uid="{00000000-0010-0000-1E00-000004000000}" name="Justification State" dataDxfId="591"/>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F000000}" name="Table43331" displayName="Table43331" ref="B2:S21" totalsRowShown="0" headerRowDxfId="590" dataDxfId="589">
  <autoFilter ref="B2:S21" xr:uid="{00000000-0009-0000-0100-00001E000000}"/>
  <tableColumns count="18">
    <tableColumn id="1" xr3:uid="{00000000-0010-0000-1F00-000001000000}" name="case_test" dataDxfId="588"/>
    <tableColumn id="2" xr3:uid="{00000000-0010-0000-1F00-000002000000}" name="test_id" dataDxfId="587"/>
    <tableColumn id="3" xr3:uid="{00000000-0010-0000-1F00-000003000000}" name="test_timestamp" dataDxfId="586"/>
    <tableColumn id="4" xr3:uid="{00000000-0010-0000-1F00-000004000000}" name="query_driver_data_date_part" dataDxfId="585"/>
    <tableColumn id="5" xr3:uid="{00000000-0010-0000-1F00-000005000000}" name="test_number" dataDxfId="584"/>
    <tableColumn id="6" xr3:uid="{00000000-0010-0000-1F00-000006000000}" name="score" dataDxfId="583"/>
    <tableColumn id="7" xr3:uid="{00000000-0010-0000-1F00-000007000000}" name="general_result" dataDxfId="582"/>
    <tableColumn id="8" xr3:uid="{00000000-0010-0000-1F00-000008000000}" name="card_number" dataDxfId="581"/>
    <tableColumn id="9" xr3:uid="{00000000-0010-0000-1F00-000009000000}" name="main_card_account_bank_id" dataDxfId="580"/>
    <tableColumn id="10" xr3:uid="{00000000-0010-0000-1F00-00000A000000}" name="main_card_account_contract_id" dataDxfId="579"/>
    <tableColumn id="11" xr3:uid="{00000000-0010-0000-1F00-00000B000000}" name="beneficiary_order_number" dataDxfId="578"/>
    <tableColumn id="12" xr3:uid="{00000000-0010-0000-1F00-00000C000000}" name="card_activation_date" dataDxfId="577"/>
    <tableColumn id="13" xr3:uid="{00000000-0010-0000-1F00-00000D000000}" name="card_expiration_date" dataDxfId="576"/>
    <tableColumn id="14" xr3:uid="{00000000-0010-0000-1F00-00000E000000}" name="daily_atm_limit" dataDxfId="575"/>
    <tableColumn id="15" xr3:uid="{00000000-0010-0000-1F00-00000F000000}" name="daily_purchase_limit" dataDxfId="574"/>
    <tableColumn id="16" xr3:uid="{00000000-0010-0000-1F00-000010000000}" name="card_status_code" dataDxfId="573"/>
    <tableColumn id="17" xr3:uid="{00000000-0010-0000-1F00-000011000000}" name="data_date_part" dataDxfId="572"/>
    <tableColumn id="18" xr3:uid="{00000000-0010-0000-1F00-000012000000}" name="data_timestamp_part" dataDxfId="571"/>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0000000}" name="Table1520213432" displayName="Table1520213432" ref="B29:F30" totalsRowShown="0" headerRowDxfId="570" headerRowBorderDxfId="569" tableBorderDxfId="568">
  <autoFilter ref="B29:F30" xr:uid="{00000000-0009-0000-0100-00001F000000}"/>
  <tableColumns count="5">
    <tableColumn id="1" xr3:uid="{00000000-0010-0000-2000-000001000000}" name="Test ID" dataDxfId="567"/>
    <tableColumn id="2" xr3:uid="{00000000-0010-0000-2000-000002000000}" name="Field" dataDxfId="566"/>
    <tableColumn id="3" xr3:uid="{00000000-0010-0000-2000-000003000000}" name="Justification" dataDxfId="565"/>
    <tableColumn id="5" xr3:uid="{00000000-0010-0000-2000-000005000000}" name="Number of Occurences" dataDxfId="564"/>
    <tableColumn id="4" xr3:uid="{00000000-0010-0000-2000-000004000000}" name="Justification State" dataDxfId="563"/>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1000000}" name="Table433313539" displayName="Table433313539" ref="B2:W21" totalsRowShown="0" headerRowDxfId="562" dataDxfId="561">
  <autoFilter ref="B2:W21" xr:uid="{00000000-0009-0000-0100-000026000000}"/>
  <tableColumns count="22">
    <tableColumn id="1" xr3:uid="{00000000-0010-0000-2100-000001000000}" name="case_test" dataDxfId="560"/>
    <tableColumn id="2" xr3:uid="{00000000-0010-0000-2100-000002000000}" name="test_id" dataDxfId="559"/>
    <tableColumn id="3" xr3:uid="{00000000-0010-0000-2100-000003000000}" name="test_timestamp" dataDxfId="558"/>
    <tableColumn id="4" xr3:uid="{00000000-0010-0000-2100-000004000000}" name="query_driver_data_date_part" dataDxfId="557"/>
    <tableColumn id="5" xr3:uid="{00000000-0010-0000-2100-000005000000}" name="test_number" dataDxfId="556"/>
    <tableColumn id="6" xr3:uid="{00000000-0010-0000-2100-000006000000}" name="score" dataDxfId="555"/>
    <tableColumn id="7" xr3:uid="{00000000-0010-0000-2100-000007000000}" name="general_result" dataDxfId="554"/>
    <tableColumn id="8" xr3:uid="{00000000-0010-0000-2100-000008000000}" name="bank_id" dataDxfId="553"/>
    <tableColumn id="9" xr3:uid="{00000000-0010-0000-2100-000009000000}" name="contract_id" dataDxfId="552"/>
    <tableColumn id="10" xr3:uid="{00000000-0010-0000-2100-00000A000000}" name="product_family_id" dataDxfId="551"/>
    <tableColumn id="11" xr3:uid="{00000000-0010-0000-2100-00000B000000}" name="product_id" dataDxfId="550"/>
    <tableColumn id="12" xr3:uid="{00000000-0010-0000-2100-00000C000000}" name="subproduct_id" dataDxfId="549"/>
    <tableColumn id="13" xr3:uid="{00000000-0010-0000-2100-00000D000000}" name="main_current_account_bank_id" dataDxfId="548"/>
    <tableColumn id="14" xr3:uid="{00000000-0010-0000-2100-00000E000000}" name="main_current_account_contract_id" dataDxfId="547"/>
    <tableColumn id="15" xr3:uid="{00000000-0010-0000-2100-00000F000000}" name="opening_date" dataDxfId="546"/>
    <tableColumn id="16" xr3:uid="{00000000-0010-0000-2100-000010000000}" name="current_maturity_date" dataDxfId="545"/>
    <tableColumn id="17" xr3:uid="{00000000-0010-0000-2100-000011000000}" name="currency_code" dataDxfId="544"/>
    <tableColumn id="19" xr3:uid="{00000000-0010-0000-2100-000013000000}" name="contract_status_code" dataDxfId="543"/>
    <tableColumn id="20" xr3:uid="{00000000-0010-0000-2100-000014000000}" name="contract_opening_channel_code" dataDxfId="542"/>
    <tableColumn id="21" xr3:uid="{00000000-0010-0000-2100-000015000000}" name="source_code" dataDxfId="541"/>
    <tableColumn id="22" xr3:uid="{00000000-0010-0000-2100-000016000000}" name="data_date_part" dataDxfId="540"/>
    <tableColumn id="23" xr3:uid="{00000000-0010-0000-2100-000017000000}" name="data_timestamp_part" dataDxfId="539"/>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2000000}" name="Table15202134323640" displayName="Table15202134323640" ref="B29:F30" totalsRowShown="0" headerRowDxfId="538" headerRowBorderDxfId="537" tableBorderDxfId="536">
  <autoFilter ref="B29:F30" xr:uid="{00000000-0009-0000-0100-000027000000}"/>
  <tableColumns count="5">
    <tableColumn id="1" xr3:uid="{00000000-0010-0000-2200-000001000000}" name="Test ID" dataDxfId="535"/>
    <tableColumn id="2" xr3:uid="{00000000-0010-0000-2200-000002000000}" name="Field" dataDxfId="534"/>
    <tableColumn id="3" xr3:uid="{00000000-0010-0000-2200-000003000000}" name="Justification" dataDxfId="533"/>
    <tableColumn id="5" xr3:uid="{00000000-0010-0000-2200-000005000000}" name="Number of Occurences" dataDxfId="532"/>
    <tableColumn id="4" xr3:uid="{00000000-0010-0000-2200-000004000000}" name="Justification State" dataDxfId="531"/>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4333137" displayName="Table4333137" ref="B2:S21" totalsRowShown="0" headerRowDxfId="530" dataDxfId="529">
  <autoFilter ref="B2:S21" xr:uid="{00000000-0009-0000-0100-000024000000}"/>
  <tableColumns count="18">
    <tableColumn id="1" xr3:uid="{00000000-0010-0000-2300-000001000000}" name="case_test" dataDxfId="528"/>
    <tableColumn id="2" xr3:uid="{00000000-0010-0000-2300-000002000000}" name="test_id" dataDxfId="527"/>
    <tableColumn id="3" xr3:uid="{00000000-0010-0000-2300-000003000000}" name="test_timestamp" dataDxfId="526"/>
    <tableColumn id="4" xr3:uid="{00000000-0010-0000-2300-000004000000}" name="query_driver_data_date_part" dataDxfId="525"/>
    <tableColumn id="5" xr3:uid="{00000000-0010-0000-2300-000005000000}" name="test_number" dataDxfId="524"/>
    <tableColumn id="6" xr3:uid="{00000000-0010-0000-2300-000006000000}" name="score" dataDxfId="523"/>
    <tableColumn id="7" xr3:uid="{00000000-0010-0000-2300-000007000000}" name="general_result" dataDxfId="522"/>
    <tableColumn id="8" xr3:uid="{00000000-0010-0000-2300-000008000000}" name="card_number" dataDxfId="521"/>
    <tableColumn id="9" xr3:uid="{00000000-0010-0000-2300-000009000000}" name="main_contract_bank_id" dataDxfId="520"/>
    <tableColumn id="10" xr3:uid="{00000000-0010-0000-2300-00000A000000}" name="main_contract_id" dataDxfId="519"/>
    <tableColumn id="11" xr3:uid="{00000000-0010-0000-2300-00000B000000}" name="beneficiary_order_number" dataDxfId="518"/>
    <tableColumn id="12" xr3:uid="{00000000-0010-0000-2300-00000C000000}" name="card_activation_date" dataDxfId="517"/>
    <tableColumn id="13" xr3:uid="{00000000-0010-0000-2300-00000D000000}" name="card_expiration_date" dataDxfId="516"/>
    <tableColumn id="14" xr3:uid="{00000000-0010-0000-2300-00000E000000}" name="daily_atm_limit" dataDxfId="515"/>
    <tableColumn id="15" xr3:uid="{00000000-0010-0000-2300-00000F000000}" name="daily_purchase_limit" dataDxfId="514"/>
    <tableColumn id="16" xr3:uid="{00000000-0010-0000-2300-000010000000}" name="card_status_code" dataDxfId="513"/>
    <tableColumn id="17" xr3:uid="{00000000-0010-0000-2300-000011000000}" name="data_date_part" dataDxfId="512"/>
    <tableColumn id="18" xr3:uid="{00000000-0010-0000-2300-000012000000}" name="data_timestamp_part" dataDxfId="511"/>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152021343238" displayName="Table152021343238" ref="B29:F30" totalsRowShown="0" headerRowDxfId="510" dataDxfId="508" headerRowBorderDxfId="509" tableBorderDxfId="507">
  <autoFilter ref="B29:F30" xr:uid="{00000000-0009-0000-0100-000025000000}"/>
  <tableColumns count="5">
    <tableColumn id="1" xr3:uid="{00000000-0010-0000-2400-000001000000}" name="Test ID" dataDxfId="506"/>
    <tableColumn id="2" xr3:uid="{00000000-0010-0000-2400-000002000000}" name="Field" dataDxfId="505"/>
    <tableColumn id="3" xr3:uid="{00000000-0010-0000-2400-000003000000}" name="Justification" dataDxfId="504"/>
    <tableColumn id="5" xr3:uid="{00000000-0010-0000-2400-000005000000}" name="Number of Occurences" dataDxfId="503"/>
    <tableColumn id="4" xr3:uid="{00000000-0010-0000-2400-000004000000}" name="Justification State" dataDxfId="502"/>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5000000}" name="Table4333135" displayName="Table4333135" ref="B2:U21" totalsRowShown="0" headerRowDxfId="501" dataDxfId="500">
  <autoFilter ref="B2:U21" xr:uid="{00000000-0009-0000-0100-000022000000}"/>
  <tableColumns count="20">
    <tableColumn id="1" xr3:uid="{00000000-0010-0000-2500-000001000000}" name="case_test" dataDxfId="499"/>
    <tableColumn id="2" xr3:uid="{00000000-0010-0000-2500-000002000000}" name="test_id" dataDxfId="498"/>
    <tableColumn id="3" xr3:uid="{00000000-0010-0000-2500-000003000000}" name="test_timestamp" dataDxfId="497"/>
    <tableColumn id="4" xr3:uid="{00000000-0010-0000-2500-000004000000}" name="query_driver_data_date_part" dataDxfId="496"/>
    <tableColumn id="5" xr3:uid="{00000000-0010-0000-2500-000005000000}" name="test_number" dataDxfId="495"/>
    <tableColumn id="6" xr3:uid="{00000000-0010-0000-2500-000006000000}" name="score" dataDxfId="494"/>
    <tableColumn id="7" xr3:uid="{00000000-0010-0000-2500-000007000000}" name="general_result" dataDxfId="493"/>
    <tableColumn id="8" xr3:uid="{00000000-0010-0000-2500-000008000000}" name="bank_id" dataDxfId="492"/>
    <tableColumn id="9" xr3:uid="{00000000-0010-0000-2500-000009000000}" name="card_account_id" dataDxfId="491"/>
    <tableColumn id="10" xr3:uid="{00000000-0010-0000-2500-00000A000000}" name="product_family_id" dataDxfId="490"/>
    <tableColumn id="11" xr3:uid="{00000000-0010-0000-2500-00000B000000}" name="product_id" dataDxfId="489"/>
    <tableColumn id="12" xr3:uid="{00000000-0010-0000-2500-00000C000000}" name="subproduct_id" dataDxfId="488"/>
    <tableColumn id="13" xr3:uid="{00000000-0010-0000-2500-00000D000000}" name="main_current_account_bank_id" dataDxfId="487"/>
    <tableColumn id="14" xr3:uid="{00000000-0010-0000-2500-00000E000000}" name="main_current_account_contract_id" dataDxfId="486"/>
    <tableColumn id="15" xr3:uid="{00000000-0010-0000-2500-00000F000000}" name="opening_date" dataDxfId="485"/>
    <tableColumn id="16" xr3:uid="{00000000-0010-0000-2500-000010000000}" name="current_maturity_date" dataDxfId="484"/>
    <tableColumn id="17" xr3:uid="{00000000-0010-0000-2500-000011000000}" name="currency_code" dataDxfId="483"/>
    <tableColumn id="18" xr3:uid="{00000000-0010-0000-2500-000012000000}" name="card_account_status_code" dataDxfId="482"/>
    <tableColumn id="19" xr3:uid="{00000000-0010-0000-2500-000013000000}" name="data_date_part" dataDxfId="481"/>
    <tableColumn id="20" xr3:uid="{00000000-0010-0000-2500-000014000000}" name="data_timestamp_part" dataDxfId="480"/>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6000000}" name="Table152021343236" displayName="Table152021343236" ref="B29:F30" insertRow="1" totalsRowShown="0" headerRowDxfId="479" dataDxfId="477" headerRowBorderDxfId="478" tableBorderDxfId="476">
  <autoFilter ref="B29:F30" xr:uid="{00000000-0009-0000-0100-000023000000}"/>
  <tableColumns count="5">
    <tableColumn id="1" xr3:uid="{00000000-0010-0000-2600-000001000000}" name="Test ID" dataDxfId="475"/>
    <tableColumn id="2" xr3:uid="{00000000-0010-0000-2600-000002000000}" name="Field" dataDxfId="474"/>
    <tableColumn id="3" xr3:uid="{00000000-0010-0000-2600-000003000000}" name="Justification" dataDxfId="473"/>
    <tableColumn id="5" xr3:uid="{00000000-0010-0000-2600-000005000000}" name="Number of Occurences" dataDxfId="472"/>
    <tableColumn id="4" xr3:uid="{00000000-0010-0000-2600-000004000000}" name="Justification State" dataDxfId="471"/>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433313543" displayName="Table433313543" ref="B2:W21" totalsRowShown="0" headerRowDxfId="470" dataDxfId="469">
  <autoFilter ref="B2:W21" xr:uid="{00000000-0009-0000-0100-00002A000000}"/>
  <tableColumns count="22">
    <tableColumn id="1" xr3:uid="{00000000-0010-0000-2700-000001000000}" name="case_test" dataDxfId="468"/>
    <tableColumn id="2" xr3:uid="{00000000-0010-0000-2700-000002000000}" name="test_id" dataDxfId="467"/>
    <tableColumn id="3" xr3:uid="{00000000-0010-0000-2700-000003000000}" name="test_timestamp" dataDxfId="466"/>
    <tableColumn id="4" xr3:uid="{00000000-0010-0000-2700-000004000000}" name="query_driver_data_date_part" dataDxfId="465"/>
    <tableColumn id="5" xr3:uid="{00000000-0010-0000-2700-000005000000}" name="test_number" dataDxfId="464"/>
    <tableColumn id="6" xr3:uid="{00000000-0010-0000-2700-000006000000}" name="score" dataDxfId="463"/>
    <tableColumn id="7" xr3:uid="{00000000-0010-0000-2700-000007000000}" name="general_result" dataDxfId="462"/>
    <tableColumn id="8" xr3:uid="{00000000-0010-0000-2700-000008000000}" name="bank_id" dataDxfId="461"/>
    <tableColumn id="9" xr3:uid="{00000000-0010-0000-2700-000009000000}" name="contract_id" dataDxfId="460"/>
    <tableColumn id="10" xr3:uid="{00000000-0010-0000-2700-00000A000000}" name="product_family_id" dataDxfId="459"/>
    <tableColumn id="11" xr3:uid="{00000000-0010-0000-2700-00000B000000}" name="product_id" dataDxfId="458"/>
    <tableColumn id="12" xr3:uid="{00000000-0010-0000-2700-00000C000000}" name="subproduct_id" dataDxfId="457"/>
    <tableColumn id="13" xr3:uid="{00000000-0010-0000-2700-00000D000000}" name="main_current_account_bank_id" dataDxfId="456"/>
    <tableColumn id="14" xr3:uid="{00000000-0010-0000-2700-00000E000000}" name="main_current_account_contract_id" dataDxfId="455"/>
    <tableColumn id="15" xr3:uid="{00000000-0010-0000-2700-00000F000000}" name="opening_date" dataDxfId="454"/>
    <tableColumn id="16" xr3:uid="{00000000-0010-0000-2700-000010000000}" name="current_maturity_date" dataDxfId="453"/>
    <tableColumn id="17" xr3:uid="{00000000-0010-0000-2700-000011000000}" name="currency_code" dataDxfId="452"/>
    <tableColumn id="19" xr3:uid="{00000000-0010-0000-2700-000013000000}" name="contract_status_code" dataDxfId="451"/>
    <tableColumn id="20" xr3:uid="{00000000-0010-0000-2700-000014000000}" name="contract_opening_channel_code" dataDxfId="450"/>
    <tableColumn id="21" xr3:uid="{00000000-0010-0000-2700-000015000000}" name="source_code" dataDxfId="449"/>
    <tableColumn id="22" xr3:uid="{00000000-0010-0000-2700-000016000000}" name="data_date_part" dataDxfId="448"/>
    <tableColumn id="23" xr3:uid="{00000000-0010-0000-2700-000017000000}" name="data_timestamp_part" dataDxfId="447"/>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15202134323644" displayName="Table15202134323644" ref="B29:F30" totalsRowShown="0" headerRowDxfId="446" headerRowBorderDxfId="445" tableBorderDxfId="444">
  <autoFilter ref="B29:F30" xr:uid="{00000000-0009-0000-0100-00002B000000}"/>
  <tableColumns count="5">
    <tableColumn id="1" xr3:uid="{00000000-0010-0000-2800-000001000000}" name="Test ID" dataDxfId="443"/>
    <tableColumn id="2" xr3:uid="{00000000-0010-0000-2800-000002000000}" name="Field" dataDxfId="442"/>
    <tableColumn id="3" xr3:uid="{00000000-0010-0000-2800-000003000000}" name="Justification" dataDxfId="441"/>
    <tableColumn id="5" xr3:uid="{00000000-0010-0000-2800-000005000000}" name="Number of Occurences" dataDxfId="440"/>
    <tableColumn id="4" xr3:uid="{00000000-0010-0000-2800-000004000000}" name="Justification State" dataDxfId="439"/>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9000000}" name="Table433313741" displayName="Table433313741" ref="B2:AY21" totalsRowShown="0" headerRowDxfId="438" dataDxfId="437">
  <autoFilter ref="B2:AY21" xr:uid="{00000000-0009-0000-0100-000028000000}"/>
  <tableColumns count="50">
    <tableColumn id="1" xr3:uid="{00000000-0010-0000-2900-000001000000}" name="case_test" dataDxfId="436"/>
    <tableColumn id="2" xr3:uid="{00000000-0010-0000-2900-000002000000}" name="test_id" dataDxfId="435"/>
    <tableColumn id="3" xr3:uid="{00000000-0010-0000-2900-000003000000}" name="test_timestamp" dataDxfId="434"/>
    <tableColumn id="4" xr3:uid="{00000000-0010-0000-2900-000004000000}" name="query_driver_data_date_part" dataDxfId="433"/>
    <tableColumn id="5" xr3:uid="{00000000-0010-0000-2900-000005000000}" name="test_number" dataDxfId="432"/>
    <tableColumn id="6" xr3:uid="{00000000-0010-0000-2900-000006000000}" name="score" dataDxfId="431"/>
    <tableColumn id="7" xr3:uid="{00000000-0010-0000-2900-000007000000}" name="general_result" dataDxfId="430"/>
    <tableColumn id="8" xr3:uid="{00000000-0010-0000-2900-000008000000}" name="bank_id" dataDxfId="429"/>
    <tableColumn id="9" xr3:uid="{00000000-0010-0000-2900-000009000000}" name="contract_id" dataDxfId="428"/>
    <tableColumn id="10" xr3:uid="{00000000-0010-0000-2900-00000A000000}" name="product_family_id" dataDxfId="427"/>
    <tableColumn id="11" xr3:uid="{00000000-0010-0000-2900-00000B000000}" name="product_id" dataDxfId="426"/>
    <tableColumn id="12" xr3:uid="{00000000-0010-0000-2900-00000C000000}" name="subproduct_id" dataDxfId="425"/>
    <tableColumn id="13" xr3:uid="{00000000-0010-0000-2900-00000D000000}" name="main_current_account_bank_id" dataDxfId="424"/>
    <tableColumn id="14" xr3:uid="{00000000-0010-0000-2900-00000E000000}" name="main_current_account_contract_id" dataDxfId="423"/>
    <tableColumn id="15" xr3:uid="{00000000-0010-0000-2900-00000F000000}" name="main_card_account_bank_id" dataDxfId="422"/>
    <tableColumn id="16" xr3:uid="{00000000-0010-0000-2900-000010000000}" name="main_card_account_contract_id" dataDxfId="421"/>
    <tableColumn id="17" xr3:uid="{00000000-0010-0000-2900-000011000000}" name="opening_date" dataDxfId="420"/>
    <tableColumn id="18" xr3:uid="{00000000-0010-0000-2900-000012000000}" name="current_maturity_date" dataDxfId="419"/>
    <tableColumn id="19" xr3:uid="{00000000-0010-0000-2900-000013000000}" name="currency_code" dataDxfId="418"/>
    <tableColumn id="20" xr3:uid="{00000000-0010-0000-2900-000014000000}" name="litigation_indicator" dataDxfId="417"/>
    <tableColumn id="21" xr3:uid="{00000000-0010-0000-2900-000015000000}" name="repayment_type_code" dataDxfId="416"/>
    <tableColumn id="22" xr3:uid="{00000000-0010-0000-2900-000016000000}" name="fixed_repayment_amount" dataDxfId="415"/>
    <tableColumn id="23" xr3:uid="{00000000-0010-0000-2900-000017000000}" name="repayment_rate" dataDxfId="414"/>
    <tableColumn id="24" xr3:uid="{00000000-0010-0000-2900-000018000000}" name="total_number_installments" dataDxfId="413"/>
    <tableColumn id="25" xr3:uid="{00000000-0010-0000-2900-000019000000}" name="initial_authorized_amount" dataDxfId="412"/>
    <tableColumn id="26" xr3:uid="{00000000-0010-0000-2900-00001A000000}" name="current_authorized_amount" dataDxfId="411"/>
    <tableColumn id="27" xr3:uid="{00000000-0010-0000-2900-00001B000000}" name="current_available_amount" dataDxfId="410"/>
    <tableColumn id="28" xr3:uid="{00000000-0010-0000-2900-00001C000000}" name="current_outstanding_balance" dataDxfId="409"/>
    <tableColumn id="29" xr3:uid="{00000000-0010-0000-2900-00001D000000}" name="cur_outsng_principal_balance" dataDxfId="408"/>
    <tableColumn id="30" xr3:uid="{00000000-0010-0000-2900-00001E000000}" name="current_overdue_principal_bal" dataDxfId="407"/>
    <tableColumn id="31" xr3:uid="{00000000-0010-0000-2900-00001F000000}" name="cur_debt_litigation_princip_bal" dataDxfId="406"/>
    <tableColumn id="32" xr3:uid="{00000000-0010-0000-2900-000020000000}" name="next_regular_amort_due_date" dataDxfId="405"/>
    <tableColumn id="33" xr3:uid="{00000000-0010-0000-2900-000021000000}" name="next_regular_amort_principal_amt" dataDxfId="404"/>
    <tableColumn id="34" xr3:uid="{00000000-0010-0000-2900-000022000000}" name="last_settled_amort_due_date" dataDxfId="403"/>
    <tableColumn id="35" xr3:uid="{00000000-0010-0000-2900-000023000000}" name="last_settled_amort_princip_amt" dataDxfId="402"/>
    <tableColumn id="36" xr3:uid="{00000000-0010-0000-2900-000024000000}" name="last_early_amort_pay_date" dataDxfId="401"/>
    <tableColumn id="37" xr3:uid="{00000000-0010-0000-2900-000025000000}" name="last_early_amort_principal_amt" dataDxfId="400"/>
    <tableColumn id="38" xr3:uid="{00000000-0010-0000-2900-000026000000}" name="last_regular_amort_pay_date" dataDxfId="399"/>
    <tableColumn id="39" xr3:uid="{00000000-0010-0000-2900-000027000000}" name="last_regular_amort_princip_amt" dataDxfId="398"/>
    <tableColumn id="40" xr3:uid="{00000000-0010-0000-2900-000028000000}" name="last_regular_amort_install_num" dataDxfId="397"/>
    <tableColumn id="41" xr3:uid="{00000000-0010-0000-2900-000029000000}" name="init_active_rate_type_code" dataDxfId="396"/>
    <tableColumn id="42" xr3:uid="{00000000-0010-0000-2900-00002A000000}" name="initial_active_interest_rate" dataDxfId="395"/>
    <tableColumn id="43" xr3:uid="{00000000-0010-0000-2900-00002B000000}" name="cur_active_rate_type_code" dataDxfId="394"/>
    <tableColumn id="44" xr3:uid="{00000000-0010-0000-2900-00002C000000}" name="current_active_interest_rate" dataDxfId="393"/>
    <tableColumn id="45" xr3:uid="{00000000-0010-0000-2900-00002D000000}" name="revolving_plan_indicator" dataDxfId="392"/>
    <tableColumn id="46" xr3:uid="{00000000-0010-0000-2900-00002E000000}" name="contract_status_code" dataDxfId="391"/>
    <tableColumn id="47" xr3:uid="{00000000-0010-0000-2900-00002F000000}" name="contract_opening_channel_code" dataDxfId="390"/>
    <tableColumn id="48" xr3:uid="{00000000-0010-0000-2900-000030000000}" name="source_code" dataDxfId="389"/>
    <tableColumn id="49" xr3:uid="{00000000-0010-0000-2900-000031000000}" name="data_date_part" dataDxfId="388"/>
    <tableColumn id="50" xr3:uid="{00000000-0010-0000-2900-000032000000}" name="data_timestamp_part" dataDxfId="387"/>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A000000}" name="Table15202134323842" displayName="Table15202134323842" ref="B29:F46" totalsRowShown="0" headerRowDxfId="386" dataDxfId="384" headerRowBorderDxfId="385" tableBorderDxfId="383">
  <autoFilter ref="B29:F46" xr:uid="{00000000-0009-0000-0100-000029000000}"/>
  <tableColumns count="5">
    <tableColumn id="1" xr3:uid="{00000000-0010-0000-2A00-000001000000}" name="Test ID" dataDxfId="382"/>
    <tableColumn id="2" xr3:uid="{00000000-0010-0000-2A00-000002000000}" name="Field" dataDxfId="381"/>
    <tableColumn id="3" xr3:uid="{00000000-0010-0000-2A00-000003000000}" name="Justification" dataDxfId="380"/>
    <tableColumn id="5" xr3:uid="{00000000-0010-0000-2A00-000005000000}" name="Number of Occurences" dataDxfId="379"/>
    <tableColumn id="4" xr3:uid="{00000000-0010-0000-2A00-000004000000}" name="Justification State" dataDxfId="378"/>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3331374145" displayName="Table43331374145" ref="B2:BB23" totalsRowShown="0" headerRowDxfId="377" dataDxfId="376">
  <autoFilter ref="B2:BB23" xr:uid="{00000000-0009-0000-0100-00002C000000}"/>
  <tableColumns count="53">
    <tableColumn id="1" xr3:uid="{00000000-0010-0000-2B00-000001000000}" name="case_test" dataDxfId="375"/>
    <tableColumn id="2" xr3:uid="{00000000-0010-0000-2B00-000002000000}" name="test_id" dataDxfId="374"/>
    <tableColumn id="3" xr3:uid="{00000000-0010-0000-2B00-000003000000}" name="test_timestamp" dataDxfId="373"/>
    <tableColumn id="4" xr3:uid="{00000000-0010-0000-2B00-000004000000}" name="query_driver_data_date_part **" dataDxfId="372"/>
    <tableColumn id="5" xr3:uid="{00000000-0010-0000-2B00-000005000000}" name="test_number" dataDxfId="371"/>
    <tableColumn id="6" xr3:uid="{00000000-0010-0000-2B00-000006000000}" name="score" dataDxfId="370"/>
    <tableColumn id="7" xr3:uid="{00000000-0010-0000-2B00-000007000000}" name="general_result" dataDxfId="369"/>
    <tableColumn id="8" xr3:uid="{00000000-0010-0000-2B00-000008000000}" name="bank_id" dataDxfId="368"/>
    <tableColumn id="9" xr3:uid="{00000000-0010-0000-2B00-000009000000}" name="contract_id" dataDxfId="367"/>
    <tableColumn id="10" xr3:uid="{00000000-0010-0000-2B00-00000A000000}" name="product_family_id" dataDxfId="366"/>
    <tableColumn id="11" xr3:uid="{00000000-0010-0000-2B00-00000B000000}" name="product_id" dataDxfId="365"/>
    <tableColumn id="12" xr3:uid="{00000000-0010-0000-2B00-00000C000000}" name="subproduct_id" dataDxfId="364"/>
    <tableColumn id="13" xr3:uid="{00000000-0010-0000-2B00-00000D000000}" name="main_current_account_bank_id" dataDxfId="363"/>
    <tableColumn id="14" xr3:uid="{00000000-0010-0000-2B00-00000E000000}" name="main_current_account_contract_id" dataDxfId="362"/>
    <tableColumn id="15" xr3:uid="{00000000-0010-0000-2B00-00000F000000}" name="opening_date" dataDxfId="361"/>
    <tableColumn id="16" xr3:uid="{00000000-0010-0000-2B00-000010000000}" name="current_maturity_date" dataDxfId="360"/>
    <tableColumn id="17" xr3:uid="{00000000-0010-0000-2B00-000011000000}" name="currency_code" dataDxfId="359"/>
    <tableColumn id="18" xr3:uid="{00000000-0010-0000-2B00-000012000000}" name="litigation_indicator" dataDxfId="358"/>
    <tableColumn id="19" xr3:uid="{00000000-0010-0000-2B00-000013000000}" name="total_num_past_due_installments" dataDxfId="357"/>
    <tableColumn id="20" xr3:uid="{00000000-0010-0000-2B00-000014000000}" name="current_asked_amount" dataDxfId="356"/>
    <tableColumn id="21" xr3:uid="{00000000-0010-0000-2B00-000015000000}" name="current_authorized_amount" dataDxfId="355"/>
    <tableColumn id="22" xr3:uid="{00000000-0010-0000-2B00-000016000000}" name="cur_advance_principal_amt" dataDxfId="354"/>
    <tableColumn id="23" xr3:uid="{00000000-0010-0000-2B00-000017000000}" name="cur_outsng_principal_balance" dataDxfId="353"/>
    <tableColumn id="24" xr3:uid="{00000000-0010-0000-2B00-000018000000}" name="current_overdue_principal_bal" dataDxfId="352"/>
    <tableColumn id="25" xr3:uid="{00000000-0010-0000-2B00-000019000000}" name="cur_debt_litigation_princip_bal" dataDxfId="351"/>
    <tableColumn id="26" xr3:uid="{00000000-0010-0000-2B00-00001A000000}" name="next_regular_amort_due_date" dataDxfId="350"/>
    <tableColumn id="27" xr3:uid="{00000000-0010-0000-2B00-00001B000000}" name="next_regular_amort_principal_amt" dataDxfId="349"/>
    <tableColumn id="28" xr3:uid="{00000000-0010-0000-2B00-00001C000000}" name="nxt_subsd_reg_amort_princip_amt" dataDxfId="348"/>
    <tableColumn id="29" xr3:uid="{00000000-0010-0000-2B00-00001D000000}" name="last_settled_amort_due_date" dataDxfId="347"/>
    <tableColumn id="30" xr3:uid="{00000000-0010-0000-2B00-00001E000000}" name="last_settled_amort_princip_amt" dataDxfId="346"/>
    <tableColumn id="31" xr3:uid="{00000000-0010-0000-2B00-00001F000000}" name="last_early_amort_pay_date" dataDxfId="345"/>
    <tableColumn id="32" xr3:uid="{00000000-0010-0000-2B00-000020000000}" name="last_early_amort_principal_amt" dataDxfId="344"/>
    <tableColumn id="33" xr3:uid="{00000000-0010-0000-2B00-000021000000}" name="last_regular_amort_pay_date" dataDxfId="343"/>
    <tableColumn id="34" xr3:uid="{00000000-0010-0000-2B00-000022000000}" name="last_regular_amort_princip_amt" dataDxfId="342"/>
    <tableColumn id="35" xr3:uid="{00000000-0010-0000-2B00-000023000000}" name="last_regular_amort_install_num" dataDxfId="341"/>
    <tableColumn id="36" xr3:uid="{00000000-0010-0000-2B00-000024000000}" name="subsidized_rate_type_code" dataDxfId="340"/>
    <tableColumn id="37" xr3:uid="{00000000-0010-0000-2B00-000025000000}" name="initial_active_rate_type_code" dataDxfId="339"/>
    <tableColumn id="38" xr3:uid="{00000000-0010-0000-2B00-000026000000}" name="initial_active_indexing" dataDxfId="338"/>
    <tableColumn id="39" xr3:uid="{00000000-0010-0000-2B00-000027000000}" name="initial_active_index_rate" dataDxfId="337"/>
    <tableColumn id="40" xr3:uid="{00000000-0010-0000-2B00-000028000000}" name="initial_active_spread" dataDxfId="336"/>
    <tableColumn id="41" xr3:uid="{00000000-0010-0000-2B00-000029000000}" name="initial_active_interest_rate" dataDxfId="335"/>
    <tableColumn id="42" xr3:uid="{00000000-0010-0000-2B00-00002A000000}" name="init_active_subsid_interest_rate" dataDxfId="334"/>
    <tableColumn id="43" xr3:uid="{00000000-0010-0000-2B00-00002B000000}" name="cur_active_rate_type_code" dataDxfId="333"/>
    <tableColumn id="44" xr3:uid="{00000000-0010-0000-2B00-00002C000000}" name="current_active_indexing" dataDxfId="332"/>
    <tableColumn id="45" xr3:uid="{00000000-0010-0000-2B00-00002D000000}" name="current_active_index_rate" dataDxfId="331"/>
    <tableColumn id="46" xr3:uid="{00000000-0010-0000-2B00-00002E000000}" name="current_active_spread" dataDxfId="330"/>
    <tableColumn id="47" xr3:uid="{00000000-0010-0000-2B00-00002F000000}" name="current_active_interest_rate" dataDxfId="329"/>
    <tableColumn id="48" xr3:uid="{00000000-0010-0000-2B00-000030000000}" name="cur_active_subsid_interest_rate" dataDxfId="328"/>
    <tableColumn id="49" xr3:uid="{00000000-0010-0000-2B00-000031000000}" name="contract_status_code" dataDxfId="327"/>
    <tableColumn id="50" xr3:uid="{00000000-0010-0000-2B00-000032000000}" name="contract_opening_channel_code" dataDxfId="326"/>
    <tableColumn id="51" xr3:uid="{00000000-0010-0000-2B00-000033000000}" name="source_code" dataDxfId="325"/>
    <tableColumn id="52" xr3:uid="{00000000-0010-0000-2B00-000034000000}" name="data_date_part" dataDxfId="324"/>
    <tableColumn id="53" xr3:uid="{00000000-0010-0000-2B00-000035000000}" name="data_timestamp_part" dataDxfId="323"/>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1520213432384246" displayName="Table1520213432384246" ref="B31:F56" totalsRowShown="0" headerRowDxfId="322" dataDxfId="320" headerRowBorderDxfId="321" tableBorderDxfId="319">
  <autoFilter ref="B31:F56" xr:uid="{00000000-0009-0000-0100-00002D000000}"/>
  <tableColumns count="5">
    <tableColumn id="1" xr3:uid="{00000000-0010-0000-2C00-000001000000}" name="Test ID" dataDxfId="318"/>
    <tableColumn id="2" xr3:uid="{00000000-0010-0000-2C00-000002000000}" name="Field" dataDxfId="317"/>
    <tableColumn id="3" xr3:uid="{00000000-0010-0000-2C00-000003000000}" name="Justification" dataDxfId="316"/>
    <tableColumn id="5" xr3:uid="{00000000-0010-0000-2C00-000005000000}" name="Number of Occurences" dataDxfId="315"/>
    <tableColumn id="4" xr3:uid="{00000000-0010-0000-2C00-000004000000}" name="Justification State" dataDxfId="314"/>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1519242547" displayName="Table1519242547" ref="B31:F38" totalsRowShown="0" headerRowDxfId="313" headerRowBorderDxfId="312" tableBorderDxfId="311">
  <autoFilter ref="B31:F38" xr:uid="{00000000-0009-0000-0100-00002E000000}"/>
  <sortState xmlns:xlrd2="http://schemas.microsoft.com/office/spreadsheetml/2017/richdata2" ref="B32:F38">
    <sortCondition ref="B31:B38"/>
  </sortState>
  <tableColumns count="5">
    <tableColumn id="1" xr3:uid="{00000000-0010-0000-2D00-000001000000}" name="Test ID" dataDxfId="310"/>
    <tableColumn id="2" xr3:uid="{00000000-0010-0000-2D00-000002000000}" name="Field" dataDxfId="309"/>
    <tableColumn id="3" xr3:uid="{00000000-0010-0000-2D00-000003000000}" name="Justification" dataDxfId="308"/>
    <tableColumn id="4" xr3:uid="{00000000-0010-0000-2D00-000004000000}" name="Number of Occurences" dataDxfId="307"/>
    <tableColumn id="5" xr3:uid="{00000000-0010-0000-2D00-000005000000}" name="Justification State" dataDxfId="306"/>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16232648" displayName="Table16232648" ref="B2:AJ23" totalsRowShown="0" headerRowDxfId="305" dataDxfId="304">
  <autoFilter ref="B2:AJ23" xr:uid="{00000000-0009-0000-0100-00002F000000}"/>
  <tableColumns count="35">
    <tableColumn id="1" xr3:uid="{00000000-0010-0000-2E00-000001000000}" name="Case_Test" dataDxfId="303"/>
    <tableColumn id="2" xr3:uid="{00000000-0010-0000-2E00-000002000000}" name="test_id" dataDxfId="302"/>
    <tableColumn id="3" xr3:uid="{00000000-0010-0000-2E00-000003000000}" name="test_timestamp" dataDxfId="301"/>
    <tableColumn id="4" xr3:uid="{00000000-0010-0000-2E00-000004000000}" name="query_driver_data_date_part" dataDxfId="300"/>
    <tableColumn id="5" xr3:uid="{00000000-0010-0000-2E00-000005000000}" name="test_number" dataDxfId="299"/>
    <tableColumn id="6" xr3:uid="{00000000-0010-0000-2E00-000006000000}" name="score" dataDxfId="298"/>
    <tableColumn id="7" xr3:uid="{00000000-0010-0000-2E00-000007000000}" name="general_result" dataDxfId="297"/>
    <tableColumn id="8" xr3:uid="{00000000-0010-0000-2E00-000008000000}" name="bank_id" dataDxfId="296"/>
    <tableColumn id="9" xr3:uid="{00000000-0010-0000-2E00-000009000000}" name="contract_id" dataDxfId="295"/>
    <tableColumn id="10" xr3:uid="{00000000-0010-0000-2E00-00000A000000}" name="product_family_id" dataDxfId="294"/>
    <tableColumn id="11" xr3:uid="{00000000-0010-0000-2E00-00000B000000}" name="product_id" dataDxfId="293"/>
    <tableColumn id="12" xr3:uid="{00000000-0010-0000-2E00-00000C000000}" name="subproduct_id" dataDxfId="292"/>
    <tableColumn id="13" xr3:uid="{00000000-0010-0000-2E00-00000D000000}" name="main_current_account_bank_id" dataDxfId="291"/>
    <tableColumn id="14" xr3:uid="{00000000-0010-0000-2E00-00000E000000}" name="main_current_account_contract_id" dataDxfId="290"/>
    <tableColumn id="15" xr3:uid="{00000000-0010-0000-2E00-00000F000000}" name="opening_date" dataDxfId="289"/>
    <tableColumn id="16" xr3:uid="{00000000-0010-0000-2E00-000010000000}" name="current_maturity_date" dataDxfId="288"/>
    <tableColumn id="17" xr3:uid="{00000000-0010-0000-2E00-000011000000}" name="currency_code" dataDxfId="287"/>
    <tableColumn id="18" xr3:uid="{00000000-0010-0000-2E00-000012000000}" name="initial_deposit_amount" dataDxfId="286"/>
    <tableColumn id="19" xr3:uid="{00000000-0010-0000-2E00-000013000000}" name="current_available_balance" dataDxfId="285"/>
    <tableColumn id="20" xr3:uid="{00000000-0010-0000-2E00-000014000000}" name="early_withdraw_penalty_fee" dataDxfId="284"/>
    <tableColumn id="21" xr3:uid="{00000000-0010-0000-2E00-000015000000}" name="init_passive_rate_type_code" dataDxfId="283"/>
    <tableColumn id="22" xr3:uid="{00000000-0010-0000-2E00-000016000000}" name="initial_passive_indexing" dataDxfId="282"/>
    <tableColumn id="23" xr3:uid="{00000000-0010-0000-2E00-000017000000}" name="initial_passive_index_rate" dataDxfId="281"/>
    <tableColumn id="24" xr3:uid="{00000000-0010-0000-2E00-000018000000}" name="initial_passive_spread" dataDxfId="280"/>
    <tableColumn id="25" xr3:uid="{00000000-0010-0000-2E00-000019000000}" name="initial_passive_interest_rate" dataDxfId="279"/>
    <tableColumn id="26" xr3:uid="{00000000-0010-0000-2E00-00001A000000}" name="cur_passive_rate_type_code" dataDxfId="278"/>
    <tableColumn id="27" xr3:uid="{00000000-0010-0000-2E00-00001B000000}" name="current_passive_indexing" dataDxfId="277"/>
    <tableColumn id="28" xr3:uid="{00000000-0010-0000-2E00-00001C000000}" name="current_passive_index_rate" dataDxfId="276"/>
    <tableColumn id="29" xr3:uid="{00000000-0010-0000-2E00-00001D000000}" name="current_passive_spread" dataDxfId="275"/>
    <tableColumn id="30" xr3:uid="{00000000-0010-0000-2E00-00001E000000}" name="current_passive_interest_rate" dataDxfId="274"/>
    <tableColumn id="31" xr3:uid="{00000000-0010-0000-2E00-00001F000000}" name="contract_status_code" dataDxfId="273"/>
    <tableColumn id="32" xr3:uid="{00000000-0010-0000-2E00-000020000000}" name="contract_opening_channel_code" dataDxfId="272"/>
    <tableColumn id="33" xr3:uid="{00000000-0010-0000-2E00-000021000000}" name="source_code" dataDxfId="271"/>
    <tableColumn id="34" xr3:uid="{00000000-0010-0000-2E00-000022000000}" name="data_date_part" dataDxfId="270"/>
    <tableColumn id="35" xr3:uid="{00000000-0010-0000-2E00-000023000000}" name="data_timestamp_part" dataDxfId="269"/>
  </tableColumns>
  <tableStyleInfo name="TableStyleLight1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2F000000}" name="Table151924254749515357" displayName="Table151924254749515357" ref="B31:F46" totalsRowShown="0" headerRowDxfId="268" headerRowBorderDxfId="267" tableBorderDxfId="266">
  <autoFilter ref="B31:F46" xr:uid="{00000000-0009-0000-0100-000038000000}"/>
  <sortState xmlns:xlrd2="http://schemas.microsoft.com/office/spreadsheetml/2017/richdata2" ref="B32:F32">
    <sortCondition ref="B31:B32"/>
  </sortState>
  <tableColumns count="5">
    <tableColumn id="1" xr3:uid="{00000000-0010-0000-2F00-000001000000}" name="Test ID" dataDxfId="265"/>
    <tableColumn id="2" xr3:uid="{00000000-0010-0000-2F00-000002000000}" name="Field" dataDxfId="264"/>
    <tableColumn id="3" xr3:uid="{00000000-0010-0000-2F00-000003000000}" name="Justification" dataDxfId="263"/>
    <tableColumn id="4" xr3:uid="{00000000-0010-0000-2F00-000004000000}" name="Number of Occurences" dataDxfId="262"/>
    <tableColumn id="5" xr3:uid="{00000000-0010-0000-2F00-000005000000}" name="Justification State" dataDxfId="261"/>
  </tableColumns>
  <tableStyleInfo name="TableStyleLight1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0000000}" name="Table1623264850525458" displayName="Table1623264850525458" ref="B2:AJ23" totalsRowShown="0" headerRowDxfId="260" dataDxfId="259">
  <autoFilter ref="B2:AJ23" xr:uid="{00000000-0009-0000-0100-000039000000}"/>
  <tableColumns count="35">
    <tableColumn id="1" xr3:uid="{00000000-0010-0000-3000-000001000000}" name="Case_Test" dataDxfId="258"/>
    <tableColumn id="2" xr3:uid="{00000000-0010-0000-3000-000002000000}" name="test_id" dataDxfId="257"/>
    <tableColumn id="3" xr3:uid="{00000000-0010-0000-3000-000003000000}" name="test_timestamp" dataDxfId="256"/>
    <tableColumn id="4" xr3:uid="{00000000-0010-0000-3000-000004000000}" name="query_driver_data_date_part" dataDxfId="255"/>
    <tableColumn id="5" xr3:uid="{00000000-0010-0000-3000-000005000000}" name="test_number" dataDxfId="254"/>
    <tableColumn id="6" xr3:uid="{00000000-0010-0000-3000-000006000000}" name="score" dataDxfId="253"/>
    <tableColumn id="7" xr3:uid="{00000000-0010-0000-3000-000007000000}" name="general_result" dataDxfId="252"/>
    <tableColumn id="8" xr3:uid="{00000000-0010-0000-3000-000008000000}" name="bank_id" dataDxfId="251"/>
    <tableColumn id="9" xr3:uid="{00000000-0010-0000-3000-000009000000}" name="contract_id" dataDxfId="250"/>
    <tableColumn id="10" xr3:uid="{00000000-0010-0000-3000-00000A000000}" name="product_family_id" dataDxfId="249"/>
    <tableColumn id="11" xr3:uid="{00000000-0010-0000-3000-00000B000000}" name="product_id" dataDxfId="248"/>
    <tableColumn id="12" xr3:uid="{00000000-0010-0000-3000-00000C000000}" name="subproduct_id" dataDxfId="247"/>
    <tableColumn id="13" xr3:uid="{00000000-0010-0000-3000-00000D000000}" name="opening_date" dataDxfId="246"/>
    <tableColumn id="14" xr3:uid="{00000000-0010-0000-3000-00000E000000}" name="current_maturity_date" dataDxfId="245"/>
    <tableColumn id="15" xr3:uid="{00000000-0010-0000-3000-00000F000000}" name="currency_code" dataDxfId="244"/>
    <tableColumn id="16" xr3:uid="{00000000-0010-0000-3000-000010000000}" name="litigation_indicator" dataDxfId="243"/>
    <tableColumn id="17" xr3:uid="{00000000-0010-0000-3000-000011000000}" name="current_ledger_balance" dataDxfId="242"/>
    <tableColumn id="18" xr3:uid="{00000000-0010-0000-3000-000012000000}" name="current_reserved_balance" dataDxfId="241"/>
    <tableColumn id="19" xr3:uid="{00000000-0010-0000-3000-000013000000}" name="current_available_balance" dataDxfId="240"/>
    <tableColumn id="35" xr3:uid="{00000000-0010-0000-3000-000023000000}" name="cur_debt_litigation_princip_bal" dataDxfId="239"/>
    <tableColumn id="20" xr3:uid="{00000000-0010-0000-3000-000014000000}" name="initial_active_variable_rate_ind" dataDxfId="238"/>
    <tableColumn id="21" xr3:uid="{00000000-0010-0000-3000-000015000000}" name="initial_active_indexing" dataDxfId="237"/>
    <tableColumn id="22" xr3:uid="{00000000-0010-0000-3000-000016000000}" name="initial_active_index_rate" dataDxfId="236"/>
    <tableColumn id="23" xr3:uid="{00000000-0010-0000-3000-000017000000}" name="initial_active_spread" dataDxfId="235"/>
    <tableColumn id="24" xr3:uid="{00000000-0010-0000-3000-000018000000}" name="initial_active_interest_rate" dataDxfId="234"/>
    <tableColumn id="25" xr3:uid="{00000000-0010-0000-3000-000019000000}" name="cur_active_rate_type_code" dataDxfId="233"/>
    <tableColumn id="26" xr3:uid="{00000000-0010-0000-3000-00001A000000}" name="current_active_indexing" dataDxfId="232"/>
    <tableColumn id="27" xr3:uid="{00000000-0010-0000-3000-00001B000000}" name="current_active_index_rate" dataDxfId="231"/>
    <tableColumn id="28" xr3:uid="{00000000-0010-0000-3000-00001C000000}" name="current_active_spread" dataDxfId="230"/>
    <tableColumn id="29" xr3:uid="{00000000-0010-0000-3000-00001D000000}" name="current_active_interest_rate" dataDxfId="229"/>
    <tableColumn id="30" xr3:uid="{00000000-0010-0000-3000-00001E000000}" name="contract_status_code" dataDxfId="228"/>
    <tableColumn id="31" xr3:uid="{00000000-0010-0000-3000-00001F000000}" name="contract_opening_channel_code" dataDxfId="227"/>
    <tableColumn id="32" xr3:uid="{00000000-0010-0000-3000-000020000000}" name="source_code" dataDxfId="226"/>
    <tableColumn id="33" xr3:uid="{00000000-0010-0000-3000-000021000000}" name="data_date_part" dataDxfId="225"/>
    <tableColumn id="34" xr3:uid="{00000000-0010-0000-3000-000022000000}" name="data_timestamp_part" dataDxfId="224"/>
  </tableColumns>
  <tableStyleInfo name="TableStyleLight1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1519242547495153" displayName="Table1519242547495153" ref="B31:F46" totalsRowShown="0" headerRowDxfId="223" headerRowBorderDxfId="222" tableBorderDxfId="221">
  <autoFilter ref="B31:F46" xr:uid="{00000000-0009-0000-0100-000034000000}"/>
  <sortState xmlns:xlrd2="http://schemas.microsoft.com/office/spreadsheetml/2017/richdata2" ref="B32:F32">
    <sortCondition ref="B31:B32"/>
  </sortState>
  <tableColumns count="5">
    <tableColumn id="1" xr3:uid="{00000000-0010-0000-3100-000001000000}" name="Test ID" dataDxfId="220"/>
    <tableColumn id="2" xr3:uid="{00000000-0010-0000-3100-000002000000}" name="Field" dataDxfId="219"/>
    <tableColumn id="3" xr3:uid="{00000000-0010-0000-3100-000003000000}" name="Justification" dataDxfId="218"/>
    <tableColumn id="4" xr3:uid="{00000000-0010-0000-3100-000004000000}" name="Number of Occurences" dataDxfId="217"/>
    <tableColumn id="5" xr3:uid="{00000000-0010-0000-3100-000005000000}" name="Justification State" dataDxfId="216"/>
  </tableColumns>
  <tableStyleInfo name="TableStyleLight1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16232648505254" displayName="Table16232648505254" ref="B2:AJ23" totalsRowShown="0" headerRowDxfId="215" dataDxfId="214">
  <autoFilter ref="B2:AJ23" xr:uid="{00000000-0009-0000-0100-000035000000}"/>
  <tableColumns count="35">
    <tableColumn id="1" xr3:uid="{00000000-0010-0000-3200-000001000000}" name="Case_Test" dataDxfId="213"/>
    <tableColumn id="2" xr3:uid="{00000000-0010-0000-3200-000002000000}" name="test_id" dataDxfId="212"/>
    <tableColumn id="3" xr3:uid="{00000000-0010-0000-3200-000003000000}" name="test_timestamp" dataDxfId="211"/>
    <tableColumn id="4" xr3:uid="{00000000-0010-0000-3200-000004000000}" name="query_driver_data_date_part" dataDxfId="210"/>
    <tableColumn id="5" xr3:uid="{00000000-0010-0000-3200-000005000000}" name="test_number" dataDxfId="209"/>
    <tableColumn id="6" xr3:uid="{00000000-0010-0000-3200-000006000000}" name="score" dataDxfId="208"/>
    <tableColumn id="7" xr3:uid="{00000000-0010-0000-3200-000007000000}" name="general_result" dataDxfId="207"/>
    <tableColumn id="8" xr3:uid="{00000000-0010-0000-3200-000008000000}" name="bank_id" dataDxfId="206"/>
    <tableColumn id="9" xr3:uid="{00000000-0010-0000-3200-000009000000}" name="contract_id" dataDxfId="205"/>
    <tableColumn id="10" xr3:uid="{00000000-0010-0000-3200-00000A000000}" name="product_family_id" dataDxfId="204"/>
    <tableColumn id="11" xr3:uid="{00000000-0010-0000-3200-00000B000000}" name="product_id" dataDxfId="203"/>
    <tableColumn id="12" xr3:uid="{00000000-0010-0000-3200-00000C000000}" name="subproduct_id" dataDxfId="202"/>
    <tableColumn id="13" xr3:uid="{00000000-0010-0000-3200-00000D000000}" name="opening_date" dataDxfId="201"/>
    <tableColumn id="14" xr3:uid="{00000000-0010-0000-3200-00000E000000}" name="current_maturity_date" dataDxfId="200"/>
    <tableColumn id="15" xr3:uid="{00000000-0010-0000-3200-00000F000000}" name="currency_code" dataDxfId="199"/>
    <tableColumn id="16" xr3:uid="{00000000-0010-0000-3200-000010000000}" name="litigation_indicator" dataDxfId="198"/>
    <tableColumn id="17" xr3:uid="{00000000-0010-0000-3200-000011000000}" name="current_ledger_balance" dataDxfId="197"/>
    <tableColumn id="18" xr3:uid="{00000000-0010-0000-3200-000012000000}" name="current_reserved_balance" dataDxfId="196"/>
    <tableColumn id="19" xr3:uid="{00000000-0010-0000-3200-000013000000}" name="current_available_balance" dataDxfId="195"/>
    <tableColumn id="35" xr3:uid="{00000000-0010-0000-3200-000023000000}" name="cur_debt_litigation_princip_bal" dataDxfId="194"/>
    <tableColumn id="20" xr3:uid="{00000000-0010-0000-3200-000014000000}" name="initial_active_variable_rate_ind" dataDxfId="193"/>
    <tableColumn id="21" xr3:uid="{00000000-0010-0000-3200-000015000000}" name="initial_active_indexing" dataDxfId="192"/>
    <tableColumn id="22" xr3:uid="{00000000-0010-0000-3200-000016000000}" name="initial_active_index_rate" dataDxfId="191"/>
    <tableColumn id="23" xr3:uid="{00000000-0010-0000-3200-000017000000}" name="initial_active_spread" dataDxfId="190"/>
    <tableColumn id="24" xr3:uid="{00000000-0010-0000-3200-000018000000}" name="initial_active_interest_rate" dataDxfId="189"/>
    <tableColumn id="25" xr3:uid="{00000000-0010-0000-3200-000019000000}" name="cur_active_rate_type_code" dataDxfId="188"/>
    <tableColumn id="26" xr3:uid="{00000000-0010-0000-3200-00001A000000}" name="current_active_indexing" dataDxfId="187"/>
    <tableColumn id="27" xr3:uid="{00000000-0010-0000-3200-00001B000000}" name="current_active_index_rate" dataDxfId="186"/>
    <tableColumn id="28" xr3:uid="{00000000-0010-0000-3200-00001C000000}" name="current_active_spread" dataDxfId="185"/>
    <tableColumn id="29" xr3:uid="{00000000-0010-0000-3200-00001D000000}" name="current_active_interest_rate" dataDxfId="184"/>
    <tableColumn id="30" xr3:uid="{00000000-0010-0000-3200-00001E000000}" name="contract_status_code" dataDxfId="183"/>
    <tableColumn id="31" xr3:uid="{00000000-0010-0000-3200-00001F000000}" name="contract_opening_channel_code" dataDxfId="182"/>
    <tableColumn id="32" xr3:uid="{00000000-0010-0000-3200-000020000000}" name="source_code" dataDxfId="181"/>
    <tableColumn id="33" xr3:uid="{00000000-0010-0000-3200-000021000000}" name="data_date_part" dataDxfId="180"/>
    <tableColumn id="34" xr3:uid="{00000000-0010-0000-3200-000022000000}" name="data_timestamp_part" dataDxfId="179"/>
  </tableColumns>
  <tableStyleInfo name="TableStyleLight1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33000000}" name="Table151924254749" displayName="Table151924254749" ref="B31:F33" totalsRowShown="0" headerRowDxfId="178" headerRowBorderDxfId="177" tableBorderDxfId="176">
  <autoFilter ref="B31:F33" xr:uid="{00000000-0009-0000-0100-000030000000}"/>
  <sortState xmlns:xlrd2="http://schemas.microsoft.com/office/spreadsheetml/2017/richdata2" ref="B32:F32">
    <sortCondition ref="B31:B32"/>
  </sortState>
  <tableColumns count="5">
    <tableColumn id="1" xr3:uid="{00000000-0010-0000-3300-000001000000}" name="Test ID" dataDxfId="175"/>
    <tableColumn id="2" xr3:uid="{00000000-0010-0000-3300-000002000000}" name="Field" dataDxfId="174"/>
    <tableColumn id="3" xr3:uid="{00000000-0010-0000-3300-000003000000}" name="Justification" dataDxfId="173"/>
    <tableColumn id="4" xr3:uid="{00000000-0010-0000-3300-000004000000}" name="Number of Occurences" dataDxfId="172"/>
    <tableColumn id="5" xr3:uid="{00000000-0010-0000-3300-000005000000}" name="Justification State" dataDxfId="171"/>
  </tableColumns>
  <tableStyleInfo name="TableStyleLight1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4000000}" name="Table1623264850" displayName="Table1623264850" ref="B2:O23" totalsRowShown="0" headerRowDxfId="170" dataDxfId="169">
  <autoFilter ref="B2:O23" xr:uid="{00000000-0009-0000-0100-000031000000}"/>
  <tableColumns count="14">
    <tableColumn id="1" xr3:uid="{00000000-0010-0000-3400-000001000000}" name="Case_Test" dataDxfId="168"/>
    <tableColumn id="2" xr3:uid="{00000000-0010-0000-3400-000002000000}" name="test_id" dataDxfId="167"/>
    <tableColumn id="3" xr3:uid="{00000000-0010-0000-3400-000003000000}" name="test_timestamp" dataDxfId="166"/>
    <tableColumn id="4" xr3:uid="{00000000-0010-0000-3400-000004000000}" name="query_driver_data_date_part" dataDxfId="165"/>
    <tableColumn id="5" xr3:uid="{00000000-0010-0000-3400-000005000000}" name="test_number" dataDxfId="164"/>
    <tableColumn id="6" xr3:uid="{00000000-0010-0000-3400-000006000000}" name="score" dataDxfId="163"/>
    <tableColumn id="7" xr3:uid="{00000000-0010-0000-3400-000007000000}" name="general_result" dataDxfId="162"/>
    <tableColumn id="8" xr3:uid="{00000000-0010-0000-3400-000008000000}" name="bank_id" dataDxfId="161"/>
    <tableColumn id="9" xr3:uid="{00000000-0010-0000-3400-000009000000}" name="contract_id" dataDxfId="160"/>
    <tableColumn id="10" xr3:uid="{00000000-0010-0000-3400-00000A000000}" name="product_family_id" dataDxfId="159"/>
    <tableColumn id="11" xr3:uid="{00000000-0010-0000-3400-00000B000000}" name="product_id" dataDxfId="158"/>
    <tableColumn id="12" xr3:uid="{00000000-0010-0000-3400-00000C000000}" name="subproduct_id" dataDxfId="157"/>
    <tableColumn id="13" xr3:uid="{00000000-0010-0000-3400-00000D000000}" name="opening_date" dataDxfId="156"/>
    <tableColumn id="14" xr3:uid="{00000000-0010-0000-3400-00000E000000}" name="current_maturity_date" dataDxfId="155"/>
  </tableColumns>
  <tableStyleInfo name="TableStyleLight1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5000000}" name="Table15192425474951" displayName="Table15192425474951" ref="B29:F33" totalsRowShown="0" headerRowDxfId="154" headerRowBorderDxfId="153" tableBorderDxfId="152">
  <autoFilter ref="B29:F33" xr:uid="{00000000-0009-0000-0100-000032000000}"/>
  <sortState xmlns:xlrd2="http://schemas.microsoft.com/office/spreadsheetml/2017/richdata2" ref="B30:F30">
    <sortCondition ref="B29:B30"/>
  </sortState>
  <tableColumns count="5">
    <tableColumn id="1" xr3:uid="{00000000-0010-0000-3500-000001000000}" name="Test ID" dataDxfId="151"/>
    <tableColumn id="2" xr3:uid="{00000000-0010-0000-3500-000002000000}" name="Field" dataDxfId="150"/>
    <tableColumn id="3" xr3:uid="{00000000-0010-0000-3500-000003000000}" name="Justification" dataDxfId="149"/>
    <tableColumn id="4" xr3:uid="{00000000-0010-0000-3500-000004000000}" name="Number of Occurences" dataDxfId="148"/>
    <tableColumn id="5" xr3:uid="{00000000-0010-0000-3500-000005000000}" name="Justification State" dataDxfId="147"/>
  </tableColumns>
  <tableStyleInfo name="TableStyleLight1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6000000}" name="Table162326485052" displayName="Table162326485052" ref="B2:Q21" totalsRowShown="0" headerRowDxfId="146" dataDxfId="145">
  <autoFilter ref="B2:Q21" xr:uid="{00000000-0009-0000-0100-000033000000}"/>
  <tableColumns count="16">
    <tableColumn id="1" xr3:uid="{00000000-0010-0000-3600-000001000000}" name="Case_Test" dataDxfId="144"/>
    <tableColumn id="2" xr3:uid="{00000000-0010-0000-3600-000002000000}" name="test_id" dataDxfId="143"/>
    <tableColumn id="3" xr3:uid="{00000000-0010-0000-3600-000003000000}" name="test_timestamp" dataDxfId="142"/>
    <tableColumn id="4" xr3:uid="{00000000-0010-0000-3600-000004000000}" name="query_driver_data_date_part" dataDxfId="141"/>
    <tableColumn id="5" xr3:uid="{00000000-0010-0000-3600-000005000000}" name="test_number" dataDxfId="140"/>
    <tableColumn id="6" xr3:uid="{00000000-0010-0000-3600-000006000000}" name="score" dataDxfId="139"/>
    <tableColumn id="7" xr3:uid="{00000000-0010-0000-3600-000007000000}" name="general_result" dataDxfId="138"/>
    <tableColumn id="8" xr3:uid="{00000000-0010-0000-3600-000008000000}" name="bank_id" dataDxfId="137"/>
    <tableColumn id="9" xr3:uid="{00000000-0010-0000-3600-000009000000}" name="contract_id" dataDxfId="136"/>
    <tableColumn id="10" xr3:uid="{00000000-0010-0000-3600-00000A000000}" name="order_number" dataDxfId="135"/>
    <tableColumn id="11" xr3:uid="{00000000-0010-0000-3600-00000B000000}" name="transport_imo_id" dataDxfId="134"/>
    <tableColumn id="12" xr3:uid="{00000000-0010-0000-3600-00000C000000}" name="arrival_location_name" dataDxfId="133"/>
    <tableColumn id="13" xr3:uid="{00000000-0010-0000-3600-00000D000000}" name="departure_location_name" dataDxfId="132"/>
    <tableColumn id="14" xr3:uid="{00000000-0010-0000-3600-00000E000000}" name="source_code" dataDxfId="131"/>
    <tableColumn id="15" xr3:uid="{00000000-0010-0000-3600-00000F000000}" name="data_date_part" dataDxfId="130"/>
    <tableColumn id="16" xr3:uid="{00000000-0010-0000-3600-000010000000}" name="data_timestamp_part" dataDxfId="129"/>
  </tableColumns>
  <tableStyleInfo name="TableStyleLight1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7000000}" name="Table433313555" displayName="Table433313555" ref="B2:AN23" totalsRowShown="0" headerRowDxfId="128" dataDxfId="127">
  <autoFilter ref="B2:AN23" xr:uid="{00000000-0009-0000-0100-000036000000}"/>
  <tableColumns count="39">
    <tableColumn id="1" xr3:uid="{00000000-0010-0000-3700-000001000000}" name="case_test" dataDxfId="126"/>
    <tableColumn id="2" xr3:uid="{00000000-0010-0000-3700-000002000000}" name="test_id" dataDxfId="125"/>
    <tableColumn id="3" xr3:uid="{00000000-0010-0000-3700-000003000000}" name="test_timestamp" dataDxfId="124"/>
    <tableColumn id="4" xr3:uid="{00000000-0010-0000-3700-000004000000}" name="query_driver_data_date_part" dataDxfId="123"/>
    <tableColumn id="5" xr3:uid="{00000000-0010-0000-3700-000005000000}" name="test_number" dataDxfId="122"/>
    <tableColumn id="6" xr3:uid="{00000000-0010-0000-3700-000006000000}" name="score" dataDxfId="121"/>
    <tableColumn id="7" xr3:uid="{00000000-0010-0000-3700-000007000000}" name="general_result" dataDxfId="120"/>
    <tableColumn id="8" xr3:uid="{00000000-0010-0000-3700-000008000000}" name="bank_id" dataDxfId="119"/>
    <tableColumn id="9" xr3:uid="{00000000-0010-0000-3700-000009000000}" name="contract_id" dataDxfId="118"/>
    <tableColumn id="10" xr3:uid="{00000000-0010-0000-3700-00000A000000}" name="product_family_id" dataDxfId="117"/>
    <tableColumn id="11" xr3:uid="{00000000-0010-0000-3700-00000B000000}" name="product_id" dataDxfId="116"/>
    <tableColumn id="12" xr3:uid="{00000000-0010-0000-3700-00000C000000}" name="subproduct_id" dataDxfId="115"/>
    <tableColumn id="13" xr3:uid="{00000000-0010-0000-3700-00000D000000}" name="main_current_account_bank_id" dataDxfId="114"/>
    <tableColumn id="14" xr3:uid="{00000000-0010-0000-3700-00000E000000}" name="main_current_account_contract_id" dataDxfId="113"/>
    <tableColumn id="15" xr3:uid="{00000000-0010-0000-3700-00000F000000}" name="opening_date" dataDxfId="112"/>
    <tableColumn id="16" xr3:uid="{00000000-0010-0000-3700-000010000000}" name="current_maturity_date" dataDxfId="111"/>
    <tableColumn id="17" xr3:uid="{00000000-0010-0000-3700-000011000000}" name="currency_code" dataDxfId="110"/>
    <tableColumn id="18" xr3:uid="{00000000-0010-0000-3700-000012000000}" name="litigation_indicator" dataDxfId="109"/>
    <tableColumn id="19" xr3:uid="{00000000-0010-0000-3700-000013000000}" name="current_authorized_amount" dataDxfId="108"/>
    <tableColumn id="20" xr3:uid="{00000000-0010-0000-3700-000014000000}" name="current_available_amount" dataDxfId="107"/>
    <tableColumn id="40" xr3:uid="{00000000-0010-0000-3700-000028000000}" name="current_reserved_balance" dataDxfId="106"/>
    <tableColumn id="41" xr3:uid="{00000000-0010-0000-3700-000029000000}" name="cur_outsng_principal_balance" dataDxfId="105"/>
    <tableColumn id="42" xr3:uid="{00000000-0010-0000-3700-00002A000000}" name="current_overdue_principal_bal" dataDxfId="104"/>
    <tableColumn id="43" xr3:uid="{00000000-0010-0000-3700-00002B000000}" name="cur_debt_litigation_princip_bal" dataDxfId="103"/>
    <tableColumn id="44" xr3:uid="{00000000-0010-0000-3700-00002C000000}" name="initial_active_variable_rate_ind" dataDxfId="102"/>
    <tableColumn id="45" xr3:uid="{00000000-0010-0000-3700-00002D000000}" name="initial_active_indexing" dataDxfId="101"/>
    <tableColumn id="46" xr3:uid="{00000000-0010-0000-3700-00002E000000}" name="initial_active_index_rate" dataDxfId="100"/>
    <tableColumn id="47" xr3:uid="{00000000-0010-0000-3700-00002F000000}" name="initial_active_spread" dataDxfId="99"/>
    <tableColumn id="48" xr3:uid="{00000000-0010-0000-3700-000030000000}" name="initial_active_interest_rate" dataDxfId="98"/>
    <tableColumn id="49" xr3:uid="{00000000-0010-0000-3700-000031000000}" name="cur_active_rate_type_code" dataDxfId="97"/>
    <tableColumn id="50" xr3:uid="{00000000-0010-0000-3700-000032000000}" name="current_active_indexing" dataDxfId="96"/>
    <tableColumn id="51" xr3:uid="{00000000-0010-0000-3700-000033000000}" name="current_active_index_rate" dataDxfId="95"/>
    <tableColumn id="52" xr3:uid="{00000000-0010-0000-3700-000034000000}" name="current_active_spread" dataDxfId="94"/>
    <tableColumn id="53" xr3:uid="{00000000-0010-0000-3700-000035000000}" name="current_active_interest_rate" dataDxfId="93"/>
    <tableColumn id="54" xr3:uid="{00000000-0010-0000-3700-000036000000}" name="contract_status_code" dataDxfId="92"/>
    <tableColumn id="55" xr3:uid="{00000000-0010-0000-3700-000037000000}" name="contract_opening_channel_code" dataDxfId="91"/>
    <tableColumn id="56" xr3:uid="{00000000-0010-0000-3700-000038000000}" name="source_code" dataDxfId="90"/>
    <tableColumn id="57" xr3:uid="{00000000-0010-0000-3700-000039000000}" name="data_date_part" dataDxfId="89"/>
    <tableColumn id="58" xr3:uid="{00000000-0010-0000-3700-00003A000000}" name="data_timestamp_part" dataDxfId="88"/>
  </tableColumns>
  <tableStyleInfo name="TableStyleLight1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8000000}" name="Table15202134323656" displayName="Table15202134323656" ref="B31:F48" totalsRowShown="0" headerRowDxfId="87" dataDxfId="85" headerRowBorderDxfId="86" tableBorderDxfId="84">
  <autoFilter ref="B31:F48" xr:uid="{00000000-0009-0000-0100-000037000000}"/>
  <tableColumns count="5">
    <tableColumn id="1" xr3:uid="{00000000-0010-0000-3800-000001000000}" name="Test ID" dataDxfId="83"/>
    <tableColumn id="2" xr3:uid="{00000000-0010-0000-3800-000002000000}" name="Field" dataDxfId="82"/>
    <tableColumn id="3" xr3:uid="{00000000-0010-0000-3800-000003000000}" name="Justification" dataDxfId="81"/>
    <tableColumn id="5" xr3:uid="{00000000-0010-0000-3800-000005000000}" name="Number of Occurences" dataDxfId="80"/>
    <tableColumn id="4" xr3:uid="{00000000-0010-0000-3800-000004000000}" name="Justification State" dataDxfId="79"/>
  </tableColumns>
  <tableStyleInfo name="TableStyleLight1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15192425474959" displayName="Table15192425474959" ref="B31:F44" totalsRowShown="0" headerRowDxfId="78" headerRowBorderDxfId="77" tableBorderDxfId="76">
  <autoFilter ref="B31:F44" xr:uid="{00000000-0009-0000-0100-00003A000000}"/>
  <sortState xmlns:xlrd2="http://schemas.microsoft.com/office/spreadsheetml/2017/richdata2" ref="B32:F32">
    <sortCondition ref="B31:B32"/>
  </sortState>
  <tableColumns count="5">
    <tableColumn id="1" xr3:uid="{00000000-0010-0000-3900-000001000000}" name="Test ID" dataDxfId="75"/>
    <tableColumn id="2" xr3:uid="{00000000-0010-0000-3900-000002000000}" name="Field" dataDxfId="74"/>
    <tableColumn id="3" xr3:uid="{00000000-0010-0000-3900-000003000000}" name="Justification" dataDxfId="73"/>
    <tableColumn id="4" xr3:uid="{00000000-0010-0000-3900-000004000000}" name="Number of Occurences" dataDxfId="72"/>
    <tableColumn id="5" xr3:uid="{00000000-0010-0000-3900-000005000000}" name="Justification State" dataDxfId="71"/>
  </tableColumns>
  <tableStyleInfo name="TableStyleLight1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162326485060" displayName="Table162326485060" ref="B2:BQ23" totalsRowShown="0" headerRowDxfId="70" dataDxfId="69">
  <autoFilter ref="B2:BQ23" xr:uid="{00000000-0009-0000-0100-00003B000000}"/>
  <tableColumns count="68">
    <tableColumn id="1" xr3:uid="{00000000-0010-0000-3A00-000001000000}" name="Case_Test" dataDxfId="68"/>
    <tableColumn id="2" xr3:uid="{00000000-0010-0000-3A00-000002000000}" name="test_id" dataDxfId="67"/>
    <tableColumn id="3" xr3:uid="{00000000-0010-0000-3A00-000003000000}" name="test_timestamp" dataDxfId="66"/>
    <tableColumn id="4" xr3:uid="{00000000-0010-0000-3A00-000004000000}" name="query_driver_data_date_part" dataDxfId="65"/>
    <tableColumn id="5" xr3:uid="{00000000-0010-0000-3A00-000005000000}" name="test_number" dataDxfId="64"/>
    <tableColumn id="6" xr3:uid="{00000000-0010-0000-3A00-000006000000}" name="score" dataDxfId="63"/>
    <tableColumn id="7" xr3:uid="{00000000-0010-0000-3A00-000007000000}" name="general_result" dataDxfId="62"/>
    <tableColumn id="8" xr3:uid="{00000000-0010-0000-3A00-000008000000}" name="bank_id" dataDxfId="61"/>
    <tableColumn id="9" xr3:uid="{00000000-0010-0000-3A00-000009000000}" name="contract_id" dataDxfId="60"/>
    <tableColumn id="10" xr3:uid="{00000000-0010-0000-3A00-00000A000000}" name="product_family_id" dataDxfId="59"/>
    <tableColumn id="11" xr3:uid="{00000000-0010-0000-3A00-00000B000000}" name="product_id" dataDxfId="58"/>
    <tableColumn id="12" xr3:uid="{00000000-0010-0000-3A00-00000C000000}" name="subproduct_id" dataDxfId="57"/>
    <tableColumn id="13" xr3:uid="{00000000-0010-0000-3A00-00000D000000}" name="main_current_account_bank_id" dataDxfId="56"/>
    <tableColumn id="14" xr3:uid="{00000000-0010-0000-3A00-00000E000000}" name="main_current_account_contract_id" dataDxfId="55"/>
    <tableColumn id="15" xr3:uid="{00000000-0010-0000-3A00-00000F000000}" name="main_current_account_iban" dataDxfId="54"/>
    <tableColumn id="16" xr3:uid="{00000000-0010-0000-3A00-000010000000}" name="main_current_account_nib" dataDxfId="53"/>
    <tableColumn id="17" xr3:uid="{00000000-0010-0000-3A00-000011000000}" name="main_current_acc_supp_bank_code" dataDxfId="52"/>
    <tableColumn id="18" xr3:uid="{00000000-0010-0000-3A00-000012000000}" name="main_current_account_agency_id" dataDxfId="51"/>
    <tableColumn id="19" xr3:uid="{00000000-0010-0000-3A00-000013000000}" name="main_current_account_number" dataDxfId="50"/>
    <tableColumn id="20" xr3:uid="{00000000-0010-0000-3A00-000014000000}" name="opening_date" dataDxfId="49"/>
    <tableColumn id="21" xr3:uid="{00000000-0010-0000-3A00-000015000000}" name="current_maturity_date" dataDxfId="48"/>
    <tableColumn id="22" xr3:uid="{00000000-0010-0000-3A00-000016000000}" name="currency_code" dataDxfId="47"/>
    <tableColumn id="23" xr3:uid="{00000000-0010-0000-3A00-000017000000}" name="litigation_indicator" dataDxfId="46"/>
    <tableColumn id="24" xr3:uid="{00000000-0010-0000-3A00-000018000000}" name="total_num_past_due_installments" dataDxfId="45"/>
    <tableColumn id="25" xr3:uid="{00000000-0010-0000-3A00-000019000000}" name="initial_authorized_amount" dataDxfId="44"/>
    <tableColumn id="26" xr3:uid="{00000000-0010-0000-3A00-00001A000000}" name="current_authorized_amount" dataDxfId="43"/>
    <tableColumn id="27" xr3:uid="{00000000-0010-0000-3A00-00001B000000}" name="initial_advance_principal_amount" dataDxfId="42"/>
    <tableColumn id="28" xr3:uid="{00000000-0010-0000-3A00-00001C000000}" name="current_advance_principal_amount" dataDxfId="41"/>
    <tableColumn id="29" xr3:uid="{00000000-0010-0000-3A00-00001D000000}" name="current_available_amount" dataDxfId="40"/>
    <tableColumn id="30" xr3:uid="{00000000-0010-0000-3A00-00001E000000}" name="cur_outsng_principal_balance" dataDxfId="39"/>
    <tableColumn id="31" xr3:uid="{00000000-0010-0000-3A00-00001F000000}" name="current_overdue_principal_bal" dataDxfId="38"/>
    <tableColumn id="32" xr3:uid="{00000000-0010-0000-3A00-000020000000}" name="current_overdue_taxes_balance" dataDxfId="37"/>
    <tableColumn id="33" xr3:uid="{00000000-0010-0000-3A00-000021000000}" name="current_overdue_expenses_bal" dataDxfId="36"/>
    <tableColumn id="34" xr3:uid="{00000000-0010-0000-3A00-000022000000}" name="current_overdue_interest_bal" dataDxfId="35"/>
    <tableColumn id="35" xr3:uid="{00000000-0010-0000-3A00-000023000000}" name="cur_debt_litigation_princip_bal" dataDxfId="34"/>
    <tableColumn id="36" xr3:uid="{00000000-0010-0000-3A00-000024000000}" name="residual_value_principal_amount" dataDxfId="33"/>
    <tableColumn id="37" xr3:uid="{00000000-0010-0000-3A00-000025000000}" name="residual_value_taxes_amount" dataDxfId="32"/>
    <tableColumn id="38" xr3:uid="{00000000-0010-0000-3A00-000026000000}" name="residual_value_interest_amount" dataDxfId="31"/>
    <tableColumn id="39" xr3:uid="{00000000-0010-0000-3A00-000027000000}" name="residual_value_expenses_amount" dataDxfId="30"/>
    <tableColumn id="40" xr3:uid="{00000000-0010-0000-3A00-000028000000}" name="next_regular_amort_due_date" dataDxfId="29"/>
    <tableColumn id="41" xr3:uid="{00000000-0010-0000-3A00-000029000000}" name="next_regular_amort_principal_amt" dataDxfId="28"/>
    <tableColumn id="42" xr3:uid="{00000000-0010-0000-3A00-00002A000000}" name="last_settled_amort_due_date" dataDxfId="27"/>
    <tableColumn id="43" xr3:uid="{00000000-0010-0000-3A00-00002B000000}" name="last_settled_amort_princip_amt" dataDxfId="26"/>
    <tableColumn id="44" xr3:uid="{00000000-0010-0000-3A00-00002C000000}" name="last_settled_amort_taxes_amount" dataDxfId="25"/>
    <tableColumn id="45" xr3:uid="{00000000-0010-0000-3A00-00002D000000}" name="last_settled_amort_expenses_amt" dataDxfId="24"/>
    <tableColumn id="46" xr3:uid="{00000000-0010-0000-3A00-00002E000000}" name="last_settled_amort_interest_amount" dataDxfId="23"/>
    <tableColumn id="47" xr3:uid="{00000000-0010-0000-3A00-00002F000000}" name="last_early_amort_pay_date" dataDxfId="22"/>
    <tableColumn id="48" xr3:uid="{00000000-0010-0000-3A00-000030000000}" name="last_early_amort_principal_amt" dataDxfId="21"/>
    <tableColumn id="49" xr3:uid="{00000000-0010-0000-3A00-000031000000}" name="last_early_amort_taxes_amount" dataDxfId="20"/>
    <tableColumn id="50" xr3:uid="{00000000-0010-0000-3A00-000032000000}" name="last_early_amort_expenses_amt" dataDxfId="19"/>
    <tableColumn id="51" xr3:uid="{00000000-0010-0000-3A00-000033000000}" name="last_installment_payment_date" dataDxfId="18"/>
    <tableColumn id="52" xr3:uid="{00000000-0010-0000-3A00-000034000000}" name="last_install_payment_princip_amt" dataDxfId="17"/>
    <tableColumn id="53" xr3:uid="{00000000-0010-0000-3A00-000035000000}" name="last_regular_amort_install_num" dataDxfId="16"/>
    <tableColumn id="54" xr3:uid="{00000000-0010-0000-3A00-000036000000}" name="initial_active_rate_type_code" dataDxfId="15"/>
    <tableColumn id="55" xr3:uid="{00000000-0010-0000-3A00-000037000000}" name="initial_active_indexing" dataDxfId="14"/>
    <tableColumn id="56" xr3:uid="{00000000-0010-0000-3A00-000038000000}" name="initial_active_index_rate" dataDxfId="13"/>
    <tableColumn id="57" xr3:uid="{00000000-0010-0000-3A00-000039000000}" name="initial_active_spread" dataDxfId="12"/>
    <tableColumn id="58" xr3:uid="{00000000-0010-0000-3A00-00003A000000}" name="initial_active_interest_rate" dataDxfId="11"/>
    <tableColumn id="59" xr3:uid="{00000000-0010-0000-3A00-00003B000000}" name="cur_active_rate_type_code" dataDxfId="10"/>
    <tableColumn id="60" xr3:uid="{00000000-0010-0000-3A00-00003C000000}" name="current_active_indexing" dataDxfId="9"/>
    <tableColumn id="61" xr3:uid="{00000000-0010-0000-3A00-00003D000000}" name="current_active_index_rate" dataDxfId="8"/>
    <tableColumn id="62" xr3:uid="{00000000-0010-0000-3A00-00003E000000}" name="current_active_spread" dataDxfId="7"/>
    <tableColumn id="63" xr3:uid="{00000000-0010-0000-3A00-00003F000000}" name="current_active_interest_rate" dataDxfId="6"/>
    <tableColumn id="64" xr3:uid="{00000000-0010-0000-3A00-000040000000}" name="contract_status_code" dataDxfId="5"/>
    <tableColumn id="65" xr3:uid="{00000000-0010-0000-3A00-000041000000}" name="contract_opening_channel_code" dataDxfId="4"/>
    <tableColumn id="66" xr3:uid="{00000000-0010-0000-3A00-000042000000}" name="source_code" dataDxfId="3"/>
    <tableColumn id="67" xr3:uid="{00000000-0010-0000-3A00-000043000000}" name="data_date_part" dataDxfId="2"/>
    <tableColumn id="68" xr3:uid="{00000000-0010-0000-3A00-000044000000}" name="data_timestamp_part" dataDxfId="1"/>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80"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table" Target="../tables/table2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14.xml"/><Relationship Id="rId1" Type="http://schemas.openxmlformats.org/officeDocument/2006/relationships/printerSettings" Target="../printerSettings/printerSettings15.bin"/><Relationship Id="rId4"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15.xml"/><Relationship Id="rId1" Type="http://schemas.openxmlformats.org/officeDocument/2006/relationships/printerSettings" Target="../printerSettings/printerSettings16.bin"/><Relationship Id="rId4"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16.xml"/><Relationship Id="rId1" Type="http://schemas.openxmlformats.org/officeDocument/2006/relationships/printerSettings" Target="../printerSettings/printerSettings17.bin"/><Relationship Id="rId4" Type="http://schemas.openxmlformats.org/officeDocument/2006/relationships/table" Target="../tables/table2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drawing" Target="../drawings/drawing17.xml"/><Relationship Id="rId1" Type="http://schemas.openxmlformats.org/officeDocument/2006/relationships/printerSettings" Target="../printerSettings/printerSettings18.bin"/><Relationship Id="rId4" Type="http://schemas.openxmlformats.org/officeDocument/2006/relationships/table" Target="../tables/table2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drawing" Target="../drawings/drawing18.xml"/><Relationship Id="rId1" Type="http://schemas.openxmlformats.org/officeDocument/2006/relationships/printerSettings" Target="../printerSettings/printerSettings19.bin"/><Relationship Id="rId4" Type="http://schemas.openxmlformats.org/officeDocument/2006/relationships/table" Target="../tables/table3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drawing" Target="../drawings/drawing19.xml"/><Relationship Id="rId1" Type="http://schemas.openxmlformats.org/officeDocument/2006/relationships/printerSettings" Target="../printerSettings/printerSettings20.bin"/><Relationship Id="rId4" Type="http://schemas.openxmlformats.org/officeDocument/2006/relationships/table" Target="../tables/table33.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20.xml"/><Relationship Id="rId1" Type="http://schemas.openxmlformats.org/officeDocument/2006/relationships/printerSettings" Target="../printerSettings/printerSettings21.bin"/><Relationship Id="rId4" Type="http://schemas.openxmlformats.org/officeDocument/2006/relationships/table" Target="../tables/table3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table" Target="../tables/table3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drawing" Target="../drawings/drawing23.xml"/><Relationship Id="rId1" Type="http://schemas.openxmlformats.org/officeDocument/2006/relationships/printerSettings" Target="../printerSettings/printerSettings24.bin"/><Relationship Id="rId4" Type="http://schemas.openxmlformats.org/officeDocument/2006/relationships/table" Target="../tables/table4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drawing" Target="../drawings/drawing24.xml"/><Relationship Id="rId1" Type="http://schemas.openxmlformats.org/officeDocument/2006/relationships/printerSettings" Target="../printerSettings/printerSettings25.bin"/><Relationship Id="rId4" Type="http://schemas.openxmlformats.org/officeDocument/2006/relationships/table" Target="../tables/table4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drawing" Target="../drawings/drawing25.xml"/><Relationship Id="rId1" Type="http://schemas.openxmlformats.org/officeDocument/2006/relationships/printerSettings" Target="../printerSettings/printerSettings26.bin"/><Relationship Id="rId4" Type="http://schemas.openxmlformats.org/officeDocument/2006/relationships/table" Target="../tables/table45.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drawing" Target="../drawings/drawing26.xml"/><Relationship Id="rId1" Type="http://schemas.openxmlformats.org/officeDocument/2006/relationships/printerSettings" Target="../printerSettings/printerSettings27.bin"/><Relationship Id="rId4" Type="http://schemas.openxmlformats.org/officeDocument/2006/relationships/table" Target="../tables/table47.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drawing" Target="../drawings/drawing27.xml"/><Relationship Id="rId1" Type="http://schemas.openxmlformats.org/officeDocument/2006/relationships/printerSettings" Target="../printerSettings/printerSettings28.bin"/><Relationship Id="rId4" Type="http://schemas.openxmlformats.org/officeDocument/2006/relationships/table" Target="../tables/table49.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drawing" Target="../drawings/drawing28.xml"/><Relationship Id="rId1" Type="http://schemas.openxmlformats.org/officeDocument/2006/relationships/printerSettings" Target="../printerSettings/printerSettings29.bin"/><Relationship Id="rId4" Type="http://schemas.openxmlformats.org/officeDocument/2006/relationships/table" Target="../tables/table51.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drawing" Target="../drawings/drawing29.xml"/><Relationship Id="rId1" Type="http://schemas.openxmlformats.org/officeDocument/2006/relationships/printerSettings" Target="../printerSettings/printerSettings30.bin"/><Relationship Id="rId4"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drawing" Target="../drawings/drawing30.xml"/><Relationship Id="rId1" Type="http://schemas.openxmlformats.org/officeDocument/2006/relationships/printerSettings" Target="../printerSettings/printerSettings31.bin"/><Relationship Id="rId4" Type="http://schemas.openxmlformats.org/officeDocument/2006/relationships/table" Target="../tables/table5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56.xml"/><Relationship Id="rId2" Type="http://schemas.openxmlformats.org/officeDocument/2006/relationships/drawing" Target="../drawings/drawing31.xml"/><Relationship Id="rId1" Type="http://schemas.openxmlformats.org/officeDocument/2006/relationships/printerSettings" Target="../printerSettings/printerSettings32.bin"/><Relationship Id="rId4" Type="http://schemas.openxmlformats.org/officeDocument/2006/relationships/table" Target="../tables/table57.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58.xml"/><Relationship Id="rId2" Type="http://schemas.openxmlformats.org/officeDocument/2006/relationships/drawing" Target="../drawings/drawing32.xml"/><Relationship Id="rId1" Type="http://schemas.openxmlformats.org/officeDocument/2006/relationships/printerSettings" Target="../printerSettings/printerSettings33.bin"/><Relationship Id="rId4" Type="http://schemas.openxmlformats.org/officeDocument/2006/relationships/table" Target="../tables/table5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5" zeroHeight="1" x14ac:dyDescent="0.25"/>
  <cols>
    <col min="1" max="1" width="3.54296875" style="1" customWidth="1"/>
    <col min="2" max="14" width="9.453125" style="1" customWidth="1"/>
    <col min="15" max="15" width="8.54296875" style="1" customWidth="1"/>
    <col min="16" max="16" width="5.54296875" style="1" customWidth="1"/>
    <col min="17" max="16384" width="9.453125" style="1" hidden="1"/>
  </cols>
  <sheetData>
    <row r="1" spans="1:16" x14ac:dyDescent="0.25">
      <c r="A1" s="5"/>
      <c r="B1" s="5"/>
      <c r="C1" s="5"/>
      <c r="D1" s="5"/>
      <c r="E1" s="5"/>
      <c r="F1" s="5"/>
      <c r="G1" s="5"/>
      <c r="H1" s="5"/>
      <c r="I1" s="5"/>
      <c r="J1" s="5"/>
      <c r="K1" s="5"/>
      <c r="L1" s="5"/>
      <c r="M1" s="5"/>
      <c r="N1" s="5"/>
      <c r="O1" s="5"/>
      <c r="P1" s="5"/>
    </row>
    <row r="2" spans="1:16" x14ac:dyDescent="0.25">
      <c r="A2" s="5"/>
      <c r="B2" s="5"/>
      <c r="C2" s="5"/>
      <c r="D2" s="5"/>
      <c r="E2" s="5"/>
      <c r="F2" s="5"/>
      <c r="G2" s="5"/>
      <c r="H2" s="5"/>
      <c r="I2" s="5"/>
      <c r="J2" s="5"/>
      <c r="K2" s="5"/>
      <c r="L2" s="5"/>
      <c r="M2" s="5"/>
      <c r="N2" s="5"/>
      <c r="O2" s="5"/>
      <c r="P2" s="5"/>
    </row>
    <row r="3" spans="1:16" ht="46.5" x14ac:dyDescent="0.25">
      <c r="A3" s="5"/>
      <c r="B3" s="6" t="s">
        <v>0</v>
      </c>
      <c r="C3" s="5"/>
      <c r="D3" s="5"/>
      <c r="E3" s="5"/>
      <c r="F3" s="5"/>
      <c r="G3" s="5"/>
      <c r="H3" s="5"/>
      <c r="I3" s="5"/>
      <c r="J3" s="5"/>
      <c r="K3" s="5"/>
      <c r="L3" s="5"/>
      <c r="M3" s="5"/>
      <c r="N3" s="5"/>
      <c r="O3" s="5"/>
      <c r="P3" s="5"/>
    </row>
    <row r="4" spans="1:16" ht="17.5" x14ac:dyDescent="0.25">
      <c r="A4" s="5"/>
      <c r="B4" s="7"/>
      <c r="C4" s="5"/>
      <c r="D4" s="5"/>
      <c r="E4" s="5"/>
      <c r="F4" s="5"/>
      <c r="G4" s="5"/>
      <c r="H4" s="5"/>
      <c r="I4" s="5"/>
      <c r="J4" s="5"/>
      <c r="K4" s="5"/>
      <c r="L4" s="5"/>
      <c r="M4" s="5"/>
      <c r="N4" s="5"/>
      <c r="O4" s="5"/>
      <c r="P4" s="5"/>
    </row>
    <row r="5" spans="1:16" ht="13" thickBot="1" x14ac:dyDescent="0.3">
      <c r="A5" s="5"/>
      <c r="B5" s="8"/>
      <c r="C5" s="8"/>
      <c r="D5" s="8"/>
      <c r="E5" s="8"/>
      <c r="F5" s="8"/>
      <c r="G5" s="8"/>
      <c r="H5" s="8"/>
      <c r="I5" s="8"/>
      <c r="J5" s="5"/>
      <c r="K5" s="5"/>
      <c r="L5" s="5"/>
      <c r="M5" s="5"/>
      <c r="N5" s="5"/>
      <c r="O5" s="5"/>
      <c r="P5" s="5"/>
    </row>
    <row r="6" spans="1:16" ht="13.5" x14ac:dyDescent="0.35">
      <c r="A6" s="5"/>
      <c r="B6" s="5"/>
      <c r="C6" s="5"/>
      <c r="D6" s="5"/>
      <c r="E6" s="5"/>
      <c r="F6" s="9"/>
      <c r="G6" s="5"/>
      <c r="H6" s="5"/>
      <c r="I6" s="5"/>
      <c r="J6" s="5"/>
      <c r="K6" s="5"/>
      <c r="L6" s="5"/>
      <c r="M6" s="5"/>
      <c r="N6" s="5"/>
      <c r="O6" s="5"/>
      <c r="P6" s="5"/>
    </row>
    <row r="7" spans="1:16" x14ac:dyDescent="0.25">
      <c r="A7" s="5"/>
      <c r="B7" s="5"/>
      <c r="C7" s="5"/>
      <c r="D7" s="5"/>
      <c r="E7" s="5"/>
      <c r="F7" s="5"/>
      <c r="G7" s="5"/>
      <c r="H7" s="5"/>
      <c r="I7" s="5"/>
      <c r="J7" s="5"/>
      <c r="K7" s="5"/>
      <c r="L7" s="5"/>
      <c r="M7" s="5"/>
      <c r="N7" s="5"/>
      <c r="O7" s="5"/>
      <c r="P7" s="5"/>
    </row>
    <row r="8" spans="1:16" x14ac:dyDescent="0.25">
      <c r="A8" s="5"/>
      <c r="B8" s="5"/>
      <c r="C8" s="5"/>
      <c r="D8" s="5"/>
      <c r="E8" s="5"/>
      <c r="F8" s="5"/>
      <c r="G8" s="5"/>
      <c r="H8" s="5"/>
      <c r="I8" s="5"/>
      <c r="J8" s="5"/>
      <c r="K8" s="5"/>
      <c r="L8" s="5"/>
      <c r="M8" s="5"/>
      <c r="N8" s="5"/>
      <c r="O8" s="5"/>
      <c r="P8" s="5"/>
    </row>
    <row r="9" spans="1:16" x14ac:dyDescent="0.25">
      <c r="A9" s="5"/>
      <c r="B9" s="5"/>
      <c r="C9" s="5"/>
      <c r="D9" s="5"/>
      <c r="E9" s="5"/>
      <c r="F9" s="5"/>
      <c r="G9" s="5"/>
      <c r="H9" s="5"/>
      <c r="I9" s="5"/>
      <c r="J9" s="5"/>
      <c r="K9" s="5"/>
      <c r="L9" s="5"/>
      <c r="M9" s="5"/>
      <c r="N9" s="5"/>
      <c r="O9" s="5"/>
      <c r="P9" s="5"/>
    </row>
    <row r="10" spans="1:16" x14ac:dyDescent="0.25">
      <c r="A10" s="5"/>
      <c r="B10" s="5"/>
      <c r="C10" s="5"/>
      <c r="D10" s="5"/>
      <c r="E10" s="5"/>
      <c r="F10" s="5"/>
      <c r="G10" s="5"/>
      <c r="H10" s="5"/>
      <c r="I10" s="5"/>
      <c r="J10" s="5"/>
      <c r="K10" s="5"/>
      <c r="L10" s="5"/>
      <c r="M10" s="5"/>
      <c r="N10" s="5"/>
      <c r="O10" s="5"/>
      <c r="P10" s="5"/>
    </row>
    <row r="11" spans="1:16" x14ac:dyDescent="0.25">
      <c r="A11" s="5"/>
      <c r="B11" s="5"/>
      <c r="C11" s="5"/>
      <c r="D11" s="5"/>
      <c r="E11" s="5"/>
      <c r="F11" s="5"/>
      <c r="G11" s="5"/>
      <c r="H11" s="5"/>
      <c r="I11" s="5"/>
      <c r="J11" s="5"/>
      <c r="K11" s="5"/>
      <c r="L11" s="5"/>
      <c r="M11" s="5"/>
      <c r="N11" s="5"/>
      <c r="O11" s="5"/>
      <c r="P11" s="5"/>
    </row>
    <row r="12" spans="1:16" x14ac:dyDescent="0.25">
      <c r="A12" s="5"/>
      <c r="B12" s="5"/>
      <c r="C12" s="5"/>
      <c r="D12" s="5"/>
      <c r="E12" s="5"/>
      <c r="F12" s="5"/>
      <c r="G12" s="5"/>
      <c r="H12" s="5"/>
      <c r="I12" s="5"/>
      <c r="J12" s="5"/>
      <c r="K12" s="5"/>
      <c r="L12" s="5"/>
      <c r="M12" s="5"/>
      <c r="N12" s="5"/>
      <c r="O12" s="5"/>
      <c r="P12" s="5"/>
    </row>
    <row r="13" spans="1:16" x14ac:dyDescent="0.25">
      <c r="A13" s="5"/>
      <c r="B13" s="5"/>
      <c r="C13" s="5"/>
      <c r="D13" s="5"/>
      <c r="E13" s="5"/>
      <c r="F13" s="5"/>
      <c r="G13" s="5"/>
      <c r="H13" s="5"/>
      <c r="I13" s="5"/>
      <c r="J13" s="5"/>
      <c r="K13" s="5"/>
      <c r="L13" s="5"/>
      <c r="M13" s="5"/>
      <c r="N13" s="5"/>
      <c r="O13" s="5"/>
      <c r="P13" s="5"/>
    </row>
    <row r="14" spans="1:16" x14ac:dyDescent="0.25">
      <c r="A14" s="5"/>
      <c r="B14" s="5"/>
      <c r="C14" s="5"/>
      <c r="D14" s="5"/>
      <c r="E14" s="5"/>
      <c r="F14" s="5"/>
      <c r="G14" s="5"/>
      <c r="H14" s="5"/>
      <c r="I14" s="5"/>
      <c r="J14" s="5"/>
      <c r="K14" s="5"/>
      <c r="L14" s="5"/>
      <c r="M14" s="5"/>
      <c r="N14" s="5"/>
      <c r="O14" s="5"/>
      <c r="P14" s="5"/>
    </row>
    <row r="15" spans="1:16" x14ac:dyDescent="0.25">
      <c r="A15" s="5"/>
      <c r="B15" s="5"/>
      <c r="C15" s="5"/>
      <c r="D15" s="5"/>
      <c r="E15" s="5"/>
      <c r="F15" s="5"/>
      <c r="G15" s="5"/>
      <c r="H15" s="5"/>
      <c r="I15" s="5"/>
      <c r="J15" s="5"/>
      <c r="K15" s="5"/>
      <c r="L15" s="5"/>
      <c r="M15" s="5"/>
      <c r="N15" s="5"/>
      <c r="O15" s="5"/>
      <c r="P15" s="5"/>
    </row>
    <row r="16" spans="1:16" s="2" customFormat="1" ht="32" x14ac:dyDescent="0.35">
      <c r="A16" s="10"/>
      <c r="B16" s="10"/>
      <c r="C16" s="10"/>
      <c r="D16" s="10"/>
      <c r="E16" s="10"/>
      <c r="F16" s="10"/>
      <c r="G16" s="10"/>
      <c r="H16" s="10"/>
      <c r="I16" s="10"/>
      <c r="J16" s="10"/>
      <c r="K16" s="10"/>
      <c r="L16" s="10"/>
      <c r="M16" s="10"/>
      <c r="N16" s="10"/>
      <c r="O16" s="11"/>
      <c r="P16" s="10"/>
    </row>
    <row r="17" spans="1:16" s="3" customFormat="1" ht="25" x14ac:dyDescent="0.5">
      <c r="A17" s="12"/>
      <c r="B17" s="12"/>
      <c r="C17" s="12"/>
      <c r="D17" s="12"/>
      <c r="E17" s="12"/>
      <c r="F17" s="12"/>
      <c r="G17" s="12"/>
      <c r="H17" s="12"/>
      <c r="I17" s="12"/>
      <c r="J17" s="12"/>
      <c r="K17" s="12"/>
      <c r="L17" s="12"/>
      <c r="M17" s="12"/>
      <c r="N17" s="12"/>
      <c r="O17" s="13"/>
      <c r="P17" s="12"/>
    </row>
    <row r="18" spans="1:16" ht="13" x14ac:dyDescent="0.3">
      <c r="A18" s="5"/>
      <c r="B18" s="5"/>
      <c r="C18" s="5"/>
      <c r="D18" s="5"/>
      <c r="E18" s="5"/>
      <c r="F18" s="5"/>
      <c r="G18" s="5"/>
      <c r="H18" s="5"/>
      <c r="I18" s="5"/>
      <c r="J18" s="5"/>
      <c r="K18" s="5"/>
      <c r="L18" s="5"/>
      <c r="M18" s="5"/>
      <c r="N18" s="5"/>
      <c r="O18" s="14"/>
      <c r="P18" s="5"/>
    </row>
    <row r="19" spans="1:16" ht="13" x14ac:dyDescent="0.3">
      <c r="A19" s="5"/>
      <c r="B19" s="5"/>
      <c r="C19" s="5"/>
      <c r="D19" s="5"/>
      <c r="E19" s="5"/>
      <c r="F19" s="5"/>
      <c r="G19" s="5"/>
      <c r="H19" s="5"/>
      <c r="I19" s="5"/>
      <c r="J19" s="5"/>
      <c r="K19" s="5"/>
      <c r="L19" s="5"/>
      <c r="M19" s="5"/>
      <c r="N19" s="5"/>
      <c r="O19" s="14"/>
      <c r="P19" s="5"/>
    </row>
    <row r="20" spans="1:16" ht="15.5" x14ac:dyDescent="0.35">
      <c r="A20" s="5"/>
      <c r="B20" s="5"/>
      <c r="C20" s="5"/>
      <c r="D20" s="5"/>
      <c r="E20" s="5"/>
      <c r="F20" s="5"/>
      <c r="G20" s="5"/>
      <c r="H20" s="5"/>
      <c r="I20" s="5"/>
      <c r="J20" s="5"/>
      <c r="K20" s="5"/>
      <c r="L20" s="5"/>
      <c r="M20" s="5"/>
      <c r="N20" s="5"/>
      <c r="O20" s="15"/>
      <c r="P20" s="5"/>
    </row>
    <row r="21" spans="1:16" ht="13" x14ac:dyDescent="0.3">
      <c r="A21" s="5"/>
      <c r="B21" s="5"/>
      <c r="C21" s="5"/>
      <c r="D21" s="5"/>
      <c r="E21" s="5"/>
      <c r="F21" s="5"/>
      <c r="G21" s="5"/>
      <c r="H21" s="5"/>
      <c r="I21" s="5"/>
      <c r="J21" s="5"/>
      <c r="K21" s="5"/>
      <c r="L21" s="5"/>
      <c r="M21" s="5"/>
      <c r="N21" s="5"/>
      <c r="O21" s="16"/>
      <c r="P21" s="5"/>
    </row>
    <row r="22" spans="1:16" ht="13" x14ac:dyDescent="0.3">
      <c r="A22" s="5"/>
      <c r="B22" s="5"/>
      <c r="C22" s="5"/>
      <c r="D22" s="5"/>
      <c r="E22" s="5"/>
      <c r="F22" s="5"/>
      <c r="G22" s="5"/>
      <c r="H22" s="5"/>
      <c r="I22" s="5"/>
      <c r="J22" s="5"/>
      <c r="K22" s="5"/>
      <c r="L22" s="5"/>
      <c r="M22" s="5"/>
      <c r="N22" s="5"/>
      <c r="O22" s="16"/>
      <c r="P22" s="5"/>
    </row>
    <row r="23" spans="1:16" ht="15.5" x14ac:dyDescent="0.35">
      <c r="A23" s="5"/>
      <c r="B23" s="5"/>
      <c r="C23" s="5"/>
      <c r="D23" s="5"/>
      <c r="E23" s="5"/>
      <c r="F23" s="5"/>
      <c r="G23" s="5"/>
      <c r="H23" s="5"/>
      <c r="I23" s="5"/>
      <c r="J23" s="5"/>
      <c r="K23" s="5"/>
      <c r="L23" s="5"/>
      <c r="M23" s="5"/>
      <c r="N23" s="5"/>
      <c r="O23" s="17"/>
      <c r="P23" s="5"/>
    </row>
    <row r="24" spans="1:16" ht="13" x14ac:dyDescent="0.3">
      <c r="A24" s="5"/>
      <c r="B24" s="5"/>
      <c r="C24" s="5"/>
      <c r="D24" s="5"/>
      <c r="E24" s="5"/>
      <c r="F24" s="5"/>
      <c r="G24" s="5"/>
      <c r="H24" s="5"/>
      <c r="I24" s="5"/>
      <c r="J24" s="5"/>
      <c r="K24" s="5"/>
      <c r="L24" s="5"/>
      <c r="M24" s="5"/>
      <c r="N24" s="5"/>
      <c r="O24" s="14"/>
      <c r="P24" s="5"/>
    </row>
    <row r="25" spans="1:16" ht="13" x14ac:dyDescent="0.3">
      <c r="A25" s="5"/>
      <c r="B25" s="5"/>
      <c r="C25" s="5"/>
      <c r="D25" s="5"/>
      <c r="E25" s="5"/>
      <c r="F25" s="5"/>
      <c r="G25" s="5"/>
      <c r="H25" s="5"/>
      <c r="I25" s="5"/>
      <c r="J25" s="5"/>
      <c r="K25" s="5"/>
      <c r="L25" s="5"/>
      <c r="M25" s="5"/>
      <c r="N25" s="5"/>
      <c r="O25" s="14"/>
      <c r="P25" s="5"/>
    </row>
    <row r="26" spans="1:16" ht="13" x14ac:dyDescent="0.3">
      <c r="A26" s="5"/>
      <c r="B26" s="5"/>
      <c r="C26" s="5"/>
      <c r="D26" s="5"/>
      <c r="E26" s="5"/>
      <c r="F26" s="5"/>
      <c r="G26" s="5"/>
      <c r="H26" s="5"/>
      <c r="I26" s="5"/>
      <c r="J26" s="5"/>
      <c r="K26" s="5"/>
      <c r="L26" s="5"/>
      <c r="M26" s="5"/>
      <c r="N26" s="5"/>
      <c r="O26" s="14"/>
      <c r="P26" s="5"/>
    </row>
    <row r="27" spans="1:16" ht="13" x14ac:dyDescent="0.3">
      <c r="A27" s="5"/>
      <c r="B27" s="5"/>
      <c r="C27" s="5"/>
      <c r="D27" s="5"/>
      <c r="E27" s="5"/>
      <c r="F27" s="5"/>
      <c r="G27" s="5"/>
      <c r="H27" s="5"/>
      <c r="I27" s="5"/>
      <c r="J27" s="5"/>
      <c r="K27" s="5"/>
      <c r="L27" s="5"/>
      <c r="M27" s="5"/>
      <c r="N27" s="5"/>
      <c r="O27" s="14"/>
      <c r="P27" s="5"/>
    </row>
    <row r="28" spans="1:16" ht="13" x14ac:dyDescent="0.3">
      <c r="A28" s="5"/>
      <c r="B28" s="5"/>
      <c r="C28" s="5"/>
      <c r="D28" s="5"/>
      <c r="E28" s="5"/>
      <c r="F28" s="5"/>
      <c r="G28" s="5"/>
      <c r="H28" s="5"/>
      <c r="I28" s="5"/>
      <c r="J28" s="5"/>
      <c r="K28" s="5"/>
      <c r="L28" s="5"/>
      <c r="M28" s="5"/>
      <c r="N28" s="5"/>
      <c r="O28" s="14"/>
      <c r="P28" s="5"/>
    </row>
    <row r="29" spans="1:16" ht="13" x14ac:dyDescent="0.3">
      <c r="A29" s="5"/>
      <c r="B29" s="5"/>
      <c r="C29" s="5"/>
      <c r="D29" s="5"/>
      <c r="E29" s="5"/>
      <c r="F29" s="5"/>
      <c r="G29" s="5"/>
      <c r="H29" s="5"/>
      <c r="I29" s="5"/>
      <c r="J29" s="5"/>
      <c r="K29" s="5"/>
      <c r="L29" s="5"/>
      <c r="M29" s="5"/>
      <c r="N29" s="5"/>
      <c r="O29" s="14"/>
      <c r="P29" s="5"/>
    </row>
    <row r="30" spans="1:16" ht="13" x14ac:dyDescent="0.3">
      <c r="A30" s="5"/>
      <c r="B30" s="5"/>
      <c r="C30" s="5"/>
      <c r="D30" s="5"/>
      <c r="E30" s="5"/>
      <c r="F30" s="5"/>
      <c r="G30" s="5"/>
      <c r="H30" s="5"/>
      <c r="I30" s="5"/>
      <c r="J30" s="5"/>
      <c r="K30" s="5"/>
      <c r="L30" s="5"/>
      <c r="M30" s="5"/>
      <c r="N30" s="5"/>
      <c r="O30" s="14"/>
      <c r="P30" s="5"/>
    </row>
    <row r="31" spans="1:16" x14ac:dyDescent="0.25">
      <c r="A31" s="5"/>
      <c r="B31" s="5"/>
      <c r="C31" s="5"/>
      <c r="D31" s="5"/>
      <c r="E31" s="5"/>
      <c r="F31" s="5"/>
      <c r="G31" s="5"/>
      <c r="H31" s="5"/>
      <c r="I31" s="5"/>
      <c r="J31" s="5"/>
      <c r="K31" s="5"/>
      <c r="L31" s="5"/>
      <c r="M31" s="18"/>
      <c r="N31" s="19"/>
      <c r="O31" s="20"/>
      <c r="P31" s="5"/>
    </row>
    <row r="32" spans="1:16" x14ac:dyDescent="0.25">
      <c r="A32" s="5"/>
      <c r="B32" s="5"/>
      <c r="C32" s="5"/>
      <c r="D32" s="5"/>
      <c r="E32" s="5"/>
      <c r="F32" s="5"/>
      <c r="G32" s="5"/>
      <c r="H32" s="5"/>
      <c r="I32" s="5"/>
      <c r="J32" s="5"/>
      <c r="K32" s="5"/>
      <c r="L32" s="5"/>
      <c r="M32" s="5"/>
      <c r="N32" s="5"/>
      <c r="O32" s="5"/>
      <c r="P32" s="5"/>
    </row>
    <row r="33" spans="1:16" hidden="1" x14ac:dyDescent="0.25">
      <c r="A33" s="5"/>
      <c r="B33" s="5"/>
      <c r="C33" s="5"/>
      <c r="D33" s="5"/>
      <c r="E33" s="5"/>
      <c r="F33" s="5"/>
      <c r="G33" s="5"/>
      <c r="H33" s="5"/>
      <c r="I33" s="5"/>
      <c r="J33" s="5"/>
      <c r="K33" s="5"/>
      <c r="L33" s="5"/>
      <c r="M33" s="5"/>
      <c r="N33" s="5"/>
      <c r="O33" s="5"/>
      <c r="P33" s="5"/>
    </row>
    <row r="34" spans="1:16" hidden="1" x14ac:dyDescent="0.25">
      <c r="A34" s="5"/>
      <c r="B34" s="5"/>
      <c r="C34" s="5"/>
      <c r="D34" s="5"/>
      <c r="E34" s="5"/>
      <c r="F34" s="5"/>
      <c r="G34" s="5"/>
      <c r="H34" s="5"/>
      <c r="I34" s="5"/>
      <c r="J34" s="5"/>
      <c r="K34" s="5"/>
      <c r="L34" s="5"/>
      <c r="M34" s="5"/>
      <c r="N34" s="5"/>
      <c r="O34" s="5"/>
      <c r="P34" s="5"/>
    </row>
    <row r="35" spans="1:16" hidden="1" x14ac:dyDescent="0.25">
      <c r="A35" s="5"/>
      <c r="B35" s="5"/>
      <c r="C35" s="5"/>
      <c r="D35" s="5"/>
      <c r="E35" s="5"/>
      <c r="F35" s="5"/>
      <c r="G35" s="5"/>
      <c r="H35" s="5"/>
      <c r="I35" s="5"/>
      <c r="J35" s="5"/>
      <c r="K35" s="5"/>
      <c r="L35" s="5"/>
      <c r="M35" s="5"/>
      <c r="N35" s="5"/>
      <c r="O35" s="5"/>
      <c r="P35" s="5"/>
    </row>
    <row r="36" spans="1:16" hidden="1" x14ac:dyDescent="0.25">
      <c r="A36" s="5"/>
      <c r="B36" s="5"/>
      <c r="C36" s="5"/>
      <c r="D36" s="5"/>
      <c r="E36" s="5"/>
      <c r="F36" s="5"/>
      <c r="G36" s="5"/>
      <c r="H36" s="5"/>
      <c r="I36" s="5"/>
      <c r="J36" s="5"/>
      <c r="K36" s="5"/>
      <c r="L36" s="5"/>
      <c r="M36" s="5"/>
      <c r="N36" s="5"/>
      <c r="O36" s="5"/>
      <c r="P36" s="5"/>
    </row>
    <row r="37" spans="1:16" hidden="1" x14ac:dyDescent="0.25">
      <c r="A37" s="5"/>
      <c r="B37" s="5"/>
      <c r="C37" s="5"/>
      <c r="D37" s="5"/>
      <c r="E37" s="5"/>
      <c r="F37" s="5"/>
      <c r="G37" s="5"/>
      <c r="H37" s="5"/>
      <c r="I37" s="5"/>
      <c r="J37" s="5"/>
      <c r="K37" s="5"/>
      <c r="L37" s="5"/>
      <c r="M37" s="5"/>
      <c r="N37" s="5"/>
      <c r="O37" s="5"/>
      <c r="P37" s="5"/>
    </row>
    <row r="38" spans="1:16" hidden="1" x14ac:dyDescent="0.25">
      <c r="A38" s="5"/>
      <c r="B38" s="5"/>
      <c r="C38" s="5"/>
      <c r="D38" s="5"/>
      <c r="E38" s="5"/>
      <c r="F38" s="5"/>
      <c r="G38" s="5"/>
      <c r="H38" s="5"/>
      <c r="I38" s="5"/>
      <c r="J38" s="5"/>
      <c r="K38" s="5"/>
      <c r="L38" s="5"/>
      <c r="M38" s="5"/>
      <c r="N38" s="5"/>
      <c r="O38" s="5"/>
      <c r="P38" s="5"/>
    </row>
    <row r="39" spans="1:16" hidden="1" x14ac:dyDescent="0.25">
      <c r="A39" s="5"/>
      <c r="B39" s="5"/>
      <c r="C39" s="5"/>
      <c r="D39" s="5"/>
      <c r="E39" s="5"/>
      <c r="F39" s="5"/>
      <c r="G39" s="5"/>
      <c r="H39" s="5"/>
      <c r="I39" s="5"/>
      <c r="J39" s="5"/>
      <c r="K39" s="5"/>
      <c r="L39" s="5"/>
      <c r="M39" s="5"/>
      <c r="N39" s="5"/>
      <c r="O39" s="5"/>
      <c r="P39" s="5"/>
    </row>
    <row r="40" spans="1:16" hidden="1" x14ac:dyDescent="0.25">
      <c r="A40" s="5"/>
      <c r="B40" s="5"/>
      <c r="C40" s="5"/>
      <c r="D40" s="5"/>
      <c r="E40" s="5"/>
      <c r="F40" s="5"/>
      <c r="G40" s="5"/>
      <c r="H40" s="5"/>
      <c r="I40" s="5"/>
      <c r="J40" s="5"/>
      <c r="K40" s="5"/>
      <c r="L40" s="5"/>
      <c r="M40" s="5"/>
      <c r="N40" s="5"/>
      <c r="O40" s="5"/>
      <c r="P40" s="5"/>
    </row>
    <row r="41" spans="1:16" hidden="1" x14ac:dyDescent="0.25">
      <c r="A41" s="5"/>
      <c r="B41" s="5"/>
      <c r="C41" s="5"/>
      <c r="D41" s="5"/>
      <c r="E41" s="5"/>
      <c r="F41" s="5"/>
      <c r="G41" s="5"/>
      <c r="H41" s="5"/>
      <c r="I41" s="5"/>
      <c r="J41" s="5"/>
      <c r="K41" s="5"/>
      <c r="L41" s="5"/>
      <c r="M41" s="5"/>
      <c r="N41" s="5"/>
      <c r="O41" s="5"/>
      <c r="P41" s="5"/>
    </row>
    <row r="42" spans="1:16" hidden="1" x14ac:dyDescent="0.25">
      <c r="A42" s="5"/>
      <c r="B42" s="5"/>
      <c r="C42" s="5"/>
      <c r="D42" s="5"/>
      <c r="E42" s="5"/>
      <c r="F42" s="5"/>
      <c r="G42" s="5"/>
      <c r="H42" s="5"/>
      <c r="I42" s="5"/>
      <c r="J42" s="5"/>
      <c r="K42" s="5"/>
      <c r="L42" s="5"/>
      <c r="M42" s="5"/>
      <c r="N42" s="5"/>
      <c r="O42" s="5"/>
      <c r="P42" s="5"/>
    </row>
    <row r="43" spans="1:16" hidden="1" x14ac:dyDescent="0.25">
      <c r="A43" s="5"/>
      <c r="B43" s="5"/>
      <c r="C43" s="5"/>
      <c r="D43" s="5"/>
      <c r="E43" s="5"/>
      <c r="F43" s="5"/>
      <c r="G43" s="5"/>
      <c r="H43" s="5"/>
      <c r="I43" s="5"/>
      <c r="J43" s="5"/>
      <c r="K43" s="5"/>
      <c r="L43" s="5"/>
      <c r="M43" s="5"/>
      <c r="N43" s="5"/>
      <c r="O43" s="5"/>
      <c r="P43" s="5"/>
    </row>
    <row r="44" spans="1:16" hidden="1" x14ac:dyDescent="0.25">
      <c r="A44" s="5"/>
      <c r="B44" s="5"/>
      <c r="C44" s="5"/>
      <c r="D44" s="5"/>
      <c r="E44" s="5"/>
      <c r="F44" s="5"/>
      <c r="G44" s="5"/>
      <c r="H44" s="5"/>
      <c r="I44" s="5"/>
      <c r="J44" s="5"/>
      <c r="K44" s="5"/>
      <c r="L44" s="5"/>
      <c r="M44" s="5"/>
      <c r="N44" s="5"/>
      <c r="O44" s="5"/>
      <c r="P44" s="5"/>
    </row>
    <row r="45" spans="1:16" x14ac:dyDescent="0.25">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topLeftCell="A5" zoomScale="115" zoomScaleNormal="115" workbookViewId="0">
      <selection activeCell="A9" sqref="A9:XFD9"/>
    </sheetView>
  </sheetViews>
  <sheetFormatPr defaultColWidth="0" defaultRowHeight="14.5" x14ac:dyDescent="0.35"/>
  <cols>
    <col min="1" max="1" width="8.81640625" style="4" customWidth="1"/>
    <col min="2" max="2" width="38.81640625" customWidth="1"/>
    <col min="3" max="3" width="47.54296875" customWidth="1"/>
    <col min="4" max="4" width="116.7265625" customWidth="1"/>
    <col min="5" max="5" width="8.81640625" style="4" customWidth="1"/>
    <col min="6" max="16384" width="8.81640625" hidden="1"/>
  </cols>
  <sheetData>
    <row r="1" spans="1:5" x14ac:dyDescent="0.35">
      <c r="A1" s="21"/>
      <c r="B1" s="21"/>
      <c r="C1" s="21"/>
      <c r="D1" s="21"/>
      <c r="E1" s="21"/>
    </row>
    <row r="2" spans="1:5" x14ac:dyDescent="0.35">
      <c r="A2" s="21"/>
      <c r="B2" s="21"/>
      <c r="C2" s="21"/>
      <c r="D2" s="21"/>
      <c r="E2" s="21"/>
    </row>
    <row r="3" spans="1:5" ht="15" thickBot="1" x14ac:dyDescent="0.4">
      <c r="A3" s="23"/>
      <c r="B3" s="23"/>
      <c r="C3" s="23"/>
      <c r="D3" s="23"/>
      <c r="E3" s="23"/>
    </row>
    <row r="4" spans="1:5" x14ac:dyDescent="0.35">
      <c r="A4" s="22"/>
      <c r="B4" s="22"/>
      <c r="C4" s="22"/>
      <c r="D4" s="22"/>
      <c r="E4" s="22"/>
    </row>
    <row r="5" spans="1:5" x14ac:dyDescent="0.35">
      <c r="A5" s="22"/>
      <c r="B5" s="41" t="s">
        <v>1</v>
      </c>
      <c r="C5" s="42" t="s">
        <v>2</v>
      </c>
      <c r="D5" s="43" t="s">
        <v>3</v>
      </c>
      <c r="E5" s="22"/>
    </row>
    <row r="6" spans="1:5" x14ac:dyDescent="0.35">
      <c r="A6" s="22"/>
      <c r="B6" s="39" t="s">
        <v>4</v>
      </c>
      <c r="C6" s="39" t="s">
        <v>5</v>
      </c>
      <c r="D6" s="25" t="s">
        <v>6</v>
      </c>
      <c r="E6" s="22"/>
    </row>
    <row r="7" spans="1:5" x14ac:dyDescent="0.35">
      <c r="A7" s="22"/>
      <c r="B7" s="39" t="s">
        <v>4</v>
      </c>
      <c r="C7" s="39" t="s">
        <v>7</v>
      </c>
      <c r="D7" s="47" t="s">
        <v>8</v>
      </c>
      <c r="E7" s="22"/>
    </row>
    <row r="8" spans="1:5" x14ac:dyDescent="0.35">
      <c r="A8" s="22"/>
      <c r="B8" s="39" t="s">
        <v>9</v>
      </c>
      <c r="C8" s="39" t="s">
        <v>10</v>
      </c>
      <c r="D8" s="25" t="s">
        <v>11</v>
      </c>
      <c r="E8" s="22"/>
    </row>
    <row r="9" spans="1:5" x14ac:dyDescent="0.35">
      <c r="A9" s="22"/>
      <c r="B9" s="39" t="s">
        <v>9</v>
      </c>
      <c r="C9" s="39" t="s">
        <v>12</v>
      </c>
      <c r="D9" s="40" t="s">
        <v>13</v>
      </c>
      <c r="E9" s="22"/>
    </row>
    <row r="10" spans="1:5" x14ac:dyDescent="0.35">
      <c r="B10" s="39" t="s">
        <v>14</v>
      </c>
      <c r="C10" s="39" t="s">
        <v>15</v>
      </c>
      <c r="D10" s="25" t="s">
        <v>16</v>
      </c>
    </row>
    <row r="11" spans="1:5" s="4" customFormat="1" x14ac:dyDescent="0.35">
      <c r="B11" s="39" t="s">
        <v>14</v>
      </c>
      <c r="C11" s="39" t="s">
        <v>17</v>
      </c>
      <c r="D11" s="25" t="s">
        <v>18</v>
      </c>
    </row>
    <row r="12" spans="1:5" s="4" customFormat="1" x14ac:dyDescent="0.35">
      <c r="B12" s="39" t="s">
        <v>14</v>
      </c>
      <c r="C12" s="39" t="s">
        <v>19</v>
      </c>
      <c r="D12" s="47" t="s">
        <v>20</v>
      </c>
    </row>
    <row r="13" spans="1:5" s="4" customFormat="1" x14ac:dyDescent="0.35">
      <c r="B13" s="39" t="s">
        <v>21</v>
      </c>
      <c r="C13" s="39" t="s">
        <v>22</v>
      </c>
      <c r="D13" s="25" t="s">
        <v>23</v>
      </c>
    </row>
    <row r="14" spans="1:5" s="4" customFormat="1" x14ac:dyDescent="0.35">
      <c r="B14" s="39" t="s">
        <v>21</v>
      </c>
      <c r="C14" s="39" t="s">
        <v>24</v>
      </c>
      <c r="D14" s="25" t="s">
        <v>25</v>
      </c>
    </row>
    <row r="15" spans="1:5" s="4" customFormat="1" x14ac:dyDescent="0.35">
      <c r="B15" s="39" t="s">
        <v>21</v>
      </c>
      <c r="C15" s="39" t="s">
        <v>26</v>
      </c>
      <c r="D15" s="47" t="s">
        <v>27</v>
      </c>
    </row>
    <row r="16" spans="1:5" s="4" customFormat="1" x14ac:dyDescent="0.35">
      <c r="B16" s="39" t="s">
        <v>28</v>
      </c>
      <c r="C16" s="39" t="s">
        <v>29</v>
      </c>
      <c r="D16" s="348" t="s">
        <v>30</v>
      </c>
    </row>
    <row r="17" spans="2:4" s="4" customFormat="1" x14ac:dyDescent="0.35">
      <c r="B17" s="39" t="s">
        <v>28</v>
      </c>
      <c r="C17" s="39" t="s">
        <v>31</v>
      </c>
      <c r="D17" s="40" t="s">
        <v>32</v>
      </c>
    </row>
    <row r="18" spans="2:4" s="4" customFormat="1" x14ac:dyDescent="0.35">
      <c r="B18" s="48" t="s">
        <v>33</v>
      </c>
      <c r="C18" s="39" t="s">
        <v>34</v>
      </c>
      <c r="D18" s="40" t="s">
        <v>35</v>
      </c>
    </row>
    <row r="19" spans="2:4" s="4" customFormat="1" x14ac:dyDescent="0.35">
      <c r="B19" s="39" t="s">
        <v>33</v>
      </c>
      <c r="C19" s="39" t="s">
        <v>36</v>
      </c>
      <c r="D19" s="40" t="s">
        <v>37</v>
      </c>
    </row>
    <row r="20" spans="2:4" s="4" customFormat="1" x14ac:dyDescent="0.35">
      <c r="B20" s="48" t="s">
        <v>33</v>
      </c>
      <c r="C20" s="39" t="s">
        <v>38</v>
      </c>
      <c r="D20" s="40" t="s">
        <v>39</v>
      </c>
    </row>
    <row r="21" spans="2:4" s="4" customFormat="1" x14ac:dyDescent="0.35">
      <c r="B21" s="39" t="s">
        <v>40</v>
      </c>
      <c r="C21" s="39" t="s">
        <v>41</v>
      </c>
      <c r="D21" s="40" t="s">
        <v>42</v>
      </c>
    </row>
    <row r="22" spans="2:4" s="4" customFormat="1" x14ac:dyDescent="0.35">
      <c r="B22" s="39" t="s">
        <v>43</v>
      </c>
      <c r="C22" s="39" t="s">
        <v>44</v>
      </c>
      <c r="D22" s="40" t="s">
        <v>45</v>
      </c>
    </row>
    <row r="23" spans="2:4" s="4" customFormat="1" x14ac:dyDescent="0.35">
      <c r="B23" s="39" t="s">
        <v>43</v>
      </c>
      <c r="C23" s="39" t="s">
        <v>46</v>
      </c>
      <c r="D23" s="40" t="s">
        <v>47</v>
      </c>
    </row>
    <row r="24" spans="2:4" s="4" customFormat="1" x14ac:dyDescent="0.35">
      <c r="B24" s="39" t="s">
        <v>48</v>
      </c>
      <c r="C24" s="39" t="s">
        <v>49</v>
      </c>
      <c r="D24" s="40" t="s">
        <v>50</v>
      </c>
    </row>
    <row r="25" spans="2:4" s="4" customFormat="1" x14ac:dyDescent="0.35">
      <c r="B25" s="39" t="s">
        <v>48</v>
      </c>
      <c r="C25" s="39" t="s">
        <v>51</v>
      </c>
      <c r="D25" s="40" t="s">
        <v>52</v>
      </c>
    </row>
    <row r="26" spans="2:4" s="4" customFormat="1" x14ac:dyDescent="0.35">
      <c r="B26" s="39" t="s">
        <v>53</v>
      </c>
      <c r="C26" s="39" t="s">
        <v>54</v>
      </c>
      <c r="D26" s="40" t="s">
        <v>55</v>
      </c>
    </row>
    <row r="27" spans="2:4" s="4" customFormat="1" x14ac:dyDescent="0.35">
      <c r="B27" s="39" t="s">
        <v>56</v>
      </c>
      <c r="C27" s="39" t="s">
        <v>57</v>
      </c>
      <c r="D27" s="40" t="s">
        <v>58</v>
      </c>
    </row>
    <row r="28" spans="2:4" s="4" customFormat="1" x14ac:dyDescent="0.35">
      <c r="B28" s="39" t="s">
        <v>59</v>
      </c>
      <c r="C28" s="39" t="s">
        <v>60</v>
      </c>
      <c r="D28" s="25" t="s">
        <v>61</v>
      </c>
    </row>
    <row r="29" spans="2:4" s="4" customFormat="1" x14ac:dyDescent="0.35">
      <c r="B29" s="39" t="s">
        <v>59</v>
      </c>
      <c r="C29" s="39" t="s">
        <v>62</v>
      </c>
      <c r="D29" s="47" t="s">
        <v>63</v>
      </c>
    </row>
    <row r="30" spans="2:4" s="4" customFormat="1" x14ac:dyDescent="0.35">
      <c r="B30" s="39" t="s">
        <v>64</v>
      </c>
      <c r="C30" s="39" t="s">
        <v>65</v>
      </c>
      <c r="D30" s="25" t="s">
        <v>66</v>
      </c>
    </row>
    <row r="31" spans="2:4" s="4" customFormat="1" x14ac:dyDescent="0.35">
      <c r="B31" s="39" t="s">
        <v>67</v>
      </c>
      <c r="C31" s="39" t="s">
        <v>68</v>
      </c>
      <c r="D31" s="40" t="s">
        <v>69</v>
      </c>
    </row>
    <row r="32" spans="2:4" s="4" customFormat="1" x14ac:dyDescent="0.35">
      <c r="B32" s="39" t="s">
        <v>70</v>
      </c>
      <c r="C32" s="39" t="s">
        <v>71</v>
      </c>
      <c r="D32" s="40" t="s">
        <v>72</v>
      </c>
    </row>
    <row r="33" spans="2:4" s="4" customFormat="1" x14ac:dyDescent="0.35">
      <c r="B33" s="39" t="s">
        <v>73</v>
      </c>
      <c r="C33" s="39" t="s">
        <v>74</v>
      </c>
      <c r="D33" s="40" t="s">
        <v>75</v>
      </c>
    </row>
    <row r="34" spans="2:4" s="4" customFormat="1" x14ac:dyDescent="0.35">
      <c r="B34" s="39" t="s">
        <v>73</v>
      </c>
      <c r="C34" s="39" t="s">
        <v>76</v>
      </c>
      <c r="D34" s="40" t="s">
        <v>77</v>
      </c>
    </row>
    <row r="35" spans="2:4" s="4" customFormat="1" x14ac:dyDescent="0.35">
      <c r="B35" s="39" t="s">
        <v>78</v>
      </c>
      <c r="C35" s="39" t="s">
        <v>79</v>
      </c>
      <c r="D35" s="40" t="s">
        <v>80</v>
      </c>
    </row>
    <row r="36" spans="2:4" s="4" customFormat="1" x14ac:dyDescent="0.35">
      <c r="B36" s="39" t="s">
        <v>81</v>
      </c>
      <c r="C36" s="39" t="s">
        <v>82</v>
      </c>
      <c r="D36" s="40" t="s">
        <v>83</v>
      </c>
    </row>
    <row r="37" spans="2:4" s="4" customFormat="1" x14ac:dyDescent="0.35">
      <c r="B37" s="39"/>
      <c r="C37"/>
      <c r="D37" s="25"/>
    </row>
    <row r="38" spans="2:4" s="4" customFormat="1" x14ac:dyDescent="0.35">
      <c r="B38" s="39"/>
      <c r="C38"/>
      <c r="D38" s="40"/>
    </row>
    <row r="39" spans="2:4" s="4" customFormat="1" x14ac:dyDescent="0.35">
      <c r="B39" s="39"/>
      <c r="C39"/>
      <c r="D39" s="40"/>
    </row>
    <row r="40" spans="2:4" s="4" customFormat="1" x14ac:dyDescent="0.35">
      <c r="B40" s="39"/>
      <c r="C40"/>
      <c r="D40" s="25"/>
    </row>
    <row r="41" spans="2:4" s="4" customFormat="1" x14ac:dyDescent="0.35">
      <c r="B41" s="39"/>
      <c r="C41"/>
      <c r="D41" s="25"/>
    </row>
    <row r="42" spans="2:4" s="4" customFormat="1" x14ac:dyDescent="0.35">
      <c r="B42" s="39"/>
      <c r="C42"/>
      <c r="D42" s="40"/>
    </row>
    <row r="43" spans="2:4" s="4" customFormat="1" x14ac:dyDescent="0.35">
      <c r="B43" s="39"/>
      <c r="C43"/>
      <c r="D43" s="25"/>
    </row>
    <row r="44" spans="2:4" s="4" customFormat="1" x14ac:dyDescent="0.35">
      <c r="B44" s="39"/>
      <c r="C44"/>
      <c r="D44" s="40"/>
    </row>
    <row r="45" spans="2:4" s="4" customFormat="1" x14ac:dyDescent="0.35">
      <c r="B45" s="39"/>
      <c r="C45"/>
      <c r="D45" s="40"/>
    </row>
    <row r="46" spans="2:4" s="4" customFormat="1" x14ac:dyDescent="0.35">
      <c r="B46" s="39"/>
      <c r="C46"/>
      <c r="D46" s="25"/>
    </row>
    <row r="47" spans="2:4" s="4" customFormat="1" x14ac:dyDescent="0.35">
      <c r="B47" s="39"/>
      <c r="C47"/>
      <c r="D47" s="25"/>
    </row>
    <row r="48" spans="2:4" s="4" customFormat="1" x14ac:dyDescent="0.35">
      <c r="B48" s="39"/>
      <c r="C48"/>
      <c r="D48" s="25"/>
    </row>
    <row r="49" spans="2:4" s="4" customFormat="1" x14ac:dyDescent="0.35">
      <c r="B49" s="39"/>
      <c r="C49"/>
      <c r="D49" s="25"/>
    </row>
    <row r="50" spans="2:4" s="4" customFormat="1" x14ac:dyDescent="0.35">
      <c r="B50" s="39"/>
      <c r="C50"/>
      <c r="D50" s="40"/>
    </row>
    <row r="51" spans="2:4" s="4" customFormat="1" x14ac:dyDescent="0.35">
      <c r="B51" s="39"/>
      <c r="C51"/>
      <c r="D51" s="40"/>
    </row>
    <row r="52" spans="2:4" s="4" customFormat="1" x14ac:dyDescent="0.35">
      <c r="B52" s="39"/>
      <c r="C52"/>
      <c r="D52" s="40"/>
    </row>
    <row r="53" spans="2:4" s="4" customFormat="1" x14ac:dyDescent="0.35">
      <c r="B53" s="39"/>
      <c r="C53"/>
      <c r="D53" s="25"/>
    </row>
    <row r="54" spans="2:4" s="4" customFormat="1" x14ac:dyDescent="0.35">
      <c r="B54" s="39"/>
      <c r="C54"/>
      <c r="D54" s="40"/>
    </row>
    <row r="55" spans="2:4" s="4" customFormat="1" x14ac:dyDescent="0.35">
      <c r="B55" s="39"/>
      <c r="C55"/>
      <c r="D55" s="40"/>
    </row>
    <row r="56" spans="2:4" s="4" customFormat="1" x14ac:dyDescent="0.35">
      <c r="B56" s="39"/>
      <c r="C56"/>
      <c r="D56" s="40"/>
    </row>
    <row r="57" spans="2:4" s="4" customFormat="1" x14ac:dyDescent="0.35">
      <c r="B57" s="39"/>
      <c r="C57"/>
      <c r="D57" s="40"/>
    </row>
    <row r="58" spans="2:4" s="4" customFormat="1" x14ac:dyDescent="0.35">
      <c r="B58" s="39"/>
      <c r="C58"/>
      <c r="D58" s="40"/>
    </row>
    <row r="59" spans="2:4" s="4" customFormat="1" x14ac:dyDescent="0.35">
      <c r="B59" s="39"/>
      <c r="C59"/>
      <c r="D59" s="40"/>
    </row>
    <row r="60" spans="2:4" s="4" customFormat="1" x14ac:dyDescent="0.35">
      <c r="B60" s="39"/>
      <c r="C60"/>
      <c r="D60" s="40"/>
    </row>
    <row r="61" spans="2:4" s="4" customFormat="1" x14ac:dyDescent="0.35">
      <c r="B61" s="39"/>
      <c r="C61"/>
      <c r="D61" s="40"/>
    </row>
    <row r="62" spans="2:4" s="4" customFormat="1" x14ac:dyDescent="0.35">
      <c r="B62" s="39"/>
      <c r="C62"/>
      <c r="D62" s="40"/>
    </row>
    <row r="63" spans="2:4" s="4" customFormat="1" x14ac:dyDescent="0.35">
      <c r="B63" s="39"/>
      <c r="C63"/>
      <c r="D63" s="40"/>
    </row>
    <row r="64" spans="2:4" s="4" customFormat="1" x14ac:dyDescent="0.35">
      <c r="B64" s="39"/>
      <c r="C64"/>
      <c r="D64" s="40"/>
    </row>
    <row r="65" spans="2:4" s="4" customFormat="1" x14ac:dyDescent="0.35">
      <c r="B65" s="39"/>
      <c r="C65"/>
      <c r="D65" s="40"/>
    </row>
    <row r="66" spans="2:4" s="4" customFormat="1" x14ac:dyDescent="0.35">
      <c r="B66" s="39"/>
      <c r="C66"/>
      <c r="D66" s="40"/>
    </row>
    <row r="67" spans="2:4" s="4" customFormat="1" x14ac:dyDescent="0.35">
      <c r="B67" s="39"/>
      <c r="C67"/>
      <c r="D67" s="40"/>
    </row>
    <row r="68" spans="2:4" s="4" customFormat="1" x14ac:dyDescent="0.35">
      <c r="B68" s="39"/>
      <c r="C68"/>
      <c r="D68" s="40"/>
    </row>
    <row r="69" spans="2:4" s="4" customFormat="1" x14ac:dyDescent="0.35">
      <c r="B69" s="39"/>
      <c r="C69"/>
      <c r="D69" s="40"/>
    </row>
    <row r="70" spans="2:4" s="4" customFormat="1" x14ac:dyDescent="0.35">
      <c r="B70" s="44"/>
      <c r="C70"/>
      <c r="D70" s="45"/>
    </row>
    <row r="71" spans="2:4" s="4" customFormat="1" x14ac:dyDescent="0.35">
      <c r="B71" s="48"/>
      <c r="C71"/>
      <c r="D71" s="47"/>
    </row>
    <row r="72" spans="2:4" s="4" customFormat="1" x14ac:dyDescent="0.35">
      <c r="B72" s="48"/>
      <c r="C72"/>
      <c r="D72" s="47"/>
    </row>
    <row r="73" spans="2:4" s="4" customFormat="1" x14ac:dyDescent="0.35">
      <c r="B73" s="48"/>
      <c r="C73"/>
      <c r="D73" s="47"/>
    </row>
    <row r="74" spans="2:4" s="4" customFormat="1" x14ac:dyDescent="0.35">
      <c r="B74" s="48"/>
      <c r="C74"/>
      <c r="D74" s="47"/>
    </row>
    <row r="75" spans="2:4" s="4" customFormat="1" x14ac:dyDescent="0.35">
      <c r="B75" s="48"/>
      <c r="C75"/>
      <c r="D75" s="47"/>
    </row>
    <row r="76" spans="2:4" s="4" customFormat="1" x14ac:dyDescent="0.35">
      <c r="B76" s="48"/>
      <c r="C76"/>
      <c r="D76" s="47"/>
    </row>
    <row r="77" spans="2:4" s="4" customFormat="1" x14ac:dyDescent="0.35">
      <c r="B77" s="48"/>
      <c r="C77"/>
      <c r="D77" s="47"/>
    </row>
    <row r="78" spans="2:4" s="4" customFormat="1" x14ac:dyDescent="0.35">
      <c r="B78" s="48"/>
      <c r="C78"/>
      <c r="D78" s="47"/>
    </row>
    <row r="79" spans="2:4" s="4" customFormat="1" x14ac:dyDescent="0.35">
      <c r="B79" s="48"/>
      <c r="C79"/>
      <c r="D79" s="47"/>
    </row>
    <row r="80" spans="2:4" s="4" customFormat="1" x14ac:dyDescent="0.35">
      <c r="B80" s="48"/>
      <c r="C80"/>
      <c r="D80" s="47"/>
    </row>
    <row r="81" spans="2:4" s="4" customFormat="1" x14ac:dyDescent="0.35">
      <c r="B81" s="48"/>
      <c r="C81"/>
      <c r="D81" s="47"/>
    </row>
    <row r="82" spans="2:4" s="4" customFormat="1" x14ac:dyDescent="0.35">
      <c r="B82" s="48"/>
      <c r="C82"/>
      <c r="D82" s="47"/>
    </row>
    <row r="83" spans="2:4" s="4" customFormat="1" x14ac:dyDescent="0.35">
      <c r="B83" s="48"/>
      <c r="C83"/>
      <c r="D83" s="47"/>
    </row>
    <row r="84" spans="2:4" s="4" customFormat="1" x14ac:dyDescent="0.35">
      <c r="B84" s="48"/>
      <c r="C84"/>
      <c r="D84" s="47"/>
    </row>
    <row r="85" spans="2:4" s="4" customFormat="1" x14ac:dyDescent="0.35">
      <c r="B85" s="48"/>
      <c r="C85"/>
      <c r="D85" s="47"/>
    </row>
    <row r="86" spans="2:4" s="4" customFormat="1" x14ac:dyDescent="0.35">
      <c r="B86" s="48"/>
      <c r="C86"/>
      <c r="D86" s="47"/>
    </row>
    <row r="87" spans="2:4" s="4" customFormat="1" x14ac:dyDescent="0.35">
      <c r="B87" s="48"/>
      <c r="C87"/>
      <c r="D87" s="47"/>
    </row>
    <row r="88" spans="2:4" s="4" customFormat="1" x14ac:dyDescent="0.35">
      <c r="B88" s="48"/>
      <c r="C88"/>
      <c r="D88" s="47"/>
    </row>
    <row r="89" spans="2:4" s="4" customFormat="1" x14ac:dyDescent="0.35">
      <c r="B89" s="48"/>
      <c r="C89"/>
      <c r="D89" s="47"/>
    </row>
    <row r="90" spans="2:4" s="4" customFormat="1" x14ac:dyDescent="0.35">
      <c r="B90" s="48"/>
      <c r="C90"/>
      <c r="D90" s="47"/>
    </row>
    <row r="91" spans="2:4" s="4" customFormat="1" x14ac:dyDescent="0.35">
      <c r="B91" s="48"/>
      <c r="C91"/>
      <c r="D91" s="47"/>
    </row>
    <row r="92" spans="2:4" s="4" customFormat="1" x14ac:dyDescent="0.35">
      <c r="B92" s="48"/>
      <c r="C92"/>
      <c r="D92" s="47"/>
    </row>
    <row r="93" spans="2:4" s="4" customFormat="1" x14ac:dyDescent="0.35">
      <c r="B93" s="48"/>
      <c r="C93"/>
      <c r="D93" s="47"/>
    </row>
    <row r="94" spans="2:4" s="4" customFormat="1" x14ac:dyDescent="0.35">
      <c r="B94" s="48"/>
      <c r="C94"/>
      <c r="D94" s="47"/>
    </row>
    <row r="95" spans="2:4" s="4" customFormat="1" x14ac:dyDescent="0.35">
      <c r="B95" s="48"/>
      <c r="C95"/>
      <c r="D95" s="47"/>
    </row>
    <row r="96" spans="2:4" s="4" customFormat="1" x14ac:dyDescent="0.35">
      <c r="B96" s="48"/>
      <c r="C96"/>
      <c r="D96" s="47"/>
    </row>
    <row r="97" spans="2:4" s="4" customFormat="1" x14ac:dyDescent="0.35">
      <c r="B97" s="48"/>
      <c r="C97"/>
      <c r="D97" s="47"/>
    </row>
    <row r="98" spans="2:4" s="4" customFormat="1" x14ac:dyDescent="0.35">
      <c r="B98" s="48"/>
      <c r="C98"/>
      <c r="D98" s="47"/>
    </row>
    <row r="99" spans="2:4" s="4" customFormat="1" x14ac:dyDescent="0.35">
      <c r="B99" s="48"/>
      <c r="C99"/>
      <c r="D99" s="47"/>
    </row>
    <row r="100" spans="2:4" s="4" customFormat="1" x14ac:dyDescent="0.35">
      <c r="B100" s="48"/>
      <c r="C100"/>
      <c r="D100" s="47"/>
    </row>
    <row r="101" spans="2:4" s="4" customFormat="1" x14ac:dyDescent="0.35">
      <c r="B101" s="48"/>
      <c r="C101"/>
      <c r="D101" s="47"/>
    </row>
    <row r="102" spans="2:4" s="4" customFormat="1" x14ac:dyDescent="0.35">
      <c r="B102" s="48"/>
      <c r="C102"/>
      <c r="D102" s="47"/>
    </row>
    <row r="103" spans="2:4" s="4" customFormat="1" x14ac:dyDescent="0.35">
      <c r="B103" s="48"/>
      <c r="C103"/>
      <c r="D103" s="47"/>
    </row>
    <row r="104" spans="2:4" s="4" customFormat="1" x14ac:dyDescent="0.35">
      <c r="B104" s="48"/>
      <c r="C104"/>
      <c r="D104" s="47"/>
    </row>
    <row r="105" spans="2:4" s="4" customFormat="1" x14ac:dyDescent="0.35">
      <c r="B105" s="48"/>
      <c r="C105"/>
      <c r="D105" s="47"/>
    </row>
    <row r="106" spans="2:4" s="4" customFormat="1" x14ac:dyDescent="0.35">
      <c r="B106" s="48"/>
      <c r="C106"/>
      <c r="D106" s="47"/>
    </row>
    <row r="107" spans="2:4" s="4" customFormat="1" x14ac:dyDescent="0.35">
      <c r="B107" s="48"/>
      <c r="C107"/>
      <c r="D107" s="47"/>
    </row>
    <row r="108" spans="2:4" s="4" customFormat="1" x14ac:dyDescent="0.35">
      <c r="B108" s="48"/>
      <c r="C108"/>
      <c r="D108" s="47"/>
    </row>
    <row r="109" spans="2:4" s="4" customFormat="1" x14ac:dyDescent="0.35">
      <c r="B109" s="48"/>
      <c r="C109"/>
      <c r="D109" s="47"/>
    </row>
    <row r="110" spans="2:4" s="4" customFormat="1" x14ac:dyDescent="0.35">
      <c r="B110" s="48"/>
      <c r="C110"/>
      <c r="D110" s="47"/>
    </row>
    <row r="111" spans="2:4" s="4" customFormat="1" x14ac:dyDescent="0.35">
      <c r="B111" s="48"/>
      <c r="C111"/>
      <c r="D111" s="47"/>
    </row>
    <row r="112" spans="2:4" s="4" customFormat="1" x14ac:dyDescent="0.35">
      <c r="B112" s="48"/>
      <c r="C112"/>
      <c r="D112" s="47"/>
    </row>
    <row r="113" spans="2:4" s="4" customFormat="1" x14ac:dyDescent="0.35">
      <c r="B113" s="48"/>
      <c r="C113"/>
      <c r="D113" s="47"/>
    </row>
    <row r="114" spans="2:4" s="4" customFormat="1" x14ac:dyDescent="0.35">
      <c r="B114" s="48"/>
      <c r="C114"/>
      <c r="D114" s="47"/>
    </row>
    <row r="115" spans="2:4" s="4" customFormat="1" x14ac:dyDescent="0.35">
      <c r="B115" s="48"/>
      <c r="C115"/>
      <c r="D115" s="47"/>
    </row>
    <row r="116" spans="2:4" s="4" customFormat="1" x14ac:dyDescent="0.35">
      <c r="B116" s="48"/>
      <c r="C116"/>
      <c r="D116" s="47"/>
    </row>
    <row r="117" spans="2:4" s="4" customFormat="1" x14ac:dyDescent="0.35">
      <c r="B117" s="48"/>
      <c r="C117"/>
      <c r="D117" s="47"/>
    </row>
    <row r="118" spans="2:4" s="4" customFormat="1" x14ac:dyDescent="0.35">
      <c r="B118" s="48"/>
      <c r="C118"/>
      <c r="D118" s="47"/>
    </row>
    <row r="119" spans="2:4" s="4" customFormat="1" x14ac:dyDescent="0.35">
      <c r="B119" s="48"/>
      <c r="C119"/>
      <c r="D119" s="47"/>
    </row>
    <row r="120" spans="2:4" s="4" customFormat="1" x14ac:dyDescent="0.35">
      <c r="B120" s="48"/>
      <c r="C120"/>
      <c r="D120" s="47"/>
    </row>
    <row r="121" spans="2:4" s="4" customFormat="1" x14ac:dyDescent="0.35">
      <c r="B121" s="48"/>
      <c r="C121"/>
      <c r="D121" s="47"/>
    </row>
    <row r="122" spans="2:4" s="4" customFormat="1" x14ac:dyDescent="0.35">
      <c r="B122" s="48"/>
      <c r="C122"/>
      <c r="D122" s="47"/>
    </row>
    <row r="123" spans="2:4" s="4" customFormat="1" x14ac:dyDescent="0.35">
      <c r="B123" s="48"/>
      <c r="C123"/>
      <c r="D123" s="47"/>
    </row>
    <row r="124" spans="2:4" s="4" customFormat="1" x14ac:dyDescent="0.35">
      <c r="B124" s="48"/>
      <c r="C124"/>
      <c r="D124" s="47"/>
    </row>
    <row r="125" spans="2:4" s="4" customFormat="1" x14ac:dyDescent="0.35">
      <c r="B125" s="48"/>
      <c r="C125"/>
      <c r="D125" s="47"/>
    </row>
    <row r="126" spans="2:4" s="4" customFormat="1" x14ac:dyDescent="0.35">
      <c r="B126" s="48"/>
      <c r="C126"/>
      <c r="D126" s="47"/>
    </row>
    <row r="127" spans="2:4" s="4" customFormat="1" x14ac:dyDescent="0.35">
      <c r="B127" s="48"/>
      <c r="C127"/>
      <c r="D127" s="47"/>
    </row>
    <row r="128" spans="2:4" s="4" customFormat="1" x14ac:dyDescent="0.35">
      <c r="B128" s="48"/>
      <c r="C128"/>
      <c r="D128" s="47"/>
    </row>
    <row r="129" spans="2:4" s="4" customFormat="1" x14ac:dyDescent="0.35">
      <c r="B129" s="48"/>
      <c r="C129"/>
      <c r="D129" s="47"/>
    </row>
    <row r="130" spans="2:4" s="4" customFormat="1" x14ac:dyDescent="0.35">
      <c r="B130" s="48"/>
      <c r="C130"/>
      <c r="D130" s="47"/>
    </row>
    <row r="131" spans="2:4" s="4" customFormat="1" x14ac:dyDescent="0.35">
      <c r="B131" s="48"/>
      <c r="C131"/>
      <c r="D131" s="47"/>
    </row>
    <row r="132" spans="2:4" s="4" customFormat="1" x14ac:dyDescent="0.35">
      <c r="B132" s="48"/>
      <c r="C132"/>
      <c r="D132" s="47"/>
    </row>
    <row r="133" spans="2:4" s="4" customFormat="1" x14ac:dyDescent="0.35">
      <c r="B133" s="48"/>
      <c r="C133"/>
      <c r="D133" s="47"/>
    </row>
    <row r="134" spans="2:4" s="4" customFormat="1" x14ac:dyDescent="0.35">
      <c r="B134" s="48"/>
      <c r="C134"/>
      <c r="D134" s="47"/>
    </row>
    <row r="135" spans="2:4" s="4" customFormat="1" x14ac:dyDescent="0.35">
      <c r="B135" s="48"/>
      <c r="C135"/>
      <c r="D135" s="47"/>
    </row>
    <row r="136" spans="2:4" s="4" customFormat="1" x14ac:dyDescent="0.35">
      <c r="B136" s="48"/>
      <c r="C136"/>
      <c r="D136" s="47"/>
    </row>
    <row r="137" spans="2:4" s="4" customFormat="1" x14ac:dyDescent="0.35">
      <c r="B137" s="48"/>
      <c r="C137"/>
      <c r="D137" s="47"/>
    </row>
    <row r="138" spans="2:4" s="4" customFormat="1" x14ac:dyDescent="0.35">
      <c r="B138" s="48"/>
      <c r="C138"/>
      <c r="D138" s="47"/>
    </row>
    <row r="139" spans="2:4" s="4" customFormat="1" x14ac:dyDescent="0.35">
      <c r="B139" s="48"/>
      <c r="C139"/>
      <c r="D139" s="47"/>
    </row>
    <row r="140" spans="2:4" s="4" customFormat="1" x14ac:dyDescent="0.35">
      <c r="B140" s="48"/>
      <c r="C140"/>
      <c r="D140" s="47"/>
    </row>
    <row r="141" spans="2:4" s="4" customFormat="1" x14ac:dyDescent="0.35">
      <c r="B141" s="48"/>
      <c r="C141"/>
      <c r="D141" s="47"/>
    </row>
    <row r="142" spans="2:4" s="4" customFormat="1" x14ac:dyDescent="0.35">
      <c r="B142" s="48"/>
      <c r="C142"/>
      <c r="D142" s="47"/>
    </row>
    <row r="143" spans="2:4" s="4" customFormat="1" x14ac:dyDescent="0.35">
      <c r="B143" s="48"/>
      <c r="C143"/>
      <c r="D143" s="47"/>
    </row>
    <row r="144" spans="2:4" s="4" customFormat="1" x14ac:dyDescent="0.35">
      <c r="B144" s="48"/>
      <c r="C144"/>
      <c r="D144" s="47"/>
    </row>
    <row r="145" spans="2:4" s="4" customFormat="1" x14ac:dyDescent="0.35">
      <c r="B145" s="48"/>
      <c r="C145"/>
      <c r="D145" s="47"/>
    </row>
    <row r="146" spans="2:4" s="4" customFormat="1" x14ac:dyDescent="0.35">
      <c r="B146" s="48"/>
      <c r="C146"/>
      <c r="D146" s="47"/>
    </row>
    <row r="147" spans="2:4" s="4" customFormat="1" x14ac:dyDescent="0.35">
      <c r="B147" s="48"/>
      <c r="C147"/>
      <c r="D147" s="47"/>
    </row>
    <row r="148" spans="2:4" s="4" customFormat="1" x14ac:dyDescent="0.35">
      <c r="B148" s="48"/>
      <c r="C148"/>
      <c r="D148" s="47"/>
    </row>
    <row r="149" spans="2:4" s="4" customFormat="1" x14ac:dyDescent="0.35">
      <c r="B149" s="48"/>
      <c r="C149"/>
      <c r="D149" s="47"/>
    </row>
    <row r="150" spans="2:4" s="4" customFormat="1" x14ac:dyDescent="0.35">
      <c r="B150" s="48"/>
      <c r="C150"/>
      <c r="D150" s="47"/>
    </row>
    <row r="151" spans="2:4" s="4" customFormat="1" x14ac:dyDescent="0.35">
      <c r="B151" s="48"/>
      <c r="C151"/>
      <c r="D151" s="47"/>
    </row>
    <row r="152" spans="2:4" s="4" customFormat="1" x14ac:dyDescent="0.35">
      <c r="B152" s="48"/>
      <c r="C152"/>
      <c r="D152" s="47"/>
    </row>
    <row r="153" spans="2:4" s="4" customFormat="1" x14ac:dyDescent="0.35">
      <c r="B153" s="48"/>
      <c r="C153"/>
      <c r="D153" s="47"/>
    </row>
    <row r="154" spans="2:4" s="4" customFormat="1" x14ac:dyDescent="0.35">
      <c r="B154" s="48"/>
      <c r="C154"/>
      <c r="D154" s="47"/>
    </row>
    <row r="155" spans="2:4" s="4" customFormat="1" x14ac:dyDescent="0.35">
      <c r="B155" s="48"/>
      <c r="C155"/>
      <c r="D155" s="47"/>
    </row>
    <row r="156" spans="2:4" s="4" customFormat="1" x14ac:dyDescent="0.35">
      <c r="B156" s="48"/>
      <c r="C156"/>
      <c r="D156" s="47"/>
    </row>
    <row r="157" spans="2:4" s="4" customFormat="1" x14ac:dyDescent="0.35">
      <c r="B157" s="48"/>
      <c r="C157"/>
      <c r="D157" s="47"/>
    </row>
    <row r="158" spans="2:4" s="4" customFormat="1" x14ac:dyDescent="0.35">
      <c r="B158" s="48"/>
      <c r="C158"/>
      <c r="D158" s="47"/>
    </row>
    <row r="159" spans="2:4" s="4" customFormat="1" x14ac:dyDescent="0.35">
      <c r="B159" s="48"/>
      <c r="C159"/>
      <c r="D159" s="47"/>
    </row>
    <row r="160" spans="2:4" s="4" customFormat="1" x14ac:dyDescent="0.35">
      <c r="B160" s="48"/>
      <c r="C160"/>
      <c r="D160" s="47"/>
    </row>
    <row r="161" spans="2:4" s="4" customFormat="1" x14ac:dyDescent="0.35">
      <c r="B161" s="48"/>
      <c r="C161"/>
      <c r="D161" s="47"/>
    </row>
    <row r="162" spans="2:4" s="4" customFormat="1" x14ac:dyDescent="0.35">
      <c r="B162" s="48"/>
      <c r="C162"/>
      <c r="D162" s="47"/>
    </row>
    <row r="163" spans="2:4" s="4" customFormat="1" x14ac:dyDescent="0.35">
      <c r="B163" s="48"/>
      <c r="C163"/>
      <c r="D163" s="47"/>
    </row>
    <row r="164" spans="2:4" s="4" customFormat="1" x14ac:dyDescent="0.35">
      <c r="B164" s="48"/>
      <c r="C164"/>
      <c r="D164" s="47"/>
    </row>
    <row r="165" spans="2:4" s="4" customFormat="1" x14ac:dyDescent="0.35">
      <c r="B165" s="48"/>
      <c r="C165"/>
      <c r="D165" s="47"/>
    </row>
    <row r="166" spans="2:4" s="4" customFormat="1" x14ac:dyDescent="0.35">
      <c r="B166" s="48"/>
      <c r="C166"/>
      <c r="D166" s="47"/>
    </row>
    <row r="167" spans="2:4" s="4" customFormat="1" x14ac:dyDescent="0.35">
      <c r="B167" s="48"/>
      <c r="C167"/>
      <c r="D167" s="47"/>
    </row>
    <row r="168" spans="2:4" s="4" customFormat="1" x14ac:dyDescent="0.35">
      <c r="B168" s="48"/>
      <c r="C168"/>
      <c r="D168" s="47"/>
    </row>
    <row r="169" spans="2:4" s="4" customFormat="1" x14ac:dyDescent="0.35">
      <c r="B169" s="48"/>
      <c r="C169"/>
      <c r="D169" s="47"/>
    </row>
    <row r="170" spans="2:4" s="4" customFormat="1" x14ac:dyDescent="0.35">
      <c r="B170" s="48"/>
      <c r="C170"/>
      <c r="D170" s="47"/>
    </row>
    <row r="171" spans="2:4" s="4" customFormat="1" x14ac:dyDescent="0.35">
      <c r="B171" s="48"/>
      <c r="C171"/>
      <c r="D171" s="47"/>
    </row>
    <row r="172" spans="2:4" s="4" customFormat="1" x14ac:dyDescent="0.35">
      <c r="B172" s="48"/>
      <c r="C172"/>
      <c r="D172" s="47"/>
    </row>
    <row r="173" spans="2:4" s="4" customFormat="1" x14ac:dyDescent="0.35">
      <c r="B173" s="48"/>
      <c r="C173"/>
      <c r="D173" s="47"/>
    </row>
    <row r="174" spans="2:4" s="4" customFormat="1" x14ac:dyDescent="0.35">
      <c r="B174" s="48"/>
      <c r="C174"/>
      <c r="D174" s="47"/>
    </row>
    <row r="175" spans="2:4" s="4" customFormat="1" x14ac:dyDescent="0.35">
      <c r="B175" s="48"/>
      <c r="C175"/>
      <c r="D175" s="47"/>
    </row>
    <row r="176" spans="2:4" s="4" customFormat="1" x14ac:dyDescent="0.35">
      <c r="B176" s="48"/>
      <c r="C176"/>
      <c r="D176" s="47"/>
    </row>
    <row r="177" spans="2:4" s="4" customFormat="1" x14ac:dyDescent="0.35">
      <c r="B177" s="48"/>
      <c r="C177"/>
      <c r="D177" s="47"/>
    </row>
    <row r="178" spans="2:4" s="4" customFormat="1" x14ac:dyDescent="0.35">
      <c r="B178" s="48"/>
      <c r="C178"/>
      <c r="D178" s="47"/>
    </row>
    <row r="179" spans="2:4" s="4" customFormat="1" x14ac:dyDescent="0.35">
      <c r="B179" s="48"/>
      <c r="C179"/>
      <c r="D179" s="47"/>
    </row>
    <row r="180" spans="2:4" s="4" customFormat="1" x14ac:dyDescent="0.35">
      <c r="B180" s="48"/>
      <c r="C180"/>
      <c r="D180" s="47"/>
    </row>
    <row r="181" spans="2:4" s="4" customFormat="1" x14ac:dyDescent="0.35">
      <c r="B181" s="48"/>
      <c r="C181"/>
      <c r="D181" s="47"/>
    </row>
    <row r="182" spans="2:4" s="4" customFormat="1" x14ac:dyDescent="0.35">
      <c r="B182" s="48"/>
      <c r="C182"/>
      <c r="D182" s="47"/>
    </row>
    <row r="183" spans="2:4" s="4" customFormat="1" x14ac:dyDescent="0.35">
      <c r="B183" s="48"/>
      <c r="C183"/>
      <c r="D183" s="47"/>
    </row>
    <row r="184" spans="2:4" s="4" customFormat="1" x14ac:dyDescent="0.35">
      <c r="B184" s="48"/>
      <c r="C184"/>
      <c r="D184" s="47"/>
    </row>
    <row r="185" spans="2:4" s="4" customFormat="1" x14ac:dyDescent="0.35">
      <c r="B185" s="48"/>
      <c r="C185"/>
      <c r="D185" s="47"/>
    </row>
    <row r="186" spans="2:4" s="4" customFormat="1" x14ac:dyDescent="0.35">
      <c r="B186" s="48"/>
      <c r="C186"/>
      <c r="D186" s="47"/>
    </row>
    <row r="187" spans="2:4" s="4" customFormat="1" x14ac:dyDescent="0.35">
      <c r="B187" s="48"/>
      <c r="C187"/>
      <c r="D187" s="47"/>
    </row>
    <row r="188" spans="2:4" s="4" customFormat="1" x14ac:dyDescent="0.35">
      <c r="B188" s="48"/>
      <c r="C188"/>
      <c r="D188" s="47"/>
    </row>
    <row r="189" spans="2:4" s="4" customFormat="1" x14ac:dyDescent="0.35">
      <c r="B189" s="48"/>
      <c r="C189"/>
      <c r="D189" s="47"/>
    </row>
    <row r="190" spans="2:4" s="4" customFormat="1" x14ac:dyDescent="0.35">
      <c r="B190" s="48"/>
      <c r="C190"/>
      <c r="D190" s="47"/>
    </row>
    <row r="191" spans="2:4" s="4" customFormat="1" x14ac:dyDescent="0.35">
      <c r="B191" s="48"/>
      <c r="C191"/>
      <c r="D191" s="47"/>
    </row>
    <row r="192" spans="2:4" s="4" customFormat="1" x14ac:dyDescent="0.35">
      <c r="B192" s="48"/>
      <c r="C192"/>
      <c r="D192" s="47"/>
    </row>
    <row r="193" spans="2:4" s="4" customFormat="1" x14ac:dyDescent="0.35">
      <c r="B193" s="48"/>
      <c r="C193"/>
      <c r="D193" s="47"/>
    </row>
    <row r="194" spans="2:4" s="4" customFormat="1" x14ac:dyDescent="0.35">
      <c r="B194" s="48"/>
      <c r="C194"/>
      <c r="D194" s="47"/>
    </row>
    <row r="195" spans="2:4" s="4" customFormat="1" x14ac:dyDescent="0.35">
      <c r="B195" s="48"/>
      <c r="C195"/>
      <c r="D195" s="47"/>
    </row>
    <row r="196" spans="2:4" s="4" customFormat="1" x14ac:dyDescent="0.35">
      <c r="B196" s="48"/>
      <c r="C196"/>
      <c r="D196" s="47"/>
    </row>
    <row r="197" spans="2:4" s="4" customFormat="1" x14ac:dyDescent="0.35">
      <c r="B197" s="48"/>
      <c r="C197"/>
      <c r="D197" s="47"/>
    </row>
    <row r="198" spans="2:4" s="4" customFormat="1" x14ac:dyDescent="0.35">
      <c r="B198" s="48"/>
      <c r="C198"/>
      <c r="D198" s="47"/>
    </row>
    <row r="199" spans="2:4" s="4" customFormat="1" x14ac:dyDescent="0.35">
      <c r="B199" s="48"/>
      <c r="C199"/>
      <c r="D199" s="47"/>
    </row>
    <row r="200" spans="2:4" s="4" customFormat="1" x14ac:dyDescent="0.35">
      <c r="B200" s="48"/>
      <c r="C200"/>
      <c r="D200" s="47"/>
    </row>
    <row r="201" spans="2:4" s="4" customFormat="1" x14ac:dyDescent="0.35">
      <c r="B201" s="48"/>
      <c r="C201"/>
      <c r="D201" s="47"/>
    </row>
    <row r="202" spans="2:4" s="4" customFormat="1" x14ac:dyDescent="0.35">
      <c r="B202" s="48"/>
      <c r="C202"/>
      <c r="D202" s="47"/>
    </row>
    <row r="203" spans="2:4" s="4" customFormat="1" x14ac:dyDescent="0.35">
      <c r="B203" s="48"/>
      <c r="C203"/>
      <c r="D203" s="47"/>
    </row>
    <row r="204" spans="2:4" s="4" customFormat="1" x14ac:dyDescent="0.35">
      <c r="B204" s="48"/>
      <c r="C204"/>
      <c r="D204" s="47"/>
    </row>
    <row r="205" spans="2:4" s="4" customFormat="1" x14ac:dyDescent="0.35">
      <c r="B205" s="48"/>
      <c r="C205"/>
      <c r="D205" s="47"/>
    </row>
    <row r="206" spans="2:4" s="4" customFormat="1" x14ac:dyDescent="0.35">
      <c r="B206" s="48"/>
      <c r="C206"/>
      <c r="D206" s="47"/>
    </row>
    <row r="207" spans="2:4" s="4" customFormat="1" x14ac:dyDescent="0.35">
      <c r="B207" s="48"/>
      <c r="C207"/>
      <c r="D207" s="47"/>
    </row>
    <row r="208" spans="2:4" s="4" customFormat="1" x14ac:dyDescent="0.35">
      <c r="B208" s="48"/>
      <c r="C208"/>
      <c r="D208" s="47"/>
    </row>
    <row r="209" spans="2:4" s="4" customFormat="1" x14ac:dyDescent="0.35">
      <c r="B209" s="48"/>
      <c r="C209"/>
      <c r="D209" s="47"/>
    </row>
    <row r="210" spans="2:4" s="4" customFormat="1" x14ac:dyDescent="0.35">
      <c r="B210" s="48"/>
      <c r="C210"/>
      <c r="D210" s="47"/>
    </row>
    <row r="211" spans="2:4" s="4" customFormat="1" x14ac:dyDescent="0.35">
      <c r="B211" s="48"/>
      <c r="C211"/>
      <c r="D211" s="47"/>
    </row>
    <row r="212" spans="2:4" s="4" customFormat="1" x14ac:dyDescent="0.35">
      <c r="B212" s="48"/>
      <c r="C212"/>
      <c r="D212" s="47"/>
    </row>
    <row r="213" spans="2:4" s="4" customFormat="1" x14ac:dyDescent="0.35">
      <c r="B213" s="48"/>
      <c r="C213"/>
      <c r="D213" s="47"/>
    </row>
    <row r="214" spans="2:4" s="4" customFormat="1" x14ac:dyDescent="0.35">
      <c r="B214" s="48"/>
      <c r="C214"/>
      <c r="D214" s="47"/>
    </row>
    <row r="215" spans="2:4" s="4" customFormat="1" x14ac:dyDescent="0.35">
      <c r="B215" s="48"/>
      <c r="C215"/>
      <c r="D215" s="47"/>
    </row>
    <row r="216" spans="2:4" s="4" customFormat="1" x14ac:dyDescent="0.35">
      <c r="B216" s="48"/>
      <c r="C216"/>
      <c r="D216" s="47"/>
    </row>
    <row r="217" spans="2:4" s="4" customFormat="1" x14ac:dyDescent="0.35">
      <c r="B217" s="48"/>
      <c r="C217"/>
      <c r="D217" s="47"/>
    </row>
    <row r="218" spans="2:4" s="4" customFormat="1" x14ac:dyDescent="0.35">
      <c r="B218" s="48"/>
      <c r="C218"/>
      <c r="D218" s="47"/>
    </row>
    <row r="219" spans="2:4" s="4" customFormat="1" x14ac:dyDescent="0.35">
      <c r="B219" s="48"/>
      <c r="C219"/>
      <c r="D219" s="47"/>
    </row>
    <row r="220" spans="2:4" s="4" customFormat="1" x14ac:dyDescent="0.35">
      <c r="B220" s="48"/>
      <c r="C220"/>
      <c r="D220" s="47"/>
    </row>
    <row r="221" spans="2:4" s="4" customFormat="1" x14ac:dyDescent="0.35">
      <c r="B221" s="48"/>
      <c r="C221"/>
      <c r="D221" s="47"/>
    </row>
    <row r="222" spans="2:4" s="4" customFormat="1" x14ac:dyDescent="0.35">
      <c r="B222" s="48"/>
      <c r="C222"/>
      <c r="D222" s="47"/>
    </row>
    <row r="223" spans="2:4" s="4" customFormat="1" x14ac:dyDescent="0.35">
      <c r="B223" s="48"/>
      <c r="C223"/>
      <c r="D223" s="47"/>
    </row>
    <row r="224" spans="2:4" s="4" customFormat="1" x14ac:dyDescent="0.35">
      <c r="B224" s="48"/>
      <c r="C224"/>
      <c r="D224" s="47"/>
    </row>
    <row r="225" spans="2:4" s="4" customFormat="1" x14ac:dyDescent="0.35">
      <c r="B225" s="48"/>
      <c r="C225"/>
      <c r="D225" s="47"/>
    </row>
    <row r="226" spans="2:4" s="4" customFormat="1" x14ac:dyDescent="0.35">
      <c r="B226" s="48"/>
      <c r="C226"/>
      <c r="D226" s="47"/>
    </row>
    <row r="227" spans="2:4" s="4" customFormat="1" x14ac:dyDescent="0.35">
      <c r="B227" s="48"/>
      <c r="C227"/>
      <c r="D227" s="47"/>
    </row>
    <row r="228" spans="2:4" s="4" customFormat="1" x14ac:dyDescent="0.35">
      <c r="B228" s="48"/>
      <c r="C228"/>
      <c r="D228" s="47"/>
    </row>
    <row r="229" spans="2:4" s="4" customFormat="1" x14ac:dyDescent="0.35">
      <c r="B229" s="48"/>
      <c r="C229"/>
      <c r="D229" s="47"/>
    </row>
    <row r="230" spans="2:4" s="4" customFormat="1" x14ac:dyDescent="0.35">
      <c r="B230" s="48"/>
      <c r="C230"/>
      <c r="D230" s="47"/>
    </row>
    <row r="231" spans="2:4" s="4" customFormat="1" x14ac:dyDescent="0.35">
      <c r="B231" s="48"/>
      <c r="C231"/>
      <c r="D231" s="47"/>
    </row>
    <row r="232" spans="2:4" s="4" customFormat="1" x14ac:dyDescent="0.35">
      <c r="B232" s="48"/>
      <c r="C232"/>
      <c r="D232" s="47"/>
    </row>
    <row r="233" spans="2:4" s="4" customFormat="1" x14ac:dyDescent="0.35">
      <c r="B233" s="48"/>
      <c r="C233"/>
      <c r="D233" s="47"/>
    </row>
    <row r="234" spans="2:4" s="4" customFormat="1" x14ac:dyDescent="0.35">
      <c r="B234" s="48"/>
      <c r="C234"/>
      <c r="D234" s="47"/>
    </row>
    <row r="235" spans="2:4" s="4" customFormat="1" x14ac:dyDescent="0.35">
      <c r="B235" s="48"/>
      <c r="C235"/>
      <c r="D235" s="47"/>
    </row>
    <row r="236" spans="2:4" s="4" customFormat="1" x14ac:dyDescent="0.35">
      <c r="B236" s="48"/>
      <c r="C236"/>
      <c r="D236" s="47"/>
    </row>
    <row r="237" spans="2:4" s="4" customFormat="1" x14ac:dyDescent="0.35">
      <c r="B237" s="48"/>
      <c r="C237"/>
      <c r="D237" s="47"/>
    </row>
    <row r="238" spans="2:4" s="4" customFormat="1" x14ac:dyDescent="0.35">
      <c r="B238" s="48"/>
      <c r="C238"/>
      <c r="D238" s="47"/>
    </row>
    <row r="239" spans="2:4" s="4" customFormat="1" x14ac:dyDescent="0.35">
      <c r="B239" s="48"/>
      <c r="C239"/>
      <c r="D239" s="47"/>
    </row>
    <row r="240" spans="2:4" s="4" customFormat="1" x14ac:dyDescent="0.35">
      <c r="B240" s="48"/>
      <c r="C240"/>
      <c r="D240" s="47"/>
    </row>
    <row r="241" spans="2:4" s="4" customFormat="1" x14ac:dyDescent="0.35">
      <c r="B241" s="48"/>
      <c r="C241"/>
      <c r="D241" s="47"/>
    </row>
    <row r="242" spans="2:4" s="4" customFormat="1" x14ac:dyDescent="0.35">
      <c r="B242" s="48"/>
      <c r="C242"/>
      <c r="D242" s="47"/>
    </row>
    <row r="243" spans="2:4" s="4" customFormat="1" x14ac:dyDescent="0.35">
      <c r="B243" s="48"/>
      <c r="C243"/>
      <c r="D243" s="47"/>
    </row>
    <row r="244" spans="2:4" s="4" customFormat="1" x14ac:dyDescent="0.35">
      <c r="B244" s="48"/>
      <c r="C244"/>
      <c r="D244" s="47"/>
    </row>
    <row r="245" spans="2:4" s="4" customFormat="1" x14ac:dyDescent="0.35">
      <c r="B245" s="48"/>
      <c r="C245"/>
      <c r="D245" s="47"/>
    </row>
    <row r="246" spans="2:4" s="4" customFormat="1" x14ac:dyDescent="0.35">
      <c r="B246" s="48"/>
      <c r="C246"/>
      <c r="D246" s="47"/>
    </row>
    <row r="247" spans="2:4" s="4" customFormat="1" x14ac:dyDescent="0.35">
      <c r="B247" s="48"/>
      <c r="C247"/>
      <c r="D247" s="47"/>
    </row>
    <row r="248" spans="2:4" s="4" customFormat="1" x14ac:dyDescent="0.35">
      <c r="B248" s="48"/>
      <c r="C248"/>
      <c r="D248" s="47"/>
    </row>
    <row r="249" spans="2:4" s="4" customFormat="1" x14ac:dyDescent="0.35">
      <c r="B249" s="48"/>
      <c r="C249"/>
      <c r="D249" s="47"/>
    </row>
    <row r="250" spans="2:4" s="4" customFormat="1" x14ac:dyDescent="0.35">
      <c r="B250" s="48"/>
      <c r="C250"/>
      <c r="D250" s="47"/>
    </row>
    <row r="251" spans="2:4" s="4" customFormat="1" x14ac:dyDescent="0.35">
      <c r="B251" s="48"/>
      <c r="C251"/>
      <c r="D251" s="47"/>
    </row>
    <row r="252" spans="2:4" s="4" customFormat="1" x14ac:dyDescent="0.35">
      <c r="B252" s="48"/>
      <c r="C252"/>
      <c r="D252" s="47"/>
    </row>
    <row r="253" spans="2:4" s="4" customFormat="1" x14ac:dyDescent="0.35">
      <c r="B253" s="48"/>
      <c r="C253"/>
      <c r="D253" s="47"/>
    </row>
    <row r="254" spans="2:4" s="4" customFormat="1" x14ac:dyDescent="0.35">
      <c r="B254" s="48"/>
      <c r="C254"/>
      <c r="D254" s="47"/>
    </row>
    <row r="255" spans="2:4" s="4" customFormat="1" x14ac:dyDescent="0.35">
      <c r="B255" s="48"/>
      <c r="C255"/>
      <c r="D255" s="47"/>
    </row>
    <row r="256" spans="2:4" s="4" customFormat="1" x14ac:dyDescent="0.35">
      <c r="B256" s="48"/>
      <c r="C256"/>
      <c r="D256" s="47"/>
    </row>
    <row r="257" spans="2:4" s="4" customFormat="1" x14ac:dyDescent="0.35">
      <c r="B257" s="48"/>
      <c r="C257"/>
      <c r="D257" s="47"/>
    </row>
    <row r="258" spans="2:4" s="4" customFormat="1" x14ac:dyDescent="0.35">
      <c r="B258" s="48"/>
      <c r="C258"/>
      <c r="D258" s="47"/>
    </row>
    <row r="259" spans="2:4" s="4" customFormat="1" x14ac:dyDescent="0.35">
      <c r="B259" s="48"/>
      <c r="C259"/>
      <c r="D259" s="47"/>
    </row>
    <row r="260" spans="2:4" s="4" customFormat="1" x14ac:dyDescent="0.35">
      <c r="B260" s="48"/>
      <c r="C260"/>
      <c r="D260" s="47"/>
    </row>
    <row r="261" spans="2:4" s="4" customFormat="1" x14ac:dyDescent="0.35">
      <c r="B261" s="48"/>
      <c r="C261"/>
      <c r="D261" s="47"/>
    </row>
    <row r="262" spans="2:4" x14ac:dyDescent="0.35">
      <c r="B262" s="48"/>
      <c r="D262" s="47"/>
    </row>
    <row r="263" spans="2:4" x14ac:dyDescent="0.35">
      <c r="B263" s="48"/>
      <c r="D263" s="47"/>
    </row>
    <row r="264" spans="2:4" x14ac:dyDescent="0.35">
      <c r="B264" s="48"/>
      <c r="D264" s="47"/>
    </row>
    <row r="265" spans="2:4" x14ac:dyDescent="0.35">
      <c r="B265" s="48"/>
      <c r="D265" s="47"/>
    </row>
    <row r="266" spans="2:4" x14ac:dyDescent="0.35">
      <c r="B266" s="48"/>
      <c r="D266" s="47"/>
    </row>
    <row r="267" spans="2:4" x14ac:dyDescent="0.35">
      <c r="B267" s="48"/>
      <c r="D267" s="47"/>
    </row>
    <row r="268" spans="2:4" x14ac:dyDescent="0.35">
      <c r="B268" s="48"/>
      <c r="D268" s="47"/>
    </row>
    <row r="269" spans="2:4" x14ac:dyDescent="0.35">
      <c r="B269" s="48"/>
      <c r="D269" s="47"/>
    </row>
    <row r="270" spans="2:4" x14ac:dyDescent="0.35">
      <c r="B270" s="48"/>
      <c r="D270" s="47"/>
    </row>
    <row r="271" spans="2:4" x14ac:dyDescent="0.35">
      <c r="B271" s="48"/>
      <c r="D271" s="47"/>
    </row>
    <row r="272" spans="2:4" x14ac:dyDescent="0.35">
      <c r="B272" s="48"/>
      <c r="D272" s="47"/>
    </row>
    <row r="273" spans="2:4" x14ac:dyDescent="0.35">
      <c r="B273" s="48"/>
      <c r="D273" s="47"/>
    </row>
    <row r="274" spans="2:4" x14ac:dyDescent="0.35">
      <c r="B274" s="48"/>
      <c r="D274" s="47"/>
    </row>
    <row r="275" spans="2:4" x14ac:dyDescent="0.35">
      <c r="B275" s="48"/>
      <c r="D275" s="47"/>
    </row>
    <row r="276" spans="2:4" x14ac:dyDescent="0.35">
      <c r="B276" s="48"/>
      <c r="D276" s="47"/>
    </row>
    <row r="277" spans="2:4" x14ac:dyDescent="0.35">
      <c r="B277" s="48"/>
      <c r="D277" s="47"/>
    </row>
    <row r="278" spans="2:4" x14ac:dyDescent="0.35">
      <c r="B278" s="48"/>
      <c r="D278" s="47"/>
    </row>
    <row r="279" spans="2:4" x14ac:dyDescent="0.35">
      <c r="B279" s="48"/>
      <c r="D279" s="47"/>
    </row>
    <row r="280" spans="2:4" x14ac:dyDescent="0.35">
      <c r="B280" s="48"/>
      <c r="D280" s="47"/>
    </row>
    <row r="281" spans="2:4" x14ac:dyDescent="0.35">
      <c r="B281" s="48"/>
      <c r="D281" s="47"/>
    </row>
    <row r="282" spans="2:4" x14ac:dyDescent="0.35">
      <c r="B282" s="48"/>
      <c r="D282" s="47"/>
    </row>
    <row r="283" spans="2:4" x14ac:dyDescent="0.35">
      <c r="B283" s="48"/>
      <c r="D283" s="47"/>
    </row>
    <row r="284" spans="2:4" x14ac:dyDescent="0.35">
      <c r="B284" s="48"/>
      <c r="D284" s="47"/>
    </row>
    <row r="285" spans="2:4" x14ac:dyDescent="0.35">
      <c r="B285" s="48"/>
      <c r="D285" s="47"/>
    </row>
    <row r="286" spans="2:4" x14ac:dyDescent="0.35">
      <c r="B286" s="48"/>
      <c r="D286" s="47"/>
    </row>
    <row r="287" spans="2:4" x14ac:dyDescent="0.35">
      <c r="B287" s="48"/>
      <c r="D287" s="47"/>
    </row>
    <row r="288" spans="2:4" x14ac:dyDescent="0.35">
      <c r="B288" s="48"/>
      <c r="D288" s="47"/>
    </row>
    <row r="289" spans="2:4" x14ac:dyDescent="0.35">
      <c r="B289" s="48"/>
      <c r="D289" s="47"/>
    </row>
    <row r="290" spans="2:4" x14ac:dyDescent="0.35">
      <c r="B290" s="48"/>
      <c r="D290" s="47"/>
    </row>
    <row r="291" spans="2:4" x14ac:dyDescent="0.35">
      <c r="B291" s="48"/>
      <c r="D291" s="47"/>
    </row>
    <row r="292" spans="2:4" x14ac:dyDescent="0.35">
      <c r="B292" s="48"/>
      <c r="D292" s="47"/>
    </row>
    <row r="293" spans="2:4" x14ac:dyDescent="0.35">
      <c r="B293" s="48"/>
      <c r="D293" s="47"/>
    </row>
    <row r="294" spans="2:4" x14ac:dyDescent="0.35">
      <c r="B294" s="48"/>
      <c r="D294" s="47"/>
    </row>
    <row r="295" spans="2:4" x14ac:dyDescent="0.35">
      <c r="B295" s="48"/>
      <c r="D295" s="47"/>
    </row>
    <row r="296" spans="2:4" x14ac:dyDescent="0.35">
      <c r="B296" s="48"/>
      <c r="D296" s="47"/>
    </row>
    <row r="297" spans="2:4" x14ac:dyDescent="0.35">
      <c r="B297" s="48"/>
      <c r="D297" s="47"/>
    </row>
    <row r="298" spans="2:4" x14ac:dyDescent="0.35">
      <c r="B298" s="48"/>
      <c r="D298" s="47"/>
    </row>
    <row r="299" spans="2:4" x14ac:dyDescent="0.35">
      <c r="B299" s="48"/>
      <c r="D299" s="47"/>
    </row>
    <row r="300" spans="2:4" x14ac:dyDescent="0.35">
      <c r="B300" s="48"/>
      <c r="D300" s="47"/>
    </row>
    <row r="301" spans="2:4" x14ac:dyDescent="0.35">
      <c r="B301" s="48"/>
      <c r="D301" s="47"/>
    </row>
    <row r="302" spans="2:4" x14ac:dyDescent="0.35">
      <c r="B302" s="48"/>
      <c r="D302" s="47"/>
    </row>
    <row r="303" spans="2:4" x14ac:dyDescent="0.35">
      <c r="B303" s="48"/>
      <c r="D303" s="47"/>
    </row>
    <row r="304" spans="2:4" x14ac:dyDescent="0.35">
      <c r="B304" s="48"/>
      <c r="D304" s="47"/>
    </row>
    <row r="305" spans="2:4" x14ac:dyDescent="0.35">
      <c r="B305" s="48"/>
      <c r="D305" s="47"/>
    </row>
    <row r="306" spans="2:4" x14ac:dyDescent="0.35">
      <c r="B306" s="48"/>
      <c r="D306" s="47"/>
    </row>
    <row r="307" spans="2:4" x14ac:dyDescent="0.35">
      <c r="B307" s="48"/>
      <c r="D307" s="47"/>
    </row>
    <row r="308" spans="2:4" x14ac:dyDescent="0.35">
      <c r="B308" s="48"/>
      <c r="D308" s="47"/>
    </row>
    <row r="309" spans="2:4" x14ac:dyDescent="0.35">
      <c r="B309" s="48"/>
      <c r="D309" s="47"/>
    </row>
    <row r="310" spans="2:4" x14ac:dyDescent="0.35">
      <c r="B310" s="48"/>
      <c r="D310" s="47"/>
    </row>
    <row r="311" spans="2:4" x14ac:dyDescent="0.35">
      <c r="B311" s="48"/>
      <c r="D311" s="47"/>
    </row>
    <row r="312" spans="2:4" x14ac:dyDescent="0.35">
      <c r="B312" s="48"/>
      <c r="D312" s="47"/>
    </row>
    <row r="313" spans="2:4" x14ac:dyDescent="0.35">
      <c r="B313" s="48"/>
      <c r="D313" s="47"/>
    </row>
    <row r="314" spans="2:4" x14ac:dyDescent="0.35">
      <c r="B314" s="48"/>
      <c r="D314" s="47"/>
    </row>
    <row r="315" spans="2:4" x14ac:dyDescent="0.35">
      <c r="B315" s="48"/>
      <c r="D315" s="47"/>
    </row>
    <row r="316" spans="2:4" x14ac:dyDescent="0.35">
      <c r="B316" s="48"/>
      <c r="D316" s="47"/>
    </row>
    <row r="317" spans="2:4" x14ac:dyDescent="0.35">
      <c r="B317" s="48"/>
      <c r="D317" s="47"/>
    </row>
    <row r="318" spans="2:4" x14ac:dyDescent="0.35">
      <c r="B318" s="48"/>
      <c r="D318" s="47"/>
    </row>
    <row r="319" spans="2:4" x14ac:dyDescent="0.35">
      <c r="B319" s="48"/>
      <c r="D319" s="47"/>
    </row>
    <row r="320" spans="2:4" x14ac:dyDescent="0.35">
      <c r="B320" s="48"/>
      <c r="D320" s="47"/>
    </row>
    <row r="321" spans="2:4" x14ac:dyDescent="0.35">
      <c r="B321" s="48"/>
      <c r="D321" s="47"/>
    </row>
    <row r="322" spans="2:4" x14ac:dyDescent="0.35">
      <c r="B322" s="48"/>
      <c r="D322" s="47"/>
    </row>
    <row r="323" spans="2:4" x14ac:dyDescent="0.35">
      <c r="B323" s="48"/>
      <c r="D323" s="47"/>
    </row>
    <row r="324" spans="2:4" x14ac:dyDescent="0.35">
      <c r="B324" s="48"/>
      <c r="D324" s="47"/>
    </row>
    <row r="325" spans="2:4" x14ac:dyDescent="0.35">
      <c r="B325" s="48"/>
      <c r="D325" s="47"/>
    </row>
    <row r="326" spans="2:4" x14ac:dyDescent="0.35">
      <c r="B326" s="48"/>
      <c r="D326" s="47"/>
    </row>
    <row r="327" spans="2:4" x14ac:dyDescent="0.35">
      <c r="B327" s="48"/>
      <c r="D327" s="47"/>
    </row>
    <row r="328" spans="2:4" x14ac:dyDescent="0.35">
      <c r="B328" s="48"/>
      <c r="D328" s="47"/>
    </row>
    <row r="329" spans="2:4" x14ac:dyDescent="0.35">
      <c r="B329" s="48"/>
      <c r="D329" s="47"/>
    </row>
    <row r="330" spans="2:4" x14ac:dyDescent="0.35">
      <c r="B330" s="48"/>
      <c r="D330" s="47"/>
    </row>
    <row r="331" spans="2:4" x14ac:dyDescent="0.35">
      <c r="B331" s="48"/>
      <c r="D331" s="47"/>
    </row>
    <row r="332" spans="2:4" x14ac:dyDescent="0.35">
      <c r="B332" s="48"/>
      <c r="D332" s="47"/>
    </row>
    <row r="333" spans="2:4" x14ac:dyDescent="0.35">
      <c r="B333" s="48"/>
      <c r="D333" s="47"/>
    </row>
    <row r="334" spans="2:4" x14ac:dyDescent="0.35">
      <c r="B334" s="48"/>
      <c r="D334" s="47"/>
    </row>
    <row r="335" spans="2:4" x14ac:dyDescent="0.35">
      <c r="B335" s="48"/>
      <c r="D335" s="47"/>
    </row>
    <row r="336" spans="2:4" x14ac:dyDescent="0.35">
      <c r="B336" s="48"/>
      <c r="D336" s="47"/>
    </row>
    <row r="337" spans="2:4" x14ac:dyDescent="0.35">
      <c r="B337" s="48"/>
      <c r="D337" s="47"/>
    </row>
    <row r="338" spans="2:4" x14ac:dyDescent="0.35">
      <c r="B338" s="48"/>
      <c r="D338" s="47"/>
    </row>
    <row r="339" spans="2:4" x14ac:dyDescent="0.35">
      <c r="B339" s="48"/>
      <c r="D339" s="47"/>
    </row>
    <row r="340" spans="2:4" x14ac:dyDescent="0.35">
      <c r="B340" s="48"/>
      <c r="D340" s="47"/>
    </row>
    <row r="341" spans="2:4" x14ac:dyDescent="0.35">
      <c r="B341" s="48"/>
      <c r="D341" s="47"/>
    </row>
    <row r="342" spans="2:4" x14ac:dyDescent="0.35">
      <c r="B342" s="48"/>
      <c r="D342" s="47"/>
    </row>
    <row r="343" spans="2:4" x14ac:dyDescent="0.35">
      <c r="B343" s="48"/>
      <c r="D343" s="47"/>
    </row>
    <row r="344" spans="2:4" x14ac:dyDescent="0.35">
      <c r="B344" s="48"/>
      <c r="D344" s="47"/>
    </row>
    <row r="345" spans="2:4" x14ac:dyDescent="0.35">
      <c r="B345" s="48"/>
      <c r="D345" s="47"/>
    </row>
    <row r="346" spans="2:4" x14ac:dyDescent="0.35">
      <c r="B346" s="48"/>
      <c r="D346" s="47"/>
    </row>
    <row r="347" spans="2:4" x14ac:dyDescent="0.35">
      <c r="B347" s="48"/>
      <c r="D347" s="47"/>
    </row>
    <row r="348" spans="2:4" x14ac:dyDescent="0.35">
      <c r="B348" s="48"/>
      <c r="D348" s="47"/>
    </row>
    <row r="349" spans="2:4" x14ac:dyDescent="0.35">
      <c r="B349" s="48"/>
      <c r="D349" s="47"/>
    </row>
    <row r="350" spans="2:4" x14ac:dyDescent="0.35">
      <c r="B350" s="48"/>
      <c r="D350" s="47"/>
    </row>
    <row r="351" spans="2:4" x14ac:dyDescent="0.35">
      <c r="B351" s="48"/>
      <c r="D351" s="47"/>
    </row>
    <row r="352" spans="2:4" x14ac:dyDescent="0.35">
      <c r="B352" s="48"/>
      <c r="D352" s="47"/>
    </row>
    <row r="353" spans="2:4" x14ac:dyDescent="0.35">
      <c r="B353" s="48"/>
      <c r="D353" s="47"/>
    </row>
    <row r="354" spans="2:4" x14ac:dyDescent="0.35">
      <c r="B354" s="48"/>
      <c r="D354" s="47"/>
    </row>
    <row r="355" spans="2:4" x14ac:dyDescent="0.35">
      <c r="B355" s="48"/>
      <c r="D355" s="47"/>
    </row>
    <row r="356" spans="2:4" x14ac:dyDescent="0.35">
      <c r="B356" s="48"/>
      <c r="D356" s="47"/>
    </row>
    <row r="357" spans="2:4" x14ac:dyDescent="0.35">
      <c r="B357" s="48"/>
      <c r="D357" s="47"/>
    </row>
    <row r="358" spans="2:4" x14ac:dyDescent="0.35">
      <c r="B358" s="48"/>
      <c r="D358" s="47"/>
    </row>
    <row r="359" spans="2:4" x14ac:dyDescent="0.35">
      <c r="B359" s="48"/>
      <c r="D359" s="47"/>
    </row>
    <row r="360" spans="2:4" x14ac:dyDescent="0.35">
      <c r="B360" s="48"/>
      <c r="D360" s="47"/>
    </row>
    <row r="361" spans="2:4" x14ac:dyDescent="0.35">
      <c r="B361" s="48"/>
      <c r="D361" s="47"/>
    </row>
    <row r="362" spans="2:4" x14ac:dyDescent="0.35">
      <c r="B362" s="48"/>
      <c r="D362" s="47"/>
    </row>
    <row r="363" spans="2:4" x14ac:dyDescent="0.35">
      <c r="B363" s="48"/>
      <c r="D363" s="47"/>
    </row>
    <row r="364" spans="2:4" x14ac:dyDescent="0.35">
      <c r="B364" s="48"/>
      <c r="D364" s="47"/>
    </row>
    <row r="365" spans="2:4" x14ac:dyDescent="0.35">
      <c r="B365" s="48"/>
      <c r="D365" s="47"/>
    </row>
    <row r="366" spans="2:4" x14ac:dyDescent="0.35">
      <c r="B366" s="48"/>
      <c r="D366" s="47"/>
    </row>
    <row r="367" spans="2:4" x14ac:dyDescent="0.35">
      <c r="B367" s="48"/>
      <c r="D367" s="47"/>
    </row>
    <row r="368" spans="2:4" x14ac:dyDescent="0.35">
      <c r="B368" s="48"/>
      <c r="D368" s="47"/>
    </row>
    <row r="369" spans="2:4" x14ac:dyDescent="0.35">
      <c r="B369" s="48"/>
      <c r="D369" s="47"/>
    </row>
    <row r="370" spans="2:4" x14ac:dyDescent="0.35">
      <c r="B370" s="48"/>
      <c r="D370" s="47"/>
    </row>
    <row r="371" spans="2:4" x14ac:dyDescent="0.35">
      <c r="B371" s="48"/>
      <c r="D371" s="47"/>
    </row>
    <row r="372" spans="2:4" x14ac:dyDescent="0.35">
      <c r="B372" s="48"/>
      <c r="D372" s="47"/>
    </row>
    <row r="373" spans="2:4" x14ac:dyDescent="0.35">
      <c r="B373" s="48"/>
      <c r="D373" s="47"/>
    </row>
    <row r="374" spans="2:4" x14ac:dyDescent="0.35">
      <c r="B374" s="48"/>
      <c r="D374" s="47"/>
    </row>
    <row r="375" spans="2:4" x14ac:dyDescent="0.35">
      <c r="B375" s="48"/>
      <c r="D375" s="47"/>
    </row>
    <row r="376" spans="2:4" x14ac:dyDescent="0.35">
      <c r="B376" s="48"/>
      <c r="D376" s="47"/>
    </row>
    <row r="377" spans="2:4" x14ac:dyDescent="0.35">
      <c r="B377" s="48"/>
      <c r="D377" s="47"/>
    </row>
    <row r="378" spans="2:4" x14ac:dyDescent="0.35">
      <c r="B378" s="48"/>
      <c r="D378" s="47"/>
    </row>
    <row r="379" spans="2:4" x14ac:dyDescent="0.35">
      <c r="B379" s="48"/>
      <c r="D379" s="47"/>
    </row>
    <row r="380" spans="2:4" x14ac:dyDescent="0.35">
      <c r="B380" s="48"/>
      <c r="D380" s="47"/>
    </row>
    <row r="381" spans="2:4" x14ac:dyDescent="0.35">
      <c r="B381" s="48"/>
      <c r="D381" s="47"/>
    </row>
    <row r="382" spans="2:4" x14ac:dyDescent="0.35">
      <c r="B382" s="48"/>
      <c r="D382" s="47"/>
    </row>
    <row r="383" spans="2:4" x14ac:dyDescent="0.35">
      <c r="B383" s="48"/>
      <c r="D383" s="47"/>
    </row>
    <row r="384" spans="2:4" x14ac:dyDescent="0.35">
      <c r="B384" s="48"/>
      <c r="D384" s="47"/>
    </row>
    <row r="385" spans="2:4" x14ac:dyDescent="0.35">
      <c r="B385" s="48"/>
      <c r="D385" s="47"/>
    </row>
    <row r="386" spans="2:4" x14ac:dyDescent="0.35">
      <c r="B386" s="48"/>
      <c r="D386" s="47"/>
    </row>
    <row r="387" spans="2:4" x14ac:dyDescent="0.35">
      <c r="B387" s="48"/>
      <c r="D387" s="47"/>
    </row>
    <row r="388" spans="2:4" x14ac:dyDescent="0.35">
      <c r="B388" s="48"/>
      <c r="D388" s="47"/>
    </row>
    <row r="389" spans="2:4" x14ac:dyDescent="0.35">
      <c r="B389" s="48"/>
      <c r="D389" s="47"/>
    </row>
    <row r="390" spans="2:4" x14ac:dyDescent="0.35">
      <c r="B390" s="48"/>
      <c r="D390" s="47"/>
    </row>
    <row r="391" spans="2:4" x14ac:dyDescent="0.35">
      <c r="B391" s="48"/>
      <c r="D391" s="47"/>
    </row>
    <row r="392" spans="2:4" x14ac:dyDescent="0.35">
      <c r="B392" s="48"/>
      <c r="D392" s="47"/>
    </row>
    <row r="393" spans="2:4" x14ac:dyDescent="0.35">
      <c r="B393" s="48"/>
      <c r="D393" s="47"/>
    </row>
    <row r="394" spans="2:4" x14ac:dyDescent="0.35">
      <c r="B394" s="48"/>
      <c r="D394" s="47"/>
    </row>
    <row r="395" spans="2:4" x14ac:dyDescent="0.35">
      <c r="B395" s="48"/>
      <c r="D395" s="47"/>
    </row>
    <row r="396" spans="2:4" x14ac:dyDescent="0.35">
      <c r="B396" s="48"/>
      <c r="D396" s="47"/>
    </row>
    <row r="397" spans="2:4" x14ac:dyDescent="0.35">
      <c r="B397" s="48"/>
      <c r="D397" s="47"/>
    </row>
    <row r="398" spans="2:4" x14ac:dyDescent="0.35">
      <c r="B398" s="48"/>
      <c r="D398" s="47"/>
    </row>
    <row r="399" spans="2:4" x14ac:dyDescent="0.35">
      <c r="B399" s="48"/>
      <c r="D399" s="47"/>
    </row>
    <row r="400" spans="2:4" x14ac:dyDescent="0.35">
      <c r="B400" s="48"/>
      <c r="D400" s="47"/>
    </row>
    <row r="401" spans="2:4" x14ac:dyDescent="0.35">
      <c r="B401" s="48"/>
      <c r="D401" s="47"/>
    </row>
    <row r="402" spans="2:4" x14ac:dyDescent="0.35">
      <c r="B402" s="48"/>
      <c r="D402" s="47"/>
    </row>
    <row r="403" spans="2:4" x14ac:dyDescent="0.35">
      <c r="B403" s="48"/>
      <c r="D403" s="47"/>
    </row>
    <row r="404" spans="2:4" x14ac:dyDescent="0.35">
      <c r="B404" s="48"/>
      <c r="D404" s="47"/>
    </row>
    <row r="405" spans="2:4" x14ac:dyDescent="0.35">
      <c r="B405" s="48"/>
      <c r="D405" s="47"/>
    </row>
    <row r="406" spans="2:4" x14ac:dyDescent="0.35">
      <c r="B406" s="48"/>
      <c r="D406" s="47"/>
    </row>
    <row r="407" spans="2:4" x14ac:dyDescent="0.35">
      <c r="B407" s="48"/>
      <c r="D407" s="47"/>
    </row>
    <row r="408" spans="2:4" x14ac:dyDescent="0.35">
      <c r="B408" s="48"/>
      <c r="D408" s="47"/>
    </row>
    <row r="409" spans="2:4" x14ac:dyDescent="0.35">
      <c r="B409" s="48"/>
      <c r="D409" s="47"/>
    </row>
    <row r="410" spans="2:4" x14ac:dyDescent="0.35">
      <c r="B410" s="48"/>
      <c r="D410" s="47"/>
    </row>
    <row r="411" spans="2:4" x14ac:dyDescent="0.35">
      <c r="B411" s="48"/>
      <c r="D411" s="47"/>
    </row>
    <row r="412" spans="2:4" x14ac:dyDescent="0.35">
      <c r="B412" s="48"/>
      <c r="D412" s="47"/>
    </row>
    <row r="413" spans="2:4" x14ac:dyDescent="0.35">
      <c r="B413" s="48"/>
      <c r="D413" s="47"/>
    </row>
    <row r="414" spans="2:4" x14ac:dyDescent="0.35">
      <c r="B414" s="48"/>
      <c r="D414" s="47"/>
    </row>
    <row r="415" spans="2:4" x14ac:dyDescent="0.35">
      <c r="B415" s="48"/>
      <c r="D415" s="47"/>
    </row>
    <row r="416" spans="2:4" x14ac:dyDescent="0.35">
      <c r="B416" s="48"/>
      <c r="D416" s="47"/>
    </row>
    <row r="417" spans="2:4" x14ac:dyDescent="0.35">
      <c r="B417" s="48"/>
      <c r="D417" s="47"/>
    </row>
    <row r="418" spans="2:4" x14ac:dyDescent="0.35">
      <c r="B418" s="48"/>
      <c r="D418" s="47"/>
    </row>
    <row r="419" spans="2:4" x14ac:dyDescent="0.35">
      <c r="B419" s="48"/>
      <c r="D419" s="47"/>
    </row>
    <row r="420" spans="2:4" x14ac:dyDescent="0.35">
      <c r="B420" s="48"/>
      <c r="D420" s="47"/>
    </row>
    <row r="421" spans="2:4" x14ac:dyDescent="0.35">
      <c r="B421" s="48"/>
      <c r="D421" s="47"/>
    </row>
    <row r="422" spans="2:4" x14ac:dyDescent="0.35">
      <c r="B422" s="48"/>
      <c r="D422" s="47"/>
    </row>
    <row r="423" spans="2:4" x14ac:dyDescent="0.35">
      <c r="B423" s="48"/>
      <c r="D423" s="47"/>
    </row>
    <row r="424" spans="2:4" x14ac:dyDescent="0.35">
      <c r="B424" s="48"/>
      <c r="D424" s="47"/>
    </row>
    <row r="425" spans="2:4" x14ac:dyDescent="0.35">
      <c r="B425" s="48"/>
      <c r="D425" s="47"/>
    </row>
    <row r="426" spans="2:4" x14ac:dyDescent="0.35">
      <c r="B426" s="48"/>
      <c r="D426" s="47"/>
    </row>
    <row r="427" spans="2:4" x14ac:dyDescent="0.35">
      <c r="B427" s="48"/>
      <c r="D427" s="47"/>
    </row>
    <row r="428" spans="2:4" x14ac:dyDescent="0.35">
      <c r="B428" s="48"/>
      <c r="D428" s="47"/>
    </row>
    <row r="429" spans="2:4" x14ac:dyDescent="0.35">
      <c r="B429" s="48"/>
      <c r="D429" s="47"/>
    </row>
    <row r="430" spans="2:4" x14ac:dyDescent="0.35">
      <c r="B430" s="48"/>
      <c r="D430" s="47"/>
    </row>
    <row r="431" spans="2:4" x14ac:dyDescent="0.35">
      <c r="B431" s="48"/>
      <c r="D431" s="47"/>
    </row>
    <row r="432" spans="2:4" x14ac:dyDescent="0.35">
      <c r="B432" s="48"/>
      <c r="D432" s="47"/>
    </row>
    <row r="433" spans="2:4" x14ac:dyDescent="0.35">
      <c r="B433" s="48"/>
      <c r="D433" s="47"/>
    </row>
    <row r="434" spans="2:4" x14ac:dyDescent="0.35">
      <c r="B434" s="48"/>
      <c r="D434" s="47"/>
    </row>
    <row r="435" spans="2:4" x14ac:dyDescent="0.35">
      <c r="B435" s="48"/>
      <c r="D435" s="47"/>
    </row>
    <row r="436" spans="2:4" x14ac:dyDescent="0.35">
      <c r="B436" s="48"/>
      <c r="D436" s="47"/>
    </row>
    <row r="437" spans="2:4" x14ac:dyDescent="0.35">
      <c r="B437" s="48"/>
      <c r="D437" s="47"/>
    </row>
    <row r="438" spans="2:4" x14ac:dyDescent="0.35">
      <c r="B438" s="48"/>
      <c r="D438" s="47"/>
    </row>
    <row r="439" spans="2:4" x14ac:dyDescent="0.35">
      <c r="B439" s="48"/>
      <c r="D439" s="47"/>
    </row>
    <row r="440" spans="2:4" x14ac:dyDescent="0.35">
      <c r="B440" s="48"/>
      <c r="D440" s="47"/>
    </row>
    <row r="441" spans="2:4" x14ac:dyDescent="0.35">
      <c r="B441" s="48"/>
      <c r="D441" s="47"/>
    </row>
    <row r="442" spans="2:4" x14ac:dyDescent="0.35">
      <c r="B442" s="48"/>
      <c r="D442" s="47"/>
    </row>
    <row r="443" spans="2:4" x14ac:dyDescent="0.35">
      <c r="B443" s="48"/>
      <c r="D443" s="47"/>
    </row>
    <row r="444" spans="2:4" x14ac:dyDescent="0.35">
      <c r="B444" s="48"/>
      <c r="D444" s="47"/>
    </row>
    <row r="445" spans="2:4" x14ac:dyDescent="0.35">
      <c r="B445" s="48"/>
      <c r="D445" s="47"/>
    </row>
    <row r="446" spans="2:4" x14ac:dyDescent="0.35">
      <c r="B446" s="48"/>
      <c r="D446" s="47"/>
    </row>
    <row r="447" spans="2:4" x14ac:dyDescent="0.35">
      <c r="B447" s="48"/>
      <c r="D447" s="47"/>
    </row>
    <row r="448" spans="2:4" x14ac:dyDescent="0.35">
      <c r="B448" s="48"/>
      <c r="D448" s="47"/>
    </row>
    <row r="449" spans="2:4" x14ac:dyDescent="0.35">
      <c r="B449" s="48"/>
      <c r="D449" s="47"/>
    </row>
    <row r="450" spans="2:4" x14ac:dyDescent="0.35">
      <c r="B450" s="48"/>
      <c r="D450" s="47"/>
    </row>
    <row r="451" spans="2:4" x14ac:dyDescent="0.35">
      <c r="B451" s="48"/>
      <c r="D451" s="47"/>
    </row>
    <row r="452" spans="2:4" x14ac:dyDescent="0.35">
      <c r="B452" s="48"/>
      <c r="D452" s="47"/>
    </row>
    <row r="453" spans="2:4" x14ac:dyDescent="0.35">
      <c r="B453" s="48"/>
      <c r="D453" s="47"/>
    </row>
    <row r="454" spans="2:4" x14ac:dyDescent="0.35">
      <c r="B454" s="48"/>
      <c r="D454" s="47"/>
    </row>
    <row r="455" spans="2:4" x14ac:dyDescent="0.35">
      <c r="B455" s="48"/>
      <c r="D455" s="47"/>
    </row>
    <row r="456" spans="2:4" x14ac:dyDescent="0.35">
      <c r="B456" s="48"/>
      <c r="D456" s="47"/>
    </row>
    <row r="457" spans="2:4" x14ac:dyDescent="0.35">
      <c r="B457" s="48"/>
      <c r="D457" s="47"/>
    </row>
    <row r="458" spans="2:4" x14ac:dyDescent="0.35">
      <c r="B458" s="48"/>
      <c r="D458" s="47"/>
    </row>
    <row r="459" spans="2:4" x14ac:dyDescent="0.35">
      <c r="B459" s="48"/>
      <c r="D459" s="47"/>
    </row>
    <row r="460" spans="2:4" x14ac:dyDescent="0.35">
      <c r="B460" s="48"/>
      <c r="D460" s="47"/>
    </row>
    <row r="461" spans="2:4" x14ac:dyDescent="0.35">
      <c r="B461" s="48"/>
      <c r="D461" s="47"/>
    </row>
    <row r="462" spans="2:4" x14ac:dyDescent="0.35">
      <c r="B462" s="48"/>
      <c r="D462" s="47"/>
    </row>
    <row r="463" spans="2:4" x14ac:dyDescent="0.35">
      <c r="B463" s="48"/>
      <c r="D463" s="47"/>
    </row>
    <row r="464" spans="2:4" x14ac:dyDescent="0.35">
      <c r="B464" s="48"/>
      <c r="D464" s="47"/>
    </row>
    <row r="465" spans="2:4" x14ac:dyDescent="0.35">
      <c r="B465" s="48"/>
      <c r="D465" s="47"/>
    </row>
    <row r="466" spans="2:4" x14ac:dyDescent="0.35">
      <c r="B466" s="48"/>
      <c r="D466" s="47"/>
    </row>
    <row r="467" spans="2:4" x14ac:dyDescent="0.35">
      <c r="B467" s="48"/>
      <c r="D467" s="47"/>
    </row>
    <row r="468" spans="2:4" x14ac:dyDescent="0.35">
      <c r="B468" s="48"/>
      <c r="D468" s="47"/>
    </row>
    <row r="469" spans="2:4" x14ac:dyDescent="0.35">
      <c r="B469" s="48"/>
      <c r="D469" s="47"/>
    </row>
    <row r="470" spans="2:4" x14ac:dyDescent="0.35">
      <c r="B470" s="48"/>
      <c r="D470" s="47"/>
    </row>
    <row r="471" spans="2:4" x14ac:dyDescent="0.35">
      <c r="B471" s="48"/>
      <c r="D471" s="47"/>
    </row>
    <row r="472" spans="2:4" x14ac:dyDescent="0.35">
      <c r="B472" s="48"/>
      <c r="D472" s="47"/>
    </row>
    <row r="473" spans="2:4" x14ac:dyDescent="0.35">
      <c r="B473" s="48"/>
      <c r="D473" s="47"/>
    </row>
    <row r="474" spans="2:4" x14ac:dyDescent="0.35">
      <c r="B474" s="48"/>
      <c r="D474" s="47"/>
    </row>
    <row r="475" spans="2:4" x14ac:dyDescent="0.35">
      <c r="B475" s="48"/>
      <c r="D475" s="47"/>
    </row>
    <row r="476" spans="2:4" x14ac:dyDescent="0.35">
      <c r="B476" s="48"/>
      <c r="D476" s="47"/>
    </row>
    <row r="477" spans="2:4" x14ac:dyDescent="0.35">
      <c r="B477" s="48"/>
      <c r="D477" s="47"/>
    </row>
    <row r="478" spans="2:4" x14ac:dyDescent="0.35">
      <c r="B478" s="48"/>
      <c r="D478" s="47"/>
    </row>
    <row r="479" spans="2:4" x14ac:dyDescent="0.35">
      <c r="B479" s="48"/>
      <c r="D479" s="47"/>
    </row>
    <row r="480" spans="2:4" x14ac:dyDescent="0.35">
      <c r="B480" s="48"/>
      <c r="D480" s="47"/>
    </row>
    <row r="481" spans="2:4" x14ac:dyDescent="0.35">
      <c r="B481" s="48"/>
      <c r="D481" s="47"/>
    </row>
    <row r="482" spans="2:4" x14ac:dyDescent="0.35">
      <c r="B482" s="48"/>
      <c r="D482" s="47"/>
    </row>
    <row r="483" spans="2:4" x14ac:dyDescent="0.35">
      <c r="B483" s="48"/>
      <c r="D483" s="47"/>
    </row>
    <row r="484" spans="2:4" x14ac:dyDescent="0.35">
      <c r="B484" s="48"/>
      <c r="D484" s="47"/>
    </row>
    <row r="485" spans="2:4" x14ac:dyDescent="0.35">
      <c r="B485" s="48"/>
      <c r="D485" s="47"/>
    </row>
    <row r="486" spans="2:4" x14ac:dyDescent="0.35">
      <c r="B486" s="48"/>
      <c r="D486" s="47"/>
    </row>
    <row r="487" spans="2:4" x14ac:dyDescent="0.35">
      <c r="B487" s="48"/>
      <c r="D487" s="47"/>
    </row>
    <row r="488" spans="2:4" x14ac:dyDescent="0.35">
      <c r="B488" s="48"/>
      <c r="D488" s="47"/>
    </row>
    <row r="489" spans="2:4" x14ac:dyDescent="0.35">
      <c r="B489" s="48"/>
      <c r="D489" s="47"/>
    </row>
    <row r="490" spans="2:4" x14ac:dyDescent="0.35">
      <c r="B490" s="48"/>
      <c r="D490" s="47"/>
    </row>
    <row r="491" spans="2:4" x14ac:dyDescent="0.35">
      <c r="B491" s="48"/>
      <c r="D491" s="47"/>
    </row>
    <row r="492" spans="2:4" x14ac:dyDescent="0.35">
      <c r="B492" s="48"/>
      <c r="D492" s="47"/>
    </row>
    <row r="493" spans="2:4" x14ac:dyDescent="0.35">
      <c r="B493" s="48"/>
      <c r="D493" s="47"/>
    </row>
    <row r="494" spans="2:4" x14ac:dyDescent="0.35">
      <c r="B494" s="48"/>
      <c r="D494" s="47"/>
    </row>
    <row r="495" spans="2:4" x14ac:dyDescent="0.35">
      <c r="B495" s="48"/>
      <c r="D495" s="47"/>
    </row>
    <row r="496" spans="2:4" x14ac:dyDescent="0.35">
      <c r="B496" s="48"/>
      <c r="D496" s="47"/>
    </row>
    <row r="497" spans="2:4" x14ac:dyDescent="0.35">
      <c r="B497" s="48"/>
      <c r="D497" s="47"/>
    </row>
    <row r="498" spans="2:4" x14ac:dyDescent="0.35">
      <c r="B498" s="48"/>
      <c r="D498" s="47"/>
    </row>
    <row r="499" spans="2:4" x14ac:dyDescent="0.35">
      <c r="B499" s="48"/>
      <c r="D499" s="47"/>
    </row>
    <row r="500" spans="2:4" x14ac:dyDescent="0.35">
      <c r="B500" s="48"/>
      <c r="D500" s="47"/>
    </row>
    <row r="501" spans="2:4" x14ac:dyDescent="0.35">
      <c r="B501" s="48"/>
      <c r="D501" s="47"/>
    </row>
    <row r="502" spans="2:4" x14ac:dyDescent="0.35">
      <c r="B502" s="48"/>
      <c r="D502" s="47"/>
    </row>
    <row r="503" spans="2:4" x14ac:dyDescent="0.35">
      <c r="B503" s="48"/>
      <c r="D503" s="47"/>
    </row>
    <row r="504" spans="2:4" x14ac:dyDescent="0.35">
      <c r="B504" s="48"/>
      <c r="D504" s="47"/>
    </row>
    <row r="505" spans="2:4" x14ac:dyDescent="0.35">
      <c r="B505" s="48"/>
      <c r="D505" s="47"/>
    </row>
    <row r="506" spans="2:4" x14ac:dyDescent="0.35">
      <c r="B506" s="48"/>
      <c r="D506" s="47"/>
    </row>
    <row r="507" spans="2:4" x14ac:dyDescent="0.35">
      <c r="B507" s="48"/>
      <c r="D507" s="47"/>
    </row>
    <row r="508" spans="2:4" x14ac:dyDescent="0.35">
      <c r="B508" s="48"/>
      <c r="D508" s="47"/>
    </row>
    <row r="509" spans="2:4" x14ac:dyDescent="0.35">
      <c r="B509" s="48"/>
      <c r="D509" s="47"/>
    </row>
    <row r="510" spans="2:4" x14ac:dyDescent="0.35">
      <c r="B510" s="48"/>
      <c r="D510" s="47"/>
    </row>
    <row r="511" spans="2:4" x14ac:dyDescent="0.35">
      <c r="B511" s="48"/>
      <c r="D511" s="47"/>
    </row>
    <row r="512" spans="2:4" x14ac:dyDescent="0.35">
      <c r="B512" s="48"/>
      <c r="D512" s="47"/>
    </row>
    <row r="513" spans="2:4" x14ac:dyDescent="0.35">
      <c r="B513" s="48"/>
      <c r="D513" s="47"/>
    </row>
    <row r="514" spans="2:4" x14ac:dyDescent="0.35">
      <c r="B514" s="48"/>
      <c r="D514" s="47"/>
    </row>
    <row r="515" spans="2:4" x14ac:dyDescent="0.35">
      <c r="B515" s="48"/>
      <c r="D515" s="47"/>
    </row>
    <row r="516" spans="2:4" x14ac:dyDescent="0.35">
      <c r="B516" s="48"/>
      <c r="D516" s="47"/>
    </row>
    <row r="517" spans="2:4" x14ac:dyDescent="0.35">
      <c r="B517" s="48"/>
      <c r="D517" s="47"/>
    </row>
    <row r="518" spans="2:4" x14ac:dyDescent="0.35">
      <c r="B518" s="48"/>
      <c r="D518" s="47"/>
    </row>
    <row r="519" spans="2:4" x14ac:dyDescent="0.35">
      <c r="B519" s="48"/>
      <c r="D519" s="47"/>
    </row>
    <row r="520" spans="2:4" x14ac:dyDescent="0.35">
      <c r="B520" s="48"/>
      <c r="D520" s="47"/>
    </row>
    <row r="521" spans="2:4" x14ac:dyDescent="0.35">
      <c r="B521" s="48"/>
      <c r="D521" s="47"/>
    </row>
    <row r="522" spans="2:4" x14ac:dyDescent="0.35">
      <c r="B522" s="48"/>
      <c r="D522" s="47"/>
    </row>
    <row r="523" spans="2:4" x14ac:dyDescent="0.35">
      <c r="B523" s="48"/>
      <c r="D523" s="47"/>
    </row>
    <row r="524" spans="2:4" x14ac:dyDescent="0.35">
      <c r="B524" s="48"/>
      <c r="D524" s="47"/>
    </row>
    <row r="525" spans="2:4" x14ac:dyDescent="0.35">
      <c r="B525" s="48"/>
      <c r="D525" s="47"/>
    </row>
    <row r="526" spans="2:4" x14ac:dyDescent="0.35">
      <c r="B526" s="48"/>
      <c r="D526" s="47"/>
    </row>
    <row r="527" spans="2:4" x14ac:dyDescent="0.35">
      <c r="B527" s="48"/>
      <c r="D527" s="47"/>
    </row>
    <row r="528" spans="2:4" x14ac:dyDescent="0.35">
      <c r="B528" s="48"/>
      <c r="D528" s="47"/>
    </row>
    <row r="529" spans="2:4" x14ac:dyDescent="0.35">
      <c r="B529" s="48"/>
      <c r="D529" s="47"/>
    </row>
    <row r="530" spans="2:4" x14ac:dyDescent="0.35">
      <c r="B530" s="48"/>
      <c r="D530" s="47"/>
    </row>
    <row r="531" spans="2:4" x14ac:dyDescent="0.35">
      <c r="B531" s="48"/>
      <c r="D531" s="47"/>
    </row>
    <row r="532" spans="2:4" x14ac:dyDescent="0.35">
      <c r="B532" s="48"/>
      <c r="D532" s="47"/>
    </row>
    <row r="533" spans="2:4" x14ac:dyDescent="0.35">
      <c r="B533" s="48"/>
      <c r="D533" s="47"/>
    </row>
    <row r="534" spans="2:4" x14ac:dyDescent="0.35">
      <c r="B534" s="48"/>
      <c r="D534" s="47"/>
    </row>
    <row r="535" spans="2:4" x14ac:dyDescent="0.35">
      <c r="B535" s="48"/>
      <c r="D535" s="47"/>
    </row>
    <row r="536" spans="2:4" x14ac:dyDescent="0.35">
      <c r="B536" s="48"/>
      <c r="D536" s="47"/>
    </row>
    <row r="537" spans="2:4" x14ac:dyDescent="0.35">
      <c r="B537" s="48"/>
      <c r="D537" s="47"/>
    </row>
    <row r="538" spans="2:4" x14ac:dyDescent="0.35">
      <c r="B538" s="48"/>
      <c r="D538" s="47"/>
    </row>
    <row r="539" spans="2:4" x14ac:dyDescent="0.35">
      <c r="B539" s="48"/>
      <c r="D539" s="47"/>
    </row>
    <row r="540" spans="2:4" x14ac:dyDescent="0.35">
      <c r="B540" s="48"/>
      <c r="D540" s="47"/>
    </row>
    <row r="541" spans="2:4" x14ac:dyDescent="0.35">
      <c r="B541" s="48"/>
      <c r="D541" s="47"/>
    </row>
    <row r="542" spans="2:4" x14ac:dyDescent="0.35">
      <c r="B542" s="48"/>
      <c r="D542" s="47"/>
    </row>
    <row r="543" spans="2:4" x14ac:dyDescent="0.35">
      <c r="B543" s="48"/>
      <c r="D543" s="47"/>
    </row>
    <row r="544" spans="2:4" x14ac:dyDescent="0.35">
      <c r="B544" s="48"/>
      <c r="D544" s="47"/>
    </row>
    <row r="545" spans="2:4" x14ac:dyDescent="0.35">
      <c r="B545" s="48"/>
      <c r="D545" s="47"/>
    </row>
    <row r="546" spans="2:4" x14ac:dyDescent="0.35">
      <c r="B546" s="48"/>
      <c r="D546" s="47"/>
    </row>
    <row r="547" spans="2:4" x14ac:dyDescent="0.35">
      <c r="B547" s="48"/>
      <c r="D547" s="47"/>
    </row>
    <row r="548" spans="2:4" x14ac:dyDescent="0.35">
      <c r="B548" s="48"/>
      <c r="D548" s="47"/>
    </row>
    <row r="549" spans="2:4" x14ac:dyDescent="0.35">
      <c r="B549" s="48"/>
      <c r="D549" s="47"/>
    </row>
    <row r="550" spans="2:4" x14ac:dyDescent="0.35">
      <c r="B550" s="48"/>
      <c r="D550" s="47"/>
    </row>
    <row r="551" spans="2:4" x14ac:dyDescent="0.35">
      <c r="B551" s="48"/>
      <c r="D551" s="47"/>
    </row>
    <row r="552" spans="2:4" x14ac:dyDescent="0.35">
      <c r="B552" s="48"/>
      <c r="D552" s="47"/>
    </row>
    <row r="553" spans="2:4" x14ac:dyDescent="0.35">
      <c r="B553" s="48"/>
      <c r="D553" s="47"/>
    </row>
    <row r="554" spans="2:4" x14ac:dyDescent="0.35">
      <c r="B554" s="48"/>
      <c r="D554" s="47"/>
    </row>
    <row r="555" spans="2:4" x14ac:dyDescent="0.35">
      <c r="B555" s="48"/>
      <c r="D555" s="47"/>
    </row>
    <row r="556" spans="2:4" x14ac:dyDescent="0.35">
      <c r="B556" s="48"/>
      <c r="D556" s="47"/>
    </row>
    <row r="557" spans="2:4" x14ac:dyDescent="0.35">
      <c r="B557" s="48"/>
      <c r="D557" s="47"/>
    </row>
    <row r="558" spans="2:4" x14ac:dyDescent="0.35">
      <c r="B558" s="48"/>
      <c r="D558" s="47"/>
    </row>
    <row r="559" spans="2:4" x14ac:dyDescent="0.35">
      <c r="B559" s="48"/>
      <c r="D559" s="47"/>
    </row>
    <row r="560" spans="2:4" x14ac:dyDescent="0.35">
      <c r="B560" s="48"/>
      <c r="D560" s="47"/>
    </row>
    <row r="561" spans="2:4" x14ac:dyDescent="0.35">
      <c r="B561" s="48"/>
      <c r="D561" s="47"/>
    </row>
    <row r="562" spans="2:4" x14ac:dyDescent="0.35">
      <c r="B562" s="48"/>
      <c r="D562" s="47"/>
    </row>
    <row r="563" spans="2:4" x14ac:dyDescent="0.35">
      <c r="B563" s="48"/>
      <c r="D563" s="47"/>
    </row>
    <row r="564" spans="2:4" x14ac:dyDescent="0.35">
      <c r="B564" s="48"/>
      <c r="D564" s="47"/>
    </row>
    <row r="565" spans="2:4" x14ac:dyDescent="0.35">
      <c r="B565" s="48"/>
      <c r="D565" s="47"/>
    </row>
    <row r="566" spans="2:4" x14ac:dyDescent="0.35">
      <c r="B566" s="48"/>
      <c r="D566" s="47"/>
    </row>
    <row r="567" spans="2:4" x14ac:dyDescent="0.35">
      <c r="B567" s="48"/>
      <c r="D567" s="47"/>
    </row>
    <row r="568" spans="2:4" x14ac:dyDescent="0.35">
      <c r="B568" s="48"/>
      <c r="D568" s="47"/>
    </row>
    <row r="569" spans="2:4" x14ac:dyDescent="0.35">
      <c r="B569" s="48"/>
      <c r="D569" s="47"/>
    </row>
    <row r="570" spans="2:4" x14ac:dyDescent="0.35">
      <c r="B570" s="48"/>
      <c r="D570" s="47"/>
    </row>
    <row r="571" spans="2:4" x14ac:dyDescent="0.35">
      <c r="B571" s="48"/>
      <c r="D571" s="47"/>
    </row>
    <row r="572" spans="2:4" x14ac:dyDescent="0.35">
      <c r="B572" s="48"/>
      <c r="D572" s="47"/>
    </row>
    <row r="573" spans="2:4" x14ac:dyDescent="0.35">
      <c r="B573" s="48"/>
      <c r="D573" s="47"/>
    </row>
    <row r="574" spans="2:4" x14ac:dyDescent="0.35">
      <c r="B574" s="48"/>
      <c r="D574" s="47"/>
    </row>
    <row r="575" spans="2:4" x14ac:dyDescent="0.35">
      <c r="B575" s="48"/>
      <c r="D575" s="47"/>
    </row>
    <row r="576" spans="2:4" x14ac:dyDescent="0.35">
      <c r="B576" s="48"/>
      <c r="D576" s="47"/>
    </row>
    <row r="577" spans="2:4" x14ac:dyDescent="0.35">
      <c r="B577" s="48"/>
      <c r="D577" s="47"/>
    </row>
    <row r="578" spans="2:4" x14ac:dyDescent="0.35">
      <c r="B578" s="48"/>
      <c r="D578" s="47"/>
    </row>
    <row r="579" spans="2:4" x14ac:dyDescent="0.35">
      <c r="B579" s="48"/>
      <c r="D579" s="47"/>
    </row>
    <row r="580" spans="2:4" x14ac:dyDescent="0.35">
      <c r="B580" s="48"/>
      <c r="D580" s="47"/>
    </row>
    <row r="581" spans="2:4" x14ac:dyDescent="0.35">
      <c r="B581" s="48"/>
      <c r="D581" s="47"/>
    </row>
    <row r="582" spans="2:4" x14ac:dyDescent="0.35">
      <c r="B582" s="48"/>
      <c r="D582" s="47"/>
    </row>
    <row r="583" spans="2:4" x14ac:dyDescent="0.35">
      <c r="B583" s="48"/>
      <c r="D583" s="47"/>
    </row>
    <row r="584" spans="2:4" x14ac:dyDescent="0.35">
      <c r="B584" s="48"/>
      <c r="D584" s="47"/>
    </row>
    <row r="585" spans="2:4" x14ac:dyDescent="0.35">
      <c r="B585" s="48"/>
      <c r="D585" s="47"/>
    </row>
    <row r="586" spans="2:4" x14ac:dyDescent="0.35">
      <c r="B586" s="48"/>
      <c r="D586" s="47"/>
    </row>
    <row r="587" spans="2:4" x14ac:dyDescent="0.35">
      <c r="B587" s="48"/>
      <c r="D587" s="47"/>
    </row>
    <row r="588" spans="2:4" x14ac:dyDescent="0.35">
      <c r="B588" s="48"/>
      <c r="D588" s="47"/>
    </row>
    <row r="589" spans="2:4" x14ac:dyDescent="0.35">
      <c r="B589" s="48"/>
      <c r="D589" s="47"/>
    </row>
    <row r="590" spans="2:4" x14ac:dyDescent="0.35">
      <c r="B590" s="48"/>
      <c r="D590" s="47"/>
    </row>
    <row r="591" spans="2:4" x14ac:dyDescent="0.35">
      <c r="B591" s="48"/>
      <c r="D591" s="47"/>
    </row>
    <row r="592" spans="2:4" x14ac:dyDescent="0.35">
      <c r="B592" s="48"/>
      <c r="D592" s="47"/>
    </row>
    <row r="593" spans="2:4" x14ac:dyDescent="0.35">
      <c r="B593" s="48"/>
      <c r="D593" s="47"/>
    </row>
    <row r="594" spans="2:4" x14ac:dyDescent="0.35">
      <c r="B594" s="48"/>
      <c r="D594" s="47"/>
    </row>
    <row r="595" spans="2:4" x14ac:dyDescent="0.35">
      <c r="B595" s="48"/>
      <c r="D595" s="47"/>
    </row>
    <row r="596" spans="2:4" x14ac:dyDescent="0.35">
      <c r="B596" s="48"/>
      <c r="D596" s="47"/>
    </row>
    <row r="597" spans="2:4" x14ac:dyDescent="0.35">
      <c r="B597" s="48"/>
      <c r="D597" s="47"/>
    </row>
    <row r="598" spans="2:4" x14ac:dyDescent="0.35">
      <c r="B598" s="48"/>
      <c r="D598" s="47"/>
    </row>
    <row r="599" spans="2:4" x14ac:dyDescent="0.35">
      <c r="B599" s="48"/>
      <c r="D599" s="47"/>
    </row>
    <row r="600" spans="2:4" x14ac:dyDescent="0.35">
      <c r="B600" s="48"/>
      <c r="D600" s="47"/>
    </row>
    <row r="601" spans="2:4" x14ac:dyDescent="0.35">
      <c r="B601" s="48"/>
      <c r="D601" s="47"/>
    </row>
    <row r="602" spans="2:4" x14ac:dyDescent="0.35">
      <c r="B602" s="48"/>
      <c r="D602" s="47"/>
    </row>
    <row r="603" spans="2:4" x14ac:dyDescent="0.35">
      <c r="B603" s="48"/>
      <c r="D603" s="47"/>
    </row>
    <row r="604" spans="2:4" x14ac:dyDescent="0.35">
      <c r="B604" s="48"/>
      <c r="D604" s="47"/>
    </row>
    <row r="605" spans="2:4" x14ac:dyDescent="0.35">
      <c r="B605" s="48"/>
      <c r="D605" s="47"/>
    </row>
    <row r="606" spans="2:4" x14ac:dyDescent="0.35">
      <c r="B606" s="48"/>
      <c r="D606" s="47"/>
    </row>
    <row r="607" spans="2:4" x14ac:dyDescent="0.35">
      <c r="B607" s="48"/>
      <c r="D607" s="47"/>
    </row>
    <row r="608" spans="2:4" x14ac:dyDescent="0.35">
      <c r="B608" s="48"/>
      <c r="D608" s="47"/>
    </row>
    <row r="609" spans="2:4" x14ac:dyDescent="0.35">
      <c r="B609" s="48"/>
      <c r="D609" s="47"/>
    </row>
    <row r="610" spans="2:4" x14ac:dyDescent="0.35">
      <c r="B610" s="48"/>
      <c r="D610" s="47"/>
    </row>
    <row r="611" spans="2:4" x14ac:dyDescent="0.35">
      <c r="B611" s="48"/>
      <c r="D611" s="47"/>
    </row>
    <row r="612" spans="2:4" x14ac:dyDescent="0.35">
      <c r="B612" s="48"/>
      <c r="D612" s="47"/>
    </row>
    <row r="613" spans="2:4" x14ac:dyDescent="0.35">
      <c r="B613" s="48"/>
      <c r="D613" s="47"/>
    </row>
    <row r="614" spans="2:4" x14ac:dyDescent="0.35">
      <c r="B614" s="48"/>
      <c r="D614" s="47"/>
    </row>
    <row r="615" spans="2:4" x14ac:dyDescent="0.35">
      <c r="B615" s="48"/>
      <c r="D615" s="47"/>
    </row>
    <row r="616" spans="2:4" x14ac:dyDescent="0.35">
      <c r="B616" s="48"/>
      <c r="D616" s="47"/>
    </row>
    <row r="617" spans="2:4" x14ac:dyDescent="0.35">
      <c r="B617" s="48"/>
      <c r="D617" s="47"/>
    </row>
    <row r="618" spans="2:4" x14ac:dyDescent="0.35">
      <c r="B618" s="48"/>
      <c r="D618" s="47"/>
    </row>
    <row r="619" spans="2:4" x14ac:dyDescent="0.35">
      <c r="B619" s="48"/>
      <c r="D619" s="47"/>
    </row>
    <row r="620" spans="2:4" x14ac:dyDescent="0.35">
      <c r="B620" s="48"/>
      <c r="D620" s="47"/>
    </row>
    <row r="621" spans="2:4" x14ac:dyDescent="0.35">
      <c r="B621" s="48"/>
      <c r="D621" s="47"/>
    </row>
    <row r="622" spans="2:4" x14ac:dyDescent="0.35">
      <c r="B622" s="48"/>
      <c r="D622" s="47"/>
    </row>
    <row r="623" spans="2:4" x14ac:dyDescent="0.35">
      <c r="B623" s="48"/>
      <c r="D623" s="47"/>
    </row>
    <row r="624" spans="2:4" x14ac:dyDescent="0.35">
      <c r="B624" s="48"/>
      <c r="D624" s="47"/>
    </row>
    <row r="625" spans="2:4" x14ac:dyDescent="0.35">
      <c r="B625" s="48"/>
      <c r="D625" s="47"/>
    </row>
    <row r="626" spans="2:4" x14ac:dyDescent="0.35">
      <c r="B626" s="48"/>
      <c r="D626" s="47"/>
    </row>
    <row r="627" spans="2:4" x14ac:dyDescent="0.35">
      <c r="B627" s="48"/>
      <c r="D627" s="47"/>
    </row>
    <row r="628" spans="2:4" x14ac:dyDescent="0.35">
      <c r="B628" s="48"/>
      <c r="D628" s="47"/>
    </row>
    <row r="629" spans="2:4" x14ac:dyDescent="0.35">
      <c r="B629" s="48"/>
      <c r="D629" s="47"/>
    </row>
    <row r="630" spans="2:4" x14ac:dyDescent="0.35">
      <c r="B630" s="48"/>
      <c r="D630" s="47"/>
    </row>
    <row r="631" spans="2:4" x14ac:dyDescent="0.35">
      <c r="B631" s="48"/>
      <c r="D631" s="47"/>
    </row>
    <row r="632" spans="2:4" x14ac:dyDescent="0.35">
      <c r="B632" s="48"/>
      <c r="D632" s="47"/>
    </row>
    <row r="633" spans="2:4" x14ac:dyDescent="0.35">
      <c r="B633" s="48"/>
      <c r="D633" s="47"/>
    </row>
    <row r="634" spans="2:4" x14ac:dyDescent="0.35">
      <c r="B634" s="48"/>
      <c r="D634" s="47"/>
    </row>
    <row r="635" spans="2:4" x14ac:dyDescent="0.35">
      <c r="B635" s="48"/>
      <c r="D635" s="47"/>
    </row>
    <row r="636" spans="2:4" x14ac:dyDescent="0.35">
      <c r="B636" s="48"/>
      <c r="D636" s="47"/>
    </row>
    <row r="637" spans="2:4" x14ac:dyDescent="0.35">
      <c r="B637" s="48"/>
      <c r="D637" s="47"/>
    </row>
    <row r="638" spans="2:4" x14ac:dyDescent="0.35">
      <c r="B638" s="48"/>
      <c r="D638" s="47"/>
    </row>
    <row r="639" spans="2:4" x14ac:dyDescent="0.35">
      <c r="B639" s="48"/>
      <c r="D639" s="47"/>
    </row>
    <row r="640" spans="2:4" x14ac:dyDescent="0.35">
      <c r="B640" s="48"/>
      <c r="D640" s="47"/>
    </row>
    <row r="641" spans="2:4" x14ac:dyDescent="0.35">
      <c r="B641" s="48"/>
      <c r="D641" s="47"/>
    </row>
    <row r="642" spans="2:4" x14ac:dyDescent="0.35">
      <c r="B642" s="48"/>
      <c r="D642" s="47"/>
    </row>
    <row r="643" spans="2:4" x14ac:dyDescent="0.35">
      <c r="B643" s="48"/>
      <c r="D643" s="47"/>
    </row>
    <row r="644" spans="2:4" x14ac:dyDescent="0.35">
      <c r="B644" s="48"/>
      <c r="D644" s="47"/>
    </row>
    <row r="645" spans="2:4" x14ac:dyDescent="0.35">
      <c r="B645" s="48"/>
      <c r="D645" s="47"/>
    </row>
    <row r="646" spans="2:4" x14ac:dyDescent="0.35">
      <c r="B646" s="48"/>
      <c r="D646" s="47"/>
    </row>
    <row r="647" spans="2:4" x14ac:dyDescent="0.35">
      <c r="B647" s="48"/>
      <c r="D647" s="47"/>
    </row>
    <row r="648" spans="2:4" x14ac:dyDescent="0.35">
      <c r="B648" s="48"/>
      <c r="D648" s="47"/>
    </row>
    <row r="649" spans="2:4" x14ac:dyDescent="0.35">
      <c r="B649" s="48"/>
      <c r="D649" s="47"/>
    </row>
    <row r="650" spans="2:4" x14ac:dyDescent="0.35">
      <c r="B650" s="48"/>
      <c r="D650" s="47"/>
    </row>
    <row r="651" spans="2:4" x14ac:dyDescent="0.35">
      <c r="B651" s="48"/>
      <c r="D651" s="47"/>
    </row>
    <row r="652" spans="2:4" x14ac:dyDescent="0.35">
      <c r="B652" s="48"/>
      <c r="D652" s="47"/>
    </row>
    <row r="653" spans="2:4" x14ac:dyDescent="0.35">
      <c r="B653" s="48"/>
      <c r="D653" s="47"/>
    </row>
    <row r="654" spans="2:4" x14ac:dyDescent="0.35">
      <c r="B654" s="48"/>
      <c r="D654" s="47"/>
    </row>
    <row r="655" spans="2:4" x14ac:dyDescent="0.35">
      <c r="B655" s="48"/>
      <c r="D655" s="47"/>
    </row>
    <row r="656" spans="2:4" x14ac:dyDescent="0.35">
      <c r="B656" s="48"/>
      <c r="D656" s="47"/>
    </row>
    <row r="657" spans="2:4" x14ac:dyDescent="0.35">
      <c r="B657" s="48"/>
      <c r="D657" s="47"/>
    </row>
    <row r="658" spans="2:4" x14ac:dyDescent="0.35">
      <c r="B658" s="48"/>
      <c r="D658" s="47"/>
    </row>
    <row r="659" spans="2:4" x14ac:dyDescent="0.35">
      <c r="B659" s="48"/>
      <c r="D659" s="47"/>
    </row>
    <row r="660" spans="2:4" x14ac:dyDescent="0.35">
      <c r="B660" s="48"/>
      <c r="D660" s="47"/>
    </row>
    <row r="661" spans="2:4" x14ac:dyDescent="0.35">
      <c r="B661" s="48"/>
      <c r="D661" s="47"/>
    </row>
    <row r="662" spans="2:4" x14ac:dyDescent="0.35">
      <c r="B662" s="48"/>
      <c r="D662" s="47"/>
    </row>
    <row r="663" spans="2:4" x14ac:dyDescent="0.35">
      <c r="B663" s="48"/>
      <c r="D663" s="47"/>
    </row>
    <row r="664" spans="2:4" x14ac:dyDescent="0.35">
      <c r="B664" s="48"/>
      <c r="D664" s="47"/>
    </row>
    <row r="665" spans="2:4" x14ac:dyDescent="0.35">
      <c r="B665" s="48"/>
      <c r="D665" s="47"/>
    </row>
    <row r="666" spans="2:4" x14ac:dyDescent="0.35">
      <c r="B666" s="48"/>
      <c r="D666" s="47"/>
    </row>
    <row r="667" spans="2:4" x14ac:dyDescent="0.35">
      <c r="B667" s="48"/>
      <c r="D667" s="47"/>
    </row>
    <row r="668" spans="2:4" x14ac:dyDescent="0.35">
      <c r="B668" s="48"/>
      <c r="D668" s="47"/>
    </row>
    <row r="669" spans="2:4" x14ac:dyDescent="0.35">
      <c r="B669" s="48"/>
      <c r="D669" s="47"/>
    </row>
    <row r="670" spans="2:4" x14ac:dyDescent="0.35">
      <c r="B670" s="48"/>
      <c r="D670" s="47"/>
    </row>
    <row r="671" spans="2:4" x14ac:dyDescent="0.35">
      <c r="B671" s="48"/>
      <c r="D671" s="47"/>
    </row>
    <row r="672" spans="2:4" x14ac:dyDescent="0.35">
      <c r="B672" s="48"/>
      <c r="D672" s="47"/>
    </row>
    <row r="673" spans="2:4" x14ac:dyDescent="0.35">
      <c r="B673" s="48"/>
      <c r="D673" s="47"/>
    </row>
    <row r="674" spans="2:4" x14ac:dyDescent="0.35">
      <c r="B674" s="48"/>
      <c r="D674" s="47"/>
    </row>
    <row r="675" spans="2:4" x14ac:dyDescent="0.35">
      <c r="B675" s="48"/>
      <c r="D675" s="47"/>
    </row>
    <row r="676" spans="2:4" x14ac:dyDescent="0.35">
      <c r="B676" s="48"/>
      <c r="D676" s="47"/>
    </row>
    <row r="677" spans="2:4" x14ac:dyDescent="0.35">
      <c r="B677" s="48"/>
      <c r="D677" s="47"/>
    </row>
    <row r="678" spans="2:4" x14ac:dyDescent="0.35">
      <c r="B678" s="48"/>
      <c r="D678" s="47"/>
    </row>
    <row r="679" spans="2:4" x14ac:dyDescent="0.35">
      <c r="B679" s="48"/>
      <c r="D679" s="47"/>
    </row>
    <row r="680" spans="2:4" x14ac:dyDescent="0.35">
      <c r="B680" s="48"/>
      <c r="D680" s="47"/>
    </row>
    <row r="681" spans="2:4" x14ac:dyDescent="0.35">
      <c r="B681" s="48"/>
      <c r="D681" s="47"/>
    </row>
    <row r="682" spans="2:4" x14ac:dyDescent="0.35">
      <c r="B682" s="48"/>
      <c r="D682" s="47"/>
    </row>
    <row r="683" spans="2:4" x14ac:dyDescent="0.35">
      <c r="B683" s="48"/>
      <c r="D683" s="47"/>
    </row>
    <row r="684" spans="2:4" x14ac:dyDescent="0.35">
      <c r="B684" s="48"/>
      <c r="D684" s="47"/>
    </row>
    <row r="685" spans="2:4" x14ac:dyDescent="0.35">
      <c r="B685" s="48"/>
      <c r="D685" s="47"/>
    </row>
    <row r="686" spans="2:4" x14ac:dyDescent="0.35">
      <c r="B686" s="48"/>
      <c r="D686" s="47"/>
    </row>
    <row r="687" spans="2:4" x14ac:dyDescent="0.35">
      <c r="B687" s="48"/>
      <c r="D687" s="47"/>
    </row>
    <row r="688" spans="2:4" x14ac:dyDescent="0.35">
      <c r="B688" s="48"/>
      <c r="D688" s="47"/>
    </row>
    <row r="689" spans="2:4" x14ac:dyDescent="0.35">
      <c r="B689" s="48"/>
      <c r="D689" s="47"/>
    </row>
    <row r="690" spans="2:4" x14ac:dyDescent="0.35">
      <c r="B690" s="48"/>
      <c r="D690" s="47"/>
    </row>
    <row r="691" spans="2:4" x14ac:dyDescent="0.35">
      <c r="B691" s="48"/>
      <c r="D691" s="47"/>
    </row>
    <row r="692" spans="2:4" x14ac:dyDescent="0.35">
      <c r="B692" s="48"/>
      <c r="D692" s="47"/>
    </row>
    <row r="693" spans="2:4" x14ac:dyDescent="0.35">
      <c r="B693" s="48"/>
      <c r="D693" s="47"/>
    </row>
    <row r="694" spans="2:4" x14ac:dyDescent="0.35">
      <c r="B694" s="48"/>
      <c r="D694" s="47"/>
    </row>
    <row r="695" spans="2:4" x14ac:dyDescent="0.35">
      <c r="B695" s="48"/>
      <c r="D695" s="47"/>
    </row>
    <row r="696" spans="2:4" x14ac:dyDescent="0.35">
      <c r="B696" s="48"/>
      <c r="D696" s="47"/>
    </row>
    <row r="697" spans="2:4" x14ac:dyDescent="0.35">
      <c r="B697" s="48"/>
      <c r="D697" s="47"/>
    </row>
    <row r="698" spans="2:4" x14ac:dyDescent="0.35">
      <c r="B698" s="48"/>
      <c r="D698" s="47"/>
    </row>
    <row r="699" spans="2:4" x14ac:dyDescent="0.35">
      <c r="B699" s="48"/>
      <c r="D699" s="47"/>
    </row>
    <row r="700" spans="2:4" x14ac:dyDescent="0.35">
      <c r="B700" s="48"/>
      <c r="D700" s="47"/>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A750"/>
  <sheetViews>
    <sheetView showGridLines="0" tabSelected="1" topLeftCell="T529" zoomScale="85" zoomScaleNormal="85" workbookViewId="0">
      <selection activeCell="T581" sqref="T581"/>
    </sheetView>
  </sheetViews>
  <sheetFormatPr defaultColWidth="8.54296875" defaultRowHeight="15" customHeight="1" x14ac:dyDescent="0.35"/>
  <cols>
    <col min="1" max="1" width="3.1796875" style="38" customWidth="1"/>
    <col min="2" max="2" width="40.54296875" style="30" bestFit="1" customWidth="1"/>
    <col min="3" max="3" width="49.7265625" style="29" customWidth="1"/>
    <col min="4" max="4" width="30.453125" style="29" customWidth="1"/>
    <col min="5" max="5" width="44.7265625" style="29" customWidth="1"/>
    <col min="6" max="6" width="45.7265625" style="29" customWidth="1"/>
    <col min="7" max="7" width="52.1796875" style="29" customWidth="1"/>
    <col min="8" max="8" width="28.81640625" style="29" customWidth="1"/>
    <col min="9" max="9" width="12.81640625" style="29" customWidth="1"/>
    <col min="10" max="10" width="11.81640625" style="29" customWidth="1"/>
    <col min="11" max="11" width="19.453125" style="29" customWidth="1"/>
    <col min="12" max="13" width="26" style="29" customWidth="1"/>
    <col min="14" max="14" width="61.26953125" style="26" customWidth="1"/>
    <col min="15" max="15" width="58" style="30" customWidth="1"/>
    <col min="16" max="16" width="37.54296875" style="27" customWidth="1"/>
    <col min="17" max="17" width="96" style="28" customWidth="1"/>
    <col min="18" max="18" width="148.7265625" style="30" customWidth="1"/>
    <col min="19" max="19" width="42.7265625" style="24" customWidth="1"/>
    <col min="20" max="20" width="84.81640625" style="29" customWidth="1"/>
    <col min="21" max="21" width="76.54296875" style="30" customWidth="1"/>
    <col min="22" max="22" width="32.26953125" style="29" customWidth="1"/>
    <col min="23" max="23" width="90.1796875" style="26" customWidth="1"/>
    <col min="24" max="24" width="37.1796875" style="26" bestFit="1" customWidth="1"/>
    <col min="25" max="25" width="46.54296875" style="26" customWidth="1"/>
    <col min="26" max="26" width="137.7265625" style="29" customWidth="1"/>
    <col min="27" max="27" width="99" style="27" customWidth="1"/>
    <col min="28" max="28" width="119.26953125" style="24" customWidth="1"/>
    <col min="29" max="29" width="77.81640625" style="24" customWidth="1"/>
    <col min="30" max="16384" width="8.54296875" style="24"/>
  </cols>
  <sheetData>
    <row r="1" spans="1:27" ht="15" customHeight="1" x14ac:dyDescent="0.35">
      <c r="U1" s="30" t="s">
        <v>84</v>
      </c>
    </row>
    <row r="3" spans="1:27" ht="14.5" x14ac:dyDescent="0.2">
      <c r="A3" s="37"/>
      <c r="B3" s="31"/>
      <c r="C3" s="32"/>
      <c r="D3" s="32"/>
      <c r="E3" s="32"/>
      <c r="F3" s="32"/>
      <c r="G3" s="32"/>
      <c r="H3" s="32"/>
      <c r="I3" s="32"/>
      <c r="J3" s="32"/>
      <c r="K3" s="32"/>
      <c r="L3" s="32"/>
      <c r="M3" s="32"/>
      <c r="N3" s="33"/>
      <c r="O3" s="31"/>
      <c r="P3" s="34"/>
      <c r="Q3" s="35"/>
      <c r="R3" s="31"/>
      <c r="S3" s="36"/>
      <c r="T3" s="32"/>
      <c r="U3" s="31"/>
      <c r="V3" s="32"/>
      <c r="W3" s="33"/>
      <c r="X3" s="33"/>
      <c r="Y3" s="33"/>
      <c r="Z3" s="32"/>
      <c r="AA3" s="34"/>
    </row>
    <row r="5" spans="1:27" s="26" customFormat="1" ht="30" customHeight="1" x14ac:dyDescent="0.35">
      <c r="B5" s="395" t="s">
        <v>85</v>
      </c>
      <c r="C5" s="395"/>
      <c r="D5" s="395"/>
      <c r="E5" s="395"/>
      <c r="F5" s="395"/>
      <c r="G5" s="395"/>
      <c r="H5" s="395"/>
      <c r="I5" s="395"/>
      <c r="J5" s="395"/>
      <c r="K5" s="395"/>
      <c r="L5" s="395"/>
      <c r="M5" s="395"/>
      <c r="N5" s="395"/>
      <c r="O5" s="395"/>
      <c r="P5" s="395"/>
      <c r="Q5" s="396"/>
      <c r="R5" s="399" t="s">
        <v>86</v>
      </c>
      <c r="S5" s="399"/>
      <c r="T5" s="402" t="s">
        <v>87</v>
      </c>
      <c r="U5" s="403"/>
      <c r="V5" s="403"/>
      <c r="W5" s="404"/>
      <c r="X5" s="394" t="s">
        <v>88</v>
      </c>
      <c r="Y5" s="394"/>
      <c r="Z5" s="394"/>
      <c r="AA5" s="394"/>
    </row>
    <row r="6" spans="1:27" ht="30" customHeight="1" x14ac:dyDescent="0.35">
      <c r="B6" s="397" t="s">
        <v>89</v>
      </c>
      <c r="C6" s="397"/>
      <c r="D6" s="397"/>
      <c r="E6" s="397"/>
      <c r="F6" s="397"/>
      <c r="G6" s="397"/>
      <c r="H6" s="397"/>
      <c r="I6" s="397"/>
      <c r="J6" s="397"/>
      <c r="K6" s="397"/>
      <c r="L6" s="397"/>
      <c r="M6" s="397"/>
      <c r="N6" s="397"/>
      <c r="O6" s="397"/>
      <c r="P6" s="397"/>
      <c r="Q6" s="398"/>
      <c r="R6" s="399" t="s">
        <v>90</v>
      </c>
      <c r="S6" s="399"/>
      <c r="T6" s="324"/>
      <c r="U6" s="400" t="s">
        <v>91</v>
      </c>
      <c r="V6" s="400"/>
      <c r="W6" s="401"/>
      <c r="X6" s="393" t="s">
        <v>92</v>
      </c>
      <c r="Y6" s="393"/>
      <c r="Z6" s="393"/>
      <c r="AA6" s="393"/>
    </row>
    <row r="7" spans="1:27" s="73" customFormat="1" ht="39.75" customHeight="1" x14ac:dyDescent="0.35">
      <c r="B7" s="46" t="s">
        <v>93</v>
      </c>
      <c r="C7" s="46" t="s">
        <v>94</v>
      </c>
      <c r="D7" s="46" t="s">
        <v>95</v>
      </c>
      <c r="E7" s="46" t="s">
        <v>96</v>
      </c>
      <c r="F7" s="46" t="s">
        <v>97</v>
      </c>
      <c r="G7" s="46" t="s">
        <v>98</v>
      </c>
      <c r="H7" s="46" t="s">
        <v>99</v>
      </c>
      <c r="I7" s="46" t="s">
        <v>100</v>
      </c>
      <c r="J7" s="46" t="s">
        <v>101</v>
      </c>
      <c r="K7" s="46" t="s">
        <v>102</v>
      </c>
      <c r="L7" s="46" t="s">
        <v>103</v>
      </c>
      <c r="M7" s="46" t="s">
        <v>104</v>
      </c>
      <c r="N7" s="46" t="s">
        <v>105</v>
      </c>
      <c r="O7" s="46" t="s">
        <v>106</v>
      </c>
      <c r="P7" s="46" t="s">
        <v>107</v>
      </c>
      <c r="Q7" s="46" t="s">
        <v>108</v>
      </c>
      <c r="R7" s="46" t="s">
        <v>109</v>
      </c>
      <c r="S7" s="46" t="s">
        <v>110</v>
      </c>
      <c r="T7" s="46" t="s">
        <v>111</v>
      </c>
      <c r="U7" s="46" t="s">
        <v>112</v>
      </c>
      <c r="V7" s="46" t="s">
        <v>113</v>
      </c>
      <c r="W7" s="46" t="s">
        <v>114</v>
      </c>
      <c r="X7" s="46" t="s">
        <v>115</v>
      </c>
      <c r="Y7" s="46" t="s">
        <v>116</v>
      </c>
      <c r="Z7" s="46" t="s">
        <v>117</v>
      </c>
      <c r="AA7" s="83" t="s">
        <v>118</v>
      </c>
    </row>
    <row r="8" spans="1:27" ht="80.25" hidden="1" customHeight="1" x14ac:dyDescent="0.35">
      <c r="B8" s="51" t="s">
        <v>4</v>
      </c>
      <c r="C8" s="51" t="s">
        <v>119</v>
      </c>
      <c r="D8" s="51" t="s">
        <v>5</v>
      </c>
      <c r="E8" s="52">
        <v>1</v>
      </c>
      <c r="F8" s="51" t="s">
        <v>120</v>
      </c>
      <c r="G8" s="51" t="s">
        <v>121</v>
      </c>
      <c r="H8" s="51" t="s">
        <v>122</v>
      </c>
      <c r="I8" s="52">
        <v>1</v>
      </c>
      <c r="J8" s="51" t="s">
        <v>123</v>
      </c>
      <c r="K8" s="52">
        <v>4</v>
      </c>
      <c r="L8" s="52"/>
      <c r="M8" s="52"/>
      <c r="N8" s="328" t="s">
        <v>124</v>
      </c>
      <c r="O8" s="53" t="s">
        <v>125</v>
      </c>
      <c r="P8" s="52" t="s">
        <v>126</v>
      </c>
      <c r="Q8" s="54"/>
      <c r="R8" s="55" t="s">
        <v>127</v>
      </c>
      <c r="S8" s="55" t="s">
        <v>128</v>
      </c>
      <c r="T8" s="55" t="s">
        <v>129</v>
      </c>
      <c r="U8" s="55" t="s">
        <v>130</v>
      </c>
      <c r="V8" s="55" t="s">
        <v>131</v>
      </c>
      <c r="W8" s="82" t="s">
        <v>132</v>
      </c>
      <c r="X8" s="55" t="s">
        <v>133</v>
      </c>
      <c r="Y8" s="53" t="s">
        <v>134</v>
      </c>
      <c r="Z8" s="53" t="s">
        <v>134</v>
      </c>
      <c r="AA8" s="60" t="s">
        <v>135</v>
      </c>
    </row>
    <row r="9" spans="1:27" ht="80.25" hidden="1" customHeight="1" x14ac:dyDescent="0.35">
      <c r="B9" s="51" t="s">
        <v>4</v>
      </c>
      <c r="C9" s="51" t="s">
        <v>119</v>
      </c>
      <c r="D9" s="51" t="s">
        <v>5</v>
      </c>
      <c r="E9" s="52">
        <v>1</v>
      </c>
      <c r="F9" s="51" t="s">
        <v>136</v>
      </c>
      <c r="G9" s="51" t="s">
        <v>137</v>
      </c>
      <c r="H9" s="51" t="s">
        <v>122</v>
      </c>
      <c r="I9" s="52">
        <v>2</v>
      </c>
      <c r="J9" s="51" t="s">
        <v>123</v>
      </c>
      <c r="K9" s="52">
        <v>30</v>
      </c>
      <c r="L9" s="52"/>
      <c r="M9" s="52"/>
      <c r="N9" s="53" t="s">
        <v>138</v>
      </c>
      <c r="O9" s="53" t="s">
        <v>139</v>
      </c>
      <c r="P9" s="52" t="s">
        <v>126</v>
      </c>
      <c r="Q9" s="54"/>
      <c r="R9" s="55" t="s">
        <v>127</v>
      </c>
      <c r="S9" s="55" t="s">
        <v>128</v>
      </c>
      <c r="T9" s="55" t="s">
        <v>140</v>
      </c>
      <c r="U9" s="55" t="s">
        <v>141</v>
      </c>
      <c r="V9" s="55" t="s">
        <v>142</v>
      </c>
      <c r="W9" s="82" t="s">
        <v>143</v>
      </c>
      <c r="X9" s="55" t="s">
        <v>144</v>
      </c>
      <c r="Y9" s="53" t="s">
        <v>145</v>
      </c>
      <c r="Z9" s="53" t="s">
        <v>146</v>
      </c>
      <c r="AA9" s="60" t="s">
        <v>147</v>
      </c>
    </row>
    <row r="10" spans="1:27" ht="80.25" hidden="1" customHeight="1" x14ac:dyDescent="0.35">
      <c r="B10" s="56" t="s">
        <v>4</v>
      </c>
      <c r="C10" s="56" t="s">
        <v>119</v>
      </c>
      <c r="D10" s="56" t="s">
        <v>5</v>
      </c>
      <c r="E10" s="335">
        <v>1</v>
      </c>
      <c r="F10" s="56" t="s">
        <v>148</v>
      </c>
      <c r="G10" s="56" t="s">
        <v>149</v>
      </c>
      <c r="H10" s="200" t="s">
        <v>150</v>
      </c>
      <c r="I10" s="335">
        <v>3</v>
      </c>
      <c r="J10" s="56" t="s">
        <v>123</v>
      </c>
      <c r="K10" s="335">
        <v>4</v>
      </c>
      <c r="L10" s="335"/>
      <c r="M10" s="335"/>
      <c r="N10" s="155" t="s">
        <v>151</v>
      </c>
      <c r="O10" s="155" t="s">
        <v>152</v>
      </c>
      <c r="P10" s="335"/>
      <c r="Q10" s="155" t="s">
        <v>153</v>
      </c>
      <c r="R10" s="57"/>
      <c r="S10" s="56"/>
      <c r="T10" s="57" t="s">
        <v>129</v>
      </c>
      <c r="U10" s="57" t="s">
        <v>130</v>
      </c>
      <c r="V10" s="57" t="s">
        <v>131</v>
      </c>
      <c r="W10" s="305" t="s">
        <v>154</v>
      </c>
      <c r="X10" s="57" t="s">
        <v>134</v>
      </c>
      <c r="Y10" s="57" t="s">
        <v>134</v>
      </c>
      <c r="Z10" s="57" t="s">
        <v>134</v>
      </c>
      <c r="AA10" s="341" t="s">
        <v>134</v>
      </c>
    </row>
    <row r="11" spans="1:27" ht="80.25" hidden="1" customHeight="1" x14ac:dyDescent="0.35">
      <c r="B11" s="51" t="s">
        <v>4</v>
      </c>
      <c r="C11" s="51" t="s">
        <v>119</v>
      </c>
      <c r="D11" s="51" t="s">
        <v>5</v>
      </c>
      <c r="E11" s="52">
        <v>1</v>
      </c>
      <c r="F11" s="51" t="s">
        <v>155</v>
      </c>
      <c r="G11" s="51" t="s">
        <v>156</v>
      </c>
      <c r="H11" s="54" t="s">
        <v>150</v>
      </c>
      <c r="I11" s="52">
        <v>4</v>
      </c>
      <c r="J11" s="51" t="s">
        <v>123</v>
      </c>
      <c r="K11" s="52">
        <v>4</v>
      </c>
      <c r="L11" s="52"/>
      <c r="M11" s="52"/>
      <c r="N11" s="53" t="s">
        <v>157</v>
      </c>
      <c r="O11" s="53" t="s">
        <v>158</v>
      </c>
      <c r="P11" s="52"/>
      <c r="Q11" s="53" t="s">
        <v>159</v>
      </c>
      <c r="R11" s="55" t="s">
        <v>160</v>
      </c>
      <c r="S11" s="55" t="s">
        <v>161</v>
      </c>
      <c r="T11" s="55" t="s">
        <v>140</v>
      </c>
      <c r="U11" s="55" t="s">
        <v>162</v>
      </c>
      <c r="V11" s="55" t="s">
        <v>163</v>
      </c>
      <c r="W11" s="82" t="s">
        <v>164</v>
      </c>
      <c r="X11" s="55" t="s">
        <v>144</v>
      </c>
      <c r="Y11" s="86" t="s">
        <v>165</v>
      </c>
      <c r="Z11" s="86" t="s">
        <v>166</v>
      </c>
      <c r="AA11" s="60" t="s">
        <v>147</v>
      </c>
    </row>
    <row r="12" spans="1:27" ht="80.25" hidden="1" customHeight="1" x14ac:dyDescent="0.35">
      <c r="B12" s="220" t="s">
        <v>4</v>
      </c>
      <c r="C12" s="220" t="s">
        <v>119</v>
      </c>
      <c r="D12" s="220" t="s">
        <v>5</v>
      </c>
      <c r="E12" s="336">
        <v>1</v>
      </c>
      <c r="F12" s="220" t="s">
        <v>167</v>
      </c>
      <c r="G12" s="220" t="s">
        <v>168</v>
      </c>
      <c r="H12" s="366" t="s">
        <v>150</v>
      </c>
      <c r="I12" s="336">
        <v>5</v>
      </c>
      <c r="J12" s="220" t="s">
        <v>123</v>
      </c>
      <c r="K12" s="336">
        <v>4</v>
      </c>
      <c r="L12" s="336"/>
      <c r="M12" s="336"/>
      <c r="N12" s="139" t="s">
        <v>169</v>
      </c>
      <c r="O12" s="139" t="s">
        <v>170</v>
      </c>
      <c r="P12" s="336"/>
      <c r="Q12" s="139" t="s">
        <v>171</v>
      </c>
      <c r="R12" s="89" t="s">
        <v>160</v>
      </c>
      <c r="S12" s="89" t="s">
        <v>172</v>
      </c>
      <c r="T12" s="89" t="s">
        <v>140</v>
      </c>
      <c r="U12" s="89" t="s">
        <v>162</v>
      </c>
      <c r="V12" s="89" t="s">
        <v>173</v>
      </c>
      <c r="W12" s="320" t="s">
        <v>174</v>
      </c>
      <c r="X12" s="89" t="s">
        <v>144</v>
      </c>
      <c r="Y12" s="367" t="s">
        <v>165</v>
      </c>
      <c r="Z12" s="367" t="s">
        <v>175</v>
      </c>
      <c r="AA12" s="354" t="s">
        <v>147</v>
      </c>
    </row>
    <row r="13" spans="1:27" ht="80.25" hidden="1" customHeight="1" x14ac:dyDescent="0.35">
      <c r="B13" s="51" t="s">
        <v>4</v>
      </c>
      <c r="C13" s="51" t="s">
        <v>119</v>
      </c>
      <c r="D13" s="51" t="s">
        <v>5</v>
      </c>
      <c r="E13" s="52">
        <v>1</v>
      </c>
      <c r="F13" s="51" t="s">
        <v>176</v>
      </c>
      <c r="G13" s="51" t="s">
        <v>177</v>
      </c>
      <c r="H13" s="54" t="s">
        <v>150</v>
      </c>
      <c r="I13" s="52">
        <v>6</v>
      </c>
      <c r="J13" s="51" t="s">
        <v>123</v>
      </c>
      <c r="K13" s="52">
        <v>4</v>
      </c>
      <c r="L13" s="52"/>
      <c r="M13" s="52"/>
      <c r="N13" s="76" t="s">
        <v>178</v>
      </c>
      <c r="O13" s="53" t="s">
        <v>179</v>
      </c>
      <c r="P13" s="52"/>
      <c r="Q13" s="51"/>
      <c r="R13" s="55" t="s">
        <v>180</v>
      </c>
      <c r="S13" s="55" t="s">
        <v>181</v>
      </c>
      <c r="T13" s="55" t="s">
        <v>182</v>
      </c>
      <c r="U13" s="55" t="s">
        <v>183</v>
      </c>
      <c r="V13" s="53" t="s">
        <v>184</v>
      </c>
      <c r="W13" s="82" t="s">
        <v>185</v>
      </c>
      <c r="X13" s="55" t="s">
        <v>133</v>
      </c>
      <c r="Y13" s="53" t="s">
        <v>134</v>
      </c>
      <c r="Z13" s="53" t="s">
        <v>134</v>
      </c>
      <c r="AA13" s="60" t="s">
        <v>186</v>
      </c>
    </row>
    <row r="14" spans="1:27" ht="80.25" hidden="1" customHeight="1" x14ac:dyDescent="0.35">
      <c r="B14" s="51" t="s">
        <v>4</v>
      </c>
      <c r="C14" s="51" t="s">
        <v>119</v>
      </c>
      <c r="D14" s="51" t="s">
        <v>5</v>
      </c>
      <c r="E14" s="52">
        <v>1</v>
      </c>
      <c r="F14" s="51" t="s">
        <v>187</v>
      </c>
      <c r="G14" s="51" t="s">
        <v>188</v>
      </c>
      <c r="H14" s="54" t="s">
        <v>150</v>
      </c>
      <c r="I14" s="52">
        <v>7</v>
      </c>
      <c r="J14" s="51" t="s">
        <v>123</v>
      </c>
      <c r="K14" s="52">
        <v>30</v>
      </c>
      <c r="L14" s="52"/>
      <c r="M14" s="52"/>
      <c r="N14" s="53" t="s">
        <v>189</v>
      </c>
      <c r="O14" s="53" t="s">
        <v>190</v>
      </c>
      <c r="P14" s="52"/>
      <c r="Q14" s="51"/>
      <c r="R14" s="55" t="s">
        <v>180</v>
      </c>
      <c r="S14" s="55" t="s">
        <v>181</v>
      </c>
      <c r="T14" s="55" t="s">
        <v>191</v>
      </c>
      <c r="U14" s="55" t="s">
        <v>192</v>
      </c>
      <c r="V14" s="55" t="s">
        <v>193</v>
      </c>
      <c r="W14" s="82" t="s">
        <v>194</v>
      </c>
      <c r="X14" s="55" t="s">
        <v>144</v>
      </c>
      <c r="Y14" s="53" t="s">
        <v>195</v>
      </c>
      <c r="Z14" s="53" t="s">
        <v>196</v>
      </c>
      <c r="AA14" s="60" t="s">
        <v>197</v>
      </c>
    </row>
    <row r="15" spans="1:27" ht="80.25" hidden="1" customHeight="1" x14ac:dyDescent="0.35">
      <c r="B15" s="51" t="s">
        <v>4</v>
      </c>
      <c r="C15" s="51" t="s">
        <v>119</v>
      </c>
      <c r="D15" s="51" t="s">
        <v>5</v>
      </c>
      <c r="E15" s="52">
        <v>1</v>
      </c>
      <c r="F15" s="51" t="s">
        <v>198</v>
      </c>
      <c r="G15" s="51" t="s">
        <v>199</v>
      </c>
      <c r="H15" s="54" t="s">
        <v>200</v>
      </c>
      <c r="I15" s="52">
        <v>8</v>
      </c>
      <c r="J15" s="51" t="s">
        <v>123</v>
      </c>
      <c r="K15" s="52">
        <v>10</v>
      </c>
      <c r="L15" s="52"/>
      <c r="M15" s="52"/>
      <c r="N15" s="53" t="s">
        <v>201</v>
      </c>
      <c r="O15" s="53" t="s">
        <v>202</v>
      </c>
      <c r="P15" s="52"/>
      <c r="Q15" s="54"/>
      <c r="R15" s="55" t="s">
        <v>203</v>
      </c>
      <c r="S15" s="51" t="s">
        <v>198</v>
      </c>
      <c r="T15" s="55" t="s">
        <v>204</v>
      </c>
      <c r="U15" s="55" t="s">
        <v>205</v>
      </c>
      <c r="V15" s="86" t="s">
        <v>206</v>
      </c>
      <c r="W15" s="82" t="s">
        <v>207</v>
      </c>
      <c r="X15" s="55" t="s">
        <v>133</v>
      </c>
      <c r="Y15" s="86" t="s">
        <v>208</v>
      </c>
      <c r="Z15" s="86" t="s">
        <v>209</v>
      </c>
      <c r="AA15" s="60" t="s">
        <v>134</v>
      </c>
    </row>
    <row r="16" spans="1:27" ht="80.25" hidden="1" customHeight="1" x14ac:dyDescent="0.35">
      <c r="B16" s="51" t="s">
        <v>4</v>
      </c>
      <c r="C16" s="51" t="s">
        <v>119</v>
      </c>
      <c r="D16" s="51" t="s">
        <v>5</v>
      </c>
      <c r="E16" s="52">
        <v>1</v>
      </c>
      <c r="F16" s="51" t="s">
        <v>210</v>
      </c>
      <c r="G16" s="51" t="s">
        <v>211</v>
      </c>
      <c r="H16" s="54" t="s">
        <v>200</v>
      </c>
      <c r="I16" s="52">
        <v>9</v>
      </c>
      <c r="J16" s="51" t="s">
        <v>123</v>
      </c>
      <c r="K16" s="52">
        <v>10</v>
      </c>
      <c r="L16" s="52"/>
      <c r="M16" s="52"/>
      <c r="N16" s="53" t="s">
        <v>212</v>
      </c>
      <c r="O16" s="53" t="s">
        <v>213</v>
      </c>
      <c r="P16" s="52"/>
      <c r="Q16" s="54"/>
      <c r="R16" s="55" t="s">
        <v>214</v>
      </c>
      <c r="S16" s="51" t="s">
        <v>210</v>
      </c>
      <c r="T16" s="55" t="s">
        <v>215</v>
      </c>
      <c r="U16" s="55" t="s">
        <v>216</v>
      </c>
      <c r="V16" s="55" t="s">
        <v>217</v>
      </c>
      <c r="W16" s="82" t="s">
        <v>218</v>
      </c>
      <c r="X16" s="55" t="s">
        <v>133</v>
      </c>
      <c r="Y16" s="53" t="s">
        <v>219</v>
      </c>
      <c r="Z16" s="53" t="s">
        <v>220</v>
      </c>
      <c r="AA16" s="60" t="s">
        <v>221</v>
      </c>
    </row>
    <row r="17" spans="2:27" ht="80.25" hidden="1" customHeight="1" x14ac:dyDescent="0.35">
      <c r="B17" s="51" t="s">
        <v>4</v>
      </c>
      <c r="C17" s="51" t="s">
        <v>119</v>
      </c>
      <c r="D17" s="51" t="s">
        <v>5</v>
      </c>
      <c r="E17" s="52">
        <v>1</v>
      </c>
      <c r="F17" s="51" t="s">
        <v>222</v>
      </c>
      <c r="G17" s="51" t="s">
        <v>223</v>
      </c>
      <c r="H17" s="54" t="s">
        <v>224</v>
      </c>
      <c r="I17" s="52">
        <v>10</v>
      </c>
      <c r="J17" s="51" t="s">
        <v>123</v>
      </c>
      <c r="K17" s="52">
        <v>4</v>
      </c>
      <c r="L17" s="52"/>
      <c r="M17" s="52"/>
      <c r="N17" s="53" t="s">
        <v>225</v>
      </c>
      <c r="O17" s="53" t="s">
        <v>226</v>
      </c>
      <c r="P17" s="52"/>
      <c r="Q17" s="53" t="s">
        <v>227</v>
      </c>
      <c r="R17" s="55" t="s">
        <v>228</v>
      </c>
      <c r="S17" s="55" t="s">
        <v>229</v>
      </c>
      <c r="T17" s="55" t="s">
        <v>230</v>
      </c>
      <c r="U17" s="55" t="s">
        <v>231</v>
      </c>
      <c r="V17" s="55" t="s">
        <v>232</v>
      </c>
      <c r="W17" s="82" t="s">
        <v>233</v>
      </c>
      <c r="X17" s="55" t="s">
        <v>234</v>
      </c>
      <c r="Y17" s="86" t="s">
        <v>235</v>
      </c>
      <c r="Z17" s="86" t="s">
        <v>236</v>
      </c>
      <c r="AA17" s="60" t="s">
        <v>237</v>
      </c>
    </row>
    <row r="18" spans="2:27" ht="80.25" hidden="1" customHeight="1" x14ac:dyDescent="0.35">
      <c r="B18" s="51" t="s">
        <v>4</v>
      </c>
      <c r="C18" s="51" t="s">
        <v>119</v>
      </c>
      <c r="D18" s="51" t="s">
        <v>5</v>
      </c>
      <c r="E18" s="52">
        <v>1</v>
      </c>
      <c r="F18" s="51" t="s">
        <v>238</v>
      </c>
      <c r="G18" s="51" t="s">
        <v>239</v>
      </c>
      <c r="H18" s="54" t="s">
        <v>240</v>
      </c>
      <c r="I18" s="52">
        <v>11</v>
      </c>
      <c r="J18" s="51" t="s">
        <v>123</v>
      </c>
      <c r="K18" s="52">
        <v>4</v>
      </c>
      <c r="L18" s="52"/>
      <c r="M18" s="52"/>
      <c r="N18" s="53" t="s">
        <v>241</v>
      </c>
      <c r="O18" s="53" t="s">
        <v>242</v>
      </c>
      <c r="P18" s="52"/>
      <c r="Q18" s="54"/>
      <c r="R18" s="63"/>
      <c r="S18" s="61"/>
      <c r="T18" s="55" t="s">
        <v>129</v>
      </c>
      <c r="U18" s="55" t="s">
        <v>243</v>
      </c>
      <c r="V18" s="63" t="s">
        <v>244</v>
      </c>
      <c r="W18" s="82" t="s">
        <v>245</v>
      </c>
      <c r="X18" s="55" t="s">
        <v>133</v>
      </c>
      <c r="Y18" s="53" t="s">
        <v>134</v>
      </c>
      <c r="Z18" s="53" t="s">
        <v>134</v>
      </c>
      <c r="AA18" s="60" t="s">
        <v>246</v>
      </c>
    </row>
    <row r="19" spans="2:27" ht="80.25" hidden="1" customHeight="1" x14ac:dyDescent="0.35">
      <c r="B19" s="51" t="s">
        <v>4</v>
      </c>
      <c r="C19" s="51" t="s">
        <v>119</v>
      </c>
      <c r="D19" s="51" t="s">
        <v>5</v>
      </c>
      <c r="E19" s="52">
        <v>1</v>
      </c>
      <c r="F19" s="51" t="s">
        <v>247</v>
      </c>
      <c r="G19" s="51" t="s">
        <v>248</v>
      </c>
      <c r="H19" s="51" t="s">
        <v>249</v>
      </c>
      <c r="I19" s="52">
        <v>12</v>
      </c>
      <c r="J19" s="51" t="s">
        <v>250</v>
      </c>
      <c r="K19" s="52">
        <v>23</v>
      </c>
      <c r="L19" s="52">
        <v>6</v>
      </c>
      <c r="M19" s="52"/>
      <c r="N19" s="53" t="s">
        <v>251</v>
      </c>
      <c r="O19" s="53" t="s">
        <v>252</v>
      </c>
      <c r="P19" s="52"/>
      <c r="Q19" s="54"/>
      <c r="R19" s="55" t="s">
        <v>203</v>
      </c>
      <c r="S19" s="51" t="s">
        <v>253</v>
      </c>
      <c r="T19" s="55" t="s">
        <v>215</v>
      </c>
      <c r="U19" s="55" t="s">
        <v>254</v>
      </c>
      <c r="V19" s="55" t="s">
        <v>255</v>
      </c>
      <c r="W19" s="82" t="s">
        <v>256</v>
      </c>
      <c r="X19" s="55" t="s">
        <v>133</v>
      </c>
      <c r="Y19" s="65" t="s">
        <v>257</v>
      </c>
      <c r="Z19" s="65" t="s">
        <v>258</v>
      </c>
      <c r="AA19" s="60" t="s">
        <v>259</v>
      </c>
    </row>
    <row r="20" spans="2:27" ht="80.25" hidden="1" customHeight="1" x14ac:dyDescent="0.35">
      <c r="B20" s="51" t="s">
        <v>4</v>
      </c>
      <c r="C20" s="51" t="s">
        <v>119</v>
      </c>
      <c r="D20" s="51" t="s">
        <v>5</v>
      </c>
      <c r="E20" s="52">
        <v>1</v>
      </c>
      <c r="F20" s="51" t="s">
        <v>260</v>
      </c>
      <c r="G20" s="51" t="s">
        <v>261</v>
      </c>
      <c r="H20" s="51" t="s">
        <v>249</v>
      </c>
      <c r="I20" s="52">
        <v>13</v>
      </c>
      <c r="J20" s="51" t="s">
        <v>250</v>
      </c>
      <c r="K20" s="52">
        <v>23</v>
      </c>
      <c r="L20" s="52">
        <v>6</v>
      </c>
      <c r="M20" s="52"/>
      <c r="N20" s="53" t="s">
        <v>262</v>
      </c>
      <c r="O20" s="53" t="s">
        <v>263</v>
      </c>
      <c r="P20" s="52"/>
      <c r="Q20" s="54"/>
      <c r="R20" s="55"/>
      <c r="S20" s="51"/>
      <c r="T20" s="55" t="s">
        <v>264</v>
      </c>
      <c r="U20" s="55" t="s">
        <v>265</v>
      </c>
      <c r="V20" s="55" t="s">
        <v>266</v>
      </c>
      <c r="W20" s="82" t="s">
        <v>267</v>
      </c>
      <c r="X20" s="55" t="s">
        <v>133</v>
      </c>
      <c r="Y20" s="65" t="s">
        <v>268</v>
      </c>
      <c r="Z20" s="65" t="s">
        <v>269</v>
      </c>
      <c r="AA20" s="60" t="s">
        <v>270</v>
      </c>
    </row>
    <row r="21" spans="2:27" ht="80.25" hidden="1" customHeight="1" x14ac:dyDescent="0.35">
      <c r="B21" s="51" t="s">
        <v>4</v>
      </c>
      <c r="C21" s="51" t="s">
        <v>119</v>
      </c>
      <c r="D21" s="51" t="s">
        <v>5</v>
      </c>
      <c r="E21" s="52">
        <v>1</v>
      </c>
      <c r="F21" s="51" t="s">
        <v>271</v>
      </c>
      <c r="G21" s="51" t="s">
        <v>272</v>
      </c>
      <c r="H21" s="51" t="s">
        <v>249</v>
      </c>
      <c r="I21" s="52">
        <v>14</v>
      </c>
      <c r="J21" s="51" t="s">
        <v>250</v>
      </c>
      <c r="K21" s="52">
        <v>23</v>
      </c>
      <c r="L21" s="52">
        <v>6</v>
      </c>
      <c r="M21" s="52"/>
      <c r="N21" s="53" t="s">
        <v>273</v>
      </c>
      <c r="O21" s="53" t="s">
        <v>274</v>
      </c>
      <c r="P21" s="52"/>
      <c r="Q21" s="54"/>
      <c r="R21" s="53" t="s">
        <v>275</v>
      </c>
      <c r="S21" s="54" t="s">
        <v>276</v>
      </c>
      <c r="T21" s="55" t="s">
        <v>204</v>
      </c>
      <c r="U21" s="55" t="s">
        <v>205</v>
      </c>
      <c r="V21" s="55" t="s">
        <v>277</v>
      </c>
      <c r="W21" s="82" t="s">
        <v>278</v>
      </c>
      <c r="X21" s="55" t="s">
        <v>133</v>
      </c>
      <c r="Y21" s="53" t="s">
        <v>279</v>
      </c>
      <c r="Z21" s="53" t="s">
        <v>280</v>
      </c>
      <c r="AA21" s="60" t="s">
        <v>281</v>
      </c>
    </row>
    <row r="22" spans="2:27" ht="80.25" hidden="1" customHeight="1" x14ac:dyDescent="0.35">
      <c r="B22" s="51" t="s">
        <v>4</v>
      </c>
      <c r="C22" s="51" t="s">
        <v>119</v>
      </c>
      <c r="D22" s="51" t="s">
        <v>5</v>
      </c>
      <c r="E22" s="52">
        <v>1</v>
      </c>
      <c r="F22" s="51" t="s">
        <v>282</v>
      </c>
      <c r="G22" s="51" t="s">
        <v>283</v>
      </c>
      <c r="H22" s="51" t="s">
        <v>249</v>
      </c>
      <c r="I22" s="52">
        <v>15</v>
      </c>
      <c r="J22" s="51" t="s">
        <v>250</v>
      </c>
      <c r="K22" s="52">
        <v>23</v>
      </c>
      <c r="L22" s="52">
        <v>6</v>
      </c>
      <c r="M22" s="52"/>
      <c r="N22" s="53" t="s">
        <v>284</v>
      </c>
      <c r="O22" s="53" t="s">
        <v>285</v>
      </c>
      <c r="P22" s="52"/>
      <c r="Q22" s="54"/>
      <c r="R22" s="63"/>
      <c r="S22" s="61"/>
      <c r="T22" s="55" t="s">
        <v>286</v>
      </c>
      <c r="U22" s="55" t="s">
        <v>287</v>
      </c>
      <c r="V22" s="63" t="s">
        <v>288</v>
      </c>
      <c r="W22" s="82" t="s">
        <v>289</v>
      </c>
      <c r="X22" s="55" t="s">
        <v>133</v>
      </c>
      <c r="Y22" s="53" t="s">
        <v>290</v>
      </c>
      <c r="Z22" s="53" t="s">
        <v>291</v>
      </c>
      <c r="AA22" s="60" t="s">
        <v>292</v>
      </c>
    </row>
    <row r="23" spans="2:27" ht="80.25" hidden="1" customHeight="1" x14ac:dyDescent="0.35">
      <c r="B23" s="51" t="s">
        <v>4</v>
      </c>
      <c r="C23" s="51" t="s">
        <v>119</v>
      </c>
      <c r="D23" s="51" t="s">
        <v>5</v>
      </c>
      <c r="E23" s="52">
        <v>1</v>
      </c>
      <c r="F23" s="51" t="s">
        <v>293</v>
      </c>
      <c r="G23" s="51" t="s">
        <v>294</v>
      </c>
      <c r="H23" s="54" t="s">
        <v>295</v>
      </c>
      <c r="I23" s="52">
        <v>16</v>
      </c>
      <c r="J23" s="51" t="s">
        <v>123</v>
      </c>
      <c r="K23" s="52">
        <v>4</v>
      </c>
      <c r="L23" s="52"/>
      <c r="M23" s="52"/>
      <c r="N23" s="53" t="s">
        <v>296</v>
      </c>
      <c r="O23" s="53" t="s">
        <v>297</v>
      </c>
      <c r="P23" s="52"/>
      <c r="Q23" s="53" t="s">
        <v>298</v>
      </c>
      <c r="R23" s="55" t="s">
        <v>299</v>
      </c>
      <c r="S23" s="51" t="s">
        <v>300</v>
      </c>
      <c r="T23" s="55" t="s">
        <v>301</v>
      </c>
      <c r="U23" s="55" t="s">
        <v>130</v>
      </c>
      <c r="V23" s="55" t="s">
        <v>131</v>
      </c>
      <c r="W23" s="82" t="s">
        <v>302</v>
      </c>
      <c r="X23" s="55" t="s">
        <v>133</v>
      </c>
      <c r="Y23" s="87" t="s">
        <v>208</v>
      </c>
      <c r="Z23" s="87" t="s">
        <v>303</v>
      </c>
      <c r="AA23" s="60" t="s">
        <v>134</v>
      </c>
    </row>
    <row r="24" spans="2:27" ht="80.25" customHeight="1" x14ac:dyDescent="0.35">
      <c r="B24" s="51" t="s">
        <v>4</v>
      </c>
      <c r="C24" s="51" t="s">
        <v>119</v>
      </c>
      <c r="D24" s="51" t="s">
        <v>5</v>
      </c>
      <c r="E24" s="52">
        <v>1</v>
      </c>
      <c r="F24" s="51" t="s">
        <v>304</v>
      </c>
      <c r="G24" s="51" t="s">
        <v>305</v>
      </c>
      <c r="H24" s="54" t="s">
        <v>295</v>
      </c>
      <c r="I24" s="52">
        <v>17</v>
      </c>
      <c r="J24" s="51" t="s">
        <v>123</v>
      </c>
      <c r="K24" s="52">
        <v>4</v>
      </c>
      <c r="L24" s="52"/>
      <c r="M24" s="52"/>
      <c r="N24" s="53" t="s">
        <v>306</v>
      </c>
      <c r="O24" s="53" t="s">
        <v>307</v>
      </c>
      <c r="P24" s="52"/>
      <c r="Q24" s="53" t="s">
        <v>308</v>
      </c>
      <c r="R24" s="55" t="s">
        <v>203</v>
      </c>
      <c r="S24" s="51" t="s">
        <v>309</v>
      </c>
      <c r="T24" s="55" t="s">
        <v>310</v>
      </c>
      <c r="U24" s="55" t="s">
        <v>311</v>
      </c>
      <c r="V24" s="55" t="s">
        <v>312</v>
      </c>
      <c r="W24" s="82" t="s">
        <v>313</v>
      </c>
      <c r="X24" s="55" t="s">
        <v>144</v>
      </c>
      <c r="Y24" s="86" t="s">
        <v>314</v>
      </c>
      <c r="Z24" s="86" t="s">
        <v>315</v>
      </c>
      <c r="AA24" s="60" t="s">
        <v>316</v>
      </c>
    </row>
    <row r="25" spans="2:27" ht="80.25" hidden="1" customHeight="1" x14ac:dyDescent="0.35">
      <c r="B25" s="51" t="s">
        <v>4</v>
      </c>
      <c r="C25" s="51" t="s">
        <v>119</v>
      </c>
      <c r="D25" s="51" t="s">
        <v>5</v>
      </c>
      <c r="E25" s="52">
        <v>1</v>
      </c>
      <c r="F25" s="51" t="s">
        <v>317</v>
      </c>
      <c r="G25" s="51" t="s">
        <v>318</v>
      </c>
      <c r="H25" s="51" t="s">
        <v>319</v>
      </c>
      <c r="I25" s="52">
        <v>18</v>
      </c>
      <c r="J25" s="51" t="s">
        <v>123</v>
      </c>
      <c r="K25" s="52">
        <v>2</v>
      </c>
      <c r="L25" s="52"/>
      <c r="M25" s="52"/>
      <c r="N25" s="53" t="s">
        <v>320</v>
      </c>
      <c r="O25" s="53" t="s">
        <v>321</v>
      </c>
      <c r="P25" s="52"/>
      <c r="Q25" s="53" t="s">
        <v>322</v>
      </c>
      <c r="R25" s="55"/>
      <c r="S25" s="51"/>
      <c r="T25" s="55" t="s">
        <v>204</v>
      </c>
      <c r="U25" s="55" t="s">
        <v>205</v>
      </c>
      <c r="V25" s="55" t="s">
        <v>323</v>
      </c>
      <c r="W25" s="82" t="s">
        <v>324</v>
      </c>
      <c r="X25" s="55" t="s">
        <v>133</v>
      </c>
      <c r="Y25" s="53" t="s">
        <v>134</v>
      </c>
      <c r="Z25" s="53" t="s">
        <v>134</v>
      </c>
      <c r="AA25" s="60" t="s">
        <v>325</v>
      </c>
    </row>
    <row r="26" spans="2:27" ht="80.25" hidden="1" customHeight="1" x14ac:dyDescent="0.35">
      <c r="B26" s="51" t="s">
        <v>4</v>
      </c>
      <c r="C26" s="51" t="s">
        <v>119</v>
      </c>
      <c r="D26" s="51" t="s">
        <v>5</v>
      </c>
      <c r="E26" s="52">
        <v>1</v>
      </c>
      <c r="F26" s="51" t="s">
        <v>326</v>
      </c>
      <c r="G26" s="51" t="s">
        <v>327</v>
      </c>
      <c r="H26" s="51" t="s">
        <v>328</v>
      </c>
      <c r="I26" s="52">
        <v>19</v>
      </c>
      <c r="J26" s="51" t="s">
        <v>123</v>
      </c>
      <c r="K26" s="52">
        <v>10</v>
      </c>
      <c r="L26" s="52"/>
      <c r="M26" s="52"/>
      <c r="N26" s="53" t="s">
        <v>329</v>
      </c>
      <c r="O26" s="53" t="s">
        <v>330</v>
      </c>
      <c r="P26" s="52" t="s">
        <v>126</v>
      </c>
      <c r="Q26" s="54"/>
      <c r="R26" s="55"/>
      <c r="S26" s="51"/>
      <c r="T26" s="55" t="s">
        <v>204</v>
      </c>
      <c r="U26" s="55" t="s">
        <v>205</v>
      </c>
      <c r="V26" s="55" t="s">
        <v>331</v>
      </c>
      <c r="W26" s="82" t="s">
        <v>332</v>
      </c>
      <c r="X26" s="53" t="s">
        <v>134</v>
      </c>
      <c r="Y26" s="53" t="s">
        <v>134</v>
      </c>
      <c r="Z26" s="53" t="s">
        <v>134</v>
      </c>
      <c r="AA26" s="60" t="s">
        <v>134</v>
      </c>
    </row>
    <row r="27" spans="2:27" ht="80.25" hidden="1" customHeight="1" x14ac:dyDescent="0.35">
      <c r="B27" s="51" t="s">
        <v>4</v>
      </c>
      <c r="C27" s="51" t="s">
        <v>119</v>
      </c>
      <c r="D27" s="51" t="s">
        <v>5</v>
      </c>
      <c r="E27" s="52">
        <v>1</v>
      </c>
      <c r="F27" s="51" t="s">
        <v>333</v>
      </c>
      <c r="G27" s="51" t="s">
        <v>334</v>
      </c>
      <c r="H27" s="51" t="s">
        <v>335</v>
      </c>
      <c r="I27" s="52">
        <v>20</v>
      </c>
      <c r="J27" s="51" t="s">
        <v>336</v>
      </c>
      <c r="K27" s="52">
        <v>23</v>
      </c>
      <c r="L27" s="52"/>
      <c r="M27" s="52"/>
      <c r="N27" s="53" t="s">
        <v>337</v>
      </c>
      <c r="O27" s="53" t="s">
        <v>338</v>
      </c>
      <c r="P27" s="52"/>
      <c r="Q27" s="54"/>
      <c r="R27" s="55"/>
      <c r="S27" s="51"/>
      <c r="T27" s="55" t="s">
        <v>204</v>
      </c>
      <c r="U27" s="55" t="s">
        <v>205</v>
      </c>
      <c r="V27" s="55" t="s">
        <v>244</v>
      </c>
      <c r="W27" s="82" t="s">
        <v>339</v>
      </c>
      <c r="X27" s="53" t="s">
        <v>134</v>
      </c>
      <c r="Y27" s="53" t="s">
        <v>134</v>
      </c>
      <c r="Z27" s="53" t="s">
        <v>134</v>
      </c>
      <c r="AA27" s="60" t="s">
        <v>134</v>
      </c>
    </row>
    <row r="28" spans="2:27" ht="80.25" hidden="1" customHeight="1" x14ac:dyDescent="0.35">
      <c r="B28" s="51" t="s">
        <v>340</v>
      </c>
      <c r="C28" s="62" t="s">
        <v>341</v>
      </c>
      <c r="D28" s="62" t="s">
        <v>7</v>
      </c>
      <c r="E28" s="325">
        <v>0</v>
      </c>
      <c r="F28" s="51" t="s">
        <v>120</v>
      </c>
      <c r="G28" s="51" t="s">
        <v>121</v>
      </c>
      <c r="H28" s="79" t="s">
        <v>122</v>
      </c>
      <c r="I28" s="325">
        <v>1</v>
      </c>
      <c r="J28" s="62" t="s">
        <v>123</v>
      </c>
      <c r="K28" s="325">
        <v>2</v>
      </c>
      <c r="L28" s="325"/>
      <c r="M28" s="325"/>
      <c r="N28" s="328" t="s">
        <v>124</v>
      </c>
      <c r="O28" s="53" t="s">
        <v>125</v>
      </c>
      <c r="P28" s="325" t="s">
        <v>126</v>
      </c>
      <c r="Q28" s="62"/>
      <c r="R28" s="175"/>
      <c r="S28" s="79"/>
      <c r="T28" s="55" t="s">
        <v>342</v>
      </c>
      <c r="U28" s="53" t="s">
        <v>130</v>
      </c>
      <c r="V28" s="53" t="s">
        <v>131</v>
      </c>
      <c r="W28" s="82" t="s">
        <v>343</v>
      </c>
      <c r="X28" s="55" t="s">
        <v>133</v>
      </c>
      <c r="Y28" s="175" t="s">
        <v>134</v>
      </c>
      <c r="Z28" s="175" t="s">
        <v>134</v>
      </c>
      <c r="AA28" s="327" t="s">
        <v>344</v>
      </c>
    </row>
    <row r="29" spans="2:27" ht="80.25" hidden="1" customHeight="1" x14ac:dyDescent="0.35">
      <c r="B29" s="51" t="s">
        <v>340</v>
      </c>
      <c r="C29" s="62" t="s">
        <v>341</v>
      </c>
      <c r="D29" s="62" t="s">
        <v>7</v>
      </c>
      <c r="E29" s="325">
        <v>0</v>
      </c>
      <c r="F29" s="62" t="s">
        <v>136</v>
      </c>
      <c r="G29" s="62" t="s">
        <v>137</v>
      </c>
      <c r="H29" s="79" t="s">
        <v>122</v>
      </c>
      <c r="I29" s="325">
        <v>2</v>
      </c>
      <c r="J29" s="62" t="s">
        <v>123</v>
      </c>
      <c r="K29" s="325">
        <v>30</v>
      </c>
      <c r="L29" s="325"/>
      <c r="M29" s="325"/>
      <c r="N29" s="53" t="s">
        <v>138</v>
      </c>
      <c r="O29" s="53" t="s">
        <v>139</v>
      </c>
      <c r="P29" s="325" t="s">
        <v>126</v>
      </c>
      <c r="Q29" s="62"/>
      <c r="R29" s="175"/>
      <c r="S29" s="79"/>
      <c r="T29" s="55" t="s">
        <v>345</v>
      </c>
      <c r="U29" s="53" t="s">
        <v>346</v>
      </c>
      <c r="V29" s="53" t="s">
        <v>347</v>
      </c>
      <c r="W29" s="82" t="s">
        <v>348</v>
      </c>
      <c r="X29" s="55" t="s">
        <v>133</v>
      </c>
      <c r="Y29" s="175" t="s">
        <v>349</v>
      </c>
      <c r="Z29" s="175" t="s">
        <v>350</v>
      </c>
      <c r="AA29" s="60" t="s">
        <v>351</v>
      </c>
    </row>
    <row r="30" spans="2:27" ht="80.25" hidden="1" customHeight="1" x14ac:dyDescent="0.35">
      <c r="B30" s="51" t="s">
        <v>340</v>
      </c>
      <c r="C30" s="62" t="s">
        <v>341</v>
      </c>
      <c r="D30" s="62" t="s">
        <v>7</v>
      </c>
      <c r="E30" s="325">
        <v>0</v>
      </c>
      <c r="F30" s="62" t="s">
        <v>352</v>
      </c>
      <c r="G30" s="62" t="s">
        <v>353</v>
      </c>
      <c r="H30" s="51" t="s">
        <v>240</v>
      </c>
      <c r="I30" s="325">
        <v>3</v>
      </c>
      <c r="J30" s="62" t="s">
        <v>123</v>
      </c>
      <c r="K30" s="325">
        <v>4</v>
      </c>
      <c r="L30" s="325"/>
      <c r="M30" s="325"/>
      <c r="N30" s="53" t="s">
        <v>354</v>
      </c>
      <c r="O30" s="53" t="s">
        <v>355</v>
      </c>
      <c r="P30" s="325"/>
      <c r="Q30" s="62"/>
      <c r="R30" s="175"/>
      <c r="S30" s="79"/>
      <c r="T30" s="55" t="s">
        <v>345</v>
      </c>
      <c r="U30" s="53" t="s">
        <v>346</v>
      </c>
      <c r="V30" s="90" t="s">
        <v>244</v>
      </c>
      <c r="W30" s="321" t="s">
        <v>356</v>
      </c>
      <c r="X30" s="55" t="s">
        <v>133</v>
      </c>
      <c r="Y30" s="175" t="s">
        <v>351</v>
      </c>
      <c r="Z30" s="175" t="s">
        <v>351</v>
      </c>
      <c r="AA30" s="327" t="s">
        <v>357</v>
      </c>
    </row>
    <row r="31" spans="2:27" ht="80.25" hidden="1" customHeight="1" x14ac:dyDescent="0.35">
      <c r="B31" s="51" t="s">
        <v>340</v>
      </c>
      <c r="C31" s="62" t="s">
        <v>341</v>
      </c>
      <c r="D31" s="62" t="s">
        <v>7</v>
      </c>
      <c r="E31" s="325">
        <v>0</v>
      </c>
      <c r="F31" s="62" t="s">
        <v>317</v>
      </c>
      <c r="G31" s="62" t="s">
        <v>318</v>
      </c>
      <c r="H31" s="51" t="s">
        <v>319</v>
      </c>
      <c r="I31" s="325">
        <v>4</v>
      </c>
      <c r="J31" s="62" t="s">
        <v>123</v>
      </c>
      <c r="K31" s="325">
        <v>4</v>
      </c>
      <c r="L31" s="325"/>
      <c r="M31" s="325"/>
      <c r="N31" s="53" t="s">
        <v>320</v>
      </c>
      <c r="O31" s="53" t="s">
        <v>321</v>
      </c>
      <c r="P31" s="325" t="s">
        <v>126</v>
      </c>
      <c r="Q31" s="62"/>
      <c r="R31" s="175"/>
      <c r="S31" s="79"/>
      <c r="T31" s="55" t="s">
        <v>345</v>
      </c>
      <c r="U31" s="53" t="s">
        <v>346</v>
      </c>
      <c r="V31" s="90" t="s">
        <v>244</v>
      </c>
      <c r="W31" s="322" t="s">
        <v>358</v>
      </c>
      <c r="X31" s="55" t="s">
        <v>133</v>
      </c>
      <c r="Y31" s="175" t="s">
        <v>359</v>
      </c>
      <c r="Z31" s="175" t="s">
        <v>360</v>
      </c>
      <c r="AA31" s="60" t="s">
        <v>351</v>
      </c>
    </row>
    <row r="32" spans="2:27" ht="80.25" hidden="1" customHeight="1" x14ac:dyDescent="0.35">
      <c r="B32" s="51" t="s">
        <v>340</v>
      </c>
      <c r="C32" s="62" t="s">
        <v>341</v>
      </c>
      <c r="D32" s="62" t="s">
        <v>7</v>
      </c>
      <c r="E32" s="325">
        <v>0</v>
      </c>
      <c r="F32" s="51" t="s">
        <v>326</v>
      </c>
      <c r="G32" s="51" t="s">
        <v>327</v>
      </c>
      <c r="H32" s="51" t="s">
        <v>335</v>
      </c>
      <c r="I32" s="325">
        <v>5</v>
      </c>
      <c r="J32" s="62" t="s">
        <v>123</v>
      </c>
      <c r="K32" s="325">
        <v>10</v>
      </c>
      <c r="L32" s="325"/>
      <c r="M32" s="325"/>
      <c r="N32" s="53" t="s">
        <v>329</v>
      </c>
      <c r="O32" s="53" t="s">
        <v>361</v>
      </c>
      <c r="P32" s="325"/>
      <c r="Q32" s="62"/>
      <c r="R32" s="175"/>
      <c r="S32" s="79"/>
      <c r="T32" s="55" t="s">
        <v>342</v>
      </c>
      <c r="U32" s="90" t="s">
        <v>205</v>
      </c>
      <c r="V32" s="90" t="s">
        <v>331</v>
      </c>
      <c r="W32" s="321" t="s">
        <v>362</v>
      </c>
      <c r="X32" s="55" t="s">
        <v>133</v>
      </c>
      <c r="Y32" s="175" t="s">
        <v>351</v>
      </c>
      <c r="Z32" s="175" t="s">
        <v>351</v>
      </c>
      <c r="AA32" s="60" t="s">
        <v>351</v>
      </c>
    </row>
    <row r="33" spans="2:27" ht="80.25" hidden="1" customHeight="1" x14ac:dyDescent="0.35">
      <c r="B33" s="51" t="s">
        <v>340</v>
      </c>
      <c r="C33" s="62" t="s">
        <v>341</v>
      </c>
      <c r="D33" s="62" t="s">
        <v>7</v>
      </c>
      <c r="E33" s="325">
        <v>0</v>
      </c>
      <c r="F33" s="51" t="s">
        <v>333</v>
      </c>
      <c r="G33" s="51" t="s">
        <v>334</v>
      </c>
      <c r="H33" s="51" t="s">
        <v>335</v>
      </c>
      <c r="I33" s="325">
        <v>6</v>
      </c>
      <c r="J33" s="51" t="s">
        <v>336</v>
      </c>
      <c r="K33" s="52">
        <v>23</v>
      </c>
      <c r="L33" s="325"/>
      <c r="M33" s="325"/>
      <c r="N33" s="53" t="s">
        <v>337</v>
      </c>
      <c r="O33" s="53" t="s">
        <v>338</v>
      </c>
      <c r="P33" s="325"/>
      <c r="Q33" s="62"/>
      <c r="R33" s="175"/>
      <c r="S33" s="79"/>
      <c r="T33" s="55" t="s">
        <v>342</v>
      </c>
      <c r="U33" s="90" t="s">
        <v>205</v>
      </c>
      <c r="V33" s="90" t="s">
        <v>323</v>
      </c>
      <c r="W33" s="321" t="s">
        <v>363</v>
      </c>
      <c r="X33" s="55" t="s">
        <v>133</v>
      </c>
      <c r="Y33" s="175" t="s">
        <v>351</v>
      </c>
      <c r="Z33" s="175" t="s">
        <v>351</v>
      </c>
      <c r="AA33" s="60" t="s">
        <v>351</v>
      </c>
    </row>
    <row r="34" spans="2:27" ht="80.25" hidden="1" customHeight="1" x14ac:dyDescent="0.35">
      <c r="B34" s="51" t="s">
        <v>9</v>
      </c>
      <c r="C34" s="51" t="s">
        <v>364</v>
      </c>
      <c r="D34" s="51" t="s">
        <v>10</v>
      </c>
      <c r="E34" s="52">
        <v>1</v>
      </c>
      <c r="F34" s="51" t="s">
        <v>120</v>
      </c>
      <c r="G34" s="51" t="s">
        <v>121</v>
      </c>
      <c r="H34" s="51" t="s">
        <v>122</v>
      </c>
      <c r="I34" s="52">
        <v>1</v>
      </c>
      <c r="J34" s="51" t="s">
        <v>123</v>
      </c>
      <c r="K34" s="52">
        <v>4</v>
      </c>
      <c r="L34" s="52"/>
      <c r="M34" s="52"/>
      <c r="N34" s="328" t="s">
        <v>124</v>
      </c>
      <c r="O34" s="53" t="s">
        <v>125</v>
      </c>
      <c r="P34" s="52" t="s">
        <v>126</v>
      </c>
      <c r="Q34" s="54"/>
      <c r="R34" s="55" t="s">
        <v>365</v>
      </c>
      <c r="S34" s="55" t="s">
        <v>366</v>
      </c>
      <c r="T34" s="55" t="s">
        <v>367</v>
      </c>
      <c r="U34" s="53" t="s">
        <v>368</v>
      </c>
      <c r="V34" s="55" t="s">
        <v>369</v>
      </c>
      <c r="W34" s="82" t="s">
        <v>370</v>
      </c>
      <c r="X34" s="51" t="s">
        <v>371</v>
      </c>
      <c r="Y34" s="78" t="s">
        <v>372</v>
      </c>
      <c r="Z34" s="78" t="s">
        <v>372</v>
      </c>
      <c r="AA34" s="52" t="s">
        <v>373</v>
      </c>
    </row>
    <row r="35" spans="2:27" ht="80.25" hidden="1" customHeight="1" x14ac:dyDescent="0.35">
      <c r="B35" s="51" t="s">
        <v>9</v>
      </c>
      <c r="C35" s="51" t="s">
        <v>364</v>
      </c>
      <c r="D35" s="51" t="s">
        <v>10</v>
      </c>
      <c r="E35" s="52">
        <v>1</v>
      </c>
      <c r="F35" s="51" t="s">
        <v>136</v>
      </c>
      <c r="G35" s="51" t="s">
        <v>137</v>
      </c>
      <c r="H35" s="51" t="s">
        <v>122</v>
      </c>
      <c r="I35" s="52">
        <v>2</v>
      </c>
      <c r="J35" s="51" t="s">
        <v>123</v>
      </c>
      <c r="K35" s="52">
        <v>30</v>
      </c>
      <c r="L35" s="52"/>
      <c r="M35" s="52"/>
      <c r="N35" s="53" t="s">
        <v>138</v>
      </c>
      <c r="O35" s="53" t="s">
        <v>139</v>
      </c>
      <c r="P35" s="52" t="s">
        <v>126</v>
      </c>
      <c r="Q35" s="54"/>
      <c r="R35" s="55" t="s">
        <v>365</v>
      </c>
      <c r="S35" s="55" t="s">
        <v>366</v>
      </c>
      <c r="T35" s="51" t="s">
        <v>374</v>
      </c>
      <c r="U35" s="54" t="s">
        <v>375</v>
      </c>
      <c r="V35" s="51" t="s">
        <v>376</v>
      </c>
      <c r="W35" s="82" t="s">
        <v>377</v>
      </c>
      <c r="X35" s="51" t="s">
        <v>371</v>
      </c>
      <c r="Y35" s="78" t="s">
        <v>378</v>
      </c>
      <c r="Z35" s="78" t="s">
        <v>379</v>
      </c>
      <c r="AA35" s="52" t="s">
        <v>372</v>
      </c>
    </row>
    <row r="36" spans="2:27" ht="80.25" hidden="1" customHeight="1" x14ac:dyDescent="0.35">
      <c r="B36" s="51" t="s">
        <v>9</v>
      </c>
      <c r="C36" s="51" t="s">
        <v>364</v>
      </c>
      <c r="D36" s="51" t="s">
        <v>10</v>
      </c>
      <c r="E36" s="52">
        <v>1</v>
      </c>
      <c r="F36" s="51" t="s">
        <v>380</v>
      </c>
      <c r="G36" s="51" t="s">
        <v>381</v>
      </c>
      <c r="H36" s="54" t="s">
        <v>150</v>
      </c>
      <c r="I36" s="52">
        <v>3</v>
      </c>
      <c r="J36" s="51" t="s">
        <v>123</v>
      </c>
      <c r="K36" s="52">
        <v>15</v>
      </c>
      <c r="L36" s="52"/>
      <c r="M36" s="52"/>
      <c r="N36" s="53" t="s">
        <v>382</v>
      </c>
      <c r="O36" s="53" t="s">
        <v>383</v>
      </c>
      <c r="P36" s="52"/>
      <c r="Q36" s="54"/>
      <c r="R36" s="53"/>
      <c r="S36" s="54"/>
      <c r="T36" s="51" t="s">
        <v>374</v>
      </c>
      <c r="U36" s="54" t="s">
        <v>384</v>
      </c>
      <c r="V36" s="51" t="s">
        <v>385</v>
      </c>
      <c r="W36" s="82" t="s">
        <v>386</v>
      </c>
      <c r="X36" s="51" t="s">
        <v>371</v>
      </c>
      <c r="Y36" s="54" t="s">
        <v>387</v>
      </c>
      <c r="Z36" s="54" t="s">
        <v>385</v>
      </c>
      <c r="AA36" s="52" t="s">
        <v>372</v>
      </c>
    </row>
    <row r="37" spans="2:27" ht="80.25" hidden="1" customHeight="1" x14ac:dyDescent="0.35">
      <c r="B37" s="51" t="s">
        <v>9</v>
      </c>
      <c r="C37" s="51" t="s">
        <v>364</v>
      </c>
      <c r="D37" s="51" t="s">
        <v>10</v>
      </c>
      <c r="E37" s="52">
        <v>1</v>
      </c>
      <c r="F37" s="51" t="s">
        <v>148</v>
      </c>
      <c r="G37" s="51" t="s">
        <v>149</v>
      </c>
      <c r="H37" s="54" t="s">
        <v>150</v>
      </c>
      <c r="I37" s="52">
        <v>4</v>
      </c>
      <c r="J37" s="51" t="s">
        <v>123</v>
      </c>
      <c r="K37" s="52">
        <v>4</v>
      </c>
      <c r="L37" s="52"/>
      <c r="M37" s="52"/>
      <c r="N37" s="53" t="s">
        <v>151</v>
      </c>
      <c r="O37" s="53" t="s">
        <v>152</v>
      </c>
      <c r="P37" s="52"/>
      <c r="Q37" s="53" t="s">
        <v>388</v>
      </c>
      <c r="R37" s="55"/>
      <c r="S37" s="51"/>
      <c r="T37" s="55" t="s">
        <v>367</v>
      </c>
      <c r="U37" s="53" t="s">
        <v>368</v>
      </c>
      <c r="V37" s="55" t="s">
        <v>369</v>
      </c>
      <c r="W37" s="82" t="s">
        <v>389</v>
      </c>
      <c r="X37" s="51" t="s">
        <v>372</v>
      </c>
      <c r="Y37" s="51" t="s">
        <v>372</v>
      </c>
      <c r="Z37" s="51" t="s">
        <v>372</v>
      </c>
      <c r="AA37" s="52" t="s">
        <v>372</v>
      </c>
    </row>
    <row r="38" spans="2:27" ht="80.25" hidden="1" customHeight="1" x14ac:dyDescent="0.35">
      <c r="B38" s="51" t="s">
        <v>9</v>
      </c>
      <c r="C38" s="51" t="s">
        <v>364</v>
      </c>
      <c r="D38" s="51" t="s">
        <v>10</v>
      </c>
      <c r="E38" s="52">
        <v>1</v>
      </c>
      <c r="F38" s="51" t="s">
        <v>155</v>
      </c>
      <c r="G38" s="51" t="s">
        <v>156</v>
      </c>
      <c r="H38" s="54" t="s">
        <v>150</v>
      </c>
      <c r="I38" s="52">
        <v>5</v>
      </c>
      <c r="J38" s="51" t="s">
        <v>123</v>
      </c>
      <c r="K38" s="52">
        <v>4</v>
      </c>
      <c r="L38" s="52"/>
      <c r="M38" s="52"/>
      <c r="N38" s="53" t="s">
        <v>157</v>
      </c>
      <c r="O38" s="53" t="s">
        <v>158</v>
      </c>
      <c r="P38" s="52"/>
      <c r="Q38" s="53" t="s">
        <v>390</v>
      </c>
      <c r="R38" s="55" t="s">
        <v>160</v>
      </c>
      <c r="S38" s="55" t="s">
        <v>161</v>
      </c>
      <c r="T38" s="51" t="s">
        <v>374</v>
      </c>
      <c r="U38" s="54" t="s">
        <v>375</v>
      </c>
      <c r="V38" s="51" t="s">
        <v>391</v>
      </c>
      <c r="W38" s="82" t="s">
        <v>392</v>
      </c>
      <c r="X38" s="51" t="s">
        <v>371</v>
      </c>
      <c r="Y38" s="78" t="s">
        <v>378</v>
      </c>
      <c r="Z38" s="88" t="s">
        <v>391</v>
      </c>
      <c r="AA38" s="52" t="s">
        <v>372</v>
      </c>
    </row>
    <row r="39" spans="2:27" ht="80.25" hidden="1" customHeight="1" x14ac:dyDescent="0.35">
      <c r="B39" s="51" t="s">
        <v>9</v>
      </c>
      <c r="C39" s="51" t="s">
        <v>364</v>
      </c>
      <c r="D39" s="51" t="s">
        <v>10</v>
      </c>
      <c r="E39" s="52">
        <v>1</v>
      </c>
      <c r="F39" s="51" t="s">
        <v>167</v>
      </c>
      <c r="G39" s="51" t="s">
        <v>168</v>
      </c>
      <c r="H39" s="54" t="s">
        <v>150</v>
      </c>
      <c r="I39" s="52">
        <v>6</v>
      </c>
      <c r="J39" s="51" t="s">
        <v>123</v>
      </c>
      <c r="K39" s="52">
        <v>4</v>
      </c>
      <c r="L39" s="52"/>
      <c r="M39" s="52"/>
      <c r="N39" s="53" t="s">
        <v>169</v>
      </c>
      <c r="O39" s="53" t="s">
        <v>170</v>
      </c>
      <c r="P39" s="52"/>
      <c r="Q39" s="53" t="s">
        <v>393</v>
      </c>
      <c r="R39" s="55" t="s">
        <v>160</v>
      </c>
      <c r="S39" s="55" t="s">
        <v>172</v>
      </c>
      <c r="T39" s="51" t="s">
        <v>374</v>
      </c>
      <c r="U39" s="54" t="s">
        <v>375</v>
      </c>
      <c r="V39" s="51" t="s">
        <v>394</v>
      </c>
      <c r="W39" s="82" t="s">
        <v>395</v>
      </c>
      <c r="X39" s="51" t="s">
        <v>371</v>
      </c>
      <c r="Y39" s="78" t="s">
        <v>378</v>
      </c>
      <c r="Z39" s="86" t="s">
        <v>394</v>
      </c>
      <c r="AA39" s="52" t="s">
        <v>372</v>
      </c>
    </row>
    <row r="40" spans="2:27" ht="80.25" hidden="1" customHeight="1" x14ac:dyDescent="0.35">
      <c r="B40" s="51" t="s">
        <v>9</v>
      </c>
      <c r="C40" s="51" t="s">
        <v>364</v>
      </c>
      <c r="D40" s="51" t="s">
        <v>10</v>
      </c>
      <c r="E40" s="52">
        <v>1</v>
      </c>
      <c r="F40" s="51" t="s">
        <v>396</v>
      </c>
      <c r="G40" s="51" t="s">
        <v>397</v>
      </c>
      <c r="H40" s="54" t="s">
        <v>150</v>
      </c>
      <c r="I40" s="52">
        <v>7</v>
      </c>
      <c r="J40" s="51" t="s">
        <v>123</v>
      </c>
      <c r="K40" s="52">
        <v>4</v>
      </c>
      <c r="L40" s="52"/>
      <c r="M40" s="52"/>
      <c r="N40" s="53" t="s">
        <v>398</v>
      </c>
      <c r="O40" s="53" t="s">
        <v>399</v>
      </c>
      <c r="P40" s="52"/>
      <c r="Q40" s="55" t="s">
        <v>400</v>
      </c>
      <c r="R40" s="86" t="s">
        <v>401</v>
      </c>
      <c r="S40" s="86" t="s">
        <v>402</v>
      </c>
      <c r="T40" s="55" t="s">
        <v>403</v>
      </c>
      <c r="U40" s="53" t="s">
        <v>404</v>
      </c>
      <c r="V40" s="55" t="s">
        <v>405</v>
      </c>
      <c r="W40" s="82" t="s">
        <v>406</v>
      </c>
      <c r="X40" s="51" t="s">
        <v>371</v>
      </c>
      <c r="Y40" s="54" t="s">
        <v>387</v>
      </c>
      <c r="Z40" s="86" t="s">
        <v>407</v>
      </c>
      <c r="AA40" s="52" t="s">
        <v>372</v>
      </c>
    </row>
    <row r="41" spans="2:27" ht="80.25" hidden="1" customHeight="1" x14ac:dyDescent="0.35">
      <c r="B41" s="51" t="s">
        <v>9</v>
      </c>
      <c r="C41" s="51" t="s">
        <v>364</v>
      </c>
      <c r="D41" s="51" t="s">
        <v>10</v>
      </c>
      <c r="E41" s="52">
        <v>1</v>
      </c>
      <c r="F41" s="51" t="s">
        <v>176</v>
      </c>
      <c r="G41" s="51" t="s">
        <v>177</v>
      </c>
      <c r="H41" s="54" t="s">
        <v>150</v>
      </c>
      <c r="I41" s="52">
        <v>8</v>
      </c>
      <c r="J41" s="51" t="s">
        <v>123</v>
      </c>
      <c r="K41" s="52">
        <v>4</v>
      </c>
      <c r="L41" s="52"/>
      <c r="M41" s="52"/>
      <c r="N41" s="76" t="s">
        <v>408</v>
      </c>
      <c r="O41" s="53" t="s">
        <v>179</v>
      </c>
      <c r="P41" s="52"/>
      <c r="Q41" s="54"/>
      <c r="R41" s="55" t="s">
        <v>203</v>
      </c>
      <c r="S41" s="51" t="s">
        <v>409</v>
      </c>
      <c r="T41" s="55" t="s">
        <v>367</v>
      </c>
      <c r="U41" s="53" t="s">
        <v>368</v>
      </c>
      <c r="V41" s="51" t="s">
        <v>372</v>
      </c>
      <c r="W41" s="82" t="s">
        <v>410</v>
      </c>
      <c r="X41" s="51" t="s">
        <v>371</v>
      </c>
      <c r="Y41" s="78" t="s">
        <v>372</v>
      </c>
      <c r="Z41" s="78" t="s">
        <v>372</v>
      </c>
      <c r="AA41" s="52" t="s">
        <v>373</v>
      </c>
    </row>
    <row r="42" spans="2:27" ht="80.25" hidden="1" customHeight="1" x14ac:dyDescent="0.35">
      <c r="B42" s="51" t="s">
        <v>9</v>
      </c>
      <c r="C42" s="51" t="s">
        <v>364</v>
      </c>
      <c r="D42" s="51" t="s">
        <v>10</v>
      </c>
      <c r="E42" s="52">
        <v>1</v>
      </c>
      <c r="F42" s="51" t="s">
        <v>187</v>
      </c>
      <c r="G42" s="51" t="s">
        <v>188</v>
      </c>
      <c r="H42" s="54" t="s">
        <v>150</v>
      </c>
      <c r="I42" s="52">
        <v>9</v>
      </c>
      <c r="J42" s="51" t="s">
        <v>123</v>
      </c>
      <c r="K42" s="52">
        <v>30</v>
      </c>
      <c r="L42" s="52"/>
      <c r="M42" s="52"/>
      <c r="N42" s="53" t="s">
        <v>411</v>
      </c>
      <c r="O42" s="53" t="s">
        <v>190</v>
      </c>
      <c r="P42" s="52"/>
      <c r="Q42" s="54"/>
      <c r="R42" s="55" t="s">
        <v>203</v>
      </c>
      <c r="S42" s="51" t="s">
        <v>409</v>
      </c>
      <c r="T42" s="51" t="s">
        <v>374</v>
      </c>
      <c r="U42" s="54" t="s">
        <v>375</v>
      </c>
      <c r="V42" s="51" t="s">
        <v>412</v>
      </c>
      <c r="W42" s="82" t="s">
        <v>413</v>
      </c>
      <c r="X42" s="51" t="s">
        <v>371</v>
      </c>
      <c r="Y42" s="78" t="s">
        <v>378</v>
      </c>
      <c r="Z42" s="78" t="s">
        <v>414</v>
      </c>
      <c r="AA42" s="52" t="s">
        <v>372</v>
      </c>
    </row>
    <row r="43" spans="2:27" ht="80.25" hidden="1" customHeight="1" x14ac:dyDescent="0.35">
      <c r="B43" s="51" t="s">
        <v>9</v>
      </c>
      <c r="C43" s="51" t="s">
        <v>364</v>
      </c>
      <c r="D43" s="51" t="s">
        <v>10</v>
      </c>
      <c r="E43" s="52">
        <v>1</v>
      </c>
      <c r="F43" s="51" t="s">
        <v>198</v>
      </c>
      <c r="G43" s="51" t="s">
        <v>199</v>
      </c>
      <c r="H43" s="54" t="s">
        <v>200</v>
      </c>
      <c r="I43" s="52">
        <v>10</v>
      </c>
      <c r="J43" s="51" t="s">
        <v>123</v>
      </c>
      <c r="K43" s="52">
        <v>10</v>
      </c>
      <c r="L43" s="52"/>
      <c r="M43" s="52"/>
      <c r="N43" s="53" t="s">
        <v>201</v>
      </c>
      <c r="O43" s="53" t="s">
        <v>202</v>
      </c>
      <c r="P43" s="52"/>
      <c r="Q43" s="54"/>
      <c r="R43" s="55" t="s">
        <v>203</v>
      </c>
      <c r="S43" s="51" t="s">
        <v>198</v>
      </c>
      <c r="T43" s="51" t="s">
        <v>374</v>
      </c>
      <c r="U43" s="54" t="s">
        <v>375</v>
      </c>
      <c r="V43" s="51" t="s">
        <v>415</v>
      </c>
      <c r="W43" s="82" t="s">
        <v>416</v>
      </c>
      <c r="X43" s="51" t="s">
        <v>371</v>
      </c>
      <c r="Y43" s="78" t="s">
        <v>378</v>
      </c>
      <c r="Z43" s="78" t="s">
        <v>415</v>
      </c>
      <c r="AA43" s="52" t="s">
        <v>372</v>
      </c>
    </row>
    <row r="44" spans="2:27" ht="80.25" hidden="1" customHeight="1" x14ac:dyDescent="0.35">
      <c r="B44" s="51" t="s">
        <v>9</v>
      </c>
      <c r="C44" s="51" t="s">
        <v>364</v>
      </c>
      <c r="D44" s="51" t="s">
        <v>10</v>
      </c>
      <c r="E44" s="52">
        <v>1</v>
      </c>
      <c r="F44" s="51" t="s">
        <v>210</v>
      </c>
      <c r="G44" s="51" t="s">
        <v>211</v>
      </c>
      <c r="H44" s="54" t="s">
        <v>200</v>
      </c>
      <c r="I44" s="52">
        <v>11</v>
      </c>
      <c r="J44" s="51" t="s">
        <v>123</v>
      </c>
      <c r="K44" s="52">
        <v>10</v>
      </c>
      <c r="L44" s="52"/>
      <c r="M44" s="52"/>
      <c r="N44" s="53" t="s">
        <v>212</v>
      </c>
      <c r="O44" s="53" t="s">
        <v>213</v>
      </c>
      <c r="P44" s="52"/>
      <c r="Q44" s="54"/>
      <c r="R44" s="55" t="s">
        <v>214</v>
      </c>
      <c r="S44" s="51" t="s">
        <v>210</v>
      </c>
      <c r="T44" s="51" t="s">
        <v>374</v>
      </c>
      <c r="U44" s="54" t="s">
        <v>375</v>
      </c>
      <c r="V44" s="51" t="s">
        <v>417</v>
      </c>
      <c r="W44" s="82" t="s">
        <v>418</v>
      </c>
      <c r="X44" s="51" t="s">
        <v>371</v>
      </c>
      <c r="Y44" s="78" t="s">
        <v>378</v>
      </c>
      <c r="Z44" s="78" t="s">
        <v>417</v>
      </c>
      <c r="AA44" s="52" t="s">
        <v>372</v>
      </c>
    </row>
    <row r="45" spans="2:27" ht="80.25" hidden="1" customHeight="1" x14ac:dyDescent="0.35">
      <c r="B45" s="51" t="s">
        <v>9</v>
      </c>
      <c r="C45" s="51" t="s">
        <v>364</v>
      </c>
      <c r="D45" s="51" t="s">
        <v>10</v>
      </c>
      <c r="E45" s="52">
        <v>1</v>
      </c>
      <c r="F45" s="51" t="s">
        <v>222</v>
      </c>
      <c r="G45" s="51" t="s">
        <v>223</v>
      </c>
      <c r="H45" s="54" t="s">
        <v>224</v>
      </c>
      <c r="I45" s="52">
        <v>12</v>
      </c>
      <c r="J45" s="51" t="s">
        <v>123</v>
      </c>
      <c r="K45" s="52">
        <v>4</v>
      </c>
      <c r="L45" s="52"/>
      <c r="M45" s="52"/>
      <c r="N45" s="53" t="s">
        <v>225</v>
      </c>
      <c r="O45" s="53" t="s">
        <v>226</v>
      </c>
      <c r="P45" s="52"/>
      <c r="Q45" s="53" t="s">
        <v>419</v>
      </c>
      <c r="R45" s="55" t="s">
        <v>203</v>
      </c>
      <c r="S45" s="51" t="s">
        <v>420</v>
      </c>
      <c r="T45" s="55" t="s">
        <v>421</v>
      </c>
      <c r="U45" s="53" t="s">
        <v>422</v>
      </c>
      <c r="V45" s="55" t="s">
        <v>423</v>
      </c>
      <c r="W45" s="82" t="s">
        <v>424</v>
      </c>
      <c r="X45" s="51" t="s">
        <v>425</v>
      </c>
      <c r="Y45" s="54" t="s">
        <v>426</v>
      </c>
      <c r="Z45" s="54" t="s">
        <v>427</v>
      </c>
      <c r="AA45" s="52" t="s">
        <v>372</v>
      </c>
    </row>
    <row r="46" spans="2:27" ht="80.25" hidden="1" customHeight="1" x14ac:dyDescent="0.35">
      <c r="B46" s="51" t="s">
        <v>9</v>
      </c>
      <c r="C46" s="51" t="s">
        <v>364</v>
      </c>
      <c r="D46" s="51" t="s">
        <v>10</v>
      </c>
      <c r="E46" s="52">
        <v>1</v>
      </c>
      <c r="F46" s="51" t="s">
        <v>428</v>
      </c>
      <c r="G46" s="51" t="s">
        <v>429</v>
      </c>
      <c r="H46" s="54" t="s">
        <v>430</v>
      </c>
      <c r="I46" s="52">
        <v>13</v>
      </c>
      <c r="J46" s="51" t="s">
        <v>123</v>
      </c>
      <c r="K46" s="52">
        <v>10</v>
      </c>
      <c r="L46" s="52"/>
      <c r="M46" s="52"/>
      <c r="N46" s="53" t="s">
        <v>431</v>
      </c>
      <c r="O46" s="53" t="s">
        <v>432</v>
      </c>
      <c r="P46" s="52"/>
      <c r="Q46" s="54"/>
      <c r="R46" s="55"/>
      <c r="S46" s="51"/>
      <c r="T46" s="55" t="s">
        <v>403</v>
      </c>
      <c r="U46" s="53" t="s">
        <v>433</v>
      </c>
      <c r="V46" s="55" t="s">
        <v>434</v>
      </c>
      <c r="W46" s="82" t="s">
        <v>435</v>
      </c>
      <c r="X46" s="51" t="s">
        <v>371</v>
      </c>
      <c r="Y46" s="54" t="s">
        <v>436</v>
      </c>
      <c r="Z46" s="78" t="s">
        <v>437</v>
      </c>
      <c r="AA46" s="52" t="s">
        <v>372</v>
      </c>
    </row>
    <row r="47" spans="2:27" ht="80.25" hidden="1" customHeight="1" x14ac:dyDescent="0.35">
      <c r="B47" s="51" t="s">
        <v>9</v>
      </c>
      <c r="C47" s="51" t="s">
        <v>364</v>
      </c>
      <c r="D47" s="51" t="s">
        <v>10</v>
      </c>
      <c r="E47" s="52">
        <v>1</v>
      </c>
      <c r="F47" s="51" t="s">
        <v>438</v>
      </c>
      <c r="G47" s="51" t="s">
        <v>439</v>
      </c>
      <c r="H47" s="54" t="s">
        <v>249</v>
      </c>
      <c r="I47" s="52">
        <v>14</v>
      </c>
      <c r="J47" s="51" t="s">
        <v>250</v>
      </c>
      <c r="K47" s="52">
        <v>23</v>
      </c>
      <c r="L47" s="52">
        <v>6</v>
      </c>
      <c r="M47" s="52"/>
      <c r="N47" s="53" t="s">
        <v>440</v>
      </c>
      <c r="O47" s="53" t="s">
        <v>441</v>
      </c>
      <c r="P47" s="52"/>
      <c r="Q47" s="54"/>
      <c r="R47" s="55"/>
      <c r="S47" s="51"/>
      <c r="T47" s="55" t="s">
        <v>403</v>
      </c>
      <c r="U47" s="53" t="s">
        <v>433</v>
      </c>
      <c r="V47" s="55" t="s">
        <v>442</v>
      </c>
      <c r="W47" s="82" t="s">
        <v>443</v>
      </c>
      <c r="X47" s="51" t="s">
        <v>371</v>
      </c>
      <c r="Y47" s="54" t="s">
        <v>436</v>
      </c>
      <c r="Z47" s="55" t="s">
        <v>444</v>
      </c>
      <c r="AA47" s="52" t="s">
        <v>372</v>
      </c>
    </row>
    <row r="48" spans="2:27" ht="80.25" hidden="1" customHeight="1" x14ac:dyDescent="0.35">
      <c r="B48" s="51" t="s">
        <v>9</v>
      </c>
      <c r="C48" s="51" t="s">
        <v>364</v>
      </c>
      <c r="D48" s="51" t="s">
        <v>10</v>
      </c>
      <c r="E48" s="52">
        <v>1</v>
      </c>
      <c r="F48" s="51" t="s">
        <v>445</v>
      </c>
      <c r="G48" s="51" t="s">
        <v>446</v>
      </c>
      <c r="H48" s="54" t="s">
        <v>430</v>
      </c>
      <c r="I48" s="52">
        <v>15</v>
      </c>
      <c r="J48" s="51" t="s">
        <v>123</v>
      </c>
      <c r="K48" s="52">
        <v>10</v>
      </c>
      <c r="L48" s="52"/>
      <c r="M48" s="52"/>
      <c r="N48" s="53" t="s">
        <v>447</v>
      </c>
      <c r="O48" s="53" t="s">
        <v>448</v>
      </c>
      <c r="P48" s="52"/>
      <c r="Q48" s="54"/>
      <c r="R48" s="53"/>
      <c r="S48" s="54"/>
      <c r="T48" s="51" t="s">
        <v>374</v>
      </c>
      <c r="U48" s="54" t="s">
        <v>449</v>
      </c>
      <c r="V48" s="51" t="s">
        <v>437</v>
      </c>
      <c r="W48" s="82" t="s">
        <v>450</v>
      </c>
      <c r="X48" s="51" t="s">
        <v>371</v>
      </c>
      <c r="Y48" s="54" t="s">
        <v>436</v>
      </c>
      <c r="Z48" s="54" t="s">
        <v>437</v>
      </c>
      <c r="AA48" s="52" t="s">
        <v>372</v>
      </c>
    </row>
    <row r="49" spans="2:27" ht="80.25" hidden="1" customHeight="1" x14ac:dyDescent="0.35">
      <c r="B49" s="51" t="s">
        <v>9</v>
      </c>
      <c r="C49" s="51" t="s">
        <v>364</v>
      </c>
      <c r="D49" s="51" t="s">
        <v>10</v>
      </c>
      <c r="E49" s="52">
        <v>1</v>
      </c>
      <c r="F49" s="51" t="s">
        <v>451</v>
      </c>
      <c r="G49" s="51" t="s">
        <v>452</v>
      </c>
      <c r="H49" s="54" t="s">
        <v>249</v>
      </c>
      <c r="I49" s="52">
        <v>16</v>
      </c>
      <c r="J49" s="51" t="s">
        <v>250</v>
      </c>
      <c r="K49" s="52">
        <v>23</v>
      </c>
      <c r="L49" s="52">
        <v>6</v>
      </c>
      <c r="M49" s="52"/>
      <c r="N49" s="53" t="s">
        <v>453</v>
      </c>
      <c r="O49" s="53" t="s">
        <v>454</v>
      </c>
      <c r="P49" s="52"/>
      <c r="Q49" s="54"/>
      <c r="R49" s="53"/>
      <c r="S49" s="54"/>
      <c r="T49" s="51" t="s">
        <v>374</v>
      </c>
      <c r="U49" s="54" t="s">
        <v>449</v>
      </c>
      <c r="V49" s="51" t="s">
        <v>444</v>
      </c>
      <c r="W49" s="82" t="s">
        <v>455</v>
      </c>
      <c r="X49" s="51" t="s">
        <v>371</v>
      </c>
      <c r="Y49" s="54" t="s">
        <v>436</v>
      </c>
      <c r="Z49" s="54" t="s">
        <v>444</v>
      </c>
      <c r="AA49" s="52" t="s">
        <v>372</v>
      </c>
    </row>
    <row r="50" spans="2:27" ht="80.25" hidden="1" customHeight="1" x14ac:dyDescent="0.35">
      <c r="B50" s="51" t="s">
        <v>9</v>
      </c>
      <c r="C50" s="51" t="s">
        <v>364</v>
      </c>
      <c r="D50" s="51" t="s">
        <v>10</v>
      </c>
      <c r="E50" s="52">
        <v>1</v>
      </c>
      <c r="F50" s="51" t="s">
        <v>293</v>
      </c>
      <c r="G50" s="51" t="s">
        <v>294</v>
      </c>
      <c r="H50" s="54" t="s">
        <v>295</v>
      </c>
      <c r="I50" s="52">
        <v>17</v>
      </c>
      <c r="J50" s="51" t="s">
        <v>123</v>
      </c>
      <c r="K50" s="52">
        <v>4</v>
      </c>
      <c r="L50" s="52"/>
      <c r="M50" s="52"/>
      <c r="N50" s="53" t="s">
        <v>296</v>
      </c>
      <c r="O50" s="53" t="s">
        <v>297</v>
      </c>
      <c r="P50" s="52"/>
      <c r="Q50" s="53" t="s">
        <v>456</v>
      </c>
      <c r="R50" s="55" t="s">
        <v>299</v>
      </c>
      <c r="S50" s="51" t="s">
        <v>300</v>
      </c>
      <c r="T50" s="55" t="s">
        <v>367</v>
      </c>
      <c r="U50" s="53" t="s">
        <v>368</v>
      </c>
      <c r="V50" s="55" t="s">
        <v>369</v>
      </c>
      <c r="W50" s="82" t="s">
        <v>457</v>
      </c>
      <c r="X50" s="51" t="s">
        <v>371</v>
      </c>
      <c r="Y50" s="78" t="s">
        <v>378</v>
      </c>
      <c r="Z50" s="78" t="s">
        <v>458</v>
      </c>
      <c r="AA50" s="52" t="s">
        <v>372</v>
      </c>
    </row>
    <row r="51" spans="2:27" ht="80.25" customHeight="1" x14ac:dyDescent="0.35">
      <c r="B51" s="51" t="s">
        <v>9</v>
      </c>
      <c r="C51" s="51" t="s">
        <v>364</v>
      </c>
      <c r="D51" s="51" t="s">
        <v>10</v>
      </c>
      <c r="E51" s="52">
        <v>1</v>
      </c>
      <c r="F51" s="51" t="s">
        <v>304</v>
      </c>
      <c r="G51" s="51" t="s">
        <v>305</v>
      </c>
      <c r="H51" s="54" t="s">
        <v>295</v>
      </c>
      <c r="I51" s="52">
        <v>18</v>
      </c>
      <c r="J51" s="51" t="s">
        <v>123</v>
      </c>
      <c r="K51" s="52">
        <v>4</v>
      </c>
      <c r="L51" s="52"/>
      <c r="M51" s="52"/>
      <c r="N51" s="53" t="s">
        <v>306</v>
      </c>
      <c r="O51" s="53" t="s">
        <v>307</v>
      </c>
      <c r="P51" s="52"/>
      <c r="Q51" s="53" t="s">
        <v>459</v>
      </c>
      <c r="R51" s="55" t="s">
        <v>203</v>
      </c>
      <c r="S51" s="51" t="s">
        <v>309</v>
      </c>
      <c r="T51" s="55" t="s">
        <v>367</v>
      </c>
      <c r="U51" s="53" t="s">
        <v>368</v>
      </c>
      <c r="V51" s="55" t="s">
        <v>369</v>
      </c>
      <c r="W51" s="82" t="s">
        <v>460</v>
      </c>
      <c r="X51" s="51" t="s">
        <v>371</v>
      </c>
      <c r="Y51" s="68" t="s">
        <v>461</v>
      </c>
      <c r="Z51" s="68" t="s">
        <v>461</v>
      </c>
      <c r="AA51" s="52" t="s">
        <v>462</v>
      </c>
    </row>
    <row r="52" spans="2:27" ht="80.25" hidden="1" customHeight="1" x14ac:dyDescent="0.35">
      <c r="B52" s="51" t="s">
        <v>9</v>
      </c>
      <c r="C52" s="51" t="s">
        <v>364</v>
      </c>
      <c r="D52" s="51" t="s">
        <v>10</v>
      </c>
      <c r="E52" s="52">
        <v>1</v>
      </c>
      <c r="F52" s="51" t="s">
        <v>317</v>
      </c>
      <c r="G52" s="51" t="s">
        <v>318</v>
      </c>
      <c r="H52" s="51" t="s">
        <v>319</v>
      </c>
      <c r="I52" s="52">
        <v>19</v>
      </c>
      <c r="J52" s="51" t="s">
        <v>123</v>
      </c>
      <c r="K52" s="52">
        <v>2</v>
      </c>
      <c r="L52" s="52"/>
      <c r="M52" s="52"/>
      <c r="N52" s="53" t="s">
        <v>320</v>
      </c>
      <c r="O52" s="53" t="s">
        <v>321</v>
      </c>
      <c r="P52" s="52"/>
      <c r="Q52" s="53" t="s">
        <v>463</v>
      </c>
      <c r="R52" s="55"/>
      <c r="S52" s="51"/>
      <c r="T52" s="51" t="s">
        <v>374</v>
      </c>
      <c r="U52" s="54" t="s">
        <v>375</v>
      </c>
      <c r="V52" s="51" t="s">
        <v>372</v>
      </c>
      <c r="W52" s="82" t="s">
        <v>464</v>
      </c>
      <c r="X52" s="51" t="s">
        <v>371</v>
      </c>
      <c r="Y52" s="54" t="s">
        <v>372</v>
      </c>
      <c r="Z52" s="54" t="s">
        <v>372</v>
      </c>
      <c r="AA52" s="52" t="s">
        <v>465</v>
      </c>
    </row>
    <row r="53" spans="2:27" ht="80.25" hidden="1" customHeight="1" x14ac:dyDescent="0.35">
      <c r="B53" s="51" t="s">
        <v>9</v>
      </c>
      <c r="C53" s="51" t="s">
        <v>364</v>
      </c>
      <c r="D53" s="51" t="s">
        <v>10</v>
      </c>
      <c r="E53" s="52">
        <v>1</v>
      </c>
      <c r="F53" s="51" t="s">
        <v>326</v>
      </c>
      <c r="G53" s="51" t="s">
        <v>327</v>
      </c>
      <c r="H53" s="51" t="s">
        <v>328</v>
      </c>
      <c r="I53" s="52">
        <v>20</v>
      </c>
      <c r="J53" s="51" t="s">
        <v>123</v>
      </c>
      <c r="K53" s="52">
        <v>10</v>
      </c>
      <c r="L53" s="52"/>
      <c r="M53" s="52"/>
      <c r="N53" s="53" t="s">
        <v>329</v>
      </c>
      <c r="O53" s="53" t="s">
        <v>361</v>
      </c>
      <c r="P53" s="52" t="s">
        <v>126</v>
      </c>
      <c r="Q53" s="54"/>
      <c r="R53" s="55"/>
      <c r="S53" s="51"/>
      <c r="T53" s="51" t="s">
        <v>374</v>
      </c>
      <c r="U53" s="54" t="s">
        <v>375</v>
      </c>
      <c r="V53" s="51" t="s">
        <v>372</v>
      </c>
      <c r="W53" s="82" t="s">
        <v>466</v>
      </c>
      <c r="X53" s="51" t="s">
        <v>372</v>
      </c>
      <c r="Y53" s="54" t="s">
        <v>372</v>
      </c>
      <c r="Z53" s="54" t="s">
        <v>372</v>
      </c>
      <c r="AA53" s="52" t="s">
        <v>372</v>
      </c>
    </row>
    <row r="54" spans="2:27" ht="80.25" hidden="1" customHeight="1" x14ac:dyDescent="0.35">
      <c r="B54" s="51" t="s">
        <v>9</v>
      </c>
      <c r="C54" s="51" t="s">
        <v>364</v>
      </c>
      <c r="D54" s="51" t="s">
        <v>10</v>
      </c>
      <c r="E54" s="52">
        <v>1</v>
      </c>
      <c r="F54" s="51" t="s">
        <v>333</v>
      </c>
      <c r="G54" s="51" t="s">
        <v>334</v>
      </c>
      <c r="H54" s="51" t="s">
        <v>335</v>
      </c>
      <c r="I54" s="52">
        <v>21</v>
      </c>
      <c r="J54" s="51" t="s">
        <v>336</v>
      </c>
      <c r="K54" s="52">
        <v>23</v>
      </c>
      <c r="L54" s="52"/>
      <c r="M54" s="52"/>
      <c r="N54" s="53" t="s">
        <v>337</v>
      </c>
      <c r="O54" s="53" t="s">
        <v>338</v>
      </c>
      <c r="P54" s="52"/>
      <c r="Q54" s="54"/>
      <c r="R54" s="55"/>
      <c r="S54" s="51"/>
      <c r="T54" s="51" t="s">
        <v>374</v>
      </c>
      <c r="U54" s="54" t="s">
        <v>375</v>
      </c>
      <c r="V54" s="51" t="s">
        <v>372</v>
      </c>
      <c r="W54" s="82" t="s">
        <v>467</v>
      </c>
      <c r="X54" s="51" t="s">
        <v>372</v>
      </c>
      <c r="Y54" s="54" t="s">
        <v>372</v>
      </c>
      <c r="Z54" s="54" t="s">
        <v>372</v>
      </c>
      <c r="AA54" s="52" t="s">
        <v>372</v>
      </c>
    </row>
    <row r="55" spans="2:27" ht="80.25" hidden="1" customHeight="1" x14ac:dyDescent="0.35">
      <c r="B55" s="51" t="s">
        <v>9</v>
      </c>
      <c r="C55" s="51" t="s">
        <v>468</v>
      </c>
      <c r="D55" s="51" t="s">
        <v>12</v>
      </c>
      <c r="E55" s="52">
        <v>2</v>
      </c>
      <c r="F55" s="51" t="s">
        <v>469</v>
      </c>
      <c r="G55" s="51" t="s">
        <v>470</v>
      </c>
      <c r="H55" s="51" t="s">
        <v>122</v>
      </c>
      <c r="I55" s="52">
        <v>1</v>
      </c>
      <c r="J55" s="51" t="s">
        <v>471</v>
      </c>
      <c r="K55" s="52">
        <v>5</v>
      </c>
      <c r="L55" s="52"/>
      <c r="M55" s="52"/>
      <c r="N55" s="53" t="s">
        <v>472</v>
      </c>
      <c r="O55" s="53" t="s">
        <v>473</v>
      </c>
      <c r="P55" s="52" t="s">
        <v>126</v>
      </c>
      <c r="Q55" s="51"/>
      <c r="R55" s="55"/>
      <c r="S55" s="51"/>
      <c r="T55" s="55" t="s">
        <v>474</v>
      </c>
      <c r="U55" s="53" t="s">
        <v>475</v>
      </c>
      <c r="V55" s="55" t="s">
        <v>351</v>
      </c>
      <c r="W55" s="82" t="s">
        <v>476</v>
      </c>
      <c r="X55" s="51" t="s">
        <v>371</v>
      </c>
      <c r="Y55" s="51" t="s">
        <v>477</v>
      </c>
      <c r="Z55" s="51" t="s">
        <v>478</v>
      </c>
      <c r="AA55" s="52" t="s">
        <v>372</v>
      </c>
    </row>
    <row r="56" spans="2:27" ht="80.25" hidden="1" customHeight="1" x14ac:dyDescent="0.35">
      <c r="B56" s="51" t="s">
        <v>9</v>
      </c>
      <c r="C56" s="51" t="s">
        <v>468</v>
      </c>
      <c r="D56" s="51" t="s">
        <v>12</v>
      </c>
      <c r="E56" s="52">
        <v>2</v>
      </c>
      <c r="F56" s="51" t="s">
        <v>120</v>
      </c>
      <c r="G56" s="51" t="s">
        <v>121</v>
      </c>
      <c r="H56" s="54" t="s">
        <v>479</v>
      </c>
      <c r="I56" s="52">
        <v>2</v>
      </c>
      <c r="J56" s="51" t="s">
        <v>123</v>
      </c>
      <c r="K56" s="52">
        <v>4</v>
      </c>
      <c r="L56" s="52"/>
      <c r="M56" s="52"/>
      <c r="N56" s="328" t="s">
        <v>124</v>
      </c>
      <c r="O56" s="53" t="s">
        <v>125</v>
      </c>
      <c r="P56" s="52"/>
      <c r="Q56" s="54"/>
      <c r="R56" s="55" t="s">
        <v>480</v>
      </c>
      <c r="S56" s="55" t="s">
        <v>481</v>
      </c>
      <c r="T56" s="55" t="s">
        <v>367</v>
      </c>
      <c r="U56" s="53" t="s">
        <v>368</v>
      </c>
      <c r="V56" s="55" t="s">
        <v>369</v>
      </c>
      <c r="W56" s="82" t="s">
        <v>482</v>
      </c>
      <c r="X56" s="51" t="s">
        <v>371</v>
      </c>
      <c r="Y56" s="54" t="s">
        <v>372</v>
      </c>
      <c r="Z56" s="54" t="s">
        <v>372</v>
      </c>
      <c r="AA56" s="52" t="s">
        <v>373</v>
      </c>
    </row>
    <row r="57" spans="2:27" ht="80.25" hidden="1" customHeight="1" x14ac:dyDescent="0.35">
      <c r="B57" s="51" t="s">
        <v>9</v>
      </c>
      <c r="C57" s="51" t="s">
        <v>468</v>
      </c>
      <c r="D57" s="51" t="s">
        <v>12</v>
      </c>
      <c r="E57" s="52">
        <v>2</v>
      </c>
      <c r="F57" s="51" t="s">
        <v>136</v>
      </c>
      <c r="G57" s="51" t="s">
        <v>137</v>
      </c>
      <c r="H57" s="54" t="s">
        <v>479</v>
      </c>
      <c r="I57" s="52">
        <v>3</v>
      </c>
      <c r="J57" s="51" t="s">
        <v>123</v>
      </c>
      <c r="K57" s="52">
        <v>30</v>
      </c>
      <c r="L57" s="52"/>
      <c r="M57" s="52"/>
      <c r="N57" s="53" t="s">
        <v>483</v>
      </c>
      <c r="O57" s="53" t="s">
        <v>484</v>
      </c>
      <c r="P57" s="52"/>
      <c r="Q57" s="54"/>
      <c r="R57" s="55" t="s">
        <v>480</v>
      </c>
      <c r="S57" s="55" t="s">
        <v>481</v>
      </c>
      <c r="T57" s="51" t="s">
        <v>485</v>
      </c>
      <c r="U57" s="54" t="s">
        <v>375</v>
      </c>
      <c r="V57" s="51" t="s">
        <v>376</v>
      </c>
      <c r="W57" s="82" t="s">
        <v>486</v>
      </c>
      <c r="X57" s="51" t="s">
        <v>371</v>
      </c>
      <c r="Y57" s="54" t="s">
        <v>378</v>
      </c>
      <c r="Z57" s="54" t="s">
        <v>487</v>
      </c>
      <c r="AA57" s="52" t="s">
        <v>372</v>
      </c>
    </row>
    <row r="58" spans="2:27" ht="80.25" hidden="1" customHeight="1" x14ac:dyDescent="0.35">
      <c r="B58" s="51" t="s">
        <v>9</v>
      </c>
      <c r="C58" s="51" t="s">
        <v>468</v>
      </c>
      <c r="D58" s="51" t="s">
        <v>12</v>
      </c>
      <c r="E58" s="52">
        <v>2</v>
      </c>
      <c r="F58" s="51" t="s">
        <v>488</v>
      </c>
      <c r="G58" s="51" t="s">
        <v>489</v>
      </c>
      <c r="H58" s="54" t="s">
        <v>479</v>
      </c>
      <c r="I58" s="52">
        <v>4</v>
      </c>
      <c r="J58" s="51" t="s">
        <v>123</v>
      </c>
      <c r="K58" s="52">
        <v>7</v>
      </c>
      <c r="L58" s="52"/>
      <c r="M58" s="52"/>
      <c r="N58" s="53" t="s">
        <v>490</v>
      </c>
      <c r="O58" s="53" t="s">
        <v>491</v>
      </c>
      <c r="P58" s="52"/>
      <c r="Q58" s="54"/>
      <c r="R58" s="55" t="s">
        <v>401</v>
      </c>
      <c r="S58" s="51" t="s">
        <v>492</v>
      </c>
      <c r="T58" s="55" t="s">
        <v>493</v>
      </c>
      <c r="U58" s="65" t="s">
        <v>494</v>
      </c>
      <c r="V58" s="55" t="s">
        <v>495</v>
      </c>
      <c r="W58" s="82" t="s">
        <v>496</v>
      </c>
      <c r="X58" s="51" t="s">
        <v>497</v>
      </c>
      <c r="Y58" s="51" t="s">
        <v>498</v>
      </c>
      <c r="Z58" s="54" t="s">
        <v>499</v>
      </c>
      <c r="AA58" s="52" t="s">
        <v>500</v>
      </c>
    </row>
    <row r="59" spans="2:27" ht="80.25" hidden="1" customHeight="1" x14ac:dyDescent="0.35">
      <c r="B59" s="51" t="s">
        <v>9</v>
      </c>
      <c r="C59" s="51" t="s">
        <v>468</v>
      </c>
      <c r="D59" s="51" t="s">
        <v>12</v>
      </c>
      <c r="E59" s="52">
        <v>2</v>
      </c>
      <c r="F59" s="51" t="s">
        <v>501</v>
      </c>
      <c r="G59" s="51" t="s">
        <v>502</v>
      </c>
      <c r="H59" s="54" t="s">
        <v>479</v>
      </c>
      <c r="I59" s="52">
        <v>5</v>
      </c>
      <c r="J59" s="51" t="s">
        <v>123</v>
      </c>
      <c r="K59" s="52">
        <v>7</v>
      </c>
      <c r="L59" s="52"/>
      <c r="M59" s="52"/>
      <c r="N59" s="53" t="s">
        <v>503</v>
      </c>
      <c r="O59" s="53" t="s">
        <v>491</v>
      </c>
      <c r="P59" s="52"/>
      <c r="Q59" s="51"/>
      <c r="R59" s="55"/>
      <c r="S59" s="51"/>
      <c r="T59" s="55" t="s">
        <v>493</v>
      </c>
      <c r="U59" s="65" t="s">
        <v>494</v>
      </c>
      <c r="V59" s="55" t="s">
        <v>495</v>
      </c>
      <c r="W59" s="82" t="s">
        <v>504</v>
      </c>
      <c r="X59" s="51" t="s">
        <v>497</v>
      </c>
      <c r="Y59" s="51" t="s">
        <v>498</v>
      </c>
      <c r="Z59" s="54" t="s">
        <v>505</v>
      </c>
      <c r="AA59" s="52" t="s">
        <v>500</v>
      </c>
    </row>
    <row r="60" spans="2:27" ht="80.25" hidden="1" customHeight="1" x14ac:dyDescent="0.35">
      <c r="B60" s="51" t="s">
        <v>9</v>
      </c>
      <c r="C60" s="51" t="s">
        <v>468</v>
      </c>
      <c r="D60" s="51" t="s">
        <v>12</v>
      </c>
      <c r="E60" s="52">
        <v>2</v>
      </c>
      <c r="F60" s="51" t="s">
        <v>506</v>
      </c>
      <c r="G60" s="51" t="s">
        <v>507</v>
      </c>
      <c r="H60" s="54" t="s">
        <v>508</v>
      </c>
      <c r="I60" s="52">
        <v>6</v>
      </c>
      <c r="J60" s="51" t="s">
        <v>123</v>
      </c>
      <c r="K60" s="52">
        <v>23</v>
      </c>
      <c r="L60" s="52"/>
      <c r="M60" s="52"/>
      <c r="N60" s="53" t="s">
        <v>509</v>
      </c>
      <c r="O60" s="53" t="s">
        <v>510</v>
      </c>
      <c r="P60" s="52"/>
      <c r="Q60" s="54"/>
      <c r="R60" s="55" t="s">
        <v>401</v>
      </c>
      <c r="S60" s="51" t="s">
        <v>511</v>
      </c>
      <c r="T60" s="55" t="s">
        <v>474</v>
      </c>
      <c r="U60" s="53" t="s">
        <v>475</v>
      </c>
      <c r="V60" s="55" t="s">
        <v>512</v>
      </c>
      <c r="W60" s="82" t="s">
        <v>513</v>
      </c>
      <c r="X60" s="51" t="s">
        <v>371</v>
      </c>
      <c r="Y60" s="51" t="s">
        <v>477</v>
      </c>
      <c r="Z60" s="54" t="s">
        <v>415</v>
      </c>
      <c r="AA60" s="52" t="s">
        <v>372</v>
      </c>
    </row>
    <row r="61" spans="2:27" ht="80.25" hidden="1" customHeight="1" x14ac:dyDescent="0.35">
      <c r="B61" s="51" t="s">
        <v>9</v>
      </c>
      <c r="C61" s="51" t="s">
        <v>468</v>
      </c>
      <c r="D61" s="51" t="s">
        <v>12</v>
      </c>
      <c r="E61" s="52">
        <v>2</v>
      </c>
      <c r="F61" s="51" t="s">
        <v>514</v>
      </c>
      <c r="G61" s="51" t="s">
        <v>515</v>
      </c>
      <c r="H61" s="54" t="s">
        <v>508</v>
      </c>
      <c r="I61" s="52">
        <v>7</v>
      </c>
      <c r="J61" s="51" t="s">
        <v>123</v>
      </c>
      <c r="K61" s="52">
        <v>23</v>
      </c>
      <c r="L61" s="52"/>
      <c r="M61" s="52"/>
      <c r="N61" s="53" t="s">
        <v>516</v>
      </c>
      <c r="O61" s="53" t="s">
        <v>517</v>
      </c>
      <c r="P61" s="52"/>
      <c r="Q61" s="54"/>
      <c r="R61" s="55" t="s">
        <v>401</v>
      </c>
      <c r="S61" s="51" t="s">
        <v>518</v>
      </c>
      <c r="T61" s="55" t="s">
        <v>474</v>
      </c>
      <c r="U61" s="53" t="s">
        <v>475</v>
      </c>
      <c r="V61" s="55" t="s">
        <v>519</v>
      </c>
      <c r="W61" s="82" t="s">
        <v>520</v>
      </c>
      <c r="X61" s="51" t="s">
        <v>371</v>
      </c>
      <c r="Y61" s="51" t="s">
        <v>477</v>
      </c>
      <c r="Z61" s="54" t="s">
        <v>417</v>
      </c>
      <c r="AA61" s="52" t="s">
        <v>372</v>
      </c>
    </row>
    <row r="62" spans="2:27" ht="80.25" hidden="1" customHeight="1" x14ac:dyDescent="0.35">
      <c r="B62" s="51" t="s">
        <v>9</v>
      </c>
      <c r="C62" s="51" t="s">
        <v>468</v>
      </c>
      <c r="D62" s="51" t="s">
        <v>12</v>
      </c>
      <c r="E62" s="52">
        <v>2</v>
      </c>
      <c r="F62" s="51" t="s">
        <v>521</v>
      </c>
      <c r="G62" s="51" t="s">
        <v>522</v>
      </c>
      <c r="H62" s="54" t="s">
        <v>523</v>
      </c>
      <c r="I62" s="52">
        <v>8</v>
      </c>
      <c r="J62" s="51" t="s">
        <v>123</v>
      </c>
      <c r="K62" s="52">
        <v>4</v>
      </c>
      <c r="L62" s="52"/>
      <c r="M62" s="52"/>
      <c r="N62" s="53" t="s">
        <v>524</v>
      </c>
      <c r="O62" s="53" t="s">
        <v>525</v>
      </c>
      <c r="P62" s="52"/>
      <c r="Q62" s="53" t="s">
        <v>526</v>
      </c>
      <c r="R62" s="55" t="s">
        <v>401</v>
      </c>
      <c r="S62" s="51" t="s">
        <v>527</v>
      </c>
      <c r="T62" s="55" t="s">
        <v>474</v>
      </c>
      <c r="U62" s="53" t="s">
        <v>475</v>
      </c>
      <c r="V62" s="55" t="s">
        <v>528</v>
      </c>
      <c r="W62" s="82" t="s">
        <v>529</v>
      </c>
      <c r="X62" s="51" t="s">
        <v>371</v>
      </c>
      <c r="Y62" s="51" t="s">
        <v>477</v>
      </c>
      <c r="Z62" s="54" t="s">
        <v>530</v>
      </c>
      <c r="AA62" s="52" t="s">
        <v>372</v>
      </c>
    </row>
    <row r="63" spans="2:27" ht="80.25" hidden="1" customHeight="1" x14ac:dyDescent="0.35">
      <c r="B63" s="51" t="s">
        <v>9</v>
      </c>
      <c r="C63" s="51" t="s">
        <v>468</v>
      </c>
      <c r="D63" s="51" t="s">
        <v>12</v>
      </c>
      <c r="E63" s="52">
        <v>2</v>
      </c>
      <c r="F63" s="51" t="s">
        <v>531</v>
      </c>
      <c r="G63" s="51" t="s">
        <v>532</v>
      </c>
      <c r="H63" s="54" t="s">
        <v>533</v>
      </c>
      <c r="I63" s="52">
        <v>9</v>
      </c>
      <c r="J63" s="51" t="s">
        <v>123</v>
      </c>
      <c r="K63" s="52"/>
      <c r="L63" s="52"/>
      <c r="M63" s="52"/>
      <c r="N63" s="53" t="s">
        <v>534</v>
      </c>
      <c r="O63" s="53" t="s">
        <v>535</v>
      </c>
      <c r="P63" s="52"/>
      <c r="Q63" s="54"/>
      <c r="R63" s="55" t="s">
        <v>401</v>
      </c>
      <c r="S63" s="51" t="s">
        <v>536</v>
      </c>
      <c r="T63" s="55" t="s">
        <v>474</v>
      </c>
      <c r="U63" s="53" t="s">
        <v>475</v>
      </c>
      <c r="V63" s="55" t="s">
        <v>537</v>
      </c>
      <c r="W63" s="82" t="s">
        <v>538</v>
      </c>
      <c r="X63" s="51" t="s">
        <v>371</v>
      </c>
      <c r="Y63" s="51" t="s">
        <v>477</v>
      </c>
      <c r="Z63" s="54" t="s">
        <v>539</v>
      </c>
      <c r="AA63" s="52" t="s">
        <v>372</v>
      </c>
    </row>
    <row r="64" spans="2:27" ht="80.25" hidden="1" customHeight="1" x14ac:dyDescent="0.35">
      <c r="B64" s="51" t="s">
        <v>9</v>
      </c>
      <c r="C64" s="51" t="s">
        <v>468</v>
      </c>
      <c r="D64" s="51" t="s">
        <v>12</v>
      </c>
      <c r="E64" s="52">
        <v>2</v>
      </c>
      <c r="F64" s="51" t="s">
        <v>326</v>
      </c>
      <c r="G64" s="51" t="s">
        <v>327</v>
      </c>
      <c r="H64" s="51" t="s">
        <v>328</v>
      </c>
      <c r="I64" s="52">
        <v>10</v>
      </c>
      <c r="J64" s="51" t="s">
        <v>123</v>
      </c>
      <c r="K64" s="52">
        <v>10</v>
      </c>
      <c r="L64" s="52"/>
      <c r="M64" s="52"/>
      <c r="N64" s="53" t="s">
        <v>329</v>
      </c>
      <c r="O64" s="53" t="s">
        <v>361</v>
      </c>
      <c r="P64" s="52" t="s">
        <v>126</v>
      </c>
      <c r="Q64" s="54"/>
      <c r="R64" s="55"/>
      <c r="S64" s="51"/>
      <c r="T64" s="55" t="s">
        <v>474</v>
      </c>
      <c r="U64" s="53" t="s">
        <v>475</v>
      </c>
      <c r="V64" s="55" t="s">
        <v>540</v>
      </c>
      <c r="W64" s="82" t="s">
        <v>541</v>
      </c>
      <c r="X64" s="51" t="s">
        <v>372</v>
      </c>
      <c r="Y64" s="51" t="s">
        <v>372</v>
      </c>
      <c r="Z64" s="51" t="s">
        <v>372</v>
      </c>
      <c r="AA64" s="52" t="s">
        <v>372</v>
      </c>
    </row>
    <row r="65" spans="2:27" ht="80.25" hidden="1" customHeight="1" x14ac:dyDescent="0.35">
      <c r="B65" s="51" t="s">
        <v>9</v>
      </c>
      <c r="C65" s="51" t="s">
        <v>468</v>
      </c>
      <c r="D65" s="51" t="s">
        <v>12</v>
      </c>
      <c r="E65" s="52">
        <v>2</v>
      </c>
      <c r="F65" s="51" t="s">
        <v>333</v>
      </c>
      <c r="G65" s="51" t="s">
        <v>334</v>
      </c>
      <c r="H65" s="51" t="s">
        <v>335</v>
      </c>
      <c r="I65" s="52">
        <v>11</v>
      </c>
      <c r="J65" s="51" t="s">
        <v>336</v>
      </c>
      <c r="K65" s="52">
        <v>23</v>
      </c>
      <c r="L65" s="52"/>
      <c r="M65" s="52"/>
      <c r="N65" s="53" t="s">
        <v>337</v>
      </c>
      <c r="O65" s="53" t="s">
        <v>338</v>
      </c>
      <c r="P65" s="52"/>
      <c r="Q65" s="54"/>
      <c r="R65" s="53"/>
      <c r="S65" s="54"/>
      <c r="T65" s="55" t="s">
        <v>485</v>
      </c>
      <c r="U65" s="53" t="s">
        <v>375</v>
      </c>
      <c r="V65" s="51" t="s">
        <v>372</v>
      </c>
      <c r="W65" s="82" t="s">
        <v>542</v>
      </c>
      <c r="X65" s="51" t="s">
        <v>372</v>
      </c>
      <c r="Y65" s="51" t="s">
        <v>372</v>
      </c>
      <c r="Z65" s="51" t="s">
        <v>372</v>
      </c>
      <c r="AA65" s="52" t="s">
        <v>372</v>
      </c>
    </row>
    <row r="66" spans="2:27" ht="80.25" hidden="1" customHeight="1" x14ac:dyDescent="0.35">
      <c r="B66" s="51" t="s">
        <v>340</v>
      </c>
      <c r="C66" s="62" t="s">
        <v>543</v>
      </c>
      <c r="D66" s="62" t="s">
        <v>544</v>
      </c>
      <c r="E66" s="325">
        <v>0</v>
      </c>
      <c r="F66" s="51" t="s">
        <v>120</v>
      </c>
      <c r="G66" s="51" t="s">
        <v>121</v>
      </c>
      <c r="H66" s="79" t="s">
        <v>122</v>
      </c>
      <c r="I66" s="325">
        <v>1</v>
      </c>
      <c r="J66" s="62" t="s">
        <v>123</v>
      </c>
      <c r="K66" s="325">
        <v>2</v>
      </c>
      <c r="L66" s="325"/>
      <c r="M66" s="52"/>
      <c r="N66" s="328" t="s">
        <v>124</v>
      </c>
      <c r="O66" s="53" t="s">
        <v>125</v>
      </c>
      <c r="P66" s="325" t="s">
        <v>126</v>
      </c>
      <c r="Q66" s="62"/>
      <c r="R66" s="55" t="s">
        <v>365</v>
      </c>
      <c r="S66" s="55" t="s">
        <v>366</v>
      </c>
      <c r="T66" s="55" t="s">
        <v>545</v>
      </c>
      <c r="U66" s="53" t="s">
        <v>368</v>
      </c>
      <c r="V66" s="55" t="s">
        <v>369</v>
      </c>
      <c r="W66" s="82" t="s">
        <v>546</v>
      </c>
      <c r="X66" s="51" t="s">
        <v>371</v>
      </c>
      <c r="Y66" s="78" t="s">
        <v>372</v>
      </c>
      <c r="Z66" s="78" t="s">
        <v>372</v>
      </c>
      <c r="AA66" s="52" t="s">
        <v>373</v>
      </c>
    </row>
    <row r="67" spans="2:27" ht="80.25" hidden="1" customHeight="1" x14ac:dyDescent="0.35">
      <c r="B67" s="51" t="s">
        <v>340</v>
      </c>
      <c r="C67" s="62" t="s">
        <v>543</v>
      </c>
      <c r="D67" s="62" t="s">
        <v>544</v>
      </c>
      <c r="E67" s="325">
        <v>0</v>
      </c>
      <c r="F67" s="62" t="s">
        <v>136</v>
      </c>
      <c r="G67" s="62" t="s">
        <v>137</v>
      </c>
      <c r="H67" s="79" t="s">
        <v>122</v>
      </c>
      <c r="I67" s="325">
        <v>2</v>
      </c>
      <c r="J67" s="62" t="s">
        <v>123</v>
      </c>
      <c r="K67" s="325">
        <v>30</v>
      </c>
      <c r="L67" s="325"/>
      <c r="M67" s="52"/>
      <c r="N67" s="53" t="s">
        <v>138</v>
      </c>
      <c r="O67" s="53" t="s">
        <v>139</v>
      </c>
      <c r="P67" s="325" t="s">
        <v>126</v>
      </c>
      <c r="Q67" s="62"/>
      <c r="R67" s="55" t="s">
        <v>365</v>
      </c>
      <c r="S67" s="55" t="s">
        <v>366</v>
      </c>
      <c r="T67" s="51" t="s">
        <v>374</v>
      </c>
      <c r="U67" s="54" t="s">
        <v>375</v>
      </c>
      <c r="V67" s="51" t="s">
        <v>376</v>
      </c>
      <c r="W67" s="82" t="s">
        <v>547</v>
      </c>
      <c r="X67" s="51" t="s">
        <v>371</v>
      </c>
      <c r="Y67" s="78" t="s">
        <v>378</v>
      </c>
      <c r="Z67" s="78" t="s">
        <v>379</v>
      </c>
      <c r="AA67" s="52" t="s">
        <v>372</v>
      </c>
    </row>
    <row r="68" spans="2:27" ht="80.25" hidden="1" customHeight="1" x14ac:dyDescent="0.35">
      <c r="B68" s="51" t="s">
        <v>340</v>
      </c>
      <c r="C68" s="62" t="s">
        <v>543</v>
      </c>
      <c r="D68" s="62" t="s">
        <v>544</v>
      </c>
      <c r="E68" s="325">
        <v>0</v>
      </c>
      <c r="F68" s="62" t="s">
        <v>352</v>
      </c>
      <c r="G68" s="62" t="s">
        <v>353</v>
      </c>
      <c r="H68" s="51" t="s">
        <v>240</v>
      </c>
      <c r="I68" s="325">
        <v>3</v>
      </c>
      <c r="J68" s="62" t="s">
        <v>123</v>
      </c>
      <c r="K68" s="325">
        <v>4</v>
      </c>
      <c r="L68" s="325"/>
      <c r="M68" s="350"/>
      <c r="N68" s="53" t="s">
        <v>354</v>
      </c>
      <c r="O68" s="53" t="s">
        <v>355</v>
      </c>
      <c r="P68" s="325"/>
      <c r="Q68" s="62"/>
      <c r="R68" s="53"/>
      <c r="S68" s="54"/>
      <c r="T68" s="51" t="s">
        <v>374</v>
      </c>
      <c r="U68" s="54" t="s">
        <v>375</v>
      </c>
      <c r="V68" s="51" t="s">
        <v>372</v>
      </c>
      <c r="W68" s="82" t="s">
        <v>548</v>
      </c>
      <c r="X68" s="51"/>
      <c r="Y68" s="51"/>
      <c r="Z68" s="51"/>
      <c r="AA68" s="52"/>
    </row>
    <row r="69" spans="2:27" ht="80.25" hidden="1" customHeight="1" x14ac:dyDescent="0.35">
      <c r="B69" s="51" t="s">
        <v>340</v>
      </c>
      <c r="C69" s="62" t="s">
        <v>543</v>
      </c>
      <c r="D69" s="62" t="s">
        <v>544</v>
      </c>
      <c r="E69" s="325">
        <v>0</v>
      </c>
      <c r="F69" s="62" t="s">
        <v>317</v>
      </c>
      <c r="G69" s="62" t="s">
        <v>318</v>
      </c>
      <c r="H69" s="51" t="s">
        <v>319</v>
      </c>
      <c r="I69" s="325">
        <v>4</v>
      </c>
      <c r="J69" s="62" t="s">
        <v>123</v>
      </c>
      <c r="K69" s="325">
        <v>4</v>
      </c>
      <c r="L69" s="325"/>
      <c r="M69" s="350"/>
      <c r="N69" s="53" t="s">
        <v>320</v>
      </c>
      <c r="O69" s="53" t="s">
        <v>321</v>
      </c>
      <c r="P69" s="325" t="s">
        <v>126</v>
      </c>
      <c r="Q69" s="62"/>
      <c r="R69" s="53"/>
      <c r="S69" s="54"/>
      <c r="T69" s="51" t="s">
        <v>374</v>
      </c>
      <c r="U69" s="54" t="s">
        <v>375</v>
      </c>
      <c r="V69" s="51" t="s">
        <v>372</v>
      </c>
      <c r="W69" s="82" t="s">
        <v>549</v>
      </c>
      <c r="X69" s="51" t="s">
        <v>371</v>
      </c>
      <c r="Y69" s="54" t="s">
        <v>372</v>
      </c>
      <c r="Z69" s="54" t="s">
        <v>372</v>
      </c>
      <c r="AA69" s="52" t="s">
        <v>465</v>
      </c>
    </row>
    <row r="70" spans="2:27" ht="80.25" hidden="1" customHeight="1" x14ac:dyDescent="0.35">
      <c r="B70" s="51" t="s">
        <v>340</v>
      </c>
      <c r="C70" s="62" t="s">
        <v>543</v>
      </c>
      <c r="D70" s="62" t="s">
        <v>544</v>
      </c>
      <c r="E70" s="325">
        <v>0</v>
      </c>
      <c r="F70" s="51" t="s">
        <v>326</v>
      </c>
      <c r="G70" s="51" t="s">
        <v>327</v>
      </c>
      <c r="H70" s="51" t="s">
        <v>335</v>
      </c>
      <c r="I70" s="325">
        <v>5</v>
      </c>
      <c r="J70" s="62" t="s">
        <v>123</v>
      </c>
      <c r="K70" s="325">
        <v>10</v>
      </c>
      <c r="L70" s="325"/>
      <c r="M70" s="350"/>
      <c r="N70" s="53" t="s">
        <v>329</v>
      </c>
      <c r="O70" s="53" t="s">
        <v>361</v>
      </c>
      <c r="P70" s="325"/>
      <c r="Q70" s="62"/>
      <c r="R70" s="53"/>
      <c r="S70" s="54"/>
      <c r="T70" s="51" t="s">
        <v>374</v>
      </c>
      <c r="U70" s="54" t="s">
        <v>375</v>
      </c>
      <c r="V70" s="51" t="s">
        <v>372</v>
      </c>
      <c r="W70" s="82" t="s">
        <v>550</v>
      </c>
      <c r="X70" s="51" t="s">
        <v>372</v>
      </c>
      <c r="Y70" s="54" t="s">
        <v>372</v>
      </c>
      <c r="Z70" s="54" t="s">
        <v>372</v>
      </c>
      <c r="AA70" s="52" t="s">
        <v>372</v>
      </c>
    </row>
    <row r="71" spans="2:27" ht="80.25" hidden="1" customHeight="1" x14ac:dyDescent="0.35">
      <c r="B71" s="51" t="s">
        <v>340</v>
      </c>
      <c r="C71" s="62" t="s">
        <v>543</v>
      </c>
      <c r="D71" s="62" t="s">
        <v>544</v>
      </c>
      <c r="E71" s="325">
        <v>0</v>
      </c>
      <c r="F71" s="51" t="s">
        <v>333</v>
      </c>
      <c r="G71" s="51" t="s">
        <v>334</v>
      </c>
      <c r="H71" s="51" t="s">
        <v>335</v>
      </c>
      <c r="I71" s="325">
        <v>6</v>
      </c>
      <c r="J71" s="51" t="s">
        <v>336</v>
      </c>
      <c r="K71" s="52">
        <v>23</v>
      </c>
      <c r="L71" s="325"/>
      <c r="M71" s="350"/>
      <c r="N71" s="53" t="s">
        <v>337</v>
      </c>
      <c r="O71" s="53" t="s">
        <v>338</v>
      </c>
      <c r="P71" s="325"/>
      <c r="Q71" s="62"/>
      <c r="R71" s="53"/>
      <c r="S71" s="54"/>
      <c r="T71" s="51" t="s">
        <v>374</v>
      </c>
      <c r="U71" s="54" t="s">
        <v>375</v>
      </c>
      <c r="V71" s="51" t="s">
        <v>372</v>
      </c>
      <c r="W71" s="82" t="s">
        <v>551</v>
      </c>
      <c r="X71" s="51" t="s">
        <v>372</v>
      </c>
      <c r="Y71" s="54" t="s">
        <v>372</v>
      </c>
      <c r="Z71" s="54" t="s">
        <v>372</v>
      </c>
      <c r="AA71" s="52" t="s">
        <v>372</v>
      </c>
    </row>
    <row r="72" spans="2:27" ht="80.25" hidden="1" customHeight="1" x14ac:dyDescent="0.35">
      <c r="B72" s="51" t="s">
        <v>14</v>
      </c>
      <c r="C72" s="51" t="s">
        <v>552</v>
      </c>
      <c r="D72" s="51" t="s">
        <v>15</v>
      </c>
      <c r="E72" s="52">
        <v>1</v>
      </c>
      <c r="F72" s="51" t="s">
        <v>120</v>
      </c>
      <c r="G72" s="51" t="s">
        <v>121</v>
      </c>
      <c r="H72" s="51" t="s">
        <v>122</v>
      </c>
      <c r="I72" s="52">
        <v>1</v>
      </c>
      <c r="J72" s="51" t="s">
        <v>123</v>
      </c>
      <c r="K72" s="52">
        <v>4</v>
      </c>
      <c r="L72" s="52"/>
      <c r="M72" s="52"/>
      <c r="N72" s="328" t="s">
        <v>124</v>
      </c>
      <c r="O72" s="53" t="s">
        <v>125</v>
      </c>
      <c r="P72" s="52" t="s">
        <v>126</v>
      </c>
      <c r="Q72" s="54"/>
      <c r="R72" s="55" t="s">
        <v>127</v>
      </c>
      <c r="S72" s="55" t="s">
        <v>128</v>
      </c>
      <c r="T72" s="55" t="s">
        <v>553</v>
      </c>
      <c r="U72" s="53" t="s">
        <v>554</v>
      </c>
      <c r="V72" s="55" t="s">
        <v>555</v>
      </c>
      <c r="W72" s="319" t="s">
        <v>556</v>
      </c>
      <c r="X72" s="61" t="s">
        <v>557</v>
      </c>
      <c r="Y72" s="54" t="s">
        <v>372</v>
      </c>
      <c r="Z72" s="54" t="s">
        <v>372</v>
      </c>
      <c r="AA72" s="52" t="s">
        <v>373</v>
      </c>
    </row>
    <row r="73" spans="2:27" ht="80.25" hidden="1" customHeight="1" x14ac:dyDescent="0.35">
      <c r="B73" s="51" t="s">
        <v>14</v>
      </c>
      <c r="C73" s="51" t="s">
        <v>558</v>
      </c>
      <c r="D73" s="51" t="s">
        <v>17</v>
      </c>
      <c r="E73" s="52">
        <v>2</v>
      </c>
      <c r="F73" s="51" t="s">
        <v>120</v>
      </c>
      <c r="G73" s="51" t="s">
        <v>121</v>
      </c>
      <c r="H73" s="51" t="s">
        <v>122</v>
      </c>
      <c r="I73" s="52">
        <v>1</v>
      </c>
      <c r="J73" s="51" t="s">
        <v>123</v>
      </c>
      <c r="K73" s="52">
        <v>4</v>
      </c>
      <c r="L73" s="52"/>
      <c r="M73" s="52"/>
      <c r="N73" s="328" t="s">
        <v>124</v>
      </c>
      <c r="O73" s="53" t="s">
        <v>125</v>
      </c>
      <c r="P73" s="52" t="s">
        <v>126</v>
      </c>
      <c r="Q73" s="54"/>
      <c r="R73" s="55"/>
      <c r="S73" s="51"/>
      <c r="T73" s="55" t="s">
        <v>559</v>
      </c>
      <c r="U73" s="65" t="s">
        <v>560</v>
      </c>
      <c r="V73" s="55" t="s">
        <v>369</v>
      </c>
      <c r="W73" s="82" t="s">
        <v>561</v>
      </c>
      <c r="X73" s="61" t="s">
        <v>557</v>
      </c>
      <c r="Y73" s="54" t="s">
        <v>372</v>
      </c>
      <c r="Z73" s="54" t="s">
        <v>372</v>
      </c>
      <c r="AA73" s="52" t="s">
        <v>373</v>
      </c>
    </row>
    <row r="74" spans="2:27" ht="80.25" hidden="1" customHeight="1" x14ac:dyDescent="0.35">
      <c r="B74" s="51" t="s">
        <v>340</v>
      </c>
      <c r="C74" s="62" t="s">
        <v>562</v>
      </c>
      <c r="D74" s="62" t="s">
        <v>19</v>
      </c>
      <c r="E74" s="325">
        <v>0</v>
      </c>
      <c r="F74" s="51" t="s">
        <v>120</v>
      </c>
      <c r="G74" s="51" t="s">
        <v>121</v>
      </c>
      <c r="H74" s="79" t="s">
        <v>122</v>
      </c>
      <c r="I74" s="325">
        <v>1</v>
      </c>
      <c r="J74" s="62" t="s">
        <v>123</v>
      </c>
      <c r="K74" s="325">
        <v>2</v>
      </c>
      <c r="L74" s="325"/>
      <c r="M74" s="325"/>
      <c r="N74" s="328" t="s">
        <v>124</v>
      </c>
      <c r="O74" s="53" t="s">
        <v>125</v>
      </c>
      <c r="P74" s="325" t="s">
        <v>126</v>
      </c>
      <c r="Q74" s="62"/>
      <c r="R74" s="175"/>
      <c r="S74" s="79"/>
      <c r="T74" s="55" t="s">
        <v>563</v>
      </c>
      <c r="U74" s="53" t="s">
        <v>554</v>
      </c>
      <c r="V74" s="55" t="s">
        <v>555</v>
      </c>
      <c r="W74" s="319" t="s">
        <v>564</v>
      </c>
      <c r="X74" s="175" t="s">
        <v>565</v>
      </c>
      <c r="Y74" s="53" t="s">
        <v>566</v>
      </c>
      <c r="Z74" s="53" t="s">
        <v>351</v>
      </c>
      <c r="AA74" s="340" t="s">
        <v>567</v>
      </c>
    </row>
    <row r="75" spans="2:27" ht="80.25" hidden="1" customHeight="1" x14ac:dyDescent="0.35">
      <c r="B75" s="51" t="s">
        <v>14</v>
      </c>
      <c r="C75" s="51" t="s">
        <v>552</v>
      </c>
      <c r="D75" s="51" t="s">
        <v>15</v>
      </c>
      <c r="E75" s="52">
        <v>1</v>
      </c>
      <c r="F75" s="51" t="s">
        <v>136</v>
      </c>
      <c r="G75" s="51" t="s">
        <v>137</v>
      </c>
      <c r="H75" s="51" t="s">
        <v>122</v>
      </c>
      <c r="I75" s="52">
        <v>2</v>
      </c>
      <c r="J75" s="51" t="s">
        <v>123</v>
      </c>
      <c r="K75" s="52">
        <v>30</v>
      </c>
      <c r="L75" s="52"/>
      <c r="M75" s="52"/>
      <c r="N75" s="53" t="s">
        <v>138</v>
      </c>
      <c r="O75" s="53" t="s">
        <v>139</v>
      </c>
      <c r="P75" s="52" t="s">
        <v>126</v>
      </c>
      <c r="Q75" s="54"/>
      <c r="R75" s="55" t="s">
        <v>127</v>
      </c>
      <c r="S75" s="55" t="s">
        <v>128</v>
      </c>
      <c r="T75" s="55" t="s">
        <v>568</v>
      </c>
      <c r="U75" s="53" t="s">
        <v>569</v>
      </c>
      <c r="V75" s="65" t="s">
        <v>570</v>
      </c>
      <c r="W75" s="319" t="s">
        <v>571</v>
      </c>
      <c r="X75" s="61" t="s">
        <v>557</v>
      </c>
      <c r="Y75" s="69" t="s">
        <v>572</v>
      </c>
      <c r="Z75" s="65" t="s">
        <v>573</v>
      </c>
      <c r="AA75" s="52" t="s">
        <v>372</v>
      </c>
    </row>
    <row r="76" spans="2:27" ht="80.25" hidden="1" customHeight="1" x14ac:dyDescent="0.35">
      <c r="B76" s="51" t="s">
        <v>14</v>
      </c>
      <c r="C76" s="51" t="s">
        <v>558</v>
      </c>
      <c r="D76" s="51" t="s">
        <v>17</v>
      </c>
      <c r="E76" s="52">
        <v>2</v>
      </c>
      <c r="F76" s="51" t="s">
        <v>574</v>
      </c>
      <c r="G76" s="51" t="s">
        <v>575</v>
      </c>
      <c r="H76" s="51" t="s">
        <v>122</v>
      </c>
      <c r="I76" s="52">
        <v>2</v>
      </c>
      <c r="J76" s="51" t="s">
        <v>123</v>
      </c>
      <c r="K76" s="52">
        <v>15</v>
      </c>
      <c r="L76" s="52"/>
      <c r="M76" s="52"/>
      <c r="N76" s="53" t="s">
        <v>576</v>
      </c>
      <c r="O76" s="53" t="s">
        <v>577</v>
      </c>
      <c r="P76" s="52" t="s">
        <v>126</v>
      </c>
      <c r="Q76" s="54"/>
      <c r="R76" s="55"/>
      <c r="S76" s="51"/>
      <c r="T76" s="51" t="s">
        <v>578</v>
      </c>
      <c r="U76" s="69" t="s">
        <v>579</v>
      </c>
      <c r="V76" s="51" t="s">
        <v>580</v>
      </c>
      <c r="W76" s="82" t="s">
        <v>581</v>
      </c>
      <c r="X76" s="61" t="s">
        <v>557</v>
      </c>
      <c r="Y76" s="69" t="s">
        <v>579</v>
      </c>
      <c r="Z76" s="54" t="s">
        <v>582</v>
      </c>
      <c r="AA76" s="52" t="s">
        <v>372</v>
      </c>
    </row>
    <row r="77" spans="2:27" ht="80.25" hidden="1" customHeight="1" x14ac:dyDescent="0.35">
      <c r="B77" s="51" t="s">
        <v>340</v>
      </c>
      <c r="C77" s="62" t="s">
        <v>562</v>
      </c>
      <c r="D77" s="62" t="s">
        <v>19</v>
      </c>
      <c r="E77" s="325">
        <v>0</v>
      </c>
      <c r="F77" s="62" t="s">
        <v>136</v>
      </c>
      <c r="G77" s="62" t="s">
        <v>137</v>
      </c>
      <c r="H77" s="79" t="s">
        <v>122</v>
      </c>
      <c r="I77" s="325">
        <v>2</v>
      </c>
      <c r="J77" s="62" t="s">
        <v>123</v>
      </c>
      <c r="K77" s="325">
        <v>30</v>
      </c>
      <c r="L77" s="325"/>
      <c r="M77" s="325"/>
      <c r="N77" s="53" t="s">
        <v>138</v>
      </c>
      <c r="O77" s="53" t="s">
        <v>139</v>
      </c>
      <c r="P77" s="325" t="s">
        <v>126</v>
      </c>
      <c r="Q77" s="62"/>
      <c r="R77" s="175"/>
      <c r="S77" s="79"/>
      <c r="T77" s="55" t="s">
        <v>568</v>
      </c>
      <c r="U77" s="53" t="s">
        <v>569</v>
      </c>
      <c r="V77" s="65" t="s">
        <v>583</v>
      </c>
      <c r="W77" s="319" t="s">
        <v>584</v>
      </c>
      <c r="X77" s="175" t="s">
        <v>565</v>
      </c>
      <c r="Y77" s="53" t="s">
        <v>569</v>
      </c>
      <c r="Z77" s="65" t="s">
        <v>585</v>
      </c>
      <c r="AA77" s="60" t="s">
        <v>351</v>
      </c>
    </row>
    <row r="78" spans="2:27" ht="80.25" hidden="1" customHeight="1" x14ac:dyDescent="0.35">
      <c r="B78" s="51" t="s">
        <v>14</v>
      </c>
      <c r="C78" s="51" t="s">
        <v>552</v>
      </c>
      <c r="D78" s="51" t="s">
        <v>15</v>
      </c>
      <c r="E78" s="52">
        <v>1</v>
      </c>
      <c r="F78" s="51" t="s">
        <v>148</v>
      </c>
      <c r="G78" s="51" t="s">
        <v>149</v>
      </c>
      <c r="H78" s="54" t="s">
        <v>150</v>
      </c>
      <c r="I78" s="52">
        <v>3</v>
      </c>
      <c r="J78" s="51" t="s">
        <v>123</v>
      </c>
      <c r="K78" s="52">
        <v>4</v>
      </c>
      <c r="L78" s="52"/>
      <c r="M78" s="52"/>
      <c r="N78" s="53" t="s">
        <v>151</v>
      </c>
      <c r="O78" s="53" t="s">
        <v>152</v>
      </c>
      <c r="P78" s="52"/>
      <c r="Q78" s="53" t="s">
        <v>586</v>
      </c>
      <c r="R78" s="55"/>
      <c r="S78" s="51"/>
      <c r="T78" s="55" t="s">
        <v>553</v>
      </c>
      <c r="U78" s="53" t="s">
        <v>554</v>
      </c>
      <c r="V78" s="55" t="s">
        <v>555</v>
      </c>
      <c r="W78" s="319" t="s">
        <v>587</v>
      </c>
      <c r="X78" s="51" t="s">
        <v>372</v>
      </c>
      <c r="Y78" s="51" t="s">
        <v>372</v>
      </c>
      <c r="Z78" s="51" t="s">
        <v>372</v>
      </c>
      <c r="AA78" s="52" t="s">
        <v>372</v>
      </c>
    </row>
    <row r="79" spans="2:27" ht="80.25" hidden="1" customHeight="1" x14ac:dyDescent="0.35">
      <c r="B79" s="51" t="s">
        <v>14</v>
      </c>
      <c r="C79" s="51" t="s">
        <v>558</v>
      </c>
      <c r="D79" s="51" t="s">
        <v>17</v>
      </c>
      <c r="E79" s="52">
        <v>2</v>
      </c>
      <c r="F79" s="51" t="s">
        <v>148</v>
      </c>
      <c r="G79" s="51" t="s">
        <v>149</v>
      </c>
      <c r="H79" s="54" t="s">
        <v>150</v>
      </c>
      <c r="I79" s="52">
        <v>3</v>
      </c>
      <c r="J79" s="51" t="s">
        <v>123</v>
      </c>
      <c r="K79" s="52">
        <v>4</v>
      </c>
      <c r="L79" s="52"/>
      <c r="M79" s="52"/>
      <c r="N79" s="53" t="s">
        <v>151</v>
      </c>
      <c r="O79" s="53" t="s">
        <v>152</v>
      </c>
      <c r="P79" s="52"/>
      <c r="Q79" s="53" t="s">
        <v>586</v>
      </c>
      <c r="R79" s="55"/>
      <c r="S79" s="51"/>
      <c r="T79" s="55" t="s">
        <v>559</v>
      </c>
      <c r="U79" s="65" t="s">
        <v>560</v>
      </c>
      <c r="V79" s="55" t="s">
        <v>369</v>
      </c>
      <c r="W79" s="82" t="s">
        <v>588</v>
      </c>
      <c r="X79" s="51" t="s">
        <v>372</v>
      </c>
      <c r="Y79" s="51" t="s">
        <v>372</v>
      </c>
      <c r="Z79" s="51" t="s">
        <v>372</v>
      </c>
      <c r="AA79" s="52" t="s">
        <v>372</v>
      </c>
    </row>
    <row r="80" spans="2:27" ht="80.25" hidden="1" customHeight="1" x14ac:dyDescent="0.35">
      <c r="B80" s="51" t="s">
        <v>14</v>
      </c>
      <c r="C80" s="51" t="s">
        <v>558</v>
      </c>
      <c r="D80" s="51" t="s">
        <v>17</v>
      </c>
      <c r="E80" s="52">
        <v>2</v>
      </c>
      <c r="F80" s="51" t="s">
        <v>155</v>
      </c>
      <c r="G80" s="51" t="s">
        <v>156</v>
      </c>
      <c r="H80" s="54" t="s">
        <v>150</v>
      </c>
      <c r="I80" s="52">
        <v>3</v>
      </c>
      <c r="J80" s="51" t="s">
        <v>123</v>
      </c>
      <c r="K80" s="52">
        <v>4</v>
      </c>
      <c r="L80" s="52"/>
      <c r="M80" s="52"/>
      <c r="N80" s="53" t="s">
        <v>157</v>
      </c>
      <c r="O80" s="53" t="s">
        <v>158</v>
      </c>
      <c r="P80" s="52"/>
      <c r="Q80" s="53" t="s">
        <v>589</v>
      </c>
      <c r="R80" s="55"/>
      <c r="S80" s="51"/>
      <c r="T80" s="51" t="s">
        <v>578</v>
      </c>
      <c r="U80" s="61" t="s">
        <v>579</v>
      </c>
      <c r="V80" s="51" t="s">
        <v>590</v>
      </c>
      <c r="W80" s="82" t="s">
        <v>591</v>
      </c>
      <c r="X80" s="61" t="s">
        <v>557</v>
      </c>
      <c r="Y80" s="69" t="s">
        <v>579</v>
      </c>
      <c r="Z80" s="54" t="s">
        <v>590</v>
      </c>
      <c r="AA80" s="52" t="s">
        <v>372</v>
      </c>
    </row>
    <row r="81" spans="2:27" ht="80.25" hidden="1" customHeight="1" x14ac:dyDescent="0.35">
      <c r="B81" s="51" t="s">
        <v>14</v>
      </c>
      <c r="C81" s="51" t="s">
        <v>558</v>
      </c>
      <c r="D81" s="51" t="s">
        <v>17</v>
      </c>
      <c r="E81" s="52">
        <v>2</v>
      </c>
      <c r="F81" s="51" t="s">
        <v>167</v>
      </c>
      <c r="G81" s="51" t="s">
        <v>168</v>
      </c>
      <c r="H81" s="54" t="s">
        <v>150</v>
      </c>
      <c r="I81" s="52">
        <v>3</v>
      </c>
      <c r="J81" s="51" t="s">
        <v>123</v>
      </c>
      <c r="K81" s="52">
        <v>4</v>
      </c>
      <c r="L81" s="52"/>
      <c r="M81" s="52"/>
      <c r="N81" s="53" t="s">
        <v>169</v>
      </c>
      <c r="O81" s="53" t="s">
        <v>170</v>
      </c>
      <c r="P81" s="52"/>
      <c r="Q81" s="53" t="s">
        <v>592</v>
      </c>
      <c r="R81" s="55"/>
      <c r="S81" s="51"/>
      <c r="T81" s="51" t="s">
        <v>578</v>
      </c>
      <c r="U81" s="61" t="s">
        <v>579</v>
      </c>
      <c r="V81" s="51" t="s">
        <v>593</v>
      </c>
      <c r="W81" s="82" t="s">
        <v>594</v>
      </c>
      <c r="X81" s="61" t="s">
        <v>557</v>
      </c>
      <c r="Y81" s="69" t="s">
        <v>579</v>
      </c>
      <c r="Z81" s="69" t="s">
        <v>593</v>
      </c>
      <c r="AA81" s="52" t="s">
        <v>372</v>
      </c>
    </row>
    <row r="82" spans="2:27" ht="80.25" hidden="1" customHeight="1" x14ac:dyDescent="0.35">
      <c r="B82" s="51" t="s">
        <v>340</v>
      </c>
      <c r="C82" s="62" t="s">
        <v>562</v>
      </c>
      <c r="D82" s="62" t="s">
        <v>19</v>
      </c>
      <c r="E82" s="325">
        <v>0</v>
      </c>
      <c r="F82" s="62" t="s">
        <v>352</v>
      </c>
      <c r="G82" s="62" t="s">
        <v>353</v>
      </c>
      <c r="H82" s="51" t="s">
        <v>240</v>
      </c>
      <c r="I82" s="325">
        <v>3</v>
      </c>
      <c r="J82" s="62" t="s">
        <v>123</v>
      </c>
      <c r="K82" s="325">
        <v>4</v>
      </c>
      <c r="L82" s="325"/>
      <c r="M82" s="325"/>
      <c r="N82" s="53" t="s">
        <v>354</v>
      </c>
      <c r="O82" s="53" t="s">
        <v>355</v>
      </c>
      <c r="P82" s="325"/>
      <c r="Q82" s="62"/>
      <c r="R82" s="175"/>
      <c r="S82" s="79"/>
      <c r="T82" s="55" t="s">
        <v>568</v>
      </c>
      <c r="U82" s="53" t="s">
        <v>569</v>
      </c>
      <c r="V82" s="90" t="s">
        <v>595</v>
      </c>
      <c r="W82" s="321" t="s">
        <v>596</v>
      </c>
      <c r="X82" s="175" t="s">
        <v>565</v>
      </c>
      <c r="Y82" s="53" t="s">
        <v>569</v>
      </c>
      <c r="Z82" s="175" t="s">
        <v>597</v>
      </c>
      <c r="AA82" s="327" t="s">
        <v>598</v>
      </c>
    </row>
    <row r="83" spans="2:27" ht="80.25" hidden="1" customHeight="1" x14ac:dyDescent="0.35">
      <c r="B83" s="51" t="s">
        <v>14</v>
      </c>
      <c r="C83" s="51" t="s">
        <v>552</v>
      </c>
      <c r="D83" s="51" t="s">
        <v>15</v>
      </c>
      <c r="E83" s="52">
        <v>1</v>
      </c>
      <c r="F83" s="51" t="s">
        <v>155</v>
      </c>
      <c r="G83" s="51" t="s">
        <v>156</v>
      </c>
      <c r="H83" s="54" t="s">
        <v>150</v>
      </c>
      <c r="I83" s="52">
        <v>4</v>
      </c>
      <c r="J83" s="51" t="s">
        <v>123</v>
      </c>
      <c r="K83" s="52">
        <v>4</v>
      </c>
      <c r="L83" s="52"/>
      <c r="M83" s="52"/>
      <c r="N83" s="53" t="s">
        <v>157</v>
      </c>
      <c r="O83" s="53" t="s">
        <v>158</v>
      </c>
      <c r="P83" s="52"/>
      <c r="Q83" s="55" t="s">
        <v>599</v>
      </c>
      <c r="R83" s="55" t="s">
        <v>160</v>
      </c>
      <c r="S83" s="55" t="s">
        <v>161</v>
      </c>
      <c r="T83" s="55" t="s">
        <v>600</v>
      </c>
      <c r="U83" s="53" t="s">
        <v>601</v>
      </c>
      <c r="V83" s="65" t="s">
        <v>602</v>
      </c>
      <c r="W83" s="82" t="s">
        <v>603</v>
      </c>
      <c r="X83" s="61" t="s">
        <v>557</v>
      </c>
      <c r="Y83" s="54" t="s">
        <v>579</v>
      </c>
      <c r="Z83" s="65" t="s">
        <v>590</v>
      </c>
      <c r="AA83" s="52" t="s">
        <v>372</v>
      </c>
    </row>
    <row r="84" spans="2:27" ht="80.25" hidden="1" customHeight="1" x14ac:dyDescent="0.35">
      <c r="B84" s="51" t="s">
        <v>340</v>
      </c>
      <c r="C84" s="62" t="s">
        <v>562</v>
      </c>
      <c r="D84" s="62" t="s">
        <v>19</v>
      </c>
      <c r="E84" s="325">
        <v>0</v>
      </c>
      <c r="F84" s="62" t="s">
        <v>317</v>
      </c>
      <c r="G84" s="62" t="s">
        <v>318</v>
      </c>
      <c r="H84" s="51" t="s">
        <v>319</v>
      </c>
      <c r="I84" s="325">
        <v>4</v>
      </c>
      <c r="J84" s="62" t="s">
        <v>123</v>
      </c>
      <c r="K84" s="325">
        <v>4</v>
      </c>
      <c r="L84" s="325"/>
      <c r="M84" s="325"/>
      <c r="N84" s="53" t="s">
        <v>320</v>
      </c>
      <c r="O84" s="53" t="s">
        <v>321</v>
      </c>
      <c r="P84" s="325" t="s">
        <v>126</v>
      </c>
      <c r="Q84" s="62"/>
      <c r="R84" s="175"/>
      <c r="S84" s="79"/>
      <c r="T84" s="55" t="s">
        <v>568</v>
      </c>
      <c r="U84" s="53" t="s">
        <v>569</v>
      </c>
      <c r="V84" s="90" t="s">
        <v>604</v>
      </c>
      <c r="W84" s="321" t="s">
        <v>605</v>
      </c>
      <c r="X84" s="175" t="s">
        <v>565</v>
      </c>
      <c r="Y84" s="53" t="s">
        <v>566</v>
      </c>
      <c r="Z84" s="53" t="s">
        <v>351</v>
      </c>
      <c r="AA84" s="60" t="s">
        <v>606</v>
      </c>
    </row>
    <row r="85" spans="2:27" ht="80.25" hidden="1" customHeight="1" x14ac:dyDescent="0.35">
      <c r="B85" s="51" t="s">
        <v>14</v>
      </c>
      <c r="C85" s="51" t="s">
        <v>552</v>
      </c>
      <c r="D85" s="51" t="s">
        <v>15</v>
      </c>
      <c r="E85" s="52">
        <v>1</v>
      </c>
      <c r="F85" s="51" t="s">
        <v>167</v>
      </c>
      <c r="G85" s="51" t="s">
        <v>168</v>
      </c>
      <c r="H85" s="54" t="s">
        <v>150</v>
      </c>
      <c r="I85" s="52">
        <v>5</v>
      </c>
      <c r="J85" s="51" t="s">
        <v>123</v>
      </c>
      <c r="K85" s="52">
        <v>4</v>
      </c>
      <c r="L85" s="52"/>
      <c r="M85" s="52"/>
      <c r="N85" s="53" t="s">
        <v>169</v>
      </c>
      <c r="O85" s="53" t="s">
        <v>170</v>
      </c>
      <c r="P85" s="52"/>
      <c r="Q85" s="53" t="s">
        <v>592</v>
      </c>
      <c r="R85" s="55" t="s">
        <v>160</v>
      </c>
      <c r="S85" s="55" t="s">
        <v>172</v>
      </c>
      <c r="T85" s="55" t="s">
        <v>600</v>
      </c>
      <c r="U85" s="53" t="s">
        <v>601</v>
      </c>
      <c r="V85" s="55" t="s">
        <v>607</v>
      </c>
      <c r="W85" s="82" t="s">
        <v>608</v>
      </c>
      <c r="X85" s="61" t="s">
        <v>557</v>
      </c>
      <c r="Y85" s="54" t="s">
        <v>579</v>
      </c>
      <c r="Z85" s="51" t="s">
        <v>593</v>
      </c>
      <c r="AA85" s="52" t="s">
        <v>372</v>
      </c>
    </row>
    <row r="86" spans="2:27" ht="80.25" hidden="1" customHeight="1" x14ac:dyDescent="0.35">
      <c r="B86" s="51" t="s">
        <v>340</v>
      </c>
      <c r="C86" s="62" t="s">
        <v>562</v>
      </c>
      <c r="D86" s="62" t="s">
        <v>19</v>
      </c>
      <c r="E86" s="325">
        <v>0</v>
      </c>
      <c r="F86" s="51" t="s">
        <v>326</v>
      </c>
      <c r="G86" s="56" t="s">
        <v>327</v>
      </c>
      <c r="H86" s="51" t="s">
        <v>335</v>
      </c>
      <c r="I86" s="325">
        <v>5</v>
      </c>
      <c r="J86" s="62" t="s">
        <v>123</v>
      </c>
      <c r="K86" s="325">
        <v>10</v>
      </c>
      <c r="L86" s="325"/>
      <c r="M86" s="325"/>
      <c r="N86" s="53" t="s">
        <v>329</v>
      </c>
      <c r="O86" s="53" t="s">
        <v>361</v>
      </c>
      <c r="P86" s="325"/>
      <c r="Q86" s="62"/>
      <c r="R86" s="175"/>
      <c r="S86" s="79"/>
      <c r="T86" s="55" t="s">
        <v>568</v>
      </c>
      <c r="U86" s="53" t="s">
        <v>569</v>
      </c>
      <c r="V86" s="90" t="s">
        <v>609</v>
      </c>
      <c r="W86" s="381" t="s">
        <v>610</v>
      </c>
      <c r="X86" s="175" t="s">
        <v>565</v>
      </c>
      <c r="Y86" s="53" t="s">
        <v>566</v>
      </c>
      <c r="Z86" s="53" t="s">
        <v>566</v>
      </c>
      <c r="AA86" s="60" t="s">
        <v>351</v>
      </c>
    </row>
    <row r="87" spans="2:27" ht="80.25" hidden="1" customHeight="1" x14ac:dyDescent="0.35">
      <c r="B87" s="51" t="s">
        <v>14</v>
      </c>
      <c r="C87" s="51" t="s">
        <v>552</v>
      </c>
      <c r="D87" s="51" t="s">
        <v>15</v>
      </c>
      <c r="E87" s="52">
        <v>1</v>
      </c>
      <c r="F87" s="51" t="s">
        <v>176</v>
      </c>
      <c r="G87" s="51" t="s">
        <v>177</v>
      </c>
      <c r="H87" s="54" t="s">
        <v>150</v>
      </c>
      <c r="I87" s="52">
        <v>6</v>
      </c>
      <c r="J87" s="51" t="s">
        <v>123</v>
      </c>
      <c r="K87" s="52">
        <v>4</v>
      </c>
      <c r="L87" s="52"/>
      <c r="M87" s="335"/>
      <c r="N87" s="76" t="s">
        <v>611</v>
      </c>
      <c r="O87" s="53" t="s">
        <v>179</v>
      </c>
      <c r="P87" s="52"/>
      <c r="Q87" s="54"/>
      <c r="R87" s="55" t="s">
        <v>203</v>
      </c>
      <c r="S87" s="51" t="s">
        <v>409</v>
      </c>
      <c r="T87" s="55" t="s">
        <v>553</v>
      </c>
      <c r="U87" s="53" t="s">
        <v>554</v>
      </c>
      <c r="V87" s="55" t="s">
        <v>555</v>
      </c>
      <c r="W87" s="255" t="s">
        <v>612</v>
      </c>
      <c r="X87" s="55" t="s">
        <v>557</v>
      </c>
      <c r="Y87" s="69" t="s">
        <v>372</v>
      </c>
      <c r="Z87" s="69" t="s">
        <v>372</v>
      </c>
      <c r="AA87" s="52" t="s">
        <v>373</v>
      </c>
    </row>
    <row r="88" spans="2:27" ht="80.25" hidden="1" customHeight="1" x14ac:dyDescent="0.35">
      <c r="B88" s="51" t="s">
        <v>14</v>
      </c>
      <c r="C88" s="51" t="s">
        <v>558</v>
      </c>
      <c r="D88" s="51" t="s">
        <v>17</v>
      </c>
      <c r="E88" s="52">
        <v>2</v>
      </c>
      <c r="F88" s="51" t="s">
        <v>176</v>
      </c>
      <c r="G88" s="51" t="s">
        <v>177</v>
      </c>
      <c r="H88" s="54" t="s">
        <v>150</v>
      </c>
      <c r="I88" s="52">
        <v>6</v>
      </c>
      <c r="J88" s="51" t="s">
        <v>123</v>
      </c>
      <c r="K88" s="52">
        <v>4</v>
      </c>
      <c r="L88" s="52"/>
      <c r="M88" s="335"/>
      <c r="N88" s="53" t="s">
        <v>613</v>
      </c>
      <c r="O88" s="53" t="s">
        <v>179</v>
      </c>
      <c r="P88" s="52"/>
      <c r="Q88" s="54"/>
      <c r="R88" s="55"/>
      <c r="S88" s="51"/>
      <c r="T88" s="51" t="s">
        <v>578</v>
      </c>
      <c r="U88" s="69" t="s">
        <v>579</v>
      </c>
      <c r="V88" s="51" t="s">
        <v>372</v>
      </c>
      <c r="W88" s="382" t="s">
        <v>614</v>
      </c>
      <c r="X88" s="61" t="s">
        <v>557</v>
      </c>
      <c r="Y88" s="54" t="s">
        <v>372</v>
      </c>
      <c r="Z88" s="54" t="s">
        <v>372</v>
      </c>
      <c r="AA88" s="52" t="s">
        <v>373</v>
      </c>
    </row>
    <row r="89" spans="2:27" ht="80.25" hidden="1" customHeight="1" x14ac:dyDescent="0.35">
      <c r="B89" s="51" t="s">
        <v>340</v>
      </c>
      <c r="C89" s="62" t="s">
        <v>562</v>
      </c>
      <c r="D89" s="62" t="s">
        <v>19</v>
      </c>
      <c r="E89" s="325">
        <v>0</v>
      </c>
      <c r="F89" s="138" t="s">
        <v>333</v>
      </c>
      <c r="G89" s="51" t="s">
        <v>334</v>
      </c>
      <c r="H89" s="160" t="s">
        <v>335</v>
      </c>
      <c r="I89" s="325">
        <v>6</v>
      </c>
      <c r="J89" s="51" t="s">
        <v>336</v>
      </c>
      <c r="K89" s="52">
        <v>23</v>
      </c>
      <c r="L89" s="325"/>
      <c r="M89" s="325"/>
      <c r="N89" s="53" t="s">
        <v>337</v>
      </c>
      <c r="O89" s="53" t="s">
        <v>338</v>
      </c>
      <c r="P89" s="325"/>
      <c r="Q89" s="62"/>
      <c r="R89" s="175"/>
      <c r="S89" s="79"/>
      <c r="T89" s="55" t="s">
        <v>568</v>
      </c>
      <c r="U89" s="53" t="s">
        <v>569</v>
      </c>
      <c r="V89" s="90" t="s">
        <v>604</v>
      </c>
      <c r="W89" s="321" t="s">
        <v>615</v>
      </c>
      <c r="X89" s="175" t="s">
        <v>565</v>
      </c>
      <c r="Y89" s="53" t="s">
        <v>566</v>
      </c>
      <c r="Z89" s="53" t="s">
        <v>566</v>
      </c>
      <c r="AA89" s="60" t="s">
        <v>351</v>
      </c>
    </row>
    <row r="90" spans="2:27" ht="80.25" hidden="1" customHeight="1" x14ac:dyDescent="0.35">
      <c r="B90" s="51" t="s">
        <v>14</v>
      </c>
      <c r="C90" s="51" t="s">
        <v>552</v>
      </c>
      <c r="D90" s="51" t="s">
        <v>15</v>
      </c>
      <c r="E90" s="52">
        <v>1</v>
      </c>
      <c r="F90" s="138" t="s">
        <v>187</v>
      </c>
      <c r="G90" s="51" t="s">
        <v>188</v>
      </c>
      <c r="H90" s="132" t="s">
        <v>150</v>
      </c>
      <c r="I90" s="52">
        <v>7</v>
      </c>
      <c r="J90" s="51" t="s">
        <v>123</v>
      </c>
      <c r="K90" s="52">
        <v>30</v>
      </c>
      <c r="L90" s="52"/>
      <c r="M90" s="52"/>
      <c r="N90" s="53" t="s">
        <v>616</v>
      </c>
      <c r="O90" s="53" t="s">
        <v>190</v>
      </c>
      <c r="P90" s="52"/>
      <c r="Q90" s="54"/>
      <c r="R90" s="55" t="s">
        <v>203</v>
      </c>
      <c r="S90" s="51" t="s">
        <v>409</v>
      </c>
      <c r="T90" s="55" t="s">
        <v>600</v>
      </c>
      <c r="U90" s="65" t="s">
        <v>617</v>
      </c>
      <c r="V90" s="55" t="s">
        <v>618</v>
      </c>
      <c r="W90" s="82" t="s">
        <v>619</v>
      </c>
      <c r="X90" s="55" t="s">
        <v>557</v>
      </c>
      <c r="Y90" s="54" t="s">
        <v>579</v>
      </c>
      <c r="Z90" s="65" t="s">
        <v>620</v>
      </c>
      <c r="AA90" s="52" t="s">
        <v>372</v>
      </c>
    </row>
    <row r="91" spans="2:27" ht="80.25" hidden="1" customHeight="1" x14ac:dyDescent="0.35">
      <c r="B91" s="51" t="s">
        <v>14</v>
      </c>
      <c r="C91" s="51" t="s">
        <v>558</v>
      </c>
      <c r="D91" s="51" t="s">
        <v>17</v>
      </c>
      <c r="E91" s="52">
        <v>2</v>
      </c>
      <c r="F91" s="51" t="s">
        <v>187</v>
      </c>
      <c r="G91" s="220" t="s">
        <v>188</v>
      </c>
      <c r="H91" s="54" t="s">
        <v>150</v>
      </c>
      <c r="I91" s="52">
        <v>7</v>
      </c>
      <c r="J91" s="51" t="s">
        <v>123</v>
      </c>
      <c r="K91" s="52">
        <v>30</v>
      </c>
      <c r="L91" s="52"/>
      <c r="M91" s="52"/>
      <c r="N91" s="53" t="s">
        <v>621</v>
      </c>
      <c r="O91" s="53" t="s">
        <v>190</v>
      </c>
      <c r="P91" s="52"/>
      <c r="Q91" s="54"/>
      <c r="R91" s="55"/>
      <c r="S91" s="51"/>
      <c r="T91" s="51" t="s">
        <v>578</v>
      </c>
      <c r="U91" s="69" t="s">
        <v>579</v>
      </c>
      <c r="V91" s="54" t="s">
        <v>622</v>
      </c>
      <c r="W91" s="253" t="s">
        <v>623</v>
      </c>
      <c r="X91" s="61" t="s">
        <v>557</v>
      </c>
      <c r="Y91" s="54" t="s">
        <v>579</v>
      </c>
      <c r="Z91" s="65" t="s">
        <v>620</v>
      </c>
      <c r="AA91" s="52" t="s">
        <v>372</v>
      </c>
    </row>
    <row r="92" spans="2:27" ht="80.25" hidden="1" customHeight="1" x14ac:dyDescent="0.35">
      <c r="B92" s="51" t="s">
        <v>14</v>
      </c>
      <c r="C92" s="51" t="s">
        <v>552</v>
      </c>
      <c r="D92" s="51" t="s">
        <v>15</v>
      </c>
      <c r="E92" s="52">
        <v>1</v>
      </c>
      <c r="F92" s="51" t="s">
        <v>624</v>
      </c>
      <c r="G92" s="51" t="s">
        <v>625</v>
      </c>
      <c r="H92" s="54" t="s">
        <v>150</v>
      </c>
      <c r="I92" s="52">
        <v>8</v>
      </c>
      <c r="J92" s="51" t="s">
        <v>123</v>
      </c>
      <c r="K92" s="52">
        <v>4</v>
      </c>
      <c r="L92" s="52"/>
      <c r="M92" s="52"/>
      <c r="N92" s="53" t="s">
        <v>626</v>
      </c>
      <c r="O92" s="53" t="s">
        <v>627</v>
      </c>
      <c r="P92" s="52"/>
      <c r="Q92" s="54"/>
      <c r="R92" s="55"/>
      <c r="S92" s="51"/>
      <c r="T92" s="55" t="s">
        <v>553</v>
      </c>
      <c r="U92" s="53" t="s">
        <v>554</v>
      </c>
      <c r="V92" s="55" t="s">
        <v>555</v>
      </c>
      <c r="W92" s="82" t="s">
        <v>628</v>
      </c>
      <c r="X92" s="61" t="s">
        <v>557</v>
      </c>
      <c r="Y92" s="54" t="s">
        <v>372</v>
      </c>
      <c r="Z92" s="54" t="s">
        <v>372</v>
      </c>
      <c r="AA92" s="52" t="s">
        <v>373</v>
      </c>
    </row>
    <row r="93" spans="2:27" ht="80.25" hidden="1" customHeight="1" x14ac:dyDescent="0.35">
      <c r="B93" s="51" t="s">
        <v>14</v>
      </c>
      <c r="C93" s="51" t="s">
        <v>558</v>
      </c>
      <c r="D93" s="51" t="s">
        <v>17</v>
      </c>
      <c r="E93" s="52">
        <v>2</v>
      </c>
      <c r="F93" s="51" t="s">
        <v>198</v>
      </c>
      <c r="G93" s="51" t="s">
        <v>199</v>
      </c>
      <c r="H93" s="54" t="s">
        <v>200</v>
      </c>
      <c r="I93" s="52">
        <v>8</v>
      </c>
      <c r="J93" s="51" t="s">
        <v>123</v>
      </c>
      <c r="K93" s="52">
        <v>10</v>
      </c>
      <c r="L93" s="52"/>
      <c r="M93" s="52"/>
      <c r="N93" s="53" t="s">
        <v>629</v>
      </c>
      <c r="O93" s="53" t="s">
        <v>202</v>
      </c>
      <c r="P93" s="52"/>
      <c r="Q93" s="54"/>
      <c r="R93" s="55"/>
      <c r="S93" s="51"/>
      <c r="T93" s="51" t="s">
        <v>578</v>
      </c>
      <c r="U93" s="69" t="s">
        <v>579</v>
      </c>
      <c r="V93" s="51" t="s">
        <v>630</v>
      </c>
      <c r="W93" s="82" t="s">
        <v>631</v>
      </c>
      <c r="X93" s="61" t="s">
        <v>557</v>
      </c>
      <c r="Y93" s="54" t="s">
        <v>579</v>
      </c>
      <c r="Z93" s="54" t="s">
        <v>630</v>
      </c>
      <c r="AA93" s="52" t="s">
        <v>372</v>
      </c>
    </row>
    <row r="94" spans="2:27" ht="80.25" hidden="1" customHeight="1" x14ac:dyDescent="0.35">
      <c r="B94" s="51" t="s">
        <v>14</v>
      </c>
      <c r="C94" s="51" t="s">
        <v>552</v>
      </c>
      <c r="D94" s="51" t="s">
        <v>15</v>
      </c>
      <c r="E94" s="52">
        <v>1</v>
      </c>
      <c r="F94" s="51" t="s">
        <v>574</v>
      </c>
      <c r="G94" s="51" t="s">
        <v>575</v>
      </c>
      <c r="H94" s="54" t="s">
        <v>150</v>
      </c>
      <c r="I94" s="52">
        <v>9</v>
      </c>
      <c r="J94" s="51" t="s">
        <v>123</v>
      </c>
      <c r="K94" s="52">
        <v>15</v>
      </c>
      <c r="L94" s="52"/>
      <c r="M94" s="52"/>
      <c r="N94" s="53" t="s">
        <v>632</v>
      </c>
      <c r="O94" s="53" t="s">
        <v>577</v>
      </c>
      <c r="P94" s="52"/>
      <c r="Q94" s="54"/>
      <c r="R94" s="55"/>
      <c r="S94" s="51"/>
      <c r="T94" s="55" t="s">
        <v>568</v>
      </c>
      <c r="U94" s="53" t="s">
        <v>569</v>
      </c>
      <c r="V94" s="53" t="s">
        <v>633</v>
      </c>
      <c r="W94" s="320" t="s">
        <v>634</v>
      </c>
      <c r="X94" s="61" t="s">
        <v>557</v>
      </c>
      <c r="Y94" s="69" t="s">
        <v>572</v>
      </c>
      <c r="Z94" s="54" t="s">
        <v>582</v>
      </c>
      <c r="AA94" s="52" t="s">
        <v>372</v>
      </c>
    </row>
    <row r="95" spans="2:27" ht="80.25" hidden="1" customHeight="1" x14ac:dyDescent="0.35">
      <c r="B95" s="51" t="s">
        <v>14</v>
      </c>
      <c r="C95" s="51" t="s">
        <v>558</v>
      </c>
      <c r="D95" s="51" t="s">
        <v>17</v>
      </c>
      <c r="E95" s="52">
        <v>2</v>
      </c>
      <c r="F95" s="51" t="s">
        <v>210</v>
      </c>
      <c r="G95" s="51" t="s">
        <v>211</v>
      </c>
      <c r="H95" s="54" t="s">
        <v>200</v>
      </c>
      <c r="I95" s="52">
        <v>9</v>
      </c>
      <c r="J95" s="51" t="s">
        <v>123</v>
      </c>
      <c r="K95" s="52">
        <v>10</v>
      </c>
      <c r="L95" s="52"/>
      <c r="M95" s="52"/>
      <c r="N95" s="53" t="s">
        <v>212</v>
      </c>
      <c r="O95" s="53" t="s">
        <v>213</v>
      </c>
      <c r="P95" s="52"/>
      <c r="Q95" s="54"/>
      <c r="R95" s="55"/>
      <c r="S95" s="51"/>
      <c r="T95" s="51" t="s">
        <v>578</v>
      </c>
      <c r="U95" s="69" t="s">
        <v>579</v>
      </c>
      <c r="V95" s="51" t="s">
        <v>372</v>
      </c>
      <c r="W95" s="82" t="s">
        <v>635</v>
      </c>
      <c r="X95" s="61" t="s">
        <v>557</v>
      </c>
      <c r="Y95" s="54" t="s">
        <v>372</v>
      </c>
      <c r="Z95" s="54" t="s">
        <v>372</v>
      </c>
      <c r="AA95" s="64" t="s">
        <v>636</v>
      </c>
    </row>
    <row r="96" spans="2:27" ht="80.25" hidden="1" customHeight="1" x14ac:dyDescent="0.35">
      <c r="B96" s="51" t="s">
        <v>14</v>
      </c>
      <c r="C96" s="51" t="s">
        <v>552</v>
      </c>
      <c r="D96" s="51" t="s">
        <v>15</v>
      </c>
      <c r="E96" s="52">
        <v>1</v>
      </c>
      <c r="F96" s="51" t="s">
        <v>198</v>
      </c>
      <c r="G96" s="51" t="s">
        <v>199</v>
      </c>
      <c r="H96" s="54" t="s">
        <v>200</v>
      </c>
      <c r="I96" s="52">
        <v>10</v>
      </c>
      <c r="J96" s="51" t="s">
        <v>123</v>
      </c>
      <c r="K96" s="52">
        <v>10</v>
      </c>
      <c r="L96" s="52"/>
      <c r="M96" s="52"/>
      <c r="N96" s="53" t="s">
        <v>201</v>
      </c>
      <c r="O96" s="53" t="s">
        <v>202</v>
      </c>
      <c r="P96" s="52"/>
      <c r="Q96" s="54"/>
      <c r="R96" s="55" t="s">
        <v>203</v>
      </c>
      <c r="S96" s="51" t="s">
        <v>198</v>
      </c>
      <c r="T96" s="55" t="s">
        <v>568</v>
      </c>
      <c r="U96" s="53" t="s">
        <v>569</v>
      </c>
      <c r="V96" s="53" t="s">
        <v>637</v>
      </c>
      <c r="W96" s="82" t="s">
        <v>638</v>
      </c>
      <c r="X96" s="61" t="s">
        <v>557</v>
      </c>
      <c r="Y96" s="69" t="s">
        <v>572</v>
      </c>
      <c r="Z96" s="54" t="s">
        <v>639</v>
      </c>
      <c r="AA96" s="52" t="s">
        <v>372</v>
      </c>
    </row>
    <row r="97" spans="2:27" ht="80.25" hidden="1" customHeight="1" x14ac:dyDescent="0.35">
      <c r="B97" s="51" t="s">
        <v>14</v>
      </c>
      <c r="C97" s="51" t="s">
        <v>558</v>
      </c>
      <c r="D97" s="51" t="s">
        <v>17</v>
      </c>
      <c r="E97" s="52">
        <v>2</v>
      </c>
      <c r="F97" s="51" t="s">
        <v>222</v>
      </c>
      <c r="G97" s="51" t="s">
        <v>223</v>
      </c>
      <c r="H97" s="54" t="s">
        <v>224</v>
      </c>
      <c r="I97" s="52">
        <v>10</v>
      </c>
      <c r="J97" s="51" t="s">
        <v>123</v>
      </c>
      <c r="K97" s="52">
        <v>4</v>
      </c>
      <c r="L97" s="52"/>
      <c r="M97" s="52"/>
      <c r="N97" s="53" t="s">
        <v>640</v>
      </c>
      <c r="O97" s="53" t="s">
        <v>226</v>
      </c>
      <c r="P97" s="52"/>
      <c r="Q97" s="53" t="s">
        <v>419</v>
      </c>
      <c r="R97" s="55"/>
      <c r="S97" s="55"/>
      <c r="T97" s="51" t="s">
        <v>578</v>
      </c>
      <c r="U97" s="69" t="s">
        <v>579</v>
      </c>
      <c r="V97" s="51" t="s">
        <v>427</v>
      </c>
      <c r="W97" s="82" t="s">
        <v>641</v>
      </c>
      <c r="X97" s="61" t="s">
        <v>557</v>
      </c>
      <c r="Y97" s="69" t="s">
        <v>579</v>
      </c>
      <c r="Z97" s="69" t="s">
        <v>427</v>
      </c>
      <c r="AA97" s="52" t="s">
        <v>372</v>
      </c>
    </row>
    <row r="98" spans="2:27" ht="80.25" hidden="1" customHeight="1" x14ac:dyDescent="0.35">
      <c r="B98" s="51" t="s">
        <v>14</v>
      </c>
      <c r="C98" s="51" t="s">
        <v>552</v>
      </c>
      <c r="D98" s="51" t="s">
        <v>15</v>
      </c>
      <c r="E98" s="52">
        <v>1</v>
      </c>
      <c r="F98" s="51" t="s">
        <v>210</v>
      </c>
      <c r="G98" s="51" t="s">
        <v>211</v>
      </c>
      <c r="H98" s="54" t="s">
        <v>200</v>
      </c>
      <c r="I98" s="52">
        <v>11</v>
      </c>
      <c r="J98" s="51" t="s">
        <v>123</v>
      </c>
      <c r="K98" s="52">
        <v>10</v>
      </c>
      <c r="L98" s="52"/>
      <c r="M98" s="52"/>
      <c r="N98" s="53" t="s">
        <v>212</v>
      </c>
      <c r="O98" s="53" t="s">
        <v>213</v>
      </c>
      <c r="P98" s="52"/>
      <c r="Q98" s="54"/>
      <c r="R98" s="55" t="s">
        <v>214</v>
      </c>
      <c r="S98" s="51" t="s">
        <v>210</v>
      </c>
      <c r="T98" s="55" t="s">
        <v>568</v>
      </c>
      <c r="U98" s="65" t="s">
        <v>569</v>
      </c>
      <c r="V98" s="65" t="s">
        <v>642</v>
      </c>
      <c r="W98" s="82" t="s">
        <v>643</v>
      </c>
      <c r="X98" s="55" t="s">
        <v>644</v>
      </c>
      <c r="Y98" s="54" t="s">
        <v>645</v>
      </c>
      <c r="Z98" s="69" t="s">
        <v>646</v>
      </c>
      <c r="AA98" s="52" t="s">
        <v>647</v>
      </c>
    </row>
    <row r="99" spans="2:27" ht="80.25" hidden="1" customHeight="1" x14ac:dyDescent="0.35">
      <c r="B99" s="51" t="s">
        <v>14</v>
      </c>
      <c r="C99" s="51" t="s">
        <v>558</v>
      </c>
      <c r="D99" s="51" t="s">
        <v>17</v>
      </c>
      <c r="E99" s="52">
        <v>2</v>
      </c>
      <c r="F99" s="51" t="s">
        <v>648</v>
      </c>
      <c r="G99" s="51" t="s">
        <v>649</v>
      </c>
      <c r="H99" s="51" t="s">
        <v>249</v>
      </c>
      <c r="I99" s="52">
        <v>11</v>
      </c>
      <c r="J99" s="51" t="s">
        <v>250</v>
      </c>
      <c r="K99" s="52">
        <v>23</v>
      </c>
      <c r="L99" s="52">
        <v>6</v>
      </c>
      <c r="M99" s="52"/>
      <c r="N99" s="53" t="s">
        <v>650</v>
      </c>
      <c r="O99" s="53" t="s">
        <v>651</v>
      </c>
      <c r="P99" s="52"/>
      <c r="Q99" s="54"/>
      <c r="R99" s="53"/>
      <c r="S99" s="53"/>
      <c r="T99" s="51" t="s">
        <v>578</v>
      </c>
      <c r="U99" s="69" t="s">
        <v>579</v>
      </c>
      <c r="V99" s="79" t="s">
        <v>652</v>
      </c>
      <c r="W99" s="319" t="s">
        <v>653</v>
      </c>
      <c r="X99" s="61" t="s">
        <v>557</v>
      </c>
      <c r="Y99" s="69" t="s">
        <v>579</v>
      </c>
      <c r="Z99" s="61" t="s">
        <v>652</v>
      </c>
      <c r="AA99" s="52" t="s">
        <v>372</v>
      </c>
    </row>
    <row r="100" spans="2:27" ht="80.25" hidden="1" customHeight="1" x14ac:dyDescent="0.35">
      <c r="B100" s="51" t="s">
        <v>14</v>
      </c>
      <c r="C100" s="51" t="s">
        <v>552</v>
      </c>
      <c r="D100" s="51" t="s">
        <v>15</v>
      </c>
      <c r="E100" s="52">
        <v>1</v>
      </c>
      <c r="F100" s="51" t="s">
        <v>222</v>
      </c>
      <c r="G100" s="51" t="s">
        <v>223</v>
      </c>
      <c r="H100" s="54" t="s">
        <v>224</v>
      </c>
      <c r="I100" s="52">
        <v>12</v>
      </c>
      <c r="J100" s="51" t="s">
        <v>123</v>
      </c>
      <c r="K100" s="52">
        <v>4</v>
      </c>
      <c r="L100" s="52"/>
      <c r="M100" s="52"/>
      <c r="N100" s="53" t="s">
        <v>225</v>
      </c>
      <c r="O100" s="53" t="s">
        <v>226</v>
      </c>
      <c r="P100" s="52"/>
      <c r="Q100" s="53" t="s">
        <v>419</v>
      </c>
      <c r="R100" s="55" t="s">
        <v>654</v>
      </c>
      <c r="S100" s="55" t="s">
        <v>229</v>
      </c>
      <c r="T100" s="55" t="s">
        <v>600</v>
      </c>
      <c r="U100" s="65" t="s">
        <v>617</v>
      </c>
      <c r="V100" s="55" t="s">
        <v>655</v>
      </c>
      <c r="W100" s="82" t="s">
        <v>656</v>
      </c>
      <c r="X100" s="61" t="s">
        <v>557</v>
      </c>
      <c r="Y100" s="69" t="s">
        <v>579</v>
      </c>
      <c r="Z100" s="54" t="s">
        <v>427</v>
      </c>
      <c r="AA100" s="52" t="s">
        <v>372</v>
      </c>
    </row>
    <row r="101" spans="2:27" ht="80.25" hidden="1" customHeight="1" x14ac:dyDescent="0.35">
      <c r="B101" s="51" t="s">
        <v>14</v>
      </c>
      <c r="C101" s="51" t="s">
        <v>558</v>
      </c>
      <c r="D101" s="51" t="s">
        <v>17</v>
      </c>
      <c r="E101" s="52">
        <v>2</v>
      </c>
      <c r="F101" s="51" t="s">
        <v>657</v>
      </c>
      <c r="G101" s="51" t="s">
        <v>658</v>
      </c>
      <c r="H101" s="54" t="s">
        <v>295</v>
      </c>
      <c r="I101" s="52">
        <v>12</v>
      </c>
      <c r="J101" s="51" t="s">
        <v>123</v>
      </c>
      <c r="K101" s="52">
        <v>4</v>
      </c>
      <c r="L101" s="52"/>
      <c r="M101" s="52"/>
      <c r="N101" s="53" t="s">
        <v>659</v>
      </c>
      <c r="O101" s="53" t="s">
        <v>660</v>
      </c>
      <c r="P101" s="52"/>
      <c r="Q101" s="53" t="s">
        <v>661</v>
      </c>
      <c r="R101" s="55"/>
      <c r="S101" s="51"/>
      <c r="T101" s="55" t="s">
        <v>559</v>
      </c>
      <c r="U101" s="65" t="s">
        <v>560</v>
      </c>
      <c r="V101" s="55" t="s">
        <v>369</v>
      </c>
      <c r="W101" s="326" t="s">
        <v>662</v>
      </c>
      <c r="X101" s="61" t="s">
        <v>557</v>
      </c>
      <c r="Y101" s="69" t="s">
        <v>579</v>
      </c>
      <c r="Z101" s="78" t="s">
        <v>663</v>
      </c>
      <c r="AA101" s="52" t="s">
        <v>372</v>
      </c>
    </row>
    <row r="102" spans="2:27" ht="80.25" hidden="1" customHeight="1" x14ac:dyDescent="0.35">
      <c r="B102" s="51" t="s">
        <v>14</v>
      </c>
      <c r="C102" s="51" t="s">
        <v>552</v>
      </c>
      <c r="D102" s="51" t="s">
        <v>15</v>
      </c>
      <c r="E102" s="52">
        <v>1</v>
      </c>
      <c r="F102" s="51" t="s">
        <v>238</v>
      </c>
      <c r="G102" s="51" t="s">
        <v>239</v>
      </c>
      <c r="H102" s="54" t="s">
        <v>240</v>
      </c>
      <c r="I102" s="52">
        <v>13</v>
      </c>
      <c r="J102" s="51" t="s">
        <v>123</v>
      </c>
      <c r="K102" s="52">
        <v>4</v>
      </c>
      <c r="L102" s="52"/>
      <c r="M102" s="52"/>
      <c r="N102" s="53" t="s">
        <v>241</v>
      </c>
      <c r="O102" s="53" t="s">
        <v>242</v>
      </c>
      <c r="P102" s="52"/>
      <c r="Q102" s="54"/>
      <c r="R102" s="63"/>
      <c r="S102" s="61"/>
      <c r="T102" s="55" t="s">
        <v>568</v>
      </c>
      <c r="U102" s="65" t="s">
        <v>569</v>
      </c>
      <c r="V102" s="63" t="s">
        <v>351</v>
      </c>
      <c r="W102" s="319" t="s">
        <v>664</v>
      </c>
      <c r="X102" s="55" t="s">
        <v>644</v>
      </c>
      <c r="Y102" s="53" t="s">
        <v>647</v>
      </c>
      <c r="Z102" s="53" t="s">
        <v>647</v>
      </c>
      <c r="AA102" s="60" t="s">
        <v>665</v>
      </c>
    </row>
    <row r="103" spans="2:27" ht="80.25" customHeight="1" x14ac:dyDescent="0.35">
      <c r="B103" s="51" t="s">
        <v>14</v>
      </c>
      <c r="C103" s="51" t="s">
        <v>558</v>
      </c>
      <c r="D103" s="51" t="s">
        <v>17</v>
      </c>
      <c r="E103" s="52">
        <v>2</v>
      </c>
      <c r="F103" s="51" t="s">
        <v>666</v>
      </c>
      <c r="G103" s="51" t="s">
        <v>667</v>
      </c>
      <c r="H103" s="54" t="s">
        <v>295</v>
      </c>
      <c r="I103" s="52">
        <v>13</v>
      </c>
      <c r="J103" s="51" t="s">
        <v>123</v>
      </c>
      <c r="K103" s="52">
        <v>4</v>
      </c>
      <c r="L103" s="52"/>
      <c r="M103" s="52"/>
      <c r="N103" s="53" t="s">
        <v>668</v>
      </c>
      <c r="O103" s="53" t="s">
        <v>669</v>
      </c>
      <c r="P103" s="52"/>
      <c r="Q103" s="53" t="s">
        <v>670</v>
      </c>
      <c r="R103" s="63"/>
      <c r="S103" s="61"/>
      <c r="T103" s="55" t="s">
        <v>559</v>
      </c>
      <c r="U103" s="65" t="s">
        <v>560</v>
      </c>
      <c r="V103" s="55" t="s">
        <v>369</v>
      </c>
      <c r="W103" s="82" t="s">
        <v>671</v>
      </c>
      <c r="X103" s="61" t="s">
        <v>557</v>
      </c>
      <c r="Y103" s="54" t="s">
        <v>372</v>
      </c>
      <c r="Z103" s="54" t="s">
        <v>372</v>
      </c>
      <c r="AA103" s="52" t="s">
        <v>462</v>
      </c>
    </row>
    <row r="104" spans="2:27" ht="80.25" hidden="1" customHeight="1" x14ac:dyDescent="0.35">
      <c r="B104" s="51" t="s">
        <v>14</v>
      </c>
      <c r="C104" s="51" t="s">
        <v>552</v>
      </c>
      <c r="D104" s="51" t="s">
        <v>15</v>
      </c>
      <c r="E104" s="52">
        <v>1</v>
      </c>
      <c r="F104" s="51" t="s">
        <v>247</v>
      </c>
      <c r="G104" s="51" t="s">
        <v>248</v>
      </c>
      <c r="H104" s="54" t="s">
        <v>249</v>
      </c>
      <c r="I104" s="52">
        <v>14</v>
      </c>
      <c r="J104" s="51" t="s">
        <v>250</v>
      </c>
      <c r="K104" s="52">
        <v>23</v>
      </c>
      <c r="L104" s="52">
        <v>6</v>
      </c>
      <c r="M104" s="52"/>
      <c r="N104" s="53" t="s">
        <v>672</v>
      </c>
      <c r="O104" s="53" t="s">
        <v>252</v>
      </c>
      <c r="P104" s="52"/>
      <c r="Q104" s="51"/>
      <c r="R104" s="55" t="s">
        <v>203</v>
      </c>
      <c r="S104" s="51" t="s">
        <v>253</v>
      </c>
      <c r="T104" s="55" t="s">
        <v>600</v>
      </c>
      <c r="U104" s="55" t="s">
        <v>673</v>
      </c>
      <c r="V104" s="55" t="s">
        <v>674</v>
      </c>
      <c r="W104" s="82" t="s">
        <v>675</v>
      </c>
      <c r="X104" s="61" t="s">
        <v>557</v>
      </c>
      <c r="Y104" s="54" t="s">
        <v>676</v>
      </c>
      <c r="Z104" s="54" t="s">
        <v>677</v>
      </c>
      <c r="AA104" s="52" t="s">
        <v>372</v>
      </c>
    </row>
    <row r="105" spans="2:27" ht="80.25" hidden="1" customHeight="1" x14ac:dyDescent="0.35">
      <c r="B105" s="51" t="s">
        <v>14</v>
      </c>
      <c r="C105" s="51" t="s">
        <v>558</v>
      </c>
      <c r="D105" s="51" t="s">
        <v>17</v>
      </c>
      <c r="E105" s="52">
        <v>2</v>
      </c>
      <c r="F105" s="51" t="s">
        <v>326</v>
      </c>
      <c r="G105" s="51" t="s">
        <v>327</v>
      </c>
      <c r="H105" s="51" t="s">
        <v>328</v>
      </c>
      <c r="I105" s="52">
        <v>14</v>
      </c>
      <c r="J105" s="51" t="s">
        <v>123</v>
      </c>
      <c r="K105" s="52">
        <v>10</v>
      </c>
      <c r="L105" s="52"/>
      <c r="M105" s="52"/>
      <c r="N105" s="53" t="s">
        <v>329</v>
      </c>
      <c r="O105" s="53" t="s">
        <v>361</v>
      </c>
      <c r="P105" s="52" t="s">
        <v>126</v>
      </c>
      <c r="Q105" s="54"/>
      <c r="R105" s="55"/>
      <c r="S105" s="51"/>
      <c r="T105" s="51" t="s">
        <v>578</v>
      </c>
      <c r="U105" s="69" t="s">
        <v>579</v>
      </c>
      <c r="V105" s="51" t="s">
        <v>678</v>
      </c>
      <c r="W105" s="82" t="s">
        <v>679</v>
      </c>
      <c r="X105" s="51" t="s">
        <v>372</v>
      </c>
      <c r="Y105" s="54" t="s">
        <v>372</v>
      </c>
      <c r="Z105" s="54" t="s">
        <v>372</v>
      </c>
      <c r="AA105" s="52" t="s">
        <v>372</v>
      </c>
    </row>
    <row r="106" spans="2:27" ht="80.25" hidden="1" customHeight="1" x14ac:dyDescent="0.35">
      <c r="B106" s="51" t="s">
        <v>14</v>
      </c>
      <c r="C106" s="51" t="s">
        <v>552</v>
      </c>
      <c r="D106" s="51" t="s">
        <v>15</v>
      </c>
      <c r="E106" s="52">
        <v>1</v>
      </c>
      <c r="F106" s="55" t="s">
        <v>260</v>
      </c>
      <c r="G106" s="51" t="s">
        <v>261</v>
      </c>
      <c r="H106" s="54" t="s">
        <v>249</v>
      </c>
      <c r="I106" s="52">
        <v>15</v>
      </c>
      <c r="J106" s="51" t="s">
        <v>250</v>
      </c>
      <c r="K106" s="52">
        <v>23</v>
      </c>
      <c r="L106" s="52">
        <v>6</v>
      </c>
      <c r="M106" s="52"/>
      <c r="N106" s="53" t="s">
        <v>680</v>
      </c>
      <c r="O106" s="53" t="s">
        <v>263</v>
      </c>
      <c r="P106" s="52"/>
      <c r="Q106" s="51"/>
      <c r="R106" s="79"/>
      <c r="S106" s="79"/>
      <c r="T106" s="55" t="s">
        <v>578</v>
      </c>
      <c r="U106" s="65" t="s">
        <v>572</v>
      </c>
      <c r="V106" s="55" t="s">
        <v>681</v>
      </c>
      <c r="W106" s="82" t="s">
        <v>682</v>
      </c>
      <c r="X106" s="61" t="s">
        <v>557</v>
      </c>
      <c r="Y106" s="54" t="s">
        <v>572</v>
      </c>
      <c r="Z106" s="54" t="s">
        <v>683</v>
      </c>
      <c r="AA106" s="52" t="s">
        <v>372</v>
      </c>
    </row>
    <row r="107" spans="2:27" ht="80.25" hidden="1" customHeight="1" x14ac:dyDescent="0.35">
      <c r="B107" s="51" t="s">
        <v>14</v>
      </c>
      <c r="C107" s="51" t="s">
        <v>558</v>
      </c>
      <c r="D107" s="51" t="s">
        <v>17</v>
      </c>
      <c r="E107" s="52">
        <v>2</v>
      </c>
      <c r="F107" s="51" t="s">
        <v>333</v>
      </c>
      <c r="G107" s="51" t="s">
        <v>334</v>
      </c>
      <c r="H107" s="51" t="s">
        <v>335</v>
      </c>
      <c r="I107" s="52">
        <v>15</v>
      </c>
      <c r="J107" s="51" t="s">
        <v>336</v>
      </c>
      <c r="K107" s="52">
        <v>23</v>
      </c>
      <c r="L107" s="52"/>
      <c r="M107" s="52"/>
      <c r="N107" s="53" t="s">
        <v>337</v>
      </c>
      <c r="O107" s="53" t="s">
        <v>338</v>
      </c>
      <c r="P107" s="52"/>
      <c r="Q107" s="54"/>
      <c r="R107" s="55"/>
      <c r="S107" s="51"/>
      <c r="T107" s="51" t="s">
        <v>578</v>
      </c>
      <c r="U107" s="69" t="s">
        <v>579</v>
      </c>
      <c r="V107" s="51" t="s">
        <v>372</v>
      </c>
      <c r="W107" s="82" t="s">
        <v>684</v>
      </c>
      <c r="X107" s="51" t="s">
        <v>372</v>
      </c>
      <c r="Y107" s="54" t="s">
        <v>372</v>
      </c>
      <c r="Z107" s="54" t="s">
        <v>372</v>
      </c>
      <c r="AA107" s="52" t="s">
        <v>372</v>
      </c>
    </row>
    <row r="108" spans="2:27" ht="80.25" hidden="1" customHeight="1" x14ac:dyDescent="0.35">
      <c r="B108" s="51" t="s">
        <v>14</v>
      </c>
      <c r="C108" s="51" t="s">
        <v>552</v>
      </c>
      <c r="D108" s="51" t="s">
        <v>15</v>
      </c>
      <c r="E108" s="52">
        <v>1</v>
      </c>
      <c r="F108" s="51" t="s">
        <v>648</v>
      </c>
      <c r="G108" s="51" t="s">
        <v>649</v>
      </c>
      <c r="H108" s="51" t="s">
        <v>249</v>
      </c>
      <c r="I108" s="52">
        <v>16</v>
      </c>
      <c r="J108" s="51" t="s">
        <v>250</v>
      </c>
      <c r="K108" s="52">
        <v>23</v>
      </c>
      <c r="L108" s="52">
        <v>6</v>
      </c>
      <c r="M108" s="52"/>
      <c r="N108" s="53" t="s">
        <v>650</v>
      </c>
      <c r="O108" s="53" t="s">
        <v>651</v>
      </c>
      <c r="P108" s="52"/>
      <c r="Q108" s="54"/>
      <c r="R108" s="53" t="s">
        <v>685</v>
      </c>
      <c r="S108" s="53" t="s">
        <v>686</v>
      </c>
      <c r="T108" s="55" t="s">
        <v>600</v>
      </c>
      <c r="U108" s="55" t="s">
        <v>601</v>
      </c>
      <c r="V108" s="55" t="s">
        <v>687</v>
      </c>
      <c r="W108" s="82" t="s">
        <v>688</v>
      </c>
      <c r="X108" s="55" t="s">
        <v>689</v>
      </c>
      <c r="Y108" s="54" t="s">
        <v>690</v>
      </c>
      <c r="Z108" s="54" t="s">
        <v>691</v>
      </c>
      <c r="AA108" s="52" t="s">
        <v>692</v>
      </c>
    </row>
    <row r="109" spans="2:27" ht="80.25" hidden="1" customHeight="1" x14ac:dyDescent="0.35">
      <c r="B109" s="51" t="s">
        <v>14</v>
      </c>
      <c r="C109" s="51" t="s">
        <v>552</v>
      </c>
      <c r="D109" s="51" t="s">
        <v>15</v>
      </c>
      <c r="E109" s="52">
        <v>1</v>
      </c>
      <c r="F109" s="51" t="s">
        <v>271</v>
      </c>
      <c r="G109" s="51" t="s">
        <v>272</v>
      </c>
      <c r="H109" s="51" t="s">
        <v>249</v>
      </c>
      <c r="I109" s="52">
        <v>17</v>
      </c>
      <c r="J109" s="51" t="s">
        <v>250</v>
      </c>
      <c r="K109" s="52">
        <v>23</v>
      </c>
      <c r="L109" s="52">
        <v>6</v>
      </c>
      <c r="M109" s="52"/>
      <c r="N109" s="53" t="s">
        <v>693</v>
      </c>
      <c r="O109" s="53" t="s">
        <v>274</v>
      </c>
      <c r="P109" s="52"/>
      <c r="Q109" s="54"/>
      <c r="R109" s="53" t="s">
        <v>275</v>
      </c>
      <c r="S109" s="54" t="s">
        <v>276</v>
      </c>
      <c r="T109" s="55" t="s">
        <v>600</v>
      </c>
      <c r="U109" s="55" t="s">
        <v>601</v>
      </c>
      <c r="V109" s="55" t="s">
        <v>687</v>
      </c>
      <c r="W109" s="82" t="s">
        <v>694</v>
      </c>
      <c r="X109" s="55" t="s">
        <v>689</v>
      </c>
      <c r="Y109" s="54" t="s">
        <v>690</v>
      </c>
      <c r="Z109" s="54" t="s">
        <v>691</v>
      </c>
      <c r="AA109" s="52" t="s">
        <v>695</v>
      </c>
    </row>
    <row r="110" spans="2:27" ht="80.25" hidden="1" customHeight="1" x14ac:dyDescent="0.35">
      <c r="B110" s="51" t="s">
        <v>14</v>
      </c>
      <c r="C110" s="51" t="s">
        <v>552</v>
      </c>
      <c r="D110" s="51" t="s">
        <v>15</v>
      </c>
      <c r="E110" s="52">
        <v>1</v>
      </c>
      <c r="F110" s="51" t="s">
        <v>282</v>
      </c>
      <c r="G110" s="51" t="s">
        <v>283</v>
      </c>
      <c r="H110" s="51" t="s">
        <v>249</v>
      </c>
      <c r="I110" s="52">
        <v>18</v>
      </c>
      <c r="J110" s="51" t="s">
        <v>250</v>
      </c>
      <c r="K110" s="52">
        <v>23</v>
      </c>
      <c r="L110" s="52">
        <v>6</v>
      </c>
      <c r="M110" s="52"/>
      <c r="N110" s="53" t="s">
        <v>696</v>
      </c>
      <c r="O110" s="53" t="s">
        <v>285</v>
      </c>
      <c r="P110" s="52"/>
      <c r="Q110" s="54"/>
      <c r="R110" s="63"/>
      <c r="S110" s="61"/>
      <c r="T110" s="55" t="s">
        <v>697</v>
      </c>
      <c r="U110" s="65" t="s">
        <v>698</v>
      </c>
      <c r="V110" s="63" t="s">
        <v>291</v>
      </c>
      <c r="W110" s="82" t="s">
        <v>699</v>
      </c>
      <c r="X110" s="55" t="s">
        <v>689</v>
      </c>
      <c r="Y110" s="53" t="s">
        <v>700</v>
      </c>
      <c r="Z110" s="53" t="s">
        <v>701</v>
      </c>
      <c r="AA110" s="60" t="s">
        <v>702</v>
      </c>
    </row>
    <row r="111" spans="2:27" ht="80.25" hidden="1" customHeight="1" x14ac:dyDescent="0.35">
      <c r="B111" s="51" t="s">
        <v>14</v>
      </c>
      <c r="C111" s="51" t="s">
        <v>552</v>
      </c>
      <c r="D111" s="51" t="s">
        <v>15</v>
      </c>
      <c r="E111" s="52">
        <v>1</v>
      </c>
      <c r="F111" s="51" t="s">
        <v>703</v>
      </c>
      <c r="G111" s="51" t="s">
        <v>704</v>
      </c>
      <c r="H111" s="54" t="s">
        <v>249</v>
      </c>
      <c r="I111" s="52">
        <v>19</v>
      </c>
      <c r="J111" s="51" t="s">
        <v>250</v>
      </c>
      <c r="K111" s="52">
        <v>23</v>
      </c>
      <c r="L111" s="52">
        <v>6</v>
      </c>
      <c r="M111" s="325"/>
      <c r="N111" s="53" t="s">
        <v>705</v>
      </c>
      <c r="O111" s="53" t="s">
        <v>706</v>
      </c>
      <c r="P111" s="52"/>
      <c r="Q111" s="51"/>
      <c r="R111" s="79"/>
      <c r="S111" s="79"/>
      <c r="T111" s="55" t="s">
        <v>578</v>
      </c>
      <c r="U111" s="65" t="s">
        <v>572</v>
      </c>
      <c r="V111" s="55" t="s">
        <v>681</v>
      </c>
      <c r="W111" s="82" t="s">
        <v>707</v>
      </c>
      <c r="X111" s="61" t="s">
        <v>557</v>
      </c>
      <c r="Y111" s="54" t="s">
        <v>572</v>
      </c>
      <c r="Z111" s="54" t="s">
        <v>683</v>
      </c>
      <c r="AA111" s="52" t="s">
        <v>372</v>
      </c>
    </row>
    <row r="112" spans="2:27" ht="80.25" hidden="1" customHeight="1" x14ac:dyDescent="0.35">
      <c r="B112" s="51" t="s">
        <v>14</v>
      </c>
      <c r="C112" s="51" t="s">
        <v>552</v>
      </c>
      <c r="D112" s="51" t="s">
        <v>15</v>
      </c>
      <c r="E112" s="52">
        <v>1</v>
      </c>
      <c r="F112" s="51" t="s">
        <v>708</v>
      </c>
      <c r="G112" s="51" t="s">
        <v>709</v>
      </c>
      <c r="H112" s="54" t="s">
        <v>249</v>
      </c>
      <c r="I112" s="52">
        <v>20</v>
      </c>
      <c r="J112" s="51" t="s">
        <v>250</v>
      </c>
      <c r="K112" s="52">
        <v>23</v>
      </c>
      <c r="L112" s="52">
        <v>6</v>
      </c>
      <c r="M112" s="325"/>
      <c r="N112" s="53" t="s">
        <v>705</v>
      </c>
      <c r="O112" s="53" t="s">
        <v>706</v>
      </c>
      <c r="P112" s="52"/>
      <c r="Q112" s="51"/>
      <c r="R112" s="79"/>
      <c r="S112" s="79"/>
      <c r="T112" s="55" t="s">
        <v>710</v>
      </c>
      <c r="U112" s="65" t="s">
        <v>711</v>
      </c>
      <c r="V112" s="55" t="s">
        <v>712</v>
      </c>
      <c r="W112" s="82" t="s">
        <v>713</v>
      </c>
      <c r="X112" s="61" t="s">
        <v>557</v>
      </c>
      <c r="Y112" s="54" t="s">
        <v>572</v>
      </c>
      <c r="Z112" s="54" t="s">
        <v>683</v>
      </c>
      <c r="AA112" s="52" t="s">
        <v>372</v>
      </c>
    </row>
    <row r="113" spans="2:27" ht="80.25" hidden="1" customHeight="1" x14ac:dyDescent="0.35">
      <c r="B113" s="51" t="s">
        <v>14</v>
      </c>
      <c r="C113" s="51" t="s">
        <v>552</v>
      </c>
      <c r="D113" s="51" t="s">
        <v>15</v>
      </c>
      <c r="E113" s="52">
        <v>1</v>
      </c>
      <c r="F113" s="51" t="s">
        <v>714</v>
      </c>
      <c r="G113" s="51" t="s">
        <v>715</v>
      </c>
      <c r="H113" s="54" t="s">
        <v>430</v>
      </c>
      <c r="I113" s="52">
        <v>21</v>
      </c>
      <c r="J113" s="51" t="s">
        <v>123</v>
      </c>
      <c r="K113" s="52">
        <v>10</v>
      </c>
      <c r="L113" s="52"/>
      <c r="M113" s="52"/>
      <c r="N113" s="53" t="s">
        <v>716</v>
      </c>
      <c r="O113" s="53" t="s">
        <v>717</v>
      </c>
      <c r="P113" s="52"/>
      <c r="Q113" s="54"/>
      <c r="R113" s="55"/>
      <c r="S113" s="51"/>
      <c r="T113" s="55" t="s">
        <v>568</v>
      </c>
      <c r="U113" s="53" t="s">
        <v>569</v>
      </c>
      <c r="V113" s="53" t="s">
        <v>718</v>
      </c>
      <c r="W113" s="82" t="s">
        <v>719</v>
      </c>
      <c r="X113" s="61" t="s">
        <v>557</v>
      </c>
      <c r="Y113" s="54" t="s">
        <v>572</v>
      </c>
      <c r="Z113" s="54" t="s">
        <v>720</v>
      </c>
      <c r="AA113" s="52" t="s">
        <v>372</v>
      </c>
    </row>
    <row r="114" spans="2:27" ht="80.25" hidden="1" customHeight="1" x14ac:dyDescent="0.35">
      <c r="B114" s="51" t="s">
        <v>14</v>
      </c>
      <c r="C114" s="51" t="s">
        <v>552</v>
      </c>
      <c r="D114" s="51" t="s">
        <v>15</v>
      </c>
      <c r="E114" s="52">
        <v>1</v>
      </c>
      <c r="F114" s="51" t="s">
        <v>428</v>
      </c>
      <c r="G114" s="51" t="s">
        <v>429</v>
      </c>
      <c r="H114" s="54" t="s">
        <v>430</v>
      </c>
      <c r="I114" s="52">
        <v>22</v>
      </c>
      <c r="J114" s="51" t="s">
        <v>123</v>
      </c>
      <c r="K114" s="52">
        <v>10</v>
      </c>
      <c r="L114" s="52"/>
      <c r="M114" s="52"/>
      <c r="N114" s="53" t="s">
        <v>721</v>
      </c>
      <c r="O114" s="53" t="s">
        <v>432</v>
      </c>
      <c r="P114" s="52"/>
      <c r="Q114" s="54"/>
      <c r="R114" s="55" t="s">
        <v>722</v>
      </c>
      <c r="S114" s="51" t="s">
        <v>723</v>
      </c>
      <c r="T114" s="55" t="s">
        <v>568</v>
      </c>
      <c r="U114" s="53" t="s">
        <v>569</v>
      </c>
      <c r="V114" s="53" t="s">
        <v>724</v>
      </c>
      <c r="W114" s="82" t="s">
        <v>725</v>
      </c>
      <c r="X114" s="61" t="s">
        <v>557</v>
      </c>
      <c r="Y114" s="54" t="s">
        <v>572</v>
      </c>
      <c r="Z114" s="53" t="s">
        <v>726</v>
      </c>
      <c r="AA114" s="52" t="s">
        <v>372</v>
      </c>
    </row>
    <row r="115" spans="2:27" ht="80.25" hidden="1" customHeight="1" x14ac:dyDescent="0.35">
      <c r="B115" s="51" t="s">
        <v>14</v>
      </c>
      <c r="C115" s="51" t="s">
        <v>552</v>
      </c>
      <c r="D115" s="51" t="s">
        <v>15</v>
      </c>
      <c r="E115" s="52">
        <v>1</v>
      </c>
      <c r="F115" s="51" t="s">
        <v>727</v>
      </c>
      <c r="G115" s="51" t="s">
        <v>728</v>
      </c>
      <c r="H115" s="51" t="s">
        <v>249</v>
      </c>
      <c r="I115" s="52">
        <v>23</v>
      </c>
      <c r="J115" s="51" t="s">
        <v>250</v>
      </c>
      <c r="K115" s="52">
        <v>23</v>
      </c>
      <c r="L115" s="52">
        <v>6</v>
      </c>
      <c r="M115" s="52"/>
      <c r="N115" s="53" t="s">
        <v>729</v>
      </c>
      <c r="O115" s="53" t="s">
        <v>730</v>
      </c>
      <c r="P115" s="52"/>
      <c r="Q115" s="54"/>
      <c r="R115" s="53"/>
      <c r="S115" s="54"/>
      <c r="T115" s="55" t="s">
        <v>568</v>
      </c>
      <c r="U115" s="65" t="s">
        <v>731</v>
      </c>
      <c r="V115" s="53" t="s">
        <v>732</v>
      </c>
      <c r="W115" s="82" t="s">
        <v>733</v>
      </c>
      <c r="X115" s="55" t="s">
        <v>557</v>
      </c>
      <c r="Y115" s="54" t="s">
        <v>572</v>
      </c>
      <c r="Z115" s="53" t="s">
        <v>734</v>
      </c>
      <c r="AA115" s="60" t="s">
        <v>372</v>
      </c>
    </row>
    <row r="116" spans="2:27" ht="80.25" hidden="1" customHeight="1" x14ac:dyDescent="0.35">
      <c r="B116" s="51" t="s">
        <v>14</v>
      </c>
      <c r="C116" s="51" t="s">
        <v>552</v>
      </c>
      <c r="D116" s="51" t="s">
        <v>15</v>
      </c>
      <c r="E116" s="52">
        <v>1</v>
      </c>
      <c r="F116" s="51" t="s">
        <v>735</v>
      </c>
      <c r="G116" s="51" t="s">
        <v>736</v>
      </c>
      <c r="H116" s="51" t="s">
        <v>249</v>
      </c>
      <c r="I116" s="52">
        <v>24</v>
      </c>
      <c r="J116" s="51" t="s">
        <v>250</v>
      </c>
      <c r="K116" s="52">
        <v>23</v>
      </c>
      <c r="L116" s="52">
        <v>6</v>
      </c>
      <c r="M116" s="52"/>
      <c r="N116" s="53" t="s">
        <v>737</v>
      </c>
      <c r="O116" s="53" t="s">
        <v>738</v>
      </c>
      <c r="P116" s="52"/>
      <c r="Q116" s="51"/>
      <c r="R116" s="53"/>
      <c r="S116" s="54"/>
      <c r="T116" s="55" t="s">
        <v>568</v>
      </c>
      <c r="U116" s="65" t="s">
        <v>731</v>
      </c>
      <c r="V116" s="53" t="s">
        <v>739</v>
      </c>
      <c r="W116" s="82" t="s">
        <v>740</v>
      </c>
      <c r="X116" s="55" t="s">
        <v>644</v>
      </c>
      <c r="Y116" s="53" t="s">
        <v>741</v>
      </c>
      <c r="Z116" s="53" t="s">
        <v>742</v>
      </c>
      <c r="AA116" s="60" t="s">
        <v>743</v>
      </c>
    </row>
    <row r="117" spans="2:27" ht="80.25" hidden="1" customHeight="1" x14ac:dyDescent="0.35">
      <c r="B117" s="51" t="s">
        <v>14</v>
      </c>
      <c r="C117" s="51" t="s">
        <v>552</v>
      </c>
      <c r="D117" s="51" t="s">
        <v>15</v>
      </c>
      <c r="E117" s="52">
        <v>1</v>
      </c>
      <c r="F117" s="51" t="s">
        <v>744</v>
      </c>
      <c r="G117" s="51" t="s">
        <v>745</v>
      </c>
      <c r="H117" s="54" t="s">
        <v>746</v>
      </c>
      <c r="I117" s="52">
        <v>25</v>
      </c>
      <c r="J117" s="51" t="s">
        <v>123</v>
      </c>
      <c r="K117" s="52">
        <v>3</v>
      </c>
      <c r="L117" s="52"/>
      <c r="M117" s="52"/>
      <c r="N117" s="53" t="s">
        <v>747</v>
      </c>
      <c r="O117" s="53" t="s">
        <v>748</v>
      </c>
      <c r="P117" s="52"/>
      <c r="Q117" s="53"/>
      <c r="R117" s="53"/>
      <c r="S117" s="54"/>
      <c r="T117" s="55" t="s">
        <v>749</v>
      </c>
      <c r="U117" s="53" t="s">
        <v>750</v>
      </c>
      <c r="V117" s="53" t="s">
        <v>323</v>
      </c>
      <c r="W117" s="82" t="s">
        <v>751</v>
      </c>
      <c r="X117" s="61" t="s">
        <v>557</v>
      </c>
      <c r="Y117" s="54" t="s">
        <v>752</v>
      </c>
      <c r="Z117" s="54" t="s">
        <v>753</v>
      </c>
      <c r="AA117" s="52" t="s">
        <v>754</v>
      </c>
    </row>
    <row r="118" spans="2:27" ht="80.25" hidden="1" customHeight="1" x14ac:dyDescent="0.35">
      <c r="B118" s="51" t="s">
        <v>14</v>
      </c>
      <c r="C118" s="51" t="s">
        <v>552</v>
      </c>
      <c r="D118" s="51" t="s">
        <v>15</v>
      </c>
      <c r="E118" s="52">
        <v>1</v>
      </c>
      <c r="F118" s="51" t="s">
        <v>755</v>
      </c>
      <c r="G118" s="51" t="s">
        <v>756</v>
      </c>
      <c r="H118" s="54" t="s">
        <v>746</v>
      </c>
      <c r="I118" s="52">
        <v>26</v>
      </c>
      <c r="J118" s="51" t="s">
        <v>123</v>
      </c>
      <c r="K118" s="52">
        <v>3</v>
      </c>
      <c r="L118" s="52"/>
      <c r="M118" s="52"/>
      <c r="N118" s="53" t="s">
        <v>757</v>
      </c>
      <c r="O118" s="53" t="s">
        <v>758</v>
      </c>
      <c r="P118" s="52"/>
      <c r="Q118" s="53" t="s">
        <v>759</v>
      </c>
      <c r="R118" s="53"/>
      <c r="S118" s="54"/>
      <c r="T118" s="55" t="s">
        <v>749</v>
      </c>
      <c r="U118" s="53" t="s">
        <v>750</v>
      </c>
      <c r="V118" s="90" t="s">
        <v>760</v>
      </c>
      <c r="W118" s="321" t="s">
        <v>761</v>
      </c>
      <c r="X118" s="61" t="s">
        <v>557</v>
      </c>
      <c r="Y118" s="54" t="s">
        <v>762</v>
      </c>
      <c r="Z118" s="54" t="s">
        <v>763</v>
      </c>
      <c r="AA118" s="52" t="s">
        <v>764</v>
      </c>
    </row>
    <row r="119" spans="2:27" ht="80.25" hidden="1" customHeight="1" x14ac:dyDescent="0.35">
      <c r="B119" s="51" t="s">
        <v>14</v>
      </c>
      <c r="C119" s="51" t="s">
        <v>552</v>
      </c>
      <c r="D119" s="51" t="s">
        <v>15</v>
      </c>
      <c r="E119" s="52">
        <v>1</v>
      </c>
      <c r="F119" s="51" t="s">
        <v>765</v>
      </c>
      <c r="G119" s="51" t="s">
        <v>766</v>
      </c>
      <c r="H119" s="54" t="s">
        <v>767</v>
      </c>
      <c r="I119" s="52">
        <v>27</v>
      </c>
      <c r="J119" s="51" t="s">
        <v>250</v>
      </c>
      <c r="K119" s="52">
        <v>23</v>
      </c>
      <c r="L119" s="52">
        <v>6</v>
      </c>
      <c r="M119" s="52"/>
      <c r="N119" s="53" t="s">
        <v>768</v>
      </c>
      <c r="O119" s="53" t="s">
        <v>769</v>
      </c>
      <c r="P119" s="52"/>
      <c r="Q119" s="54"/>
      <c r="R119" s="53"/>
      <c r="S119" s="54"/>
      <c r="T119" s="55" t="s">
        <v>749</v>
      </c>
      <c r="U119" s="53" t="s">
        <v>750</v>
      </c>
      <c r="V119" s="53" t="s">
        <v>770</v>
      </c>
      <c r="W119" s="319" t="s">
        <v>771</v>
      </c>
      <c r="X119" s="61" t="s">
        <v>557</v>
      </c>
      <c r="Y119" s="54" t="s">
        <v>772</v>
      </c>
      <c r="Z119" s="54" t="s">
        <v>773</v>
      </c>
      <c r="AA119" s="52" t="s">
        <v>774</v>
      </c>
    </row>
    <row r="120" spans="2:27" ht="80.25" hidden="1" customHeight="1" x14ac:dyDescent="0.35">
      <c r="B120" s="51" t="s">
        <v>14</v>
      </c>
      <c r="C120" s="51" t="s">
        <v>552</v>
      </c>
      <c r="D120" s="51" t="s">
        <v>15</v>
      </c>
      <c r="E120" s="52">
        <v>1</v>
      </c>
      <c r="F120" s="51" t="s">
        <v>775</v>
      </c>
      <c r="G120" s="51" t="s">
        <v>776</v>
      </c>
      <c r="H120" s="54" t="s">
        <v>767</v>
      </c>
      <c r="I120" s="52">
        <v>28</v>
      </c>
      <c r="J120" s="51" t="s">
        <v>250</v>
      </c>
      <c r="K120" s="52">
        <v>23</v>
      </c>
      <c r="L120" s="52">
        <v>6</v>
      </c>
      <c r="M120" s="52"/>
      <c r="N120" s="53" t="s">
        <v>777</v>
      </c>
      <c r="O120" s="53" t="s">
        <v>778</v>
      </c>
      <c r="P120" s="52"/>
      <c r="Q120" s="54"/>
      <c r="R120" s="53"/>
      <c r="S120" s="54"/>
      <c r="T120" s="55" t="s">
        <v>749</v>
      </c>
      <c r="U120" s="53" t="s">
        <v>750</v>
      </c>
      <c r="V120" s="53" t="s">
        <v>779</v>
      </c>
      <c r="W120" s="82" t="s">
        <v>780</v>
      </c>
      <c r="X120" s="61" t="s">
        <v>557</v>
      </c>
      <c r="Y120" s="54" t="s">
        <v>781</v>
      </c>
      <c r="Z120" s="54" t="s">
        <v>782</v>
      </c>
      <c r="AA120" s="52" t="s">
        <v>783</v>
      </c>
    </row>
    <row r="121" spans="2:27" ht="80.25" hidden="1" customHeight="1" x14ac:dyDescent="0.35">
      <c r="B121" s="51" t="s">
        <v>14</v>
      </c>
      <c r="C121" s="51" t="s">
        <v>552</v>
      </c>
      <c r="D121" s="51" t="s">
        <v>15</v>
      </c>
      <c r="E121" s="52">
        <v>1</v>
      </c>
      <c r="F121" s="51" t="s">
        <v>784</v>
      </c>
      <c r="G121" s="51" t="s">
        <v>785</v>
      </c>
      <c r="H121" s="54" t="s">
        <v>767</v>
      </c>
      <c r="I121" s="52">
        <v>29</v>
      </c>
      <c r="J121" s="51" t="s">
        <v>250</v>
      </c>
      <c r="K121" s="52">
        <v>23</v>
      </c>
      <c r="L121" s="52">
        <v>6</v>
      </c>
      <c r="M121" s="52"/>
      <c r="N121" s="53" t="s">
        <v>786</v>
      </c>
      <c r="O121" s="53" t="s">
        <v>787</v>
      </c>
      <c r="P121" s="52"/>
      <c r="Q121" s="51"/>
      <c r="R121" s="55" t="s">
        <v>788</v>
      </c>
      <c r="S121" s="51" t="s">
        <v>789</v>
      </c>
      <c r="T121" s="55" t="s">
        <v>600</v>
      </c>
      <c r="U121" s="53" t="s">
        <v>601</v>
      </c>
      <c r="V121" s="55" t="s">
        <v>790</v>
      </c>
      <c r="W121" s="82" t="s">
        <v>791</v>
      </c>
      <c r="X121" s="61" t="s">
        <v>557</v>
      </c>
      <c r="Y121" s="54" t="s">
        <v>792</v>
      </c>
      <c r="Z121" s="69" t="s">
        <v>793</v>
      </c>
      <c r="AA121" s="52" t="s">
        <v>794</v>
      </c>
    </row>
    <row r="122" spans="2:27" ht="80.25" hidden="1" customHeight="1" x14ac:dyDescent="0.35">
      <c r="B122" s="51" t="s">
        <v>14</v>
      </c>
      <c r="C122" s="51" t="s">
        <v>552</v>
      </c>
      <c r="D122" s="51" t="s">
        <v>15</v>
      </c>
      <c r="E122" s="52">
        <v>1</v>
      </c>
      <c r="F122" s="51" t="s">
        <v>293</v>
      </c>
      <c r="G122" s="51" t="s">
        <v>294</v>
      </c>
      <c r="H122" s="54" t="s">
        <v>295</v>
      </c>
      <c r="I122" s="52">
        <v>30</v>
      </c>
      <c r="J122" s="51" t="s">
        <v>123</v>
      </c>
      <c r="K122" s="52">
        <v>4</v>
      </c>
      <c r="L122" s="52"/>
      <c r="M122" s="52"/>
      <c r="N122" s="53" t="s">
        <v>296</v>
      </c>
      <c r="O122" s="53" t="s">
        <v>297</v>
      </c>
      <c r="P122" s="52"/>
      <c r="Q122" s="53" t="s">
        <v>795</v>
      </c>
      <c r="R122" s="55" t="s">
        <v>299</v>
      </c>
      <c r="S122" s="55" t="s">
        <v>796</v>
      </c>
      <c r="T122" s="55" t="s">
        <v>553</v>
      </c>
      <c r="U122" s="53" t="s">
        <v>554</v>
      </c>
      <c r="V122" s="55" t="s">
        <v>555</v>
      </c>
      <c r="W122" s="319" t="s">
        <v>797</v>
      </c>
      <c r="X122" s="61" t="s">
        <v>557</v>
      </c>
      <c r="Y122" s="69" t="s">
        <v>572</v>
      </c>
      <c r="Z122" s="65" t="s">
        <v>798</v>
      </c>
      <c r="AA122" s="52" t="s">
        <v>372</v>
      </c>
    </row>
    <row r="123" spans="2:27" ht="80.25" customHeight="1" x14ac:dyDescent="0.35">
      <c r="B123" s="51" t="s">
        <v>14</v>
      </c>
      <c r="C123" s="51" t="s">
        <v>552</v>
      </c>
      <c r="D123" s="51" t="s">
        <v>15</v>
      </c>
      <c r="E123" s="52">
        <v>1</v>
      </c>
      <c r="F123" s="51" t="s">
        <v>304</v>
      </c>
      <c r="G123" s="51" t="s">
        <v>305</v>
      </c>
      <c r="H123" s="54" t="s">
        <v>295</v>
      </c>
      <c r="I123" s="52">
        <v>31</v>
      </c>
      <c r="J123" s="51" t="s">
        <v>123</v>
      </c>
      <c r="K123" s="52">
        <v>4</v>
      </c>
      <c r="L123" s="52"/>
      <c r="M123" s="52"/>
      <c r="N123" s="53" t="s">
        <v>306</v>
      </c>
      <c r="O123" s="53" t="s">
        <v>307</v>
      </c>
      <c r="P123" s="52"/>
      <c r="Q123" s="53" t="s">
        <v>459</v>
      </c>
      <c r="R123" s="55" t="s">
        <v>203</v>
      </c>
      <c r="S123" s="51" t="s">
        <v>309</v>
      </c>
      <c r="T123" s="55" t="s">
        <v>553</v>
      </c>
      <c r="U123" s="53" t="s">
        <v>554</v>
      </c>
      <c r="V123" s="55" t="s">
        <v>555</v>
      </c>
      <c r="W123" s="82" t="s">
        <v>799</v>
      </c>
      <c r="X123" s="61" t="s">
        <v>557</v>
      </c>
      <c r="Y123" s="54" t="s">
        <v>372</v>
      </c>
      <c r="Z123" s="54" t="s">
        <v>372</v>
      </c>
      <c r="AA123" s="52" t="s">
        <v>462</v>
      </c>
    </row>
    <row r="124" spans="2:27" ht="80.25" hidden="1" customHeight="1" x14ac:dyDescent="0.35">
      <c r="B124" s="51" t="s">
        <v>14</v>
      </c>
      <c r="C124" s="51" t="s">
        <v>552</v>
      </c>
      <c r="D124" s="51" t="s">
        <v>15</v>
      </c>
      <c r="E124" s="52">
        <v>1</v>
      </c>
      <c r="F124" s="51" t="s">
        <v>317</v>
      </c>
      <c r="G124" s="51" t="s">
        <v>318</v>
      </c>
      <c r="H124" s="51" t="s">
        <v>319</v>
      </c>
      <c r="I124" s="52">
        <v>32</v>
      </c>
      <c r="J124" s="51" t="s">
        <v>123</v>
      </c>
      <c r="K124" s="52">
        <v>2</v>
      </c>
      <c r="L124" s="52"/>
      <c r="M124" s="52"/>
      <c r="N124" s="53" t="s">
        <v>320</v>
      </c>
      <c r="O124" s="53" t="s">
        <v>321</v>
      </c>
      <c r="P124" s="52"/>
      <c r="Q124" s="53" t="s">
        <v>800</v>
      </c>
      <c r="R124" s="55"/>
      <c r="S124" s="51"/>
      <c r="T124" s="55" t="s">
        <v>568</v>
      </c>
      <c r="U124" s="55" t="s">
        <v>569</v>
      </c>
      <c r="V124" s="55" t="s">
        <v>351</v>
      </c>
      <c r="W124" s="82" t="s">
        <v>801</v>
      </c>
      <c r="X124" s="61" t="s">
        <v>644</v>
      </c>
      <c r="Y124" s="54" t="s">
        <v>647</v>
      </c>
      <c r="Z124" s="54" t="s">
        <v>647</v>
      </c>
      <c r="AA124" s="52" t="s">
        <v>802</v>
      </c>
    </row>
    <row r="125" spans="2:27" ht="80.25" hidden="1" customHeight="1" x14ac:dyDescent="0.35">
      <c r="B125" s="51" t="s">
        <v>14</v>
      </c>
      <c r="C125" s="51" t="s">
        <v>552</v>
      </c>
      <c r="D125" s="51" t="s">
        <v>15</v>
      </c>
      <c r="E125" s="52">
        <v>1</v>
      </c>
      <c r="F125" s="51" t="s">
        <v>326</v>
      </c>
      <c r="G125" s="51" t="s">
        <v>327</v>
      </c>
      <c r="H125" s="51" t="s">
        <v>328</v>
      </c>
      <c r="I125" s="52">
        <v>33</v>
      </c>
      <c r="J125" s="51" t="s">
        <v>123</v>
      </c>
      <c r="K125" s="52">
        <v>10</v>
      </c>
      <c r="L125" s="52"/>
      <c r="M125" s="52"/>
      <c r="N125" s="53" t="s">
        <v>329</v>
      </c>
      <c r="O125" s="53" t="s">
        <v>330</v>
      </c>
      <c r="P125" s="52" t="s">
        <v>126</v>
      </c>
      <c r="Q125" s="54"/>
      <c r="R125" s="55" t="s">
        <v>275</v>
      </c>
      <c r="S125" s="51" t="s">
        <v>803</v>
      </c>
      <c r="T125" s="55" t="s">
        <v>568</v>
      </c>
      <c r="U125" s="55" t="s">
        <v>569</v>
      </c>
      <c r="V125" s="53" t="s">
        <v>804</v>
      </c>
      <c r="W125" s="319" t="s">
        <v>805</v>
      </c>
      <c r="X125" s="51" t="s">
        <v>372</v>
      </c>
      <c r="Y125" s="54" t="s">
        <v>372</v>
      </c>
      <c r="Z125" s="54" t="s">
        <v>372</v>
      </c>
      <c r="AA125" s="52" t="s">
        <v>372</v>
      </c>
    </row>
    <row r="126" spans="2:27" ht="80.25" hidden="1" customHeight="1" x14ac:dyDescent="0.35">
      <c r="B126" s="51" t="s">
        <v>14</v>
      </c>
      <c r="C126" s="51" t="s">
        <v>552</v>
      </c>
      <c r="D126" s="51" t="s">
        <v>15</v>
      </c>
      <c r="E126" s="52">
        <v>1</v>
      </c>
      <c r="F126" s="51" t="s">
        <v>333</v>
      </c>
      <c r="G126" s="51" t="s">
        <v>334</v>
      </c>
      <c r="H126" s="51" t="s">
        <v>335</v>
      </c>
      <c r="I126" s="52">
        <v>34</v>
      </c>
      <c r="J126" s="51" t="s">
        <v>336</v>
      </c>
      <c r="K126" s="52">
        <v>23</v>
      </c>
      <c r="L126" s="52"/>
      <c r="M126" s="52"/>
      <c r="N126" s="53" t="s">
        <v>337</v>
      </c>
      <c r="O126" s="53" t="s">
        <v>338</v>
      </c>
      <c r="P126" s="52"/>
      <c r="Q126" s="54"/>
      <c r="R126" s="55"/>
      <c r="S126" s="51"/>
      <c r="T126" s="55" t="s">
        <v>568</v>
      </c>
      <c r="U126" s="55" t="s">
        <v>569</v>
      </c>
      <c r="V126" s="55" t="s">
        <v>351</v>
      </c>
      <c r="W126" s="82" t="s">
        <v>806</v>
      </c>
      <c r="X126" s="51" t="s">
        <v>372</v>
      </c>
      <c r="Y126" s="54" t="s">
        <v>372</v>
      </c>
      <c r="Z126" s="54" t="s">
        <v>372</v>
      </c>
      <c r="AA126" s="52" t="s">
        <v>372</v>
      </c>
    </row>
    <row r="127" spans="2:27" ht="80.25" hidden="1" customHeight="1" x14ac:dyDescent="0.35">
      <c r="B127" s="51" t="s">
        <v>21</v>
      </c>
      <c r="C127" s="51" t="s">
        <v>807</v>
      </c>
      <c r="D127" s="51" t="s">
        <v>22</v>
      </c>
      <c r="E127" s="52">
        <v>1</v>
      </c>
      <c r="F127" s="51" t="s">
        <v>120</v>
      </c>
      <c r="G127" s="51" t="s">
        <v>121</v>
      </c>
      <c r="H127" s="51" t="s">
        <v>122</v>
      </c>
      <c r="I127" s="52">
        <v>1</v>
      </c>
      <c r="J127" s="51" t="s">
        <v>123</v>
      </c>
      <c r="K127" s="52">
        <v>4</v>
      </c>
      <c r="L127" s="52"/>
      <c r="M127" s="52"/>
      <c r="N127" s="328" t="s">
        <v>124</v>
      </c>
      <c r="O127" s="53" t="s">
        <v>125</v>
      </c>
      <c r="P127" s="52" t="s">
        <v>126</v>
      </c>
      <c r="Q127" s="51"/>
      <c r="R127" s="55" t="s">
        <v>808</v>
      </c>
      <c r="S127" s="55" t="s">
        <v>809</v>
      </c>
      <c r="T127" s="55" t="s">
        <v>810</v>
      </c>
      <c r="U127" s="55" t="s">
        <v>811</v>
      </c>
      <c r="V127" s="55" t="s">
        <v>184</v>
      </c>
      <c r="W127" s="82" t="s">
        <v>812</v>
      </c>
      <c r="X127" s="55" t="s">
        <v>813</v>
      </c>
      <c r="Y127" s="55" t="s">
        <v>323</v>
      </c>
      <c r="Z127" s="55" t="s">
        <v>323</v>
      </c>
      <c r="AA127" s="60" t="s">
        <v>814</v>
      </c>
    </row>
    <row r="128" spans="2:27" ht="80.25" hidden="1" customHeight="1" x14ac:dyDescent="0.35">
      <c r="B128" s="51" t="s">
        <v>21</v>
      </c>
      <c r="C128" s="51" t="s">
        <v>807</v>
      </c>
      <c r="D128" s="51" t="s">
        <v>22</v>
      </c>
      <c r="E128" s="52">
        <v>1</v>
      </c>
      <c r="F128" s="51" t="s">
        <v>136</v>
      </c>
      <c r="G128" s="51" t="s">
        <v>137</v>
      </c>
      <c r="H128" s="51" t="s">
        <v>122</v>
      </c>
      <c r="I128" s="52">
        <v>2</v>
      </c>
      <c r="J128" s="51" t="s">
        <v>123</v>
      </c>
      <c r="K128" s="52">
        <v>30</v>
      </c>
      <c r="L128" s="52"/>
      <c r="M128" s="52"/>
      <c r="N128" s="53" t="s">
        <v>138</v>
      </c>
      <c r="O128" s="53" t="s">
        <v>139</v>
      </c>
      <c r="P128" s="52" t="s">
        <v>126</v>
      </c>
      <c r="Q128" s="51"/>
      <c r="R128" s="55" t="s">
        <v>808</v>
      </c>
      <c r="S128" s="55" t="s">
        <v>809</v>
      </c>
      <c r="T128" s="55" t="s">
        <v>815</v>
      </c>
      <c r="U128" s="55" t="s">
        <v>816</v>
      </c>
      <c r="V128" s="53" t="s">
        <v>817</v>
      </c>
      <c r="W128" s="82" t="s">
        <v>818</v>
      </c>
      <c r="X128" s="55" t="s">
        <v>813</v>
      </c>
      <c r="Y128" s="53" t="s">
        <v>819</v>
      </c>
      <c r="Z128" s="53" t="s">
        <v>820</v>
      </c>
      <c r="AA128" s="60" t="s">
        <v>323</v>
      </c>
    </row>
    <row r="129" spans="2:27" ht="80.25" hidden="1" customHeight="1" x14ac:dyDescent="0.35">
      <c r="B129" s="51" t="s">
        <v>21</v>
      </c>
      <c r="C129" s="51" t="s">
        <v>807</v>
      </c>
      <c r="D129" s="51" t="s">
        <v>22</v>
      </c>
      <c r="E129" s="52">
        <v>1</v>
      </c>
      <c r="F129" s="51" t="s">
        <v>148</v>
      </c>
      <c r="G129" s="51" t="s">
        <v>149</v>
      </c>
      <c r="H129" s="54" t="s">
        <v>150</v>
      </c>
      <c r="I129" s="52">
        <v>3</v>
      </c>
      <c r="J129" s="51" t="s">
        <v>123</v>
      </c>
      <c r="K129" s="52">
        <v>4</v>
      </c>
      <c r="L129" s="52"/>
      <c r="M129" s="52"/>
      <c r="N129" s="53" t="s">
        <v>151</v>
      </c>
      <c r="O129" s="53" t="s">
        <v>152</v>
      </c>
      <c r="P129" s="52"/>
      <c r="Q129" s="53" t="s">
        <v>821</v>
      </c>
      <c r="R129" s="55"/>
      <c r="S129" s="51"/>
      <c r="T129" s="55" t="s">
        <v>822</v>
      </c>
      <c r="U129" s="55" t="s">
        <v>811</v>
      </c>
      <c r="V129" s="55" t="s">
        <v>184</v>
      </c>
      <c r="W129" s="321" t="s">
        <v>823</v>
      </c>
      <c r="X129" s="55" t="s">
        <v>323</v>
      </c>
      <c r="Y129" s="55" t="s">
        <v>323</v>
      </c>
      <c r="Z129" s="55" t="s">
        <v>323</v>
      </c>
      <c r="AA129" s="60" t="s">
        <v>323</v>
      </c>
    </row>
    <row r="130" spans="2:27" ht="80.25" hidden="1" customHeight="1" x14ac:dyDescent="0.35">
      <c r="B130" s="51" t="s">
        <v>21</v>
      </c>
      <c r="C130" s="51" t="s">
        <v>807</v>
      </c>
      <c r="D130" s="51" t="s">
        <v>22</v>
      </c>
      <c r="E130" s="52">
        <v>1</v>
      </c>
      <c r="F130" s="51" t="s">
        <v>155</v>
      </c>
      <c r="G130" s="51" t="s">
        <v>156</v>
      </c>
      <c r="H130" s="54" t="s">
        <v>150</v>
      </c>
      <c r="I130" s="52">
        <v>3</v>
      </c>
      <c r="J130" s="51" t="s">
        <v>123</v>
      </c>
      <c r="K130" s="52">
        <v>4</v>
      </c>
      <c r="L130" s="52"/>
      <c r="M130" s="52"/>
      <c r="N130" s="53" t="s">
        <v>157</v>
      </c>
      <c r="O130" s="53" t="s">
        <v>158</v>
      </c>
      <c r="P130" s="52"/>
      <c r="Q130" s="55" t="s">
        <v>824</v>
      </c>
      <c r="R130" s="55" t="s">
        <v>160</v>
      </c>
      <c r="S130" s="55" t="s">
        <v>161</v>
      </c>
      <c r="T130" s="55" t="s">
        <v>815</v>
      </c>
      <c r="U130" s="55" t="s">
        <v>816</v>
      </c>
      <c r="V130" s="55" t="s">
        <v>825</v>
      </c>
      <c r="W130" s="82" t="s">
        <v>826</v>
      </c>
      <c r="X130" s="55" t="s">
        <v>813</v>
      </c>
      <c r="Y130" s="65" t="s">
        <v>827</v>
      </c>
      <c r="Z130" s="65" t="s">
        <v>828</v>
      </c>
      <c r="AA130" s="60" t="s">
        <v>323</v>
      </c>
    </row>
    <row r="131" spans="2:27" ht="80.25" hidden="1" customHeight="1" x14ac:dyDescent="0.35">
      <c r="B131" s="51" t="s">
        <v>21</v>
      </c>
      <c r="C131" s="51" t="s">
        <v>807</v>
      </c>
      <c r="D131" s="51" t="s">
        <v>22</v>
      </c>
      <c r="E131" s="52">
        <v>1</v>
      </c>
      <c r="F131" s="51" t="s">
        <v>167</v>
      </c>
      <c r="G131" s="51" t="s">
        <v>168</v>
      </c>
      <c r="H131" s="54" t="s">
        <v>150</v>
      </c>
      <c r="I131" s="52">
        <v>3</v>
      </c>
      <c r="J131" s="51" t="s">
        <v>123</v>
      </c>
      <c r="K131" s="52">
        <v>4</v>
      </c>
      <c r="L131" s="52"/>
      <c r="M131" s="52"/>
      <c r="N131" s="53" t="s">
        <v>169</v>
      </c>
      <c r="O131" s="53" t="s">
        <v>170</v>
      </c>
      <c r="P131" s="52"/>
      <c r="Q131" s="53" t="s">
        <v>829</v>
      </c>
      <c r="R131" s="55" t="s">
        <v>160</v>
      </c>
      <c r="S131" s="55" t="s">
        <v>172</v>
      </c>
      <c r="T131" s="55" t="s">
        <v>815</v>
      </c>
      <c r="U131" s="55" t="s">
        <v>816</v>
      </c>
      <c r="V131" s="55" t="s">
        <v>830</v>
      </c>
      <c r="W131" s="320" t="s">
        <v>831</v>
      </c>
      <c r="X131" s="55" t="s">
        <v>813</v>
      </c>
      <c r="Y131" s="65" t="s">
        <v>827</v>
      </c>
      <c r="Z131" s="55" t="s">
        <v>832</v>
      </c>
      <c r="AA131" s="60" t="s">
        <v>323</v>
      </c>
    </row>
    <row r="132" spans="2:27" ht="80.25" hidden="1" customHeight="1" x14ac:dyDescent="0.35">
      <c r="B132" s="51" t="s">
        <v>21</v>
      </c>
      <c r="C132" s="51" t="s">
        <v>807</v>
      </c>
      <c r="D132" s="51" t="s">
        <v>22</v>
      </c>
      <c r="E132" s="52">
        <v>1</v>
      </c>
      <c r="F132" s="51" t="s">
        <v>176</v>
      </c>
      <c r="G132" s="51" t="s">
        <v>177</v>
      </c>
      <c r="H132" s="54" t="s">
        <v>150</v>
      </c>
      <c r="I132" s="52">
        <v>6</v>
      </c>
      <c r="J132" s="51" t="s">
        <v>123</v>
      </c>
      <c r="K132" s="52">
        <v>4</v>
      </c>
      <c r="L132" s="52"/>
      <c r="M132" s="52"/>
      <c r="N132" s="76" t="s">
        <v>833</v>
      </c>
      <c r="O132" s="53" t="s">
        <v>179</v>
      </c>
      <c r="P132" s="52"/>
      <c r="Q132" s="54"/>
      <c r="R132" s="55" t="s">
        <v>180</v>
      </c>
      <c r="S132" s="55" t="s">
        <v>181</v>
      </c>
      <c r="T132" s="55" t="s">
        <v>822</v>
      </c>
      <c r="U132" s="55" t="s">
        <v>811</v>
      </c>
      <c r="V132" s="55" t="s">
        <v>184</v>
      </c>
      <c r="W132" s="82" t="s">
        <v>834</v>
      </c>
      <c r="X132" s="55" t="s">
        <v>813</v>
      </c>
      <c r="Y132" s="65" t="s">
        <v>323</v>
      </c>
      <c r="Z132" s="65" t="s">
        <v>323</v>
      </c>
      <c r="AA132" s="60" t="s">
        <v>835</v>
      </c>
    </row>
    <row r="133" spans="2:27" ht="80.25" hidden="1" customHeight="1" x14ac:dyDescent="0.35">
      <c r="B133" s="51" t="s">
        <v>21</v>
      </c>
      <c r="C133" s="51" t="s">
        <v>807</v>
      </c>
      <c r="D133" s="51" t="s">
        <v>22</v>
      </c>
      <c r="E133" s="52">
        <v>1</v>
      </c>
      <c r="F133" s="51" t="s">
        <v>187</v>
      </c>
      <c r="G133" s="51" t="s">
        <v>188</v>
      </c>
      <c r="H133" s="54" t="s">
        <v>150</v>
      </c>
      <c r="I133" s="52">
        <v>7</v>
      </c>
      <c r="J133" s="51" t="s">
        <v>123</v>
      </c>
      <c r="K133" s="52">
        <v>30</v>
      </c>
      <c r="L133" s="52"/>
      <c r="M133" s="52"/>
      <c r="N133" s="53" t="s">
        <v>836</v>
      </c>
      <c r="O133" s="53" t="s">
        <v>190</v>
      </c>
      <c r="P133" s="52"/>
      <c r="Q133" s="54"/>
      <c r="R133" s="55" t="s">
        <v>180</v>
      </c>
      <c r="S133" s="55" t="s">
        <v>181</v>
      </c>
      <c r="T133" s="55" t="s">
        <v>837</v>
      </c>
      <c r="U133" s="55" t="s">
        <v>838</v>
      </c>
      <c r="V133" s="55" t="s">
        <v>839</v>
      </c>
      <c r="W133" s="82" t="s">
        <v>840</v>
      </c>
      <c r="X133" s="55" t="s">
        <v>841</v>
      </c>
      <c r="Y133" s="53" t="s">
        <v>842</v>
      </c>
      <c r="Z133" s="65" t="s">
        <v>843</v>
      </c>
      <c r="AA133" s="60" t="s">
        <v>844</v>
      </c>
    </row>
    <row r="134" spans="2:27" ht="80.25" hidden="1" customHeight="1" x14ac:dyDescent="0.35">
      <c r="B134" s="51" t="s">
        <v>21</v>
      </c>
      <c r="C134" s="51" t="s">
        <v>807</v>
      </c>
      <c r="D134" s="51" t="s">
        <v>22</v>
      </c>
      <c r="E134" s="52">
        <v>1</v>
      </c>
      <c r="F134" s="51" t="s">
        <v>624</v>
      </c>
      <c r="G134" s="51" t="s">
        <v>625</v>
      </c>
      <c r="H134" s="54" t="s">
        <v>150</v>
      </c>
      <c r="I134" s="52">
        <v>8</v>
      </c>
      <c r="J134" s="51" t="s">
        <v>123</v>
      </c>
      <c r="K134" s="52">
        <v>4</v>
      </c>
      <c r="L134" s="52"/>
      <c r="M134" s="52"/>
      <c r="N134" s="53" t="s">
        <v>845</v>
      </c>
      <c r="O134" s="53" t="s">
        <v>627</v>
      </c>
      <c r="P134" s="52"/>
      <c r="Q134" s="51"/>
      <c r="R134" s="55"/>
      <c r="S134" s="51"/>
      <c r="T134" s="55" t="s">
        <v>822</v>
      </c>
      <c r="U134" s="55" t="s">
        <v>811</v>
      </c>
      <c r="V134" s="55" t="s">
        <v>184</v>
      </c>
      <c r="W134" s="82" t="s">
        <v>846</v>
      </c>
      <c r="X134" s="55" t="s">
        <v>813</v>
      </c>
      <c r="Y134" s="65" t="s">
        <v>323</v>
      </c>
      <c r="Z134" s="65" t="s">
        <v>323</v>
      </c>
      <c r="AA134" s="60" t="s">
        <v>847</v>
      </c>
    </row>
    <row r="135" spans="2:27" ht="80.25" hidden="1" customHeight="1" x14ac:dyDescent="0.35">
      <c r="B135" s="51" t="s">
        <v>21</v>
      </c>
      <c r="C135" s="51" t="s">
        <v>807</v>
      </c>
      <c r="D135" s="51" t="s">
        <v>22</v>
      </c>
      <c r="E135" s="52">
        <v>1</v>
      </c>
      <c r="F135" s="51" t="s">
        <v>574</v>
      </c>
      <c r="G135" s="56" t="s">
        <v>575</v>
      </c>
      <c r="H135" s="54" t="s">
        <v>150</v>
      </c>
      <c r="I135" s="52">
        <v>9</v>
      </c>
      <c r="J135" s="51" t="s">
        <v>123</v>
      </c>
      <c r="K135" s="52">
        <v>15</v>
      </c>
      <c r="L135" s="52"/>
      <c r="M135" s="52"/>
      <c r="N135" s="53" t="s">
        <v>848</v>
      </c>
      <c r="O135" s="53" t="s">
        <v>577</v>
      </c>
      <c r="P135" s="52"/>
      <c r="Q135" s="51"/>
      <c r="R135" s="55"/>
      <c r="S135" s="51"/>
      <c r="T135" s="55" t="s">
        <v>815</v>
      </c>
      <c r="U135" s="55" t="s">
        <v>816</v>
      </c>
      <c r="V135" s="55" t="s">
        <v>849</v>
      </c>
      <c r="W135" s="82" t="s">
        <v>850</v>
      </c>
      <c r="X135" s="55" t="s">
        <v>813</v>
      </c>
      <c r="Y135" s="53" t="s">
        <v>851</v>
      </c>
      <c r="Z135" s="53" t="s">
        <v>852</v>
      </c>
      <c r="AA135" s="60" t="s">
        <v>853</v>
      </c>
    </row>
    <row r="136" spans="2:27" ht="80.25" hidden="1" customHeight="1" x14ac:dyDescent="0.35">
      <c r="B136" s="51" t="s">
        <v>21</v>
      </c>
      <c r="C136" s="51" t="s">
        <v>807</v>
      </c>
      <c r="D136" s="51" t="s">
        <v>22</v>
      </c>
      <c r="E136" s="52">
        <v>1</v>
      </c>
      <c r="F136" s="138" t="s">
        <v>198</v>
      </c>
      <c r="G136" s="51" t="s">
        <v>199</v>
      </c>
      <c r="H136" s="54" t="s">
        <v>200</v>
      </c>
      <c r="I136" s="52">
        <v>10</v>
      </c>
      <c r="J136" s="51" t="s">
        <v>123</v>
      </c>
      <c r="K136" s="52">
        <v>10</v>
      </c>
      <c r="L136" s="52"/>
      <c r="M136" s="52"/>
      <c r="N136" s="53" t="s">
        <v>201</v>
      </c>
      <c r="O136" s="53" t="s">
        <v>202</v>
      </c>
      <c r="P136" s="52"/>
      <c r="Q136" s="51"/>
      <c r="R136" s="55" t="s">
        <v>203</v>
      </c>
      <c r="S136" s="51" t="s">
        <v>198</v>
      </c>
      <c r="T136" s="55" t="s">
        <v>815</v>
      </c>
      <c r="U136" s="55" t="s">
        <v>816</v>
      </c>
      <c r="V136" s="55" t="s">
        <v>854</v>
      </c>
      <c r="W136" s="320" t="s">
        <v>855</v>
      </c>
      <c r="X136" s="55" t="s">
        <v>813</v>
      </c>
      <c r="Y136" s="53" t="s">
        <v>819</v>
      </c>
      <c r="Z136" s="65" t="s">
        <v>856</v>
      </c>
      <c r="AA136" s="60" t="s">
        <v>323</v>
      </c>
    </row>
    <row r="137" spans="2:27" ht="80.25" hidden="1" customHeight="1" x14ac:dyDescent="0.35">
      <c r="B137" s="51" t="s">
        <v>21</v>
      </c>
      <c r="C137" s="51" t="s">
        <v>807</v>
      </c>
      <c r="D137" s="51" t="s">
        <v>22</v>
      </c>
      <c r="E137" s="52">
        <v>1</v>
      </c>
      <c r="F137" s="51" t="s">
        <v>210</v>
      </c>
      <c r="G137" s="51" t="s">
        <v>211</v>
      </c>
      <c r="H137" s="54" t="s">
        <v>200</v>
      </c>
      <c r="I137" s="52">
        <v>11</v>
      </c>
      <c r="J137" s="51" t="s">
        <v>123</v>
      </c>
      <c r="K137" s="52">
        <v>10</v>
      </c>
      <c r="L137" s="52"/>
      <c r="M137" s="52"/>
      <c r="N137" s="53" t="s">
        <v>212</v>
      </c>
      <c r="O137" s="53" t="s">
        <v>213</v>
      </c>
      <c r="P137" s="52"/>
      <c r="Q137" s="54"/>
      <c r="R137" s="55" t="s">
        <v>214</v>
      </c>
      <c r="S137" s="51" t="s">
        <v>210</v>
      </c>
      <c r="T137" s="55" t="s">
        <v>815</v>
      </c>
      <c r="U137" s="55" t="s">
        <v>816</v>
      </c>
      <c r="V137" s="55" t="s">
        <v>857</v>
      </c>
      <c r="W137" s="82" t="s">
        <v>858</v>
      </c>
      <c r="X137" s="55" t="s">
        <v>813</v>
      </c>
      <c r="Y137" s="53" t="s">
        <v>859</v>
      </c>
      <c r="Z137" s="53" t="s">
        <v>860</v>
      </c>
      <c r="AA137" s="60" t="s">
        <v>861</v>
      </c>
    </row>
    <row r="138" spans="2:27" ht="80.25" hidden="1" customHeight="1" x14ac:dyDescent="0.35">
      <c r="B138" s="51" t="s">
        <v>21</v>
      </c>
      <c r="C138" s="51" t="s">
        <v>807</v>
      </c>
      <c r="D138" s="51" t="s">
        <v>22</v>
      </c>
      <c r="E138" s="52">
        <v>1</v>
      </c>
      <c r="F138" s="51" t="s">
        <v>222</v>
      </c>
      <c r="G138" s="51" t="s">
        <v>223</v>
      </c>
      <c r="H138" s="54" t="s">
        <v>224</v>
      </c>
      <c r="I138" s="52">
        <v>12</v>
      </c>
      <c r="J138" s="51" t="s">
        <v>123</v>
      </c>
      <c r="K138" s="52">
        <v>4</v>
      </c>
      <c r="L138" s="52"/>
      <c r="M138" s="52"/>
      <c r="N138" s="53" t="s">
        <v>225</v>
      </c>
      <c r="O138" s="53" t="s">
        <v>226</v>
      </c>
      <c r="P138" s="52"/>
      <c r="Q138" s="55" t="s">
        <v>862</v>
      </c>
      <c r="R138" s="55" t="s">
        <v>863</v>
      </c>
      <c r="S138" s="55" t="s">
        <v>864</v>
      </c>
      <c r="T138" s="55" t="s">
        <v>865</v>
      </c>
      <c r="U138" s="55" t="s">
        <v>866</v>
      </c>
      <c r="V138" s="55" t="s">
        <v>867</v>
      </c>
      <c r="W138" s="82" t="s">
        <v>868</v>
      </c>
      <c r="X138" s="55" t="s">
        <v>869</v>
      </c>
      <c r="Y138" s="53" t="s">
        <v>870</v>
      </c>
      <c r="Z138" s="53" t="s">
        <v>871</v>
      </c>
      <c r="AA138" s="60" t="s">
        <v>872</v>
      </c>
    </row>
    <row r="139" spans="2:27" ht="80.25" hidden="1" customHeight="1" x14ac:dyDescent="0.35">
      <c r="B139" s="51" t="s">
        <v>21</v>
      </c>
      <c r="C139" s="51" t="s">
        <v>807</v>
      </c>
      <c r="D139" s="51" t="s">
        <v>22</v>
      </c>
      <c r="E139" s="52">
        <v>1</v>
      </c>
      <c r="F139" s="138" t="s">
        <v>238</v>
      </c>
      <c r="G139" s="51" t="s">
        <v>239</v>
      </c>
      <c r="H139" s="132" t="s">
        <v>240</v>
      </c>
      <c r="I139" s="52">
        <v>13</v>
      </c>
      <c r="J139" s="51" t="s">
        <v>123</v>
      </c>
      <c r="K139" s="52">
        <v>4</v>
      </c>
      <c r="L139" s="52"/>
      <c r="M139" s="52"/>
      <c r="N139" s="53" t="s">
        <v>241</v>
      </c>
      <c r="O139" s="53" t="s">
        <v>242</v>
      </c>
      <c r="P139" s="52"/>
      <c r="Q139" s="54"/>
      <c r="R139" s="63"/>
      <c r="S139" s="61"/>
      <c r="T139" s="55" t="s">
        <v>815</v>
      </c>
      <c r="U139" s="55" t="s">
        <v>816</v>
      </c>
      <c r="V139" s="63" t="s">
        <v>244</v>
      </c>
      <c r="W139" s="82" t="s">
        <v>873</v>
      </c>
      <c r="X139" s="55" t="s">
        <v>813</v>
      </c>
      <c r="Y139" s="53" t="s">
        <v>323</v>
      </c>
      <c r="Z139" s="53" t="s">
        <v>323</v>
      </c>
      <c r="AA139" s="60" t="s">
        <v>874</v>
      </c>
    </row>
    <row r="140" spans="2:27" ht="80.25" hidden="1" customHeight="1" x14ac:dyDescent="0.35">
      <c r="B140" s="51" t="s">
        <v>21</v>
      </c>
      <c r="C140" s="51" t="s">
        <v>807</v>
      </c>
      <c r="D140" s="51" t="s">
        <v>22</v>
      </c>
      <c r="E140" s="52">
        <v>1</v>
      </c>
      <c r="F140" s="220" t="s">
        <v>260</v>
      </c>
      <c r="G140" s="51" t="s">
        <v>261</v>
      </c>
      <c r="H140" s="51" t="s">
        <v>249</v>
      </c>
      <c r="I140" s="52">
        <v>14</v>
      </c>
      <c r="J140" s="51" t="s">
        <v>250</v>
      </c>
      <c r="K140" s="52">
        <v>23</v>
      </c>
      <c r="L140" s="52">
        <v>6</v>
      </c>
      <c r="M140" s="52"/>
      <c r="N140" s="53" t="s">
        <v>875</v>
      </c>
      <c r="O140" s="53" t="s">
        <v>263</v>
      </c>
      <c r="P140" s="52"/>
      <c r="Q140" s="54"/>
      <c r="R140" s="55"/>
      <c r="S140" s="51"/>
      <c r="T140" s="89" t="s">
        <v>815</v>
      </c>
      <c r="U140" s="89" t="s">
        <v>816</v>
      </c>
      <c r="V140" s="89" t="s">
        <v>876</v>
      </c>
      <c r="W140" s="320" t="s">
        <v>877</v>
      </c>
      <c r="X140" s="55" t="s">
        <v>813</v>
      </c>
      <c r="Y140" s="53" t="s">
        <v>851</v>
      </c>
      <c r="Z140" s="53" t="s">
        <v>878</v>
      </c>
      <c r="AA140" s="60" t="s">
        <v>853</v>
      </c>
    </row>
    <row r="141" spans="2:27" ht="114.75" hidden="1" customHeight="1" x14ac:dyDescent="0.35">
      <c r="B141" s="51" t="s">
        <v>21</v>
      </c>
      <c r="C141" s="51" t="s">
        <v>807</v>
      </c>
      <c r="D141" s="51" t="s">
        <v>22</v>
      </c>
      <c r="E141" s="52">
        <v>1</v>
      </c>
      <c r="F141" s="51" t="s">
        <v>879</v>
      </c>
      <c r="G141" s="51" t="s">
        <v>880</v>
      </c>
      <c r="H141" s="51" t="s">
        <v>249</v>
      </c>
      <c r="I141" s="52">
        <v>15</v>
      </c>
      <c r="J141" s="51" t="s">
        <v>250</v>
      </c>
      <c r="K141" s="52">
        <v>23</v>
      </c>
      <c r="L141" s="52">
        <v>6</v>
      </c>
      <c r="M141" s="52"/>
      <c r="N141" s="53" t="s">
        <v>881</v>
      </c>
      <c r="O141" s="53" t="s">
        <v>882</v>
      </c>
      <c r="P141" s="52"/>
      <c r="Q141" s="54"/>
      <c r="R141" s="53"/>
      <c r="S141" s="54"/>
      <c r="T141" s="55" t="s">
        <v>883</v>
      </c>
      <c r="U141" s="55" t="s">
        <v>884</v>
      </c>
      <c r="V141" s="55" t="s">
        <v>885</v>
      </c>
      <c r="W141" s="82" t="s">
        <v>886</v>
      </c>
      <c r="X141" s="55" t="s">
        <v>887</v>
      </c>
      <c r="Y141" s="53" t="s">
        <v>888</v>
      </c>
      <c r="Z141" s="53" t="s">
        <v>889</v>
      </c>
      <c r="AA141" s="60" t="s">
        <v>890</v>
      </c>
    </row>
    <row r="142" spans="2:27" ht="80.25" hidden="1" customHeight="1" x14ac:dyDescent="0.35">
      <c r="B142" s="51" t="s">
        <v>21</v>
      </c>
      <c r="C142" s="51" t="s">
        <v>807</v>
      </c>
      <c r="D142" s="51" t="s">
        <v>22</v>
      </c>
      <c r="E142" s="52">
        <v>1</v>
      </c>
      <c r="F142" s="51" t="s">
        <v>648</v>
      </c>
      <c r="G142" s="51" t="s">
        <v>649</v>
      </c>
      <c r="H142" s="51" t="s">
        <v>249</v>
      </c>
      <c r="I142" s="52">
        <v>16</v>
      </c>
      <c r="J142" s="51" t="s">
        <v>250</v>
      </c>
      <c r="K142" s="52">
        <v>23</v>
      </c>
      <c r="L142" s="52">
        <v>6</v>
      </c>
      <c r="M142" s="52"/>
      <c r="N142" s="53" t="s">
        <v>891</v>
      </c>
      <c r="O142" s="53" t="s">
        <v>651</v>
      </c>
      <c r="P142" s="52"/>
      <c r="Q142" s="54"/>
      <c r="R142" s="53" t="s">
        <v>685</v>
      </c>
      <c r="S142" s="53" t="s">
        <v>686</v>
      </c>
      <c r="T142" s="55" t="s">
        <v>892</v>
      </c>
      <c r="U142" s="55" t="s">
        <v>893</v>
      </c>
      <c r="V142" s="55" t="s">
        <v>894</v>
      </c>
      <c r="W142" s="82" t="s">
        <v>895</v>
      </c>
      <c r="X142" s="55" t="s">
        <v>813</v>
      </c>
      <c r="Y142" s="53" t="s">
        <v>896</v>
      </c>
      <c r="Z142" s="53" t="s">
        <v>897</v>
      </c>
      <c r="AA142" s="60" t="s">
        <v>898</v>
      </c>
    </row>
    <row r="143" spans="2:27" ht="80.25" hidden="1" customHeight="1" x14ac:dyDescent="0.35">
      <c r="B143" s="51" t="s">
        <v>21</v>
      </c>
      <c r="C143" s="51" t="s">
        <v>807</v>
      </c>
      <c r="D143" s="51" t="s">
        <v>22</v>
      </c>
      <c r="E143" s="52">
        <v>1</v>
      </c>
      <c r="F143" s="51" t="s">
        <v>271</v>
      </c>
      <c r="G143" s="51" t="s">
        <v>272</v>
      </c>
      <c r="H143" s="51" t="s">
        <v>249</v>
      </c>
      <c r="I143" s="52">
        <v>17</v>
      </c>
      <c r="J143" s="51" t="s">
        <v>250</v>
      </c>
      <c r="K143" s="52">
        <v>23</v>
      </c>
      <c r="L143" s="52">
        <v>6</v>
      </c>
      <c r="M143" s="52"/>
      <c r="N143" s="53" t="s">
        <v>273</v>
      </c>
      <c r="O143" s="53" t="s">
        <v>274</v>
      </c>
      <c r="P143" s="52"/>
      <c r="Q143" s="54"/>
      <c r="R143" s="53" t="s">
        <v>275</v>
      </c>
      <c r="S143" s="54" t="s">
        <v>276</v>
      </c>
      <c r="T143" s="55" t="s">
        <v>815</v>
      </c>
      <c r="U143" s="55" t="s">
        <v>816</v>
      </c>
      <c r="V143" s="55" t="s">
        <v>899</v>
      </c>
      <c r="W143" s="82" t="s">
        <v>900</v>
      </c>
      <c r="X143" s="55" t="s">
        <v>813</v>
      </c>
      <c r="Y143" s="53" t="s">
        <v>901</v>
      </c>
      <c r="Z143" s="53" t="s">
        <v>902</v>
      </c>
      <c r="AA143" s="60" t="s">
        <v>903</v>
      </c>
    </row>
    <row r="144" spans="2:27" ht="80.25" hidden="1" customHeight="1" x14ac:dyDescent="0.35">
      <c r="B144" s="51" t="s">
        <v>21</v>
      </c>
      <c r="C144" s="51" t="s">
        <v>807</v>
      </c>
      <c r="D144" s="51" t="s">
        <v>22</v>
      </c>
      <c r="E144" s="52">
        <v>1</v>
      </c>
      <c r="F144" s="55" t="s">
        <v>282</v>
      </c>
      <c r="G144" s="51" t="s">
        <v>283</v>
      </c>
      <c r="H144" s="51" t="s">
        <v>249</v>
      </c>
      <c r="I144" s="52">
        <v>18</v>
      </c>
      <c r="J144" s="51" t="s">
        <v>250</v>
      </c>
      <c r="K144" s="52">
        <v>23</v>
      </c>
      <c r="L144" s="52">
        <v>6</v>
      </c>
      <c r="M144" s="52"/>
      <c r="N144" s="53" t="s">
        <v>696</v>
      </c>
      <c r="O144" s="53" t="s">
        <v>285</v>
      </c>
      <c r="P144" s="91"/>
      <c r="Q144" s="54"/>
      <c r="R144" s="63"/>
      <c r="S144" s="61"/>
      <c r="T144" s="55" t="s">
        <v>904</v>
      </c>
      <c r="U144" s="55" t="s">
        <v>905</v>
      </c>
      <c r="V144" s="63" t="s">
        <v>906</v>
      </c>
      <c r="W144" s="82" t="s">
        <v>907</v>
      </c>
      <c r="X144" s="55" t="s">
        <v>813</v>
      </c>
      <c r="Y144" s="53" t="s">
        <v>908</v>
      </c>
      <c r="Z144" s="53" t="s">
        <v>909</v>
      </c>
      <c r="AA144" s="60" t="s">
        <v>910</v>
      </c>
    </row>
    <row r="145" spans="2:27" ht="80.25" hidden="1" customHeight="1" x14ac:dyDescent="0.35">
      <c r="B145" s="51" t="s">
        <v>21</v>
      </c>
      <c r="C145" s="51" t="s">
        <v>807</v>
      </c>
      <c r="D145" s="51" t="s">
        <v>22</v>
      </c>
      <c r="E145" s="52">
        <v>1</v>
      </c>
      <c r="F145" s="51" t="s">
        <v>714</v>
      </c>
      <c r="G145" s="51" t="s">
        <v>715</v>
      </c>
      <c r="H145" s="54" t="s">
        <v>430</v>
      </c>
      <c r="I145" s="52">
        <v>19</v>
      </c>
      <c r="J145" s="51" t="s">
        <v>123</v>
      </c>
      <c r="K145" s="52">
        <v>10</v>
      </c>
      <c r="L145" s="52"/>
      <c r="M145" s="52"/>
      <c r="N145" s="53" t="s">
        <v>911</v>
      </c>
      <c r="O145" s="53" t="s">
        <v>717</v>
      </c>
      <c r="P145" s="52"/>
      <c r="Q145" s="54"/>
      <c r="R145" s="55" t="s">
        <v>912</v>
      </c>
      <c r="S145" s="51" t="s">
        <v>913</v>
      </c>
      <c r="T145" s="55" t="s">
        <v>815</v>
      </c>
      <c r="U145" s="55" t="s">
        <v>816</v>
      </c>
      <c r="V145" s="55" t="s">
        <v>914</v>
      </c>
      <c r="W145" s="82" t="s">
        <v>915</v>
      </c>
      <c r="X145" s="55" t="s">
        <v>813</v>
      </c>
      <c r="Y145" s="53" t="s">
        <v>916</v>
      </c>
      <c r="Z145" s="53" t="s">
        <v>917</v>
      </c>
      <c r="AA145" s="60" t="s">
        <v>918</v>
      </c>
    </row>
    <row r="146" spans="2:27" ht="80.25" hidden="1" customHeight="1" x14ac:dyDescent="0.35">
      <c r="B146" s="51" t="s">
        <v>21</v>
      </c>
      <c r="C146" s="51" t="s">
        <v>807</v>
      </c>
      <c r="D146" s="51" t="s">
        <v>22</v>
      </c>
      <c r="E146" s="52">
        <v>1</v>
      </c>
      <c r="F146" s="51" t="s">
        <v>428</v>
      </c>
      <c r="G146" s="51" t="s">
        <v>429</v>
      </c>
      <c r="H146" s="54" t="s">
        <v>430</v>
      </c>
      <c r="I146" s="52">
        <v>20</v>
      </c>
      <c r="J146" s="51" t="s">
        <v>123</v>
      </c>
      <c r="K146" s="52">
        <v>10</v>
      </c>
      <c r="L146" s="52"/>
      <c r="M146" s="52"/>
      <c r="N146" s="53" t="s">
        <v>919</v>
      </c>
      <c r="O146" s="53" t="s">
        <v>432</v>
      </c>
      <c r="P146" s="52"/>
      <c r="Q146" s="54"/>
      <c r="R146" s="55" t="s">
        <v>920</v>
      </c>
      <c r="S146" s="55" t="s">
        <v>921</v>
      </c>
      <c r="T146" s="55" t="s">
        <v>815</v>
      </c>
      <c r="U146" s="55" t="s">
        <v>816</v>
      </c>
      <c r="V146" s="55" t="s">
        <v>922</v>
      </c>
      <c r="W146" s="82" t="s">
        <v>923</v>
      </c>
      <c r="X146" s="55" t="s">
        <v>813</v>
      </c>
      <c r="Y146" s="53" t="s">
        <v>916</v>
      </c>
      <c r="Z146" s="53" t="s">
        <v>924</v>
      </c>
      <c r="AA146" s="60" t="s">
        <v>918</v>
      </c>
    </row>
    <row r="147" spans="2:27" ht="80.25" hidden="1" customHeight="1" x14ac:dyDescent="0.35">
      <c r="B147" s="51" t="s">
        <v>21</v>
      </c>
      <c r="C147" s="51" t="s">
        <v>807</v>
      </c>
      <c r="D147" s="51" t="s">
        <v>22</v>
      </c>
      <c r="E147" s="52">
        <v>1</v>
      </c>
      <c r="F147" s="51" t="s">
        <v>727</v>
      </c>
      <c r="G147" s="51" t="s">
        <v>728</v>
      </c>
      <c r="H147" s="51" t="s">
        <v>249</v>
      </c>
      <c r="I147" s="52">
        <v>21</v>
      </c>
      <c r="J147" s="51" t="s">
        <v>250</v>
      </c>
      <c r="K147" s="52">
        <v>23</v>
      </c>
      <c r="L147" s="52">
        <v>6</v>
      </c>
      <c r="M147" s="52"/>
      <c r="N147" s="53" t="s">
        <v>925</v>
      </c>
      <c r="O147" s="53" t="s">
        <v>730</v>
      </c>
      <c r="P147" s="52"/>
      <c r="Q147" s="54"/>
      <c r="R147" s="53"/>
      <c r="S147" s="54"/>
      <c r="T147" s="55" t="s">
        <v>904</v>
      </c>
      <c r="U147" s="55" t="s">
        <v>905</v>
      </c>
      <c r="V147" s="55" t="s">
        <v>926</v>
      </c>
      <c r="W147" s="82" t="s">
        <v>927</v>
      </c>
      <c r="X147" s="55" t="s">
        <v>813</v>
      </c>
      <c r="Y147" s="53" t="s">
        <v>916</v>
      </c>
      <c r="Z147" s="53" t="s">
        <v>928</v>
      </c>
      <c r="AA147" s="60" t="s">
        <v>929</v>
      </c>
    </row>
    <row r="148" spans="2:27" ht="80.25" hidden="1" customHeight="1" x14ac:dyDescent="0.35">
      <c r="B148" s="51" t="s">
        <v>21</v>
      </c>
      <c r="C148" s="51" t="s">
        <v>807</v>
      </c>
      <c r="D148" s="51" t="s">
        <v>22</v>
      </c>
      <c r="E148" s="52">
        <v>1</v>
      </c>
      <c r="F148" s="51" t="s">
        <v>735</v>
      </c>
      <c r="G148" s="51" t="s">
        <v>736</v>
      </c>
      <c r="H148" s="51" t="s">
        <v>249</v>
      </c>
      <c r="I148" s="52">
        <v>22</v>
      </c>
      <c r="J148" s="51" t="s">
        <v>250</v>
      </c>
      <c r="K148" s="52">
        <v>23</v>
      </c>
      <c r="L148" s="52">
        <v>6</v>
      </c>
      <c r="M148" s="52"/>
      <c r="N148" s="53" t="s">
        <v>737</v>
      </c>
      <c r="O148" s="53" t="s">
        <v>738</v>
      </c>
      <c r="P148" s="52"/>
      <c r="Q148" s="51"/>
      <c r="R148" s="53"/>
      <c r="S148" s="54"/>
      <c r="T148" s="55" t="s">
        <v>904</v>
      </c>
      <c r="U148" s="65" t="s">
        <v>905</v>
      </c>
      <c r="V148" s="53" t="s">
        <v>930</v>
      </c>
      <c r="W148" s="82" t="s">
        <v>931</v>
      </c>
      <c r="X148" s="55" t="s">
        <v>813</v>
      </c>
      <c r="Y148" s="53" t="s">
        <v>908</v>
      </c>
      <c r="Z148" s="53" t="s">
        <v>932</v>
      </c>
      <c r="AA148" s="60" t="s">
        <v>910</v>
      </c>
    </row>
    <row r="149" spans="2:27" ht="80.25" hidden="1" customHeight="1" x14ac:dyDescent="0.35">
      <c r="B149" s="51" t="s">
        <v>21</v>
      </c>
      <c r="C149" s="51" t="s">
        <v>807</v>
      </c>
      <c r="D149" s="51" t="s">
        <v>22</v>
      </c>
      <c r="E149" s="52">
        <v>1</v>
      </c>
      <c r="F149" s="51" t="s">
        <v>933</v>
      </c>
      <c r="G149" s="51" t="s">
        <v>934</v>
      </c>
      <c r="H149" s="54" t="s">
        <v>240</v>
      </c>
      <c r="I149" s="52">
        <v>23</v>
      </c>
      <c r="J149" s="51" t="s">
        <v>123</v>
      </c>
      <c r="K149" s="52">
        <v>4</v>
      </c>
      <c r="L149" s="52"/>
      <c r="M149" s="52"/>
      <c r="N149" s="53" t="s">
        <v>935</v>
      </c>
      <c r="O149" s="53" t="s">
        <v>936</v>
      </c>
      <c r="P149" s="52"/>
      <c r="Q149" s="51"/>
      <c r="R149" s="55" t="s">
        <v>912</v>
      </c>
      <c r="S149" s="51" t="s">
        <v>937</v>
      </c>
      <c r="T149" s="55" t="s">
        <v>892</v>
      </c>
      <c r="U149" s="55" t="s">
        <v>938</v>
      </c>
      <c r="V149" s="55" t="s">
        <v>939</v>
      </c>
      <c r="W149" s="82" t="s">
        <v>940</v>
      </c>
      <c r="X149" s="55" t="s">
        <v>813</v>
      </c>
      <c r="Y149" s="55" t="s">
        <v>941</v>
      </c>
      <c r="Z149" s="55" t="s">
        <v>942</v>
      </c>
      <c r="AA149" s="60" t="s">
        <v>918</v>
      </c>
    </row>
    <row r="150" spans="2:27" ht="80.25" hidden="1" customHeight="1" x14ac:dyDescent="0.35">
      <c r="B150" s="51" t="s">
        <v>21</v>
      </c>
      <c r="C150" s="51" t="s">
        <v>807</v>
      </c>
      <c r="D150" s="51" t="s">
        <v>22</v>
      </c>
      <c r="E150" s="52">
        <v>1</v>
      </c>
      <c r="F150" s="51" t="s">
        <v>943</v>
      </c>
      <c r="G150" s="51" t="s">
        <v>944</v>
      </c>
      <c r="H150" s="54" t="s">
        <v>430</v>
      </c>
      <c r="I150" s="52">
        <v>24</v>
      </c>
      <c r="J150" s="51" t="s">
        <v>123</v>
      </c>
      <c r="K150" s="52">
        <v>10</v>
      </c>
      <c r="L150" s="52"/>
      <c r="M150" s="52"/>
      <c r="N150" s="53" t="s">
        <v>945</v>
      </c>
      <c r="O150" s="53" t="s">
        <v>946</v>
      </c>
      <c r="P150" s="52"/>
      <c r="Q150" s="51"/>
      <c r="R150" s="55" t="s">
        <v>912</v>
      </c>
      <c r="S150" s="51" t="s">
        <v>913</v>
      </c>
      <c r="T150" s="55" t="s">
        <v>815</v>
      </c>
      <c r="U150" s="55" t="s">
        <v>816</v>
      </c>
      <c r="V150" s="55" t="s">
        <v>947</v>
      </c>
      <c r="W150" s="82" t="s">
        <v>948</v>
      </c>
      <c r="X150" s="55" t="s">
        <v>813</v>
      </c>
      <c r="Y150" s="53" t="s">
        <v>916</v>
      </c>
      <c r="Z150" s="53" t="s">
        <v>949</v>
      </c>
      <c r="AA150" s="60" t="s">
        <v>918</v>
      </c>
    </row>
    <row r="151" spans="2:27" ht="80.25" hidden="1" customHeight="1" x14ac:dyDescent="0.35">
      <c r="B151" s="51" t="s">
        <v>21</v>
      </c>
      <c r="C151" s="51" t="s">
        <v>807</v>
      </c>
      <c r="D151" s="51" t="s">
        <v>22</v>
      </c>
      <c r="E151" s="52">
        <v>1</v>
      </c>
      <c r="F151" s="51" t="s">
        <v>950</v>
      </c>
      <c r="G151" s="51" t="s">
        <v>951</v>
      </c>
      <c r="H151" s="54" t="s">
        <v>430</v>
      </c>
      <c r="I151" s="52">
        <v>25</v>
      </c>
      <c r="J151" s="51" t="s">
        <v>123</v>
      </c>
      <c r="K151" s="52">
        <v>10</v>
      </c>
      <c r="L151" s="52"/>
      <c r="M151" s="52"/>
      <c r="N151" s="53" t="s">
        <v>952</v>
      </c>
      <c r="O151" s="53" t="s">
        <v>953</v>
      </c>
      <c r="P151" s="52"/>
      <c r="Q151" s="51"/>
      <c r="R151" s="55" t="s">
        <v>912</v>
      </c>
      <c r="S151" s="51" t="s">
        <v>913</v>
      </c>
      <c r="T151" s="55" t="s">
        <v>815</v>
      </c>
      <c r="U151" s="55" t="s">
        <v>816</v>
      </c>
      <c r="V151" s="55" t="s">
        <v>954</v>
      </c>
      <c r="W151" s="82" t="s">
        <v>955</v>
      </c>
      <c r="X151" s="55" t="s">
        <v>813</v>
      </c>
      <c r="Y151" s="53" t="s">
        <v>916</v>
      </c>
      <c r="Z151" s="53" t="s">
        <v>956</v>
      </c>
      <c r="AA151" s="60" t="s">
        <v>918</v>
      </c>
    </row>
    <row r="152" spans="2:27" ht="80.25" hidden="1" customHeight="1" x14ac:dyDescent="0.35">
      <c r="B152" s="51" t="s">
        <v>21</v>
      </c>
      <c r="C152" s="51" t="s">
        <v>807</v>
      </c>
      <c r="D152" s="51" t="s">
        <v>22</v>
      </c>
      <c r="E152" s="52">
        <v>1</v>
      </c>
      <c r="F152" s="51" t="s">
        <v>957</v>
      </c>
      <c r="G152" s="51" t="s">
        <v>958</v>
      </c>
      <c r="H152" s="51" t="s">
        <v>249</v>
      </c>
      <c r="I152" s="52">
        <v>26</v>
      </c>
      <c r="J152" s="51" t="s">
        <v>123</v>
      </c>
      <c r="K152" s="52">
        <v>18</v>
      </c>
      <c r="L152" s="52"/>
      <c r="M152" s="52"/>
      <c r="N152" s="53" t="s">
        <v>959</v>
      </c>
      <c r="O152" s="53" t="s">
        <v>960</v>
      </c>
      <c r="P152" s="52"/>
      <c r="Q152" s="51"/>
      <c r="R152" s="55"/>
      <c r="S152" s="51"/>
      <c r="T152" s="55" t="s">
        <v>815</v>
      </c>
      <c r="U152" s="55" t="s">
        <v>816</v>
      </c>
      <c r="V152" s="55" t="s">
        <v>961</v>
      </c>
      <c r="W152" s="82" t="s">
        <v>962</v>
      </c>
      <c r="X152" s="55" t="s">
        <v>813</v>
      </c>
      <c r="Y152" s="53" t="s">
        <v>916</v>
      </c>
      <c r="Z152" s="55" t="s">
        <v>963</v>
      </c>
      <c r="AA152" s="60" t="s">
        <v>918</v>
      </c>
    </row>
    <row r="153" spans="2:27" ht="80.25" hidden="1" customHeight="1" x14ac:dyDescent="0.35">
      <c r="B153" s="51" t="s">
        <v>21</v>
      </c>
      <c r="C153" s="51" t="s">
        <v>807</v>
      </c>
      <c r="D153" s="51" t="s">
        <v>22</v>
      </c>
      <c r="E153" s="52">
        <v>1</v>
      </c>
      <c r="F153" s="51" t="s">
        <v>964</v>
      </c>
      <c r="G153" s="51" t="s">
        <v>965</v>
      </c>
      <c r="H153" s="51" t="s">
        <v>249</v>
      </c>
      <c r="I153" s="52">
        <v>27</v>
      </c>
      <c r="J153" s="51" t="s">
        <v>250</v>
      </c>
      <c r="K153" s="52">
        <v>23</v>
      </c>
      <c r="L153" s="52">
        <v>6</v>
      </c>
      <c r="M153" s="52"/>
      <c r="N153" s="53" t="s">
        <v>966</v>
      </c>
      <c r="O153" s="53" t="s">
        <v>967</v>
      </c>
      <c r="P153" s="52"/>
      <c r="Q153" s="54"/>
      <c r="R153" s="53" t="s">
        <v>912</v>
      </c>
      <c r="S153" s="54" t="s">
        <v>968</v>
      </c>
      <c r="T153" s="55" t="s">
        <v>815</v>
      </c>
      <c r="U153" s="55" t="s">
        <v>816</v>
      </c>
      <c r="V153" s="55" t="s">
        <v>969</v>
      </c>
      <c r="W153" s="82" t="s">
        <v>970</v>
      </c>
      <c r="X153" s="55" t="s">
        <v>813</v>
      </c>
      <c r="Y153" s="53" t="s">
        <v>916</v>
      </c>
      <c r="Z153" s="68" t="s">
        <v>971</v>
      </c>
      <c r="AA153" s="60" t="s">
        <v>929</v>
      </c>
    </row>
    <row r="154" spans="2:27" ht="80.25" hidden="1" customHeight="1" x14ac:dyDescent="0.35">
      <c r="B154" s="51" t="s">
        <v>21</v>
      </c>
      <c r="C154" s="51" t="s">
        <v>807</v>
      </c>
      <c r="D154" s="51" t="s">
        <v>22</v>
      </c>
      <c r="E154" s="52">
        <v>1</v>
      </c>
      <c r="F154" s="51" t="s">
        <v>744</v>
      </c>
      <c r="G154" s="51" t="s">
        <v>745</v>
      </c>
      <c r="H154" s="54" t="s">
        <v>746</v>
      </c>
      <c r="I154" s="52">
        <v>28</v>
      </c>
      <c r="J154" s="51" t="s">
        <v>123</v>
      </c>
      <c r="K154" s="52">
        <v>4</v>
      </c>
      <c r="L154" s="52"/>
      <c r="M154" s="52"/>
      <c r="N154" s="53" t="s">
        <v>747</v>
      </c>
      <c r="O154" s="53" t="s">
        <v>748</v>
      </c>
      <c r="P154" s="52"/>
      <c r="Q154" s="53" t="s">
        <v>972</v>
      </c>
      <c r="R154" s="53"/>
      <c r="S154" s="54"/>
      <c r="T154" s="55" t="s">
        <v>815</v>
      </c>
      <c r="U154" s="55" t="s">
        <v>816</v>
      </c>
      <c r="V154" s="55" t="s">
        <v>244</v>
      </c>
      <c r="W154" s="82" t="s">
        <v>973</v>
      </c>
      <c r="X154" s="55" t="s">
        <v>813</v>
      </c>
      <c r="Y154" s="53" t="s">
        <v>916</v>
      </c>
      <c r="Z154" s="53" t="s">
        <v>974</v>
      </c>
      <c r="AA154" s="60" t="s">
        <v>918</v>
      </c>
    </row>
    <row r="155" spans="2:27" ht="80.25" hidden="1" customHeight="1" x14ac:dyDescent="0.35">
      <c r="B155" s="51" t="s">
        <v>21</v>
      </c>
      <c r="C155" s="51" t="s">
        <v>807</v>
      </c>
      <c r="D155" s="51" t="s">
        <v>22</v>
      </c>
      <c r="E155" s="52">
        <v>1</v>
      </c>
      <c r="F155" s="51" t="s">
        <v>755</v>
      </c>
      <c r="G155" s="51" t="s">
        <v>756</v>
      </c>
      <c r="H155" s="54" t="s">
        <v>746</v>
      </c>
      <c r="I155" s="52">
        <v>29</v>
      </c>
      <c r="J155" s="51" t="s">
        <v>123</v>
      </c>
      <c r="K155" s="52">
        <v>4</v>
      </c>
      <c r="L155" s="52"/>
      <c r="M155" s="52"/>
      <c r="N155" s="53" t="s">
        <v>975</v>
      </c>
      <c r="O155" s="53" t="s">
        <v>758</v>
      </c>
      <c r="P155" s="52"/>
      <c r="Q155" s="53" t="s">
        <v>976</v>
      </c>
      <c r="R155" s="53"/>
      <c r="S155" s="54"/>
      <c r="T155" s="55" t="s">
        <v>815</v>
      </c>
      <c r="U155" s="55" t="s">
        <v>816</v>
      </c>
      <c r="V155" s="55" t="s">
        <v>977</v>
      </c>
      <c r="W155" s="82" t="s">
        <v>978</v>
      </c>
      <c r="X155" s="55" t="s">
        <v>813</v>
      </c>
      <c r="Y155" s="53" t="s">
        <v>979</v>
      </c>
      <c r="Z155" s="53" t="s">
        <v>980</v>
      </c>
      <c r="AA155" s="60" t="s">
        <v>981</v>
      </c>
    </row>
    <row r="156" spans="2:27" ht="80.25" hidden="1" customHeight="1" x14ac:dyDescent="0.35">
      <c r="B156" s="51" t="s">
        <v>21</v>
      </c>
      <c r="C156" s="51" t="s">
        <v>807</v>
      </c>
      <c r="D156" s="51" t="s">
        <v>22</v>
      </c>
      <c r="E156" s="52">
        <v>1</v>
      </c>
      <c r="F156" s="51" t="s">
        <v>765</v>
      </c>
      <c r="G156" s="51" t="s">
        <v>766</v>
      </c>
      <c r="H156" s="54" t="s">
        <v>767</v>
      </c>
      <c r="I156" s="52">
        <v>30</v>
      </c>
      <c r="J156" s="51" t="s">
        <v>250</v>
      </c>
      <c r="K156" s="52">
        <v>23</v>
      </c>
      <c r="L156" s="52">
        <v>6</v>
      </c>
      <c r="M156" s="52"/>
      <c r="N156" s="53" t="s">
        <v>982</v>
      </c>
      <c r="O156" s="53" t="s">
        <v>769</v>
      </c>
      <c r="P156" s="52"/>
      <c r="Q156" s="54"/>
      <c r="R156" s="53"/>
      <c r="S156" s="54"/>
      <c r="T156" s="55" t="s">
        <v>815</v>
      </c>
      <c r="U156" s="55" t="s">
        <v>816</v>
      </c>
      <c r="V156" s="55" t="s">
        <v>983</v>
      </c>
      <c r="W156" s="82" t="s">
        <v>984</v>
      </c>
      <c r="X156" s="55" t="s">
        <v>813</v>
      </c>
      <c r="Y156" s="53" t="s">
        <v>979</v>
      </c>
      <c r="Z156" s="53" t="s">
        <v>985</v>
      </c>
      <c r="AA156" s="60" t="s">
        <v>986</v>
      </c>
    </row>
    <row r="157" spans="2:27" ht="80.25" hidden="1" customHeight="1" x14ac:dyDescent="0.35">
      <c r="B157" s="51" t="s">
        <v>21</v>
      </c>
      <c r="C157" s="51" t="s">
        <v>807</v>
      </c>
      <c r="D157" s="51" t="s">
        <v>22</v>
      </c>
      <c r="E157" s="52">
        <v>1</v>
      </c>
      <c r="F157" s="51" t="s">
        <v>775</v>
      </c>
      <c r="G157" s="51" t="s">
        <v>776</v>
      </c>
      <c r="H157" s="54" t="s">
        <v>767</v>
      </c>
      <c r="I157" s="52">
        <v>31</v>
      </c>
      <c r="J157" s="51" t="s">
        <v>250</v>
      </c>
      <c r="K157" s="52">
        <v>23</v>
      </c>
      <c r="L157" s="52">
        <v>6</v>
      </c>
      <c r="M157" s="52"/>
      <c r="N157" s="53" t="s">
        <v>987</v>
      </c>
      <c r="O157" s="53" t="s">
        <v>778</v>
      </c>
      <c r="P157" s="52"/>
      <c r="Q157" s="54"/>
      <c r="R157" s="53"/>
      <c r="S157" s="54"/>
      <c r="T157" s="55" t="s">
        <v>815</v>
      </c>
      <c r="U157" s="55" t="s">
        <v>816</v>
      </c>
      <c r="V157" s="55" t="s">
        <v>988</v>
      </c>
      <c r="W157" s="82" t="s">
        <v>989</v>
      </c>
      <c r="X157" s="55" t="s">
        <v>813</v>
      </c>
      <c r="Y157" s="53" t="s">
        <v>916</v>
      </c>
      <c r="Z157" s="53" t="s">
        <v>990</v>
      </c>
      <c r="AA157" s="60" t="s">
        <v>929</v>
      </c>
    </row>
    <row r="158" spans="2:27" ht="80.25" hidden="1" customHeight="1" x14ac:dyDescent="0.35">
      <c r="B158" s="51" t="s">
        <v>21</v>
      </c>
      <c r="C158" s="51" t="s">
        <v>807</v>
      </c>
      <c r="D158" s="51" t="s">
        <v>22</v>
      </c>
      <c r="E158" s="52">
        <v>1</v>
      </c>
      <c r="F158" s="51" t="s">
        <v>784</v>
      </c>
      <c r="G158" s="51" t="s">
        <v>785</v>
      </c>
      <c r="H158" s="54" t="s">
        <v>767</v>
      </c>
      <c r="I158" s="52">
        <v>32</v>
      </c>
      <c r="J158" s="51" t="s">
        <v>250</v>
      </c>
      <c r="K158" s="52">
        <v>23</v>
      </c>
      <c r="L158" s="52">
        <v>6</v>
      </c>
      <c r="M158" s="52"/>
      <c r="N158" s="53" t="s">
        <v>991</v>
      </c>
      <c r="O158" s="53" t="s">
        <v>787</v>
      </c>
      <c r="P158" s="52"/>
      <c r="Q158" s="54"/>
      <c r="R158" s="55" t="s">
        <v>788</v>
      </c>
      <c r="S158" s="51" t="s">
        <v>789</v>
      </c>
      <c r="T158" s="55" t="s">
        <v>815</v>
      </c>
      <c r="U158" s="55" t="s">
        <v>816</v>
      </c>
      <c r="V158" s="55" t="s">
        <v>992</v>
      </c>
      <c r="W158" s="82" t="s">
        <v>993</v>
      </c>
      <c r="X158" s="55" t="s">
        <v>813</v>
      </c>
      <c r="Y158" s="53" t="s">
        <v>916</v>
      </c>
      <c r="Z158" s="86" t="s">
        <v>994</v>
      </c>
      <c r="AA158" s="60" t="s">
        <v>929</v>
      </c>
    </row>
    <row r="159" spans="2:27" ht="80.25" hidden="1" customHeight="1" x14ac:dyDescent="0.35">
      <c r="B159" s="51" t="s">
        <v>21</v>
      </c>
      <c r="C159" s="51" t="s">
        <v>807</v>
      </c>
      <c r="D159" s="51" t="s">
        <v>22</v>
      </c>
      <c r="E159" s="52">
        <v>1</v>
      </c>
      <c r="F159" s="51" t="s">
        <v>293</v>
      </c>
      <c r="G159" s="51" t="s">
        <v>294</v>
      </c>
      <c r="H159" s="54" t="s">
        <v>295</v>
      </c>
      <c r="I159" s="52">
        <v>33</v>
      </c>
      <c r="J159" s="51" t="s">
        <v>123</v>
      </c>
      <c r="K159" s="52">
        <v>4</v>
      </c>
      <c r="L159" s="52"/>
      <c r="M159" s="52"/>
      <c r="N159" s="53" t="s">
        <v>296</v>
      </c>
      <c r="O159" s="53" t="s">
        <v>297</v>
      </c>
      <c r="P159" s="52"/>
      <c r="Q159" s="53" t="s">
        <v>995</v>
      </c>
      <c r="R159" s="55" t="s">
        <v>299</v>
      </c>
      <c r="S159" s="51" t="s">
        <v>300</v>
      </c>
      <c r="T159" s="55" t="s">
        <v>822</v>
      </c>
      <c r="U159" s="55" t="s">
        <v>811</v>
      </c>
      <c r="V159" s="55" t="s">
        <v>184</v>
      </c>
      <c r="W159" s="82" t="s">
        <v>996</v>
      </c>
      <c r="X159" s="55" t="s">
        <v>813</v>
      </c>
      <c r="Y159" s="53" t="s">
        <v>819</v>
      </c>
      <c r="Z159" s="53" t="s">
        <v>997</v>
      </c>
      <c r="AA159" s="60" t="s">
        <v>323</v>
      </c>
    </row>
    <row r="160" spans="2:27" ht="80.25" customHeight="1" x14ac:dyDescent="0.35">
      <c r="B160" s="51" t="s">
        <v>21</v>
      </c>
      <c r="C160" s="51" t="s">
        <v>807</v>
      </c>
      <c r="D160" s="51" t="s">
        <v>22</v>
      </c>
      <c r="E160" s="52">
        <v>1</v>
      </c>
      <c r="F160" s="51" t="s">
        <v>304</v>
      </c>
      <c r="G160" s="51" t="s">
        <v>305</v>
      </c>
      <c r="H160" s="54" t="s">
        <v>295</v>
      </c>
      <c r="I160" s="52">
        <v>34</v>
      </c>
      <c r="J160" s="51" t="s">
        <v>123</v>
      </c>
      <c r="K160" s="52">
        <v>4</v>
      </c>
      <c r="L160" s="52"/>
      <c r="M160" s="52"/>
      <c r="N160" s="53" t="s">
        <v>306</v>
      </c>
      <c r="O160" s="53" t="s">
        <v>307</v>
      </c>
      <c r="P160" s="52"/>
      <c r="Q160" s="53" t="s">
        <v>998</v>
      </c>
      <c r="R160" s="55" t="s">
        <v>203</v>
      </c>
      <c r="S160" s="51" t="s">
        <v>309</v>
      </c>
      <c r="T160" s="55" t="s">
        <v>822</v>
      </c>
      <c r="U160" s="55" t="s">
        <v>811</v>
      </c>
      <c r="V160" s="55" t="s">
        <v>184</v>
      </c>
      <c r="W160" s="82" t="s">
        <v>999</v>
      </c>
      <c r="X160" s="55" t="s">
        <v>813</v>
      </c>
      <c r="Y160" s="65" t="s">
        <v>323</v>
      </c>
      <c r="Z160" s="55" t="s">
        <v>323</v>
      </c>
      <c r="AA160" s="60" t="s">
        <v>1000</v>
      </c>
    </row>
    <row r="161" spans="2:27" ht="80.25" hidden="1" customHeight="1" x14ac:dyDescent="0.35">
      <c r="B161" s="51" t="s">
        <v>21</v>
      </c>
      <c r="C161" s="51" t="s">
        <v>807</v>
      </c>
      <c r="D161" s="51" t="s">
        <v>22</v>
      </c>
      <c r="E161" s="52">
        <v>1</v>
      </c>
      <c r="F161" s="51" t="s">
        <v>317</v>
      </c>
      <c r="G161" s="51" t="s">
        <v>318</v>
      </c>
      <c r="H161" s="51" t="s">
        <v>319</v>
      </c>
      <c r="I161" s="52">
        <v>35</v>
      </c>
      <c r="J161" s="51" t="s">
        <v>123</v>
      </c>
      <c r="K161" s="52">
        <v>2</v>
      </c>
      <c r="L161" s="52"/>
      <c r="M161" s="52"/>
      <c r="N161" s="53" t="s">
        <v>320</v>
      </c>
      <c r="O161" s="53" t="s">
        <v>321</v>
      </c>
      <c r="P161" s="52"/>
      <c r="Q161" s="53" t="s">
        <v>1001</v>
      </c>
      <c r="R161" s="55"/>
      <c r="S161" s="51"/>
      <c r="T161" s="55" t="s">
        <v>815</v>
      </c>
      <c r="U161" s="55" t="s">
        <v>816</v>
      </c>
      <c r="V161" s="55" t="s">
        <v>244</v>
      </c>
      <c r="W161" s="82" t="s">
        <v>1002</v>
      </c>
      <c r="X161" s="55" t="s">
        <v>813</v>
      </c>
      <c r="Y161" s="53" t="s">
        <v>323</v>
      </c>
      <c r="Z161" s="53" t="s">
        <v>323</v>
      </c>
      <c r="AA161" s="60" t="s">
        <v>1003</v>
      </c>
    </row>
    <row r="162" spans="2:27" ht="80.25" hidden="1" customHeight="1" x14ac:dyDescent="0.35">
      <c r="B162" s="51" t="s">
        <v>21</v>
      </c>
      <c r="C162" s="51" t="s">
        <v>807</v>
      </c>
      <c r="D162" s="51" t="s">
        <v>22</v>
      </c>
      <c r="E162" s="52">
        <v>1</v>
      </c>
      <c r="F162" s="51" t="s">
        <v>326</v>
      </c>
      <c r="G162" s="51" t="s">
        <v>327</v>
      </c>
      <c r="H162" s="51" t="s">
        <v>328</v>
      </c>
      <c r="I162" s="52">
        <v>36</v>
      </c>
      <c r="J162" s="51" t="s">
        <v>123</v>
      </c>
      <c r="K162" s="52">
        <v>10</v>
      </c>
      <c r="L162" s="52"/>
      <c r="M162" s="52"/>
      <c r="N162" s="53" t="s">
        <v>329</v>
      </c>
      <c r="O162" s="53" t="s">
        <v>361</v>
      </c>
      <c r="P162" s="52" t="s">
        <v>126</v>
      </c>
      <c r="Q162" s="51"/>
      <c r="R162" s="55" t="s">
        <v>275</v>
      </c>
      <c r="S162" s="51" t="s">
        <v>803</v>
      </c>
      <c r="T162" s="55" t="s">
        <v>815</v>
      </c>
      <c r="U162" s="55" t="s">
        <v>816</v>
      </c>
      <c r="V162" s="55" t="s">
        <v>1004</v>
      </c>
      <c r="W162" s="82" t="s">
        <v>1005</v>
      </c>
      <c r="X162" s="53" t="s">
        <v>323</v>
      </c>
      <c r="Y162" s="53" t="s">
        <v>323</v>
      </c>
      <c r="Z162" s="53" t="s">
        <v>323</v>
      </c>
      <c r="AA162" s="60" t="s">
        <v>323</v>
      </c>
    </row>
    <row r="163" spans="2:27" ht="80.25" hidden="1" customHeight="1" x14ac:dyDescent="0.35">
      <c r="B163" s="51" t="s">
        <v>21</v>
      </c>
      <c r="C163" s="51" t="s">
        <v>807</v>
      </c>
      <c r="D163" s="51" t="s">
        <v>22</v>
      </c>
      <c r="E163" s="52">
        <v>1</v>
      </c>
      <c r="F163" s="51" t="s">
        <v>333</v>
      </c>
      <c r="G163" s="51" t="s">
        <v>334</v>
      </c>
      <c r="H163" s="51" t="s">
        <v>335</v>
      </c>
      <c r="I163" s="52">
        <v>37</v>
      </c>
      <c r="J163" s="51" t="s">
        <v>336</v>
      </c>
      <c r="K163" s="52">
        <v>23</v>
      </c>
      <c r="L163" s="52"/>
      <c r="M163" s="52"/>
      <c r="N163" s="53" t="s">
        <v>337</v>
      </c>
      <c r="O163" s="53" t="s">
        <v>338</v>
      </c>
      <c r="P163" s="52"/>
      <c r="Q163" s="54"/>
      <c r="R163" s="55"/>
      <c r="S163" s="51"/>
      <c r="T163" s="55" t="s">
        <v>815</v>
      </c>
      <c r="U163" s="55" t="s">
        <v>816</v>
      </c>
      <c r="V163" s="55" t="s">
        <v>244</v>
      </c>
      <c r="W163" s="82" t="s">
        <v>1006</v>
      </c>
      <c r="X163" s="53" t="s">
        <v>323</v>
      </c>
      <c r="Y163" s="53" t="s">
        <v>323</v>
      </c>
      <c r="Z163" s="53" t="s">
        <v>323</v>
      </c>
      <c r="AA163" s="60" t="s">
        <v>323</v>
      </c>
    </row>
    <row r="164" spans="2:27" ht="80.25" hidden="1" customHeight="1" x14ac:dyDescent="0.35">
      <c r="B164" s="51" t="s">
        <v>21</v>
      </c>
      <c r="C164" s="51" t="s">
        <v>1007</v>
      </c>
      <c r="D164" s="51" t="s">
        <v>24</v>
      </c>
      <c r="E164" s="52">
        <v>2</v>
      </c>
      <c r="F164" s="51" t="s">
        <v>120</v>
      </c>
      <c r="G164" s="51" t="s">
        <v>121</v>
      </c>
      <c r="H164" s="51" t="s">
        <v>122</v>
      </c>
      <c r="I164" s="52">
        <v>1</v>
      </c>
      <c r="J164" s="51" t="s">
        <v>123</v>
      </c>
      <c r="K164" s="52">
        <v>4</v>
      </c>
      <c r="L164" s="52"/>
      <c r="M164" s="52"/>
      <c r="N164" s="328" t="s">
        <v>124</v>
      </c>
      <c r="O164" s="53" t="s">
        <v>125</v>
      </c>
      <c r="P164" s="52" t="s">
        <v>126</v>
      </c>
      <c r="Q164" s="51"/>
      <c r="R164" s="55"/>
      <c r="S164" s="51"/>
      <c r="T164" s="55" t="s">
        <v>1008</v>
      </c>
      <c r="U164" s="55" t="s">
        <v>1009</v>
      </c>
      <c r="V164" s="55" t="s">
        <v>369</v>
      </c>
      <c r="W164" s="82" t="s">
        <v>1010</v>
      </c>
      <c r="X164" s="51" t="s">
        <v>1011</v>
      </c>
      <c r="Y164" s="54" t="s">
        <v>372</v>
      </c>
      <c r="Z164" s="54" t="s">
        <v>372</v>
      </c>
      <c r="AA164" s="52" t="s">
        <v>373</v>
      </c>
    </row>
    <row r="165" spans="2:27" ht="80.25" hidden="1" customHeight="1" x14ac:dyDescent="0.35">
      <c r="B165" s="51" t="s">
        <v>21</v>
      </c>
      <c r="C165" s="51" t="s">
        <v>1007</v>
      </c>
      <c r="D165" s="51" t="s">
        <v>24</v>
      </c>
      <c r="E165" s="52">
        <v>2</v>
      </c>
      <c r="F165" s="51" t="s">
        <v>574</v>
      </c>
      <c r="G165" s="51" t="s">
        <v>575</v>
      </c>
      <c r="H165" s="51" t="s">
        <v>122</v>
      </c>
      <c r="I165" s="52">
        <v>2</v>
      </c>
      <c r="J165" s="51" t="s">
        <v>123</v>
      </c>
      <c r="K165" s="52">
        <v>15</v>
      </c>
      <c r="L165" s="52"/>
      <c r="M165" s="52"/>
      <c r="N165" s="53" t="s">
        <v>1012</v>
      </c>
      <c r="O165" s="53" t="s">
        <v>577</v>
      </c>
      <c r="P165" s="52" t="s">
        <v>126</v>
      </c>
      <c r="Q165" s="51"/>
      <c r="R165" s="55"/>
      <c r="S165" s="51"/>
      <c r="T165" s="51" t="s">
        <v>1013</v>
      </c>
      <c r="U165" s="51" t="s">
        <v>1014</v>
      </c>
      <c r="V165" s="51" t="s">
        <v>1015</v>
      </c>
      <c r="W165" s="82" t="s">
        <v>1016</v>
      </c>
      <c r="X165" s="51" t="s">
        <v>1011</v>
      </c>
      <c r="Y165" s="54" t="s">
        <v>1014</v>
      </c>
      <c r="Z165" s="65" t="s">
        <v>582</v>
      </c>
      <c r="AA165" s="52" t="s">
        <v>372</v>
      </c>
    </row>
    <row r="166" spans="2:27" ht="80.25" hidden="1" customHeight="1" x14ac:dyDescent="0.35">
      <c r="B166" s="51" t="s">
        <v>21</v>
      </c>
      <c r="C166" s="51" t="s">
        <v>1007</v>
      </c>
      <c r="D166" s="51" t="s">
        <v>24</v>
      </c>
      <c r="E166" s="52">
        <v>2</v>
      </c>
      <c r="F166" s="51" t="s">
        <v>148</v>
      </c>
      <c r="G166" s="51" t="s">
        <v>149</v>
      </c>
      <c r="H166" s="54" t="s">
        <v>150</v>
      </c>
      <c r="I166" s="52">
        <v>3</v>
      </c>
      <c r="J166" s="51" t="s">
        <v>123</v>
      </c>
      <c r="K166" s="52">
        <v>4</v>
      </c>
      <c r="L166" s="52"/>
      <c r="M166" s="52"/>
      <c r="N166" s="53" t="s">
        <v>151</v>
      </c>
      <c r="O166" s="53" t="s">
        <v>152</v>
      </c>
      <c r="P166" s="52"/>
      <c r="Q166" s="53" t="s">
        <v>586</v>
      </c>
      <c r="R166" s="55"/>
      <c r="S166" s="51"/>
      <c r="T166" s="55" t="s">
        <v>1008</v>
      </c>
      <c r="U166" s="55" t="s">
        <v>1009</v>
      </c>
      <c r="V166" s="55" t="s">
        <v>369</v>
      </c>
      <c r="W166" s="82" t="s">
        <v>1017</v>
      </c>
      <c r="X166" s="51" t="s">
        <v>372</v>
      </c>
      <c r="Y166" s="54" t="s">
        <v>372</v>
      </c>
      <c r="Z166" s="54" t="s">
        <v>372</v>
      </c>
      <c r="AA166" s="52" t="s">
        <v>372</v>
      </c>
    </row>
    <row r="167" spans="2:27" ht="80.25" hidden="1" customHeight="1" x14ac:dyDescent="0.35">
      <c r="B167" s="51" t="s">
        <v>21</v>
      </c>
      <c r="C167" s="51" t="s">
        <v>1007</v>
      </c>
      <c r="D167" s="51" t="s">
        <v>24</v>
      </c>
      <c r="E167" s="52">
        <v>2</v>
      </c>
      <c r="F167" s="51" t="s">
        <v>155</v>
      </c>
      <c r="G167" s="51" t="s">
        <v>156</v>
      </c>
      <c r="H167" s="54" t="s">
        <v>150</v>
      </c>
      <c r="I167" s="52">
        <v>3</v>
      </c>
      <c r="J167" s="51" t="s">
        <v>123</v>
      </c>
      <c r="K167" s="52">
        <v>4</v>
      </c>
      <c r="L167" s="52"/>
      <c r="M167" s="52"/>
      <c r="N167" s="53" t="s">
        <v>157</v>
      </c>
      <c r="O167" s="53" t="s">
        <v>158</v>
      </c>
      <c r="P167" s="52"/>
      <c r="Q167" s="55" t="s">
        <v>599</v>
      </c>
      <c r="R167" s="55"/>
      <c r="S167" s="51"/>
      <c r="T167" s="51" t="s">
        <v>1013</v>
      </c>
      <c r="U167" s="51" t="s">
        <v>1014</v>
      </c>
      <c r="V167" s="51" t="s">
        <v>590</v>
      </c>
      <c r="W167" s="82" t="s">
        <v>1018</v>
      </c>
      <c r="X167" s="51" t="s">
        <v>1011</v>
      </c>
      <c r="Y167" s="54" t="s">
        <v>1014</v>
      </c>
      <c r="Z167" s="54" t="s">
        <v>590</v>
      </c>
      <c r="AA167" s="52" t="s">
        <v>372</v>
      </c>
    </row>
    <row r="168" spans="2:27" ht="80.25" hidden="1" customHeight="1" x14ac:dyDescent="0.35">
      <c r="B168" s="51" t="s">
        <v>21</v>
      </c>
      <c r="C168" s="51" t="s">
        <v>1007</v>
      </c>
      <c r="D168" s="51" t="s">
        <v>24</v>
      </c>
      <c r="E168" s="52">
        <v>2</v>
      </c>
      <c r="F168" s="51" t="s">
        <v>167</v>
      </c>
      <c r="G168" s="51" t="s">
        <v>168</v>
      </c>
      <c r="H168" s="54" t="s">
        <v>150</v>
      </c>
      <c r="I168" s="52">
        <v>3</v>
      </c>
      <c r="J168" s="51" t="s">
        <v>123</v>
      </c>
      <c r="K168" s="52">
        <v>4</v>
      </c>
      <c r="L168" s="52"/>
      <c r="M168" s="52"/>
      <c r="N168" s="53" t="s">
        <v>169</v>
      </c>
      <c r="O168" s="53" t="s">
        <v>170</v>
      </c>
      <c r="P168" s="52"/>
      <c r="Q168" s="53" t="s">
        <v>592</v>
      </c>
      <c r="R168" s="55"/>
      <c r="S168" s="51"/>
      <c r="T168" s="51" t="s">
        <v>1013</v>
      </c>
      <c r="U168" s="51" t="s">
        <v>1014</v>
      </c>
      <c r="V168" s="51" t="s">
        <v>593</v>
      </c>
      <c r="W168" s="82" t="s">
        <v>1019</v>
      </c>
      <c r="X168" s="51" t="s">
        <v>1011</v>
      </c>
      <c r="Y168" s="54" t="s">
        <v>1014</v>
      </c>
      <c r="Z168" s="54" t="s">
        <v>593</v>
      </c>
      <c r="AA168" s="52" t="s">
        <v>372</v>
      </c>
    </row>
    <row r="169" spans="2:27" ht="80.25" hidden="1" customHeight="1" x14ac:dyDescent="0.35">
      <c r="B169" s="51" t="s">
        <v>21</v>
      </c>
      <c r="C169" s="51" t="s">
        <v>1007</v>
      </c>
      <c r="D169" s="51" t="s">
        <v>24</v>
      </c>
      <c r="E169" s="52">
        <v>2</v>
      </c>
      <c r="F169" s="51" t="s">
        <v>176</v>
      </c>
      <c r="G169" s="51" t="s">
        <v>177</v>
      </c>
      <c r="H169" s="54" t="s">
        <v>150</v>
      </c>
      <c r="I169" s="52">
        <v>6</v>
      </c>
      <c r="J169" s="51" t="s">
        <v>123</v>
      </c>
      <c r="K169" s="52">
        <v>4</v>
      </c>
      <c r="L169" s="52"/>
      <c r="M169" s="52"/>
      <c r="N169" s="53" t="s">
        <v>1020</v>
      </c>
      <c r="O169" s="53" t="s">
        <v>179</v>
      </c>
      <c r="P169" s="52"/>
      <c r="Q169" s="51"/>
      <c r="R169" s="55"/>
      <c r="S169" s="51"/>
      <c r="T169" s="51" t="s">
        <v>1013</v>
      </c>
      <c r="U169" s="51" t="s">
        <v>1014</v>
      </c>
      <c r="V169" s="51" t="s">
        <v>372</v>
      </c>
      <c r="W169" s="355" t="s">
        <v>1021</v>
      </c>
      <c r="X169" s="51" t="s">
        <v>1011</v>
      </c>
      <c r="Y169" s="69" t="s">
        <v>372</v>
      </c>
      <c r="Z169" s="51" t="s">
        <v>372</v>
      </c>
      <c r="AA169" s="52" t="s">
        <v>373</v>
      </c>
    </row>
    <row r="170" spans="2:27" ht="80.25" hidden="1" customHeight="1" x14ac:dyDescent="0.35">
      <c r="B170" s="51" t="s">
        <v>21</v>
      </c>
      <c r="C170" s="51" t="s">
        <v>1007</v>
      </c>
      <c r="D170" s="51" t="s">
        <v>24</v>
      </c>
      <c r="E170" s="52">
        <v>2</v>
      </c>
      <c r="F170" s="51" t="s">
        <v>187</v>
      </c>
      <c r="G170" s="51" t="s">
        <v>188</v>
      </c>
      <c r="H170" s="54" t="s">
        <v>150</v>
      </c>
      <c r="I170" s="52">
        <v>7</v>
      </c>
      <c r="J170" s="51" t="s">
        <v>123</v>
      </c>
      <c r="K170" s="52">
        <v>30</v>
      </c>
      <c r="L170" s="52"/>
      <c r="M170" s="52"/>
      <c r="N170" s="53" t="s">
        <v>1022</v>
      </c>
      <c r="O170" s="53" t="s">
        <v>190</v>
      </c>
      <c r="P170" s="52"/>
      <c r="Q170" s="51"/>
      <c r="R170" s="55"/>
      <c r="S170" s="51"/>
      <c r="T170" s="55" t="s">
        <v>1023</v>
      </c>
      <c r="U170" s="55" t="s">
        <v>1024</v>
      </c>
      <c r="V170" s="55" t="s">
        <v>1025</v>
      </c>
      <c r="W170" s="82" t="s">
        <v>1026</v>
      </c>
      <c r="X170" s="51" t="s">
        <v>1027</v>
      </c>
      <c r="Y170" s="54" t="s">
        <v>1028</v>
      </c>
      <c r="Z170" s="65" t="s">
        <v>1029</v>
      </c>
      <c r="AA170" s="52" t="s">
        <v>372</v>
      </c>
    </row>
    <row r="171" spans="2:27" ht="80.25" hidden="1" customHeight="1" x14ac:dyDescent="0.35">
      <c r="B171" s="51" t="s">
        <v>21</v>
      </c>
      <c r="C171" s="51" t="s">
        <v>1007</v>
      </c>
      <c r="D171" s="51" t="s">
        <v>24</v>
      </c>
      <c r="E171" s="52">
        <v>2</v>
      </c>
      <c r="F171" s="51" t="s">
        <v>198</v>
      </c>
      <c r="G171" s="51" t="s">
        <v>199</v>
      </c>
      <c r="H171" s="54" t="s">
        <v>200</v>
      </c>
      <c r="I171" s="52">
        <v>8</v>
      </c>
      <c r="J171" s="51" t="s">
        <v>123</v>
      </c>
      <c r="K171" s="52">
        <v>10</v>
      </c>
      <c r="L171" s="52"/>
      <c r="M171" s="52"/>
      <c r="N171" s="53" t="s">
        <v>1030</v>
      </c>
      <c r="O171" s="53" t="s">
        <v>202</v>
      </c>
      <c r="P171" s="52"/>
      <c r="Q171" s="51"/>
      <c r="R171" s="55"/>
      <c r="S171" s="51"/>
      <c r="T171" s="51" t="s">
        <v>1013</v>
      </c>
      <c r="U171" s="51" t="s">
        <v>1014</v>
      </c>
      <c r="V171" s="51" t="s">
        <v>1031</v>
      </c>
      <c r="W171" s="82" t="s">
        <v>1032</v>
      </c>
      <c r="X171" s="51" t="s">
        <v>1011</v>
      </c>
      <c r="Y171" s="54" t="s">
        <v>1014</v>
      </c>
      <c r="Z171" s="54" t="s">
        <v>1033</v>
      </c>
      <c r="AA171" s="52" t="s">
        <v>372</v>
      </c>
    </row>
    <row r="172" spans="2:27" ht="80.25" hidden="1" customHeight="1" x14ac:dyDescent="0.35">
      <c r="B172" s="51" t="s">
        <v>21</v>
      </c>
      <c r="C172" s="51" t="s">
        <v>1007</v>
      </c>
      <c r="D172" s="51" t="s">
        <v>24</v>
      </c>
      <c r="E172" s="52">
        <v>2</v>
      </c>
      <c r="F172" s="51" t="s">
        <v>210</v>
      </c>
      <c r="G172" s="51" t="s">
        <v>211</v>
      </c>
      <c r="H172" s="54" t="s">
        <v>200</v>
      </c>
      <c r="I172" s="52">
        <v>9</v>
      </c>
      <c r="J172" s="51" t="s">
        <v>123</v>
      </c>
      <c r="K172" s="52">
        <v>10</v>
      </c>
      <c r="L172" s="52"/>
      <c r="M172" s="52"/>
      <c r="N172" s="53" t="s">
        <v>212</v>
      </c>
      <c r="O172" s="53" t="s">
        <v>213</v>
      </c>
      <c r="P172" s="52"/>
      <c r="Q172" s="51"/>
      <c r="R172" s="55"/>
      <c r="S172" s="51"/>
      <c r="T172" s="55" t="s">
        <v>1008</v>
      </c>
      <c r="U172" s="55" t="s">
        <v>1009</v>
      </c>
      <c r="V172" s="55" t="s">
        <v>369</v>
      </c>
      <c r="W172" s="82" t="s">
        <v>1034</v>
      </c>
      <c r="X172" s="51" t="s">
        <v>1011</v>
      </c>
      <c r="Y172" s="54" t="s">
        <v>372</v>
      </c>
      <c r="Z172" s="54" t="s">
        <v>372</v>
      </c>
      <c r="AA172" s="64" t="s">
        <v>636</v>
      </c>
    </row>
    <row r="173" spans="2:27" ht="80.25" hidden="1" customHeight="1" x14ac:dyDescent="0.35">
      <c r="B173" s="51" t="s">
        <v>21</v>
      </c>
      <c r="C173" s="51" t="s">
        <v>1007</v>
      </c>
      <c r="D173" s="51" t="s">
        <v>24</v>
      </c>
      <c r="E173" s="52">
        <v>2</v>
      </c>
      <c r="F173" s="51" t="s">
        <v>222</v>
      </c>
      <c r="G173" s="51" t="s">
        <v>223</v>
      </c>
      <c r="H173" s="54" t="s">
        <v>224</v>
      </c>
      <c r="I173" s="52">
        <v>10</v>
      </c>
      <c r="J173" s="51" t="s">
        <v>123</v>
      </c>
      <c r="K173" s="52">
        <v>4</v>
      </c>
      <c r="L173" s="52"/>
      <c r="M173" s="52"/>
      <c r="N173" s="53" t="s">
        <v>1035</v>
      </c>
      <c r="O173" s="53" t="s">
        <v>226</v>
      </c>
      <c r="P173" s="52"/>
      <c r="Q173" s="55" t="s">
        <v>419</v>
      </c>
      <c r="R173" s="55"/>
      <c r="S173" s="51"/>
      <c r="T173" s="51" t="s">
        <v>1013</v>
      </c>
      <c r="U173" s="51" t="s">
        <v>1014</v>
      </c>
      <c r="V173" s="51" t="s">
        <v>427</v>
      </c>
      <c r="W173" s="82" t="s">
        <v>1036</v>
      </c>
      <c r="X173" s="51" t="s">
        <v>1011</v>
      </c>
      <c r="Y173" s="54" t="s">
        <v>1014</v>
      </c>
      <c r="Z173" s="54" t="s">
        <v>427</v>
      </c>
      <c r="AA173" s="52" t="s">
        <v>372</v>
      </c>
    </row>
    <row r="174" spans="2:27" ht="80.25" hidden="1" customHeight="1" x14ac:dyDescent="0.35">
      <c r="B174" s="51" t="s">
        <v>21</v>
      </c>
      <c r="C174" s="51" t="s">
        <v>1007</v>
      </c>
      <c r="D174" s="51" t="s">
        <v>24</v>
      </c>
      <c r="E174" s="52">
        <v>2</v>
      </c>
      <c r="F174" s="51" t="s">
        <v>260</v>
      </c>
      <c r="G174" s="51" t="s">
        <v>261</v>
      </c>
      <c r="H174" s="51" t="s">
        <v>249</v>
      </c>
      <c r="I174" s="52">
        <v>11</v>
      </c>
      <c r="J174" s="51" t="s">
        <v>250</v>
      </c>
      <c r="K174" s="52">
        <v>23</v>
      </c>
      <c r="L174" s="52">
        <v>6</v>
      </c>
      <c r="M174" s="52"/>
      <c r="N174" s="53" t="s">
        <v>1037</v>
      </c>
      <c r="O174" s="53" t="s">
        <v>263</v>
      </c>
      <c r="P174" s="52"/>
      <c r="Q174" s="54"/>
      <c r="R174" s="53" t="s">
        <v>203</v>
      </c>
      <c r="S174" s="54" t="s">
        <v>253</v>
      </c>
      <c r="T174" s="51" t="s">
        <v>1013</v>
      </c>
      <c r="U174" s="51" t="s">
        <v>1014</v>
      </c>
      <c r="V174" s="51" t="s">
        <v>1038</v>
      </c>
      <c r="W174" s="82" t="s">
        <v>1039</v>
      </c>
      <c r="X174" s="51" t="s">
        <v>1011</v>
      </c>
      <c r="Y174" s="53" t="s">
        <v>1014</v>
      </c>
      <c r="Z174" s="54" t="s">
        <v>1038</v>
      </c>
      <c r="AA174" s="52" t="s">
        <v>372</v>
      </c>
    </row>
    <row r="175" spans="2:27" ht="80.25" hidden="1" customHeight="1" x14ac:dyDescent="0.35">
      <c r="B175" s="51" t="s">
        <v>21</v>
      </c>
      <c r="C175" s="51" t="s">
        <v>1007</v>
      </c>
      <c r="D175" s="51" t="s">
        <v>24</v>
      </c>
      <c r="E175" s="52">
        <v>2</v>
      </c>
      <c r="F175" s="51" t="s">
        <v>657</v>
      </c>
      <c r="G175" s="51" t="s">
        <v>658</v>
      </c>
      <c r="H175" s="54" t="s">
        <v>295</v>
      </c>
      <c r="I175" s="52">
        <v>12</v>
      </c>
      <c r="J175" s="51" t="s">
        <v>123</v>
      </c>
      <c r="K175" s="52">
        <v>4</v>
      </c>
      <c r="L175" s="52"/>
      <c r="M175" s="52"/>
      <c r="N175" s="53" t="s">
        <v>659</v>
      </c>
      <c r="O175" s="53" t="s">
        <v>660</v>
      </c>
      <c r="P175" s="52"/>
      <c r="Q175" s="53" t="s">
        <v>1040</v>
      </c>
      <c r="R175" s="55"/>
      <c r="S175" s="51"/>
      <c r="T175" s="55" t="s">
        <v>1008</v>
      </c>
      <c r="U175" s="55" t="s">
        <v>1009</v>
      </c>
      <c r="V175" s="55" t="s">
        <v>369</v>
      </c>
      <c r="W175" s="82" t="s">
        <v>1041</v>
      </c>
      <c r="X175" s="51" t="s">
        <v>1011</v>
      </c>
      <c r="Y175" s="54" t="s">
        <v>1014</v>
      </c>
      <c r="Z175" s="54" t="s">
        <v>1042</v>
      </c>
      <c r="AA175" s="52" t="s">
        <v>372</v>
      </c>
    </row>
    <row r="176" spans="2:27" ht="80.25" customHeight="1" x14ac:dyDescent="0.35">
      <c r="B176" s="51" t="s">
        <v>21</v>
      </c>
      <c r="C176" s="51" t="s">
        <v>1007</v>
      </c>
      <c r="D176" s="51" t="s">
        <v>24</v>
      </c>
      <c r="E176" s="52">
        <v>2</v>
      </c>
      <c r="F176" s="51" t="s">
        <v>666</v>
      </c>
      <c r="G176" s="51" t="s">
        <v>667</v>
      </c>
      <c r="H176" s="54" t="s">
        <v>295</v>
      </c>
      <c r="I176" s="52">
        <v>13</v>
      </c>
      <c r="J176" s="51" t="s">
        <v>123</v>
      </c>
      <c r="K176" s="52">
        <v>4</v>
      </c>
      <c r="L176" s="52"/>
      <c r="M176" s="52"/>
      <c r="N176" s="53" t="s">
        <v>668</v>
      </c>
      <c r="O176" s="53" t="s">
        <v>669</v>
      </c>
      <c r="P176" s="52"/>
      <c r="Q176" s="55" t="s">
        <v>670</v>
      </c>
      <c r="R176" s="63"/>
      <c r="S176" s="61"/>
      <c r="T176" s="55" t="s">
        <v>1008</v>
      </c>
      <c r="U176" s="55" t="s">
        <v>1009</v>
      </c>
      <c r="V176" s="55" t="s">
        <v>369</v>
      </c>
      <c r="W176" s="82" t="s">
        <v>1043</v>
      </c>
      <c r="X176" s="51" t="s">
        <v>1011</v>
      </c>
      <c r="Y176" s="69" t="s">
        <v>372</v>
      </c>
      <c r="Z176" s="51" t="s">
        <v>372</v>
      </c>
      <c r="AA176" s="60" t="s">
        <v>1044</v>
      </c>
    </row>
    <row r="177" spans="2:27" ht="80.25" hidden="1" customHeight="1" x14ac:dyDescent="0.35">
      <c r="B177" s="51" t="s">
        <v>21</v>
      </c>
      <c r="C177" s="51" t="s">
        <v>1007</v>
      </c>
      <c r="D177" s="51" t="s">
        <v>24</v>
      </c>
      <c r="E177" s="52">
        <v>2</v>
      </c>
      <c r="F177" s="51" t="s">
        <v>326</v>
      </c>
      <c r="G177" s="51" t="s">
        <v>327</v>
      </c>
      <c r="H177" s="51" t="s">
        <v>328</v>
      </c>
      <c r="I177" s="52">
        <v>14</v>
      </c>
      <c r="J177" s="51" t="s">
        <v>123</v>
      </c>
      <c r="K177" s="52">
        <v>10</v>
      </c>
      <c r="L177" s="52"/>
      <c r="M177" s="52"/>
      <c r="N177" s="53" t="s">
        <v>329</v>
      </c>
      <c r="O177" s="53" t="s">
        <v>361</v>
      </c>
      <c r="P177" s="52" t="s">
        <v>126</v>
      </c>
      <c r="Q177" s="51"/>
      <c r="R177" s="55"/>
      <c r="S177" s="51"/>
      <c r="T177" s="51" t="s">
        <v>1013</v>
      </c>
      <c r="U177" s="51" t="s">
        <v>1014</v>
      </c>
      <c r="V177" s="51" t="s">
        <v>678</v>
      </c>
      <c r="W177" s="82" t="s">
        <v>1045</v>
      </c>
      <c r="X177" s="51" t="s">
        <v>372</v>
      </c>
      <c r="Y177" s="54" t="s">
        <v>372</v>
      </c>
      <c r="Z177" s="54" t="s">
        <v>372</v>
      </c>
      <c r="AA177" s="52" t="s">
        <v>372</v>
      </c>
    </row>
    <row r="178" spans="2:27" ht="80.25" hidden="1" customHeight="1" x14ac:dyDescent="0.35">
      <c r="B178" s="51" t="s">
        <v>21</v>
      </c>
      <c r="C178" s="51" t="s">
        <v>1007</v>
      </c>
      <c r="D178" s="51" t="s">
        <v>24</v>
      </c>
      <c r="E178" s="52">
        <v>2</v>
      </c>
      <c r="F178" s="51" t="s">
        <v>333</v>
      </c>
      <c r="G178" s="51" t="s">
        <v>334</v>
      </c>
      <c r="H178" s="51" t="s">
        <v>335</v>
      </c>
      <c r="I178" s="52">
        <v>15</v>
      </c>
      <c r="J178" s="51" t="s">
        <v>336</v>
      </c>
      <c r="K178" s="52">
        <v>23</v>
      </c>
      <c r="L178" s="52"/>
      <c r="M178" s="52"/>
      <c r="N178" s="53" t="s">
        <v>337</v>
      </c>
      <c r="O178" s="53" t="s">
        <v>338</v>
      </c>
      <c r="P178" s="52"/>
      <c r="Q178" s="51"/>
      <c r="R178" s="55"/>
      <c r="S178" s="51"/>
      <c r="T178" s="51" t="s">
        <v>1013</v>
      </c>
      <c r="U178" s="51" t="s">
        <v>1014</v>
      </c>
      <c r="V178" s="51" t="s">
        <v>372</v>
      </c>
      <c r="W178" s="82" t="s">
        <v>1046</v>
      </c>
      <c r="X178" s="51" t="s">
        <v>372</v>
      </c>
      <c r="Y178" s="54" t="s">
        <v>372</v>
      </c>
      <c r="Z178" s="54" t="s">
        <v>372</v>
      </c>
      <c r="AA178" s="52" t="s">
        <v>372</v>
      </c>
    </row>
    <row r="179" spans="2:27" ht="80.25" hidden="1" customHeight="1" x14ac:dyDescent="0.35">
      <c r="B179" s="363" t="s">
        <v>340</v>
      </c>
      <c r="C179" s="363" t="s">
        <v>1047</v>
      </c>
      <c r="D179" s="363" t="s">
        <v>26</v>
      </c>
      <c r="E179" s="364">
        <v>0</v>
      </c>
      <c r="F179" s="363" t="s">
        <v>120</v>
      </c>
      <c r="G179" s="363" t="s">
        <v>121</v>
      </c>
      <c r="H179" s="365" t="s">
        <v>122</v>
      </c>
      <c r="I179" s="331">
        <v>1</v>
      </c>
      <c r="J179" s="363" t="s">
        <v>123</v>
      </c>
      <c r="K179" s="331">
        <v>2</v>
      </c>
      <c r="L179" s="364" t="s">
        <v>1048</v>
      </c>
      <c r="M179" s="364"/>
      <c r="N179" s="326" t="s">
        <v>124</v>
      </c>
      <c r="O179" s="326" t="s">
        <v>125</v>
      </c>
      <c r="P179" s="331" t="s">
        <v>126</v>
      </c>
      <c r="Q179" s="363" t="s">
        <v>1048</v>
      </c>
      <c r="R179" s="301" t="s">
        <v>1048</v>
      </c>
      <c r="S179" s="301" t="s">
        <v>1048</v>
      </c>
      <c r="T179" s="55" t="s">
        <v>1049</v>
      </c>
      <c r="U179" s="55" t="s">
        <v>1050</v>
      </c>
      <c r="V179" s="53" t="s">
        <v>323</v>
      </c>
      <c r="W179" s="82" t="s">
        <v>1051</v>
      </c>
      <c r="X179" s="55" t="s">
        <v>813</v>
      </c>
      <c r="Y179" s="53" t="s">
        <v>323</v>
      </c>
      <c r="Z179" s="53" t="s">
        <v>323</v>
      </c>
      <c r="AA179" s="60" t="s">
        <v>1052</v>
      </c>
    </row>
    <row r="180" spans="2:27" ht="80.25" hidden="1" customHeight="1" x14ac:dyDescent="0.35">
      <c r="B180" s="330" t="s">
        <v>340</v>
      </c>
      <c r="C180" s="330" t="s">
        <v>1047</v>
      </c>
      <c r="D180" s="330" t="s">
        <v>26</v>
      </c>
      <c r="E180" s="331">
        <v>0</v>
      </c>
      <c r="F180" s="330" t="s">
        <v>136</v>
      </c>
      <c r="G180" s="330" t="s">
        <v>137</v>
      </c>
      <c r="H180" s="332" t="s">
        <v>122</v>
      </c>
      <c r="I180" s="331">
        <v>2</v>
      </c>
      <c r="J180" s="330" t="s">
        <v>123</v>
      </c>
      <c r="K180" s="331">
        <v>30</v>
      </c>
      <c r="L180" s="331" t="s">
        <v>1048</v>
      </c>
      <c r="M180" s="331"/>
      <c r="N180" s="87" t="s">
        <v>138</v>
      </c>
      <c r="O180" s="87" t="s">
        <v>139</v>
      </c>
      <c r="P180" s="331" t="s">
        <v>126</v>
      </c>
      <c r="Q180" s="330" t="s">
        <v>1048</v>
      </c>
      <c r="R180" s="301" t="s">
        <v>1048</v>
      </c>
      <c r="S180" s="301" t="s">
        <v>1048</v>
      </c>
      <c r="T180" s="55" t="s">
        <v>1053</v>
      </c>
      <c r="U180" s="55" t="s">
        <v>816</v>
      </c>
      <c r="V180" s="53" t="s">
        <v>1054</v>
      </c>
      <c r="W180" s="82" t="s">
        <v>1055</v>
      </c>
      <c r="X180" s="55" t="s">
        <v>813</v>
      </c>
      <c r="Y180" s="53" t="s">
        <v>819</v>
      </c>
      <c r="Z180" s="53" t="s">
        <v>820</v>
      </c>
      <c r="AA180" s="60" t="s">
        <v>323</v>
      </c>
    </row>
    <row r="181" spans="2:27" ht="80.25" hidden="1" customHeight="1" x14ac:dyDescent="0.35">
      <c r="B181" s="330" t="s">
        <v>340</v>
      </c>
      <c r="C181" s="330" t="s">
        <v>1047</v>
      </c>
      <c r="D181" s="330" t="s">
        <v>26</v>
      </c>
      <c r="E181" s="331">
        <v>0</v>
      </c>
      <c r="F181" s="330" t="s">
        <v>352</v>
      </c>
      <c r="G181" s="330" t="s">
        <v>353</v>
      </c>
      <c r="H181" s="332" t="s">
        <v>240</v>
      </c>
      <c r="I181" s="331">
        <v>3</v>
      </c>
      <c r="J181" s="330" t="s">
        <v>123</v>
      </c>
      <c r="K181" s="331">
        <v>4</v>
      </c>
      <c r="L181" s="331" t="s">
        <v>1048</v>
      </c>
      <c r="M181" s="331"/>
      <c r="N181" s="87" t="s">
        <v>354</v>
      </c>
      <c r="O181" s="87" t="s">
        <v>355</v>
      </c>
      <c r="P181" s="331" t="s">
        <v>1048</v>
      </c>
      <c r="Q181" s="330" t="s">
        <v>1048</v>
      </c>
      <c r="R181" s="301" t="s">
        <v>1048</v>
      </c>
      <c r="S181" s="301" t="s">
        <v>1048</v>
      </c>
      <c r="T181" s="55" t="s">
        <v>1049</v>
      </c>
      <c r="U181" s="55" t="s">
        <v>1050</v>
      </c>
      <c r="V181" s="55" t="s">
        <v>1056</v>
      </c>
      <c r="W181" s="333" t="s">
        <v>1057</v>
      </c>
      <c r="X181" s="55" t="s">
        <v>813</v>
      </c>
      <c r="Y181" s="55" t="s">
        <v>1056</v>
      </c>
      <c r="Z181" s="55" t="s">
        <v>1056</v>
      </c>
      <c r="AA181" s="334" t="s">
        <v>1058</v>
      </c>
    </row>
    <row r="182" spans="2:27" ht="80.25" hidden="1" customHeight="1" x14ac:dyDescent="0.35">
      <c r="B182" s="330" t="s">
        <v>340</v>
      </c>
      <c r="C182" s="330" t="s">
        <v>1047</v>
      </c>
      <c r="D182" s="330" t="s">
        <v>26</v>
      </c>
      <c r="E182" s="331">
        <v>0</v>
      </c>
      <c r="F182" s="330" t="s">
        <v>317</v>
      </c>
      <c r="G182" s="330" t="s">
        <v>318</v>
      </c>
      <c r="H182" s="332" t="s">
        <v>319</v>
      </c>
      <c r="I182" s="331">
        <v>4</v>
      </c>
      <c r="J182" s="330" t="s">
        <v>123</v>
      </c>
      <c r="K182" s="331">
        <v>4</v>
      </c>
      <c r="L182" s="331" t="s">
        <v>1048</v>
      </c>
      <c r="M182" s="331"/>
      <c r="N182" s="53" t="s">
        <v>320</v>
      </c>
      <c r="O182" s="53" t="s">
        <v>321</v>
      </c>
      <c r="P182" s="331" t="s">
        <v>126</v>
      </c>
      <c r="Q182" s="330" t="s">
        <v>1048</v>
      </c>
      <c r="R182" s="301" t="s">
        <v>1048</v>
      </c>
      <c r="S182" s="301" t="s">
        <v>1048</v>
      </c>
      <c r="T182" s="55" t="s">
        <v>1049</v>
      </c>
      <c r="U182" s="55" t="s">
        <v>1050</v>
      </c>
      <c r="V182" s="55" t="s">
        <v>323</v>
      </c>
      <c r="W182" s="333" t="s">
        <v>1059</v>
      </c>
      <c r="X182" s="53" t="s">
        <v>323</v>
      </c>
      <c r="Y182" s="55" t="s">
        <v>323</v>
      </c>
      <c r="Z182" s="55" t="s">
        <v>323</v>
      </c>
      <c r="AA182" s="334" t="s">
        <v>1003</v>
      </c>
    </row>
    <row r="183" spans="2:27" ht="80.25" hidden="1" customHeight="1" x14ac:dyDescent="0.35">
      <c r="B183" s="330" t="s">
        <v>340</v>
      </c>
      <c r="C183" s="330" t="s">
        <v>1047</v>
      </c>
      <c r="D183" s="330" t="s">
        <v>26</v>
      </c>
      <c r="E183" s="331">
        <v>0</v>
      </c>
      <c r="F183" s="330" t="s">
        <v>326</v>
      </c>
      <c r="G183" s="330" t="s">
        <v>327</v>
      </c>
      <c r="H183" s="332" t="s">
        <v>335</v>
      </c>
      <c r="I183" s="331">
        <v>5</v>
      </c>
      <c r="J183" s="330" t="s">
        <v>123</v>
      </c>
      <c r="K183" s="331">
        <v>10</v>
      </c>
      <c r="L183" s="331" t="s">
        <v>1048</v>
      </c>
      <c r="M183" s="331"/>
      <c r="N183" s="53" t="s">
        <v>329</v>
      </c>
      <c r="O183" s="53" t="s">
        <v>361</v>
      </c>
      <c r="P183" s="331" t="s">
        <v>1048</v>
      </c>
      <c r="Q183" s="330" t="s">
        <v>1048</v>
      </c>
      <c r="R183" s="301" t="s">
        <v>1048</v>
      </c>
      <c r="S183" s="301" t="s">
        <v>1048</v>
      </c>
      <c r="T183" s="55" t="s">
        <v>1049</v>
      </c>
      <c r="U183" s="55" t="s">
        <v>1050</v>
      </c>
      <c r="V183" s="55" t="s">
        <v>1004</v>
      </c>
      <c r="W183" s="82" t="s">
        <v>1060</v>
      </c>
      <c r="X183" s="53" t="s">
        <v>323</v>
      </c>
      <c r="Y183" s="53" t="s">
        <v>323</v>
      </c>
      <c r="Z183" s="53" t="s">
        <v>323</v>
      </c>
      <c r="AA183" s="60" t="s">
        <v>323</v>
      </c>
    </row>
    <row r="184" spans="2:27" ht="80.25" hidden="1" customHeight="1" x14ac:dyDescent="0.35">
      <c r="B184" s="330" t="s">
        <v>340</v>
      </c>
      <c r="C184" s="330" t="s">
        <v>1047</v>
      </c>
      <c r="D184" s="330" t="s">
        <v>26</v>
      </c>
      <c r="E184" s="331">
        <v>0</v>
      </c>
      <c r="F184" s="330" t="s">
        <v>333</v>
      </c>
      <c r="G184" s="330" t="s">
        <v>334</v>
      </c>
      <c r="H184" s="332" t="s">
        <v>335</v>
      </c>
      <c r="I184" s="331">
        <v>6</v>
      </c>
      <c r="J184" s="330" t="s">
        <v>336</v>
      </c>
      <c r="K184" s="331">
        <v>23</v>
      </c>
      <c r="L184" s="331" t="s">
        <v>1048</v>
      </c>
      <c r="M184" s="331"/>
      <c r="N184" s="53" t="s">
        <v>337</v>
      </c>
      <c r="O184" s="53" t="s">
        <v>338</v>
      </c>
      <c r="P184" s="331" t="s">
        <v>1048</v>
      </c>
      <c r="Q184" s="330" t="s">
        <v>1048</v>
      </c>
      <c r="R184" s="301" t="s">
        <v>1048</v>
      </c>
      <c r="S184" s="301" t="s">
        <v>1048</v>
      </c>
      <c r="T184" s="55" t="s">
        <v>1049</v>
      </c>
      <c r="U184" s="55" t="s">
        <v>1050</v>
      </c>
      <c r="V184" s="55" t="s">
        <v>244</v>
      </c>
      <c r="W184" s="82" t="s">
        <v>1061</v>
      </c>
      <c r="X184" s="53" t="s">
        <v>323</v>
      </c>
      <c r="Y184" s="53" t="s">
        <v>323</v>
      </c>
      <c r="Z184" s="53" t="s">
        <v>323</v>
      </c>
      <c r="AA184" s="60" t="s">
        <v>323</v>
      </c>
    </row>
    <row r="185" spans="2:27" ht="80.25" hidden="1" customHeight="1" x14ac:dyDescent="0.35">
      <c r="B185" s="51" t="s">
        <v>28</v>
      </c>
      <c r="C185" s="51" t="s">
        <v>1062</v>
      </c>
      <c r="D185" s="51" t="s">
        <v>29</v>
      </c>
      <c r="E185" s="52">
        <v>0</v>
      </c>
      <c r="F185" s="51" t="s">
        <v>120</v>
      </c>
      <c r="G185" s="51" t="s">
        <v>121</v>
      </c>
      <c r="H185" s="51" t="s">
        <v>122</v>
      </c>
      <c r="I185" s="52">
        <v>1</v>
      </c>
      <c r="J185" s="51" t="s">
        <v>123</v>
      </c>
      <c r="K185" s="52">
        <v>4</v>
      </c>
      <c r="L185" s="52"/>
      <c r="M185" s="52"/>
      <c r="N185" s="328" t="s">
        <v>124</v>
      </c>
      <c r="O185" s="53" t="s">
        <v>125</v>
      </c>
      <c r="P185" s="52" t="s">
        <v>126</v>
      </c>
      <c r="Q185" s="51"/>
      <c r="R185" s="55"/>
      <c r="S185" s="51"/>
      <c r="T185" s="55" t="s">
        <v>1063</v>
      </c>
      <c r="U185" s="57" t="s">
        <v>1064</v>
      </c>
      <c r="V185" s="57" t="s">
        <v>1065</v>
      </c>
      <c r="W185" s="368" t="s">
        <v>1066</v>
      </c>
      <c r="X185" s="51" t="s">
        <v>372</v>
      </c>
      <c r="Y185" s="51" t="s">
        <v>372</v>
      </c>
      <c r="Z185" s="51" t="s">
        <v>372</v>
      </c>
      <c r="AA185" s="52" t="s">
        <v>372</v>
      </c>
    </row>
    <row r="186" spans="2:27" ht="80.25" hidden="1" customHeight="1" x14ac:dyDescent="0.35">
      <c r="B186" s="51" t="s">
        <v>28</v>
      </c>
      <c r="C186" s="51" t="s">
        <v>1062</v>
      </c>
      <c r="D186" s="51" t="s">
        <v>29</v>
      </c>
      <c r="E186" s="52">
        <v>0</v>
      </c>
      <c r="F186" s="51" t="s">
        <v>136</v>
      </c>
      <c r="G186" s="51" t="s">
        <v>137</v>
      </c>
      <c r="H186" s="51" t="s">
        <v>122</v>
      </c>
      <c r="I186" s="52">
        <v>2</v>
      </c>
      <c r="J186" s="51" t="s">
        <v>123</v>
      </c>
      <c r="K186" s="52">
        <v>30</v>
      </c>
      <c r="L186" s="52"/>
      <c r="M186" s="52"/>
      <c r="N186" s="53" t="s">
        <v>138</v>
      </c>
      <c r="O186" s="53" t="s">
        <v>139</v>
      </c>
      <c r="P186" s="52" t="s">
        <v>126</v>
      </c>
      <c r="Q186" s="51"/>
      <c r="R186" s="55"/>
      <c r="S186" s="51"/>
      <c r="T186" s="55" t="s">
        <v>1063</v>
      </c>
      <c r="U186" s="57" t="s">
        <v>1064</v>
      </c>
      <c r="V186" s="55" t="s">
        <v>1067</v>
      </c>
      <c r="W186" s="305" t="s">
        <v>1068</v>
      </c>
      <c r="X186" s="51" t="s">
        <v>372</v>
      </c>
      <c r="Y186" s="51" t="s">
        <v>372</v>
      </c>
      <c r="Z186" s="51" t="s">
        <v>372</v>
      </c>
      <c r="AA186" s="52" t="s">
        <v>372</v>
      </c>
    </row>
    <row r="187" spans="2:27" ht="80.25" hidden="1" customHeight="1" x14ac:dyDescent="0.35">
      <c r="B187" s="51" t="s">
        <v>28</v>
      </c>
      <c r="C187" s="51" t="s">
        <v>1062</v>
      </c>
      <c r="D187" s="51" t="s">
        <v>29</v>
      </c>
      <c r="E187" s="52">
        <v>0</v>
      </c>
      <c r="F187" s="51" t="s">
        <v>148</v>
      </c>
      <c r="G187" s="51" t="s">
        <v>149</v>
      </c>
      <c r="H187" s="54" t="s">
        <v>150</v>
      </c>
      <c r="I187" s="52">
        <v>3</v>
      </c>
      <c r="J187" s="51" t="s">
        <v>123</v>
      </c>
      <c r="K187" s="52">
        <v>3</v>
      </c>
      <c r="L187" s="52"/>
      <c r="M187" s="52"/>
      <c r="N187" s="53" t="s">
        <v>151</v>
      </c>
      <c r="O187" s="53" t="s">
        <v>152</v>
      </c>
      <c r="P187" s="52"/>
      <c r="Q187" s="53" t="s">
        <v>1069</v>
      </c>
      <c r="R187" s="55"/>
      <c r="S187" s="51"/>
      <c r="T187" s="55" t="s">
        <v>1063</v>
      </c>
      <c r="U187" s="57" t="s">
        <v>1064</v>
      </c>
      <c r="V187" s="55" t="s">
        <v>1070</v>
      </c>
      <c r="W187" s="305" t="s">
        <v>1071</v>
      </c>
      <c r="X187" s="51" t="s">
        <v>372</v>
      </c>
      <c r="Y187" s="51" t="s">
        <v>372</v>
      </c>
      <c r="Z187" s="51" t="s">
        <v>372</v>
      </c>
      <c r="AA187" s="52" t="s">
        <v>372</v>
      </c>
    </row>
    <row r="188" spans="2:27" ht="80.25" hidden="1" customHeight="1" x14ac:dyDescent="0.35">
      <c r="B188" s="51" t="s">
        <v>28</v>
      </c>
      <c r="C188" s="51" t="s">
        <v>1062</v>
      </c>
      <c r="D188" s="51" t="s">
        <v>29</v>
      </c>
      <c r="E188" s="52">
        <v>0</v>
      </c>
      <c r="F188" s="51" t="s">
        <v>155</v>
      </c>
      <c r="G188" s="51" t="s">
        <v>156</v>
      </c>
      <c r="H188" s="54" t="s">
        <v>150</v>
      </c>
      <c r="I188" s="52">
        <v>4</v>
      </c>
      <c r="J188" s="51" t="s">
        <v>123</v>
      </c>
      <c r="K188" s="52">
        <v>20</v>
      </c>
      <c r="L188" s="52"/>
      <c r="M188" s="52"/>
      <c r="N188" s="53" t="s">
        <v>157</v>
      </c>
      <c r="O188" s="53" t="s">
        <v>158</v>
      </c>
      <c r="P188" s="52"/>
      <c r="Q188" s="55" t="s">
        <v>1072</v>
      </c>
      <c r="R188" s="55"/>
      <c r="S188" s="51"/>
      <c r="T188" s="55" t="s">
        <v>1063</v>
      </c>
      <c r="U188" s="57" t="s">
        <v>1064</v>
      </c>
      <c r="V188" s="89" t="s">
        <v>1073</v>
      </c>
      <c r="W188" s="305" t="s">
        <v>1074</v>
      </c>
      <c r="X188" s="51" t="s">
        <v>372</v>
      </c>
      <c r="Y188" s="51" t="s">
        <v>372</v>
      </c>
      <c r="Z188" s="51" t="s">
        <v>372</v>
      </c>
      <c r="AA188" s="52" t="s">
        <v>372</v>
      </c>
    </row>
    <row r="189" spans="2:27" ht="80.25" hidden="1" customHeight="1" x14ac:dyDescent="0.35">
      <c r="B189" s="51" t="s">
        <v>28</v>
      </c>
      <c r="C189" s="51" t="s">
        <v>1062</v>
      </c>
      <c r="D189" s="51" t="s">
        <v>29</v>
      </c>
      <c r="E189" s="52">
        <v>0</v>
      </c>
      <c r="F189" s="51" t="s">
        <v>167</v>
      </c>
      <c r="G189" s="51" t="s">
        <v>168</v>
      </c>
      <c r="H189" s="54" t="s">
        <v>150</v>
      </c>
      <c r="I189" s="52">
        <v>5</v>
      </c>
      <c r="J189" s="51" t="s">
        <v>123</v>
      </c>
      <c r="K189" s="52">
        <v>20</v>
      </c>
      <c r="L189" s="52"/>
      <c r="M189" s="52"/>
      <c r="N189" s="53" t="s">
        <v>169</v>
      </c>
      <c r="O189" s="53" t="s">
        <v>170</v>
      </c>
      <c r="P189" s="52"/>
      <c r="Q189" s="55" t="s">
        <v>1075</v>
      </c>
      <c r="R189" s="55"/>
      <c r="S189" s="51"/>
      <c r="T189" s="55" t="s">
        <v>1063</v>
      </c>
      <c r="U189" s="57" t="s">
        <v>1064</v>
      </c>
      <c r="V189" s="55" t="s">
        <v>1076</v>
      </c>
      <c r="W189" s="305" t="s">
        <v>1077</v>
      </c>
      <c r="X189" s="51" t="s">
        <v>372</v>
      </c>
      <c r="Y189" s="51" t="s">
        <v>372</v>
      </c>
      <c r="Z189" s="51" t="s">
        <v>372</v>
      </c>
      <c r="AA189" s="52" t="s">
        <v>372</v>
      </c>
    </row>
    <row r="190" spans="2:27" ht="80.25" hidden="1" customHeight="1" x14ac:dyDescent="0.35">
      <c r="B190" s="51" t="s">
        <v>28</v>
      </c>
      <c r="C190" s="51" t="s">
        <v>1062</v>
      </c>
      <c r="D190" s="51" t="s">
        <v>29</v>
      </c>
      <c r="E190" s="52">
        <v>0</v>
      </c>
      <c r="F190" s="51" t="s">
        <v>1078</v>
      </c>
      <c r="G190" s="51" t="s">
        <v>1079</v>
      </c>
      <c r="H190" s="51" t="s">
        <v>1080</v>
      </c>
      <c r="I190" s="52">
        <v>6</v>
      </c>
      <c r="J190" s="51" t="s">
        <v>123</v>
      </c>
      <c r="K190" s="52">
        <v>4</v>
      </c>
      <c r="L190" s="52"/>
      <c r="M190" s="52"/>
      <c r="N190" s="53" t="s">
        <v>1081</v>
      </c>
      <c r="O190" s="319" t="s">
        <v>1082</v>
      </c>
      <c r="P190" s="52"/>
      <c r="Q190" s="51"/>
      <c r="R190" s="55"/>
      <c r="S190" s="51"/>
      <c r="T190" s="55" t="s">
        <v>1063</v>
      </c>
      <c r="U190" s="57" t="s">
        <v>1064</v>
      </c>
      <c r="V190" s="55" t="s">
        <v>1067</v>
      </c>
      <c r="W190" s="305" t="s">
        <v>1083</v>
      </c>
      <c r="X190" s="51" t="s">
        <v>372</v>
      </c>
      <c r="Y190" s="51" t="s">
        <v>372</v>
      </c>
      <c r="Z190" s="51" t="s">
        <v>372</v>
      </c>
      <c r="AA190" s="52" t="s">
        <v>372</v>
      </c>
    </row>
    <row r="191" spans="2:27" ht="80.25" hidden="1" customHeight="1" x14ac:dyDescent="0.35">
      <c r="B191" s="51" t="s">
        <v>28</v>
      </c>
      <c r="C191" s="51" t="s">
        <v>1062</v>
      </c>
      <c r="D191" s="51" t="s">
        <v>29</v>
      </c>
      <c r="E191" s="52">
        <v>0</v>
      </c>
      <c r="F191" s="51" t="s">
        <v>1084</v>
      </c>
      <c r="G191" s="51" t="s">
        <v>1085</v>
      </c>
      <c r="H191" s="51" t="s">
        <v>1080</v>
      </c>
      <c r="I191" s="52">
        <v>7</v>
      </c>
      <c r="J191" s="51" t="s">
        <v>123</v>
      </c>
      <c r="K191" s="52">
        <v>11</v>
      </c>
      <c r="L191" s="52"/>
      <c r="M191" s="52"/>
      <c r="N191" s="319" t="s">
        <v>1086</v>
      </c>
      <c r="O191" s="319" t="s">
        <v>1087</v>
      </c>
      <c r="P191" s="52"/>
      <c r="Q191" s="51"/>
      <c r="R191" s="55"/>
      <c r="S191" s="51"/>
      <c r="T191" s="55" t="s">
        <v>1063</v>
      </c>
      <c r="U191" s="57" t="s">
        <v>1064</v>
      </c>
      <c r="V191" s="55" t="s">
        <v>1067</v>
      </c>
      <c r="W191" s="305" t="s">
        <v>1088</v>
      </c>
      <c r="X191" s="51" t="s">
        <v>372</v>
      </c>
      <c r="Y191" s="51" t="s">
        <v>372</v>
      </c>
      <c r="Z191" s="51" t="s">
        <v>372</v>
      </c>
      <c r="AA191" s="52" t="s">
        <v>372</v>
      </c>
    </row>
    <row r="192" spans="2:27" ht="80.25" hidden="1" customHeight="1" x14ac:dyDescent="0.35">
      <c r="B192" s="51" t="s">
        <v>28</v>
      </c>
      <c r="C192" s="51" t="s">
        <v>1062</v>
      </c>
      <c r="D192" s="51" t="s">
        <v>29</v>
      </c>
      <c r="E192" s="52">
        <v>0</v>
      </c>
      <c r="F192" s="51" t="s">
        <v>1089</v>
      </c>
      <c r="G192" s="51" t="s">
        <v>1090</v>
      </c>
      <c r="H192" s="51" t="s">
        <v>1080</v>
      </c>
      <c r="I192" s="52">
        <v>8</v>
      </c>
      <c r="J192" s="51" t="s">
        <v>123</v>
      </c>
      <c r="K192" s="52">
        <v>15</v>
      </c>
      <c r="L192" s="52"/>
      <c r="M192" s="52"/>
      <c r="N192" s="53" t="s">
        <v>1091</v>
      </c>
      <c r="O192" s="53" t="s">
        <v>1092</v>
      </c>
      <c r="P192" s="52"/>
      <c r="Q192" s="51"/>
      <c r="R192" s="55"/>
      <c r="S192" s="51"/>
      <c r="T192" s="55" t="s">
        <v>1063</v>
      </c>
      <c r="U192" s="57" t="s">
        <v>1064</v>
      </c>
      <c r="V192" s="55" t="s">
        <v>1067</v>
      </c>
      <c r="W192" s="305" t="s">
        <v>1093</v>
      </c>
      <c r="X192" s="51" t="s">
        <v>372</v>
      </c>
      <c r="Y192" s="51" t="s">
        <v>372</v>
      </c>
      <c r="Z192" s="51" t="s">
        <v>372</v>
      </c>
      <c r="AA192" s="52" t="s">
        <v>372</v>
      </c>
    </row>
    <row r="193" spans="2:27" ht="80.25" hidden="1" customHeight="1" x14ac:dyDescent="0.35">
      <c r="B193" s="51" t="s">
        <v>28</v>
      </c>
      <c r="C193" s="51" t="s">
        <v>1062</v>
      </c>
      <c r="D193" s="51" t="s">
        <v>29</v>
      </c>
      <c r="E193" s="52">
        <v>0</v>
      </c>
      <c r="F193" s="51" t="s">
        <v>1094</v>
      </c>
      <c r="G193" s="51" t="s">
        <v>1095</v>
      </c>
      <c r="H193" s="51" t="s">
        <v>1080</v>
      </c>
      <c r="I193" s="52">
        <v>9</v>
      </c>
      <c r="J193" s="51" t="s">
        <v>123</v>
      </c>
      <c r="K193" s="52">
        <v>20</v>
      </c>
      <c r="L193" s="52"/>
      <c r="M193" s="52"/>
      <c r="N193" s="53" t="s">
        <v>1096</v>
      </c>
      <c r="O193" s="53" t="s">
        <v>1097</v>
      </c>
      <c r="P193" s="52"/>
      <c r="Q193" s="51"/>
      <c r="R193" s="55"/>
      <c r="S193" s="51"/>
      <c r="T193" s="55" t="s">
        <v>1063</v>
      </c>
      <c r="U193" s="57" t="s">
        <v>1064</v>
      </c>
      <c r="V193" s="55" t="s">
        <v>1098</v>
      </c>
      <c r="W193" s="305" t="s">
        <v>1099</v>
      </c>
      <c r="X193" s="51" t="s">
        <v>372</v>
      </c>
      <c r="Y193" s="51" t="s">
        <v>372</v>
      </c>
      <c r="Z193" s="51" t="s">
        <v>372</v>
      </c>
      <c r="AA193" s="52" t="s">
        <v>372</v>
      </c>
    </row>
    <row r="194" spans="2:27" ht="80.25" hidden="1" customHeight="1" x14ac:dyDescent="0.35">
      <c r="B194" s="51" t="s">
        <v>28</v>
      </c>
      <c r="C194" s="51" t="s">
        <v>1062</v>
      </c>
      <c r="D194" s="51" t="s">
        <v>29</v>
      </c>
      <c r="E194" s="52">
        <v>0</v>
      </c>
      <c r="F194" s="51" t="s">
        <v>326</v>
      </c>
      <c r="G194" s="51" t="s">
        <v>327</v>
      </c>
      <c r="H194" s="51" t="s">
        <v>328</v>
      </c>
      <c r="I194" s="52">
        <v>10</v>
      </c>
      <c r="J194" s="51" t="s">
        <v>123</v>
      </c>
      <c r="K194" s="52">
        <v>10</v>
      </c>
      <c r="L194" s="52"/>
      <c r="M194" s="52"/>
      <c r="N194" s="53" t="s">
        <v>329</v>
      </c>
      <c r="O194" s="53" t="s">
        <v>361</v>
      </c>
      <c r="P194" s="52" t="s">
        <v>126</v>
      </c>
      <c r="Q194" s="51"/>
      <c r="R194" s="55"/>
      <c r="S194" s="51"/>
      <c r="T194" s="55" t="s">
        <v>1063</v>
      </c>
      <c r="U194" s="57" t="s">
        <v>1064</v>
      </c>
      <c r="V194" s="55" t="s">
        <v>1100</v>
      </c>
      <c r="W194" s="305" t="s">
        <v>1101</v>
      </c>
      <c r="X194" s="51" t="s">
        <v>372</v>
      </c>
      <c r="Y194" s="51" t="s">
        <v>372</v>
      </c>
      <c r="Z194" s="51" t="s">
        <v>372</v>
      </c>
      <c r="AA194" s="52" t="s">
        <v>372</v>
      </c>
    </row>
    <row r="195" spans="2:27" ht="80.25" hidden="1" customHeight="1" x14ac:dyDescent="0.35">
      <c r="B195" s="51" t="s">
        <v>28</v>
      </c>
      <c r="C195" s="51" t="s">
        <v>1062</v>
      </c>
      <c r="D195" s="51" t="s">
        <v>29</v>
      </c>
      <c r="E195" s="52">
        <v>0</v>
      </c>
      <c r="F195" s="51" t="s">
        <v>333</v>
      </c>
      <c r="G195" s="51" t="s">
        <v>334</v>
      </c>
      <c r="H195" s="51" t="s">
        <v>335</v>
      </c>
      <c r="I195" s="52">
        <v>11</v>
      </c>
      <c r="J195" s="51" t="s">
        <v>336</v>
      </c>
      <c r="K195" s="52">
        <v>23</v>
      </c>
      <c r="L195" s="52"/>
      <c r="M195" s="52"/>
      <c r="N195" s="53" t="s">
        <v>337</v>
      </c>
      <c r="O195" s="53" t="s">
        <v>338</v>
      </c>
      <c r="P195" s="52"/>
      <c r="Q195" s="51"/>
      <c r="R195" s="55"/>
      <c r="S195" s="51"/>
      <c r="T195" s="55" t="s">
        <v>1063</v>
      </c>
      <c r="U195" s="57" t="s">
        <v>1064</v>
      </c>
      <c r="V195" s="55" t="s">
        <v>1098</v>
      </c>
      <c r="W195" s="305" t="s">
        <v>1102</v>
      </c>
      <c r="X195" s="51" t="s">
        <v>372</v>
      </c>
      <c r="Y195" s="51" t="s">
        <v>372</v>
      </c>
      <c r="Z195" s="51" t="s">
        <v>372</v>
      </c>
      <c r="AA195" s="52" t="s">
        <v>372</v>
      </c>
    </row>
    <row r="196" spans="2:27" ht="80.25" hidden="1" customHeight="1" x14ac:dyDescent="0.35">
      <c r="B196" s="51" t="s">
        <v>28</v>
      </c>
      <c r="C196" s="51" t="s">
        <v>1103</v>
      </c>
      <c r="D196" s="51" t="s">
        <v>31</v>
      </c>
      <c r="E196" s="52">
        <v>0</v>
      </c>
      <c r="F196" s="51" t="s">
        <v>120</v>
      </c>
      <c r="G196" s="51" t="s">
        <v>121</v>
      </c>
      <c r="H196" s="51" t="s">
        <v>122</v>
      </c>
      <c r="I196" s="52">
        <v>1</v>
      </c>
      <c r="J196" s="51" t="s">
        <v>123</v>
      </c>
      <c r="K196" s="52">
        <v>4</v>
      </c>
      <c r="L196" s="52"/>
      <c r="M196" s="52"/>
      <c r="N196" s="328" t="s">
        <v>124</v>
      </c>
      <c r="O196" s="53" t="s">
        <v>125</v>
      </c>
      <c r="P196" s="52" t="s">
        <v>126</v>
      </c>
      <c r="Q196" s="51"/>
      <c r="R196" s="55" t="s">
        <v>1104</v>
      </c>
      <c r="S196" s="51" t="s">
        <v>136</v>
      </c>
      <c r="T196" s="138" t="s">
        <v>1105</v>
      </c>
      <c r="U196" s="138" t="s">
        <v>1106</v>
      </c>
      <c r="V196" s="51" t="s">
        <v>1107</v>
      </c>
      <c r="W196" s="82" t="s">
        <v>1108</v>
      </c>
      <c r="X196" s="51" t="s">
        <v>1109</v>
      </c>
      <c r="Y196" s="78" t="s">
        <v>1106</v>
      </c>
      <c r="Z196" s="54" t="s">
        <v>1107</v>
      </c>
      <c r="AA196" s="52" t="s">
        <v>372</v>
      </c>
    </row>
    <row r="197" spans="2:27" ht="80.25" hidden="1" customHeight="1" x14ac:dyDescent="0.35">
      <c r="B197" s="51" t="s">
        <v>28</v>
      </c>
      <c r="C197" s="51" t="s">
        <v>1103</v>
      </c>
      <c r="D197" s="51" t="s">
        <v>31</v>
      </c>
      <c r="E197" s="52">
        <v>0</v>
      </c>
      <c r="F197" s="51" t="s">
        <v>136</v>
      </c>
      <c r="G197" s="51" t="s">
        <v>137</v>
      </c>
      <c r="H197" s="51" t="s">
        <v>122</v>
      </c>
      <c r="I197" s="52">
        <v>2</v>
      </c>
      <c r="J197" s="51" t="s">
        <v>123</v>
      </c>
      <c r="K197" s="52">
        <v>30</v>
      </c>
      <c r="L197" s="52"/>
      <c r="M197" s="52"/>
      <c r="N197" s="53" t="s">
        <v>1110</v>
      </c>
      <c r="O197" s="53" t="s">
        <v>1111</v>
      </c>
      <c r="P197" s="52" t="s">
        <v>126</v>
      </c>
      <c r="Q197" s="51"/>
      <c r="R197" s="55" t="s">
        <v>1104</v>
      </c>
      <c r="S197" s="51" t="s">
        <v>136</v>
      </c>
      <c r="T197" s="138" t="s">
        <v>1105</v>
      </c>
      <c r="U197" s="138" t="s">
        <v>1106</v>
      </c>
      <c r="V197" s="51" t="s">
        <v>1112</v>
      </c>
      <c r="W197" s="82" t="s">
        <v>1113</v>
      </c>
      <c r="X197" s="51" t="s">
        <v>1109</v>
      </c>
      <c r="Y197" s="78" t="s">
        <v>1106</v>
      </c>
      <c r="Z197" s="54" t="s">
        <v>1114</v>
      </c>
      <c r="AA197" s="52" t="s">
        <v>372</v>
      </c>
    </row>
    <row r="198" spans="2:27" ht="80.25" hidden="1" customHeight="1" x14ac:dyDescent="0.35">
      <c r="B198" s="51" t="s">
        <v>28</v>
      </c>
      <c r="C198" s="51" t="s">
        <v>1103</v>
      </c>
      <c r="D198" s="51" t="s">
        <v>31</v>
      </c>
      <c r="E198" s="52">
        <v>0</v>
      </c>
      <c r="F198" s="51" t="s">
        <v>1115</v>
      </c>
      <c r="G198" s="51" t="s">
        <v>1116</v>
      </c>
      <c r="H198" s="51" t="s">
        <v>122</v>
      </c>
      <c r="I198" s="52">
        <v>3</v>
      </c>
      <c r="J198" s="51" t="s">
        <v>123</v>
      </c>
      <c r="K198" s="52">
        <v>10</v>
      </c>
      <c r="L198" s="52"/>
      <c r="M198" s="52"/>
      <c r="N198" s="53" t="s">
        <v>1117</v>
      </c>
      <c r="O198" s="53" t="s">
        <v>1118</v>
      </c>
      <c r="P198" s="52" t="s">
        <v>126</v>
      </c>
      <c r="Q198" s="51"/>
      <c r="R198" s="55" t="s">
        <v>1119</v>
      </c>
      <c r="S198" s="55" t="s">
        <v>1120</v>
      </c>
      <c r="T198" s="51" t="s">
        <v>1105</v>
      </c>
      <c r="U198" s="51" t="s">
        <v>1106</v>
      </c>
      <c r="V198" s="51" t="s">
        <v>1121</v>
      </c>
      <c r="W198" s="82" t="s">
        <v>1122</v>
      </c>
      <c r="X198" s="51" t="s">
        <v>1109</v>
      </c>
      <c r="Y198" s="78" t="s">
        <v>1106</v>
      </c>
      <c r="Z198" s="54" t="s">
        <v>1121</v>
      </c>
      <c r="AA198" s="52" t="s">
        <v>372</v>
      </c>
    </row>
    <row r="199" spans="2:27" ht="80.25" hidden="1" customHeight="1" x14ac:dyDescent="0.35">
      <c r="B199" s="51" t="s">
        <v>28</v>
      </c>
      <c r="C199" s="51" t="s">
        <v>1103</v>
      </c>
      <c r="D199" s="51" t="s">
        <v>31</v>
      </c>
      <c r="E199" s="52">
        <v>0</v>
      </c>
      <c r="F199" s="51" t="s">
        <v>1123</v>
      </c>
      <c r="G199" s="51" t="s">
        <v>1124</v>
      </c>
      <c r="H199" s="51" t="s">
        <v>1125</v>
      </c>
      <c r="I199" s="52">
        <v>4</v>
      </c>
      <c r="J199" s="51" t="s">
        <v>123</v>
      </c>
      <c r="K199" s="52">
        <v>4</v>
      </c>
      <c r="L199" s="52"/>
      <c r="M199" s="52"/>
      <c r="N199" s="53" t="s">
        <v>1126</v>
      </c>
      <c r="O199" s="53" t="s">
        <v>1127</v>
      </c>
      <c r="P199" s="52" t="s">
        <v>126</v>
      </c>
      <c r="Q199" s="55" t="s">
        <v>1128</v>
      </c>
      <c r="R199" s="55" t="s">
        <v>1129</v>
      </c>
      <c r="S199" s="55" t="s">
        <v>1130</v>
      </c>
      <c r="T199" s="51" t="s">
        <v>1105</v>
      </c>
      <c r="U199" s="51" t="s">
        <v>1106</v>
      </c>
      <c r="V199" s="51" t="s">
        <v>1131</v>
      </c>
      <c r="W199" s="82" t="s">
        <v>1132</v>
      </c>
      <c r="X199" s="51" t="s">
        <v>1109</v>
      </c>
      <c r="Y199" s="78" t="s">
        <v>1106</v>
      </c>
      <c r="Z199" s="54" t="s">
        <v>1131</v>
      </c>
      <c r="AA199" s="52" t="s">
        <v>372</v>
      </c>
    </row>
    <row r="200" spans="2:27" ht="80.25" hidden="1" customHeight="1" x14ac:dyDescent="0.35">
      <c r="B200" s="51" t="s">
        <v>28</v>
      </c>
      <c r="C200" s="51" t="s">
        <v>1103</v>
      </c>
      <c r="D200" s="51" t="s">
        <v>31</v>
      </c>
      <c r="E200" s="52">
        <v>0</v>
      </c>
      <c r="F200" s="51" t="s">
        <v>1133</v>
      </c>
      <c r="G200" s="51" t="s">
        <v>1134</v>
      </c>
      <c r="H200" s="51" t="s">
        <v>1135</v>
      </c>
      <c r="I200" s="52">
        <v>5</v>
      </c>
      <c r="J200" s="51" t="s">
        <v>1136</v>
      </c>
      <c r="K200" s="52"/>
      <c r="L200" s="52"/>
      <c r="M200" s="52"/>
      <c r="N200" s="53" t="s">
        <v>1137</v>
      </c>
      <c r="O200" s="53" t="s">
        <v>1138</v>
      </c>
      <c r="P200" s="52" t="s">
        <v>126</v>
      </c>
      <c r="Q200" s="51"/>
      <c r="R200" s="55" t="s">
        <v>1104</v>
      </c>
      <c r="S200" s="51" t="s">
        <v>1139</v>
      </c>
      <c r="T200" s="51" t="s">
        <v>1105</v>
      </c>
      <c r="U200" s="51" t="s">
        <v>1106</v>
      </c>
      <c r="V200" s="51" t="s">
        <v>1140</v>
      </c>
      <c r="W200" s="82" t="s">
        <v>1141</v>
      </c>
      <c r="X200" s="51" t="s">
        <v>1109</v>
      </c>
      <c r="Y200" s="78" t="s">
        <v>1106</v>
      </c>
      <c r="Z200" s="54" t="s">
        <v>1142</v>
      </c>
      <c r="AA200" s="52" t="s">
        <v>372</v>
      </c>
    </row>
    <row r="201" spans="2:27" ht="80.25" hidden="1" customHeight="1" x14ac:dyDescent="0.35">
      <c r="B201" s="51" t="s">
        <v>28</v>
      </c>
      <c r="C201" s="51" t="s">
        <v>1103</v>
      </c>
      <c r="D201" s="51" t="s">
        <v>31</v>
      </c>
      <c r="E201" s="52">
        <v>0</v>
      </c>
      <c r="F201" s="51" t="s">
        <v>1143</v>
      </c>
      <c r="G201" s="51" t="s">
        <v>1144</v>
      </c>
      <c r="H201" s="54" t="s">
        <v>200</v>
      </c>
      <c r="I201" s="52">
        <v>6</v>
      </c>
      <c r="J201" s="51" t="s">
        <v>123</v>
      </c>
      <c r="K201" s="52">
        <v>10</v>
      </c>
      <c r="L201" s="52"/>
      <c r="M201" s="52"/>
      <c r="N201" s="53" t="s">
        <v>1145</v>
      </c>
      <c r="O201" s="53" t="s">
        <v>1146</v>
      </c>
      <c r="P201" s="52"/>
      <c r="Q201" s="51"/>
      <c r="R201" s="55" t="s">
        <v>1104</v>
      </c>
      <c r="S201" s="51" t="s">
        <v>1147</v>
      </c>
      <c r="T201" s="51" t="s">
        <v>1105</v>
      </c>
      <c r="U201" s="51" t="s">
        <v>1106</v>
      </c>
      <c r="V201" s="51" t="s">
        <v>1148</v>
      </c>
      <c r="W201" s="82" t="s">
        <v>1149</v>
      </c>
      <c r="X201" s="51" t="s">
        <v>1109</v>
      </c>
      <c r="Y201" s="78" t="s">
        <v>1106</v>
      </c>
      <c r="Z201" s="54" t="s">
        <v>1150</v>
      </c>
      <c r="AA201" s="52" t="s">
        <v>372</v>
      </c>
    </row>
    <row r="202" spans="2:27" ht="80.25" hidden="1" customHeight="1" x14ac:dyDescent="0.35">
      <c r="B202" s="51" t="s">
        <v>28</v>
      </c>
      <c r="C202" s="51" t="s">
        <v>1103</v>
      </c>
      <c r="D202" s="51" t="s">
        <v>31</v>
      </c>
      <c r="E202" s="52">
        <v>0</v>
      </c>
      <c r="F202" s="51" t="s">
        <v>326</v>
      </c>
      <c r="G202" s="51" t="s">
        <v>327</v>
      </c>
      <c r="H202" s="51" t="s">
        <v>328</v>
      </c>
      <c r="I202" s="52">
        <v>7</v>
      </c>
      <c r="J202" s="51" t="s">
        <v>123</v>
      </c>
      <c r="K202" s="52">
        <v>10</v>
      </c>
      <c r="L202" s="52"/>
      <c r="M202" s="52"/>
      <c r="N202" s="53" t="s">
        <v>329</v>
      </c>
      <c r="O202" s="53" t="s">
        <v>361</v>
      </c>
      <c r="P202" s="52" t="s">
        <v>126</v>
      </c>
      <c r="Q202" s="51"/>
      <c r="R202" s="55"/>
      <c r="S202" s="51"/>
      <c r="T202" s="51" t="s">
        <v>1105</v>
      </c>
      <c r="U202" s="51" t="s">
        <v>1106</v>
      </c>
      <c r="V202" s="51" t="s">
        <v>1151</v>
      </c>
      <c r="W202" s="82" t="s">
        <v>1152</v>
      </c>
      <c r="X202" s="51" t="s">
        <v>372</v>
      </c>
      <c r="Y202" s="51" t="s">
        <v>372</v>
      </c>
      <c r="Z202" s="51" t="s">
        <v>372</v>
      </c>
      <c r="AA202" s="52" t="s">
        <v>372</v>
      </c>
    </row>
    <row r="203" spans="2:27" ht="80.25" hidden="1" customHeight="1" x14ac:dyDescent="0.35">
      <c r="B203" s="51" t="s">
        <v>28</v>
      </c>
      <c r="C203" s="51" t="s">
        <v>1103</v>
      </c>
      <c r="D203" s="51" t="s">
        <v>31</v>
      </c>
      <c r="E203" s="52">
        <v>0</v>
      </c>
      <c r="F203" s="51" t="s">
        <v>333</v>
      </c>
      <c r="G203" s="51" t="s">
        <v>334</v>
      </c>
      <c r="H203" s="51" t="s">
        <v>335</v>
      </c>
      <c r="I203" s="52">
        <v>8</v>
      </c>
      <c r="J203" s="51" t="s">
        <v>336</v>
      </c>
      <c r="K203" s="52">
        <v>23</v>
      </c>
      <c r="L203" s="52"/>
      <c r="M203" s="52"/>
      <c r="N203" s="53" t="s">
        <v>337</v>
      </c>
      <c r="O203" s="53" t="s">
        <v>338</v>
      </c>
      <c r="P203" s="52"/>
      <c r="Q203" s="51"/>
      <c r="R203" s="55"/>
      <c r="S203" s="51"/>
      <c r="T203" s="51" t="s">
        <v>1105</v>
      </c>
      <c r="U203" s="51" t="s">
        <v>1106</v>
      </c>
      <c r="V203" s="51" t="s">
        <v>372</v>
      </c>
      <c r="W203" s="82" t="s">
        <v>1153</v>
      </c>
      <c r="X203" s="51" t="s">
        <v>372</v>
      </c>
      <c r="Y203" s="51" t="s">
        <v>372</v>
      </c>
      <c r="Z203" s="51" t="s">
        <v>372</v>
      </c>
      <c r="AA203" s="52" t="s">
        <v>372</v>
      </c>
    </row>
    <row r="204" spans="2:27" ht="80.25" hidden="1" customHeight="1" x14ac:dyDescent="0.35">
      <c r="B204" s="51" t="s">
        <v>33</v>
      </c>
      <c r="C204" s="51" t="s">
        <v>1154</v>
      </c>
      <c r="D204" s="51" t="s">
        <v>34</v>
      </c>
      <c r="E204" s="52">
        <v>3</v>
      </c>
      <c r="F204" s="51" t="s">
        <v>1155</v>
      </c>
      <c r="G204" s="51" t="s">
        <v>1156</v>
      </c>
      <c r="H204" s="54" t="s">
        <v>1157</v>
      </c>
      <c r="I204" s="52">
        <v>1</v>
      </c>
      <c r="J204" s="51" t="s">
        <v>123</v>
      </c>
      <c r="K204" s="52">
        <v>16</v>
      </c>
      <c r="L204" s="52"/>
      <c r="M204" s="52"/>
      <c r="N204" s="329" t="s">
        <v>1158</v>
      </c>
      <c r="O204" s="54" t="s">
        <v>1159</v>
      </c>
      <c r="P204" s="52" t="s">
        <v>126</v>
      </c>
      <c r="Q204" s="54"/>
      <c r="R204" s="55" t="s">
        <v>1160</v>
      </c>
      <c r="S204" s="51" t="s">
        <v>1155</v>
      </c>
      <c r="T204" s="53" t="s">
        <v>1161</v>
      </c>
      <c r="U204" s="53" t="s">
        <v>1162</v>
      </c>
      <c r="V204" s="53" t="s">
        <v>1163</v>
      </c>
      <c r="W204" s="319" t="s">
        <v>1164</v>
      </c>
      <c r="X204" s="51" t="s">
        <v>1165</v>
      </c>
      <c r="Y204" s="54" t="s">
        <v>1166</v>
      </c>
      <c r="Z204" s="54" t="s">
        <v>1167</v>
      </c>
      <c r="AA204" s="52" t="s">
        <v>372</v>
      </c>
    </row>
    <row r="205" spans="2:27" ht="80.25" hidden="1" customHeight="1" x14ac:dyDescent="0.35">
      <c r="B205" s="51" t="s">
        <v>33</v>
      </c>
      <c r="C205" s="51" t="s">
        <v>1154</v>
      </c>
      <c r="D205" s="51" t="s">
        <v>34</v>
      </c>
      <c r="E205" s="52">
        <v>3</v>
      </c>
      <c r="F205" s="51" t="s">
        <v>1168</v>
      </c>
      <c r="G205" s="51" t="s">
        <v>1169</v>
      </c>
      <c r="H205" s="54" t="s">
        <v>150</v>
      </c>
      <c r="I205" s="52">
        <v>2</v>
      </c>
      <c r="J205" s="51" t="s">
        <v>123</v>
      </c>
      <c r="K205" s="52">
        <v>4</v>
      </c>
      <c r="L205" s="52"/>
      <c r="M205" s="52"/>
      <c r="N205" s="328" t="s">
        <v>124</v>
      </c>
      <c r="O205" s="53" t="s">
        <v>125</v>
      </c>
      <c r="P205" s="52"/>
      <c r="Q205" s="54"/>
      <c r="R205" s="55" t="s">
        <v>1160</v>
      </c>
      <c r="S205" s="51" t="s">
        <v>136</v>
      </c>
      <c r="T205" s="55" t="s">
        <v>1170</v>
      </c>
      <c r="U205" s="55" t="s">
        <v>1171</v>
      </c>
      <c r="V205" s="55" t="s">
        <v>1172</v>
      </c>
      <c r="W205" s="355" t="s">
        <v>1173</v>
      </c>
      <c r="X205" s="51" t="s">
        <v>1165</v>
      </c>
      <c r="Y205" s="54" t="s">
        <v>372</v>
      </c>
      <c r="Z205" s="54" t="s">
        <v>372</v>
      </c>
      <c r="AA205" s="52" t="s">
        <v>373</v>
      </c>
    </row>
    <row r="206" spans="2:27" ht="80.25" hidden="1" customHeight="1" x14ac:dyDescent="0.35">
      <c r="B206" s="51" t="s">
        <v>33</v>
      </c>
      <c r="C206" s="51" t="s">
        <v>1154</v>
      </c>
      <c r="D206" s="51" t="s">
        <v>34</v>
      </c>
      <c r="E206" s="52">
        <v>3</v>
      </c>
      <c r="F206" s="51" t="s">
        <v>1174</v>
      </c>
      <c r="G206" s="51" t="s">
        <v>1175</v>
      </c>
      <c r="H206" s="54" t="s">
        <v>150</v>
      </c>
      <c r="I206" s="52">
        <v>3</v>
      </c>
      <c r="J206" s="51" t="s">
        <v>123</v>
      </c>
      <c r="K206" s="52">
        <v>30</v>
      </c>
      <c r="L206" s="52"/>
      <c r="M206" s="52"/>
      <c r="N206" s="53" t="s">
        <v>1176</v>
      </c>
      <c r="O206" s="53" t="s">
        <v>1177</v>
      </c>
      <c r="P206" s="52"/>
      <c r="Q206" s="54"/>
      <c r="R206" s="55" t="s">
        <v>1160</v>
      </c>
      <c r="S206" s="51" t="s">
        <v>136</v>
      </c>
      <c r="T206" s="155" t="s">
        <v>1178</v>
      </c>
      <c r="U206" s="155" t="s">
        <v>1179</v>
      </c>
      <c r="V206" s="155" t="s">
        <v>1180</v>
      </c>
      <c r="W206" s="319" t="s">
        <v>1181</v>
      </c>
      <c r="X206" s="51" t="s">
        <v>1165</v>
      </c>
      <c r="Y206" s="54" t="s">
        <v>1182</v>
      </c>
      <c r="Z206" s="54" t="s">
        <v>582</v>
      </c>
      <c r="AA206" s="52" t="s">
        <v>372</v>
      </c>
    </row>
    <row r="207" spans="2:27" ht="80.25" hidden="1" customHeight="1" x14ac:dyDescent="0.35">
      <c r="B207" s="51" t="s">
        <v>33</v>
      </c>
      <c r="C207" s="51" t="s">
        <v>1154</v>
      </c>
      <c r="D207" s="51" t="s">
        <v>34</v>
      </c>
      <c r="E207" s="52">
        <v>3</v>
      </c>
      <c r="F207" s="51" t="s">
        <v>1183</v>
      </c>
      <c r="G207" s="51" t="s">
        <v>1184</v>
      </c>
      <c r="H207" s="54" t="s">
        <v>150</v>
      </c>
      <c r="I207" s="52">
        <v>4</v>
      </c>
      <c r="J207" s="51" t="s">
        <v>123</v>
      </c>
      <c r="K207" s="52">
        <v>4</v>
      </c>
      <c r="L207" s="52"/>
      <c r="M207" s="52"/>
      <c r="N207" s="53" t="s">
        <v>1185</v>
      </c>
      <c r="O207" s="53" t="s">
        <v>1186</v>
      </c>
      <c r="P207" s="52"/>
      <c r="Q207" s="51"/>
      <c r="R207" s="55"/>
      <c r="S207" s="138"/>
      <c r="T207" s="53" t="s">
        <v>1161</v>
      </c>
      <c r="U207" s="53" t="s">
        <v>1187</v>
      </c>
      <c r="V207" s="53" t="s">
        <v>1188</v>
      </c>
      <c r="W207" s="344" t="s">
        <v>1189</v>
      </c>
      <c r="X207" s="51" t="s">
        <v>1165</v>
      </c>
      <c r="Y207" s="54" t="s">
        <v>1182</v>
      </c>
      <c r="Z207" s="54" t="s">
        <v>1190</v>
      </c>
      <c r="AA207" s="52" t="s">
        <v>372</v>
      </c>
    </row>
    <row r="208" spans="2:27" ht="80.25" hidden="1" customHeight="1" x14ac:dyDescent="0.35">
      <c r="B208" s="51" t="s">
        <v>33</v>
      </c>
      <c r="C208" s="51" t="s">
        <v>1154</v>
      </c>
      <c r="D208" s="51" t="s">
        <v>34</v>
      </c>
      <c r="E208" s="52">
        <v>3</v>
      </c>
      <c r="F208" s="51" t="s">
        <v>1191</v>
      </c>
      <c r="G208" s="51" t="s">
        <v>1192</v>
      </c>
      <c r="H208" s="54" t="s">
        <v>150</v>
      </c>
      <c r="I208" s="52">
        <v>5</v>
      </c>
      <c r="J208" s="51" t="s">
        <v>1136</v>
      </c>
      <c r="K208" s="52"/>
      <c r="L208" s="52"/>
      <c r="M208" s="52"/>
      <c r="N208" s="53" t="s">
        <v>1193</v>
      </c>
      <c r="O208" s="53" t="s">
        <v>1194</v>
      </c>
      <c r="P208" s="52"/>
      <c r="Q208" s="54"/>
      <c r="R208" s="55"/>
      <c r="S208" s="138"/>
      <c r="T208" s="53" t="s">
        <v>1195</v>
      </c>
      <c r="U208" s="53" t="s">
        <v>1196</v>
      </c>
      <c r="V208" s="53" t="s">
        <v>1197</v>
      </c>
      <c r="W208" s="344" t="s">
        <v>1198</v>
      </c>
      <c r="X208" s="51" t="s">
        <v>1165</v>
      </c>
      <c r="Y208" s="54" t="s">
        <v>1166</v>
      </c>
      <c r="Z208" s="54" t="s">
        <v>1190</v>
      </c>
      <c r="AA208" s="52" t="s">
        <v>372</v>
      </c>
    </row>
    <row r="209" spans="2:27" ht="80.25" hidden="1" customHeight="1" x14ac:dyDescent="0.35">
      <c r="B209" s="51" t="s">
        <v>33</v>
      </c>
      <c r="C209" s="51" t="s">
        <v>1154</v>
      </c>
      <c r="D209" s="51" t="s">
        <v>34</v>
      </c>
      <c r="E209" s="52">
        <v>3</v>
      </c>
      <c r="F209" s="51" t="s">
        <v>1199</v>
      </c>
      <c r="G209" s="51" t="s">
        <v>1200</v>
      </c>
      <c r="H209" s="54" t="s">
        <v>200</v>
      </c>
      <c r="I209" s="52">
        <v>6</v>
      </c>
      <c r="J209" s="51" t="s">
        <v>123</v>
      </c>
      <c r="K209" s="52">
        <v>10</v>
      </c>
      <c r="L209" s="52"/>
      <c r="M209" s="52"/>
      <c r="N209" s="53" t="s">
        <v>1201</v>
      </c>
      <c r="O209" s="53" t="s">
        <v>1202</v>
      </c>
      <c r="P209" s="52"/>
      <c r="Q209" s="54"/>
      <c r="R209" s="55" t="s">
        <v>1160</v>
      </c>
      <c r="S209" s="51" t="s">
        <v>1203</v>
      </c>
      <c r="T209" s="53" t="s">
        <v>1161</v>
      </c>
      <c r="U209" s="53" t="s">
        <v>1187</v>
      </c>
      <c r="V209" s="139" t="s">
        <v>1204</v>
      </c>
      <c r="W209" s="319" t="s">
        <v>1205</v>
      </c>
      <c r="X209" s="51" t="s">
        <v>1165</v>
      </c>
      <c r="Y209" s="54" t="s">
        <v>1166</v>
      </c>
      <c r="Z209" s="54" t="s">
        <v>1206</v>
      </c>
      <c r="AA209" s="52" t="s">
        <v>372</v>
      </c>
    </row>
    <row r="210" spans="2:27" ht="80.25" hidden="1" customHeight="1" x14ac:dyDescent="0.35">
      <c r="B210" s="51" t="s">
        <v>33</v>
      </c>
      <c r="C210" s="51" t="s">
        <v>1154</v>
      </c>
      <c r="D210" s="51" t="s">
        <v>34</v>
      </c>
      <c r="E210" s="52">
        <v>3</v>
      </c>
      <c r="F210" s="51" t="s">
        <v>1207</v>
      </c>
      <c r="G210" s="51" t="s">
        <v>1208</v>
      </c>
      <c r="H210" s="54" t="s">
        <v>200</v>
      </c>
      <c r="I210" s="52">
        <v>7</v>
      </c>
      <c r="J210" s="51" t="s">
        <v>123</v>
      </c>
      <c r="K210" s="52">
        <v>10</v>
      </c>
      <c r="L210" s="52"/>
      <c r="M210" s="52"/>
      <c r="N210" s="53" t="s">
        <v>1209</v>
      </c>
      <c r="O210" s="53" t="s">
        <v>1210</v>
      </c>
      <c r="P210" s="52"/>
      <c r="Q210" s="54"/>
      <c r="R210" s="55" t="s">
        <v>1160</v>
      </c>
      <c r="S210" s="51" t="s">
        <v>1211</v>
      </c>
      <c r="T210" s="53" t="s">
        <v>1161</v>
      </c>
      <c r="U210" s="53" t="s">
        <v>1187</v>
      </c>
      <c r="V210" s="53" t="s">
        <v>1212</v>
      </c>
      <c r="W210" s="319" t="s">
        <v>1213</v>
      </c>
      <c r="X210" s="51" t="s">
        <v>1165</v>
      </c>
      <c r="Y210" s="54" t="s">
        <v>1166</v>
      </c>
      <c r="Z210" s="54" t="s">
        <v>1214</v>
      </c>
      <c r="AA210" s="52" t="s">
        <v>372</v>
      </c>
    </row>
    <row r="211" spans="2:27" ht="80.25" hidden="1" customHeight="1" x14ac:dyDescent="0.35">
      <c r="B211" s="51" t="s">
        <v>33</v>
      </c>
      <c r="C211" s="51" t="s">
        <v>1154</v>
      </c>
      <c r="D211" s="51" t="s">
        <v>34</v>
      </c>
      <c r="E211" s="52">
        <v>3</v>
      </c>
      <c r="F211" s="51" t="s">
        <v>1215</v>
      </c>
      <c r="G211" s="51" t="s">
        <v>1216</v>
      </c>
      <c r="H211" s="54" t="s">
        <v>1217</v>
      </c>
      <c r="I211" s="52">
        <v>8</v>
      </c>
      <c r="J211" s="51" t="s">
        <v>250</v>
      </c>
      <c r="K211" s="52">
        <v>23</v>
      </c>
      <c r="L211" s="52">
        <v>6</v>
      </c>
      <c r="M211" s="52"/>
      <c r="N211" s="53" t="s">
        <v>1218</v>
      </c>
      <c r="O211" s="53" t="s">
        <v>1219</v>
      </c>
      <c r="P211" s="52"/>
      <c r="Q211" s="54"/>
      <c r="R211" s="55" t="s">
        <v>1160</v>
      </c>
      <c r="S211" s="51" t="s">
        <v>1220</v>
      </c>
      <c r="T211" s="53" t="s">
        <v>1161</v>
      </c>
      <c r="U211" s="53" t="s">
        <v>1221</v>
      </c>
      <c r="V211" s="53" t="s">
        <v>1222</v>
      </c>
      <c r="W211" s="319" t="s">
        <v>1223</v>
      </c>
      <c r="X211" s="51" t="s">
        <v>1165</v>
      </c>
      <c r="Y211" s="54" t="s">
        <v>1224</v>
      </c>
      <c r="Z211" s="54" t="s">
        <v>1225</v>
      </c>
      <c r="AA211" s="52" t="s">
        <v>372</v>
      </c>
    </row>
    <row r="212" spans="2:27" ht="80.25" hidden="1" customHeight="1" x14ac:dyDescent="0.35">
      <c r="B212" s="51" t="s">
        <v>33</v>
      </c>
      <c r="C212" s="51" t="s">
        <v>1154</v>
      </c>
      <c r="D212" s="51" t="s">
        <v>34</v>
      </c>
      <c r="E212" s="52">
        <v>3</v>
      </c>
      <c r="F212" s="51" t="s">
        <v>1226</v>
      </c>
      <c r="G212" s="51" t="s">
        <v>1227</v>
      </c>
      <c r="H212" s="54" t="s">
        <v>1217</v>
      </c>
      <c r="I212" s="52">
        <v>9</v>
      </c>
      <c r="J212" s="51" t="s">
        <v>250</v>
      </c>
      <c r="K212" s="52">
        <v>23</v>
      </c>
      <c r="L212" s="52">
        <v>6</v>
      </c>
      <c r="M212" s="52"/>
      <c r="N212" s="53" t="s">
        <v>1228</v>
      </c>
      <c r="O212" s="53" t="s">
        <v>1229</v>
      </c>
      <c r="P212" s="52"/>
      <c r="Q212" s="54"/>
      <c r="R212" s="55" t="s">
        <v>1160</v>
      </c>
      <c r="S212" s="51" t="s">
        <v>1230</v>
      </c>
      <c r="T212" s="53" t="s">
        <v>1161</v>
      </c>
      <c r="U212" s="53" t="s">
        <v>1221</v>
      </c>
      <c r="V212" s="53" t="s">
        <v>1231</v>
      </c>
      <c r="W212" s="319" t="s">
        <v>1232</v>
      </c>
      <c r="X212" s="51" t="s">
        <v>1165</v>
      </c>
      <c r="Y212" s="54" t="s">
        <v>1224</v>
      </c>
      <c r="Z212" s="54" t="s">
        <v>1233</v>
      </c>
      <c r="AA212" s="52" t="s">
        <v>372</v>
      </c>
    </row>
    <row r="213" spans="2:27" ht="80.25" hidden="1" customHeight="1" x14ac:dyDescent="0.35">
      <c r="B213" s="51" t="s">
        <v>33</v>
      </c>
      <c r="C213" s="51" t="s">
        <v>1154</v>
      </c>
      <c r="D213" s="51" t="s">
        <v>34</v>
      </c>
      <c r="E213" s="52">
        <v>3</v>
      </c>
      <c r="F213" s="51" t="s">
        <v>1234</v>
      </c>
      <c r="G213" s="51" t="s">
        <v>1235</v>
      </c>
      <c r="H213" s="54" t="s">
        <v>295</v>
      </c>
      <c r="I213" s="52">
        <v>10</v>
      </c>
      <c r="J213" s="51" t="s">
        <v>123</v>
      </c>
      <c r="K213" s="52">
        <v>4</v>
      </c>
      <c r="L213" s="52"/>
      <c r="M213" s="52"/>
      <c r="N213" s="53" t="s">
        <v>1236</v>
      </c>
      <c r="O213" s="53" t="s">
        <v>1237</v>
      </c>
      <c r="P213" s="52"/>
      <c r="Q213" s="53" t="s">
        <v>1238</v>
      </c>
      <c r="R213" s="55" t="s">
        <v>1160</v>
      </c>
      <c r="S213" s="51" t="s">
        <v>1239</v>
      </c>
      <c r="T213" s="55" t="s">
        <v>1170</v>
      </c>
      <c r="U213" s="55" t="s">
        <v>1171</v>
      </c>
      <c r="V213" s="55" t="s">
        <v>131</v>
      </c>
      <c r="W213" s="355" t="s">
        <v>1240</v>
      </c>
      <c r="X213" s="51" t="s">
        <v>1165</v>
      </c>
      <c r="Y213" s="54" t="s">
        <v>1166</v>
      </c>
      <c r="Z213" s="69" t="s">
        <v>1241</v>
      </c>
      <c r="AA213" s="52" t="s">
        <v>372</v>
      </c>
    </row>
    <row r="214" spans="2:27" ht="80.25" hidden="1" customHeight="1" x14ac:dyDescent="0.35">
      <c r="B214" s="51" t="s">
        <v>33</v>
      </c>
      <c r="C214" s="51" t="s">
        <v>1154</v>
      </c>
      <c r="D214" s="51" t="s">
        <v>34</v>
      </c>
      <c r="E214" s="52">
        <v>3</v>
      </c>
      <c r="F214" s="51" t="s">
        <v>326</v>
      </c>
      <c r="G214" s="51" t="s">
        <v>327</v>
      </c>
      <c r="H214" s="51" t="s">
        <v>328</v>
      </c>
      <c r="I214" s="52">
        <v>11</v>
      </c>
      <c r="J214" s="51" t="s">
        <v>123</v>
      </c>
      <c r="K214" s="52">
        <v>10</v>
      </c>
      <c r="L214" s="52"/>
      <c r="M214" s="52"/>
      <c r="N214" s="53" t="s">
        <v>329</v>
      </c>
      <c r="O214" s="53" t="s">
        <v>361</v>
      </c>
      <c r="P214" s="52" t="s">
        <v>126</v>
      </c>
      <c r="Q214" s="54"/>
      <c r="R214" s="55"/>
      <c r="S214" s="51"/>
      <c r="T214" s="53" t="s">
        <v>1161</v>
      </c>
      <c r="U214" s="53" t="s">
        <v>1187</v>
      </c>
      <c r="V214" s="53" t="s">
        <v>804</v>
      </c>
      <c r="W214" s="319" t="s">
        <v>1242</v>
      </c>
      <c r="X214" s="51" t="s">
        <v>372</v>
      </c>
      <c r="Y214" s="51" t="s">
        <v>372</v>
      </c>
      <c r="Z214" s="51" t="s">
        <v>372</v>
      </c>
      <c r="AA214" s="52" t="s">
        <v>372</v>
      </c>
    </row>
    <row r="215" spans="2:27" ht="80.25" hidden="1" customHeight="1" x14ac:dyDescent="0.35">
      <c r="B215" s="51" t="s">
        <v>33</v>
      </c>
      <c r="C215" s="51" t="s">
        <v>1154</v>
      </c>
      <c r="D215" s="51" t="s">
        <v>34</v>
      </c>
      <c r="E215" s="52">
        <v>3</v>
      </c>
      <c r="F215" s="51" t="s">
        <v>333</v>
      </c>
      <c r="G215" s="51" t="s">
        <v>334</v>
      </c>
      <c r="H215" s="51" t="s">
        <v>335</v>
      </c>
      <c r="I215" s="52">
        <v>12</v>
      </c>
      <c r="J215" s="51" t="s">
        <v>336</v>
      </c>
      <c r="K215" s="52">
        <v>23</v>
      </c>
      <c r="L215" s="52"/>
      <c r="M215" s="52"/>
      <c r="N215" s="53" t="s">
        <v>337</v>
      </c>
      <c r="O215" s="53" t="s">
        <v>338</v>
      </c>
      <c r="P215" s="52"/>
      <c r="Q215" s="54"/>
      <c r="R215" s="55"/>
      <c r="S215" s="51"/>
      <c r="T215" s="53" t="s">
        <v>1161</v>
      </c>
      <c r="U215" s="53" t="s">
        <v>1187</v>
      </c>
      <c r="V215" s="53" t="s">
        <v>351</v>
      </c>
      <c r="W215" s="319" t="s">
        <v>1243</v>
      </c>
      <c r="X215" s="51" t="s">
        <v>372</v>
      </c>
      <c r="Y215" s="51" t="s">
        <v>372</v>
      </c>
      <c r="Z215" s="51" t="s">
        <v>372</v>
      </c>
      <c r="AA215" s="52" t="s">
        <v>372</v>
      </c>
    </row>
    <row r="216" spans="2:27" ht="80.25" hidden="1" customHeight="1" x14ac:dyDescent="0.35">
      <c r="B216" s="51" t="s">
        <v>33</v>
      </c>
      <c r="C216" s="51" t="s">
        <v>1244</v>
      </c>
      <c r="D216" s="51" t="s">
        <v>36</v>
      </c>
      <c r="E216" s="52">
        <v>2</v>
      </c>
      <c r="F216" s="51" t="s">
        <v>120</v>
      </c>
      <c r="G216" s="51" t="s">
        <v>121</v>
      </c>
      <c r="H216" s="51" t="s">
        <v>122</v>
      </c>
      <c r="I216" s="52">
        <v>1</v>
      </c>
      <c r="J216" s="51" t="s">
        <v>123</v>
      </c>
      <c r="K216" s="52">
        <v>4</v>
      </c>
      <c r="L216" s="52"/>
      <c r="M216" s="52"/>
      <c r="N216" s="328" t="s">
        <v>124</v>
      </c>
      <c r="O216" s="53" t="s">
        <v>125</v>
      </c>
      <c r="P216" s="52" t="s">
        <v>126</v>
      </c>
      <c r="Q216" s="54"/>
      <c r="R216" s="55"/>
      <c r="S216" s="51"/>
      <c r="T216" s="53" t="s">
        <v>1170</v>
      </c>
      <c r="U216" s="53" t="s">
        <v>1245</v>
      </c>
      <c r="V216" s="53" t="s">
        <v>555</v>
      </c>
      <c r="W216" s="326" t="s">
        <v>1246</v>
      </c>
      <c r="X216" s="51" t="s">
        <v>1165</v>
      </c>
      <c r="Y216" s="54" t="s">
        <v>372</v>
      </c>
      <c r="Z216" s="54" t="s">
        <v>372</v>
      </c>
      <c r="AA216" s="52" t="s">
        <v>373</v>
      </c>
    </row>
    <row r="217" spans="2:27" ht="80.25" hidden="1" customHeight="1" x14ac:dyDescent="0.35">
      <c r="B217" s="51" t="s">
        <v>33</v>
      </c>
      <c r="C217" s="51" t="s">
        <v>1244</v>
      </c>
      <c r="D217" s="51" t="s">
        <v>36</v>
      </c>
      <c r="E217" s="52">
        <v>2</v>
      </c>
      <c r="F217" s="51" t="s">
        <v>1174</v>
      </c>
      <c r="G217" s="51" t="s">
        <v>1175</v>
      </c>
      <c r="H217" s="51" t="s">
        <v>122</v>
      </c>
      <c r="I217" s="52">
        <v>2</v>
      </c>
      <c r="J217" s="51" t="s">
        <v>123</v>
      </c>
      <c r="K217" s="52">
        <v>15</v>
      </c>
      <c r="L217" s="52"/>
      <c r="M217" s="52"/>
      <c r="N217" s="53" t="s">
        <v>1247</v>
      </c>
      <c r="O217" s="53" t="s">
        <v>1248</v>
      </c>
      <c r="P217" s="52" t="s">
        <v>126</v>
      </c>
      <c r="Q217" s="54"/>
      <c r="R217" s="79"/>
      <c r="S217" s="79"/>
      <c r="T217" s="53" t="s">
        <v>1161</v>
      </c>
      <c r="U217" s="53" t="s">
        <v>1249</v>
      </c>
      <c r="V217" s="53" t="s">
        <v>633</v>
      </c>
      <c r="W217" s="319" t="s">
        <v>1250</v>
      </c>
      <c r="X217" s="51" t="s">
        <v>1165</v>
      </c>
      <c r="Y217" s="54" t="s">
        <v>1182</v>
      </c>
      <c r="Z217" s="54" t="s">
        <v>582</v>
      </c>
      <c r="AA217" s="52" t="s">
        <v>372</v>
      </c>
    </row>
    <row r="218" spans="2:27" ht="80.25" hidden="1" customHeight="1" x14ac:dyDescent="0.35">
      <c r="B218" s="51" t="s">
        <v>33</v>
      </c>
      <c r="C218" s="51" t="s">
        <v>1244</v>
      </c>
      <c r="D218" s="51" t="s">
        <v>36</v>
      </c>
      <c r="E218" s="52">
        <v>2</v>
      </c>
      <c r="F218" s="51" t="s">
        <v>148</v>
      </c>
      <c r="G218" s="51" t="s">
        <v>149</v>
      </c>
      <c r="H218" s="54" t="s">
        <v>150</v>
      </c>
      <c r="I218" s="52">
        <v>3</v>
      </c>
      <c r="J218" s="51" t="s">
        <v>123</v>
      </c>
      <c r="K218" s="52">
        <v>4</v>
      </c>
      <c r="L218" s="52"/>
      <c r="M218" s="52"/>
      <c r="N218" s="53" t="s">
        <v>151</v>
      </c>
      <c r="O218" s="53" t="s">
        <v>152</v>
      </c>
      <c r="P218" s="52"/>
      <c r="Q218" s="53" t="s">
        <v>586</v>
      </c>
      <c r="R218" s="55"/>
      <c r="S218" s="51"/>
      <c r="T218" s="53" t="s">
        <v>1170</v>
      </c>
      <c r="U218" s="53" t="s">
        <v>1245</v>
      </c>
      <c r="V218" s="53" t="s">
        <v>555</v>
      </c>
      <c r="W218" s="326" t="s">
        <v>1251</v>
      </c>
      <c r="X218" s="51" t="s">
        <v>372</v>
      </c>
      <c r="Y218" s="54" t="s">
        <v>372</v>
      </c>
      <c r="Z218" s="54" t="s">
        <v>372</v>
      </c>
      <c r="AA218" s="52" t="s">
        <v>372</v>
      </c>
    </row>
    <row r="219" spans="2:27" ht="80.25" hidden="1" customHeight="1" x14ac:dyDescent="0.35">
      <c r="B219" s="51" t="s">
        <v>33</v>
      </c>
      <c r="C219" s="51" t="s">
        <v>1244</v>
      </c>
      <c r="D219" s="51" t="s">
        <v>36</v>
      </c>
      <c r="E219" s="52">
        <v>2</v>
      </c>
      <c r="F219" s="51" t="s">
        <v>155</v>
      </c>
      <c r="G219" s="51" t="s">
        <v>156</v>
      </c>
      <c r="H219" s="54" t="s">
        <v>150</v>
      </c>
      <c r="I219" s="52">
        <v>3</v>
      </c>
      <c r="J219" s="51" t="s">
        <v>123</v>
      </c>
      <c r="K219" s="52">
        <v>4</v>
      </c>
      <c r="L219" s="52"/>
      <c r="M219" s="52"/>
      <c r="N219" s="53" t="s">
        <v>157</v>
      </c>
      <c r="O219" s="53" t="s">
        <v>158</v>
      </c>
      <c r="P219" s="52"/>
      <c r="Q219" s="53" t="s">
        <v>1252</v>
      </c>
      <c r="R219" s="63"/>
      <c r="S219" s="61"/>
      <c r="T219" s="53" t="s">
        <v>1178</v>
      </c>
      <c r="U219" s="53" t="s">
        <v>1253</v>
      </c>
      <c r="V219" s="53" t="s">
        <v>1254</v>
      </c>
      <c r="W219" s="319" t="s">
        <v>1255</v>
      </c>
      <c r="X219" s="51" t="s">
        <v>1165</v>
      </c>
      <c r="Y219" s="54" t="s">
        <v>1256</v>
      </c>
      <c r="Z219" s="54" t="s">
        <v>590</v>
      </c>
      <c r="AA219" s="52" t="s">
        <v>372</v>
      </c>
    </row>
    <row r="220" spans="2:27" ht="80.25" hidden="1" customHeight="1" x14ac:dyDescent="0.35">
      <c r="B220" s="51" t="s">
        <v>33</v>
      </c>
      <c r="C220" s="51" t="s">
        <v>1244</v>
      </c>
      <c r="D220" s="51" t="s">
        <v>36</v>
      </c>
      <c r="E220" s="52">
        <v>2</v>
      </c>
      <c r="F220" s="51" t="s">
        <v>167</v>
      </c>
      <c r="G220" s="51" t="s">
        <v>168</v>
      </c>
      <c r="H220" s="54" t="s">
        <v>150</v>
      </c>
      <c r="I220" s="52">
        <v>3</v>
      </c>
      <c r="J220" s="51" t="s">
        <v>123</v>
      </c>
      <c r="K220" s="52">
        <v>4</v>
      </c>
      <c r="L220" s="52"/>
      <c r="M220" s="52"/>
      <c r="N220" s="53" t="s">
        <v>169</v>
      </c>
      <c r="O220" s="53" t="s">
        <v>170</v>
      </c>
      <c r="P220" s="52"/>
      <c r="Q220" s="53" t="s">
        <v>1257</v>
      </c>
      <c r="R220" s="63"/>
      <c r="S220" s="61"/>
      <c r="T220" s="53" t="s">
        <v>1178</v>
      </c>
      <c r="U220" s="53" t="s">
        <v>1253</v>
      </c>
      <c r="V220" s="53" t="s">
        <v>1258</v>
      </c>
      <c r="W220" s="319" t="s">
        <v>1259</v>
      </c>
      <c r="X220" s="51" t="s">
        <v>1165</v>
      </c>
      <c r="Y220" s="54" t="s">
        <v>1256</v>
      </c>
      <c r="Z220" s="54" t="s">
        <v>593</v>
      </c>
      <c r="AA220" s="52" t="s">
        <v>372</v>
      </c>
    </row>
    <row r="221" spans="2:27" ht="80.25" hidden="1" customHeight="1" x14ac:dyDescent="0.35">
      <c r="B221" s="51" t="s">
        <v>33</v>
      </c>
      <c r="C221" s="51" t="s">
        <v>1244</v>
      </c>
      <c r="D221" s="51" t="s">
        <v>36</v>
      </c>
      <c r="E221" s="52">
        <v>2</v>
      </c>
      <c r="F221" s="51" t="s">
        <v>176</v>
      </c>
      <c r="G221" s="51" t="s">
        <v>177</v>
      </c>
      <c r="H221" s="54" t="s">
        <v>150</v>
      </c>
      <c r="I221" s="52">
        <v>6</v>
      </c>
      <c r="J221" s="51" t="s">
        <v>123</v>
      </c>
      <c r="K221" s="52">
        <v>4</v>
      </c>
      <c r="L221" s="52"/>
      <c r="M221" s="52"/>
      <c r="N221" s="76" t="s">
        <v>1260</v>
      </c>
      <c r="O221" s="53" t="s">
        <v>179</v>
      </c>
      <c r="P221" s="52"/>
      <c r="Q221" s="54"/>
      <c r="R221" s="55"/>
      <c r="S221" s="51"/>
      <c r="T221" s="53" t="s">
        <v>1170</v>
      </c>
      <c r="U221" s="53" t="s">
        <v>1261</v>
      </c>
      <c r="V221" s="53" t="s">
        <v>555</v>
      </c>
      <c r="W221" s="326" t="s">
        <v>1262</v>
      </c>
      <c r="X221" s="51" t="s">
        <v>1165</v>
      </c>
      <c r="Y221" s="54" t="s">
        <v>372</v>
      </c>
      <c r="Z221" s="54" t="s">
        <v>372</v>
      </c>
      <c r="AA221" s="52" t="s">
        <v>373</v>
      </c>
    </row>
    <row r="222" spans="2:27" ht="80.25" hidden="1" customHeight="1" x14ac:dyDescent="0.35">
      <c r="B222" s="51" t="s">
        <v>33</v>
      </c>
      <c r="C222" s="51" t="s">
        <v>1244</v>
      </c>
      <c r="D222" s="51" t="s">
        <v>36</v>
      </c>
      <c r="E222" s="52">
        <v>2</v>
      </c>
      <c r="F222" s="51" t="s">
        <v>187</v>
      </c>
      <c r="G222" s="51" t="s">
        <v>188</v>
      </c>
      <c r="H222" s="54" t="s">
        <v>150</v>
      </c>
      <c r="I222" s="52">
        <v>7</v>
      </c>
      <c r="J222" s="51" t="s">
        <v>123</v>
      </c>
      <c r="K222" s="52">
        <v>30</v>
      </c>
      <c r="L222" s="52"/>
      <c r="M222" s="52"/>
      <c r="N222" s="53" t="s">
        <v>1263</v>
      </c>
      <c r="O222" s="53" t="s">
        <v>190</v>
      </c>
      <c r="P222" s="52"/>
      <c r="Q222" s="54"/>
      <c r="R222" s="55"/>
      <c r="S222" s="55"/>
      <c r="T222" s="53" t="s">
        <v>1178</v>
      </c>
      <c r="U222" s="53" t="s">
        <v>1264</v>
      </c>
      <c r="V222" s="53" t="s">
        <v>1265</v>
      </c>
      <c r="W222" s="319" t="s">
        <v>1266</v>
      </c>
      <c r="X222" s="51" t="s">
        <v>1165</v>
      </c>
      <c r="Y222" s="54" t="s">
        <v>1267</v>
      </c>
      <c r="Z222" s="54" t="s">
        <v>1268</v>
      </c>
      <c r="AA222" s="52" t="s">
        <v>372</v>
      </c>
    </row>
    <row r="223" spans="2:27" ht="80.25" hidden="1" customHeight="1" x14ac:dyDescent="0.35">
      <c r="B223" s="51" t="s">
        <v>33</v>
      </c>
      <c r="C223" s="51" t="s">
        <v>1244</v>
      </c>
      <c r="D223" s="51" t="s">
        <v>36</v>
      </c>
      <c r="E223" s="52">
        <v>2</v>
      </c>
      <c r="F223" s="51" t="s">
        <v>198</v>
      </c>
      <c r="G223" s="51" t="s">
        <v>199</v>
      </c>
      <c r="H223" s="54" t="s">
        <v>200</v>
      </c>
      <c r="I223" s="52">
        <v>8</v>
      </c>
      <c r="J223" s="51" t="s">
        <v>123</v>
      </c>
      <c r="K223" s="52">
        <v>10</v>
      </c>
      <c r="L223" s="52"/>
      <c r="M223" s="52"/>
      <c r="N223" s="53" t="s">
        <v>1269</v>
      </c>
      <c r="O223" s="53" t="s">
        <v>202</v>
      </c>
      <c r="P223" s="52"/>
      <c r="Q223" s="54"/>
      <c r="R223" s="63"/>
      <c r="S223" s="61"/>
      <c r="T223" s="53" t="s">
        <v>1161</v>
      </c>
      <c r="U223" s="53" t="s">
        <v>1270</v>
      </c>
      <c r="V223" s="53" t="s">
        <v>1271</v>
      </c>
      <c r="W223" s="319" t="s">
        <v>1272</v>
      </c>
      <c r="X223" s="51" t="s">
        <v>1165</v>
      </c>
      <c r="Y223" s="54" t="s">
        <v>1182</v>
      </c>
      <c r="Z223" s="54" t="s">
        <v>1273</v>
      </c>
      <c r="AA223" s="52" t="s">
        <v>372</v>
      </c>
    </row>
    <row r="224" spans="2:27" ht="80.25" hidden="1" customHeight="1" x14ac:dyDescent="0.35">
      <c r="B224" s="51" t="s">
        <v>33</v>
      </c>
      <c r="C224" s="51" t="s">
        <v>1244</v>
      </c>
      <c r="D224" s="51" t="s">
        <v>36</v>
      </c>
      <c r="E224" s="52">
        <v>2</v>
      </c>
      <c r="F224" s="51" t="s">
        <v>210</v>
      </c>
      <c r="G224" s="51" t="s">
        <v>211</v>
      </c>
      <c r="H224" s="54" t="s">
        <v>200</v>
      </c>
      <c r="I224" s="52">
        <v>9</v>
      </c>
      <c r="J224" s="51" t="s">
        <v>123</v>
      </c>
      <c r="K224" s="52">
        <v>10</v>
      </c>
      <c r="L224" s="52"/>
      <c r="M224" s="52"/>
      <c r="N224" s="53" t="s">
        <v>212</v>
      </c>
      <c r="O224" s="53" t="s">
        <v>213</v>
      </c>
      <c r="P224" s="52"/>
      <c r="Q224" s="54"/>
      <c r="R224" s="63"/>
      <c r="S224" s="61"/>
      <c r="T224" s="53" t="s">
        <v>1161</v>
      </c>
      <c r="U224" s="53" t="s">
        <v>1270</v>
      </c>
      <c r="V224" s="53" t="s">
        <v>351</v>
      </c>
      <c r="W224" s="319" t="s">
        <v>1274</v>
      </c>
      <c r="X224" s="51" t="s">
        <v>1165</v>
      </c>
      <c r="Y224" s="54" t="s">
        <v>372</v>
      </c>
      <c r="Z224" s="54" t="s">
        <v>372</v>
      </c>
      <c r="AA224" s="64" t="s">
        <v>636</v>
      </c>
    </row>
    <row r="225" spans="2:27" ht="80.25" hidden="1" customHeight="1" x14ac:dyDescent="0.35">
      <c r="B225" s="51" t="s">
        <v>33</v>
      </c>
      <c r="C225" s="51" t="s">
        <v>1244</v>
      </c>
      <c r="D225" s="51" t="s">
        <v>36</v>
      </c>
      <c r="E225" s="52">
        <v>2</v>
      </c>
      <c r="F225" s="51" t="s">
        <v>222</v>
      </c>
      <c r="G225" s="51" t="s">
        <v>223</v>
      </c>
      <c r="H225" s="54" t="s">
        <v>1275</v>
      </c>
      <c r="I225" s="52">
        <v>10</v>
      </c>
      <c r="J225" s="51" t="s">
        <v>123</v>
      </c>
      <c r="K225" s="52">
        <v>4</v>
      </c>
      <c r="L225" s="52"/>
      <c r="M225" s="52"/>
      <c r="N225" s="53" t="s">
        <v>1276</v>
      </c>
      <c r="O225" s="53" t="s">
        <v>226</v>
      </c>
      <c r="P225" s="52"/>
      <c r="Q225" s="53" t="s">
        <v>1277</v>
      </c>
      <c r="R225" s="63"/>
      <c r="S225" s="61"/>
      <c r="T225" s="53" t="s">
        <v>1161</v>
      </c>
      <c r="U225" s="53" t="s">
        <v>1270</v>
      </c>
      <c r="V225" s="53" t="s">
        <v>1278</v>
      </c>
      <c r="W225" s="319" t="s">
        <v>1279</v>
      </c>
      <c r="X225" s="51" t="s">
        <v>1165</v>
      </c>
      <c r="Y225" s="54" t="s">
        <v>1182</v>
      </c>
      <c r="Z225" s="54" t="s">
        <v>1280</v>
      </c>
      <c r="AA225" s="52" t="s">
        <v>372</v>
      </c>
    </row>
    <row r="226" spans="2:27" ht="80.25" hidden="1" customHeight="1" x14ac:dyDescent="0.35">
      <c r="B226" s="51" t="s">
        <v>33</v>
      </c>
      <c r="C226" s="51" t="s">
        <v>1244</v>
      </c>
      <c r="D226" s="51" t="s">
        <v>36</v>
      </c>
      <c r="E226" s="52">
        <v>2</v>
      </c>
      <c r="F226" s="51" t="s">
        <v>1281</v>
      </c>
      <c r="G226" s="51" t="s">
        <v>1282</v>
      </c>
      <c r="H226" s="54" t="s">
        <v>295</v>
      </c>
      <c r="I226" s="52">
        <v>11</v>
      </c>
      <c r="J226" s="51" t="s">
        <v>123</v>
      </c>
      <c r="K226" s="52">
        <v>4</v>
      </c>
      <c r="L226" s="52"/>
      <c r="M226" s="52"/>
      <c r="N226" s="53" t="s">
        <v>1283</v>
      </c>
      <c r="O226" s="53" t="s">
        <v>1284</v>
      </c>
      <c r="P226" s="52"/>
      <c r="Q226" s="53" t="s">
        <v>1285</v>
      </c>
      <c r="R226" s="63"/>
      <c r="S226" s="61"/>
      <c r="T226" s="55" t="s">
        <v>1170</v>
      </c>
      <c r="U226" s="55" t="s">
        <v>1286</v>
      </c>
      <c r="V226" s="55" t="s">
        <v>555</v>
      </c>
      <c r="W226" s="355" t="s">
        <v>1287</v>
      </c>
      <c r="X226" s="51" t="s">
        <v>1165</v>
      </c>
      <c r="Y226" s="54" t="s">
        <v>1182</v>
      </c>
      <c r="Z226" s="54" t="s">
        <v>1288</v>
      </c>
      <c r="AA226" s="52" t="s">
        <v>372</v>
      </c>
    </row>
    <row r="227" spans="2:27" ht="80.25" hidden="1" customHeight="1" x14ac:dyDescent="0.35">
      <c r="B227" s="51" t="s">
        <v>33</v>
      </c>
      <c r="C227" s="51" t="s">
        <v>1244</v>
      </c>
      <c r="D227" s="51" t="s">
        <v>36</v>
      </c>
      <c r="E227" s="52">
        <v>2</v>
      </c>
      <c r="F227" s="51" t="s">
        <v>326</v>
      </c>
      <c r="G227" s="51" t="s">
        <v>327</v>
      </c>
      <c r="H227" s="51" t="s">
        <v>328</v>
      </c>
      <c r="I227" s="52">
        <v>12</v>
      </c>
      <c r="J227" s="51" t="s">
        <v>123</v>
      </c>
      <c r="K227" s="52">
        <v>10</v>
      </c>
      <c r="L227" s="52"/>
      <c r="M227" s="52"/>
      <c r="N227" s="53" t="s">
        <v>329</v>
      </c>
      <c r="O227" s="53" t="s">
        <v>361</v>
      </c>
      <c r="P227" s="52" t="s">
        <v>126</v>
      </c>
      <c r="Q227" s="54"/>
      <c r="R227" s="63"/>
      <c r="S227" s="61"/>
      <c r="T227" s="53" t="s">
        <v>1161</v>
      </c>
      <c r="U227" s="53" t="s">
        <v>1270</v>
      </c>
      <c r="V227" s="53" t="s">
        <v>804</v>
      </c>
      <c r="W227" s="319" t="s">
        <v>1289</v>
      </c>
      <c r="X227" s="51" t="s">
        <v>372</v>
      </c>
      <c r="Y227" s="54" t="s">
        <v>372</v>
      </c>
      <c r="Z227" s="54" t="s">
        <v>372</v>
      </c>
      <c r="AA227" s="52" t="s">
        <v>372</v>
      </c>
    </row>
    <row r="228" spans="2:27" ht="80.25" hidden="1" customHeight="1" x14ac:dyDescent="0.35">
      <c r="B228" s="51" t="s">
        <v>33</v>
      </c>
      <c r="C228" s="51" t="s">
        <v>1244</v>
      </c>
      <c r="D228" s="51" t="s">
        <v>36</v>
      </c>
      <c r="E228" s="52">
        <v>2</v>
      </c>
      <c r="F228" s="51" t="s">
        <v>333</v>
      </c>
      <c r="G228" s="51" t="s">
        <v>334</v>
      </c>
      <c r="H228" s="51" t="s">
        <v>335</v>
      </c>
      <c r="I228" s="52">
        <v>13</v>
      </c>
      <c r="J228" s="51" t="s">
        <v>336</v>
      </c>
      <c r="K228" s="52">
        <v>23</v>
      </c>
      <c r="L228" s="52"/>
      <c r="M228" s="52"/>
      <c r="N228" s="53" t="s">
        <v>337</v>
      </c>
      <c r="O228" s="53" t="s">
        <v>338</v>
      </c>
      <c r="P228" s="52"/>
      <c r="Q228" s="54"/>
      <c r="R228" s="55"/>
      <c r="S228" s="51"/>
      <c r="T228" s="53" t="s">
        <v>1161</v>
      </c>
      <c r="U228" s="53" t="s">
        <v>1270</v>
      </c>
      <c r="V228" s="53" t="s">
        <v>351</v>
      </c>
      <c r="W228" s="319" t="s">
        <v>1290</v>
      </c>
      <c r="X228" s="51" t="s">
        <v>372</v>
      </c>
      <c r="Y228" s="54" t="s">
        <v>372</v>
      </c>
      <c r="Z228" s="54" t="s">
        <v>372</v>
      </c>
      <c r="AA228" s="52" t="s">
        <v>372</v>
      </c>
    </row>
    <row r="229" spans="2:27" ht="80.25" hidden="1" customHeight="1" x14ac:dyDescent="0.35">
      <c r="B229" s="51" t="s">
        <v>33</v>
      </c>
      <c r="C229" s="51" t="s">
        <v>1291</v>
      </c>
      <c r="D229" s="51" t="s">
        <v>38</v>
      </c>
      <c r="E229" s="52">
        <v>1</v>
      </c>
      <c r="F229" s="51" t="s">
        <v>120</v>
      </c>
      <c r="G229" s="51" t="s">
        <v>121</v>
      </c>
      <c r="H229" s="51" t="s">
        <v>122</v>
      </c>
      <c r="I229" s="52">
        <v>1</v>
      </c>
      <c r="J229" s="51" t="s">
        <v>123</v>
      </c>
      <c r="K229" s="52">
        <v>4</v>
      </c>
      <c r="L229" s="52"/>
      <c r="M229" s="52"/>
      <c r="N229" s="328" t="s">
        <v>124</v>
      </c>
      <c r="O229" s="53" t="s">
        <v>125</v>
      </c>
      <c r="P229" s="52" t="s">
        <v>126</v>
      </c>
      <c r="Q229" s="54"/>
      <c r="R229" s="55"/>
      <c r="S229" s="51"/>
      <c r="T229" s="55" t="s">
        <v>1292</v>
      </c>
      <c r="U229" s="55" t="s">
        <v>1293</v>
      </c>
      <c r="V229" s="55" t="s">
        <v>184</v>
      </c>
      <c r="W229" s="82" t="s">
        <v>1294</v>
      </c>
      <c r="X229" s="55" t="s">
        <v>1295</v>
      </c>
      <c r="Y229" s="53" t="s">
        <v>323</v>
      </c>
      <c r="Z229" s="53" t="s">
        <v>323</v>
      </c>
      <c r="AA229" s="60" t="s">
        <v>814</v>
      </c>
    </row>
    <row r="230" spans="2:27" ht="80.25" hidden="1" customHeight="1" x14ac:dyDescent="0.35">
      <c r="B230" s="51" t="s">
        <v>33</v>
      </c>
      <c r="C230" s="51" t="s">
        <v>1291</v>
      </c>
      <c r="D230" s="51" t="s">
        <v>38</v>
      </c>
      <c r="E230" s="52">
        <v>1</v>
      </c>
      <c r="F230" s="51" t="s">
        <v>136</v>
      </c>
      <c r="G230" s="51" t="s">
        <v>137</v>
      </c>
      <c r="H230" s="51" t="s">
        <v>122</v>
      </c>
      <c r="I230" s="52">
        <v>2</v>
      </c>
      <c r="J230" s="51" t="s">
        <v>123</v>
      </c>
      <c r="K230" s="52">
        <v>30</v>
      </c>
      <c r="L230" s="52"/>
      <c r="M230" s="52"/>
      <c r="N230" s="53" t="s">
        <v>138</v>
      </c>
      <c r="O230" s="53" t="s">
        <v>139</v>
      </c>
      <c r="P230" s="52" t="s">
        <v>126</v>
      </c>
      <c r="Q230" s="54"/>
      <c r="R230" s="55"/>
      <c r="S230" s="51"/>
      <c r="T230" s="55" t="s">
        <v>1296</v>
      </c>
      <c r="U230" s="55" t="s">
        <v>1297</v>
      </c>
      <c r="V230" s="55" t="s">
        <v>1298</v>
      </c>
      <c r="W230" s="82" t="s">
        <v>1299</v>
      </c>
      <c r="X230" s="55" t="s">
        <v>1295</v>
      </c>
      <c r="Y230" s="53" t="s">
        <v>1300</v>
      </c>
      <c r="Z230" s="53" t="s">
        <v>1301</v>
      </c>
      <c r="AA230" s="60" t="s">
        <v>323</v>
      </c>
    </row>
    <row r="231" spans="2:27" ht="80.25" hidden="1" customHeight="1" x14ac:dyDescent="0.35">
      <c r="B231" s="51" t="s">
        <v>33</v>
      </c>
      <c r="C231" s="51" t="s">
        <v>1291</v>
      </c>
      <c r="D231" s="51" t="s">
        <v>38</v>
      </c>
      <c r="E231" s="52">
        <v>1</v>
      </c>
      <c r="F231" s="51" t="s">
        <v>148</v>
      </c>
      <c r="G231" s="51" t="s">
        <v>149</v>
      </c>
      <c r="H231" s="54" t="s">
        <v>150</v>
      </c>
      <c r="I231" s="52">
        <v>3</v>
      </c>
      <c r="J231" s="51" t="s">
        <v>123</v>
      </c>
      <c r="K231" s="52">
        <v>4</v>
      </c>
      <c r="L231" s="52"/>
      <c r="M231" s="52"/>
      <c r="N231" s="53" t="s">
        <v>151</v>
      </c>
      <c r="O231" s="53" t="s">
        <v>152</v>
      </c>
      <c r="P231" s="52"/>
      <c r="Q231" s="53" t="s">
        <v>1302</v>
      </c>
      <c r="R231" s="55"/>
      <c r="S231" s="51"/>
      <c r="T231" s="55" t="s">
        <v>1292</v>
      </c>
      <c r="U231" s="55" t="s">
        <v>1303</v>
      </c>
      <c r="V231" s="55" t="s">
        <v>184</v>
      </c>
      <c r="W231" s="82" t="s">
        <v>1304</v>
      </c>
      <c r="X231" s="53" t="s">
        <v>323</v>
      </c>
      <c r="Y231" s="53" t="s">
        <v>323</v>
      </c>
      <c r="Z231" s="53" t="s">
        <v>323</v>
      </c>
      <c r="AA231" s="60" t="s">
        <v>323</v>
      </c>
    </row>
    <row r="232" spans="2:27" ht="80.25" hidden="1" customHeight="1" x14ac:dyDescent="0.35">
      <c r="B232" s="51" t="s">
        <v>33</v>
      </c>
      <c r="C232" s="51" t="s">
        <v>1291</v>
      </c>
      <c r="D232" s="51" t="s">
        <v>38</v>
      </c>
      <c r="E232" s="52">
        <v>1</v>
      </c>
      <c r="F232" s="51" t="s">
        <v>155</v>
      </c>
      <c r="G232" s="51" t="s">
        <v>156</v>
      </c>
      <c r="H232" s="54" t="s">
        <v>150</v>
      </c>
      <c r="I232" s="52">
        <v>4</v>
      </c>
      <c r="J232" s="51" t="s">
        <v>123</v>
      </c>
      <c r="K232" s="52">
        <v>4</v>
      </c>
      <c r="L232" s="52"/>
      <c r="M232" s="52"/>
      <c r="N232" s="53" t="s">
        <v>157</v>
      </c>
      <c r="O232" s="53" t="s">
        <v>158</v>
      </c>
      <c r="P232" s="52"/>
      <c r="Q232" s="53" t="s">
        <v>1305</v>
      </c>
      <c r="R232" s="55" t="s">
        <v>160</v>
      </c>
      <c r="S232" s="55" t="s">
        <v>161</v>
      </c>
      <c r="T232" s="55" t="s">
        <v>1306</v>
      </c>
      <c r="U232" s="55" t="s">
        <v>1307</v>
      </c>
      <c r="V232" s="55" t="s">
        <v>1308</v>
      </c>
      <c r="W232" s="82" t="s">
        <v>1309</v>
      </c>
      <c r="X232" s="55" t="s">
        <v>1295</v>
      </c>
      <c r="Y232" s="53" t="s">
        <v>1310</v>
      </c>
      <c r="Z232" s="53" t="s">
        <v>828</v>
      </c>
      <c r="AA232" s="60" t="s">
        <v>323</v>
      </c>
    </row>
    <row r="233" spans="2:27" ht="80.25" hidden="1" customHeight="1" x14ac:dyDescent="0.35">
      <c r="B233" s="51" t="s">
        <v>33</v>
      </c>
      <c r="C233" s="51" t="s">
        <v>1291</v>
      </c>
      <c r="D233" s="51" t="s">
        <v>38</v>
      </c>
      <c r="E233" s="52">
        <v>1</v>
      </c>
      <c r="F233" s="51" t="s">
        <v>167</v>
      </c>
      <c r="G233" s="51" t="s">
        <v>168</v>
      </c>
      <c r="H233" s="54" t="s">
        <v>150</v>
      </c>
      <c r="I233" s="52">
        <v>5</v>
      </c>
      <c r="J233" s="51" t="s">
        <v>123</v>
      </c>
      <c r="K233" s="52">
        <v>4</v>
      </c>
      <c r="L233" s="52"/>
      <c r="M233" s="52"/>
      <c r="N233" s="53" t="s">
        <v>169</v>
      </c>
      <c r="O233" s="53" t="s">
        <v>170</v>
      </c>
      <c r="P233" s="52"/>
      <c r="Q233" s="53" t="s">
        <v>1311</v>
      </c>
      <c r="R233" s="55" t="s">
        <v>160</v>
      </c>
      <c r="S233" s="55" t="s">
        <v>172</v>
      </c>
      <c r="T233" s="55" t="s">
        <v>1312</v>
      </c>
      <c r="U233" s="55" t="s">
        <v>1313</v>
      </c>
      <c r="V233" s="55" t="s">
        <v>1314</v>
      </c>
      <c r="W233" s="82" t="s">
        <v>1315</v>
      </c>
      <c r="X233" s="55" t="s">
        <v>1295</v>
      </c>
      <c r="Y233" s="53" t="s">
        <v>1310</v>
      </c>
      <c r="Z233" s="139" t="s">
        <v>832</v>
      </c>
      <c r="AA233" s="60" t="s">
        <v>323</v>
      </c>
    </row>
    <row r="234" spans="2:27" ht="80.25" hidden="1" customHeight="1" x14ac:dyDescent="0.35">
      <c r="B234" s="51" t="s">
        <v>33</v>
      </c>
      <c r="C234" s="51" t="s">
        <v>1291</v>
      </c>
      <c r="D234" s="51" t="s">
        <v>38</v>
      </c>
      <c r="E234" s="52">
        <v>2</v>
      </c>
      <c r="F234" s="51" t="s">
        <v>176</v>
      </c>
      <c r="G234" s="51" t="s">
        <v>177</v>
      </c>
      <c r="H234" s="54" t="s">
        <v>150</v>
      </c>
      <c r="I234" s="52">
        <v>6</v>
      </c>
      <c r="J234" s="51" t="s">
        <v>123</v>
      </c>
      <c r="K234" s="52">
        <v>4</v>
      </c>
      <c r="L234" s="52"/>
      <c r="M234" s="52"/>
      <c r="N234" s="76" t="s">
        <v>1260</v>
      </c>
      <c r="O234" s="53" t="s">
        <v>179</v>
      </c>
      <c r="P234" s="52"/>
      <c r="Q234" s="54"/>
      <c r="R234" s="55" t="s">
        <v>1316</v>
      </c>
      <c r="S234" s="55" t="s">
        <v>1317</v>
      </c>
      <c r="T234" s="55" t="s">
        <v>1292</v>
      </c>
      <c r="U234" s="55" t="s">
        <v>1303</v>
      </c>
      <c r="V234" s="55" t="s">
        <v>184</v>
      </c>
      <c r="W234" s="82" t="s">
        <v>1318</v>
      </c>
      <c r="X234" s="55" t="s">
        <v>1295</v>
      </c>
      <c r="Y234" s="53" t="s">
        <v>323</v>
      </c>
      <c r="Z234" s="53" t="s">
        <v>323</v>
      </c>
      <c r="AA234" s="60" t="s">
        <v>1319</v>
      </c>
    </row>
    <row r="235" spans="2:27" ht="80.25" hidden="1" customHeight="1" x14ac:dyDescent="0.35">
      <c r="B235" s="51" t="s">
        <v>33</v>
      </c>
      <c r="C235" s="51" t="s">
        <v>1291</v>
      </c>
      <c r="D235" s="51" t="s">
        <v>38</v>
      </c>
      <c r="E235" s="52">
        <v>2</v>
      </c>
      <c r="F235" s="51" t="s">
        <v>187</v>
      </c>
      <c r="G235" s="51" t="s">
        <v>188</v>
      </c>
      <c r="H235" s="54" t="s">
        <v>150</v>
      </c>
      <c r="I235" s="52">
        <v>7</v>
      </c>
      <c r="J235" s="51" t="s">
        <v>123</v>
      </c>
      <c r="K235" s="52">
        <v>30</v>
      </c>
      <c r="L235" s="52"/>
      <c r="M235" s="52"/>
      <c r="N235" s="53" t="s">
        <v>1320</v>
      </c>
      <c r="O235" s="53" t="s">
        <v>190</v>
      </c>
      <c r="P235" s="52"/>
      <c r="Q235" s="54"/>
      <c r="R235" s="55" t="s">
        <v>1316</v>
      </c>
      <c r="S235" s="55" t="s">
        <v>1317</v>
      </c>
      <c r="T235" s="55" t="s">
        <v>1306</v>
      </c>
      <c r="U235" s="55" t="s">
        <v>1321</v>
      </c>
      <c r="V235" s="55" t="s">
        <v>1322</v>
      </c>
      <c r="W235" s="82" t="s">
        <v>1323</v>
      </c>
      <c r="X235" s="55" t="s">
        <v>1295</v>
      </c>
      <c r="Y235" s="53" t="s">
        <v>1324</v>
      </c>
      <c r="Z235" s="53" t="s">
        <v>1325</v>
      </c>
      <c r="AA235" s="60" t="s">
        <v>844</v>
      </c>
    </row>
    <row r="236" spans="2:27" ht="80.25" hidden="1" customHeight="1" x14ac:dyDescent="0.35">
      <c r="B236" s="51" t="s">
        <v>33</v>
      </c>
      <c r="C236" s="51" t="s">
        <v>1291</v>
      </c>
      <c r="D236" s="51" t="s">
        <v>38</v>
      </c>
      <c r="E236" s="52">
        <v>1</v>
      </c>
      <c r="F236" s="51" t="s">
        <v>1168</v>
      </c>
      <c r="G236" s="51" t="s">
        <v>1169</v>
      </c>
      <c r="H236" s="51" t="s">
        <v>122</v>
      </c>
      <c r="I236" s="52">
        <v>8</v>
      </c>
      <c r="J236" s="51" t="s">
        <v>123</v>
      </c>
      <c r="K236" s="52">
        <v>4</v>
      </c>
      <c r="L236" s="52"/>
      <c r="M236" s="52"/>
      <c r="N236" s="328" t="s">
        <v>124</v>
      </c>
      <c r="O236" s="53" t="s">
        <v>125</v>
      </c>
      <c r="P236" s="52"/>
      <c r="Q236" s="54"/>
      <c r="R236" s="55" t="s">
        <v>1326</v>
      </c>
      <c r="S236" s="55" t="s">
        <v>1327</v>
      </c>
      <c r="T236" s="55" t="s">
        <v>1292</v>
      </c>
      <c r="U236" s="55" t="s">
        <v>1303</v>
      </c>
      <c r="V236" s="55" t="s">
        <v>184</v>
      </c>
      <c r="W236" s="82" t="s">
        <v>1328</v>
      </c>
      <c r="X236" s="55" t="s">
        <v>1295</v>
      </c>
      <c r="Y236" s="53" t="s">
        <v>323</v>
      </c>
      <c r="Z236" s="53" t="s">
        <v>323</v>
      </c>
      <c r="AA236" s="60" t="s">
        <v>847</v>
      </c>
    </row>
    <row r="237" spans="2:27" ht="80.25" hidden="1" customHeight="1" x14ac:dyDescent="0.35">
      <c r="B237" s="51" t="s">
        <v>33</v>
      </c>
      <c r="C237" s="51" t="s">
        <v>1291</v>
      </c>
      <c r="D237" s="51" t="s">
        <v>38</v>
      </c>
      <c r="E237" s="52">
        <v>1</v>
      </c>
      <c r="F237" s="51" t="s">
        <v>1174</v>
      </c>
      <c r="G237" s="51" t="s">
        <v>1175</v>
      </c>
      <c r="H237" s="51" t="s">
        <v>122</v>
      </c>
      <c r="I237" s="52">
        <v>9</v>
      </c>
      <c r="J237" s="51" t="s">
        <v>123</v>
      </c>
      <c r="K237" s="52">
        <v>15</v>
      </c>
      <c r="L237" s="52"/>
      <c r="M237" s="52"/>
      <c r="N237" s="53" t="s">
        <v>1329</v>
      </c>
      <c r="O237" s="53" t="s">
        <v>1330</v>
      </c>
      <c r="P237" s="52"/>
      <c r="Q237" s="54"/>
      <c r="R237" s="55" t="s">
        <v>1326</v>
      </c>
      <c r="S237" s="55" t="s">
        <v>1327</v>
      </c>
      <c r="T237" s="55" t="s">
        <v>1296</v>
      </c>
      <c r="U237" s="55" t="s">
        <v>1331</v>
      </c>
      <c r="V237" s="175" t="s">
        <v>1332</v>
      </c>
      <c r="W237" s="321" t="s">
        <v>1333</v>
      </c>
      <c r="X237" s="55" t="s">
        <v>1295</v>
      </c>
      <c r="Y237" s="53" t="s">
        <v>1334</v>
      </c>
      <c r="Z237" s="53" t="s">
        <v>1335</v>
      </c>
      <c r="AA237" s="60" t="s">
        <v>847</v>
      </c>
    </row>
    <row r="238" spans="2:27" ht="80.25" hidden="1" customHeight="1" x14ac:dyDescent="0.35">
      <c r="B238" s="51" t="s">
        <v>33</v>
      </c>
      <c r="C238" s="51" t="s">
        <v>1291</v>
      </c>
      <c r="D238" s="51" t="s">
        <v>38</v>
      </c>
      <c r="E238" s="52">
        <v>1</v>
      </c>
      <c r="F238" s="51" t="s">
        <v>198</v>
      </c>
      <c r="G238" s="51" t="s">
        <v>199</v>
      </c>
      <c r="H238" s="54" t="s">
        <v>200</v>
      </c>
      <c r="I238" s="52">
        <v>10</v>
      </c>
      <c r="J238" s="51" t="s">
        <v>123</v>
      </c>
      <c r="K238" s="52">
        <v>10</v>
      </c>
      <c r="L238" s="52"/>
      <c r="M238" s="52"/>
      <c r="N238" s="53" t="s">
        <v>201</v>
      </c>
      <c r="O238" s="53" t="s">
        <v>202</v>
      </c>
      <c r="P238" s="52"/>
      <c r="Q238" s="54"/>
      <c r="R238" s="55" t="s">
        <v>203</v>
      </c>
      <c r="S238" s="51" t="s">
        <v>198</v>
      </c>
      <c r="T238" s="55" t="s">
        <v>1296</v>
      </c>
      <c r="U238" s="55" t="s">
        <v>1331</v>
      </c>
      <c r="V238" s="53" t="s">
        <v>1336</v>
      </c>
      <c r="W238" s="82" t="s">
        <v>1337</v>
      </c>
      <c r="X238" s="55" t="s">
        <v>1295</v>
      </c>
      <c r="Y238" s="53" t="s">
        <v>1338</v>
      </c>
      <c r="Z238" s="53" t="s">
        <v>1339</v>
      </c>
      <c r="AA238" s="60" t="s">
        <v>323</v>
      </c>
    </row>
    <row r="239" spans="2:27" ht="80.25" hidden="1" customHeight="1" x14ac:dyDescent="0.35">
      <c r="B239" s="51" t="s">
        <v>33</v>
      </c>
      <c r="C239" s="51" t="s">
        <v>1291</v>
      </c>
      <c r="D239" s="51" t="s">
        <v>38</v>
      </c>
      <c r="E239" s="336">
        <v>1</v>
      </c>
      <c r="F239" s="220" t="s">
        <v>210</v>
      </c>
      <c r="G239" s="51" t="s">
        <v>211</v>
      </c>
      <c r="H239" s="54" t="s">
        <v>200</v>
      </c>
      <c r="I239" s="52">
        <v>11</v>
      </c>
      <c r="J239" s="51" t="s">
        <v>123</v>
      </c>
      <c r="K239" s="52">
        <v>10</v>
      </c>
      <c r="L239" s="52"/>
      <c r="M239" s="52"/>
      <c r="N239" s="53" t="s">
        <v>212</v>
      </c>
      <c r="O239" s="53" t="s">
        <v>213</v>
      </c>
      <c r="P239" s="52"/>
      <c r="Q239" s="54"/>
      <c r="R239" s="55" t="s">
        <v>214</v>
      </c>
      <c r="S239" s="51" t="s">
        <v>210</v>
      </c>
      <c r="T239" s="55" t="s">
        <v>1296</v>
      </c>
      <c r="U239" s="55" t="s">
        <v>1331</v>
      </c>
      <c r="V239" s="53" t="s">
        <v>1340</v>
      </c>
      <c r="W239" s="82" t="s">
        <v>1341</v>
      </c>
      <c r="X239" s="55" t="s">
        <v>1342</v>
      </c>
      <c r="Y239" s="53" t="s">
        <v>1343</v>
      </c>
      <c r="Z239" s="53" t="s">
        <v>1344</v>
      </c>
      <c r="AA239" s="60" t="s">
        <v>1345</v>
      </c>
    </row>
    <row r="240" spans="2:27" ht="80.25" hidden="1" customHeight="1" x14ac:dyDescent="0.35">
      <c r="B240" s="51" t="s">
        <v>33</v>
      </c>
      <c r="C240" s="51" t="s">
        <v>1291</v>
      </c>
      <c r="D240" s="51" t="s">
        <v>38</v>
      </c>
      <c r="E240" s="52">
        <v>1</v>
      </c>
      <c r="F240" s="51" t="s">
        <v>222</v>
      </c>
      <c r="G240" s="51" t="s">
        <v>223</v>
      </c>
      <c r="H240" s="54" t="s">
        <v>200</v>
      </c>
      <c r="I240" s="52">
        <v>12</v>
      </c>
      <c r="J240" s="51" t="s">
        <v>123</v>
      </c>
      <c r="K240" s="52">
        <v>4</v>
      </c>
      <c r="L240" s="52"/>
      <c r="M240" s="52"/>
      <c r="N240" s="53" t="s">
        <v>225</v>
      </c>
      <c r="O240" s="53" t="s">
        <v>226</v>
      </c>
      <c r="P240" s="52"/>
      <c r="Q240" s="53" t="s">
        <v>1346</v>
      </c>
      <c r="R240" s="55" t="s">
        <v>654</v>
      </c>
      <c r="S240" s="55" t="s">
        <v>229</v>
      </c>
      <c r="T240" s="55" t="s">
        <v>1347</v>
      </c>
      <c r="U240" s="55" t="s">
        <v>1331</v>
      </c>
      <c r="V240" s="53" t="s">
        <v>1348</v>
      </c>
      <c r="W240" s="82" t="s">
        <v>1349</v>
      </c>
      <c r="X240" s="55" t="s">
        <v>1350</v>
      </c>
      <c r="Y240" s="53" t="s">
        <v>1351</v>
      </c>
      <c r="Z240" s="53" t="s">
        <v>1352</v>
      </c>
      <c r="AA240" s="60" t="s">
        <v>872</v>
      </c>
    </row>
    <row r="241" spans="2:27" ht="80.25" hidden="1" customHeight="1" x14ac:dyDescent="0.35">
      <c r="B241" s="51" t="s">
        <v>33</v>
      </c>
      <c r="C241" s="51" t="s">
        <v>1291</v>
      </c>
      <c r="D241" s="51" t="s">
        <v>38</v>
      </c>
      <c r="E241" s="52">
        <v>1</v>
      </c>
      <c r="F241" s="51" t="s">
        <v>238</v>
      </c>
      <c r="G241" s="51" t="s">
        <v>239</v>
      </c>
      <c r="H241" s="54" t="s">
        <v>240</v>
      </c>
      <c r="I241" s="52">
        <v>13</v>
      </c>
      <c r="J241" s="51" t="s">
        <v>123</v>
      </c>
      <c r="K241" s="52">
        <v>4</v>
      </c>
      <c r="L241" s="52"/>
      <c r="M241" s="52"/>
      <c r="N241" s="53" t="s">
        <v>241</v>
      </c>
      <c r="O241" s="53" t="s">
        <v>242</v>
      </c>
      <c r="P241" s="52"/>
      <c r="Q241" s="54"/>
      <c r="R241" s="63"/>
      <c r="S241" s="61"/>
      <c r="T241" s="55" t="s">
        <v>1296</v>
      </c>
      <c r="U241" s="55" t="s">
        <v>1331</v>
      </c>
      <c r="V241" s="53" t="s">
        <v>244</v>
      </c>
      <c r="W241" s="82" t="s">
        <v>1353</v>
      </c>
      <c r="X241" s="55" t="s">
        <v>1342</v>
      </c>
      <c r="Y241" s="53" t="s">
        <v>1354</v>
      </c>
      <c r="Z241" s="53" t="s">
        <v>1355</v>
      </c>
      <c r="AA241" s="60" t="s">
        <v>1356</v>
      </c>
    </row>
    <row r="242" spans="2:27" ht="80.25" hidden="1" customHeight="1" x14ac:dyDescent="0.35">
      <c r="B242" s="51" t="s">
        <v>33</v>
      </c>
      <c r="C242" s="51" t="s">
        <v>1291</v>
      </c>
      <c r="D242" s="51" t="s">
        <v>38</v>
      </c>
      <c r="E242" s="52">
        <v>1</v>
      </c>
      <c r="F242" s="51" t="s">
        <v>1357</v>
      </c>
      <c r="G242" s="51" t="s">
        <v>1358</v>
      </c>
      <c r="H242" s="54" t="s">
        <v>1275</v>
      </c>
      <c r="I242" s="52">
        <v>14</v>
      </c>
      <c r="J242" s="51" t="s">
        <v>123</v>
      </c>
      <c r="K242" s="52">
        <v>4</v>
      </c>
      <c r="L242" s="52"/>
      <c r="M242" s="52"/>
      <c r="N242" s="53" t="s">
        <v>1359</v>
      </c>
      <c r="O242" s="53" t="s">
        <v>1360</v>
      </c>
      <c r="P242" s="52"/>
      <c r="Q242" s="53" t="s">
        <v>1361</v>
      </c>
      <c r="R242" s="55" t="s">
        <v>1160</v>
      </c>
      <c r="S242" s="51" t="s">
        <v>1362</v>
      </c>
      <c r="T242" s="55" t="s">
        <v>1296</v>
      </c>
      <c r="U242" s="55" t="s">
        <v>1331</v>
      </c>
      <c r="V242" s="53" t="s">
        <v>1363</v>
      </c>
      <c r="W242" s="82" t="s">
        <v>1364</v>
      </c>
      <c r="X242" s="55" t="s">
        <v>1295</v>
      </c>
      <c r="Y242" s="53" t="s">
        <v>1365</v>
      </c>
      <c r="Z242" s="53" t="s">
        <v>1366</v>
      </c>
      <c r="AA242" s="60" t="s">
        <v>1367</v>
      </c>
    </row>
    <row r="243" spans="2:27" ht="80.25" hidden="1" customHeight="1" x14ac:dyDescent="0.35">
      <c r="B243" s="51" t="s">
        <v>33</v>
      </c>
      <c r="C243" s="51" t="s">
        <v>1291</v>
      </c>
      <c r="D243" s="51" t="s">
        <v>38</v>
      </c>
      <c r="E243" s="52">
        <v>1</v>
      </c>
      <c r="F243" s="51" t="s">
        <v>1368</v>
      </c>
      <c r="G243" s="51" t="s">
        <v>1369</v>
      </c>
      <c r="H243" s="54" t="s">
        <v>1217</v>
      </c>
      <c r="I243" s="52">
        <v>15</v>
      </c>
      <c r="J243" s="51" t="s">
        <v>123</v>
      </c>
      <c r="K243" s="52"/>
      <c r="L243" s="52"/>
      <c r="M243" s="52"/>
      <c r="N243" s="53" t="s">
        <v>1370</v>
      </c>
      <c r="O243" s="53" t="s">
        <v>1371</v>
      </c>
      <c r="P243" s="52"/>
      <c r="Q243" s="54"/>
      <c r="R243" s="55" t="s">
        <v>1160</v>
      </c>
      <c r="S243" s="51" t="s">
        <v>1372</v>
      </c>
      <c r="T243" s="55" t="s">
        <v>1296</v>
      </c>
      <c r="U243" s="55" t="s">
        <v>1331</v>
      </c>
      <c r="V243" s="53" t="s">
        <v>1373</v>
      </c>
      <c r="W243" s="82" t="s">
        <v>1374</v>
      </c>
      <c r="X243" s="55" t="s">
        <v>1295</v>
      </c>
      <c r="Y243" s="53" t="s">
        <v>1365</v>
      </c>
      <c r="Z243" s="53" t="s">
        <v>1375</v>
      </c>
      <c r="AA243" s="60" t="s">
        <v>1367</v>
      </c>
    </row>
    <row r="244" spans="2:27" ht="80.25" hidden="1" customHeight="1" x14ac:dyDescent="0.35">
      <c r="B244" s="51" t="s">
        <v>33</v>
      </c>
      <c r="C244" s="51" t="s">
        <v>1291</v>
      </c>
      <c r="D244" s="51" t="s">
        <v>38</v>
      </c>
      <c r="E244" s="52">
        <v>1</v>
      </c>
      <c r="F244" s="51" t="s">
        <v>1376</v>
      </c>
      <c r="G244" s="51" t="s">
        <v>1377</v>
      </c>
      <c r="H244" s="54" t="s">
        <v>1217</v>
      </c>
      <c r="I244" s="52">
        <v>16</v>
      </c>
      <c r="J244" s="51" t="s">
        <v>123</v>
      </c>
      <c r="K244" s="52"/>
      <c r="L244" s="52">
        <v>6</v>
      </c>
      <c r="M244" s="52"/>
      <c r="N244" s="53" t="s">
        <v>1378</v>
      </c>
      <c r="O244" s="53" t="s">
        <v>1379</v>
      </c>
      <c r="P244" s="52"/>
      <c r="Q244" s="54"/>
      <c r="R244" s="55" t="s">
        <v>1160</v>
      </c>
      <c r="S244" s="51" t="s">
        <v>1376</v>
      </c>
      <c r="T244" s="55" t="s">
        <v>1296</v>
      </c>
      <c r="U244" s="55" t="s">
        <v>1331</v>
      </c>
      <c r="V244" s="53" t="s">
        <v>1380</v>
      </c>
      <c r="W244" s="82" t="s">
        <v>1381</v>
      </c>
      <c r="X244" s="55" t="s">
        <v>1295</v>
      </c>
      <c r="Y244" s="53" t="s">
        <v>1365</v>
      </c>
      <c r="Z244" s="53" t="s">
        <v>1382</v>
      </c>
      <c r="AA244" s="60" t="s">
        <v>1367</v>
      </c>
    </row>
    <row r="245" spans="2:27" ht="80.25" hidden="1" customHeight="1" x14ac:dyDescent="0.35">
      <c r="B245" s="51" t="s">
        <v>33</v>
      </c>
      <c r="C245" s="51" t="s">
        <v>1291</v>
      </c>
      <c r="D245" s="51" t="s">
        <v>38</v>
      </c>
      <c r="E245" s="52">
        <v>1</v>
      </c>
      <c r="F245" s="51" t="s">
        <v>1383</v>
      </c>
      <c r="G245" s="51" t="s">
        <v>1384</v>
      </c>
      <c r="H245" s="54" t="s">
        <v>249</v>
      </c>
      <c r="I245" s="52">
        <v>17</v>
      </c>
      <c r="J245" s="51" t="s">
        <v>123</v>
      </c>
      <c r="K245" s="52"/>
      <c r="L245" s="52"/>
      <c r="M245" s="52"/>
      <c r="N245" s="53" t="s">
        <v>1385</v>
      </c>
      <c r="O245" s="53" t="s">
        <v>1386</v>
      </c>
      <c r="P245" s="52"/>
      <c r="Q245" s="54"/>
      <c r="R245" s="55"/>
      <c r="S245" s="51"/>
      <c r="T245" s="55" t="s">
        <v>1296</v>
      </c>
      <c r="U245" s="55" t="s">
        <v>1331</v>
      </c>
      <c r="V245" s="55" t="s">
        <v>1387</v>
      </c>
      <c r="W245" s="82" t="s">
        <v>1388</v>
      </c>
      <c r="X245" s="55" t="s">
        <v>1295</v>
      </c>
      <c r="Y245" s="53" t="s">
        <v>1389</v>
      </c>
      <c r="Z245" s="53" t="s">
        <v>1390</v>
      </c>
      <c r="AA245" s="60" t="s">
        <v>1391</v>
      </c>
    </row>
    <row r="246" spans="2:27" ht="80.25" hidden="1" customHeight="1" x14ac:dyDescent="0.35">
      <c r="B246" s="51" t="s">
        <v>33</v>
      </c>
      <c r="C246" s="51" t="s">
        <v>1291</v>
      </c>
      <c r="D246" s="51" t="s">
        <v>38</v>
      </c>
      <c r="E246" s="52">
        <v>1</v>
      </c>
      <c r="F246" s="51" t="s">
        <v>247</v>
      </c>
      <c r="G246" s="51" t="s">
        <v>248</v>
      </c>
      <c r="H246" s="51" t="s">
        <v>249</v>
      </c>
      <c r="I246" s="52">
        <v>18</v>
      </c>
      <c r="J246" s="51" t="s">
        <v>250</v>
      </c>
      <c r="K246" s="52">
        <v>23</v>
      </c>
      <c r="L246" s="52">
        <v>6</v>
      </c>
      <c r="M246" s="52"/>
      <c r="N246" s="53" t="s">
        <v>1392</v>
      </c>
      <c r="O246" s="53" t="s">
        <v>252</v>
      </c>
      <c r="P246" s="52"/>
      <c r="Q246" s="54"/>
      <c r="R246" s="53" t="s">
        <v>1393</v>
      </c>
      <c r="S246" s="53" t="s">
        <v>1394</v>
      </c>
      <c r="T246" s="55" t="s">
        <v>1296</v>
      </c>
      <c r="U246" s="55" t="s">
        <v>1331</v>
      </c>
      <c r="V246" s="55" t="s">
        <v>1395</v>
      </c>
      <c r="W246" s="82" t="s">
        <v>1396</v>
      </c>
      <c r="X246" s="55" t="s">
        <v>1295</v>
      </c>
      <c r="Y246" s="53" t="s">
        <v>1397</v>
      </c>
      <c r="Z246" s="53" t="s">
        <v>1398</v>
      </c>
      <c r="AA246" s="60" t="s">
        <v>853</v>
      </c>
    </row>
    <row r="247" spans="2:27" ht="80.25" hidden="1" customHeight="1" x14ac:dyDescent="0.35">
      <c r="B247" s="51" t="s">
        <v>33</v>
      </c>
      <c r="C247" s="51" t="s">
        <v>1291</v>
      </c>
      <c r="D247" s="51" t="s">
        <v>38</v>
      </c>
      <c r="E247" s="52">
        <v>1</v>
      </c>
      <c r="F247" s="51" t="s">
        <v>260</v>
      </c>
      <c r="G247" s="51" t="s">
        <v>261</v>
      </c>
      <c r="H247" s="51" t="s">
        <v>249</v>
      </c>
      <c r="I247" s="52">
        <v>19</v>
      </c>
      <c r="J247" s="51" t="s">
        <v>250</v>
      </c>
      <c r="K247" s="52">
        <v>23</v>
      </c>
      <c r="L247" s="52">
        <v>6</v>
      </c>
      <c r="M247" s="52"/>
      <c r="N247" s="53" t="s">
        <v>1399</v>
      </c>
      <c r="O247" s="53" t="s">
        <v>263</v>
      </c>
      <c r="P247" s="52"/>
      <c r="Q247" s="54"/>
      <c r="R247" s="55"/>
      <c r="S247" s="51"/>
      <c r="T247" s="55" t="s">
        <v>1296</v>
      </c>
      <c r="U247" s="55" t="s">
        <v>1331</v>
      </c>
      <c r="V247" s="55" t="s">
        <v>1395</v>
      </c>
      <c r="W247" s="82" t="s">
        <v>1400</v>
      </c>
      <c r="X247" s="55" t="s">
        <v>1295</v>
      </c>
      <c r="Y247" s="53" t="s">
        <v>1397</v>
      </c>
      <c r="Z247" s="53" t="s">
        <v>1401</v>
      </c>
      <c r="AA247" s="60" t="s">
        <v>853</v>
      </c>
    </row>
    <row r="248" spans="2:27" ht="80.25" hidden="1" customHeight="1" x14ac:dyDescent="0.35">
      <c r="B248" s="51" t="s">
        <v>33</v>
      </c>
      <c r="C248" s="51" t="s">
        <v>1291</v>
      </c>
      <c r="D248" s="51" t="s">
        <v>38</v>
      </c>
      <c r="E248" s="52">
        <v>1</v>
      </c>
      <c r="F248" s="51" t="s">
        <v>879</v>
      </c>
      <c r="G248" s="51" t="s">
        <v>880</v>
      </c>
      <c r="H248" s="51" t="s">
        <v>249</v>
      </c>
      <c r="I248" s="52">
        <v>20</v>
      </c>
      <c r="J248" s="51" t="s">
        <v>250</v>
      </c>
      <c r="K248" s="52">
        <v>23</v>
      </c>
      <c r="L248" s="52">
        <v>6</v>
      </c>
      <c r="M248" s="52"/>
      <c r="N248" s="53" t="s">
        <v>1402</v>
      </c>
      <c r="O248" s="53" t="s">
        <v>1403</v>
      </c>
      <c r="P248" s="52"/>
      <c r="Q248" s="54"/>
      <c r="R248" s="53"/>
      <c r="S248" s="54"/>
      <c r="T248" s="55" t="s">
        <v>1404</v>
      </c>
      <c r="U248" s="55" t="s">
        <v>1405</v>
      </c>
      <c r="V248" s="55" t="s">
        <v>1406</v>
      </c>
      <c r="W248" s="82" t="s">
        <v>1407</v>
      </c>
      <c r="X248" s="55" t="s">
        <v>1342</v>
      </c>
      <c r="Y248" s="53" t="s">
        <v>1408</v>
      </c>
      <c r="Z248" s="53" t="s">
        <v>1409</v>
      </c>
      <c r="AA248" s="60" t="s">
        <v>1410</v>
      </c>
    </row>
    <row r="249" spans="2:27" ht="80.25" hidden="1" customHeight="1" x14ac:dyDescent="0.35">
      <c r="B249" s="51" t="s">
        <v>33</v>
      </c>
      <c r="C249" s="51" t="s">
        <v>1291</v>
      </c>
      <c r="D249" s="51" t="s">
        <v>38</v>
      </c>
      <c r="E249" s="52">
        <v>1</v>
      </c>
      <c r="F249" s="51" t="s">
        <v>1411</v>
      </c>
      <c r="G249" s="51" t="s">
        <v>1412</v>
      </c>
      <c r="H249" s="51" t="s">
        <v>249</v>
      </c>
      <c r="I249" s="52">
        <v>21</v>
      </c>
      <c r="J249" s="51" t="s">
        <v>250</v>
      </c>
      <c r="K249" s="52">
        <v>23</v>
      </c>
      <c r="L249" s="52">
        <v>6</v>
      </c>
      <c r="M249" s="52"/>
      <c r="N249" s="53" t="s">
        <v>1413</v>
      </c>
      <c r="O249" s="53" t="s">
        <v>1414</v>
      </c>
      <c r="P249" s="52"/>
      <c r="Q249" s="54"/>
      <c r="R249" s="53" t="s">
        <v>685</v>
      </c>
      <c r="S249" s="53" t="s">
        <v>686</v>
      </c>
      <c r="T249" s="55" t="s">
        <v>1415</v>
      </c>
      <c r="U249" s="55" t="s">
        <v>1416</v>
      </c>
      <c r="V249" s="55" t="s">
        <v>1417</v>
      </c>
      <c r="W249" s="82" t="s">
        <v>1418</v>
      </c>
      <c r="X249" s="55" t="s">
        <v>1342</v>
      </c>
      <c r="Y249" s="53" t="s">
        <v>1419</v>
      </c>
      <c r="Z249" s="53" t="s">
        <v>1420</v>
      </c>
      <c r="AA249" s="60" t="s">
        <v>1421</v>
      </c>
    </row>
    <row r="250" spans="2:27" ht="80.25" hidden="1" customHeight="1" x14ac:dyDescent="0.35">
      <c r="B250" s="51" t="s">
        <v>33</v>
      </c>
      <c r="C250" s="51" t="s">
        <v>1291</v>
      </c>
      <c r="D250" s="51" t="s">
        <v>38</v>
      </c>
      <c r="E250" s="52">
        <v>1</v>
      </c>
      <c r="F250" s="51" t="s">
        <v>648</v>
      </c>
      <c r="G250" s="51" t="s">
        <v>649</v>
      </c>
      <c r="H250" s="51" t="s">
        <v>249</v>
      </c>
      <c r="I250" s="52">
        <v>22</v>
      </c>
      <c r="J250" s="51" t="s">
        <v>250</v>
      </c>
      <c r="K250" s="52">
        <v>23</v>
      </c>
      <c r="L250" s="52">
        <v>6</v>
      </c>
      <c r="M250" s="52"/>
      <c r="N250" s="53" t="s">
        <v>650</v>
      </c>
      <c r="O250" s="53" t="s">
        <v>651</v>
      </c>
      <c r="P250" s="52"/>
      <c r="Q250" s="54"/>
      <c r="R250" s="53"/>
      <c r="S250" s="54"/>
      <c r="T250" s="55" t="s">
        <v>1306</v>
      </c>
      <c r="U250" s="55" t="s">
        <v>1422</v>
      </c>
      <c r="V250" s="55" t="s">
        <v>1423</v>
      </c>
      <c r="W250" s="82" t="s">
        <v>1424</v>
      </c>
      <c r="X250" s="55" t="s">
        <v>1295</v>
      </c>
      <c r="Y250" s="53" t="s">
        <v>1425</v>
      </c>
      <c r="Z250" s="53" t="s">
        <v>1426</v>
      </c>
      <c r="AA250" s="60" t="s">
        <v>1427</v>
      </c>
    </row>
    <row r="251" spans="2:27" ht="80.25" hidden="1" customHeight="1" x14ac:dyDescent="0.35">
      <c r="B251" s="51" t="s">
        <v>33</v>
      </c>
      <c r="C251" s="51" t="s">
        <v>1291</v>
      </c>
      <c r="D251" s="51" t="s">
        <v>38</v>
      </c>
      <c r="E251" s="52">
        <v>1</v>
      </c>
      <c r="F251" s="51" t="s">
        <v>271</v>
      </c>
      <c r="G251" s="51" t="s">
        <v>272</v>
      </c>
      <c r="H251" s="51" t="s">
        <v>249</v>
      </c>
      <c r="I251" s="52">
        <v>23</v>
      </c>
      <c r="J251" s="51" t="s">
        <v>250</v>
      </c>
      <c r="K251" s="52">
        <v>23</v>
      </c>
      <c r="L251" s="52">
        <v>6</v>
      </c>
      <c r="M251" s="52"/>
      <c r="N251" s="53" t="s">
        <v>1428</v>
      </c>
      <c r="O251" s="53" t="s">
        <v>274</v>
      </c>
      <c r="P251" s="52"/>
      <c r="Q251" s="54"/>
      <c r="R251" s="53"/>
      <c r="S251" s="78"/>
      <c r="T251" s="55" t="s">
        <v>1306</v>
      </c>
      <c r="U251" s="55" t="s">
        <v>1429</v>
      </c>
      <c r="V251" s="55" t="s">
        <v>1430</v>
      </c>
      <c r="W251" s="82" t="s">
        <v>1431</v>
      </c>
      <c r="X251" s="55" t="s">
        <v>1342</v>
      </c>
      <c r="Y251" s="53" t="s">
        <v>1432</v>
      </c>
      <c r="Z251" s="53" t="s">
        <v>1433</v>
      </c>
      <c r="AA251" s="60" t="s">
        <v>1434</v>
      </c>
    </row>
    <row r="252" spans="2:27" ht="80.25" hidden="1" customHeight="1" x14ac:dyDescent="0.35">
      <c r="B252" s="51" t="s">
        <v>33</v>
      </c>
      <c r="C252" s="51" t="s">
        <v>1291</v>
      </c>
      <c r="D252" s="51" t="s">
        <v>38</v>
      </c>
      <c r="E252" s="52">
        <v>1</v>
      </c>
      <c r="F252" s="51" t="s">
        <v>282</v>
      </c>
      <c r="G252" s="51" t="s">
        <v>283</v>
      </c>
      <c r="H252" s="51" t="s">
        <v>249</v>
      </c>
      <c r="I252" s="52">
        <v>24</v>
      </c>
      <c r="J252" s="51" t="s">
        <v>250</v>
      </c>
      <c r="K252" s="52">
        <v>23</v>
      </c>
      <c r="L252" s="52">
        <v>6</v>
      </c>
      <c r="M252" s="52"/>
      <c r="N252" s="53" t="s">
        <v>284</v>
      </c>
      <c r="O252" s="53" t="s">
        <v>285</v>
      </c>
      <c r="P252" s="52"/>
      <c r="Q252" s="54"/>
      <c r="R252" s="63"/>
      <c r="S252" s="61"/>
      <c r="T252" s="55" t="s">
        <v>1435</v>
      </c>
      <c r="U252" s="55" t="s">
        <v>1436</v>
      </c>
      <c r="V252" s="55" t="s">
        <v>906</v>
      </c>
      <c r="W252" s="82" t="s">
        <v>1437</v>
      </c>
      <c r="X252" s="55" t="s">
        <v>1342</v>
      </c>
      <c r="Y252" s="68" t="s">
        <v>1438</v>
      </c>
      <c r="Z252" s="53" t="s">
        <v>1439</v>
      </c>
      <c r="AA252" s="60" t="s">
        <v>1440</v>
      </c>
    </row>
    <row r="253" spans="2:27" ht="80.25" hidden="1" customHeight="1" x14ac:dyDescent="0.35">
      <c r="B253" s="51" t="s">
        <v>33</v>
      </c>
      <c r="C253" s="51" t="s">
        <v>1291</v>
      </c>
      <c r="D253" s="51" t="s">
        <v>38</v>
      </c>
      <c r="E253" s="52">
        <v>1</v>
      </c>
      <c r="F253" s="51" t="s">
        <v>714</v>
      </c>
      <c r="G253" s="51" t="s">
        <v>715</v>
      </c>
      <c r="H253" s="54" t="s">
        <v>249</v>
      </c>
      <c r="I253" s="52">
        <v>25</v>
      </c>
      <c r="J253" s="51" t="s">
        <v>123</v>
      </c>
      <c r="K253" s="52">
        <v>10</v>
      </c>
      <c r="L253" s="52">
        <v>6</v>
      </c>
      <c r="M253" s="52"/>
      <c r="N253" s="53" t="s">
        <v>1441</v>
      </c>
      <c r="O253" s="53" t="s">
        <v>717</v>
      </c>
      <c r="P253" s="52"/>
      <c r="Q253" s="54"/>
      <c r="R253" s="55"/>
      <c r="S253" s="51"/>
      <c r="T253" s="55" t="s">
        <v>1306</v>
      </c>
      <c r="U253" s="55" t="s">
        <v>1442</v>
      </c>
      <c r="V253" s="55" t="s">
        <v>1443</v>
      </c>
      <c r="W253" s="82" t="s">
        <v>1444</v>
      </c>
      <c r="X253" s="55" t="s">
        <v>1295</v>
      </c>
      <c r="Y253" s="53" t="s">
        <v>1445</v>
      </c>
      <c r="Z253" s="53" t="s">
        <v>1446</v>
      </c>
      <c r="AA253" s="60" t="s">
        <v>1447</v>
      </c>
    </row>
    <row r="254" spans="2:27" ht="80.25" hidden="1" customHeight="1" x14ac:dyDescent="0.35">
      <c r="B254" s="51" t="s">
        <v>33</v>
      </c>
      <c r="C254" s="51" t="s">
        <v>1291</v>
      </c>
      <c r="D254" s="51" t="s">
        <v>38</v>
      </c>
      <c r="E254" s="52">
        <v>1</v>
      </c>
      <c r="F254" s="51" t="s">
        <v>1448</v>
      </c>
      <c r="G254" s="51" t="s">
        <v>1449</v>
      </c>
      <c r="H254" s="54" t="s">
        <v>430</v>
      </c>
      <c r="I254" s="52">
        <v>26</v>
      </c>
      <c r="J254" s="51" t="s">
        <v>123</v>
      </c>
      <c r="K254" s="52"/>
      <c r="L254" s="52"/>
      <c r="M254" s="52"/>
      <c r="N254" s="53" t="s">
        <v>1450</v>
      </c>
      <c r="O254" s="53" t="s">
        <v>1451</v>
      </c>
      <c r="P254" s="52"/>
      <c r="Q254" s="54"/>
      <c r="R254" s="55"/>
      <c r="S254" s="51"/>
      <c r="T254" s="55" t="s">
        <v>1306</v>
      </c>
      <c r="U254" s="55" t="s">
        <v>1452</v>
      </c>
      <c r="V254" s="55" t="s">
        <v>1453</v>
      </c>
      <c r="W254" s="82" t="s">
        <v>1454</v>
      </c>
      <c r="X254" s="55" t="s">
        <v>1295</v>
      </c>
      <c r="Y254" s="53" t="s">
        <v>1455</v>
      </c>
      <c r="Z254" s="53" t="s">
        <v>1456</v>
      </c>
      <c r="AA254" s="60" t="s">
        <v>918</v>
      </c>
    </row>
    <row r="255" spans="2:27" ht="80.25" hidden="1" customHeight="1" x14ac:dyDescent="0.35">
      <c r="B255" s="51" t="s">
        <v>33</v>
      </c>
      <c r="C255" s="51" t="s">
        <v>1291</v>
      </c>
      <c r="D255" s="51" t="s">
        <v>38</v>
      </c>
      <c r="E255" s="52">
        <v>1</v>
      </c>
      <c r="F255" s="51" t="s">
        <v>1457</v>
      </c>
      <c r="G255" s="51" t="s">
        <v>1458</v>
      </c>
      <c r="H255" s="54" t="s">
        <v>430</v>
      </c>
      <c r="I255" s="52">
        <v>27</v>
      </c>
      <c r="J255" s="51" t="s">
        <v>123</v>
      </c>
      <c r="K255" s="52">
        <v>10</v>
      </c>
      <c r="L255" s="52"/>
      <c r="M255" s="52"/>
      <c r="N255" s="319" t="s">
        <v>1459</v>
      </c>
      <c r="O255" s="53" t="s">
        <v>1460</v>
      </c>
      <c r="P255" s="52"/>
      <c r="Q255" s="54"/>
      <c r="R255" s="55"/>
      <c r="S255" s="51"/>
      <c r="T255" s="55" t="s">
        <v>1415</v>
      </c>
      <c r="U255" s="55" t="s">
        <v>1461</v>
      </c>
      <c r="V255" s="55" t="s">
        <v>1462</v>
      </c>
      <c r="W255" s="82" t="s">
        <v>1463</v>
      </c>
      <c r="X255" s="55" t="s">
        <v>1295</v>
      </c>
      <c r="Y255" s="53" t="s">
        <v>1464</v>
      </c>
      <c r="Z255" s="53" t="s">
        <v>1465</v>
      </c>
      <c r="AA255" s="60" t="s">
        <v>853</v>
      </c>
    </row>
    <row r="256" spans="2:27" ht="80.25" hidden="1" customHeight="1" x14ac:dyDescent="0.35">
      <c r="B256" s="51" t="s">
        <v>33</v>
      </c>
      <c r="C256" s="51" t="s">
        <v>1291</v>
      </c>
      <c r="D256" s="51" t="s">
        <v>38</v>
      </c>
      <c r="E256" s="52">
        <v>1</v>
      </c>
      <c r="F256" s="51" t="s">
        <v>1466</v>
      </c>
      <c r="G256" s="51" t="s">
        <v>1467</v>
      </c>
      <c r="H256" s="54" t="s">
        <v>249</v>
      </c>
      <c r="I256" s="52">
        <v>28</v>
      </c>
      <c r="J256" s="51" t="s">
        <v>250</v>
      </c>
      <c r="K256" s="52">
        <v>23</v>
      </c>
      <c r="L256" s="52">
        <v>6</v>
      </c>
      <c r="M256" s="52"/>
      <c r="N256" s="53" t="s">
        <v>1468</v>
      </c>
      <c r="O256" s="53" t="s">
        <v>1469</v>
      </c>
      <c r="P256" s="52"/>
      <c r="Q256" s="54"/>
      <c r="R256" s="55"/>
      <c r="S256" s="51"/>
      <c r="T256" s="55" t="s">
        <v>1306</v>
      </c>
      <c r="U256" s="55" t="s">
        <v>1422</v>
      </c>
      <c r="V256" s="55" t="s">
        <v>1453</v>
      </c>
      <c r="W256" s="82" t="s">
        <v>1470</v>
      </c>
      <c r="X256" s="55" t="s">
        <v>1295</v>
      </c>
      <c r="Y256" s="53" t="s">
        <v>1455</v>
      </c>
      <c r="Z256" s="55" t="s">
        <v>1456</v>
      </c>
      <c r="AA256" s="60" t="s">
        <v>1471</v>
      </c>
    </row>
    <row r="257" spans="2:27" ht="80.25" hidden="1" customHeight="1" x14ac:dyDescent="0.35">
      <c r="B257" s="51" t="s">
        <v>33</v>
      </c>
      <c r="C257" s="51" t="s">
        <v>1291</v>
      </c>
      <c r="D257" s="51" t="s">
        <v>38</v>
      </c>
      <c r="E257" s="52">
        <v>1</v>
      </c>
      <c r="F257" s="51" t="s">
        <v>1472</v>
      </c>
      <c r="G257" s="51" t="s">
        <v>1473</v>
      </c>
      <c r="H257" s="54" t="s">
        <v>430</v>
      </c>
      <c r="I257" s="52">
        <v>29</v>
      </c>
      <c r="J257" s="51" t="s">
        <v>123</v>
      </c>
      <c r="K257" s="52">
        <v>10</v>
      </c>
      <c r="L257" s="52"/>
      <c r="M257" s="52"/>
      <c r="N257" s="53" t="s">
        <v>1450</v>
      </c>
      <c r="O257" s="53" t="s">
        <v>1474</v>
      </c>
      <c r="P257" s="52"/>
      <c r="Q257" s="54"/>
      <c r="R257" s="55"/>
      <c r="S257" s="51"/>
      <c r="T257" s="55" t="s">
        <v>1306</v>
      </c>
      <c r="U257" s="55" t="s">
        <v>1475</v>
      </c>
      <c r="V257" s="55" t="s">
        <v>1476</v>
      </c>
      <c r="W257" s="82" t="s">
        <v>1477</v>
      </c>
      <c r="X257" s="55" t="s">
        <v>1295</v>
      </c>
      <c r="Y257" s="53" t="s">
        <v>1478</v>
      </c>
      <c r="Z257" s="53" t="s">
        <v>1479</v>
      </c>
      <c r="AA257" s="60" t="s">
        <v>1367</v>
      </c>
    </row>
    <row r="258" spans="2:27" ht="80.25" hidden="1" customHeight="1" x14ac:dyDescent="0.35">
      <c r="B258" s="51" t="s">
        <v>33</v>
      </c>
      <c r="C258" s="51" t="s">
        <v>1291</v>
      </c>
      <c r="D258" s="51" t="s">
        <v>38</v>
      </c>
      <c r="E258" s="52">
        <v>1</v>
      </c>
      <c r="F258" s="51" t="s">
        <v>1480</v>
      </c>
      <c r="G258" s="51" t="s">
        <v>1481</v>
      </c>
      <c r="H258" s="54" t="s">
        <v>249</v>
      </c>
      <c r="I258" s="52">
        <v>30</v>
      </c>
      <c r="J258" s="51" t="s">
        <v>123</v>
      </c>
      <c r="K258" s="52"/>
      <c r="L258" s="52">
        <v>6</v>
      </c>
      <c r="M258" s="52"/>
      <c r="N258" s="53" t="s">
        <v>1482</v>
      </c>
      <c r="O258" s="53" t="s">
        <v>1483</v>
      </c>
      <c r="P258" s="52"/>
      <c r="Q258" s="54"/>
      <c r="R258" s="55"/>
      <c r="S258" s="51"/>
      <c r="T258" s="55" t="s">
        <v>1415</v>
      </c>
      <c r="U258" s="55" t="s">
        <v>1484</v>
      </c>
      <c r="V258" s="55" t="s">
        <v>1485</v>
      </c>
      <c r="W258" s="82" t="s">
        <v>1486</v>
      </c>
      <c r="X258" s="55" t="s">
        <v>1295</v>
      </c>
      <c r="Y258" s="53" t="s">
        <v>1478</v>
      </c>
      <c r="Z258" s="53" t="s">
        <v>1487</v>
      </c>
      <c r="AA258" s="60" t="s">
        <v>1367</v>
      </c>
    </row>
    <row r="259" spans="2:27" ht="80.25" hidden="1" customHeight="1" x14ac:dyDescent="0.35">
      <c r="B259" s="51" t="s">
        <v>33</v>
      </c>
      <c r="C259" s="51" t="s">
        <v>1291</v>
      </c>
      <c r="D259" s="51" t="s">
        <v>38</v>
      </c>
      <c r="E259" s="52">
        <v>1</v>
      </c>
      <c r="F259" s="51" t="s">
        <v>428</v>
      </c>
      <c r="G259" s="51" t="s">
        <v>429</v>
      </c>
      <c r="H259" s="54" t="s">
        <v>430</v>
      </c>
      <c r="I259" s="52">
        <v>31</v>
      </c>
      <c r="J259" s="51" t="s">
        <v>123</v>
      </c>
      <c r="K259" s="52">
        <v>10</v>
      </c>
      <c r="L259" s="52"/>
      <c r="M259" s="52"/>
      <c r="N259" s="53" t="s">
        <v>1488</v>
      </c>
      <c r="O259" s="53" t="s">
        <v>432</v>
      </c>
      <c r="P259" s="52"/>
      <c r="Q259" s="54"/>
      <c r="R259" s="55"/>
      <c r="S259" s="51"/>
      <c r="T259" s="55" t="s">
        <v>1415</v>
      </c>
      <c r="U259" s="82" t="s">
        <v>1489</v>
      </c>
      <c r="V259" s="55" t="s">
        <v>1490</v>
      </c>
      <c r="W259" s="82" t="s">
        <v>1491</v>
      </c>
      <c r="X259" s="55" t="s">
        <v>1295</v>
      </c>
      <c r="Y259" s="53" t="s">
        <v>1492</v>
      </c>
      <c r="Z259" s="53" t="s">
        <v>1493</v>
      </c>
      <c r="AA259" s="60" t="s">
        <v>853</v>
      </c>
    </row>
    <row r="260" spans="2:27" ht="80.25" hidden="1" customHeight="1" x14ac:dyDescent="0.35">
      <c r="B260" s="51" t="s">
        <v>33</v>
      </c>
      <c r="C260" s="51" t="s">
        <v>1291</v>
      </c>
      <c r="D260" s="51" t="s">
        <v>38</v>
      </c>
      <c r="E260" s="52">
        <v>1</v>
      </c>
      <c r="F260" s="51" t="s">
        <v>438</v>
      </c>
      <c r="G260" s="51" t="s">
        <v>439</v>
      </c>
      <c r="H260" s="54" t="s">
        <v>249</v>
      </c>
      <c r="I260" s="52">
        <v>32</v>
      </c>
      <c r="J260" s="51" t="s">
        <v>250</v>
      </c>
      <c r="K260" s="52">
        <v>23</v>
      </c>
      <c r="L260" s="52">
        <v>6</v>
      </c>
      <c r="M260" s="52"/>
      <c r="N260" s="53" t="s">
        <v>1494</v>
      </c>
      <c r="O260" s="53" t="s">
        <v>441</v>
      </c>
      <c r="P260" s="52"/>
      <c r="Q260" s="54"/>
      <c r="R260" s="55"/>
      <c r="S260" s="51"/>
      <c r="T260" s="55" t="s">
        <v>1495</v>
      </c>
      <c r="U260" s="55" t="s">
        <v>1496</v>
      </c>
      <c r="V260" s="55" t="s">
        <v>1497</v>
      </c>
      <c r="W260" s="82" t="s">
        <v>1498</v>
      </c>
      <c r="X260" s="55" t="s">
        <v>1295</v>
      </c>
      <c r="Y260" s="53" t="s">
        <v>1492</v>
      </c>
      <c r="Z260" s="53" t="s">
        <v>1499</v>
      </c>
      <c r="AA260" s="60" t="s">
        <v>853</v>
      </c>
    </row>
    <row r="261" spans="2:27" ht="80.25" hidden="1" customHeight="1" x14ac:dyDescent="0.35">
      <c r="B261" s="51" t="s">
        <v>33</v>
      </c>
      <c r="C261" s="51" t="s">
        <v>1291</v>
      </c>
      <c r="D261" s="51" t="s">
        <v>38</v>
      </c>
      <c r="E261" s="52">
        <v>1</v>
      </c>
      <c r="F261" s="51" t="s">
        <v>1500</v>
      </c>
      <c r="G261" s="51" t="s">
        <v>1501</v>
      </c>
      <c r="H261" s="54" t="s">
        <v>249</v>
      </c>
      <c r="I261" s="52">
        <v>33</v>
      </c>
      <c r="J261" s="51" t="s">
        <v>123</v>
      </c>
      <c r="K261" s="52"/>
      <c r="L261" s="52"/>
      <c r="M261" s="52"/>
      <c r="N261" s="53" t="s">
        <v>1502</v>
      </c>
      <c r="O261" s="53" t="s">
        <v>1503</v>
      </c>
      <c r="P261" s="52"/>
      <c r="Q261" s="54"/>
      <c r="R261" s="63"/>
      <c r="S261" s="61"/>
      <c r="T261" s="55" t="s">
        <v>1306</v>
      </c>
      <c r="U261" s="55" t="s">
        <v>1422</v>
      </c>
      <c r="V261" s="55" t="s">
        <v>1504</v>
      </c>
      <c r="W261" s="82" t="s">
        <v>1505</v>
      </c>
      <c r="X261" s="55" t="s">
        <v>1295</v>
      </c>
      <c r="Y261" s="53" t="s">
        <v>1455</v>
      </c>
      <c r="Z261" s="53" t="s">
        <v>1506</v>
      </c>
      <c r="AA261" s="60" t="s">
        <v>1391</v>
      </c>
    </row>
    <row r="262" spans="2:27" ht="80.25" hidden="1" customHeight="1" x14ac:dyDescent="0.35">
      <c r="B262" s="51" t="s">
        <v>33</v>
      </c>
      <c r="C262" s="51" t="s">
        <v>1291</v>
      </c>
      <c r="D262" s="51" t="s">
        <v>38</v>
      </c>
      <c r="E262" s="52">
        <v>1</v>
      </c>
      <c r="F262" s="51" t="s">
        <v>1507</v>
      </c>
      <c r="G262" s="51" t="s">
        <v>1508</v>
      </c>
      <c r="H262" s="54" t="s">
        <v>1509</v>
      </c>
      <c r="I262" s="52">
        <v>34</v>
      </c>
      <c r="J262" s="51" t="s">
        <v>123</v>
      </c>
      <c r="K262" s="52">
        <v>4</v>
      </c>
      <c r="L262" s="52"/>
      <c r="M262" s="52"/>
      <c r="N262" s="53" t="s">
        <v>1510</v>
      </c>
      <c r="O262" s="53" t="s">
        <v>1511</v>
      </c>
      <c r="P262" s="52"/>
      <c r="Q262" s="53"/>
      <c r="R262" s="53"/>
      <c r="S262" s="54"/>
      <c r="T262" s="55" t="s">
        <v>1296</v>
      </c>
      <c r="U262" s="55" t="s">
        <v>1331</v>
      </c>
      <c r="V262" s="55" t="s">
        <v>244</v>
      </c>
      <c r="W262" s="82" t="s">
        <v>1512</v>
      </c>
      <c r="X262" s="55" t="s">
        <v>1342</v>
      </c>
      <c r="Y262" s="53" t="s">
        <v>323</v>
      </c>
      <c r="Z262" s="53" t="s">
        <v>323</v>
      </c>
      <c r="AA262" s="60" t="s">
        <v>1513</v>
      </c>
    </row>
    <row r="263" spans="2:27" ht="80.25" hidden="1" customHeight="1" x14ac:dyDescent="0.35">
      <c r="B263" s="51" t="s">
        <v>33</v>
      </c>
      <c r="C263" s="51" t="s">
        <v>1291</v>
      </c>
      <c r="D263" s="51" t="s">
        <v>38</v>
      </c>
      <c r="E263" s="52">
        <v>1</v>
      </c>
      <c r="F263" s="51" t="s">
        <v>1514</v>
      </c>
      <c r="G263" s="51" t="s">
        <v>1515</v>
      </c>
      <c r="H263" s="54" t="s">
        <v>767</v>
      </c>
      <c r="I263" s="52">
        <v>35</v>
      </c>
      <c r="J263" s="51" t="s">
        <v>250</v>
      </c>
      <c r="K263" s="52">
        <v>23</v>
      </c>
      <c r="L263" s="52">
        <v>6</v>
      </c>
      <c r="M263" s="52"/>
      <c r="N263" s="53" t="s">
        <v>1516</v>
      </c>
      <c r="O263" s="53" t="s">
        <v>1517</v>
      </c>
      <c r="P263" s="52"/>
      <c r="Q263" s="51"/>
      <c r="R263" s="55" t="s">
        <v>788</v>
      </c>
      <c r="S263" s="51" t="s">
        <v>1518</v>
      </c>
      <c r="T263" s="55" t="s">
        <v>1296</v>
      </c>
      <c r="U263" s="55" t="s">
        <v>1331</v>
      </c>
      <c r="V263" s="55" t="s">
        <v>1519</v>
      </c>
      <c r="W263" s="82" t="s">
        <v>1520</v>
      </c>
      <c r="X263" s="55" t="s">
        <v>1342</v>
      </c>
      <c r="Y263" s="53" t="s">
        <v>1397</v>
      </c>
      <c r="Z263" s="53" t="s">
        <v>1521</v>
      </c>
      <c r="AA263" s="60" t="s">
        <v>853</v>
      </c>
    </row>
    <row r="264" spans="2:27" ht="80.25" hidden="1" customHeight="1" x14ac:dyDescent="0.35">
      <c r="B264" s="51" t="s">
        <v>33</v>
      </c>
      <c r="C264" s="51" t="s">
        <v>1291</v>
      </c>
      <c r="D264" s="51" t="s">
        <v>38</v>
      </c>
      <c r="E264" s="52">
        <v>1</v>
      </c>
      <c r="F264" s="51" t="s">
        <v>744</v>
      </c>
      <c r="G264" s="51" t="s">
        <v>1522</v>
      </c>
      <c r="H264" s="54" t="s">
        <v>746</v>
      </c>
      <c r="I264" s="52">
        <v>36</v>
      </c>
      <c r="J264" s="51" t="s">
        <v>123</v>
      </c>
      <c r="K264" s="52">
        <v>4</v>
      </c>
      <c r="L264" s="52"/>
      <c r="M264" s="52"/>
      <c r="N264" s="53" t="s">
        <v>1523</v>
      </c>
      <c r="O264" s="53" t="s">
        <v>748</v>
      </c>
      <c r="P264" s="52"/>
      <c r="Q264" s="53" t="s">
        <v>1524</v>
      </c>
      <c r="R264" s="53"/>
      <c r="S264" s="54"/>
      <c r="T264" s="55" t="s">
        <v>1296</v>
      </c>
      <c r="U264" s="55" t="s">
        <v>1331</v>
      </c>
      <c r="V264" s="55" t="s">
        <v>244</v>
      </c>
      <c r="W264" s="82" t="s">
        <v>1525</v>
      </c>
      <c r="X264" s="55" t="s">
        <v>1342</v>
      </c>
      <c r="Y264" s="53" t="s">
        <v>1354</v>
      </c>
      <c r="Z264" s="53" t="s">
        <v>323</v>
      </c>
      <c r="AA264" s="60" t="s">
        <v>1513</v>
      </c>
    </row>
    <row r="265" spans="2:27" ht="80.25" hidden="1" customHeight="1" x14ac:dyDescent="0.35">
      <c r="B265" s="51" t="s">
        <v>33</v>
      </c>
      <c r="C265" s="51" t="s">
        <v>1291</v>
      </c>
      <c r="D265" s="51" t="s">
        <v>38</v>
      </c>
      <c r="E265" s="52">
        <v>1</v>
      </c>
      <c r="F265" s="51" t="s">
        <v>784</v>
      </c>
      <c r="G265" s="51" t="s">
        <v>785</v>
      </c>
      <c r="H265" s="54" t="s">
        <v>767</v>
      </c>
      <c r="I265" s="52">
        <v>37</v>
      </c>
      <c r="J265" s="51" t="s">
        <v>250</v>
      </c>
      <c r="K265" s="52">
        <v>23</v>
      </c>
      <c r="L265" s="52">
        <v>6</v>
      </c>
      <c r="M265" s="52"/>
      <c r="N265" s="53" t="s">
        <v>1526</v>
      </c>
      <c r="O265" s="53" t="s">
        <v>787</v>
      </c>
      <c r="P265" s="52"/>
      <c r="Q265" s="51"/>
      <c r="R265" s="55" t="s">
        <v>788</v>
      </c>
      <c r="S265" s="51" t="s">
        <v>789</v>
      </c>
      <c r="T265" s="55" t="s">
        <v>1296</v>
      </c>
      <c r="U265" s="82" t="s">
        <v>1527</v>
      </c>
      <c r="V265" s="55" t="s">
        <v>1519</v>
      </c>
      <c r="W265" s="82" t="s">
        <v>1528</v>
      </c>
      <c r="X265" s="55" t="s">
        <v>1342</v>
      </c>
      <c r="Y265" s="53" t="s">
        <v>1529</v>
      </c>
      <c r="Z265" s="53" t="s">
        <v>1521</v>
      </c>
      <c r="AA265" s="60" t="s">
        <v>853</v>
      </c>
    </row>
    <row r="266" spans="2:27" ht="80.25" hidden="1" customHeight="1" x14ac:dyDescent="0.35">
      <c r="B266" s="51" t="s">
        <v>33</v>
      </c>
      <c r="C266" s="51" t="s">
        <v>1291</v>
      </c>
      <c r="D266" s="51" t="s">
        <v>38</v>
      </c>
      <c r="E266" s="52">
        <v>1</v>
      </c>
      <c r="F266" s="51" t="s">
        <v>1530</v>
      </c>
      <c r="G266" s="51" t="s">
        <v>1531</v>
      </c>
      <c r="H266" s="54" t="s">
        <v>1532</v>
      </c>
      <c r="I266" s="52">
        <v>38</v>
      </c>
      <c r="J266" s="51" t="s">
        <v>123</v>
      </c>
      <c r="K266" s="52">
        <v>4</v>
      </c>
      <c r="L266" s="52"/>
      <c r="M266" s="52"/>
      <c r="N266" s="53" t="s">
        <v>1533</v>
      </c>
      <c r="O266" s="53" t="s">
        <v>1534</v>
      </c>
      <c r="P266" s="52"/>
      <c r="Q266" s="54"/>
      <c r="R266" s="63"/>
      <c r="S266" s="61"/>
      <c r="T266" s="55" t="s">
        <v>1296</v>
      </c>
      <c r="U266" s="55" t="s">
        <v>1331</v>
      </c>
      <c r="V266" s="55" t="s">
        <v>244</v>
      </c>
      <c r="W266" s="82" t="s">
        <v>1535</v>
      </c>
      <c r="X266" s="55" t="s">
        <v>1295</v>
      </c>
      <c r="Y266" s="53" t="s">
        <v>323</v>
      </c>
      <c r="Z266" s="53" t="s">
        <v>323</v>
      </c>
      <c r="AA266" s="60" t="s">
        <v>1536</v>
      </c>
    </row>
    <row r="267" spans="2:27" ht="80.25" hidden="1" customHeight="1" x14ac:dyDescent="0.35">
      <c r="B267" s="51" t="s">
        <v>33</v>
      </c>
      <c r="C267" s="51" t="s">
        <v>1291</v>
      </c>
      <c r="D267" s="51" t="s">
        <v>38</v>
      </c>
      <c r="E267" s="52">
        <v>1</v>
      </c>
      <c r="F267" s="51" t="s">
        <v>293</v>
      </c>
      <c r="G267" s="51" t="s">
        <v>294</v>
      </c>
      <c r="H267" s="54" t="s">
        <v>295</v>
      </c>
      <c r="I267" s="52">
        <v>39</v>
      </c>
      <c r="J267" s="51" t="s">
        <v>123</v>
      </c>
      <c r="K267" s="52">
        <v>4</v>
      </c>
      <c r="L267" s="52"/>
      <c r="M267" s="52"/>
      <c r="N267" s="53" t="s">
        <v>296</v>
      </c>
      <c r="O267" s="53" t="s">
        <v>297</v>
      </c>
      <c r="P267" s="52"/>
      <c r="Q267" s="53" t="s">
        <v>1537</v>
      </c>
      <c r="R267" s="55" t="s">
        <v>299</v>
      </c>
      <c r="S267" s="54" t="s">
        <v>300</v>
      </c>
      <c r="T267" s="55" t="s">
        <v>1292</v>
      </c>
      <c r="U267" s="82" t="s">
        <v>1538</v>
      </c>
      <c r="V267" s="55" t="s">
        <v>184</v>
      </c>
      <c r="W267" s="82" t="s">
        <v>1539</v>
      </c>
      <c r="X267" s="55" t="s">
        <v>1295</v>
      </c>
      <c r="Y267" s="53" t="s">
        <v>1540</v>
      </c>
      <c r="Z267" s="53" t="s">
        <v>1541</v>
      </c>
      <c r="AA267" s="60" t="s">
        <v>323</v>
      </c>
    </row>
    <row r="268" spans="2:27" ht="80.25" customHeight="1" x14ac:dyDescent="0.35">
      <c r="B268" s="51" t="s">
        <v>33</v>
      </c>
      <c r="C268" s="51" t="s">
        <v>1291</v>
      </c>
      <c r="D268" s="51" t="s">
        <v>38</v>
      </c>
      <c r="E268" s="52">
        <v>1</v>
      </c>
      <c r="F268" s="51" t="s">
        <v>304</v>
      </c>
      <c r="G268" s="51" t="s">
        <v>305</v>
      </c>
      <c r="H268" s="54" t="s">
        <v>295</v>
      </c>
      <c r="I268" s="52">
        <v>40</v>
      </c>
      <c r="J268" s="51" t="s">
        <v>123</v>
      </c>
      <c r="K268" s="52">
        <v>4</v>
      </c>
      <c r="L268" s="52"/>
      <c r="M268" s="52"/>
      <c r="N268" s="53" t="s">
        <v>306</v>
      </c>
      <c r="O268" s="53" t="s">
        <v>307</v>
      </c>
      <c r="P268" s="52"/>
      <c r="Q268" s="53" t="s">
        <v>308</v>
      </c>
      <c r="R268" s="55" t="s">
        <v>203</v>
      </c>
      <c r="S268" s="51" t="s">
        <v>309</v>
      </c>
      <c r="T268" s="55" t="s">
        <v>1542</v>
      </c>
      <c r="U268" s="55" t="s">
        <v>1543</v>
      </c>
      <c r="V268" s="55" t="s">
        <v>1544</v>
      </c>
      <c r="W268" s="82" t="s">
        <v>1545</v>
      </c>
      <c r="X268" s="55" t="s">
        <v>1546</v>
      </c>
      <c r="Y268" s="65" t="s">
        <v>1547</v>
      </c>
      <c r="Z268" s="65" t="s">
        <v>1548</v>
      </c>
      <c r="AA268" s="60" t="s">
        <v>1549</v>
      </c>
    </row>
    <row r="269" spans="2:27" ht="80.25" hidden="1" customHeight="1" x14ac:dyDescent="0.35">
      <c r="B269" s="51" t="s">
        <v>33</v>
      </c>
      <c r="C269" s="51" t="s">
        <v>1291</v>
      </c>
      <c r="D269" s="51" t="s">
        <v>38</v>
      </c>
      <c r="E269" s="52">
        <v>1</v>
      </c>
      <c r="F269" s="51" t="s">
        <v>317</v>
      </c>
      <c r="G269" s="51" t="s">
        <v>318</v>
      </c>
      <c r="H269" s="51" t="s">
        <v>319</v>
      </c>
      <c r="I269" s="52">
        <v>41</v>
      </c>
      <c r="J269" s="51" t="s">
        <v>123</v>
      </c>
      <c r="K269" s="52">
        <v>2</v>
      </c>
      <c r="L269" s="52"/>
      <c r="M269" s="52"/>
      <c r="N269" s="53" t="s">
        <v>320</v>
      </c>
      <c r="O269" s="53" t="s">
        <v>321</v>
      </c>
      <c r="P269" s="52"/>
      <c r="Q269" s="53" t="s">
        <v>1550</v>
      </c>
      <c r="R269" s="55"/>
      <c r="S269" s="51"/>
      <c r="T269" s="55" t="s">
        <v>1296</v>
      </c>
      <c r="U269" s="55" t="s">
        <v>1331</v>
      </c>
      <c r="V269" s="55" t="s">
        <v>939</v>
      </c>
      <c r="W269" s="82" t="s">
        <v>1551</v>
      </c>
      <c r="X269" s="55" t="s">
        <v>1342</v>
      </c>
      <c r="Y269" s="55" t="s">
        <v>323</v>
      </c>
      <c r="Z269" s="55" t="s">
        <v>323</v>
      </c>
      <c r="AA269" s="60" t="s">
        <v>1552</v>
      </c>
    </row>
    <row r="270" spans="2:27" ht="80.25" hidden="1" customHeight="1" x14ac:dyDescent="0.35">
      <c r="B270" s="51" t="s">
        <v>33</v>
      </c>
      <c r="C270" s="51" t="s">
        <v>1291</v>
      </c>
      <c r="D270" s="51" t="s">
        <v>38</v>
      </c>
      <c r="E270" s="52">
        <v>1</v>
      </c>
      <c r="F270" s="51" t="s">
        <v>326</v>
      </c>
      <c r="G270" s="51" t="s">
        <v>327</v>
      </c>
      <c r="H270" s="51" t="s">
        <v>328</v>
      </c>
      <c r="I270" s="52">
        <v>42</v>
      </c>
      <c r="J270" s="51" t="s">
        <v>123</v>
      </c>
      <c r="K270" s="52">
        <v>10</v>
      </c>
      <c r="L270" s="52"/>
      <c r="M270" s="52"/>
      <c r="N270" s="53" t="s">
        <v>329</v>
      </c>
      <c r="O270" s="53" t="s">
        <v>361</v>
      </c>
      <c r="P270" s="52" t="s">
        <v>126</v>
      </c>
      <c r="Q270" s="54"/>
      <c r="R270" s="55" t="s">
        <v>275</v>
      </c>
      <c r="S270" s="51" t="s">
        <v>803</v>
      </c>
      <c r="T270" s="55" t="s">
        <v>1296</v>
      </c>
      <c r="U270" s="55" t="s">
        <v>1331</v>
      </c>
      <c r="V270" s="55" t="s">
        <v>1004</v>
      </c>
      <c r="W270" s="82" t="s">
        <v>1553</v>
      </c>
      <c r="X270" s="55" t="s">
        <v>323</v>
      </c>
      <c r="Y270" s="55" t="s">
        <v>323</v>
      </c>
      <c r="Z270" s="55" t="s">
        <v>323</v>
      </c>
      <c r="AA270" s="60" t="s">
        <v>323</v>
      </c>
    </row>
    <row r="271" spans="2:27" ht="80.25" hidden="1" customHeight="1" x14ac:dyDescent="0.35">
      <c r="B271" s="51" t="s">
        <v>33</v>
      </c>
      <c r="C271" s="51" t="s">
        <v>1291</v>
      </c>
      <c r="D271" s="51" t="s">
        <v>38</v>
      </c>
      <c r="E271" s="52">
        <v>1</v>
      </c>
      <c r="F271" s="51" t="s">
        <v>333</v>
      </c>
      <c r="G271" s="51" t="s">
        <v>334</v>
      </c>
      <c r="H271" s="51" t="s">
        <v>335</v>
      </c>
      <c r="I271" s="52">
        <v>43</v>
      </c>
      <c r="J271" s="51" t="s">
        <v>336</v>
      </c>
      <c r="K271" s="52">
        <v>23</v>
      </c>
      <c r="L271" s="52"/>
      <c r="M271" s="52"/>
      <c r="N271" s="53" t="s">
        <v>337</v>
      </c>
      <c r="O271" s="53" t="s">
        <v>338</v>
      </c>
      <c r="P271" s="52"/>
      <c r="Q271" s="54"/>
      <c r="R271" s="55"/>
      <c r="S271" s="51"/>
      <c r="T271" s="55" t="s">
        <v>1296</v>
      </c>
      <c r="U271" s="55" t="s">
        <v>1331</v>
      </c>
      <c r="V271" s="55" t="s">
        <v>244</v>
      </c>
      <c r="W271" s="82" t="s">
        <v>1554</v>
      </c>
      <c r="X271" s="55" t="s">
        <v>323</v>
      </c>
      <c r="Y271" s="55" t="s">
        <v>323</v>
      </c>
      <c r="Z271" s="55" t="s">
        <v>323</v>
      </c>
      <c r="AA271" s="60" t="s">
        <v>323</v>
      </c>
    </row>
    <row r="272" spans="2:27" ht="80.25" hidden="1" customHeight="1" x14ac:dyDescent="0.35">
      <c r="B272" s="51" t="s">
        <v>33</v>
      </c>
      <c r="C272" s="51" t="s">
        <v>1555</v>
      </c>
      <c r="D272" s="51" t="s">
        <v>1556</v>
      </c>
      <c r="E272" s="52">
        <v>1</v>
      </c>
      <c r="F272" s="51" t="s">
        <v>120</v>
      </c>
      <c r="G272" s="51" t="s">
        <v>121</v>
      </c>
      <c r="H272" s="51" t="s">
        <v>122</v>
      </c>
      <c r="I272" s="52">
        <v>1</v>
      </c>
      <c r="J272" s="51" t="s">
        <v>123</v>
      </c>
      <c r="K272" s="52">
        <v>4</v>
      </c>
      <c r="L272" s="52"/>
      <c r="M272" s="350"/>
      <c r="N272" s="326" t="s">
        <v>124</v>
      </c>
      <c r="O272" s="326" t="s">
        <v>125</v>
      </c>
      <c r="P272" s="331" t="s">
        <v>126</v>
      </c>
      <c r="Q272" s="51"/>
      <c r="R272" s="55"/>
      <c r="S272" s="51"/>
      <c r="T272" s="55" t="s">
        <v>1292</v>
      </c>
      <c r="U272" s="55" t="s">
        <v>1293</v>
      </c>
      <c r="V272" s="55" t="s">
        <v>184</v>
      </c>
      <c r="W272" s="82" t="s">
        <v>1557</v>
      </c>
      <c r="X272" s="55" t="s">
        <v>1295</v>
      </c>
      <c r="Y272" s="53" t="s">
        <v>323</v>
      </c>
      <c r="Z272" s="53" t="s">
        <v>323</v>
      </c>
      <c r="AA272" s="60" t="s">
        <v>814</v>
      </c>
    </row>
    <row r="273" spans="2:27" ht="80.25" hidden="1" customHeight="1" x14ac:dyDescent="0.35">
      <c r="B273" s="51" t="s">
        <v>33</v>
      </c>
      <c r="C273" s="51" t="s">
        <v>1555</v>
      </c>
      <c r="D273" s="51" t="s">
        <v>1556</v>
      </c>
      <c r="E273" s="52">
        <v>1</v>
      </c>
      <c r="F273" s="51" t="s">
        <v>136</v>
      </c>
      <c r="G273" s="51" t="s">
        <v>137</v>
      </c>
      <c r="H273" s="51" t="s">
        <v>122</v>
      </c>
      <c r="I273" s="52">
        <v>2</v>
      </c>
      <c r="J273" s="51" t="s">
        <v>123</v>
      </c>
      <c r="K273" s="52">
        <v>30</v>
      </c>
      <c r="L273" s="52"/>
      <c r="M273" s="350"/>
      <c r="N273" s="87" t="s">
        <v>138</v>
      </c>
      <c r="O273" s="87" t="s">
        <v>139</v>
      </c>
      <c r="P273" s="331" t="s">
        <v>126</v>
      </c>
      <c r="Q273" s="51"/>
      <c r="R273" s="55"/>
      <c r="S273" s="51"/>
      <c r="T273" s="55" t="s">
        <v>1296</v>
      </c>
      <c r="U273" s="55" t="s">
        <v>1297</v>
      </c>
      <c r="V273" s="55" t="s">
        <v>1298</v>
      </c>
      <c r="W273" s="82" t="s">
        <v>1558</v>
      </c>
      <c r="X273" s="55" t="s">
        <v>1295</v>
      </c>
      <c r="Y273" s="53" t="s">
        <v>1300</v>
      </c>
      <c r="Z273" s="53" t="s">
        <v>1301</v>
      </c>
      <c r="AA273" s="60" t="s">
        <v>323</v>
      </c>
    </row>
    <row r="274" spans="2:27" ht="80.25" hidden="1" customHeight="1" x14ac:dyDescent="0.35">
      <c r="B274" s="51" t="s">
        <v>33</v>
      </c>
      <c r="C274" s="51" t="s">
        <v>1555</v>
      </c>
      <c r="D274" s="51" t="s">
        <v>1556</v>
      </c>
      <c r="E274" s="52">
        <v>1</v>
      </c>
      <c r="F274" s="51" t="s">
        <v>352</v>
      </c>
      <c r="G274" s="51" t="s">
        <v>353</v>
      </c>
      <c r="H274" s="132" t="s">
        <v>240</v>
      </c>
      <c r="I274" s="52">
        <v>3</v>
      </c>
      <c r="J274" s="51" t="s">
        <v>123</v>
      </c>
      <c r="K274" s="52">
        <v>1</v>
      </c>
      <c r="L274" s="52"/>
      <c r="M274" s="350"/>
      <c r="N274" s="87" t="s">
        <v>354</v>
      </c>
      <c r="O274" s="87" t="s">
        <v>355</v>
      </c>
      <c r="P274" s="331" t="s">
        <v>1048</v>
      </c>
      <c r="Q274" s="51"/>
      <c r="R274" s="55"/>
      <c r="S274" s="51"/>
      <c r="T274" s="55" t="s">
        <v>1296</v>
      </c>
      <c r="U274" s="55" t="s">
        <v>1297</v>
      </c>
      <c r="V274" s="53" t="s">
        <v>1559</v>
      </c>
      <c r="W274" s="82" t="s">
        <v>1560</v>
      </c>
      <c r="X274" s="55" t="s">
        <v>1295</v>
      </c>
      <c r="Y274" s="53" t="s">
        <v>1561</v>
      </c>
      <c r="Z274" s="53" t="s">
        <v>1562</v>
      </c>
      <c r="AA274" s="60" t="s">
        <v>323</v>
      </c>
    </row>
    <row r="275" spans="2:27" ht="80.25" hidden="1" customHeight="1" x14ac:dyDescent="0.35">
      <c r="B275" s="51" t="s">
        <v>33</v>
      </c>
      <c r="C275" s="51" t="s">
        <v>1555</v>
      </c>
      <c r="D275" s="51" t="s">
        <v>1556</v>
      </c>
      <c r="E275" s="52">
        <v>1</v>
      </c>
      <c r="F275" s="51" t="s">
        <v>352</v>
      </c>
      <c r="G275" s="51" t="s">
        <v>1563</v>
      </c>
      <c r="H275" s="132" t="s">
        <v>240</v>
      </c>
      <c r="I275" s="52">
        <v>3</v>
      </c>
      <c r="J275" s="51" t="s">
        <v>123</v>
      </c>
      <c r="K275" s="52">
        <v>1</v>
      </c>
      <c r="L275" s="52"/>
      <c r="M275" s="350"/>
      <c r="N275" s="87" t="s">
        <v>1564</v>
      </c>
      <c r="O275" s="87" t="s">
        <v>1565</v>
      </c>
      <c r="P275" s="331"/>
      <c r="Q275" s="51"/>
      <c r="R275" s="55"/>
      <c r="S275" s="51"/>
      <c r="T275" s="55" t="s">
        <v>1296</v>
      </c>
      <c r="U275" s="55" t="s">
        <v>1297</v>
      </c>
      <c r="V275" s="55" t="s">
        <v>244</v>
      </c>
      <c r="W275" s="82" t="s">
        <v>1566</v>
      </c>
      <c r="X275" s="55" t="s">
        <v>1295</v>
      </c>
      <c r="Y275" s="55" t="s">
        <v>323</v>
      </c>
      <c r="Z275" s="55" t="s">
        <v>323</v>
      </c>
      <c r="AA275" s="71" t="s">
        <v>1567</v>
      </c>
    </row>
    <row r="276" spans="2:27" ht="80.25" hidden="1" customHeight="1" x14ac:dyDescent="0.35">
      <c r="B276" s="51" t="s">
        <v>33</v>
      </c>
      <c r="C276" s="51" t="s">
        <v>1555</v>
      </c>
      <c r="D276" s="51" t="s">
        <v>1556</v>
      </c>
      <c r="E276" s="52">
        <v>1</v>
      </c>
      <c r="F276" s="51" t="s">
        <v>317</v>
      </c>
      <c r="G276" s="51" t="s">
        <v>318</v>
      </c>
      <c r="H276" s="51" t="s">
        <v>319</v>
      </c>
      <c r="I276" s="52">
        <v>4</v>
      </c>
      <c r="J276" s="51" t="s">
        <v>123</v>
      </c>
      <c r="K276" s="52">
        <v>2</v>
      </c>
      <c r="L276" s="52"/>
      <c r="M276" s="350"/>
      <c r="N276" s="53" t="s">
        <v>320</v>
      </c>
      <c r="O276" s="53" t="s">
        <v>321</v>
      </c>
      <c r="P276" s="331" t="s">
        <v>126</v>
      </c>
      <c r="Q276" s="51"/>
      <c r="R276" s="55"/>
      <c r="S276" s="51"/>
      <c r="T276" s="55" t="s">
        <v>1296</v>
      </c>
      <c r="U276" s="55" t="s">
        <v>1297</v>
      </c>
      <c r="V276" s="55" t="s">
        <v>244</v>
      </c>
      <c r="W276" s="82" t="s">
        <v>1568</v>
      </c>
      <c r="X276" s="55" t="s">
        <v>1295</v>
      </c>
      <c r="Y276" s="55" t="s">
        <v>323</v>
      </c>
      <c r="Z276" s="55" t="s">
        <v>323</v>
      </c>
      <c r="AA276" s="71" t="s">
        <v>1569</v>
      </c>
    </row>
    <row r="277" spans="2:27" ht="80.25" hidden="1" customHeight="1" x14ac:dyDescent="0.35">
      <c r="B277" s="51" t="s">
        <v>33</v>
      </c>
      <c r="C277" s="51" t="s">
        <v>1555</v>
      </c>
      <c r="D277" s="51" t="s">
        <v>1556</v>
      </c>
      <c r="E277" s="52">
        <v>1</v>
      </c>
      <c r="F277" s="51" t="s">
        <v>326</v>
      </c>
      <c r="G277" s="51" t="s">
        <v>327</v>
      </c>
      <c r="H277" s="51" t="s">
        <v>328</v>
      </c>
      <c r="I277" s="52">
        <v>5</v>
      </c>
      <c r="J277" s="51" t="s">
        <v>123</v>
      </c>
      <c r="K277" s="52">
        <v>10</v>
      </c>
      <c r="L277" s="52"/>
      <c r="M277" s="52"/>
      <c r="N277" s="53" t="s">
        <v>329</v>
      </c>
      <c r="O277" s="53" t="s">
        <v>361</v>
      </c>
      <c r="P277" s="331" t="s">
        <v>1048</v>
      </c>
      <c r="Q277" s="51"/>
      <c r="R277" s="55"/>
      <c r="S277" s="51"/>
      <c r="T277" s="55" t="s">
        <v>1296</v>
      </c>
      <c r="U277" s="55" t="s">
        <v>1297</v>
      </c>
      <c r="V277" s="55" t="s">
        <v>244</v>
      </c>
      <c r="W277" s="82" t="s">
        <v>1570</v>
      </c>
      <c r="X277" s="55" t="s">
        <v>1295</v>
      </c>
      <c r="Y277" s="55" t="s">
        <v>323</v>
      </c>
      <c r="Z277" s="55" t="s">
        <v>323</v>
      </c>
      <c r="AA277" s="60" t="s">
        <v>323</v>
      </c>
    </row>
    <row r="278" spans="2:27" ht="80.25" hidden="1" customHeight="1" x14ac:dyDescent="0.35">
      <c r="B278" s="51" t="s">
        <v>33</v>
      </c>
      <c r="C278" s="51" t="s">
        <v>1555</v>
      </c>
      <c r="D278" s="51" t="s">
        <v>1556</v>
      </c>
      <c r="E278" s="52">
        <v>1</v>
      </c>
      <c r="F278" s="51" t="s">
        <v>333</v>
      </c>
      <c r="G278" s="51" t="s">
        <v>334</v>
      </c>
      <c r="H278" s="51" t="s">
        <v>335</v>
      </c>
      <c r="I278" s="52">
        <v>6</v>
      </c>
      <c r="J278" s="51" t="s">
        <v>336</v>
      </c>
      <c r="K278" s="52">
        <v>23</v>
      </c>
      <c r="L278" s="52"/>
      <c r="M278" s="52"/>
      <c r="N278" s="53" t="s">
        <v>337</v>
      </c>
      <c r="O278" s="53" t="s">
        <v>338</v>
      </c>
      <c r="P278" s="331" t="s">
        <v>1048</v>
      </c>
      <c r="Q278" s="51"/>
      <c r="R278" s="55"/>
      <c r="S278" s="51"/>
      <c r="T278" s="55" t="s">
        <v>1296</v>
      </c>
      <c r="U278" s="55" t="s">
        <v>1297</v>
      </c>
      <c r="V278" s="55" t="s">
        <v>244</v>
      </c>
      <c r="W278" s="82" t="s">
        <v>1571</v>
      </c>
      <c r="X278" s="55" t="s">
        <v>1295</v>
      </c>
      <c r="Y278" s="55" t="s">
        <v>323</v>
      </c>
      <c r="Z278" s="55" t="s">
        <v>323</v>
      </c>
      <c r="AA278" s="60" t="s">
        <v>323</v>
      </c>
    </row>
    <row r="279" spans="2:27" ht="80.25" hidden="1" customHeight="1" x14ac:dyDescent="0.35">
      <c r="B279" s="51" t="s">
        <v>40</v>
      </c>
      <c r="C279" s="51" t="s">
        <v>1572</v>
      </c>
      <c r="D279" s="51" t="s">
        <v>41</v>
      </c>
      <c r="E279" s="52">
        <v>1</v>
      </c>
      <c r="F279" s="51" t="s">
        <v>120</v>
      </c>
      <c r="G279" s="51" t="s">
        <v>121</v>
      </c>
      <c r="H279" s="51" t="s">
        <v>122</v>
      </c>
      <c r="I279" s="52">
        <v>1</v>
      </c>
      <c r="J279" s="51" t="s">
        <v>123</v>
      </c>
      <c r="K279" s="52">
        <v>4</v>
      </c>
      <c r="L279" s="52"/>
      <c r="M279" s="52"/>
      <c r="N279" s="328" t="s">
        <v>124</v>
      </c>
      <c r="O279" s="53" t="s">
        <v>125</v>
      </c>
      <c r="P279" s="52" t="s">
        <v>126</v>
      </c>
      <c r="Q279" s="54"/>
      <c r="R279" s="55" t="s">
        <v>1573</v>
      </c>
      <c r="S279" s="55" t="s">
        <v>1574</v>
      </c>
      <c r="T279" s="55" t="s">
        <v>1575</v>
      </c>
      <c r="U279" s="55" t="s">
        <v>1576</v>
      </c>
      <c r="V279" s="55" t="s">
        <v>555</v>
      </c>
      <c r="W279" s="82" t="s">
        <v>1577</v>
      </c>
      <c r="X279" s="55" t="s">
        <v>425</v>
      </c>
      <c r="Y279" s="53" t="s">
        <v>372</v>
      </c>
      <c r="Z279" s="53" t="s">
        <v>372</v>
      </c>
      <c r="AA279" s="60" t="s">
        <v>373</v>
      </c>
    </row>
    <row r="280" spans="2:27" ht="80.25" hidden="1" customHeight="1" x14ac:dyDescent="0.35">
      <c r="B280" s="51" t="s">
        <v>40</v>
      </c>
      <c r="C280" s="51" t="s">
        <v>1572</v>
      </c>
      <c r="D280" s="51" t="s">
        <v>41</v>
      </c>
      <c r="E280" s="52">
        <v>1</v>
      </c>
      <c r="F280" s="51" t="s">
        <v>136</v>
      </c>
      <c r="G280" s="51" t="s">
        <v>137</v>
      </c>
      <c r="H280" s="51" t="s">
        <v>122</v>
      </c>
      <c r="I280" s="52">
        <v>2</v>
      </c>
      <c r="J280" s="51" t="s">
        <v>123</v>
      </c>
      <c r="K280" s="52">
        <v>30</v>
      </c>
      <c r="L280" s="52"/>
      <c r="M280" s="52"/>
      <c r="N280" s="53" t="s">
        <v>138</v>
      </c>
      <c r="O280" s="53" t="s">
        <v>139</v>
      </c>
      <c r="P280" s="52" t="s">
        <v>126</v>
      </c>
      <c r="Q280" s="51"/>
      <c r="R280" s="55" t="s">
        <v>1573</v>
      </c>
      <c r="S280" s="55" t="s">
        <v>1574</v>
      </c>
      <c r="T280" s="55" t="s">
        <v>1578</v>
      </c>
      <c r="U280" s="55" t="s">
        <v>1579</v>
      </c>
      <c r="V280" s="55" t="s">
        <v>1580</v>
      </c>
      <c r="W280" s="82" t="s">
        <v>1581</v>
      </c>
      <c r="X280" s="55" t="s">
        <v>425</v>
      </c>
      <c r="Y280" s="53" t="s">
        <v>1582</v>
      </c>
      <c r="Z280" s="53" t="s">
        <v>1583</v>
      </c>
      <c r="AA280" s="60" t="s">
        <v>372</v>
      </c>
    </row>
    <row r="281" spans="2:27" ht="80.25" hidden="1" customHeight="1" x14ac:dyDescent="0.35">
      <c r="B281" s="51" t="s">
        <v>40</v>
      </c>
      <c r="C281" s="51" t="s">
        <v>1572</v>
      </c>
      <c r="D281" s="51" t="s">
        <v>41</v>
      </c>
      <c r="E281" s="52">
        <v>1</v>
      </c>
      <c r="F281" s="51" t="s">
        <v>148</v>
      </c>
      <c r="G281" s="51" t="s">
        <v>149</v>
      </c>
      <c r="H281" s="54" t="s">
        <v>150</v>
      </c>
      <c r="I281" s="52">
        <v>3</v>
      </c>
      <c r="J281" s="51" t="s">
        <v>123</v>
      </c>
      <c r="K281" s="52">
        <v>4</v>
      </c>
      <c r="L281" s="52"/>
      <c r="M281" s="52"/>
      <c r="N281" s="53" t="s">
        <v>151</v>
      </c>
      <c r="O281" s="53" t="s">
        <v>152</v>
      </c>
      <c r="P281" s="52"/>
      <c r="Q281" s="53" t="s">
        <v>586</v>
      </c>
      <c r="R281" s="55"/>
      <c r="S281" s="51"/>
      <c r="T281" s="55" t="s">
        <v>1575</v>
      </c>
      <c r="U281" s="55" t="s">
        <v>1576</v>
      </c>
      <c r="V281" s="55" t="s">
        <v>555</v>
      </c>
      <c r="W281" s="82" t="s">
        <v>1584</v>
      </c>
      <c r="X281" s="55" t="s">
        <v>1585</v>
      </c>
      <c r="Y281" s="53" t="s">
        <v>1582</v>
      </c>
      <c r="Z281" s="55" t="s">
        <v>1586</v>
      </c>
      <c r="AA281" s="60" t="s">
        <v>372</v>
      </c>
    </row>
    <row r="282" spans="2:27" ht="80.25" hidden="1" customHeight="1" x14ac:dyDescent="0.35">
      <c r="B282" s="51" t="s">
        <v>40</v>
      </c>
      <c r="C282" s="51" t="s">
        <v>1572</v>
      </c>
      <c r="D282" s="51" t="s">
        <v>41</v>
      </c>
      <c r="E282" s="52">
        <v>1</v>
      </c>
      <c r="F282" s="51" t="s">
        <v>155</v>
      </c>
      <c r="G282" s="51" t="s">
        <v>156</v>
      </c>
      <c r="H282" s="54" t="s">
        <v>150</v>
      </c>
      <c r="I282" s="52">
        <v>4</v>
      </c>
      <c r="J282" s="51" t="s">
        <v>123</v>
      </c>
      <c r="K282" s="52">
        <v>4</v>
      </c>
      <c r="L282" s="52"/>
      <c r="M282" s="52"/>
      <c r="N282" s="53" t="s">
        <v>157</v>
      </c>
      <c r="O282" s="53" t="s">
        <v>158</v>
      </c>
      <c r="P282" s="52"/>
      <c r="Q282" s="55" t="s">
        <v>1587</v>
      </c>
      <c r="R282" s="55" t="s">
        <v>160</v>
      </c>
      <c r="S282" s="55" t="s">
        <v>161</v>
      </c>
      <c r="T282" s="55" t="s">
        <v>1578</v>
      </c>
      <c r="U282" s="55" t="s">
        <v>1579</v>
      </c>
      <c r="V282" s="55" t="s">
        <v>1588</v>
      </c>
      <c r="W282" s="82" t="s">
        <v>1589</v>
      </c>
      <c r="X282" s="55" t="s">
        <v>425</v>
      </c>
      <c r="Y282" s="53" t="s">
        <v>1582</v>
      </c>
      <c r="Z282" s="53" t="s">
        <v>590</v>
      </c>
      <c r="AA282" s="60" t="s">
        <v>372</v>
      </c>
    </row>
    <row r="283" spans="2:27" ht="80.25" hidden="1" customHeight="1" x14ac:dyDescent="0.35">
      <c r="B283" s="51" t="s">
        <v>40</v>
      </c>
      <c r="C283" s="51" t="s">
        <v>1572</v>
      </c>
      <c r="D283" s="51" t="s">
        <v>41</v>
      </c>
      <c r="E283" s="52">
        <v>1</v>
      </c>
      <c r="F283" s="51" t="s">
        <v>167</v>
      </c>
      <c r="G283" s="51" t="s">
        <v>168</v>
      </c>
      <c r="H283" s="54" t="s">
        <v>150</v>
      </c>
      <c r="I283" s="52">
        <v>5</v>
      </c>
      <c r="J283" s="51" t="s">
        <v>123</v>
      </c>
      <c r="K283" s="52">
        <v>4</v>
      </c>
      <c r="L283" s="52"/>
      <c r="M283" s="52"/>
      <c r="N283" s="53" t="s">
        <v>169</v>
      </c>
      <c r="O283" s="53" t="s">
        <v>170</v>
      </c>
      <c r="P283" s="52"/>
      <c r="Q283" s="55" t="s">
        <v>1590</v>
      </c>
      <c r="R283" s="55" t="s">
        <v>160</v>
      </c>
      <c r="S283" s="55" t="s">
        <v>172</v>
      </c>
      <c r="T283" s="55" t="s">
        <v>1578</v>
      </c>
      <c r="U283" s="55" t="s">
        <v>1579</v>
      </c>
      <c r="V283" s="55" t="s">
        <v>1591</v>
      </c>
      <c r="W283" s="82" t="s">
        <v>1592</v>
      </c>
      <c r="X283" s="55" t="s">
        <v>425</v>
      </c>
      <c r="Y283" s="53" t="s">
        <v>1582</v>
      </c>
      <c r="Z283" s="53" t="s">
        <v>593</v>
      </c>
      <c r="AA283" s="60" t="s">
        <v>372</v>
      </c>
    </row>
    <row r="284" spans="2:27" ht="80.25" hidden="1" customHeight="1" x14ac:dyDescent="0.35">
      <c r="B284" s="51" t="s">
        <v>40</v>
      </c>
      <c r="C284" s="51" t="s">
        <v>1572</v>
      </c>
      <c r="D284" s="51" t="s">
        <v>41</v>
      </c>
      <c r="E284" s="52">
        <v>1</v>
      </c>
      <c r="F284" s="51" t="s">
        <v>198</v>
      </c>
      <c r="G284" s="51" t="s">
        <v>199</v>
      </c>
      <c r="H284" s="54" t="s">
        <v>200</v>
      </c>
      <c r="I284" s="52">
        <v>6</v>
      </c>
      <c r="J284" s="51" t="s">
        <v>123</v>
      </c>
      <c r="K284" s="52">
        <v>10</v>
      </c>
      <c r="L284" s="52"/>
      <c r="M284" s="52"/>
      <c r="N284" s="53" t="s">
        <v>201</v>
      </c>
      <c r="O284" s="53" t="s">
        <v>202</v>
      </c>
      <c r="P284" s="52"/>
      <c r="Q284" s="51"/>
      <c r="R284" s="55" t="s">
        <v>203</v>
      </c>
      <c r="S284" s="51" t="s">
        <v>198</v>
      </c>
      <c r="T284" s="55" t="s">
        <v>1578</v>
      </c>
      <c r="U284" s="55" t="s">
        <v>1579</v>
      </c>
      <c r="V284" s="55" t="s">
        <v>1593</v>
      </c>
      <c r="W284" s="82" t="s">
        <v>1594</v>
      </c>
      <c r="X284" s="55" t="s">
        <v>425</v>
      </c>
      <c r="Y284" s="53" t="s">
        <v>1582</v>
      </c>
      <c r="Z284" s="53" t="s">
        <v>630</v>
      </c>
      <c r="AA284" s="60" t="s">
        <v>372</v>
      </c>
    </row>
    <row r="285" spans="2:27" ht="80.25" hidden="1" customHeight="1" x14ac:dyDescent="0.35">
      <c r="B285" s="51" t="s">
        <v>40</v>
      </c>
      <c r="C285" s="51" t="s">
        <v>1572</v>
      </c>
      <c r="D285" s="51" t="s">
        <v>41</v>
      </c>
      <c r="E285" s="52">
        <v>1</v>
      </c>
      <c r="F285" s="51" t="s">
        <v>210</v>
      </c>
      <c r="G285" s="51" t="s">
        <v>211</v>
      </c>
      <c r="H285" s="54" t="s">
        <v>200</v>
      </c>
      <c r="I285" s="52">
        <v>7</v>
      </c>
      <c r="J285" s="51" t="s">
        <v>123</v>
      </c>
      <c r="K285" s="52">
        <v>10</v>
      </c>
      <c r="L285" s="52"/>
      <c r="M285" s="52"/>
      <c r="N285" s="53" t="s">
        <v>212</v>
      </c>
      <c r="O285" s="53" t="s">
        <v>213</v>
      </c>
      <c r="P285" s="52"/>
      <c r="Q285" s="54"/>
      <c r="R285" s="55"/>
      <c r="S285" s="51"/>
      <c r="T285" s="55" t="s">
        <v>1578</v>
      </c>
      <c r="U285" s="55" t="s">
        <v>1579</v>
      </c>
      <c r="V285" s="55" t="s">
        <v>1595</v>
      </c>
      <c r="W285" s="82" t="s">
        <v>1596</v>
      </c>
      <c r="X285" s="55" t="s">
        <v>1597</v>
      </c>
      <c r="Y285" s="53" t="s">
        <v>1598</v>
      </c>
      <c r="Z285" s="53" t="s">
        <v>1599</v>
      </c>
      <c r="AA285" s="85" t="s">
        <v>647</v>
      </c>
    </row>
    <row r="286" spans="2:27" ht="80.25" hidden="1" customHeight="1" x14ac:dyDescent="0.35">
      <c r="B286" s="51" t="s">
        <v>40</v>
      </c>
      <c r="C286" s="51" t="s">
        <v>1572</v>
      </c>
      <c r="D286" s="51" t="s">
        <v>41</v>
      </c>
      <c r="E286" s="52">
        <v>1</v>
      </c>
      <c r="F286" s="51" t="s">
        <v>222</v>
      </c>
      <c r="G286" s="51" t="s">
        <v>223</v>
      </c>
      <c r="H286" s="54" t="s">
        <v>224</v>
      </c>
      <c r="I286" s="52">
        <v>8</v>
      </c>
      <c r="J286" s="51" t="s">
        <v>123</v>
      </c>
      <c r="K286" s="52">
        <v>4</v>
      </c>
      <c r="L286" s="52"/>
      <c r="M286" s="52"/>
      <c r="N286" s="53" t="s">
        <v>225</v>
      </c>
      <c r="O286" s="53" t="s">
        <v>226</v>
      </c>
      <c r="P286" s="52"/>
      <c r="Q286" s="55" t="s">
        <v>419</v>
      </c>
      <c r="R286" s="55" t="s">
        <v>1600</v>
      </c>
      <c r="S286" s="55" t="s">
        <v>864</v>
      </c>
      <c r="T286" s="55" t="s">
        <v>1578</v>
      </c>
      <c r="U286" s="55" t="s">
        <v>1579</v>
      </c>
      <c r="V286" s="55" t="s">
        <v>1601</v>
      </c>
      <c r="W286" s="321" t="s">
        <v>1602</v>
      </c>
      <c r="X286" s="55" t="s">
        <v>1585</v>
      </c>
      <c r="Y286" s="53" t="s">
        <v>1582</v>
      </c>
      <c r="Z286" s="53" t="s">
        <v>427</v>
      </c>
      <c r="AA286" s="60" t="s">
        <v>372</v>
      </c>
    </row>
    <row r="287" spans="2:27" ht="80.25" hidden="1" customHeight="1" x14ac:dyDescent="0.35">
      <c r="B287" s="51" t="s">
        <v>40</v>
      </c>
      <c r="C287" s="51" t="s">
        <v>1572</v>
      </c>
      <c r="D287" s="51" t="s">
        <v>41</v>
      </c>
      <c r="E287" s="52">
        <v>1</v>
      </c>
      <c r="F287" s="51" t="s">
        <v>238</v>
      </c>
      <c r="G287" s="51" t="s">
        <v>239</v>
      </c>
      <c r="H287" s="54" t="s">
        <v>240</v>
      </c>
      <c r="I287" s="52">
        <v>9</v>
      </c>
      <c r="J287" s="51" t="s">
        <v>123</v>
      </c>
      <c r="K287" s="52">
        <v>4</v>
      </c>
      <c r="L287" s="52"/>
      <c r="M287" s="52"/>
      <c r="N287" s="53" t="s">
        <v>241</v>
      </c>
      <c r="O287" s="53" t="s">
        <v>242</v>
      </c>
      <c r="P287" s="52"/>
      <c r="Q287" s="54"/>
      <c r="R287" s="63"/>
      <c r="S287" s="61"/>
      <c r="T287" s="55" t="s">
        <v>1578</v>
      </c>
      <c r="U287" s="55" t="s">
        <v>1579</v>
      </c>
      <c r="V287" s="53" t="s">
        <v>351</v>
      </c>
      <c r="W287" s="322" t="s">
        <v>1603</v>
      </c>
      <c r="X287" s="55" t="s">
        <v>1597</v>
      </c>
      <c r="Y287" s="53" t="s">
        <v>647</v>
      </c>
      <c r="Z287" s="53" t="s">
        <v>647</v>
      </c>
      <c r="AA287" s="60" t="s">
        <v>665</v>
      </c>
    </row>
    <row r="288" spans="2:27" ht="80.25" hidden="1" customHeight="1" x14ac:dyDescent="0.35">
      <c r="B288" s="51" t="s">
        <v>40</v>
      </c>
      <c r="C288" s="51" t="s">
        <v>1572</v>
      </c>
      <c r="D288" s="51" t="s">
        <v>41</v>
      </c>
      <c r="E288" s="52">
        <v>1</v>
      </c>
      <c r="F288" s="51" t="s">
        <v>1604</v>
      </c>
      <c r="G288" s="51" t="s">
        <v>1605</v>
      </c>
      <c r="H288" s="54" t="s">
        <v>249</v>
      </c>
      <c r="I288" s="52">
        <v>10</v>
      </c>
      <c r="J288" s="51" t="s">
        <v>250</v>
      </c>
      <c r="K288" s="52">
        <v>23</v>
      </c>
      <c r="L288" s="52">
        <v>6</v>
      </c>
      <c r="M288" s="52"/>
      <c r="N288" s="53" t="s">
        <v>1606</v>
      </c>
      <c r="O288" s="53" t="s">
        <v>1607</v>
      </c>
      <c r="P288" s="52"/>
      <c r="Q288" s="54"/>
      <c r="R288" s="53"/>
      <c r="S288" s="54"/>
      <c r="T288" s="55" t="s">
        <v>1578</v>
      </c>
      <c r="U288" s="55" t="s">
        <v>1579</v>
      </c>
      <c r="V288" s="63" t="s">
        <v>1608</v>
      </c>
      <c r="W288" s="82" t="s">
        <v>1609</v>
      </c>
      <c r="X288" s="55" t="s">
        <v>1585</v>
      </c>
      <c r="Y288" s="53" t="s">
        <v>1582</v>
      </c>
      <c r="Z288" s="53" t="s">
        <v>652</v>
      </c>
      <c r="AA288" s="60" t="s">
        <v>372</v>
      </c>
    </row>
    <row r="289" spans="2:27" ht="80.25" hidden="1" customHeight="1" x14ac:dyDescent="0.35">
      <c r="B289" s="51" t="s">
        <v>40</v>
      </c>
      <c r="C289" s="51" t="s">
        <v>1572</v>
      </c>
      <c r="D289" s="51" t="s">
        <v>41</v>
      </c>
      <c r="E289" s="52">
        <v>1</v>
      </c>
      <c r="F289" s="51" t="s">
        <v>1610</v>
      </c>
      <c r="G289" s="51" t="s">
        <v>1611</v>
      </c>
      <c r="H289" s="54" t="s">
        <v>249</v>
      </c>
      <c r="I289" s="52">
        <v>11</v>
      </c>
      <c r="J289" s="51" t="s">
        <v>250</v>
      </c>
      <c r="K289" s="52">
        <v>23</v>
      </c>
      <c r="L289" s="52">
        <v>6</v>
      </c>
      <c r="M289" s="52"/>
      <c r="N289" s="53" t="s">
        <v>1612</v>
      </c>
      <c r="O289" s="53" t="s">
        <v>1613</v>
      </c>
      <c r="P289" s="52"/>
      <c r="Q289" s="51"/>
      <c r="R289" s="53"/>
      <c r="S289" s="54"/>
      <c r="T289" s="55" t="s">
        <v>1578</v>
      </c>
      <c r="U289" s="55" t="s">
        <v>1579</v>
      </c>
      <c r="V289" s="65" t="s">
        <v>1614</v>
      </c>
      <c r="W289" s="82" t="s">
        <v>1615</v>
      </c>
      <c r="X289" s="55" t="s">
        <v>1585</v>
      </c>
      <c r="Y289" s="53" t="s">
        <v>1582</v>
      </c>
      <c r="Z289" s="51" t="s">
        <v>1616</v>
      </c>
      <c r="AA289" s="60" t="s">
        <v>372</v>
      </c>
    </row>
    <row r="290" spans="2:27" ht="80.25" hidden="1" customHeight="1" x14ac:dyDescent="0.35">
      <c r="B290" s="51" t="s">
        <v>40</v>
      </c>
      <c r="C290" s="51" t="s">
        <v>1572</v>
      </c>
      <c r="D290" s="51" t="s">
        <v>41</v>
      </c>
      <c r="E290" s="52">
        <v>1</v>
      </c>
      <c r="F290" s="51" t="s">
        <v>1617</v>
      </c>
      <c r="G290" s="51" t="s">
        <v>1618</v>
      </c>
      <c r="H290" s="54" t="s">
        <v>249</v>
      </c>
      <c r="I290" s="52">
        <v>12</v>
      </c>
      <c r="J290" s="51" t="s">
        <v>250</v>
      </c>
      <c r="K290" s="52">
        <v>23</v>
      </c>
      <c r="L290" s="52">
        <v>6</v>
      </c>
      <c r="M290" s="52"/>
      <c r="N290" s="53" t="s">
        <v>1619</v>
      </c>
      <c r="O290" s="53" t="s">
        <v>1620</v>
      </c>
      <c r="P290" s="52"/>
      <c r="Q290" s="54"/>
      <c r="R290" s="53" t="s">
        <v>275</v>
      </c>
      <c r="S290" s="54" t="s">
        <v>276</v>
      </c>
      <c r="T290" s="55" t="s">
        <v>1578</v>
      </c>
      <c r="U290" s="55" t="s">
        <v>1579</v>
      </c>
      <c r="V290" s="63" t="s">
        <v>1621</v>
      </c>
      <c r="W290" s="82" t="s">
        <v>1622</v>
      </c>
      <c r="X290" s="55" t="s">
        <v>1585</v>
      </c>
      <c r="Y290" s="53" t="s">
        <v>1582</v>
      </c>
      <c r="Z290" s="53" t="s">
        <v>1623</v>
      </c>
      <c r="AA290" s="60" t="s">
        <v>372</v>
      </c>
    </row>
    <row r="291" spans="2:27" ht="80.25" hidden="1" customHeight="1" x14ac:dyDescent="0.35">
      <c r="B291" s="51" t="s">
        <v>40</v>
      </c>
      <c r="C291" s="51" t="s">
        <v>1572</v>
      </c>
      <c r="D291" s="51" t="s">
        <v>41</v>
      </c>
      <c r="E291" s="52">
        <v>1</v>
      </c>
      <c r="F291" s="51" t="s">
        <v>1624</v>
      </c>
      <c r="G291" s="51" t="s">
        <v>1625</v>
      </c>
      <c r="H291" s="54" t="s">
        <v>1626</v>
      </c>
      <c r="I291" s="52">
        <v>13</v>
      </c>
      <c r="J291" s="51" t="s">
        <v>250</v>
      </c>
      <c r="K291" s="52">
        <v>23</v>
      </c>
      <c r="L291" s="52">
        <v>6</v>
      </c>
      <c r="M291" s="52"/>
      <c r="N291" s="53" t="s">
        <v>1627</v>
      </c>
      <c r="O291" s="53" t="s">
        <v>1628</v>
      </c>
      <c r="P291" s="52"/>
      <c r="Q291" s="51"/>
      <c r="R291" s="55" t="s">
        <v>1629</v>
      </c>
      <c r="S291" s="55" t="s">
        <v>1630</v>
      </c>
      <c r="T291" s="55" t="s">
        <v>1578</v>
      </c>
      <c r="U291" s="55" t="s">
        <v>1579</v>
      </c>
      <c r="V291" s="55" t="s">
        <v>1631</v>
      </c>
      <c r="W291" s="82" t="s">
        <v>1632</v>
      </c>
      <c r="X291" s="55" t="s">
        <v>1585</v>
      </c>
      <c r="Y291" s="53" t="s">
        <v>1582</v>
      </c>
      <c r="Z291" s="53" t="s">
        <v>1633</v>
      </c>
      <c r="AA291" s="60" t="s">
        <v>372</v>
      </c>
    </row>
    <row r="292" spans="2:27" ht="80.25" hidden="1" customHeight="1" x14ac:dyDescent="0.35">
      <c r="B292" s="51" t="s">
        <v>40</v>
      </c>
      <c r="C292" s="51" t="s">
        <v>1572</v>
      </c>
      <c r="D292" s="51" t="s">
        <v>41</v>
      </c>
      <c r="E292" s="52">
        <v>1</v>
      </c>
      <c r="F292" s="51" t="s">
        <v>1634</v>
      </c>
      <c r="G292" s="51" t="s">
        <v>1635</v>
      </c>
      <c r="H292" s="54" t="s">
        <v>1626</v>
      </c>
      <c r="I292" s="52">
        <v>14</v>
      </c>
      <c r="J292" s="51" t="s">
        <v>250</v>
      </c>
      <c r="K292" s="52">
        <v>23</v>
      </c>
      <c r="L292" s="52">
        <v>6</v>
      </c>
      <c r="M292" s="52"/>
      <c r="N292" s="53" t="s">
        <v>1636</v>
      </c>
      <c r="O292" s="53" t="s">
        <v>1637</v>
      </c>
      <c r="P292" s="52"/>
      <c r="Q292" s="54"/>
      <c r="R292" s="53"/>
      <c r="S292" s="54"/>
      <c r="T292" s="55" t="s">
        <v>1578</v>
      </c>
      <c r="U292" s="55" t="s">
        <v>1579</v>
      </c>
      <c r="V292" s="55" t="s">
        <v>1638</v>
      </c>
      <c r="W292" s="82" t="s">
        <v>1639</v>
      </c>
      <c r="X292" s="55" t="s">
        <v>1597</v>
      </c>
      <c r="Y292" s="53" t="s">
        <v>1640</v>
      </c>
      <c r="Z292" s="53" t="s">
        <v>1641</v>
      </c>
      <c r="AA292" s="60" t="s">
        <v>1642</v>
      </c>
    </row>
    <row r="293" spans="2:27" ht="80.25" hidden="1" customHeight="1" x14ac:dyDescent="0.35">
      <c r="B293" s="51" t="s">
        <v>40</v>
      </c>
      <c r="C293" s="51" t="s">
        <v>1572</v>
      </c>
      <c r="D293" s="51" t="s">
        <v>41</v>
      </c>
      <c r="E293" s="52">
        <v>1</v>
      </c>
      <c r="F293" s="51" t="s">
        <v>1643</v>
      </c>
      <c r="G293" s="51" t="s">
        <v>1644</v>
      </c>
      <c r="H293" s="54" t="s">
        <v>1626</v>
      </c>
      <c r="I293" s="52">
        <v>15</v>
      </c>
      <c r="J293" s="51" t="s">
        <v>250</v>
      </c>
      <c r="K293" s="52">
        <v>23</v>
      </c>
      <c r="L293" s="52">
        <v>6</v>
      </c>
      <c r="M293" s="52"/>
      <c r="N293" s="53" t="s">
        <v>1645</v>
      </c>
      <c r="O293" s="53" t="s">
        <v>1646</v>
      </c>
      <c r="P293" s="52"/>
      <c r="Q293" s="54"/>
      <c r="R293" s="53" t="s">
        <v>722</v>
      </c>
      <c r="S293" s="54" t="s">
        <v>1647</v>
      </c>
      <c r="T293" s="249" t="s">
        <v>1578</v>
      </c>
      <c r="U293" s="249" t="s">
        <v>1579</v>
      </c>
      <c r="V293" s="63" t="s">
        <v>1638</v>
      </c>
      <c r="W293" s="82" t="s">
        <v>1648</v>
      </c>
      <c r="X293" s="55" t="s">
        <v>1597</v>
      </c>
      <c r="Y293" s="53" t="s">
        <v>1649</v>
      </c>
      <c r="Z293" s="53" t="s">
        <v>1650</v>
      </c>
      <c r="AA293" s="60" t="s">
        <v>1651</v>
      </c>
    </row>
    <row r="294" spans="2:27" ht="80.25" hidden="1" customHeight="1" x14ac:dyDescent="0.35">
      <c r="B294" s="51" t="s">
        <v>40</v>
      </c>
      <c r="C294" s="51" t="s">
        <v>1572</v>
      </c>
      <c r="D294" s="51" t="s">
        <v>41</v>
      </c>
      <c r="E294" s="52">
        <v>1</v>
      </c>
      <c r="F294" s="51" t="s">
        <v>1652</v>
      </c>
      <c r="G294" s="51" t="s">
        <v>1653</v>
      </c>
      <c r="H294" s="54" t="s">
        <v>1626</v>
      </c>
      <c r="I294" s="52">
        <v>16</v>
      </c>
      <c r="J294" s="51" t="s">
        <v>250</v>
      </c>
      <c r="K294" s="52">
        <v>23</v>
      </c>
      <c r="L294" s="52">
        <v>6</v>
      </c>
      <c r="M294" s="52"/>
      <c r="N294" s="53" t="s">
        <v>1654</v>
      </c>
      <c r="O294" s="53" t="s">
        <v>1655</v>
      </c>
      <c r="P294" s="52"/>
      <c r="Q294" s="54"/>
      <c r="R294" s="63"/>
      <c r="S294" s="54"/>
      <c r="T294" s="249" t="s">
        <v>1578</v>
      </c>
      <c r="U294" s="249" t="s">
        <v>1579</v>
      </c>
      <c r="V294" s="63" t="s">
        <v>1638</v>
      </c>
      <c r="W294" s="82" t="s">
        <v>1656</v>
      </c>
      <c r="X294" s="55" t="s">
        <v>1597</v>
      </c>
      <c r="Y294" s="53" t="s">
        <v>1649</v>
      </c>
      <c r="Z294" s="53" t="s">
        <v>1657</v>
      </c>
      <c r="AA294" s="60" t="s">
        <v>1651</v>
      </c>
    </row>
    <row r="295" spans="2:27" ht="80.25" hidden="1" customHeight="1" x14ac:dyDescent="0.35">
      <c r="B295" s="51" t="s">
        <v>40</v>
      </c>
      <c r="C295" s="51" t="s">
        <v>1572</v>
      </c>
      <c r="D295" s="51" t="s">
        <v>41</v>
      </c>
      <c r="E295" s="52">
        <v>1</v>
      </c>
      <c r="F295" s="51" t="s">
        <v>1658</v>
      </c>
      <c r="G295" s="51" t="s">
        <v>1659</v>
      </c>
      <c r="H295" s="51" t="s">
        <v>249</v>
      </c>
      <c r="I295" s="52">
        <v>17</v>
      </c>
      <c r="J295" s="51" t="s">
        <v>250</v>
      </c>
      <c r="K295" s="52">
        <v>23</v>
      </c>
      <c r="L295" s="52">
        <v>6</v>
      </c>
      <c r="M295" s="52"/>
      <c r="N295" s="53" t="s">
        <v>284</v>
      </c>
      <c r="O295" s="53" t="s">
        <v>1660</v>
      </c>
      <c r="P295" s="52"/>
      <c r="Q295" s="54"/>
      <c r="R295" s="63"/>
      <c r="S295" s="61"/>
      <c r="T295" s="249" t="s">
        <v>1661</v>
      </c>
      <c r="U295" s="249" t="s">
        <v>1662</v>
      </c>
      <c r="V295" s="343" t="s">
        <v>1663</v>
      </c>
      <c r="W295" s="320" t="s">
        <v>1664</v>
      </c>
      <c r="X295" s="55" t="s">
        <v>1665</v>
      </c>
      <c r="Y295" s="68" t="s">
        <v>1666</v>
      </c>
      <c r="Z295" s="53" t="s">
        <v>1667</v>
      </c>
      <c r="AA295" s="60" t="s">
        <v>1668</v>
      </c>
    </row>
    <row r="296" spans="2:27" ht="80.25" hidden="1" customHeight="1" x14ac:dyDescent="0.35">
      <c r="B296" s="66" t="s">
        <v>40</v>
      </c>
      <c r="C296" s="66" t="s">
        <v>1572</v>
      </c>
      <c r="D296" s="66" t="s">
        <v>41</v>
      </c>
      <c r="E296" s="77">
        <v>1</v>
      </c>
      <c r="F296" s="66" t="s">
        <v>1669</v>
      </c>
      <c r="G296" s="66" t="s">
        <v>1670</v>
      </c>
      <c r="H296" s="74" t="s">
        <v>746</v>
      </c>
      <c r="I296" s="77">
        <v>18</v>
      </c>
      <c r="J296" s="66" t="s">
        <v>123</v>
      </c>
      <c r="K296" s="77">
        <v>4</v>
      </c>
      <c r="L296" s="77"/>
      <c r="M296" s="77"/>
      <c r="N296" s="72" t="s">
        <v>1671</v>
      </c>
      <c r="O296" s="72" t="s">
        <v>1672</v>
      </c>
      <c r="P296" s="77"/>
      <c r="Q296" s="72" t="s">
        <v>1673</v>
      </c>
      <c r="R296" s="72"/>
      <c r="S296" s="74"/>
      <c r="T296" s="337"/>
      <c r="U296" s="337"/>
      <c r="V296" s="66"/>
      <c r="W296" s="66"/>
      <c r="X296" s="66" t="s">
        <v>1674</v>
      </c>
      <c r="Y296" s="66" t="s">
        <v>1674</v>
      </c>
      <c r="Z296" s="66" t="s">
        <v>1674</v>
      </c>
      <c r="AA296" s="75" t="s">
        <v>1674</v>
      </c>
    </row>
    <row r="297" spans="2:27" ht="80.25" hidden="1" customHeight="1" x14ac:dyDescent="0.35">
      <c r="B297" s="66" t="s">
        <v>40</v>
      </c>
      <c r="C297" s="66" t="s">
        <v>1572</v>
      </c>
      <c r="D297" s="66" t="s">
        <v>41</v>
      </c>
      <c r="E297" s="77">
        <v>1</v>
      </c>
      <c r="F297" s="66" t="s">
        <v>1675</v>
      </c>
      <c r="G297" s="66" t="s">
        <v>1676</v>
      </c>
      <c r="H297" s="74" t="s">
        <v>746</v>
      </c>
      <c r="I297" s="77">
        <v>19</v>
      </c>
      <c r="J297" s="66" t="s">
        <v>123</v>
      </c>
      <c r="K297" s="77">
        <v>4</v>
      </c>
      <c r="L297" s="77"/>
      <c r="M297" s="77"/>
      <c r="N297" s="72" t="s">
        <v>1677</v>
      </c>
      <c r="O297" s="72" t="s">
        <v>1678</v>
      </c>
      <c r="P297" s="77"/>
      <c r="Q297" s="72" t="s">
        <v>1679</v>
      </c>
      <c r="R297" s="72"/>
      <c r="S297" s="74"/>
      <c r="T297" s="66"/>
      <c r="U297" s="66"/>
      <c r="V297" s="66"/>
      <c r="W297" s="66"/>
      <c r="X297" s="66" t="s">
        <v>1674</v>
      </c>
      <c r="Y297" s="66" t="s">
        <v>1674</v>
      </c>
      <c r="Z297" s="66" t="s">
        <v>1674</v>
      </c>
      <c r="AA297" s="75" t="s">
        <v>1674</v>
      </c>
    </row>
    <row r="298" spans="2:27" ht="80.25" hidden="1" customHeight="1" x14ac:dyDescent="0.35">
      <c r="B298" s="66" t="s">
        <v>40</v>
      </c>
      <c r="C298" s="66" t="s">
        <v>1572</v>
      </c>
      <c r="D298" s="66" t="s">
        <v>41</v>
      </c>
      <c r="E298" s="77">
        <v>1</v>
      </c>
      <c r="F298" s="66" t="s">
        <v>1680</v>
      </c>
      <c r="G298" s="66" t="s">
        <v>1681</v>
      </c>
      <c r="H298" s="74" t="s">
        <v>767</v>
      </c>
      <c r="I298" s="77">
        <v>20</v>
      </c>
      <c r="J298" s="66" t="s">
        <v>250</v>
      </c>
      <c r="K298" s="77">
        <v>23</v>
      </c>
      <c r="L298" s="77">
        <v>6</v>
      </c>
      <c r="M298" s="77"/>
      <c r="N298" s="72" t="s">
        <v>1682</v>
      </c>
      <c r="O298" s="72" t="s">
        <v>1683</v>
      </c>
      <c r="P298" s="77"/>
      <c r="Q298" s="74"/>
      <c r="R298" s="72"/>
      <c r="S298" s="74"/>
      <c r="T298" s="337"/>
      <c r="U298" s="337"/>
      <c r="V298" s="66"/>
      <c r="W298" s="66"/>
      <c r="X298" s="66" t="s">
        <v>1674</v>
      </c>
      <c r="Y298" s="66" t="s">
        <v>1674</v>
      </c>
      <c r="Z298" s="66" t="s">
        <v>1674</v>
      </c>
      <c r="AA298" s="75" t="s">
        <v>1674</v>
      </c>
    </row>
    <row r="299" spans="2:27" ht="80.25" hidden="1" customHeight="1" x14ac:dyDescent="0.35">
      <c r="B299" s="66" t="s">
        <v>40</v>
      </c>
      <c r="C299" s="66" t="s">
        <v>1572</v>
      </c>
      <c r="D299" s="66" t="s">
        <v>41</v>
      </c>
      <c r="E299" s="77">
        <v>1</v>
      </c>
      <c r="F299" s="66" t="s">
        <v>1684</v>
      </c>
      <c r="G299" s="66" t="s">
        <v>1685</v>
      </c>
      <c r="H299" s="74" t="s">
        <v>767</v>
      </c>
      <c r="I299" s="77">
        <v>21</v>
      </c>
      <c r="J299" s="66" t="s">
        <v>250</v>
      </c>
      <c r="K299" s="77">
        <v>23</v>
      </c>
      <c r="L299" s="77">
        <v>6</v>
      </c>
      <c r="M299" s="77"/>
      <c r="N299" s="72" t="s">
        <v>1686</v>
      </c>
      <c r="O299" s="72" t="s">
        <v>1687</v>
      </c>
      <c r="P299" s="77"/>
      <c r="Q299" s="74"/>
      <c r="R299" s="72"/>
      <c r="S299" s="74"/>
      <c r="T299" s="337"/>
      <c r="U299" s="337"/>
      <c r="V299" s="66"/>
      <c r="W299" s="66"/>
      <c r="X299" s="66" t="s">
        <v>1674</v>
      </c>
      <c r="Y299" s="66" t="s">
        <v>1674</v>
      </c>
      <c r="Z299" s="66" t="s">
        <v>1674</v>
      </c>
      <c r="AA299" s="75" t="s">
        <v>1674</v>
      </c>
    </row>
    <row r="300" spans="2:27" ht="80.25" hidden="1" customHeight="1" x14ac:dyDescent="0.35">
      <c r="B300" s="66" t="s">
        <v>40</v>
      </c>
      <c r="C300" s="66" t="s">
        <v>1572</v>
      </c>
      <c r="D300" s="66" t="s">
        <v>41</v>
      </c>
      <c r="E300" s="77">
        <v>1</v>
      </c>
      <c r="F300" s="66" t="s">
        <v>1688</v>
      </c>
      <c r="G300" s="66" t="s">
        <v>1689</v>
      </c>
      <c r="H300" s="74" t="s">
        <v>767</v>
      </c>
      <c r="I300" s="77">
        <v>22</v>
      </c>
      <c r="J300" s="66" t="s">
        <v>250</v>
      </c>
      <c r="K300" s="77">
        <v>23</v>
      </c>
      <c r="L300" s="77">
        <v>6</v>
      </c>
      <c r="M300" s="77"/>
      <c r="N300" s="72" t="s">
        <v>1690</v>
      </c>
      <c r="O300" s="72" t="s">
        <v>1691</v>
      </c>
      <c r="P300" s="77"/>
      <c r="Q300" s="66"/>
      <c r="R300" s="67" t="s">
        <v>788</v>
      </c>
      <c r="S300" s="66" t="s">
        <v>1518</v>
      </c>
      <c r="T300" s="337"/>
      <c r="U300" s="337"/>
      <c r="V300" s="66"/>
      <c r="W300" s="66"/>
      <c r="X300" s="66" t="s">
        <v>1674</v>
      </c>
      <c r="Y300" s="66" t="s">
        <v>1674</v>
      </c>
      <c r="Z300" s="66" t="s">
        <v>1674</v>
      </c>
      <c r="AA300" s="75" t="s">
        <v>1674</v>
      </c>
    </row>
    <row r="301" spans="2:27" ht="80.25" hidden="1" customHeight="1" x14ac:dyDescent="0.35">
      <c r="B301" s="66" t="s">
        <v>40</v>
      </c>
      <c r="C301" s="66" t="s">
        <v>1572</v>
      </c>
      <c r="D301" s="66" t="s">
        <v>41</v>
      </c>
      <c r="E301" s="77">
        <v>1</v>
      </c>
      <c r="F301" s="66" t="s">
        <v>1692</v>
      </c>
      <c r="G301" s="66" t="s">
        <v>1693</v>
      </c>
      <c r="H301" s="74" t="s">
        <v>746</v>
      </c>
      <c r="I301" s="77">
        <v>23</v>
      </c>
      <c r="J301" s="66" t="s">
        <v>123</v>
      </c>
      <c r="K301" s="77">
        <v>4</v>
      </c>
      <c r="L301" s="77"/>
      <c r="M301" s="77"/>
      <c r="N301" s="72" t="s">
        <v>1694</v>
      </c>
      <c r="O301" s="72" t="s">
        <v>1695</v>
      </c>
      <c r="P301" s="77"/>
      <c r="Q301" s="72" t="s">
        <v>1673</v>
      </c>
      <c r="R301" s="72"/>
      <c r="S301" s="74"/>
      <c r="T301" s="337"/>
      <c r="U301" s="337"/>
      <c r="V301" s="66"/>
      <c r="W301" s="66"/>
      <c r="X301" s="66" t="s">
        <v>1674</v>
      </c>
      <c r="Y301" s="66" t="s">
        <v>1674</v>
      </c>
      <c r="Z301" s="66" t="s">
        <v>1674</v>
      </c>
      <c r="AA301" s="75" t="s">
        <v>1674</v>
      </c>
    </row>
    <row r="302" spans="2:27" ht="80.25" hidden="1" customHeight="1" x14ac:dyDescent="0.35">
      <c r="B302" s="66" t="s">
        <v>40</v>
      </c>
      <c r="C302" s="66" t="s">
        <v>1572</v>
      </c>
      <c r="D302" s="66" t="s">
        <v>41</v>
      </c>
      <c r="E302" s="77">
        <v>1</v>
      </c>
      <c r="F302" s="66" t="s">
        <v>1696</v>
      </c>
      <c r="G302" s="66" t="s">
        <v>1697</v>
      </c>
      <c r="H302" s="74" t="s">
        <v>746</v>
      </c>
      <c r="I302" s="77">
        <v>24</v>
      </c>
      <c r="J302" s="66" t="s">
        <v>123</v>
      </c>
      <c r="K302" s="77">
        <v>4</v>
      </c>
      <c r="L302" s="77"/>
      <c r="M302" s="77"/>
      <c r="N302" s="72" t="s">
        <v>1698</v>
      </c>
      <c r="O302" s="72" t="s">
        <v>1699</v>
      </c>
      <c r="P302" s="77"/>
      <c r="Q302" s="72" t="s">
        <v>1700</v>
      </c>
      <c r="R302" s="72"/>
      <c r="S302" s="74"/>
      <c r="T302" s="66"/>
      <c r="U302" s="66"/>
      <c r="V302" s="66"/>
      <c r="W302" s="66"/>
      <c r="X302" s="66" t="s">
        <v>1674</v>
      </c>
      <c r="Y302" s="66" t="s">
        <v>1674</v>
      </c>
      <c r="Z302" s="66" t="s">
        <v>1674</v>
      </c>
      <c r="AA302" s="75" t="s">
        <v>1674</v>
      </c>
    </row>
    <row r="303" spans="2:27" ht="80.25" hidden="1" customHeight="1" x14ac:dyDescent="0.35">
      <c r="B303" s="66" t="s">
        <v>40</v>
      </c>
      <c r="C303" s="66" t="s">
        <v>1572</v>
      </c>
      <c r="D303" s="66" t="s">
        <v>41</v>
      </c>
      <c r="E303" s="77">
        <v>1</v>
      </c>
      <c r="F303" s="66" t="s">
        <v>1701</v>
      </c>
      <c r="G303" s="66" t="s">
        <v>1702</v>
      </c>
      <c r="H303" s="74" t="s">
        <v>767</v>
      </c>
      <c r="I303" s="77">
        <v>25</v>
      </c>
      <c r="J303" s="66" t="s">
        <v>250</v>
      </c>
      <c r="K303" s="77">
        <v>23</v>
      </c>
      <c r="L303" s="77">
        <v>6</v>
      </c>
      <c r="M303" s="77"/>
      <c r="N303" s="72" t="s">
        <v>1703</v>
      </c>
      <c r="O303" s="72" t="s">
        <v>1704</v>
      </c>
      <c r="P303" s="77"/>
      <c r="Q303" s="74"/>
      <c r="R303" s="72"/>
      <c r="S303" s="74"/>
      <c r="T303" s="337"/>
      <c r="U303" s="337"/>
      <c r="V303" s="66"/>
      <c r="W303" s="66"/>
      <c r="X303" s="66" t="s">
        <v>1674</v>
      </c>
      <c r="Y303" s="66" t="s">
        <v>1674</v>
      </c>
      <c r="Z303" s="66" t="s">
        <v>1674</v>
      </c>
      <c r="AA303" s="75" t="s">
        <v>1674</v>
      </c>
    </row>
    <row r="304" spans="2:27" ht="80.25" hidden="1" customHeight="1" x14ac:dyDescent="0.35">
      <c r="B304" s="66" t="s">
        <v>40</v>
      </c>
      <c r="C304" s="66" t="s">
        <v>1572</v>
      </c>
      <c r="D304" s="66" t="s">
        <v>41</v>
      </c>
      <c r="E304" s="77">
        <v>1</v>
      </c>
      <c r="F304" s="66" t="s">
        <v>1705</v>
      </c>
      <c r="G304" s="66" t="s">
        <v>1706</v>
      </c>
      <c r="H304" s="74" t="s">
        <v>767</v>
      </c>
      <c r="I304" s="77">
        <v>26</v>
      </c>
      <c r="J304" s="66" t="s">
        <v>250</v>
      </c>
      <c r="K304" s="77">
        <v>23</v>
      </c>
      <c r="L304" s="77">
        <v>6</v>
      </c>
      <c r="M304" s="77"/>
      <c r="N304" s="72" t="s">
        <v>777</v>
      </c>
      <c r="O304" s="72" t="s">
        <v>1707</v>
      </c>
      <c r="P304" s="77"/>
      <c r="Q304" s="74"/>
      <c r="R304" s="72"/>
      <c r="S304" s="74"/>
      <c r="T304" s="337"/>
      <c r="U304" s="337"/>
      <c r="V304" s="66"/>
      <c r="W304" s="66"/>
      <c r="X304" s="66" t="s">
        <v>1674</v>
      </c>
      <c r="Y304" s="66" t="s">
        <v>1674</v>
      </c>
      <c r="Z304" s="66" t="s">
        <v>1674</v>
      </c>
      <c r="AA304" s="75" t="s">
        <v>1674</v>
      </c>
    </row>
    <row r="305" spans="2:27" ht="80.25" hidden="1" customHeight="1" x14ac:dyDescent="0.35">
      <c r="B305" s="66" t="s">
        <v>40</v>
      </c>
      <c r="C305" s="66" t="s">
        <v>1572</v>
      </c>
      <c r="D305" s="66" t="s">
        <v>41</v>
      </c>
      <c r="E305" s="77">
        <v>1</v>
      </c>
      <c r="F305" s="66" t="s">
        <v>1708</v>
      </c>
      <c r="G305" s="66" t="s">
        <v>1709</v>
      </c>
      <c r="H305" s="74" t="s">
        <v>767</v>
      </c>
      <c r="I305" s="77">
        <v>27</v>
      </c>
      <c r="J305" s="66" t="s">
        <v>250</v>
      </c>
      <c r="K305" s="77">
        <v>23</v>
      </c>
      <c r="L305" s="77">
        <v>6</v>
      </c>
      <c r="M305" s="77"/>
      <c r="N305" s="72" t="s">
        <v>1710</v>
      </c>
      <c r="O305" s="72" t="s">
        <v>1711</v>
      </c>
      <c r="P305" s="77"/>
      <c r="Q305" s="66"/>
      <c r="R305" s="67" t="s">
        <v>1712</v>
      </c>
      <c r="S305" s="67" t="s">
        <v>1713</v>
      </c>
      <c r="T305" s="66"/>
      <c r="U305" s="66"/>
      <c r="V305" s="66"/>
      <c r="W305" s="66"/>
      <c r="X305" s="66" t="s">
        <v>1674</v>
      </c>
      <c r="Y305" s="66" t="s">
        <v>1674</v>
      </c>
      <c r="Z305" s="66" t="s">
        <v>1674</v>
      </c>
      <c r="AA305" s="75" t="s">
        <v>1674</v>
      </c>
    </row>
    <row r="306" spans="2:27" ht="80.25" hidden="1" customHeight="1" x14ac:dyDescent="0.35">
      <c r="B306" s="51" t="s">
        <v>40</v>
      </c>
      <c r="C306" s="51" t="s">
        <v>1572</v>
      </c>
      <c r="D306" s="51" t="s">
        <v>41</v>
      </c>
      <c r="E306" s="52">
        <v>1</v>
      </c>
      <c r="F306" s="51" t="s">
        <v>293</v>
      </c>
      <c r="G306" s="51" t="s">
        <v>294</v>
      </c>
      <c r="H306" s="54" t="s">
        <v>295</v>
      </c>
      <c r="I306" s="52">
        <v>29</v>
      </c>
      <c r="J306" s="51" t="s">
        <v>123</v>
      </c>
      <c r="K306" s="52">
        <v>4</v>
      </c>
      <c r="L306" s="52"/>
      <c r="M306" s="52"/>
      <c r="N306" s="53" t="s">
        <v>296</v>
      </c>
      <c r="O306" s="53" t="s">
        <v>297</v>
      </c>
      <c r="P306" s="52"/>
      <c r="Q306" s="53" t="s">
        <v>1714</v>
      </c>
      <c r="R306" s="55" t="s">
        <v>1715</v>
      </c>
      <c r="S306" s="55" t="s">
        <v>1716</v>
      </c>
      <c r="T306" s="55" t="s">
        <v>1575</v>
      </c>
      <c r="U306" s="55" t="s">
        <v>1576</v>
      </c>
      <c r="V306" s="55" t="s">
        <v>555</v>
      </c>
      <c r="W306" s="82" t="s">
        <v>1717</v>
      </c>
      <c r="X306" s="55" t="s">
        <v>1597</v>
      </c>
      <c r="Y306" s="53" t="s">
        <v>1598</v>
      </c>
      <c r="Z306" s="53" t="s">
        <v>1718</v>
      </c>
      <c r="AA306" s="60" t="s">
        <v>647</v>
      </c>
    </row>
    <row r="307" spans="2:27" ht="80.25" customHeight="1" x14ac:dyDescent="0.35">
      <c r="B307" s="51" t="s">
        <v>40</v>
      </c>
      <c r="C307" s="51" t="s">
        <v>1572</v>
      </c>
      <c r="D307" s="51" t="s">
        <v>41</v>
      </c>
      <c r="E307" s="52">
        <v>1</v>
      </c>
      <c r="F307" s="51" t="s">
        <v>304</v>
      </c>
      <c r="G307" s="51" t="s">
        <v>305</v>
      </c>
      <c r="H307" s="54" t="s">
        <v>295</v>
      </c>
      <c r="I307" s="52">
        <v>30</v>
      </c>
      <c r="J307" s="51" t="s">
        <v>123</v>
      </c>
      <c r="K307" s="52">
        <v>4</v>
      </c>
      <c r="L307" s="52"/>
      <c r="M307" s="52"/>
      <c r="N307" s="53" t="s">
        <v>306</v>
      </c>
      <c r="O307" s="53" t="s">
        <v>307</v>
      </c>
      <c r="P307" s="52"/>
      <c r="Q307" s="55" t="s">
        <v>459</v>
      </c>
      <c r="R307" s="55" t="s">
        <v>203</v>
      </c>
      <c r="S307" s="51" t="s">
        <v>309</v>
      </c>
      <c r="T307" s="55" t="s">
        <v>1719</v>
      </c>
      <c r="U307" s="55" t="s">
        <v>1720</v>
      </c>
      <c r="V307" s="55" t="s">
        <v>555</v>
      </c>
      <c r="W307" s="82" t="s">
        <v>1721</v>
      </c>
      <c r="X307" s="55" t="s">
        <v>372</v>
      </c>
      <c r="Y307" s="55" t="s">
        <v>372</v>
      </c>
      <c r="Z307" s="55" t="s">
        <v>372</v>
      </c>
      <c r="AA307" s="60" t="s">
        <v>372</v>
      </c>
    </row>
    <row r="308" spans="2:27" ht="80.25" hidden="1" customHeight="1" x14ac:dyDescent="0.35">
      <c r="B308" s="51" t="s">
        <v>40</v>
      </c>
      <c r="C308" s="51" t="s">
        <v>1572</v>
      </c>
      <c r="D308" s="51" t="s">
        <v>41</v>
      </c>
      <c r="E308" s="52">
        <v>1</v>
      </c>
      <c r="F308" s="51" t="s">
        <v>317</v>
      </c>
      <c r="G308" s="51" t="s">
        <v>318</v>
      </c>
      <c r="H308" s="51" t="s">
        <v>319</v>
      </c>
      <c r="I308" s="52">
        <v>31</v>
      </c>
      <c r="J308" s="51" t="s">
        <v>123</v>
      </c>
      <c r="K308" s="52">
        <v>2</v>
      </c>
      <c r="L308" s="52"/>
      <c r="M308" s="52"/>
      <c r="N308" s="53" t="s">
        <v>320</v>
      </c>
      <c r="O308" s="53" t="s">
        <v>321</v>
      </c>
      <c r="P308" s="52"/>
      <c r="Q308" s="53" t="s">
        <v>1722</v>
      </c>
      <c r="R308" s="55"/>
      <c r="S308" s="51"/>
      <c r="T308" s="55" t="s">
        <v>1578</v>
      </c>
      <c r="U308" s="55" t="s">
        <v>1579</v>
      </c>
      <c r="V308" s="55" t="s">
        <v>351</v>
      </c>
      <c r="W308" s="82" t="s">
        <v>1723</v>
      </c>
      <c r="X308" s="55" t="s">
        <v>1585</v>
      </c>
      <c r="Y308" s="55" t="s">
        <v>372</v>
      </c>
      <c r="Z308" s="55" t="s">
        <v>372</v>
      </c>
      <c r="AA308" s="60" t="s">
        <v>1724</v>
      </c>
    </row>
    <row r="309" spans="2:27" ht="80.25" hidden="1" customHeight="1" x14ac:dyDescent="0.35">
      <c r="B309" s="51" t="s">
        <v>40</v>
      </c>
      <c r="C309" s="51" t="s">
        <v>1572</v>
      </c>
      <c r="D309" s="51" t="s">
        <v>41</v>
      </c>
      <c r="E309" s="52">
        <v>1</v>
      </c>
      <c r="F309" s="51" t="s">
        <v>326</v>
      </c>
      <c r="G309" s="51" t="s">
        <v>327</v>
      </c>
      <c r="H309" s="51" t="s">
        <v>328</v>
      </c>
      <c r="I309" s="52">
        <v>32</v>
      </c>
      <c r="J309" s="51" t="s">
        <v>123</v>
      </c>
      <c r="K309" s="52">
        <v>10</v>
      </c>
      <c r="L309" s="52"/>
      <c r="M309" s="52"/>
      <c r="N309" s="53" t="s">
        <v>329</v>
      </c>
      <c r="O309" s="53" t="s">
        <v>361</v>
      </c>
      <c r="P309" s="52" t="s">
        <v>126</v>
      </c>
      <c r="Q309" s="51"/>
      <c r="R309" s="55" t="s">
        <v>275</v>
      </c>
      <c r="S309" s="51" t="s">
        <v>803</v>
      </c>
      <c r="T309" s="55" t="s">
        <v>1578</v>
      </c>
      <c r="U309" s="55" t="s">
        <v>1579</v>
      </c>
      <c r="V309" s="55" t="s">
        <v>804</v>
      </c>
      <c r="W309" s="82" t="s">
        <v>1725</v>
      </c>
      <c r="X309" s="55" t="s">
        <v>372</v>
      </c>
      <c r="Y309" s="55" t="s">
        <v>372</v>
      </c>
      <c r="Z309" s="55" t="s">
        <v>372</v>
      </c>
      <c r="AA309" s="60" t="s">
        <v>372</v>
      </c>
    </row>
    <row r="310" spans="2:27" ht="80.25" hidden="1" customHeight="1" x14ac:dyDescent="0.35">
      <c r="B310" s="51" t="s">
        <v>40</v>
      </c>
      <c r="C310" s="51" t="s">
        <v>1572</v>
      </c>
      <c r="D310" s="51" t="s">
        <v>41</v>
      </c>
      <c r="E310" s="52">
        <v>1</v>
      </c>
      <c r="F310" s="51" t="s">
        <v>333</v>
      </c>
      <c r="G310" s="51" t="s">
        <v>334</v>
      </c>
      <c r="H310" s="51" t="s">
        <v>335</v>
      </c>
      <c r="I310" s="52">
        <v>33</v>
      </c>
      <c r="J310" s="51" t="s">
        <v>336</v>
      </c>
      <c r="K310" s="52">
        <v>23</v>
      </c>
      <c r="L310" s="52"/>
      <c r="M310" s="52"/>
      <c r="N310" s="53" t="s">
        <v>337</v>
      </c>
      <c r="O310" s="53" t="s">
        <v>338</v>
      </c>
      <c r="P310" s="52"/>
      <c r="Q310" s="51"/>
      <c r="R310" s="55"/>
      <c r="S310" s="51"/>
      <c r="T310" s="55" t="s">
        <v>1578</v>
      </c>
      <c r="U310" s="55" t="s">
        <v>1579</v>
      </c>
      <c r="V310" s="55" t="s">
        <v>351</v>
      </c>
      <c r="W310" s="82" t="s">
        <v>1726</v>
      </c>
      <c r="X310" s="55" t="s">
        <v>372</v>
      </c>
      <c r="Y310" s="55" t="s">
        <v>372</v>
      </c>
      <c r="Z310" s="55" t="s">
        <v>372</v>
      </c>
      <c r="AA310" s="60" t="s">
        <v>372</v>
      </c>
    </row>
    <row r="311" spans="2:27" ht="80.25" hidden="1" customHeight="1" x14ac:dyDescent="0.35">
      <c r="B311" s="51" t="s">
        <v>43</v>
      </c>
      <c r="C311" s="51" t="s">
        <v>1727</v>
      </c>
      <c r="D311" s="51" t="s">
        <v>44</v>
      </c>
      <c r="E311" s="52">
        <v>2</v>
      </c>
      <c r="F311" s="51" t="s">
        <v>1155</v>
      </c>
      <c r="G311" s="51" t="s">
        <v>1156</v>
      </c>
      <c r="H311" s="54" t="s">
        <v>1157</v>
      </c>
      <c r="I311" s="52">
        <v>1</v>
      </c>
      <c r="J311" s="51" t="s">
        <v>123</v>
      </c>
      <c r="K311" s="52">
        <v>16</v>
      </c>
      <c r="L311" s="52"/>
      <c r="M311" s="52"/>
      <c r="N311" s="329" t="s">
        <v>1158</v>
      </c>
      <c r="O311" s="54" t="s">
        <v>1159</v>
      </c>
      <c r="P311" s="52" t="s">
        <v>126</v>
      </c>
      <c r="Q311" s="54"/>
      <c r="R311" s="55" t="s">
        <v>1160</v>
      </c>
      <c r="S311" s="51" t="s">
        <v>1155</v>
      </c>
      <c r="T311" s="53" t="s">
        <v>1161</v>
      </c>
      <c r="U311" s="53" t="s">
        <v>1728</v>
      </c>
      <c r="V311" s="155" t="s">
        <v>1163</v>
      </c>
      <c r="W311" s="368" t="s">
        <v>1729</v>
      </c>
      <c r="X311" s="51" t="s">
        <v>1165</v>
      </c>
      <c r="Y311" s="78" t="s">
        <v>1166</v>
      </c>
      <c r="Z311" s="69" t="s">
        <v>1167</v>
      </c>
      <c r="AA311" s="52" t="s">
        <v>372</v>
      </c>
    </row>
    <row r="312" spans="2:27" ht="80.25" hidden="1" customHeight="1" x14ac:dyDescent="0.35">
      <c r="B312" s="51" t="s">
        <v>43</v>
      </c>
      <c r="C312" s="51" t="s">
        <v>1727</v>
      </c>
      <c r="D312" s="51" t="s">
        <v>44</v>
      </c>
      <c r="E312" s="52">
        <v>2</v>
      </c>
      <c r="F312" s="51" t="s">
        <v>120</v>
      </c>
      <c r="G312" s="51" t="s">
        <v>121</v>
      </c>
      <c r="H312" s="54" t="s">
        <v>150</v>
      </c>
      <c r="I312" s="52">
        <v>2</v>
      </c>
      <c r="J312" s="51" t="s">
        <v>123</v>
      </c>
      <c r="K312" s="52">
        <v>4</v>
      </c>
      <c r="L312" s="52"/>
      <c r="M312" s="52"/>
      <c r="N312" s="328" t="s">
        <v>124</v>
      </c>
      <c r="O312" s="53" t="s">
        <v>125</v>
      </c>
      <c r="P312" s="52"/>
      <c r="Q312" s="54"/>
      <c r="R312" s="55" t="s">
        <v>1160</v>
      </c>
      <c r="S312" s="51" t="s">
        <v>136</v>
      </c>
      <c r="T312" s="55" t="s">
        <v>1170</v>
      </c>
      <c r="U312" s="249" t="s">
        <v>1730</v>
      </c>
      <c r="V312" s="55" t="s">
        <v>555</v>
      </c>
      <c r="W312" s="355" t="s">
        <v>1731</v>
      </c>
      <c r="X312" s="51" t="s">
        <v>1165</v>
      </c>
      <c r="Y312" s="54" t="s">
        <v>372</v>
      </c>
      <c r="Z312" s="54" t="s">
        <v>372</v>
      </c>
      <c r="AA312" s="52" t="s">
        <v>373</v>
      </c>
    </row>
    <row r="313" spans="2:27" ht="80.25" hidden="1" customHeight="1" x14ac:dyDescent="0.35">
      <c r="B313" s="51" t="s">
        <v>43</v>
      </c>
      <c r="C313" s="51" t="s">
        <v>1727</v>
      </c>
      <c r="D313" s="51" t="s">
        <v>44</v>
      </c>
      <c r="E313" s="52">
        <v>2</v>
      </c>
      <c r="F313" s="51" t="s">
        <v>136</v>
      </c>
      <c r="G313" s="51" t="s">
        <v>137</v>
      </c>
      <c r="H313" s="54" t="s">
        <v>150</v>
      </c>
      <c r="I313" s="52">
        <v>3</v>
      </c>
      <c r="J313" s="51" t="s">
        <v>123</v>
      </c>
      <c r="K313" s="52">
        <v>30</v>
      </c>
      <c r="L313" s="52"/>
      <c r="M313" s="52"/>
      <c r="N313" s="53" t="s">
        <v>1732</v>
      </c>
      <c r="O313" s="53" t="s">
        <v>1733</v>
      </c>
      <c r="P313" s="52"/>
      <c r="Q313" s="54"/>
      <c r="R313" s="55" t="s">
        <v>1160</v>
      </c>
      <c r="S313" s="51" t="s">
        <v>136</v>
      </c>
      <c r="T313" s="155" t="s">
        <v>1178</v>
      </c>
      <c r="U313" s="342" t="s">
        <v>1734</v>
      </c>
      <c r="V313" s="53" t="s">
        <v>1180</v>
      </c>
      <c r="W313" s="319" t="s">
        <v>1735</v>
      </c>
      <c r="X313" s="51" t="s">
        <v>1165</v>
      </c>
      <c r="Y313" s="54" t="s">
        <v>1182</v>
      </c>
      <c r="Z313" s="54" t="s">
        <v>1736</v>
      </c>
      <c r="AA313" s="52" t="s">
        <v>372</v>
      </c>
    </row>
    <row r="314" spans="2:27" ht="80.25" hidden="1" customHeight="1" x14ac:dyDescent="0.35">
      <c r="B314" s="51" t="s">
        <v>43</v>
      </c>
      <c r="C314" s="51" t="s">
        <v>1727</v>
      </c>
      <c r="D314" s="51" t="s">
        <v>44</v>
      </c>
      <c r="E314" s="52">
        <v>2</v>
      </c>
      <c r="F314" s="51" t="s">
        <v>1183</v>
      </c>
      <c r="G314" s="51" t="s">
        <v>1184</v>
      </c>
      <c r="H314" s="54" t="s">
        <v>150</v>
      </c>
      <c r="I314" s="52">
        <v>4</v>
      </c>
      <c r="J314" s="51" t="s">
        <v>123</v>
      </c>
      <c r="K314" s="52">
        <v>4</v>
      </c>
      <c r="L314" s="52"/>
      <c r="M314" s="52"/>
      <c r="N314" s="53" t="s">
        <v>1737</v>
      </c>
      <c r="O314" s="53" t="s">
        <v>1186</v>
      </c>
      <c r="P314" s="52"/>
      <c r="Q314" s="54"/>
      <c r="R314" s="55"/>
      <c r="S314" s="51"/>
      <c r="T314" s="53" t="s">
        <v>1161</v>
      </c>
      <c r="U314" s="248" t="s">
        <v>1728</v>
      </c>
      <c r="V314" s="53" t="s">
        <v>1188</v>
      </c>
      <c r="W314" s="319" t="s">
        <v>1738</v>
      </c>
      <c r="X314" s="51" t="s">
        <v>1165</v>
      </c>
      <c r="Y314" s="54" t="s">
        <v>1166</v>
      </c>
      <c r="Z314" s="54" t="s">
        <v>1190</v>
      </c>
      <c r="AA314" s="52" t="s">
        <v>372</v>
      </c>
    </row>
    <row r="315" spans="2:27" ht="80.25" hidden="1" customHeight="1" x14ac:dyDescent="0.35">
      <c r="B315" s="51" t="s">
        <v>43</v>
      </c>
      <c r="C315" s="51" t="s">
        <v>1727</v>
      </c>
      <c r="D315" s="51" t="s">
        <v>44</v>
      </c>
      <c r="E315" s="52">
        <v>2</v>
      </c>
      <c r="F315" s="51" t="s">
        <v>1191</v>
      </c>
      <c r="G315" s="51" t="s">
        <v>1192</v>
      </c>
      <c r="H315" s="54" t="s">
        <v>150</v>
      </c>
      <c r="I315" s="52">
        <v>5</v>
      </c>
      <c r="J315" s="51" t="s">
        <v>1136</v>
      </c>
      <c r="K315" s="52"/>
      <c r="L315" s="52"/>
      <c r="M315" s="52"/>
      <c r="N315" s="53" t="s">
        <v>1193</v>
      </c>
      <c r="O315" s="53" t="s">
        <v>1194</v>
      </c>
      <c r="P315" s="52"/>
      <c r="Q315" s="51"/>
      <c r="R315" s="55"/>
      <c r="S315" s="51"/>
      <c r="T315" s="53" t="s">
        <v>1195</v>
      </c>
      <c r="U315" s="53" t="s">
        <v>1739</v>
      </c>
      <c r="V315" s="53" t="s">
        <v>1197</v>
      </c>
      <c r="W315" s="344" t="s">
        <v>1740</v>
      </c>
      <c r="X315" s="51" t="s">
        <v>1165</v>
      </c>
      <c r="Y315" s="54" t="s">
        <v>1166</v>
      </c>
      <c r="Z315" s="54" t="s">
        <v>1190</v>
      </c>
      <c r="AA315" s="52" t="s">
        <v>372</v>
      </c>
    </row>
    <row r="316" spans="2:27" ht="80.25" hidden="1" customHeight="1" x14ac:dyDescent="0.35">
      <c r="B316" s="51" t="s">
        <v>43</v>
      </c>
      <c r="C316" s="51" t="s">
        <v>1727</v>
      </c>
      <c r="D316" s="51" t="s">
        <v>44</v>
      </c>
      <c r="E316" s="52">
        <v>2</v>
      </c>
      <c r="F316" s="51" t="s">
        <v>1199</v>
      </c>
      <c r="G316" s="51" t="s">
        <v>1200</v>
      </c>
      <c r="H316" s="54" t="s">
        <v>200</v>
      </c>
      <c r="I316" s="52">
        <v>6</v>
      </c>
      <c r="J316" s="51" t="s">
        <v>123</v>
      </c>
      <c r="K316" s="52">
        <v>10</v>
      </c>
      <c r="L316" s="52"/>
      <c r="M316" s="52"/>
      <c r="N316" s="53" t="s">
        <v>1201</v>
      </c>
      <c r="O316" s="53" t="s">
        <v>1202</v>
      </c>
      <c r="P316" s="52"/>
      <c r="Q316" s="54"/>
      <c r="R316" s="55" t="s">
        <v>1160</v>
      </c>
      <c r="S316" s="51" t="s">
        <v>1203</v>
      </c>
      <c r="T316" s="53" t="s">
        <v>1161</v>
      </c>
      <c r="U316" s="53" t="s">
        <v>1728</v>
      </c>
      <c r="V316" s="53" t="s">
        <v>1204</v>
      </c>
      <c r="W316" s="344" t="s">
        <v>1741</v>
      </c>
      <c r="X316" s="51" t="s">
        <v>1165</v>
      </c>
      <c r="Y316" s="78" t="s">
        <v>1166</v>
      </c>
      <c r="Z316" s="69" t="s">
        <v>1206</v>
      </c>
      <c r="AA316" s="52" t="s">
        <v>372</v>
      </c>
    </row>
    <row r="317" spans="2:27" ht="80.25" hidden="1" customHeight="1" x14ac:dyDescent="0.35">
      <c r="B317" s="51" t="s">
        <v>43</v>
      </c>
      <c r="C317" s="51" t="s">
        <v>1727</v>
      </c>
      <c r="D317" s="51" t="s">
        <v>44</v>
      </c>
      <c r="E317" s="52">
        <v>2</v>
      </c>
      <c r="F317" s="51" t="s">
        <v>1207</v>
      </c>
      <c r="G317" s="51" t="s">
        <v>1208</v>
      </c>
      <c r="H317" s="54" t="s">
        <v>200</v>
      </c>
      <c r="I317" s="52">
        <v>7</v>
      </c>
      <c r="J317" s="51" t="s">
        <v>123</v>
      </c>
      <c r="K317" s="52">
        <v>10</v>
      </c>
      <c r="L317" s="52"/>
      <c r="M317" s="52"/>
      <c r="N317" s="53" t="s">
        <v>1209</v>
      </c>
      <c r="O317" s="53" t="s">
        <v>1210</v>
      </c>
      <c r="P317" s="52"/>
      <c r="Q317" s="54"/>
      <c r="R317" s="55" t="s">
        <v>1160</v>
      </c>
      <c r="S317" s="51" t="s">
        <v>1211</v>
      </c>
      <c r="T317" s="53" t="s">
        <v>1161</v>
      </c>
      <c r="U317" s="248" t="s">
        <v>1728</v>
      </c>
      <c r="V317" s="53" t="s">
        <v>1212</v>
      </c>
      <c r="W317" s="319" t="s">
        <v>1742</v>
      </c>
      <c r="X317" s="51" t="s">
        <v>1165</v>
      </c>
      <c r="Y317" s="78" t="s">
        <v>1166</v>
      </c>
      <c r="Z317" s="69" t="s">
        <v>1214</v>
      </c>
      <c r="AA317" s="52" t="s">
        <v>372</v>
      </c>
    </row>
    <row r="318" spans="2:27" ht="80.25" hidden="1" customHeight="1" x14ac:dyDescent="0.35">
      <c r="B318" s="51" t="s">
        <v>43</v>
      </c>
      <c r="C318" s="51" t="s">
        <v>1727</v>
      </c>
      <c r="D318" s="51" t="s">
        <v>44</v>
      </c>
      <c r="E318" s="52">
        <v>2</v>
      </c>
      <c r="F318" s="51" t="s">
        <v>1215</v>
      </c>
      <c r="G318" s="51" t="s">
        <v>1216</v>
      </c>
      <c r="H318" s="54" t="s">
        <v>1217</v>
      </c>
      <c r="I318" s="52">
        <v>8</v>
      </c>
      <c r="J318" s="51" t="s">
        <v>250</v>
      </c>
      <c r="K318" s="52">
        <v>23</v>
      </c>
      <c r="L318" s="52">
        <v>6</v>
      </c>
      <c r="M318" s="52"/>
      <c r="N318" s="53" t="s">
        <v>1218</v>
      </c>
      <c r="O318" s="53" t="s">
        <v>1219</v>
      </c>
      <c r="P318" s="52"/>
      <c r="Q318" s="54"/>
      <c r="R318" s="55" t="s">
        <v>1160</v>
      </c>
      <c r="S318" s="51" t="s">
        <v>1220</v>
      </c>
      <c r="T318" s="53" t="s">
        <v>1161</v>
      </c>
      <c r="U318" s="53" t="s">
        <v>1743</v>
      </c>
      <c r="V318" s="139" t="s">
        <v>1222</v>
      </c>
      <c r="W318" s="319" t="s">
        <v>1744</v>
      </c>
      <c r="X318" s="51" t="s">
        <v>1165</v>
      </c>
      <c r="Y318" s="54" t="s">
        <v>1224</v>
      </c>
      <c r="Z318" s="69" t="s">
        <v>1225</v>
      </c>
      <c r="AA318" s="52" t="s">
        <v>372</v>
      </c>
    </row>
    <row r="319" spans="2:27" ht="80.25" hidden="1" customHeight="1" x14ac:dyDescent="0.35">
      <c r="B319" s="51" t="s">
        <v>43</v>
      </c>
      <c r="C319" s="51" t="s">
        <v>1727</v>
      </c>
      <c r="D319" s="51" t="s">
        <v>44</v>
      </c>
      <c r="E319" s="52">
        <v>2</v>
      </c>
      <c r="F319" s="51" t="s">
        <v>1226</v>
      </c>
      <c r="G319" s="51" t="s">
        <v>1227</v>
      </c>
      <c r="H319" s="54" t="s">
        <v>1217</v>
      </c>
      <c r="I319" s="52">
        <v>9</v>
      </c>
      <c r="J319" s="51" t="s">
        <v>250</v>
      </c>
      <c r="K319" s="52">
        <v>23</v>
      </c>
      <c r="L319" s="52">
        <v>6</v>
      </c>
      <c r="M319" s="52"/>
      <c r="N319" s="53" t="s">
        <v>1228</v>
      </c>
      <c r="O319" s="53" t="s">
        <v>1229</v>
      </c>
      <c r="P319" s="52"/>
      <c r="Q319" s="54"/>
      <c r="R319" s="55" t="s">
        <v>1160</v>
      </c>
      <c r="S319" s="51" t="s">
        <v>1230</v>
      </c>
      <c r="T319" s="53" t="s">
        <v>1161</v>
      </c>
      <c r="U319" s="53" t="s">
        <v>1743</v>
      </c>
      <c r="V319" s="53" t="s">
        <v>1231</v>
      </c>
      <c r="W319" s="319" t="s">
        <v>1745</v>
      </c>
      <c r="X319" s="51" t="s">
        <v>1165</v>
      </c>
      <c r="Y319" s="54" t="s">
        <v>1224</v>
      </c>
      <c r="Z319" s="54" t="s">
        <v>1233</v>
      </c>
      <c r="AA319" s="52" t="s">
        <v>372</v>
      </c>
    </row>
    <row r="320" spans="2:27" ht="80.25" hidden="1" customHeight="1" x14ac:dyDescent="0.35">
      <c r="B320" s="51" t="s">
        <v>43</v>
      </c>
      <c r="C320" s="51" t="s">
        <v>1727</v>
      </c>
      <c r="D320" s="51" t="s">
        <v>44</v>
      </c>
      <c r="E320" s="52">
        <v>2</v>
      </c>
      <c r="F320" s="51" t="s">
        <v>1234</v>
      </c>
      <c r="G320" s="51" t="s">
        <v>1235</v>
      </c>
      <c r="H320" s="54" t="s">
        <v>295</v>
      </c>
      <c r="I320" s="52">
        <v>10</v>
      </c>
      <c r="J320" s="51" t="s">
        <v>123</v>
      </c>
      <c r="K320" s="52">
        <v>4</v>
      </c>
      <c r="L320" s="52"/>
      <c r="M320" s="52"/>
      <c r="N320" s="53" t="s">
        <v>1236</v>
      </c>
      <c r="O320" s="53" t="s">
        <v>1237</v>
      </c>
      <c r="P320" s="52"/>
      <c r="Q320" s="53" t="s">
        <v>1238</v>
      </c>
      <c r="R320" s="55" t="s">
        <v>1160</v>
      </c>
      <c r="S320" s="51" t="s">
        <v>1239</v>
      </c>
      <c r="T320" s="55" t="s">
        <v>1170</v>
      </c>
      <c r="U320" s="55" t="s">
        <v>1730</v>
      </c>
      <c r="V320" s="55" t="s">
        <v>555</v>
      </c>
      <c r="W320" s="355" t="s">
        <v>1746</v>
      </c>
      <c r="X320" s="51" t="s">
        <v>1165</v>
      </c>
      <c r="Y320" s="78" t="s">
        <v>1166</v>
      </c>
      <c r="Z320" s="69" t="s">
        <v>1241</v>
      </c>
      <c r="AA320" s="52" t="s">
        <v>372</v>
      </c>
    </row>
    <row r="321" spans="2:27" ht="80.25" hidden="1" customHeight="1" x14ac:dyDescent="0.35">
      <c r="B321" s="51" t="s">
        <v>43</v>
      </c>
      <c r="C321" s="51" t="s">
        <v>1727</v>
      </c>
      <c r="D321" s="51" t="s">
        <v>44</v>
      </c>
      <c r="E321" s="52">
        <v>2</v>
      </c>
      <c r="F321" s="51" t="s">
        <v>326</v>
      </c>
      <c r="G321" s="51" t="s">
        <v>327</v>
      </c>
      <c r="H321" s="51" t="s">
        <v>328</v>
      </c>
      <c r="I321" s="52">
        <v>11</v>
      </c>
      <c r="J321" s="51" t="s">
        <v>123</v>
      </c>
      <c r="K321" s="52">
        <v>10</v>
      </c>
      <c r="L321" s="52"/>
      <c r="M321" s="52"/>
      <c r="N321" s="53" t="s">
        <v>329</v>
      </c>
      <c r="O321" s="53" t="s">
        <v>361</v>
      </c>
      <c r="P321" s="52" t="s">
        <v>126</v>
      </c>
      <c r="Q321" s="54"/>
      <c r="R321" s="55"/>
      <c r="S321" s="51"/>
      <c r="T321" s="53" t="s">
        <v>1161</v>
      </c>
      <c r="U321" s="53" t="s">
        <v>1728</v>
      </c>
      <c r="V321" s="53" t="s">
        <v>804</v>
      </c>
      <c r="W321" s="319" t="s">
        <v>1747</v>
      </c>
      <c r="X321" s="51" t="s">
        <v>372</v>
      </c>
      <c r="Y321" s="51" t="s">
        <v>372</v>
      </c>
      <c r="Z321" s="51" t="s">
        <v>372</v>
      </c>
      <c r="AA321" s="52" t="s">
        <v>372</v>
      </c>
    </row>
    <row r="322" spans="2:27" ht="80.25" hidden="1" customHeight="1" x14ac:dyDescent="0.35">
      <c r="B322" s="51" t="s">
        <v>43</v>
      </c>
      <c r="C322" s="51" t="s">
        <v>1727</v>
      </c>
      <c r="D322" s="51" t="s">
        <v>44</v>
      </c>
      <c r="E322" s="52">
        <v>2</v>
      </c>
      <c r="F322" s="51" t="s">
        <v>333</v>
      </c>
      <c r="G322" s="51" t="s">
        <v>334</v>
      </c>
      <c r="H322" s="51" t="s">
        <v>335</v>
      </c>
      <c r="I322" s="52">
        <v>12</v>
      </c>
      <c r="J322" s="51" t="s">
        <v>336</v>
      </c>
      <c r="K322" s="52">
        <v>23</v>
      </c>
      <c r="L322" s="52"/>
      <c r="M322" s="52"/>
      <c r="N322" s="53" t="s">
        <v>337</v>
      </c>
      <c r="O322" s="53" t="s">
        <v>338</v>
      </c>
      <c r="P322" s="52"/>
      <c r="Q322" s="54"/>
      <c r="R322" s="55"/>
      <c r="S322" s="51"/>
      <c r="T322" s="53" t="s">
        <v>1161</v>
      </c>
      <c r="U322" s="53" t="s">
        <v>1728</v>
      </c>
      <c r="V322" s="53" t="s">
        <v>351</v>
      </c>
      <c r="W322" s="319" t="s">
        <v>1748</v>
      </c>
      <c r="X322" s="51" t="s">
        <v>372</v>
      </c>
      <c r="Y322" s="51" t="s">
        <v>372</v>
      </c>
      <c r="Z322" s="51" t="s">
        <v>372</v>
      </c>
      <c r="AA322" s="52" t="s">
        <v>372</v>
      </c>
    </row>
    <row r="323" spans="2:27" ht="80.25" hidden="1" customHeight="1" x14ac:dyDescent="0.35">
      <c r="B323" s="51" t="s">
        <v>43</v>
      </c>
      <c r="C323" s="51" t="s">
        <v>1749</v>
      </c>
      <c r="D323" s="51" t="s">
        <v>46</v>
      </c>
      <c r="E323" s="52">
        <v>1</v>
      </c>
      <c r="F323" s="51" t="s">
        <v>120</v>
      </c>
      <c r="G323" s="51" t="s">
        <v>121</v>
      </c>
      <c r="H323" s="51" t="s">
        <v>122</v>
      </c>
      <c r="I323" s="52">
        <v>1</v>
      </c>
      <c r="J323" s="51" t="s">
        <v>123</v>
      </c>
      <c r="K323" s="52">
        <v>4</v>
      </c>
      <c r="L323" s="52"/>
      <c r="M323" s="52"/>
      <c r="N323" s="328" t="s">
        <v>124</v>
      </c>
      <c r="O323" s="53" t="s">
        <v>125</v>
      </c>
      <c r="P323" s="52" t="s">
        <v>126</v>
      </c>
      <c r="Q323" s="54"/>
      <c r="R323" s="55" t="s">
        <v>1750</v>
      </c>
      <c r="S323" s="55" t="s">
        <v>1327</v>
      </c>
      <c r="T323" s="53" t="s">
        <v>1170</v>
      </c>
      <c r="U323" s="53" t="s">
        <v>1751</v>
      </c>
      <c r="V323" s="53" t="s">
        <v>555</v>
      </c>
      <c r="W323" s="326" t="s">
        <v>1752</v>
      </c>
      <c r="X323" s="51" t="s">
        <v>1165</v>
      </c>
      <c r="Y323" s="54" t="s">
        <v>372</v>
      </c>
      <c r="Z323" s="54" t="s">
        <v>372</v>
      </c>
      <c r="AA323" s="52" t="s">
        <v>373</v>
      </c>
    </row>
    <row r="324" spans="2:27" ht="80.25" hidden="1" customHeight="1" x14ac:dyDescent="0.35">
      <c r="B324" s="51" t="s">
        <v>43</v>
      </c>
      <c r="C324" s="51" t="s">
        <v>1749</v>
      </c>
      <c r="D324" s="51" t="s">
        <v>46</v>
      </c>
      <c r="E324" s="52">
        <v>1</v>
      </c>
      <c r="F324" s="51" t="s">
        <v>136</v>
      </c>
      <c r="G324" s="51" t="s">
        <v>137</v>
      </c>
      <c r="H324" s="51" t="s">
        <v>122</v>
      </c>
      <c r="I324" s="52">
        <v>2</v>
      </c>
      <c r="J324" s="51" t="s">
        <v>123</v>
      </c>
      <c r="K324" s="52">
        <v>15</v>
      </c>
      <c r="L324" s="52"/>
      <c r="M324" s="52"/>
      <c r="N324" s="53" t="s">
        <v>138</v>
      </c>
      <c r="O324" s="53" t="s">
        <v>139</v>
      </c>
      <c r="P324" s="52" t="s">
        <v>126</v>
      </c>
      <c r="Q324" s="54"/>
      <c r="R324" s="55" t="s">
        <v>1750</v>
      </c>
      <c r="S324" s="55" t="s">
        <v>1327</v>
      </c>
      <c r="T324" s="53" t="s">
        <v>1161</v>
      </c>
      <c r="U324" s="53" t="s">
        <v>1753</v>
      </c>
      <c r="V324" s="53" t="s">
        <v>633</v>
      </c>
      <c r="W324" s="319" t="s">
        <v>1754</v>
      </c>
      <c r="X324" s="51" t="s">
        <v>1165</v>
      </c>
      <c r="Y324" s="54" t="s">
        <v>1182</v>
      </c>
      <c r="Z324" s="54" t="s">
        <v>1029</v>
      </c>
      <c r="AA324" s="52" t="s">
        <v>372</v>
      </c>
    </row>
    <row r="325" spans="2:27" ht="80.25" hidden="1" customHeight="1" x14ac:dyDescent="0.35">
      <c r="B325" s="51" t="s">
        <v>43</v>
      </c>
      <c r="C325" s="51" t="s">
        <v>1749</v>
      </c>
      <c r="D325" s="51" t="s">
        <v>46</v>
      </c>
      <c r="E325" s="52">
        <v>1</v>
      </c>
      <c r="F325" s="51" t="s">
        <v>148</v>
      </c>
      <c r="G325" s="51" t="s">
        <v>149</v>
      </c>
      <c r="H325" s="51" t="s">
        <v>150</v>
      </c>
      <c r="I325" s="52">
        <v>3</v>
      </c>
      <c r="J325" s="51" t="s">
        <v>123</v>
      </c>
      <c r="K325" s="52">
        <v>4</v>
      </c>
      <c r="L325" s="52"/>
      <c r="M325" s="52"/>
      <c r="N325" s="53" t="s">
        <v>151</v>
      </c>
      <c r="O325" s="53" t="s">
        <v>152</v>
      </c>
      <c r="P325" s="52"/>
      <c r="Q325" s="53" t="s">
        <v>586</v>
      </c>
      <c r="R325" s="53"/>
      <c r="S325" s="54"/>
      <c r="T325" s="53" t="s">
        <v>1170</v>
      </c>
      <c r="U325" s="53" t="s">
        <v>1751</v>
      </c>
      <c r="V325" s="53" t="s">
        <v>555</v>
      </c>
      <c r="W325" s="326" t="s">
        <v>1755</v>
      </c>
      <c r="X325" s="51" t="s">
        <v>372</v>
      </c>
      <c r="Y325" s="54" t="s">
        <v>372</v>
      </c>
      <c r="Z325" s="54" t="s">
        <v>372</v>
      </c>
      <c r="AA325" s="52" t="s">
        <v>372</v>
      </c>
    </row>
    <row r="326" spans="2:27" ht="80.25" hidden="1" customHeight="1" x14ac:dyDescent="0.35">
      <c r="B326" s="51" t="s">
        <v>43</v>
      </c>
      <c r="C326" s="51" t="s">
        <v>1749</v>
      </c>
      <c r="D326" s="51" t="s">
        <v>46</v>
      </c>
      <c r="E326" s="52">
        <v>1</v>
      </c>
      <c r="F326" s="51" t="s">
        <v>155</v>
      </c>
      <c r="G326" s="51" t="s">
        <v>156</v>
      </c>
      <c r="H326" s="51" t="s">
        <v>150</v>
      </c>
      <c r="I326" s="52">
        <v>3</v>
      </c>
      <c r="J326" s="51" t="s">
        <v>123</v>
      </c>
      <c r="K326" s="52">
        <v>4</v>
      </c>
      <c r="L326" s="52"/>
      <c r="M326" s="52"/>
      <c r="N326" s="53" t="s">
        <v>157</v>
      </c>
      <c r="O326" s="53" t="s">
        <v>158</v>
      </c>
      <c r="P326" s="52"/>
      <c r="Q326" s="53" t="s">
        <v>1252</v>
      </c>
      <c r="R326" s="53" t="s">
        <v>203</v>
      </c>
      <c r="S326" s="54" t="s">
        <v>1756</v>
      </c>
      <c r="T326" s="53" t="s">
        <v>1178</v>
      </c>
      <c r="U326" s="53" t="s">
        <v>1757</v>
      </c>
      <c r="V326" s="53" t="s">
        <v>1254</v>
      </c>
      <c r="W326" s="319" t="s">
        <v>1758</v>
      </c>
      <c r="X326" s="51" t="s">
        <v>1165</v>
      </c>
      <c r="Y326" s="54" t="s">
        <v>1256</v>
      </c>
      <c r="Z326" s="54" t="s">
        <v>590</v>
      </c>
      <c r="AA326" s="52" t="s">
        <v>372</v>
      </c>
    </row>
    <row r="327" spans="2:27" ht="80.25" hidden="1" customHeight="1" x14ac:dyDescent="0.35">
      <c r="B327" s="51" t="s">
        <v>43</v>
      </c>
      <c r="C327" s="51" t="s">
        <v>1749</v>
      </c>
      <c r="D327" s="51" t="s">
        <v>46</v>
      </c>
      <c r="E327" s="52">
        <v>1</v>
      </c>
      <c r="F327" s="51" t="s">
        <v>167</v>
      </c>
      <c r="G327" s="51" t="s">
        <v>168</v>
      </c>
      <c r="H327" s="51" t="s">
        <v>150</v>
      </c>
      <c r="I327" s="52">
        <v>3</v>
      </c>
      <c r="J327" s="51" t="s">
        <v>123</v>
      </c>
      <c r="K327" s="52">
        <v>4</v>
      </c>
      <c r="L327" s="52"/>
      <c r="M327" s="52"/>
      <c r="N327" s="53" t="s">
        <v>169</v>
      </c>
      <c r="O327" s="53" t="s">
        <v>170</v>
      </c>
      <c r="P327" s="52"/>
      <c r="Q327" s="53" t="s">
        <v>1257</v>
      </c>
      <c r="R327" s="53" t="s">
        <v>203</v>
      </c>
      <c r="S327" s="54" t="s">
        <v>1759</v>
      </c>
      <c r="T327" s="53" t="s">
        <v>1178</v>
      </c>
      <c r="U327" s="53" t="s">
        <v>1757</v>
      </c>
      <c r="V327" s="53" t="s">
        <v>1258</v>
      </c>
      <c r="W327" s="319" t="s">
        <v>1760</v>
      </c>
      <c r="X327" s="51" t="s">
        <v>1165</v>
      </c>
      <c r="Y327" s="54" t="s">
        <v>1256</v>
      </c>
      <c r="Z327" s="54" t="s">
        <v>593</v>
      </c>
      <c r="AA327" s="52" t="s">
        <v>372</v>
      </c>
    </row>
    <row r="328" spans="2:27" ht="80.25" hidden="1" customHeight="1" x14ac:dyDescent="0.35">
      <c r="B328" s="51" t="s">
        <v>43</v>
      </c>
      <c r="C328" s="51" t="s">
        <v>1749</v>
      </c>
      <c r="D328" s="51" t="s">
        <v>46</v>
      </c>
      <c r="E328" s="52">
        <v>1</v>
      </c>
      <c r="F328" s="51" t="s">
        <v>176</v>
      </c>
      <c r="G328" s="51" t="s">
        <v>177</v>
      </c>
      <c r="H328" s="51" t="s">
        <v>150</v>
      </c>
      <c r="I328" s="52">
        <v>6</v>
      </c>
      <c r="J328" s="51" t="s">
        <v>123</v>
      </c>
      <c r="K328" s="52">
        <v>4</v>
      </c>
      <c r="L328" s="52"/>
      <c r="M328" s="52"/>
      <c r="N328" s="53" t="s">
        <v>1761</v>
      </c>
      <c r="O328" s="53" t="s">
        <v>179</v>
      </c>
      <c r="P328" s="52"/>
      <c r="Q328" s="54"/>
      <c r="R328" s="53" t="s">
        <v>1393</v>
      </c>
      <c r="S328" s="53" t="s">
        <v>181</v>
      </c>
      <c r="T328" s="53" t="s">
        <v>1170</v>
      </c>
      <c r="U328" s="53" t="s">
        <v>1751</v>
      </c>
      <c r="V328" s="53" t="s">
        <v>555</v>
      </c>
      <c r="W328" s="326" t="s">
        <v>1762</v>
      </c>
      <c r="X328" s="51" t="s">
        <v>1165</v>
      </c>
      <c r="Y328" s="54" t="s">
        <v>372</v>
      </c>
      <c r="Z328" s="54" t="s">
        <v>372</v>
      </c>
      <c r="AA328" s="52" t="s">
        <v>373</v>
      </c>
    </row>
    <row r="329" spans="2:27" ht="80.25" hidden="1" customHeight="1" x14ac:dyDescent="0.35">
      <c r="B329" s="51" t="s">
        <v>43</v>
      </c>
      <c r="C329" s="51" t="s">
        <v>1749</v>
      </c>
      <c r="D329" s="51" t="s">
        <v>46</v>
      </c>
      <c r="E329" s="52">
        <v>1</v>
      </c>
      <c r="F329" s="51" t="s">
        <v>187</v>
      </c>
      <c r="G329" s="51" t="s">
        <v>188</v>
      </c>
      <c r="H329" s="51" t="s">
        <v>150</v>
      </c>
      <c r="I329" s="52">
        <v>7</v>
      </c>
      <c r="J329" s="51" t="s">
        <v>123</v>
      </c>
      <c r="K329" s="52">
        <v>30</v>
      </c>
      <c r="L329" s="52"/>
      <c r="M329" s="52"/>
      <c r="N329" s="53" t="s">
        <v>1763</v>
      </c>
      <c r="O329" s="53" t="s">
        <v>190</v>
      </c>
      <c r="P329" s="52"/>
      <c r="Q329" s="54"/>
      <c r="R329" s="53" t="s">
        <v>1393</v>
      </c>
      <c r="S329" s="53" t="s">
        <v>181</v>
      </c>
      <c r="T329" s="53" t="s">
        <v>1178</v>
      </c>
      <c r="U329" s="53" t="s">
        <v>1764</v>
      </c>
      <c r="V329" s="53" t="s">
        <v>1265</v>
      </c>
      <c r="W329" s="319" t="s">
        <v>1765</v>
      </c>
      <c r="X329" s="51" t="s">
        <v>1165</v>
      </c>
      <c r="Y329" s="54" t="s">
        <v>1267</v>
      </c>
      <c r="Z329" s="54" t="s">
        <v>1766</v>
      </c>
      <c r="AA329" s="52" t="s">
        <v>372</v>
      </c>
    </row>
    <row r="330" spans="2:27" ht="80.25" hidden="1" customHeight="1" x14ac:dyDescent="0.35">
      <c r="B330" s="51" t="s">
        <v>43</v>
      </c>
      <c r="C330" s="51" t="s">
        <v>1749</v>
      </c>
      <c r="D330" s="51" t="s">
        <v>46</v>
      </c>
      <c r="E330" s="52">
        <v>1</v>
      </c>
      <c r="F330" s="51" t="s">
        <v>198</v>
      </c>
      <c r="G330" s="51" t="s">
        <v>199</v>
      </c>
      <c r="H330" s="51" t="s">
        <v>200</v>
      </c>
      <c r="I330" s="52">
        <v>8</v>
      </c>
      <c r="J330" s="51" t="s">
        <v>123</v>
      </c>
      <c r="K330" s="52">
        <v>10</v>
      </c>
      <c r="L330" s="52"/>
      <c r="M330" s="52"/>
      <c r="N330" s="53" t="s">
        <v>1767</v>
      </c>
      <c r="O330" s="53" t="s">
        <v>202</v>
      </c>
      <c r="P330" s="52"/>
      <c r="Q330" s="54"/>
      <c r="R330" s="53" t="s">
        <v>203</v>
      </c>
      <c r="S330" s="54" t="s">
        <v>198</v>
      </c>
      <c r="T330" s="53" t="s">
        <v>1161</v>
      </c>
      <c r="U330" s="53" t="s">
        <v>1753</v>
      </c>
      <c r="V330" s="53" t="s">
        <v>1271</v>
      </c>
      <c r="W330" s="319" t="s">
        <v>1768</v>
      </c>
      <c r="X330" s="51" t="s">
        <v>1165</v>
      </c>
      <c r="Y330" s="54" t="s">
        <v>1182</v>
      </c>
      <c r="Z330" s="54" t="s">
        <v>1273</v>
      </c>
      <c r="AA330" s="52" t="s">
        <v>372</v>
      </c>
    </row>
    <row r="331" spans="2:27" ht="80.25" hidden="1" customHeight="1" x14ac:dyDescent="0.35">
      <c r="B331" s="51" t="s">
        <v>43</v>
      </c>
      <c r="C331" s="51" t="s">
        <v>1749</v>
      </c>
      <c r="D331" s="51" t="s">
        <v>46</v>
      </c>
      <c r="E331" s="52">
        <v>1</v>
      </c>
      <c r="F331" s="51" t="s">
        <v>210</v>
      </c>
      <c r="G331" s="51" t="s">
        <v>211</v>
      </c>
      <c r="H331" s="51" t="s">
        <v>200</v>
      </c>
      <c r="I331" s="52">
        <v>9</v>
      </c>
      <c r="J331" s="51" t="s">
        <v>123</v>
      </c>
      <c r="K331" s="52">
        <v>10</v>
      </c>
      <c r="L331" s="52"/>
      <c r="M331" s="52"/>
      <c r="N331" s="53" t="s">
        <v>212</v>
      </c>
      <c r="O331" s="53" t="s">
        <v>213</v>
      </c>
      <c r="P331" s="52"/>
      <c r="Q331" s="54"/>
      <c r="R331" s="53"/>
      <c r="S331" s="54"/>
      <c r="T331" s="53" t="s">
        <v>1170</v>
      </c>
      <c r="U331" s="53" t="s">
        <v>1751</v>
      </c>
      <c r="V331" s="53" t="s">
        <v>351</v>
      </c>
      <c r="W331" s="319" t="s">
        <v>1769</v>
      </c>
      <c r="X331" s="51" t="s">
        <v>1165</v>
      </c>
      <c r="Y331" s="54" t="s">
        <v>372</v>
      </c>
      <c r="Z331" s="54" t="s">
        <v>372</v>
      </c>
      <c r="AA331" s="64" t="s">
        <v>636</v>
      </c>
    </row>
    <row r="332" spans="2:27" ht="80.25" hidden="1" customHeight="1" x14ac:dyDescent="0.35">
      <c r="B332" s="51" t="s">
        <v>43</v>
      </c>
      <c r="C332" s="51" t="s">
        <v>1749</v>
      </c>
      <c r="D332" s="51" t="s">
        <v>46</v>
      </c>
      <c r="E332" s="52">
        <v>1</v>
      </c>
      <c r="F332" s="51" t="s">
        <v>222</v>
      </c>
      <c r="G332" s="51" t="s">
        <v>223</v>
      </c>
      <c r="H332" s="51" t="s">
        <v>1275</v>
      </c>
      <c r="I332" s="52">
        <v>10</v>
      </c>
      <c r="J332" s="51" t="s">
        <v>123</v>
      </c>
      <c r="K332" s="52">
        <v>4</v>
      </c>
      <c r="L332" s="52"/>
      <c r="M332" s="52"/>
      <c r="N332" s="53" t="s">
        <v>1770</v>
      </c>
      <c r="O332" s="53" t="s">
        <v>226</v>
      </c>
      <c r="P332" s="52"/>
      <c r="Q332" s="53" t="s">
        <v>1277</v>
      </c>
      <c r="R332" s="53" t="s">
        <v>654</v>
      </c>
      <c r="S332" s="53" t="s">
        <v>229</v>
      </c>
      <c r="T332" s="53" t="s">
        <v>1161</v>
      </c>
      <c r="U332" s="53" t="s">
        <v>1753</v>
      </c>
      <c r="V332" s="53" t="s">
        <v>1278</v>
      </c>
      <c r="W332" s="319" t="s">
        <v>1771</v>
      </c>
      <c r="X332" s="51" t="s">
        <v>1165</v>
      </c>
      <c r="Y332" s="54" t="s">
        <v>1182</v>
      </c>
      <c r="Z332" s="54" t="s">
        <v>1280</v>
      </c>
      <c r="AA332" s="52" t="s">
        <v>372</v>
      </c>
    </row>
    <row r="333" spans="2:27" ht="80.25" hidden="1" customHeight="1" x14ac:dyDescent="0.35">
      <c r="B333" s="51" t="s">
        <v>43</v>
      </c>
      <c r="C333" s="51" t="s">
        <v>1749</v>
      </c>
      <c r="D333" s="51" t="s">
        <v>46</v>
      </c>
      <c r="E333" s="52">
        <v>1</v>
      </c>
      <c r="F333" s="51" t="s">
        <v>293</v>
      </c>
      <c r="G333" s="51" t="s">
        <v>294</v>
      </c>
      <c r="H333" s="51" t="s">
        <v>295</v>
      </c>
      <c r="I333" s="52">
        <v>11</v>
      </c>
      <c r="J333" s="51" t="s">
        <v>123</v>
      </c>
      <c r="K333" s="52">
        <v>4</v>
      </c>
      <c r="L333" s="52"/>
      <c r="M333" s="52"/>
      <c r="N333" s="53" t="s">
        <v>1772</v>
      </c>
      <c r="O333" s="53" t="s">
        <v>297</v>
      </c>
      <c r="P333" s="52"/>
      <c r="Q333" s="53" t="s">
        <v>1285</v>
      </c>
      <c r="R333" s="53" t="s">
        <v>299</v>
      </c>
      <c r="S333" s="54" t="s">
        <v>300</v>
      </c>
      <c r="T333" s="55" t="s">
        <v>1170</v>
      </c>
      <c r="U333" s="55" t="s">
        <v>1751</v>
      </c>
      <c r="V333" s="55" t="s">
        <v>555</v>
      </c>
      <c r="W333" s="82" t="s">
        <v>1773</v>
      </c>
      <c r="X333" s="51" t="s">
        <v>1165</v>
      </c>
      <c r="Y333" s="54" t="s">
        <v>1182</v>
      </c>
      <c r="Z333" s="54" t="s">
        <v>1288</v>
      </c>
      <c r="AA333" s="52" t="s">
        <v>372</v>
      </c>
    </row>
    <row r="334" spans="2:27" ht="80.25" customHeight="1" x14ac:dyDescent="0.35">
      <c r="B334" s="51" t="s">
        <v>43</v>
      </c>
      <c r="C334" s="51" t="s">
        <v>1749</v>
      </c>
      <c r="D334" s="51" t="s">
        <v>46</v>
      </c>
      <c r="E334" s="52">
        <v>1</v>
      </c>
      <c r="F334" s="51" t="s">
        <v>304</v>
      </c>
      <c r="G334" s="51" t="s">
        <v>305</v>
      </c>
      <c r="H334" s="54" t="s">
        <v>295</v>
      </c>
      <c r="I334" s="52">
        <v>12</v>
      </c>
      <c r="J334" s="51" t="s">
        <v>123</v>
      </c>
      <c r="K334" s="52">
        <v>4</v>
      </c>
      <c r="L334" s="52"/>
      <c r="M334" s="52"/>
      <c r="N334" s="53" t="s">
        <v>306</v>
      </c>
      <c r="O334" s="53" t="s">
        <v>307</v>
      </c>
      <c r="P334" s="52"/>
      <c r="Q334" s="53" t="s">
        <v>1774</v>
      </c>
      <c r="R334" s="55" t="s">
        <v>203</v>
      </c>
      <c r="S334" s="51" t="s">
        <v>309</v>
      </c>
      <c r="T334" s="55" t="s">
        <v>1775</v>
      </c>
      <c r="U334" s="55" t="s">
        <v>1776</v>
      </c>
      <c r="V334" s="55" t="s">
        <v>1777</v>
      </c>
      <c r="W334" s="355" t="s">
        <v>1778</v>
      </c>
      <c r="X334" s="51" t="s">
        <v>1165</v>
      </c>
      <c r="Y334" s="65" t="s">
        <v>1779</v>
      </c>
      <c r="Z334" s="65" t="s">
        <v>1780</v>
      </c>
      <c r="AA334" s="52" t="s">
        <v>1781</v>
      </c>
    </row>
    <row r="335" spans="2:27" ht="80.25" hidden="1" customHeight="1" x14ac:dyDescent="0.35">
      <c r="B335" s="51" t="s">
        <v>43</v>
      </c>
      <c r="C335" s="51" t="s">
        <v>1749</v>
      </c>
      <c r="D335" s="51" t="s">
        <v>46</v>
      </c>
      <c r="E335" s="52">
        <v>1</v>
      </c>
      <c r="F335" s="51" t="s">
        <v>317</v>
      </c>
      <c r="G335" s="51" t="s">
        <v>318</v>
      </c>
      <c r="H335" s="51" t="s">
        <v>319</v>
      </c>
      <c r="I335" s="52">
        <v>13</v>
      </c>
      <c r="J335" s="51" t="s">
        <v>123</v>
      </c>
      <c r="K335" s="52">
        <v>2</v>
      </c>
      <c r="L335" s="52"/>
      <c r="M335" s="52"/>
      <c r="N335" s="53" t="s">
        <v>320</v>
      </c>
      <c r="O335" s="53" t="s">
        <v>321</v>
      </c>
      <c r="P335" s="52"/>
      <c r="Q335" s="53" t="s">
        <v>463</v>
      </c>
      <c r="R335" s="53"/>
      <c r="S335" s="54"/>
      <c r="T335" s="53" t="s">
        <v>1161</v>
      </c>
      <c r="U335" s="53" t="s">
        <v>1753</v>
      </c>
      <c r="V335" s="90" t="s">
        <v>351</v>
      </c>
      <c r="W335" s="321" t="s">
        <v>1782</v>
      </c>
      <c r="X335" s="51" t="s">
        <v>1165</v>
      </c>
      <c r="Y335" s="54" t="s">
        <v>372</v>
      </c>
      <c r="Z335" s="54" t="s">
        <v>372</v>
      </c>
      <c r="AA335" s="52" t="s">
        <v>1783</v>
      </c>
    </row>
    <row r="336" spans="2:27" ht="80.25" hidden="1" customHeight="1" x14ac:dyDescent="0.35">
      <c r="B336" s="51" t="s">
        <v>43</v>
      </c>
      <c r="C336" s="51" t="s">
        <v>1749</v>
      </c>
      <c r="D336" s="51" t="s">
        <v>46</v>
      </c>
      <c r="E336" s="52">
        <v>2</v>
      </c>
      <c r="F336" s="51" t="s">
        <v>326</v>
      </c>
      <c r="G336" s="51" t="s">
        <v>327</v>
      </c>
      <c r="H336" s="51" t="s">
        <v>328</v>
      </c>
      <c r="I336" s="52">
        <v>14</v>
      </c>
      <c r="J336" s="51" t="s">
        <v>123</v>
      </c>
      <c r="K336" s="52">
        <v>10</v>
      </c>
      <c r="L336" s="52"/>
      <c r="M336" s="52"/>
      <c r="N336" s="53" t="s">
        <v>329</v>
      </c>
      <c r="O336" s="53" t="s">
        <v>361</v>
      </c>
      <c r="P336" s="52" t="s">
        <v>126</v>
      </c>
      <c r="Q336" s="54"/>
      <c r="R336" s="53" t="s">
        <v>275</v>
      </c>
      <c r="S336" s="54" t="s">
        <v>803</v>
      </c>
      <c r="T336" s="53" t="s">
        <v>1161</v>
      </c>
      <c r="U336" s="53" t="s">
        <v>1753</v>
      </c>
      <c r="V336" s="53" t="s">
        <v>804</v>
      </c>
      <c r="W336" s="319" t="s">
        <v>1784</v>
      </c>
      <c r="X336" s="51" t="s">
        <v>372</v>
      </c>
      <c r="Y336" s="54" t="s">
        <v>372</v>
      </c>
      <c r="Z336" s="54" t="s">
        <v>372</v>
      </c>
      <c r="AA336" s="52" t="s">
        <v>372</v>
      </c>
    </row>
    <row r="337" spans="2:27" ht="80.25" hidden="1" customHeight="1" x14ac:dyDescent="0.35">
      <c r="B337" s="51" t="s">
        <v>43</v>
      </c>
      <c r="C337" s="51" t="s">
        <v>1749</v>
      </c>
      <c r="D337" s="51" t="s">
        <v>46</v>
      </c>
      <c r="E337" s="52">
        <v>2</v>
      </c>
      <c r="F337" s="51" t="s">
        <v>333</v>
      </c>
      <c r="G337" s="51" t="s">
        <v>334</v>
      </c>
      <c r="H337" s="51" t="s">
        <v>335</v>
      </c>
      <c r="I337" s="52">
        <v>15</v>
      </c>
      <c r="J337" s="51" t="s">
        <v>336</v>
      </c>
      <c r="K337" s="52">
        <v>23</v>
      </c>
      <c r="L337" s="52"/>
      <c r="M337" s="52"/>
      <c r="N337" s="53" t="s">
        <v>337</v>
      </c>
      <c r="O337" s="53" t="s">
        <v>338</v>
      </c>
      <c r="P337" s="52"/>
      <c r="Q337" s="54"/>
      <c r="R337" s="53"/>
      <c r="S337" s="54"/>
      <c r="T337" s="53" t="s">
        <v>1161</v>
      </c>
      <c r="U337" s="53" t="s">
        <v>1753</v>
      </c>
      <c r="V337" s="53" t="s">
        <v>351</v>
      </c>
      <c r="W337" s="319" t="s">
        <v>1785</v>
      </c>
      <c r="X337" s="51" t="s">
        <v>372</v>
      </c>
      <c r="Y337" s="54" t="s">
        <v>372</v>
      </c>
      <c r="Z337" s="54" t="s">
        <v>372</v>
      </c>
      <c r="AA337" s="52" t="s">
        <v>372</v>
      </c>
    </row>
    <row r="338" spans="2:27" ht="80.25" hidden="1" customHeight="1" x14ac:dyDescent="0.35">
      <c r="B338" s="51" t="s">
        <v>48</v>
      </c>
      <c r="C338" s="51" t="s">
        <v>1786</v>
      </c>
      <c r="D338" s="51" t="s">
        <v>49</v>
      </c>
      <c r="E338" s="52">
        <v>1</v>
      </c>
      <c r="F338" s="51" t="s">
        <v>120</v>
      </c>
      <c r="G338" s="56" t="s">
        <v>121</v>
      </c>
      <c r="H338" s="51" t="s">
        <v>122</v>
      </c>
      <c r="I338" s="52">
        <v>1</v>
      </c>
      <c r="J338" s="51" t="s">
        <v>123</v>
      </c>
      <c r="K338" s="52">
        <v>4</v>
      </c>
      <c r="L338" s="52"/>
      <c r="M338" s="52"/>
      <c r="N338" s="328" t="s">
        <v>124</v>
      </c>
      <c r="O338" s="53" t="s">
        <v>125</v>
      </c>
      <c r="P338" s="52" t="s">
        <v>126</v>
      </c>
      <c r="Q338" s="51"/>
      <c r="R338" s="55" t="s">
        <v>1326</v>
      </c>
      <c r="S338" s="55" t="s">
        <v>1327</v>
      </c>
      <c r="T338" s="55" t="s">
        <v>1787</v>
      </c>
      <c r="U338" s="55" t="s">
        <v>1788</v>
      </c>
      <c r="V338" s="53" t="s">
        <v>1789</v>
      </c>
      <c r="W338" s="319" t="s">
        <v>1790</v>
      </c>
      <c r="X338" s="55" t="s">
        <v>1791</v>
      </c>
      <c r="Y338" s="53" t="s">
        <v>244</v>
      </c>
      <c r="Z338" s="53" t="s">
        <v>244</v>
      </c>
      <c r="AA338" s="60" t="s">
        <v>1792</v>
      </c>
    </row>
    <row r="339" spans="2:27" ht="80.25" hidden="1" customHeight="1" x14ac:dyDescent="0.35">
      <c r="B339" s="51" t="s">
        <v>48</v>
      </c>
      <c r="C339" s="51" t="s">
        <v>1786</v>
      </c>
      <c r="D339" s="51" t="s">
        <v>49</v>
      </c>
      <c r="E339" s="52">
        <v>1</v>
      </c>
      <c r="F339" s="51" t="s">
        <v>136</v>
      </c>
      <c r="G339" s="51" t="s">
        <v>137</v>
      </c>
      <c r="H339" s="51" t="s">
        <v>122</v>
      </c>
      <c r="I339" s="52">
        <v>2</v>
      </c>
      <c r="J339" s="51" t="s">
        <v>123</v>
      </c>
      <c r="K339" s="52">
        <v>30</v>
      </c>
      <c r="L339" s="52"/>
      <c r="M339" s="52"/>
      <c r="N339" s="53" t="s">
        <v>138</v>
      </c>
      <c r="O339" s="53" t="s">
        <v>139</v>
      </c>
      <c r="P339" s="52" t="s">
        <v>126</v>
      </c>
      <c r="Q339" s="51"/>
      <c r="R339" s="55" t="s">
        <v>1326</v>
      </c>
      <c r="S339" s="55" t="s">
        <v>1327</v>
      </c>
      <c r="T339" s="55" t="s">
        <v>1793</v>
      </c>
      <c r="U339" s="55" t="s">
        <v>1794</v>
      </c>
      <c r="V339" s="55" t="s">
        <v>1795</v>
      </c>
      <c r="W339" s="82" t="s">
        <v>1796</v>
      </c>
      <c r="X339" s="55" t="s">
        <v>1791</v>
      </c>
      <c r="Y339" s="53" t="s">
        <v>1797</v>
      </c>
      <c r="Z339" s="81" t="s">
        <v>1798</v>
      </c>
      <c r="AA339" s="60" t="s">
        <v>244</v>
      </c>
    </row>
    <row r="340" spans="2:27" ht="80.25" hidden="1" customHeight="1" x14ac:dyDescent="0.35">
      <c r="B340" s="51" t="s">
        <v>48</v>
      </c>
      <c r="C340" s="51" t="s">
        <v>1786</v>
      </c>
      <c r="D340" s="51" t="s">
        <v>49</v>
      </c>
      <c r="E340" s="52">
        <v>1</v>
      </c>
      <c r="F340" s="51" t="s">
        <v>148</v>
      </c>
      <c r="G340" s="51" t="s">
        <v>149</v>
      </c>
      <c r="H340" s="54" t="s">
        <v>150</v>
      </c>
      <c r="I340" s="52">
        <v>3</v>
      </c>
      <c r="J340" s="51" t="s">
        <v>123</v>
      </c>
      <c r="K340" s="52">
        <v>3</v>
      </c>
      <c r="L340" s="52"/>
      <c r="M340" s="52"/>
      <c r="N340" s="53" t="s">
        <v>151</v>
      </c>
      <c r="O340" s="53" t="s">
        <v>152</v>
      </c>
      <c r="P340" s="52"/>
      <c r="Q340" s="53" t="s">
        <v>1799</v>
      </c>
      <c r="R340" s="55"/>
      <c r="S340" s="51"/>
      <c r="T340" s="55" t="s">
        <v>1787</v>
      </c>
      <c r="U340" s="55" t="s">
        <v>1788</v>
      </c>
      <c r="V340" s="53" t="s">
        <v>1789</v>
      </c>
      <c r="W340" s="82" t="s">
        <v>1800</v>
      </c>
      <c r="X340" s="53" t="s">
        <v>1791</v>
      </c>
      <c r="Y340" s="53" t="s">
        <v>244</v>
      </c>
      <c r="Z340" s="53" t="s">
        <v>244</v>
      </c>
      <c r="AA340" s="60" t="s">
        <v>244</v>
      </c>
    </row>
    <row r="341" spans="2:27" ht="80.25" hidden="1" customHeight="1" x14ac:dyDescent="0.35">
      <c r="B341" s="51" t="s">
        <v>48</v>
      </c>
      <c r="C341" s="51" t="s">
        <v>1786</v>
      </c>
      <c r="D341" s="51" t="s">
        <v>49</v>
      </c>
      <c r="E341" s="52">
        <v>1</v>
      </c>
      <c r="F341" s="51" t="s">
        <v>155</v>
      </c>
      <c r="G341" s="51" t="s">
        <v>156</v>
      </c>
      <c r="H341" s="54" t="s">
        <v>150</v>
      </c>
      <c r="I341" s="52">
        <v>3</v>
      </c>
      <c r="J341" s="51" t="s">
        <v>123</v>
      </c>
      <c r="K341" s="52">
        <v>3</v>
      </c>
      <c r="L341" s="52"/>
      <c r="M341" s="52"/>
      <c r="N341" s="53" t="s">
        <v>157</v>
      </c>
      <c r="O341" s="53" t="s">
        <v>158</v>
      </c>
      <c r="P341" s="52"/>
      <c r="Q341" s="55" t="s">
        <v>1801</v>
      </c>
      <c r="R341" s="55" t="s">
        <v>160</v>
      </c>
      <c r="S341" s="55" t="s">
        <v>161</v>
      </c>
      <c r="T341" s="55" t="s">
        <v>1802</v>
      </c>
      <c r="U341" s="55" t="s">
        <v>1803</v>
      </c>
      <c r="V341" s="53" t="s">
        <v>1804</v>
      </c>
      <c r="W341" s="319" t="s">
        <v>1805</v>
      </c>
      <c r="X341" s="55" t="s">
        <v>1791</v>
      </c>
      <c r="Y341" s="65" t="s">
        <v>1806</v>
      </c>
      <c r="Z341" s="65" t="s">
        <v>1807</v>
      </c>
      <c r="AA341" s="60" t="s">
        <v>1808</v>
      </c>
    </row>
    <row r="342" spans="2:27" ht="80.25" hidden="1" customHeight="1" x14ac:dyDescent="0.35">
      <c r="B342" s="51" t="s">
        <v>48</v>
      </c>
      <c r="C342" s="51" t="s">
        <v>1786</v>
      </c>
      <c r="D342" s="51" t="s">
        <v>49</v>
      </c>
      <c r="E342" s="52">
        <v>1</v>
      </c>
      <c r="F342" s="51" t="s">
        <v>167</v>
      </c>
      <c r="G342" s="51" t="s">
        <v>168</v>
      </c>
      <c r="H342" s="54" t="s">
        <v>150</v>
      </c>
      <c r="I342" s="52">
        <v>4</v>
      </c>
      <c r="J342" s="51" t="s">
        <v>123</v>
      </c>
      <c r="K342" s="52">
        <v>3</v>
      </c>
      <c r="L342" s="52"/>
      <c r="M342" s="52"/>
      <c r="N342" s="53" t="s">
        <v>169</v>
      </c>
      <c r="O342" s="53" t="s">
        <v>170</v>
      </c>
      <c r="P342" s="52"/>
      <c r="Q342" s="53" t="s">
        <v>1809</v>
      </c>
      <c r="R342" s="55" t="s">
        <v>160</v>
      </c>
      <c r="S342" s="55" t="s">
        <v>172</v>
      </c>
      <c r="T342" s="55" t="s">
        <v>1810</v>
      </c>
      <c r="U342" s="55" t="s">
        <v>1811</v>
      </c>
      <c r="V342" s="55" t="s">
        <v>1812</v>
      </c>
      <c r="W342" s="82" t="s">
        <v>1813</v>
      </c>
      <c r="X342" s="55" t="s">
        <v>1791</v>
      </c>
      <c r="Y342" s="65" t="s">
        <v>1814</v>
      </c>
      <c r="Z342" s="65" t="s">
        <v>1815</v>
      </c>
      <c r="AA342" s="60" t="s">
        <v>1816</v>
      </c>
    </row>
    <row r="343" spans="2:27" ht="80.25" hidden="1" customHeight="1" x14ac:dyDescent="0.35">
      <c r="B343" s="51" t="s">
        <v>48</v>
      </c>
      <c r="C343" s="51" t="s">
        <v>1786</v>
      </c>
      <c r="D343" s="51" t="s">
        <v>49</v>
      </c>
      <c r="E343" s="52">
        <v>1</v>
      </c>
      <c r="F343" s="51" t="s">
        <v>176</v>
      </c>
      <c r="G343" s="51" t="s">
        <v>177</v>
      </c>
      <c r="H343" s="54" t="s">
        <v>150</v>
      </c>
      <c r="I343" s="52">
        <v>5</v>
      </c>
      <c r="J343" s="51" t="s">
        <v>123</v>
      </c>
      <c r="K343" s="52">
        <v>4</v>
      </c>
      <c r="L343" s="52"/>
      <c r="M343" s="52"/>
      <c r="N343" s="76" t="s">
        <v>1817</v>
      </c>
      <c r="O343" s="53" t="s">
        <v>179</v>
      </c>
      <c r="P343" s="52"/>
      <c r="Q343" s="54"/>
      <c r="R343" s="55" t="s">
        <v>180</v>
      </c>
      <c r="S343" s="55" t="s">
        <v>181</v>
      </c>
      <c r="T343" s="55" t="s">
        <v>1818</v>
      </c>
      <c r="U343" s="55" t="s">
        <v>1819</v>
      </c>
      <c r="V343" s="55" t="s">
        <v>1820</v>
      </c>
      <c r="W343" s="82" t="s">
        <v>1821</v>
      </c>
      <c r="X343" s="55" t="s">
        <v>1791</v>
      </c>
      <c r="Y343" s="65" t="s">
        <v>1822</v>
      </c>
      <c r="Z343" s="65" t="s">
        <v>1822</v>
      </c>
      <c r="AA343" s="60" t="s">
        <v>1823</v>
      </c>
    </row>
    <row r="344" spans="2:27" ht="80.25" hidden="1" customHeight="1" x14ac:dyDescent="0.35">
      <c r="B344" s="51" t="s">
        <v>48</v>
      </c>
      <c r="C344" s="51" t="s">
        <v>1786</v>
      </c>
      <c r="D344" s="51" t="s">
        <v>49</v>
      </c>
      <c r="E344" s="52">
        <v>1</v>
      </c>
      <c r="F344" s="51" t="s">
        <v>187</v>
      </c>
      <c r="G344" s="51" t="s">
        <v>188</v>
      </c>
      <c r="H344" s="54" t="s">
        <v>150</v>
      </c>
      <c r="I344" s="52">
        <v>6</v>
      </c>
      <c r="J344" s="51" t="s">
        <v>123</v>
      </c>
      <c r="K344" s="52">
        <v>30</v>
      </c>
      <c r="L344" s="52"/>
      <c r="M344" s="52"/>
      <c r="N344" s="53" t="s">
        <v>1824</v>
      </c>
      <c r="O344" s="53" t="s">
        <v>190</v>
      </c>
      <c r="P344" s="52"/>
      <c r="Q344" s="54"/>
      <c r="R344" s="55" t="s">
        <v>180</v>
      </c>
      <c r="S344" s="55" t="s">
        <v>181</v>
      </c>
      <c r="T344" s="55" t="s">
        <v>1825</v>
      </c>
      <c r="U344" s="55" t="s">
        <v>1826</v>
      </c>
      <c r="V344" s="55" t="s">
        <v>1827</v>
      </c>
      <c r="W344" s="82" t="s">
        <v>1828</v>
      </c>
      <c r="X344" s="55" t="s">
        <v>1791</v>
      </c>
      <c r="Y344" s="53" t="s">
        <v>1829</v>
      </c>
      <c r="Z344" s="65" t="s">
        <v>1830</v>
      </c>
      <c r="AA344" s="60" t="s">
        <v>1831</v>
      </c>
    </row>
    <row r="345" spans="2:27" ht="80.25" hidden="1" customHeight="1" x14ac:dyDescent="0.35">
      <c r="B345" s="51" t="s">
        <v>48</v>
      </c>
      <c r="C345" s="51" t="s">
        <v>1786</v>
      </c>
      <c r="D345" s="51" t="s">
        <v>49</v>
      </c>
      <c r="E345" s="52">
        <v>1</v>
      </c>
      <c r="F345" s="51" t="s">
        <v>1832</v>
      </c>
      <c r="G345" s="51" t="s">
        <v>1833</v>
      </c>
      <c r="H345" s="54" t="s">
        <v>150</v>
      </c>
      <c r="I345" s="52">
        <v>7</v>
      </c>
      <c r="J345" s="51" t="s">
        <v>123</v>
      </c>
      <c r="K345" s="52">
        <v>21</v>
      </c>
      <c r="L345" s="52"/>
      <c r="M345" s="52"/>
      <c r="N345" s="53" t="s">
        <v>1834</v>
      </c>
      <c r="O345" s="53" t="s">
        <v>1835</v>
      </c>
      <c r="P345" s="52"/>
      <c r="Q345" s="54"/>
      <c r="R345" s="53"/>
      <c r="S345" s="54"/>
      <c r="T345" s="55" t="s">
        <v>1825</v>
      </c>
      <c r="U345" s="55" t="s">
        <v>1826</v>
      </c>
      <c r="V345" s="55" t="s">
        <v>1836</v>
      </c>
      <c r="W345" s="82" t="s">
        <v>1837</v>
      </c>
      <c r="X345" s="55" t="s">
        <v>1791</v>
      </c>
      <c r="Y345" s="53" t="s">
        <v>1838</v>
      </c>
      <c r="Z345" s="53" t="s">
        <v>1839</v>
      </c>
      <c r="AA345" s="60" t="s">
        <v>1840</v>
      </c>
    </row>
    <row r="346" spans="2:27" ht="80.25" hidden="1" customHeight="1" x14ac:dyDescent="0.35">
      <c r="B346" s="51" t="s">
        <v>48</v>
      </c>
      <c r="C346" s="51" t="s">
        <v>1786</v>
      </c>
      <c r="D346" s="51" t="s">
        <v>49</v>
      </c>
      <c r="E346" s="52">
        <v>1</v>
      </c>
      <c r="F346" s="51" t="s">
        <v>1841</v>
      </c>
      <c r="G346" s="51" t="s">
        <v>1842</v>
      </c>
      <c r="H346" s="54" t="s">
        <v>150</v>
      </c>
      <c r="I346" s="52">
        <v>8</v>
      </c>
      <c r="J346" s="51" t="s">
        <v>123</v>
      </c>
      <c r="K346" s="52">
        <v>4</v>
      </c>
      <c r="L346" s="52"/>
      <c r="M346" s="52"/>
      <c r="N346" s="53" t="s">
        <v>1843</v>
      </c>
      <c r="O346" s="53" t="s">
        <v>1844</v>
      </c>
      <c r="P346" s="52"/>
      <c r="Q346" s="54"/>
      <c r="R346" s="55"/>
      <c r="S346" s="51"/>
      <c r="T346" s="55" t="s">
        <v>1845</v>
      </c>
      <c r="U346" s="55" t="s">
        <v>1846</v>
      </c>
      <c r="V346" s="55" t="s">
        <v>1847</v>
      </c>
      <c r="W346" s="82" t="s">
        <v>1848</v>
      </c>
      <c r="X346" s="55" t="s">
        <v>1791</v>
      </c>
      <c r="Y346" s="65" t="s">
        <v>1822</v>
      </c>
      <c r="Z346" s="65" t="s">
        <v>1822</v>
      </c>
      <c r="AA346" s="60" t="s">
        <v>1849</v>
      </c>
    </row>
    <row r="347" spans="2:27" ht="80.25" hidden="1" customHeight="1" x14ac:dyDescent="0.35">
      <c r="B347" s="51" t="s">
        <v>48</v>
      </c>
      <c r="C347" s="51" t="s">
        <v>1786</v>
      </c>
      <c r="D347" s="51" t="s">
        <v>49</v>
      </c>
      <c r="E347" s="52">
        <v>1</v>
      </c>
      <c r="F347" s="51" t="s">
        <v>1850</v>
      </c>
      <c r="G347" s="51" t="s">
        <v>1851</v>
      </c>
      <c r="H347" s="54" t="s">
        <v>150</v>
      </c>
      <c r="I347" s="52">
        <v>9</v>
      </c>
      <c r="J347" s="51" t="s">
        <v>123</v>
      </c>
      <c r="K347" s="52">
        <v>30</v>
      </c>
      <c r="L347" s="52"/>
      <c r="M347" s="52"/>
      <c r="N347" s="53" t="s">
        <v>1852</v>
      </c>
      <c r="O347" s="53" t="s">
        <v>1853</v>
      </c>
      <c r="P347" s="52"/>
      <c r="Q347" s="54"/>
      <c r="R347" s="55"/>
      <c r="S347" s="51"/>
      <c r="T347" s="55" t="s">
        <v>1825</v>
      </c>
      <c r="U347" s="55" t="s">
        <v>1826</v>
      </c>
      <c r="V347" s="55" t="s">
        <v>1854</v>
      </c>
      <c r="W347" s="82" t="s">
        <v>1855</v>
      </c>
      <c r="X347" s="55" t="s">
        <v>1791</v>
      </c>
      <c r="Y347" s="53" t="s">
        <v>1856</v>
      </c>
      <c r="Z347" s="68" t="s">
        <v>1857</v>
      </c>
      <c r="AA347" s="60" t="s">
        <v>1858</v>
      </c>
    </row>
    <row r="348" spans="2:27" ht="80.25" hidden="1" customHeight="1" x14ac:dyDescent="0.35">
      <c r="B348" s="51" t="s">
        <v>48</v>
      </c>
      <c r="C348" s="51" t="s">
        <v>1786</v>
      </c>
      <c r="D348" s="51" t="s">
        <v>49</v>
      </c>
      <c r="E348" s="52">
        <v>1</v>
      </c>
      <c r="F348" s="51" t="s">
        <v>1859</v>
      </c>
      <c r="G348" s="51" t="s">
        <v>1860</v>
      </c>
      <c r="H348" s="54" t="s">
        <v>150</v>
      </c>
      <c r="I348" s="52">
        <v>10</v>
      </c>
      <c r="J348" s="51" t="s">
        <v>123</v>
      </c>
      <c r="K348" s="52">
        <v>21</v>
      </c>
      <c r="L348" s="52"/>
      <c r="M348" s="52"/>
      <c r="N348" s="53" t="s">
        <v>1861</v>
      </c>
      <c r="O348" s="53" t="s">
        <v>1862</v>
      </c>
      <c r="P348" s="52"/>
      <c r="Q348" s="54"/>
      <c r="R348" s="53"/>
      <c r="S348" s="54"/>
      <c r="T348" s="55" t="s">
        <v>1825</v>
      </c>
      <c r="U348" s="55" t="s">
        <v>1826</v>
      </c>
      <c r="V348" s="55" t="s">
        <v>1854</v>
      </c>
      <c r="W348" s="82" t="s">
        <v>1863</v>
      </c>
      <c r="X348" s="55" t="s">
        <v>1791</v>
      </c>
      <c r="Y348" s="53" t="s">
        <v>1838</v>
      </c>
      <c r="Z348" s="68" t="s">
        <v>1864</v>
      </c>
      <c r="AA348" s="60" t="s">
        <v>1840</v>
      </c>
    </row>
    <row r="349" spans="2:27" ht="80.25" hidden="1" customHeight="1" x14ac:dyDescent="0.35">
      <c r="B349" s="51" t="s">
        <v>48</v>
      </c>
      <c r="C349" s="51" t="s">
        <v>1786</v>
      </c>
      <c r="D349" s="51" t="s">
        <v>49</v>
      </c>
      <c r="E349" s="52">
        <v>1</v>
      </c>
      <c r="F349" s="51" t="s">
        <v>624</v>
      </c>
      <c r="G349" s="51" t="s">
        <v>625</v>
      </c>
      <c r="H349" s="54" t="s">
        <v>150</v>
      </c>
      <c r="I349" s="52">
        <v>11</v>
      </c>
      <c r="J349" s="51" t="s">
        <v>123</v>
      </c>
      <c r="K349" s="52">
        <v>4</v>
      </c>
      <c r="L349" s="52"/>
      <c r="M349" s="52"/>
      <c r="N349" s="53" t="s">
        <v>1865</v>
      </c>
      <c r="O349" s="53" t="s">
        <v>627</v>
      </c>
      <c r="P349" s="52"/>
      <c r="Q349" s="51"/>
      <c r="R349" s="55"/>
      <c r="S349" s="51"/>
      <c r="T349" s="55" t="s">
        <v>1802</v>
      </c>
      <c r="U349" s="55" t="s">
        <v>1803</v>
      </c>
      <c r="V349" s="53" t="s">
        <v>1866</v>
      </c>
      <c r="W349" s="82" t="s">
        <v>1867</v>
      </c>
      <c r="X349" s="55" t="s">
        <v>1791</v>
      </c>
      <c r="Y349" s="65" t="s">
        <v>244</v>
      </c>
      <c r="Z349" s="65" t="s">
        <v>244</v>
      </c>
      <c r="AA349" s="60" t="s">
        <v>1868</v>
      </c>
    </row>
    <row r="350" spans="2:27" ht="80.25" hidden="1" customHeight="1" x14ac:dyDescent="0.35">
      <c r="B350" s="51" t="s">
        <v>48</v>
      </c>
      <c r="C350" s="51" t="s">
        <v>1786</v>
      </c>
      <c r="D350" s="51" t="s">
        <v>49</v>
      </c>
      <c r="E350" s="52">
        <v>1</v>
      </c>
      <c r="F350" s="51" t="s">
        <v>574</v>
      </c>
      <c r="G350" s="51" t="s">
        <v>575</v>
      </c>
      <c r="H350" s="51" t="s">
        <v>150</v>
      </c>
      <c r="I350" s="52">
        <v>12</v>
      </c>
      <c r="J350" s="51" t="s">
        <v>123</v>
      </c>
      <c r="K350" s="52">
        <v>15</v>
      </c>
      <c r="L350" s="52"/>
      <c r="M350" s="52"/>
      <c r="N350" s="53" t="s">
        <v>1869</v>
      </c>
      <c r="O350" s="53" t="s">
        <v>577</v>
      </c>
      <c r="P350" s="52"/>
      <c r="Q350" s="51"/>
      <c r="R350" s="55"/>
      <c r="S350" s="51"/>
      <c r="T350" s="55" t="s">
        <v>1870</v>
      </c>
      <c r="U350" s="55" t="s">
        <v>1871</v>
      </c>
      <c r="V350" s="55" t="s">
        <v>1872</v>
      </c>
      <c r="W350" s="82" t="s">
        <v>1873</v>
      </c>
      <c r="X350" s="55" t="s">
        <v>1791</v>
      </c>
      <c r="Y350" s="53" t="s">
        <v>1874</v>
      </c>
      <c r="Z350" s="53" t="s">
        <v>1875</v>
      </c>
      <c r="AA350" s="60" t="s">
        <v>1840</v>
      </c>
    </row>
    <row r="351" spans="2:27" ht="80.25" hidden="1" customHeight="1" x14ac:dyDescent="0.35">
      <c r="B351" s="51" t="s">
        <v>48</v>
      </c>
      <c r="C351" s="51" t="s">
        <v>1786</v>
      </c>
      <c r="D351" s="51" t="s">
        <v>49</v>
      </c>
      <c r="E351" s="52">
        <v>1</v>
      </c>
      <c r="F351" s="51" t="s">
        <v>198</v>
      </c>
      <c r="G351" s="51" t="s">
        <v>199</v>
      </c>
      <c r="H351" s="54" t="s">
        <v>200</v>
      </c>
      <c r="I351" s="52">
        <v>13</v>
      </c>
      <c r="J351" s="51" t="s">
        <v>123</v>
      </c>
      <c r="K351" s="52">
        <v>10</v>
      </c>
      <c r="L351" s="52"/>
      <c r="M351" s="52"/>
      <c r="N351" s="53" t="s">
        <v>201</v>
      </c>
      <c r="O351" s="53" t="s">
        <v>202</v>
      </c>
      <c r="P351" s="52"/>
      <c r="Q351" s="51"/>
      <c r="R351" s="55" t="s">
        <v>203</v>
      </c>
      <c r="S351" s="51" t="s">
        <v>198</v>
      </c>
      <c r="T351" s="55" t="s">
        <v>1870</v>
      </c>
      <c r="U351" s="55" t="s">
        <v>1871</v>
      </c>
      <c r="V351" s="55" t="s">
        <v>1876</v>
      </c>
      <c r="W351" s="82" t="s">
        <v>1877</v>
      </c>
      <c r="X351" s="55" t="s">
        <v>1791</v>
      </c>
      <c r="Y351" s="53" t="s">
        <v>1878</v>
      </c>
      <c r="Z351" s="65" t="s">
        <v>1879</v>
      </c>
      <c r="AA351" s="60" t="s">
        <v>244</v>
      </c>
    </row>
    <row r="352" spans="2:27" ht="80.25" hidden="1" customHeight="1" x14ac:dyDescent="0.35">
      <c r="B352" s="51" t="s">
        <v>48</v>
      </c>
      <c r="C352" s="51" t="s">
        <v>1786</v>
      </c>
      <c r="D352" s="51" t="s">
        <v>49</v>
      </c>
      <c r="E352" s="52">
        <v>1</v>
      </c>
      <c r="F352" s="51" t="s">
        <v>210</v>
      </c>
      <c r="G352" s="51" t="s">
        <v>211</v>
      </c>
      <c r="H352" s="54" t="s">
        <v>200</v>
      </c>
      <c r="I352" s="52">
        <v>14</v>
      </c>
      <c r="J352" s="51" t="s">
        <v>123</v>
      </c>
      <c r="K352" s="52">
        <v>10</v>
      </c>
      <c r="L352" s="52"/>
      <c r="M352" s="52"/>
      <c r="N352" s="53" t="s">
        <v>212</v>
      </c>
      <c r="O352" s="53" t="s">
        <v>213</v>
      </c>
      <c r="P352" s="52"/>
      <c r="Q352" s="54"/>
      <c r="R352" s="55" t="s">
        <v>214</v>
      </c>
      <c r="S352" s="51" t="s">
        <v>210</v>
      </c>
      <c r="T352" s="55" t="s">
        <v>1870</v>
      </c>
      <c r="U352" s="55" t="s">
        <v>1871</v>
      </c>
      <c r="V352" s="55" t="s">
        <v>1880</v>
      </c>
      <c r="W352" s="82" t="s">
        <v>1881</v>
      </c>
      <c r="X352" s="55" t="s">
        <v>1791</v>
      </c>
      <c r="Y352" s="53" t="s">
        <v>1878</v>
      </c>
      <c r="Z352" s="65" t="s">
        <v>1882</v>
      </c>
      <c r="AA352" s="60" t="s">
        <v>244</v>
      </c>
    </row>
    <row r="353" spans="2:27" ht="80.25" hidden="1" customHeight="1" x14ac:dyDescent="0.35">
      <c r="B353" s="51" t="s">
        <v>48</v>
      </c>
      <c r="C353" s="51" t="s">
        <v>1786</v>
      </c>
      <c r="D353" s="51" t="s">
        <v>49</v>
      </c>
      <c r="E353" s="52">
        <v>1</v>
      </c>
      <c r="F353" s="51" t="s">
        <v>222</v>
      </c>
      <c r="G353" s="51" t="s">
        <v>223</v>
      </c>
      <c r="H353" s="54" t="s">
        <v>224</v>
      </c>
      <c r="I353" s="52">
        <v>15</v>
      </c>
      <c r="J353" s="51" t="s">
        <v>123</v>
      </c>
      <c r="K353" s="52">
        <v>3</v>
      </c>
      <c r="L353" s="52"/>
      <c r="M353" s="52"/>
      <c r="N353" s="53" t="s">
        <v>225</v>
      </c>
      <c r="O353" s="53" t="s">
        <v>226</v>
      </c>
      <c r="P353" s="52"/>
      <c r="Q353" s="55" t="s">
        <v>1883</v>
      </c>
      <c r="R353" s="55" t="s">
        <v>654</v>
      </c>
      <c r="S353" s="55" t="s">
        <v>229</v>
      </c>
      <c r="T353" s="55" t="s">
        <v>1884</v>
      </c>
      <c r="U353" s="55" t="s">
        <v>1885</v>
      </c>
      <c r="V353" s="55" t="s">
        <v>1886</v>
      </c>
      <c r="W353" s="82" t="s">
        <v>1887</v>
      </c>
      <c r="X353" s="55" t="s">
        <v>1888</v>
      </c>
      <c r="Y353" s="53" t="s">
        <v>1889</v>
      </c>
      <c r="Z353" s="65" t="s">
        <v>1890</v>
      </c>
      <c r="AA353" s="60" t="s">
        <v>1891</v>
      </c>
    </row>
    <row r="354" spans="2:27" ht="80.25" hidden="1" customHeight="1" x14ac:dyDescent="0.35">
      <c r="B354" s="51" t="s">
        <v>48</v>
      </c>
      <c r="C354" s="51" t="s">
        <v>1786</v>
      </c>
      <c r="D354" s="51" t="s">
        <v>49</v>
      </c>
      <c r="E354" s="52">
        <v>1</v>
      </c>
      <c r="F354" s="51" t="s">
        <v>238</v>
      </c>
      <c r="G354" s="51" t="s">
        <v>239</v>
      </c>
      <c r="H354" s="54" t="s">
        <v>240</v>
      </c>
      <c r="I354" s="52">
        <v>16</v>
      </c>
      <c r="J354" s="51" t="s">
        <v>123</v>
      </c>
      <c r="K354" s="52"/>
      <c r="L354" s="52"/>
      <c r="M354" s="52"/>
      <c r="N354" s="53" t="s">
        <v>241</v>
      </c>
      <c r="O354" s="53" t="s">
        <v>242</v>
      </c>
      <c r="P354" s="52"/>
      <c r="Q354" s="54"/>
      <c r="R354" s="63"/>
      <c r="S354" s="61"/>
      <c r="T354" s="55" t="s">
        <v>1870</v>
      </c>
      <c r="U354" s="55" t="s">
        <v>1892</v>
      </c>
      <c r="V354" s="63" t="s">
        <v>244</v>
      </c>
      <c r="W354" s="82" t="s">
        <v>1893</v>
      </c>
      <c r="X354" s="55" t="s">
        <v>1791</v>
      </c>
      <c r="Y354" s="53" t="s">
        <v>244</v>
      </c>
      <c r="Z354" s="53" t="s">
        <v>244</v>
      </c>
      <c r="AA354" s="60" t="s">
        <v>1894</v>
      </c>
    </row>
    <row r="355" spans="2:27" ht="80.25" hidden="1" customHeight="1" x14ac:dyDescent="0.35">
      <c r="B355" s="51" t="s">
        <v>48</v>
      </c>
      <c r="C355" s="51" t="s">
        <v>1786</v>
      </c>
      <c r="D355" s="51" t="s">
        <v>49</v>
      </c>
      <c r="E355" s="52">
        <v>1</v>
      </c>
      <c r="F355" s="51" t="s">
        <v>260</v>
      </c>
      <c r="G355" s="51" t="s">
        <v>261</v>
      </c>
      <c r="H355" s="51" t="s">
        <v>249</v>
      </c>
      <c r="I355" s="52">
        <v>17</v>
      </c>
      <c r="J355" s="51" t="s">
        <v>250</v>
      </c>
      <c r="K355" s="52">
        <v>23</v>
      </c>
      <c r="L355" s="52">
        <v>6</v>
      </c>
      <c r="M355" s="52"/>
      <c r="N355" s="53" t="s">
        <v>1895</v>
      </c>
      <c r="O355" s="53" t="s">
        <v>263</v>
      </c>
      <c r="P355" s="52"/>
      <c r="Q355" s="54"/>
      <c r="R355" s="55"/>
      <c r="S355" s="51"/>
      <c r="T355" s="55" t="s">
        <v>1825</v>
      </c>
      <c r="U355" s="55" t="s">
        <v>1896</v>
      </c>
      <c r="V355" s="63" t="s">
        <v>1897</v>
      </c>
      <c r="W355" s="82" t="s">
        <v>1898</v>
      </c>
      <c r="X355" s="55" t="s">
        <v>1791</v>
      </c>
      <c r="Y355" s="65" t="s">
        <v>1899</v>
      </c>
      <c r="Z355" s="65" t="s">
        <v>1900</v>
      </c>
      <c r="AA355" s="60" t="s">
        <v>1840</v>
      </c>
    </row>
    <row r="356" spans="2:27" ht="80.25" hidden="1" customHeight="1" x14ac:dyDescent="0.35">
      <c r="B356" s="51" t="s">
        <v>48</v>
      </c>
      <c r="C356" s="51" t="s">
        <v>1786</v>
      </c>
      <c r="D356" s="51" t="s">
        <v>49</v>
      </c>
      <c r="E356" s="52">
        <v>1</v>
      </c>
      <c r="F356" s="51" t="s">
        <v>879</v>
      </c>
      <c r="G356" s="51" t="s">
        <v>880</v>
      </c>
      <c r="H356" s="51" t="s">
        <v>249</v>
      </c>
      <c r="I356" s="52">
        <v>18</v>
      </c>
      <c r="J356" s="51" t="s">
        <v>250</v>
      </c>
      <c r="K356" s="52">
        <v>23</v>
      </c>
      <c r="L356" s="52">
        <v>6</v>
      </c>
      <c r="M356" s="52"/>
      <c r="N356" s="53" t="s">
        <v>1901</v>
      </c>
      <c r="O356" s="53" t="s">
        <v>882</v>
      </c>
      <c r="P356" s="52"/>
      <c r="Q356" s="54"/>
      <c r="R356" s="53"/>
      <c r="S356" s="54"/>
      <c r="T356" s="55" t="s">
        <v>1810</v>
      </c>
      <c r="U356" s="55" t="s">
        <v>1902</v>
      </c>
      <c r="V356" s="63" t="s">
        <v>1903</v>
      </c>
      <c r="W356" s="82" t="s">
        <v>1904</v>
      </c>
      <c r="X356" s="55" t="s">
        <v>1791</v>
      </c>
      <c r="Y356" s="53" t="s">
        <v>1905</v>
      </c>
      <c r="Z356" s="53" t="s">
        <v>1906</v>
      </c>
      <c r="AA356" s="60" t="s">
        <v>1907</v>
      </c>
    </row>
    <row r="357" spans="2:27" ht="80.25" hidden="1" customHeight="1" x14ac:dyDescent="0.35">
      <c r="B357" s="51" t="s">
        <v>48</v>
      </c>
      <c r="C357" s="51" t="s">
        <v>1786</v>
      </c>
      <c r="D357" s="51" t="s">
        <v>49</v>
      </c>
      <c r="E357" s="52">
        <v>1</v>
      </c>
      <c r="F357" s="51" t="s">
        <v>1908</v>
      </c>
      <c r="G357" s="51" t="s">
        <v>1909</v>
      </c>
      <c r="H357" s="51" t="s">
        <v>249</v>
      </c>
      <c r="I357" s="52">
        <v>19</v>
      </c>
      <c r="J357" s="51" t="s">
        <v>250</v>
      </c>
      <c r="K357" s="52">
        <v>23</v>
      </c>
      <c r="L357" s="52">
        <v>6</v>
      </c>
      <c r="M357" s="52"/>
      <c r="N357" s="53" t="s">
        <v>1910</v>
      </c>
      <c r="O357" s="53" t="s">
        <v>1613</v>
      </c>
      <c r="P357" s="52"/>
      <c r="Q357" s="54"/>
      <c r="R357" s="53"/>
      <c r="S357" s="54"/>
      <c r="T357" s="55" t="s">
        <v>1911</v>
      </c>
      <c r="U357" s="55" t="s">
        <v>1896</v>
      </c>
      <c r="V357" s="63" t="s">
        <v>1912</v>
      </c>
      <c r="W357" s="82" t="s">
        <v>1913</v>
      </c>
      <c r="X357" s="55" t="s">
        <v>1791</v>
      </c>
      <c r="Y357" s="53" t="s">
        <v>1914</v>
      </c>
      <c r="Z357" s="53" t="s">
        <v>1915</v>
      </c>
      <c r="AA357" s="60" t="s">
        <v>1916</v>
      </c>
    </row>
    <row r="358" spans="2:27" ht="80.25" hidden="1" customHeight="1" x14ac:dyDescent="0.35">
      <c r="B358" s="51" t="s">
        <v>48</v>
      </c>
      <c r="C358" s="51" t="s">
        <v>1786</v>
      </c>
      <c r="D358" s="51" t="s">
        <v>49</v>
      </c>
      <c r="E358" s="52">
        <v>1</v>
      </c>
      <c r="F358" s="51" t="s">
        <v>648</v>
      </c>
      <c r="G358" s="51" t="s">
        <v>649</v>
      </c>
      <c r="H358" s="51" t="s">
        <v>249</v>
      </c>
      <c r="I358" s="52">
        <v>20</v>
      </c>
      <c r="J358" s="51" t="s">
        <v>250</v>
      </c>
      <c r="K358" s="52">
        <v>23</v>
      </c>
      <c r="L358" s="52">
        <v>6</v>
      </c>
      <c r="M358" s="52"/>
      <c r="N358" s="53" t="s">
        <v>1917</v>
      </c>
      <c r="O358" s="53" t="s">
        <v>651</v>
      </c>
      <c r="P358" s="52"/>
      <c r="Q358" s="54"/>
      <c r="R358" s="53" t="s">
        <v>685</v>
      </c>
      <c r="S358" s="53" t="s">
        <v>686</v>
      </c>
      <c r="T358" s="55" t="s">
        <v>1911</v>
      </c>
      <c r="U358" s="55" t="s">
        <v>1918</v>
      </c>
      <c r="V358" s="55" t="s">
        <v>1919</v>
      </c>
      <c r="W358" s="82" t="s">
        <v>1920</v>
      </c>
      <c r="X358" s="55" t="s">
        <v>1791</v>
      </c>
      <c r="Y358" s="53" t="s">
        <v>1921</v>
      </c>
      <c r="Z358" s="68" t="s">
        <v>1922</v>
      </c>
      <c r="AA358" s="60" t="s">
        <v>1923</v>
      </c>
    </row>
    <row r="359" spans="2:27" ht="80.25" hidden="1" customHeight="1" x14ac:dyDescent="0.35">
      <c r="B359" s="51" t="s">
        <v>48</v>
      </c>
      <c r="C359" s="51" t="s">
        <v>1786</v>
      </c>
      <c r="D359" s="51" t="s">
        <v>49</v>
      </c>
      <c r="E359" s="52">
        <v>1</v>
      </c>
      <c r="F359" s="51" t="s">
        <v>271</v>
      </c>
      <c r="G359" s="51" t="s">
        <v>272</v>
      </c>
      <c r="H359" s="51" t="s">
        <v>249</v>
      </c>
      <c r="I359" s="52">
        <v>21</v>
      </c>
      <c r="J359" s="51" t="s">
        <v>250</v>
      </c>
      <c r="K359" s="52">
        <v>23</v>
      </c>
      <c r="L359" s="52">
        <v>6</v>
      </c>
      <c r="M359" s="52"/>
      <c r="N359" s="53" t="s">
        <v>1924</v>
      </c>
      <c r="O359" s="53" t="s">
        <v>274</v>
      </c>
      <c r="P359" s="52"/>
      <c r="Q359" s="54"/>
      <c r="R359" s="53" t="s">
        <v>275</v>
      </c>
      <c r="S359" s="54" t="s">
        <v>276</v>
      </c>
      <c r="T359" s="55" t="s">
        <v>1911</v>
      </c>
      <c r="U359" s="55" t="s">
        <v>1918</v>
      </c>
      <c r="V359" s="55" t="s">
        <v>1925</v>
      </c>
      <c r="W359" s="82" t="s">
        <v>1926</v>
      </c>
      <c r="X359" s="55" t="s">
        <v>1791</v>
      </c>
      <c r="Y359" s="53" t="s">
        <v>1927</v>
      </c>
      <c r="Z359" s="68" t="s">
        <v>1928</v>
      </c>
      <c r="AA359" s="60" t="s">
        <v>1929</v>
      </c>
    </row>
    <row r="360" spans="2:27" ht="80.25" hidden="1" customHeight="1" x14ac:dyDescent="0.35">
      <c r="B360" s="51" t="s">
        <v>48</v>
      </c>
      <c r="C360" s="51" t="s">
        <v>1786</v>
      </c>
      <c r="D360" s="51" t="s">
        <v>49</v>
      </c>
      <c r="E360" s="52">
        <v>1</v>
      </c>
      <c r="F360" s="51" t="s">
        <v>282</v>
      </c>
      <c r="G360" s="51" t="s">
        <v>283</v>
      </c>
      <c r="H360" s="51" t="s">
        <v>249</v>
      </c>
      <c r="I360" s="52">
        <v>22</v>
      </c>
      <c r="J360" s="51" t="s">
        <v>250</v>
      </c>
      <c r="K360" s="52">
        <v>23</v>
      </c>
      <c r="L360" s="52">
        <v>6</v>
      </c>
      <c r="M360" s="52"/>
      <c r="N360" s="53" t="s">
        <v>696</v>
      </c>
      <c r="O360" s="53" t="s">
        <v>285</v>
      </c>
      <c r="P360" s="52"/>
      <c r="Q360" s="54"/>
      <c r="R360" s="63"/>
      <c r="S360" s="61"/>
      <c r="T360" s="175" t="s">
        <v>1930</v>
      </c>
      <c r="U360" s="90" t="s">
        <v>1931</v>
      </c>
      <c r="V360" s="63" t="s">
        <v>1932</v>
      </c>
      <c r="W360" s="82" t="s">
        <v>1933</v>
      </c>
      <c r="X360" s="55" t="s">
        <v>1791</v>
      </c>
      <c r="Y360" s="53" t="s">
        <v>1934</v>
      </c>
      <c r="Z360" s="53" t="s">
        <v>1935</v>
      </c>
      <c r="AA360" s="60" t="s">
        <v>1936</v>
      </c>
    </row>
    <row r="361" spans="2:27" ht="80.25" hidden="1" customHeight="1" x14ac:dyDescent="0.35">
      <c r="B361" s="51" t="s">
        <v>48</v>
      </c>
      <c r="C361" s="51" t="s">
        <v>1786</v>
      </c>
      <c r="D361" s="51" t="s">
        <v>49</v>
      </c>
      <c r="E361" s="52">
        <v>1</v>
      </c>
      <c r="F361" s="51" t="s">
        <v>714</v>
      </c>
      <c r="G361" s="51" t="s">
        <v>715</v>
      </c>
      <c r="H361" s="54" t="s">
        <v>430</v>
      </c>
      <c r="I361" s="52">
        <v>23</v>
      </c>
      <c r="J361" s="51" t="s">
        <v>123</v>
      </c>
      <c r="K361" s="52">
        <v>10</v>
      </c>
      <c r="L361" s="52"/>
      <c r="M361" s="52"/>
      <c r="N361" s="53" t="s">
        <v>911</v>
      </c>
      <c r="O361" s="53" t="s">
        <v>717</v>
      </c>
      <c r="P361" s="52"/>
      <c r="Q361" s="54"/>
      <c r="R361" s="55"/>
      <c r="S361" s="51"/>
      <c r="T361" s="55" t="s">
        <v>1870</v>
      </c>
      <c r="U361" s="55" t="s">
        <v>1892</v>
      </c>
      <c r="V361" s="55" t="s">
        <v>1937</v>
      </c>
      <c r="W361" s="82" t="s">
        <v>1938</v>
      </c>
      <c r="X361" s="55" t="s">
        <v>1791</v>
      </c>
      <c r="Y361" s="53" t="s">
        <v>1939</v>
      </c>
      <c r="Z361" s="53" t="s">
        <v>1940</v>
      </c>
      <c r="AA361" s="60" t="s">
        <v>1941</v>
      </c>
    </row>
    <row r="362" spans="2:27" ht="80.25" hidden="1" customHeight="1" x14ac:dyDescent="0.35">
      <c r="B362" s="51" t="s">
        <v>48</v>
      </c>
      <c r="C362" s="51" t="s">
        <v>1786</v>
      </c>
      <c r="D362" s="51" t="s">
        <v>49</v>
      </c>
      <c r="E362" s="52">
        <v>1</v>
      </c>
      <c r="F362" s="51" t="s">
        <v>428</v>
      </c>
      <c r="G362" s="51" t="s">
        <v>429</v>
      </c>
      <c r="H362" s="54" t="s">
        <v>430</v>
      </c>
      <c r="I362" s="52">
        <v>24</v>
      </c>
      <c r="J362" s="51" t="s">
        <v>123</v>
      </c>
      <c r="K362" s="52">
        <v>10</v>
      </c>
      <c r="L362" s="52"/>
      <c r="M362" s="52"/>
      <c r="N362" s="53" t="s">
        <v>1942</v>
      </c>
      <c r="O362" s="53" t="s">
        <v>432</v>
      </c>
      <c r="P362" s="52"/>
      <c r="Q362" s="54"/>
      <c r="R362" s="55" t="s">
        <v>722</v>
      </c>
      <c r="S362" s="51" t="s">
        <v>723</v>
      </c>
      <c r="T362" s="55" t="s">
        <v>1870</v>
      </c>
      <c r="U362" s="55" t="s">
        <v>1892</v>
      </c>
      <c r="V362" s="55" t="s">
        <v>1943</v>
      </c>
      <c r="W362" s="82" t="s">
        <v>1944</v>
      </c>
      <c r="X362" s="55" t="s">
        <v>1791</v>
      </c>
      <c r="Y362" s="53" t="s">
        <v>1939</v>
      </c>
      <c r="Z362" s="53" t="s">
        <v>1945</v>
      </c>
      <c r="AA362" s="60" t="s">
        <v>1941</v>
      </c>
    </row>
    <row r="363" spans="2:27" ht="80.25" hidden="1" customHeight="1" x14ac:dyDescent="0.35">
      <c r="B363" s="51" t="s">
        <v>48</v>
      </c>
      <c r="C363" s="51" t="s">
        <v>1786</v>
      </c>
      <c r="D363" s="51" t="s">
        <v>49</v>
      </c>
      <c r="E363" s="52">
        <v>1</v>
      </c>
      <c r="F363" s="51" t="s">
        <v>727</v>
      </c>
      <c r="G363" s="51" t="s">
        <v>728</v>
      </c>
      <c r="H363" s="51" t="s">
        <v>249</v>
      </c>
      <c r="I363" s="52">
        <v>25</v>
      </c>
      <c r="J363" s="51" t="s">
        <v>250</v>
      </c>
      <c r="K363" s="52">
        <v>23</v>
      </c>
      <c r="L363" s="52">
        <v>6</v>
      </c>
      <c r="M363" s="52"/>
      <c r="N363" s="53" t="s">
        <v>925</v>
      </c>
      <c r="O363" s="53" t="s">
        <v>730</v>
      </c>
      <c r="P363" s="52"/>
      <c r="Q363" s="54"/>
      <c r="R363" s="53"/>
      <c r="S363" s="54"/>
      <c r="T363" s="55" t="s">
        <v>1870</v>
      </c>
      <c r="U363" s="55" t="s">
        <v>1892</v>
      </c>
      <c r="V363" s="55" t="s">
        <v>1946</v>
      </c>
      <c r="W363" s="82" t="s">
        <v>1947</v>
      </c>
      <c r="X363" s="55" t="s">
        <v>1791</v>
      </c>
      <c r="Y363" s="65" t="s">
        <v>1939</v>
      </c>
      <c r="Z363" s="53" t="s">
        <v>1948</v>
      </c>
      <c r="AA363" s="60" t="s">
        <v>1916</v>
      </c>
    </row>
    <row r="364" spans="2:27" ht="80.25" hidden="1" customHeight="1" x14ac:dyDescent="0.35">
      <c r="B364" s="51" t="s">
        <v>48</v>
      </c>
      <c r="C364" s="51" t="s">
        <v>1786</v>
      </c>
      <c r="D364" s="51" t="s">
        <v>49</v>
      </c>
      <c r="E364" s="52">
        <v>1</v>
      </c>
      <c r="F364" s="51" t="s">
        <v>943</v>
      </c>
      <c r="G364" s="51" t="s">
        <v>944</v>
      </c>
      <c r="H364" s="54" t="s">
        <v>430</v>
      </c>
      <c r="I364" s="52">
        <v>26</v>
      </c>
      <c r="J364" s="51" t="s">
        <v>123</v>
      </c>
      <c r="K364" s="52">
        <v>10</v>
      </c>
      <c r="L364" s="52"/>
      <c r="M364" s="52"/>
      <c r="N364" s="53" t="s">
        <v>1949</v>
      </c>
      <c r="O364" s="53" t="s">
        <v>946</v>
      </c>
      <c r="P364" s="52"/>
      <c r="Q364" s="51"/>
      <c r="R364" s="55"/>
      <c r="S364" s="51"/>
      <c r="T364" s="55" t="s">
        <v>1825</v>
      </c>
      <c r="U364" s="55" t="s">
        <v>1950</v>
      </c>
      <c r="V364" s="55" t="s">
        <v>1951</v>
      </c>
      <c r="W364" s="82" t="s">
        <v>1952</v>
      </c>
      <c r="X364" s="55" t="s">
        <v>1791</v>
      </c>
      <c r="Y364" s="55" t="s">
        <v>1953</v>
      </c>
      <c r="Z364" s="55" t="s">
        <v>1954</v>
      </c>
      <c r="AA364" s="60" t="s">
        <v>1941</v>
      </c>
    </row>
    <row r="365" spans="2:27" ht="80.25" hidden="1" customHeight="1" x14ac:dyDescent="0.35">
      <c r="B365" s="51" t="s">
        <v>48</v>
      </c>
      <c r="C365" s="51" t="s">
        <v>1786</v>
      </c>
      <c r="D365" s="51" t="s">
        <v>49</v>
      </c>
      <c r="E365" s="52">
        <v>1</v>
      </c>
      <c r="F365" s="51" t="s">
        <v>1955</v>
      </c>
      <c r="G365" s="51" t="s">
        <v>1956</v>
      </c>
      <c r="H365" s="51" t="s">
        <v>249</v>
      </c>
      <c r="I365" s="52">
        <v>27</v>
      </c>
      <c r="J365" s="51" t="s">
        <v>123</v>
      </c>
      <c r="K365" s="52"/>
      <c r="L365" s="52"/>
      <c r="M365" s="52"/>
      <c r="N365" s="53" t="s">
        <v>1957</v>
      </c>
      <c r="O365" s="53" t="s">
        <v>1958</v>
      </c>
      <c r="P365" s="52"/>
      <c r="Q365" s="51"/>
      <c r="R365" s="55"/>
      <c r="S365" s="51"/>
      <c r="T365" s="55" t="s">
        <v>1825</v>
      </c>
      <c r="U365" s="55" t="s">
        <v>1959</v>
      </c>
      <c r="V365" s="55" t="s">
        <v>1960</v>
      </c>
      <c r="W365" s="82" t="s">
        <v>1961</v>
      </c>
      <c r="X365" s="55" t="s">
        <v>1791</v>
      </c>
      <c r="Y365" s="55" t="s">
        <v>1962</v>
      </c>
      <c r="Z365" s="55" t="s">
        <v>1963</v>
      </c>
      <c r="AA365" s="60" t="s">
        <v>1941</v>
      </c>
    </row>
    <row r="366" spans="2:27" ht="80.25" hidden="1" customHeight="1" x14ac:dyDescent="0.35">
      <c r="B366" s="51" t="s">
        <v>48</v>
      </c>
      <c r="C366" s="51" t="s">
        <v>1786</v>
      </c>
      <c r="D366" s="51" t="s">
        <v>49</v>
      </c>
      <c r="E366" s="52">
        <v>1</v>
      </c>
      <c r="F366" s="51" t="s">
        <v>964</v>
      </c>
      <c r="G366" s="51" t="s">
        <v>965</v>
      </c>
      <c r="H366" s="51" t="s">
        <v>249</v>
      </c>
      <c r="I366" s="52">
        <v>28</v>
      </c>
      <c r="J366" s="51" t="s">
        <v>250</v>
      </c>
      <c r="K366" s="52">
        <v>23</v>
      </c>
      <c r="L366" s="52">
        <v>6</v>
      </c>
      <c r="M366" s="52"/>
      <c r="N366" s="53" t="s">
        <v>1964</v>
      </c>
      <c r="O366" s="53" t="s">
        <v>967</v>
      </c>
      <c r="P366" s="52"/>
      <c r="Q366" s="54"/>
      <c r="R366" s="53"/>
      <c r="S366" s="54"/>
      <c r="T366" s="55" t="s">
        <v>1911</v>
      </c>
      <c r="U366" s="55" t="s">
        <v>1918</v>
      </c>
      <c r="V366" s="55" t="s">
        <v>1965</v>
      </c>
      <c r="W366" s="355" t="s">
        <v>1966</v>
      </c>
      <c r="X366" s="55" t="s">
        <v>1791</v>
      </c>
      <c r="Y366" s="53" t="s">
        <v>1967</v>
      </c>
      <c r="Z366" s="68" t="s">
        <v>1968</v>
      </c>
      <c r="AA366" s="60" t="s">
        <v>1916</v>
      </c>
    </row>
    <row r="367" spans="2:27" ht="80.25" hidden="1" customHeight="1" x14ac:dyDescent="0.35">
      <c r="B367" s="51" t="s">
        <v>48</v>
      </c>
      <c r="C367" s="51" t="s">
        <v>1786</v>
      </c>
      <c r="D367" s="51" t="s">
        <v>49</v>
      </c>
      <c r="E367" s="52">
        <v>1</v>
      </c>
      <c r="F367" s="51" t="s">
        <v>1507</v>
      </c>
      <c r="G367" s="51" t="s">
        <v>1969</v>
      </c>
      <c r="H367" s="54" t="s">
        <v>1509</v>
      </c>
      <c r="I367" s="52">
        <v>29</v>
      </c>
      <c r="J367" s="51" t="s">
        <v>123</v>
      </c>
      <c r="K367" s="52"/>
      <c r="L367" s="52"/>
      <c r="M367" s="52"/>
      <c r="N367" s="53" t="s">
        <v>1970</v>
      </c>
      <c r="O367" s="53" t="s">
        <v>1511</v>
      </c>
      <c r="P367" s="52"/>
      <c r="Q367" s="53"/>
      <c r="R367" s="53"/>
      <c r="S367" s="54"/>
      <c r="T367" s="55" t="s">
        <v>1825</v>
      </c>
      <c r="U367" s="55" t="s">
        <v>1971</v>
      </c>
      <c r="V367" s="55" t="s">
        <v>939</v>
      </c>
      <c r="W367" s="82" t="s">
        <v>1972</v>
      </c>
      <c r="X367" s="55" t="s">
        <v>1791</v>
      </c>
      <c r="Y367" s="53" t="s">
        <v>1973</v>
      </c>
      <c r="Z367" s="53" t="s">
        <v>1974</v>
      </c>
      <c r="AA367" s="60" t="s">
        <v>1975</v>
      </c>
    </row>
    <row r="368" spans="2:27" ht="80.25" hidden="1" customHeight="1" x14ac:dyDescent="0.35">
      <c r="B368" s="51" t="s">
        <v>48</v>
      </c>
      <c r="C368" s="51" t="s">
        <v>1786</v>
      </c>
      <c r="D368" s="51" t="s">
        <v>49</v>
      </c>
      <c r="E368" s="52">
        <v>1</v>
      </c>
      <c r="F368" s="51" t="s">
        <v>1976</v>
      </c>
      <c r="G368" s="51" t="s">
        <v>1977</v>
      </c>
      <c r="H368" s="54" t="s">
        <v>746</v>
      </c>
      <c r="I368" s="52">
        <v>30</v>
      </c>
      <c r="J368" s="51" t="s">
        <v>123</v>
      </c>
      <c r="K368" s="52">
        <v>3</v>
      </c>
      <c r="L368" s="52"/>
      <c r="M368" s="52"/>
      <c r="N368" s="53" t="s">
        <v>1978</v>
      </c>
      <c r="O368" s="53" t="s">
        <v>1979</v>
      </c>
      <c r="P368" s="52"/>
      <c r="Q368" s="53" t="s">
        <v>1980</v>
      </c>
      <c r="R368" s="53"/>
      <c r="S368" s="54"/>
      <c r="T368" s="55" t="s">
        <v>1810</v>
      </c>
      <c r="U368" s="55" t="s">
        <v>1981</v>
      </c>
      <c r="V368" s="55" t="s">
        <v>1982</v>
      </c>
      <c r="W368" s="82" t="s">
        <v>1983</v>
      </c>
      <c r="X368" s="55" t="s">
        <v>1791</v>
      </c>
      <c r="Y368" s="53" t="s">
        <v>1984</v>
      </c>
      <c r="Z368" s="53" t="s">
        <v>1985</v>
      </c>
      <c r="AA368" s="60" t="s">
        <v>1986</v>
      </c>
    </row>
    <row r="369" spans="2:27" ht="80.25" hidden="1" customHeight="1" x14ac:dyDescent="0.35">
      <c r="B369" s="51" t="s">
        <v>48</v>
      </c>
      <c r="C369" s="51" t="s">
        <v>1786</v>
      </c>
      <c r="D369" s="51" t="s">
        <v>49</v>
      </c>
      <c r="E369" s="52">
        <v>1</v>
      </c>
      <c r="F369" s="51" t="s">
        <v>1987</v>
      </c>
      <c r="G369" s="51" t="s">
        <v>1988</v>
      </c>
      <c r="H369" s="54" t="s">
        <v>767</v>
      </c>
      <c r="I369" s="52">
        <v>31</v>
      </c>
      <c r="J369" s="51" t="s">
        <v>250</v>
      </c>
      <c r="K369" s="52">
        <v>23</v>
      </c>
      <c r="L369" s="52">
        <v>6</v>
      </c>
      <c r="M369" s="52"/>
      <c r="N369" s="53" t="s">
        <v>1989</v>
      </c>
      <c r="O369" s="53" t="s">
        <v>1990</v>
      </c>
      <c r="P369" s="52"/>
      <c r="Q369" s="54"/>
      <c r="R369" s="53"/>
      <c r="S369" s="54"/>
      <c r="T369" s="55" t="s">
        <v>1810</v>
      </c>
      <c r="U369" s="55" t="s">
        <v>1991</v>
      </c>
      <c r="V369" s="55" t="s">
        <v>1992</v>
      </c>
      <c r="W369" s="82" t="s">
        <v>1993</v>
      </c>
      <c r="X369" s="55" t="s">
        <v>1791</v>
      </c>
      <c r="Y369" s="53" t="s">
        <v>1994</v>
      </c>
      <c r="Z369" s="53" t="s">
        <v>1995</v>
      </c>
      <c r="AA369" s="60" t="s">
        <v>1996</v>
      </c>
    </row>
    <row r="370" spans="2:27" ht="80.25" hidden="1" customHeight="1" x14ac:dyDescent="0.35">
      <c r="B370" s="51" t="s">
        <v>48</v>
      </c>
      <c r="C370" s="51" t="s">
        <v>1786</v>
      </c>
      <c r="D370" s="51" t="s">
        <v>49</v>
      </c>
      <c r="E370" s="52">
        <v>1</v>
      </c>
      <c r="F370" s="51" t="s">
        <v>1997</v>
      </c>
      <c r="G370" s="51" t="s">
        <v>1998</v>
      </c>
      <c r="H370" s="54" t="s">
        <v>767</v>
      </c>
      <c r="I370" s="52">
        <v>32</v>
      </c>
      <c r="J370" s="51" t="s">
        <v>250</v>
      </c>
      <c r="K370" s="52">
        <v>23</v>
      </c>
      <c r="L370" s="52">
        <v>6</v>
      </c>
      <c r="M370" s="52"/>
      <c r="N370" s="53" t="s">
        <v>1999</v>
      </c>
      <c r="O370" s="53" t="s">
        <v>2000</v>
      </c>
      <c r="P370" s="52"/>
      <c r="Q370" s="54"/>
      <c r="R370" s="53"/>
      <c r="S370" s="54"/>
      <c r="T370" s="55" t="s">
        <v>1911</v>
      </c>
      <c r="U370" s="55" t="s">
        <v>2001</v>
      </c>
      <c r="V370" s="55" t="s">
        <v>2002</v>
      </c>
      <c r="W370" s="82" t="s">
        <v>2003</v>
      </c>
      <c r="X370" s="55" t="s">
        <v>1791</v>
      </c>
      <c r="Y370" s="53" t="s">
        <v>1973</v>
      </c>
      <c r="Z370" s="53" t="s">
        <v>2004</v>
      </c>
      <c r="AA370" s="60" t="s">
        <v>1916</v>
      </c>
    </row>
    <row r="371" spans="2:27" ht="80.25" hidden="1" customHeight="1" x14ac:dyDescent="0.35">
      <c r="B371" s="51" t="s">
        <v>48</v>
      </c>
      <c r="C371" s="51" t="s">
        <v>1786</v>
      </c>
      <c r="D371" s="51" t="s">
        <v>49</v>
      </c>
      <c r="E371" s="52">
        <v>1</v>
      </c>
      <c r="F371" s="51" t="s">
        <v>1514</v>
      </c>
      <c r="G371" s="51" t="s">
        <v>1515</v>
      </c>
      <c r="H371" s="54" t="s">
        <v>767</v>
      </c>
      <c r="I371" s="52">
        <v>33</v>
      </c>
      <c r="J371" s="51" t="s">
        <v>250</v>
      </c>
      <c r="K371" s="52">
        <v>23</v>
      </c>
      <c r="L371" s="52">
        <v>6</v>
      </c>
      <c r="M371" s="52"/>
      <c r="N371" s="53" t="s">
        <v>2005</v>
      </c>
      <c r="O371" s="53" t="s">
        <v>1517</v>
      </c>
      <c r="P371" s="52"/>
      <c r="Q371" s="51"/>
      <c r="R371" s="55" t="s">
        <v>788</v>
      </c>
      <c r="S371" s="51" t="s">
        <v>1518</v>
      </c>
      <c r="T371" s="55" t="s">
        <v>1810</v>
      </c>
      <c r="U371" s="55" t="s">
        <v>1991</v>
      </c>
      <c r="V371" s="55" t="s">
        <v>2006</v>
      </c>
      <c r="W371" s="82" t="s">
        <v>2007</v>
      </c>
      <c r="X371" s="55" t="s">
        <v>1791</v>
      </c>
      <c r="Y371" s="53" t="s">
        <v>1973</v>
      </c>
      <c r="Z371" s="65" t="s">
        <v>2008</v>
      </c>
      <c r="AA371" s="60" t="s">
        <v>1916</v>
      </c>
    </row>
    <row r="372" spans="2:27" ht="80.25" hidden="1" customHeight="1" x14ac:dyDescent="0.35">
      <c r="B372" s="51" t="s">
        <v>48</v>
      </c>
      <c r="C372" s="51" t="s">
        <v>1786</v>
      </c>
      <c r="D372" s="51" t="s">
        <v>49</v>
      </c>
      <c r="E372" s="52">
        <v>1</v>
      </c>
      <c r="F372" s="51" t="s">
        <v>744</v>
      </c>
      <c r="G372" s="51" t="s">
        <v>1522</v>
      </c>
      <c r="H372" s="54" t="s">
        <v>746</v>
      </c>
      <c r="I372" s="52">
        <v>34</v>
      </c>
      <c r="J372" s="51" t="s">
        <v>123</v>
      </c>
      <c r="K372" s="52">
        <v>3</v>
      </c>
      <c r="L372" s="52"/>
      <c r="M372" s="52"/>
      <c r="N372" s="53" t="s">
        <v>2009</v>
      </c>
      <c r="O372" s="53" t="s">
        <v>748</v>
      </c>
      <c r="P372" s="52"/>
      <c r="Q372" s="53" t="s">
        <v>1673</v>
      </c>
      <c r="R372" s="53"/>
      <c r="S372" s="54"/>
      <c r="T372" s="55" t="s">
        <v>1825</v>
      </c>
      <c r="U372" s="55" t="s">
        <v>1896</v>
      </c>
      <c r="V372" s="55" t="s">
        <v>939</v>
      </c>
      <c r="W372" s="82" t="s">
        <v>2010</v>
      </c>
      <c r="X372" s="55" t="s">
        <v>1791</v>
      </c>
      <c r="Y372" s="65" t="s">
        <v>2011</v>
      </c>
      <c r="Z372" s="65" t="s">
        <v>2012</v>
      </c>
      <c r="AA372" s="60" t="s">
        <v>1941</v>
      </c>
    </row>
    <row r="373" spans="2:27" ht="80.25" hidden="1" customHeight="1" x14ac:dyDescent="0.35">
      <c r="B373" s="51" t="s">
        <v>48</v>
      </c>
      <c r="C373" s="51" t="s">
        <v>1786</v>
      </c>
      <c r="D373" s="51" t="s">
        <v>49</v>
      </c>
      <c r="E373" s="52">
        <v>1</v>
      </c>
      <c r="F373" s="51" t="s">
        <v>755</v>
      </c>
      <c r="G373" s="51" t="s">
        <v>756</v>
      </c>
      <c r="H373" s="54" t="s">
        <v>746</v>
      </c>
      <c r="I373" s="52">
        <v>35</v>
      </c>
      <c r="J373" s="51" t="s">
        <v>123</v>
      </c>
      <c r="K373" s="52">
        <v>3</v>
      </c>
      <c r="L373" s="52"/>
      <c r="M373" s="52"/>
      <c r="N373" s="53" t="s">
        <v>975</v>
      </c>
      <c r="O373" s="53" t="s">
        <v>758</v>
      </c>
      <c r="P373" s="52"/>
      <c r="Q373" s="53" t="s">
        <v>1980</v>
      </c>
      <c r="R373" s="53"/>
      <c r="S373" s="54"/>
      <c r="T373" s="55" t="s">
        <v>1911</v>
      </c>
      <c r="U373" s="55" t="s">
        <v>2013</v>
      </c>
      <c r="V373" s="55" t="s">
        <v>2014</v>
      </c>
      <c r="W373" s="82" t="s">
        <v>2015</v>
      </c>
      <c r="X373" s="55" t="s">
        <v>1791</v>
      </c>
      <c r="Y373" s="65" t="s">
        <v>2016</v>
      </c>
      <c r="Z373" s="53" t="s">
        <v>2017</v>
      </c>
      <c r="AA373" s="60" t="s">
        <v>2018</v>
      </c>
    </row>
    <row r="374" spans="2:27" ht="80.25" hidden="1" customHeight="1" x14ac:dyDescent="0.35">
      <c r="B374" s="51" t="s">
        <v>48</v>
      </c>
      <c r="C374" s="51" t="s">
        <v>1786</v>
      </c>
      <c r="D374" s="51" t="s">
        <v>49</v>
      </c>
      <c r="E374" s="52">
        <v>1</v>
      </c>
      <c r="F374" s="51" t="s">
        <v>765</v>
      </c>
      <c r="G374" s="51" t="s">
        <v>766</v>
      </c>
      <c r="H374" s="54" t="s">
        <v>767</v>
      </c>
      <c r="I374" s="60">
        <v>36</v>
      </c>
      <c r="J374" s="51" t="s">
        <v>250</v>
      </c>
      <c r="K374" s="52">
        <v>23</v>
      </c>
      <c r="L374" s="52">
        <v>6</v>
      </c>
      <c r="M374" s="52"/>
      <c r="N374" s="53" t="s">
        <v>2019</v>
      </c>
      <c r="O374" s="53" t="s">
        <v>769</v>
      </c>
      <c r="P374" s="52"/>
      <c r="Q374" s="54"/>
      <c r="R374" s="53"/>
      <c r="S374" s="54"/>
      <c r="T374" s="55" t="s">
        <v>1911</v>
      </c>
      <c r="U374" s="55" t="s">
        <v>2020</v>
      </c>
      <c r="V374" s="55" t="s">
        <v>2021</v>
      </c>
      <c r="W374" s="82" t="s">
        <v>2022</v>
      </c>
      <c r="X374" s="55" t="s">
        <v>1791</v>
      </c>
      <c r="Y374" s="53" t="s">
        <v>1994</v>
      </c>
      <c r="Z374" s="53" t="s">
        <v>1995</v>
      </c>
      <c r="AA374" s="60" t="s">
        <v>2023</v>
      </c>
    </row>
    <row r="375" spans="2:27" ht="80.25" hidden="1" customHeight="1" x14ac:dyDescent="0.35">
      <c r="B375" s="51" t="s">
        <v>48</v>
      </c>
      <c r="C375" s="51" t="s">
        <v>1786</v>
      </c>
      <c r="D375" s="51" t="s">
        <v>49</v>
      </c>
      <c r="E375" s="52">
        <v>1</v>
      </c>
      <c r="F375" s="51" t="s">
        <v>775</v>
      </c>
      <c r="G375" s="51" t="s">
        <v>776</v>
      </c>
      <c r="H375" s="54" t="s">
        <v>767</v>
      </c>
      <c r="I375" s="52">
        <v>37</v>
      </c>
      <c r="J375" s="51" t="s">
        <v>250</v>
      </c>
      <c r="K375" s="52">
        <v>23</v>
      </c>
      <c r="L375" s="52">
        <v>6</v>
      </c>
      <c r="M375" s="52"/>
      <c r="N375" s="53" t="s">
        <v>987</v>
      </c>
      <c r="O375" s="53" t="s">
        <v>778</v>
      </c>
      <c r="P375" s="52"/>
      <c r="Q375" s="54"/>
      <c r="R375" s="53"/>
      <c r="S375" s="54"/>
      <c r="T375" s="55" t="s">
        <v>1825</v>
      </c>
      <c r="U375" s="55" t="s">
        <v>1896</v>
      </c>
      <c r="V375" s="55" t="s">
        <v>2024</v>
      </c>
      <c r="W375" s="82" t="s">
        <v>2025</v>
      </c>
      <c r="X375" s="55" t="s">
        <v>1791</v>
      </c>
      <c r="Y375" s="53" t="s">
        <v>2011</v>
      </c>
      <c r="Z375" s="53" t="s">
        <v>2026</v>
      </c>
      <c r="AA375" s="60" t="s">
        <v>2027</v>
      </c>
    </row>
    <row r="376" spans="2:27" ht="80.25" hidden="1" customHeight="1" x14ac:dyDescent="0.35">
      <c r="B376" s="51" t="s">
        <v>48</v>
      </c>
      <c r="C376" s="51" t="s">
        <v>1786</v>
      </c>
      <c r="D376" s="51" t="s">
        <v>49</v>
      </c>
      <c r="E376" s="52">
        <v>1</v>
      </c>
      <c r="F376" s="51" t="s">
        <v>784</v>
      </c>
      <c r="G376" s="51" t="s">
        <v>785</v>
      </c>
      <c r="H376" s="54" t="s">
        <v>767</v>
      </c>
      <c r="I376" s="60">
        <v>38</v>
      </c>
      <c r="J376" s="51" t="s">
        <v>250</v>
      </c>
      <c r="K376" s="52">
        <v>23</v>
      </c>
      <c r="L376" s="52">
        <v>6</v>
      </c>
      <c r="M376" s="52"/>
      <c r="N376" s="53" t="s">
        <v>2028</v>
      </c>
      <c r="O376" s="53" t="s">
        <v>787</v>
      </c>
      <c r="P376" s="52"/>
      <c r="Q376" s="54"/>
      <c r="R376" s="55" t="s">
        <v>788</v>
      </c>
      <c r="S376" s="51" t="s">
        <v>789</v>
      </c>
      <c r="T376" s="55" t="s">
        <v>2029</v>
      </c>
      <c r="U376" s="55" t="s">
        <v>2020</v>
      </c>
      <c r="V376" s="55" t="s">
        <v>2030</v>
      </c>
      <c r="W376" s="82" t="s">
        <v>2031</v>
      </c>
      <c r="X376" s="55" t="s">
        <v>1791</v>
      </c>
      <c r="Y376" s="53" t="s">
        <v>1914</v>
      </c>
      <c r="Z376" s="65" t="s">
        <v>2032</v>
      </c>
      <c r="AA376" s="60" t="s">
        <v>2027</v>
      </c>
    </row>
    <row r="377" spans="2:27" ht="80.25" hidden="1" customHeight="1" x14ac:dyDescent="0.35">
      <c r="B377" s="51" t="s">
        <v>48</v>
      </c>
      <c r="C377" s="51" t="s">
        <v>1786</v>
      </c>
      <c r="D377" s="51" t="s">
        <v>49</v>
      </c>
      <c r="E377" s="52">
        <v>1</v>
      </c>
      <c r="F377" s="51" t="s">
        <v>2033</v>
      </c>
      <c r="G377" s="51" t="s">
        <v>2034</v>
      </c>
      <c r="H377" s="54" t="s">
        <v>240</v>
      </c>
      <c r="I377" s="52">
        <v>39</v>
      </c>
      <c r="J377" s="51" t="s">
        <v>123</v>
      </c>
      <c r="K377" s="52"/>
      <c r="L377" s="52"/>
      <c r="M377" s="52"/>
      <c r="N377" s="53" t="s">
        <v>2035</v>
      </c>
      <c r="O377" s="53" t="s">
        <v>2036</v>
      </c>
      <c r="P377" s="52"/>
      <c r="Q377" s="51"/>
      <c r="R377" s="55"/>
      <c r="S377" s="55"/>
      <c r="T377" s="55" t="s">
        <v>1870</v>
      </c>
      <c r="U377" s="55" t="s">
        <v>1892</v>
      </c>
      <c r="V377" s="55" t="s">
        <v>2037</v>
      </c>
      <c r="W377" s="82" t="s">
        <v>2038</v>
      </c>
      <c r="X377" s="55" t="s">
        <v>1791</v>
      </c>
      <c r="Y377" s="55" t="s">
        <v>1939</v>
      </c>
      <c r="Z377" s="55" t="s">
        <v>2039</v>
      </c>
      <c r="AA377" s="60" t="s">
        <v>2040</v>
      </c>
    </row>
    <row r="378" spans="2:27" ht="80.25" hidden="1" customHeight="1" x14ac:dyDescent="0.35">
      <c r="B378" s="51" t="s">
        <v>48</v>
      </c>
      <c r="C378" s="51" t="s">
        <v>1786</v>
      </c>
      <c r="D378" s="51" t="s">
        <v>49</v>
      </c>
      <c r="E378" s="52">
        <v>1</v>
      </c>
      <c r="F378" s="51" t="s">
        <v>293</v>
      </c>
      <c r="G378" s="51" t="s">
        <v>294</v>
      </c>
      <c r="H378" s="54" t="s">
        <v>295</v>
      </c>
      <c r="I378" s="52">
        <v>40</v>
      </c>
      <c r="J378" s="51" t="s">
        <v>123</v>
      </c>
      <c r="K378" s="52">
        <v>3</v>
      </c>
      <c r="L378" s="52"/>
      <c r="M378" s="52"/>
      <c r="N378" s="53" t="s">
        <v>296</v>
      </c>
      <c r="O378" s="53" t="s">
        <v>297</v>
      </c>
      <c r="P378" s="52"/>
      <c r="Q378" s="53" t="s">
        <v>2041</v>
      </c>
      <c r="R378" s="55" t="s">
        <v>299</v>
      </c>
      <c r="S378" s="51" t="s">
        <v>300</v>
      </c>
      <c r="T378" s="55" t="s">
        <v>1787</v>
      </c>
      <c r="U378" s="55" t="s">
        <v>1788</v>
      </c>
      <c r="V378" s="55" t="s">
        <v>1789</v>
      </c>
      <c r="W378" s="82" t="s">
        <v>2042</v>
      </c>
      <c r="X378" s="55" t="s">
        <v>1791</v>
      </c>
      <c r="Y378" s="65" t="s">
        <v>1878</v>
      </c>
      <c r="Z378" s="65" t="s">
        <v>2043</v>
      </c>
      <c r="AA378" s="60" t="s">
        <v>244</v>
      </c>
    </row>
    <row r="379" spans="2:27" ht="80.25" customHeight="1" x14ac:dyDescent="0.35">
      <c r="B379" s="51" t="s">
        <v>48</v>
      </c>
      <c r="C379" s="51" t="s">
        <v>1786</v>
      </c>
      <c r="D379" s="51" t="s">
        <v>49</v>
      </c>
      <c r="E379" s="52">
        <v>1</v>
      </c>
      <c r="F379" s="51" t="s">
        <v>304</v>
      </c>
      <c r="G379" s="51" t="s">
        <v>305</v>
      </c>
      <c r="H379" s="54" t="s">
        <v>295</v>
      </c>
      <c r="I379" s="52">
        <v>41</v>
      </c>
      <c r="J379" s="51" t="s">
        <v>123</v>
      </c>
      <c r="K379" s="52">
        <v>3</v>
      </c>
      <c r="L379" s="52"/>
      <c r="M379" s="52"/>
      <c r="N379" s="53" t="s">
        <v>306</v>
      </c>
      <c r="O379" s="53" t="s">
        <v>307</v>
      </c>
      <c r="P379" s="52"/>
      <c r="Q379" s="53" t="s">
        <v>2044</v>
      </c>
      <c r="R379" s="55" t="s">
        <v>203</v>
      </c>
      <c r="S379" s="51" t="s">
        <v>309</v>
      </c>
      <c r="T379" s="55" t="s">
        <v>2045</v>
      </c>
      <c r="U379" s="55" t="s">
        <v>1788</v>
      </c>
      <c r="V379" s="55" t="s">
        <v>1789</v>
      </c>
      <c r="W379" s="82" t="s">
        <v>2046</v>
      </c>
      <c r="X379" s="55" t="s">
        <v>1791</v>
      </c>
      <c r="Y379" s="53" t="s">
        <v>244</v>
      </c>
      <c r="Z379" s="53" t="s">
        <v>244</v>
      </c>
      <c r="AA379" s="60" t="s">
        <v>2047</v>
      </c>
    </row>
    <row r="380" spans="2:27" ht="80.25" hidden="1" customHeight="1" x14ac:dyDescent="0.35">
      <c r="B380" s="51" t="s">
        <v>48</v>
      </c>
      <c r="C380" s="51" t="s">
        <v>1786</v>
      </c>
      <c r="D380" s="51" t="s">
        <v>49</v>
      </c>
      <c r="E380" s="52">
        <v>1</v>
      </c>
      <c r="F380" s="51" t="s">
        <v>317</v>
      </c>
      <c r="G380" s="51" t="s">
        <v>318</v>
      </c>
      <c r="H380" s="51" t="s">
        <v>319</v>
      </c>
      <c r="I380" s="52">
        <v>42</v>
      </c>
      <c r="J380" s="51" t="s">
        <v>123</v>
      </c>
      <c r="K380" s="52">
        <v>2</v>
      </c>
      <c r="L380" s="52"/>
      <c r="M380" s="52"/>
      <c r="N380" s="53" t="s">
        <v>320</v>
      </c>
      <c r="O380" s="53" t="s">
        <v>321</v>
      </c>
      <c r="P380" s="52"/>
      <c r="Q380" s="53" t="s">
        <v>2048</v>
      </c>
      <c r="R380" s="55"/>
      <c r="S380" s="51"/>
      <c r="T380" s="55" t="s">
        <v>1870</v>
      </c>
      <c r="U380" s="55" t="s">
        <v>1892</v>
      </c>
      <c r="V380" s="55" t="s">
        <v>244</v>
      </c>
      <c r="W380" s="82" t="s">
        <v>2049</v>
      </c>
      <c r="X380" s="55" t="s">
        <v>1791</v>
      </c>
      <c r="Y380" s="53" t="s">
        <v>244</v>
      </c>
      <c r="Z380" s="53" t="s">
        <v>244</v>
      </c>
      <c r="AA380" s="60" t="s">
        <v>2050</v>
      </c>
    </row>
    <row r="381" spans="2:27" ht="80.25" hidden="1" customHeight="1" x14ac:dyDescent="0.35">
      <c r="B381" s="51" t="s">
        <v>48</v>
      </c>
      <c r="C381" s="51" t="s">
        <v>1786</v>
      </c>
      <c r="D381" s="51" t="s">
        <v>49</v>
      </c>
      <c r="E381" s="52">
        <v>1</v>
      </c>
      <c r="F381" s="51" t="s">
        <v>326</v>
      </c>
      <c r="G381" s="51" t="s">
        <v>327</v>
      </c>
      <c r="H381" s="51" t="s">
        <v>328</v>
      </c>
      <c r="I381" s="52">
        <v>43</v>
      </c>
      <c r="J381" s="51" t="s">
        <v>123</v>
      </c>
      <c r="K381" s="52">
        <v>10</v>
      </c>
      <c r="L381" s="52"/>
      <c r="M381" s="52"/>
      <c r="N381" s="53" t="s">
        <v>329</v>
      </c>
      <c r="O381" s="53" t="s">
        <v>361</v>
      </c>
      <c r="P381" s="52" t="s">
        <v>126</v>
      </c>
      <c r="Q381" s="51"/>
      <c r="R381" s="55" t="s">
        <v>275</v>
      </c>
      <c r="S381" s="51" t="s">
        <v>803</v>
      </c>
      <c r="T381" s="55" t="s">
        <v>1870</v>
      </c>
      <c r="U381" s="55" t="s">
        <v>1892</v>
      </c>
      <c r="V381" s="55" t="s">
        <v>2051</v>
      </c>
      <c r="W381" s="82" t="s">
        <v>2052</v>
      </c>
      <c r="X381" s="53" t="s">
        <v>244</v>
      </c>
      <c r="Y381" s="53" t="s">
        <v>244</v>
      </c>
      <c r="Z381" s="53" t="s">
        <v>244</v>
      </c>
      <c r="AA381" s="60" t="s">
        <v>244</v>
      </c>
    </row>
    <row r="382" spans="2:27" ht="80.25" hidden="1" customHeight="1" x14ac:dyDescent="0.35">
      <c r="B382" s="51" t="s">
        <v>48</v>
      </c>
      <c r="C382" s="51" t="s">
        <v>1786</v>
      </c>
      <c r="D382" s="51" t="s">
        <v>49</v>
      </c>
      <c r="E382" s="52">
        <v>1</v>
      </c>
      <c r="F382" s="51" t="s">
        <v>333</v>
      </c>
      <c r="G382" s="51" t="s">
        <v>334</v>
      </c>
      <c r="H382" s="51" t="s">
        <v>335</v>
      </c>
      <c r="I382" s="52">
        <v>44</v>
      </c>
      <c r="J382" s="51" t="s">
        <v>336</v>
      </c>
      <c r="K382" s="52">
        <v>23</v>
      </c>
      <c r="L382" s="52"/>
      <c r="M382" s="52"/>
      <c r="N382" s="53" t="s">
        <v>337</v>
      </c>
      <c r="O382" s="53" t="s">
        <v>338</v>
      </c>
      <c r="P382" s="52"/>
      <c r="Q382" s="51"/>
      <c r="R382" s="55"/>
      <c r="S382" s="51"/>
      <c r="T382" s="55" t="s">
        <v>1870</v>
      </c>
      <c r="U382" s="55" t="s">
        <v>1892</v>
      </c>
      <c r="V382" s="55" t="s">
        <v>244</v>
      </c>
      <c r="W382" s="82" t="s">
        <v>2053</v>
      </c>
      <c r="X382" s="53" t="s">
        <v>244</v>
      </c>
      <c r="Y382" s="53" t="s">
        <v>244</v>
      </c>
      <c r="Z382" s="53" t="s">
        <v>244</v>
      </c>
      <c r="AA382" s="60" t="s">
        <v>244</v>
      </c>
    </row>
    <row r="383" spans="2:27" ht="80.25" hidden="1" customHeight="1" x14ac:dyDescent="0.35">
      <c r="B383" s="51" t="s">
        <v>48</v>
      </c>
      <c r="C383" s="51" t="s">
        <v>2054</v>
      </c>
      <c r="D383" s="51" t="s">
        <v>51</v>
      </c>
      <c r="E383" s="52">
        <v>2</v>
      </c>
      <c r="F383" s="51" t="s">
        <v>120</v>
      </c>
      <c r="G383" s="51" t="s">
        <v>121</v>
      </c>
      <c r="H383" s="51" t="s">
        <v>122</v>
      </c>
      <c r="I383" s="52">
        <v>1</v>
      </c>
      <c r="J383" s="51" t="s">
        <v>123</v>
      </c>
      <c r="K383" s="52">
        <v>4</v>
      </c>
      <c r="L383" s="52"/>
      <c r="M383" s="52"/>
      <c r="N383" s="328" t="s">
        <v>124</v>
      </c>
      <c r="O383" s="53" t="s">
        <v>125</v>
      </c>
      <c r="P383" s="52" t="s">
        <v>126</v>
      </c>
      <c r="Q383" s="51"/>
      <c r="R383" s="55"/>
      <c r="S383" s="51"/>
      <c r="T383" s="117" t="s">
        <v>2055</v>
      </c>
      <c r="U383" s="55" t="s">
        <v>2056</v>
      </c>
      <c r="V383" s="55" t="s">
        <v>2057</v>
      </c>
      <c r="W383" s="55" t="s">
        <v>2058</v>
      </c>
      <c r="X383" s="51" t="s">
        <v>2059</v>
      </c>
      <c r="Y383" s="54" t="s">
        <v>372</v>
      </c>
      <c r="Z383" s="54" t="s">
        <v>372</v>
      </c>
      <c r="AA383" s="52" t="s">
        <v>2060</v>
      </c>
    </row>
    <row r="384" spans="2:27" ht="80.25" hidden="1" customHeight="1" x14ac:dyDescent="0.35">
      <c r="B384" s="51" t="s">
        <v>48</v>
      </c>
      <c r="C384" s="51" t="s">
        <v>2054</v>
      </c>
      <c r="D384" s="51" t="s">
        <v>51</v>
      </c>
      <c r="E384" s="52">
        <v>2</v>
      </c>
      <c r="F384" s="51" t="s">
        <v>574</v>
      </c>
      <c r="G384" s="51" t="s">
        <v>575</v>
      </c>
      <c r="H384" s="51" t="s">
        <v>122</v>
      </c>
      <c r="I384" s="52">
        <v>2</v>
      </c>
      <c r="J384" s="51" t="s">
        <v>123</v>
      </c>
      <c r="K384" s="52">
        <v>15</v>
      </c>
      <c r="L384" s="52"/>
      <c r="M384" s="52"/>
      <c r="N384" s="53" t="s">
        <v>2061</v>
      </c>
      <c r="O384" s="53" t="s">
        <v>577</v>
      </c>
      <c r="P384" s="52" t="s">
        <v>126</v>
      </c>
      <c r="Q384" s="51"/>
      <c r="R384" s="55"/>
      <c r="S384" s="51"/>
      <c r="T384" s="176" t="s">
        <v>2062</v>
      </c>
      <c r="U384" s="51" t="s">
        <v>2063</v>
      </c>
      <c r="V384" s="51" t="s">
        <v>2064</v>
      </c>
      <c r="W384" s="55" t="s">
        <v>2065</v>
      </c>
      <c r="X384" s="51" t="s">
        <v>2059</v>
      </c>
      <c r="Y384" s="54" t="s">
        <v>2063</v>
      </c>
      <c r="Z384" s="78" t="s">
        <v>2066</v>
      </c>
      <c r="AA384" s="52" t="s">
        <v>372</v>
      </c>
    </row>
    <row r="385" spans="2:27" ht="80.25" hidden="1" customHeight="1" x14ac:dyDescent="0.35">
      <c r="B385" s="51" t="s">
        <v>48</v>
      </c>
      <c r="C385" s="51" t="s">
        <v>2054</v>
      </c>
      <c r="D385" s="51" t="s">
        <v>51</v>
      </c>
      <c r="E385" s="52">
        <v>2</v>
      </c>
      <c r="F385" s="51" t="s">
        <v>176</v>
      </c>
      <c r="G385" s="51" t="s">
        <v>177</v>
      </c>
      <c r="H385" s="54" t="s">
        <v>150</v>
      </c>
      <c r="I385" s="52">
        <v>3</v>
      </c>
      <c r="J385" s="51" t="s">
        <v>123</v>
      </c>
      <c r="K385" s="52">
        <v>4</v>
      </c>
      <c r="L385" s="52"/>
      <c r="M385" s="52"/>
      <c r="N385" s="53" t="s">
        <v>2067</v>
      </c>
      <c r="O385" s="53" t="s">
        <v>179</v>
      </c>
      <c r="P385" s="52"/>
      <c r="Q385" s="54"/>
      <c r="R385" s="55"/>
      <c r="S385" s="51"/>
      <c r="T385" s="117" t="s">
        <v>2055</v>
      </c>
      <c r="U385" s="55" t="s">
        <v>2056</v>
      </c>
      <c r="V385" s="55" t="s">
        <v>2057</v>
      </c>
      <c r="W385" s="55" t="s">
        <v>2068</v>
      </c>
      <c r="X385" s="51" t="s">
        <v>2059</v>
      </c>
      <c r="Y385" s="69" t="s">
        <v>647</v>
      </c>
      <c r="Z385" s="69" t="s">
        <v>647</v>
      </c>
      <c r="AA385" s="52" t="s">
        <v>2069</v>
      </c>
    </row>
    <row r="386" spans="2:27" ht="80.25" hidden="1" customHeight="1" x14ac:dyDescent="0.35">
      <c r="B386" s="51" t="s">
        <v>48</v>
      </c>
      <c r="C386" s="51" t="s">
        <v>2054</v>
      </c>
      <c r="D386" s="51" t="s">
        <v>51</v>
      </c>
      <c r="E386" s="52">
        <v>2</v>
      </c>
      <c r="F386" s="51" t="s">
        <v>187</v>
      </c>
      <c r="G386" s="51" t="s">
        <v>188</v>
      </c>
      <c r="H386" s="54" t="s">
        <v>150</v>
      </c>
      <c r="I386" s="52">
        <v>4</v>
      </c>
      <c r="J386" s="51" t="s">
        <v>123</v>
      </c>
      <c r="K386" s="52">
        <v>30</v>
      </c>
      <c r="L386" s="52"/>
      <c r="M386" s="52"/>
      <c r="N386" s="53" t="s">
        <v>2070</v>
      </c>
      <c r="O386" s="53" t="s">
        <v>190</v>
      </c>
      <c r="P386" s="52"/>
      <c r="Q386" s="54"/>
      <c r="R386" s="55"/>
      <c r="S386" s="51"/>
      <c r="T386" s="117" t="s">
        <v>2071</v>
      </c>
      <c r="U386" s="55" t="s">
        <v>2072</v>
      </c>
      <c r="V386" s="55" t="s">
        <v>2073</v>
      </c>
      <c r="W386" s="55" t="s">
        <v>2074</v>
      </c>
      <c r="X386" s="51" t="s">
        <v>2059</v>
      </c>
      <c r="Y386" s="54" t="s">
        <v>2075</v>
      </c>
      <c r="Z386" s="65" t="s">
        <v>2076</v>
      </c>
      <c r="AA386" s="52" t="s">
        <v>2077</v>
      </c>
    </row>
    <row r="387" spans="2:27" ht="80.25" hidden="1" customHeight="1" x14ac:dyDescent="0.35">
      <c r="B387" s="51" t="s">
        <v>48</v>
      </c>
      <c r="C387" s="51" t="s">
        <v>2054</v>
      </c>
      <c r="D387" s="51" t="s">
        <v>51</v>
      </c>
      <c r="E387" s="52">
        <v>2</v>
      </c>
      <c r="F387" s="51" t="s">
        <v>1832</v>
      </c>
      <c r="G387" s="51" t="s">
        <v>1833</v>
      </c>
      <c r="H387" s="54" t="s">
        <v>150</v>
      </c>
      <c r="I387" s="52">
        <v>5</v>
      </c>
      <c r="J387" s="51" t="s">
        <v>123</v>
      </c>
      <c r="K387" s="52">
        <v>34</v>
      </c>
      <c r="L387" s="52"/>
      <c r="M387" s="52"/>
      <c r="N387" s="53" t="s">
        <v>1834</v>
      </c>
      <c r="O387" s="53" t="s">
        <v>1835</v>
      </c>
      <c r="P387" s="52"/>
      <c r="Q387" s="54"/>
      <c r="R387" s="53"/>
      <c r="S387" s="54"/>
      <c r="T387" s="117" t="s">
        <v>2071</v>
      </c>
      <c r="U387" s="55" t="s">
        <v>2072</v>
      </c>
      <c r="V387" s="55" t="s">
        <v>2073</v>
      </c>
      <c r="W387" s="55" t="s">
        <v>2078</v>
      </c>
      <c r="X387" s="51" t="s">
        <v>2059</v>
      </c>
      <c r="Y387" s="54" t="s">
        <v>2079</v>
      </c>
      <c r="Z387" s="54" t="s">
        <v>2080</v>
      </c>
      <c r="AA387" s="52" t="s">
        <v>372</v>
      </c>
    </row>
    <row r="388" spans="2:27" ht="80.25" hidden="1" customHeight="1" x14ac:dyDescent="0.35">
      <c r="B388" s="51" t="s">
        <v>48</v>
      </c>
      <c r="C388" s="51" t="s">
        <v>2054</v>
      </c>
      <c r="D388" s="51" t="s">
        <v>51</v>
      </c>
      <c r="E388" s="52">
        <v>2</v>
      </c>
      <c r="F388" s="51" t="s">
        <v>1841</v>
      </c>
      <c r="G388" s="51" t="s">
        <v>1842</v>
      </c>
      <c r="H388" s="54" t="s">
        <v>150</v>
      </c>
      <c r="I388" s="52">
        <v>6</v>
      </c>
      <c r="J388" s="51" t="s">
        <v>123</v>
      </c>
      <c r="K388" s="52">
        <v>4</v>
      </c>
      <c r="L388" s="52"/>
      <c r="M388" s="52"/>
      <c r="N388" s="53" t="s">
        <v>2081</v>
      </c>
      <c r="O388" s="53" t="s">
        <v>2082</v>
      </c>
      <c r="P388" s="52"/>
      <c r="Q388" s="54"/>
      <c r="R388" s="55"/>
      <c r="S388" s="51"/>
      <c r="T388" s="117" t="s">
        <v>2055</v>
      </c>
      <c r="U388" s="55" t="s">
        <v>2056</v>
      </c>
      <c r="V388" s="55" t="s">
        <v>2057</v>
      </c>
      <c r="W388" s="55" t="s">
        <v>2083</v>
      </c>
      <c r="X388" s="51" t="s">
        <v>2059</v>
      </c>
      <c r="Y388" s="69" t="s">
        <v>647</v>
      </c>
      <c r="Z388" s="69" t="s">
        <v>647</v>
      </c>
      <c r="AA388" s="52" t="s">
        <v>2069</v>
      </c>
    </row>
    <row r="389" spans="2:27" ht="80.25" hidden="1" customHeight="1" x14ac:dyDescent="0.35">
      <c r="B389" s="51" t="s">
        <v>48</v>
      </c>
      <c r="C389" s="51" t="s">
        <v>2054</v>
      </c>
      <c r="D389" s="51" t="s">
        <v>51</v>
      </c>
      <c r="E389" s="52">
        <v>2</v>
      </c>
      <c r="F389" s="51" t="s">
        <v>1850</v>
      </c>
      <c r="G389" s="51" t="s">
        <v>1851</v>
      </c>
      <c r="H389" s="54" t="s">
        <v>150</v>
      </c>
      <c r="I389" s="52">
        <v>7</v>
      </c>
      <c r="J389" s="51" t="s">
        <v>123</v>
      </c>
      <c r="K389" s="52">
        <v>30</v>
      </c>
      <c r="L389" s="52"/>
      <c r="M389" s="52"/>
      <c r="N389" s="53" t="s">
        <v>2084</v>
      </c>
      <c r="O389" s="53" t="s">
        <v>1844</v>
      </c>
      <c r="P389" s="52"/>
      <c r="Q389" s="54"/>
      <c r="R389" s="55"/>
      <c r="S389" s="51"/>
      <c r="T389" s="117" t="s">
        <v>2071</v>
      </c>
      <c r="U389" s="55" t="s">
        <v>2072</v>
      </c>
      <c r="V389" s="55" t="s">
        <v>2085</v>
      </c>
      <c r="W389" s="55" t="s">
        <v>2086</v>
      </c>
      <c r="X389" s="51" t="s">
        <v>2059</v>
      </c>
      <c r="Y389" s="54" t="s">
        <v>2079</v>
      </c>
      <c r="Z389" s="78" t="s">
        <v>2087</v>
      </c>
      <c r="AA389" s="52" t="s">
        <v>2077</v>
      </c>
    </row>
    <row r="390" spans="2:27" ht="80.25" hidden="1" customHeight="1" x14ac:dyDescent="0.35">
      <c r="B390" s="51" t="s">
        <v>48</v>
      </c>
      <c r="C390" s="51" t="s">
        <v>2054</v>
      </c>
      <c r="D390" s="51" t="s">
        <v>51</v>
      </c>
      <c r="E390" s="52">
        <v>2</v>
      </c>
      <c r="F390" s="51" t="s">
        <v>1859</v>
      </c>
      <c r="G390" s="51" t="s">
        <v>1860</v>
      </c>
      <c r="H390" s="54" t="s">
        <v>150</v>
      </c>
      <c r="I390" s="52">
        <v>8</v>
      </c>
      <c r="J390" s="51" t="s">
        <v>123</v>
      </c>
      <c r="K390" s="52">
        <v>34</v>
      </c>
      <c r="L390" s="52"/>
      <c r="M390" s="52"/>
      <c r="N390" s="53" t="s">
        <v>1861</v>
      </c>
      <c r="O390" s="53" t="s">
        <v>1862</v>
      </c>
      <c r="P390" s="52"/>
      <c r="Q390" s="54"/>
      <c r="R390" s="53"/>
      <c r="S390" s="54"/>
      <c r="T390" s="117" t="s">
        <v>2071</v>
      </c>
      <c r="U390" s="55" t="s">
        <v>2072</v>
      </c>
      <c r="V390" s="55" t="s">
        <v>2085</v>
      </c>
      <c r="W390" s="55" t="s">
        <v>2088</v>
      </c>
      <c r="X390" s="51" t="s">
        <v>2059</v>
      </c>
      <c r="Y390" s="54" t="s">
        <v>2079</v>
      </c>
      <c r="Z390" s="78" t="s">
        <v>2089</v>
      </c>
      <c r="AA390" s="52" t="s">
        <v>2090</v>
      </c>
    </row>
    <row r="391" spans="2:27" ht="80.25" hidden="1" customHeight="1" x14ac:dyDescent="0.35">
      <c r="B391" s="51" t="s">
        <v>48</v>
      </c>
      <c r="C391" s="51" t="s">
        <v>2054</v>
      </c>
      <c r="D391" s="51" t="s">
        <v>51</v>
      </c>
      <c r="E391" s="52">
        <v>2</v>
      </c>
      <c r="F391" s="51" t="s">
        <v>198</v>
      </c>
      <c r="G391" s="51" t="s">
        <v>199</v>
      </c>
      <c r="H391" s="54" t="s">
        <v>2091</v>
      </c>
      <c r="I391" s="52">
        <v>9</v>
      </c>
      <c r="J391" s="51" t="s">
        <v>123</v>
      </c>
      <c r="K391" s="52">
        <v>10</v>
      </c>
      <c r="L391" s="52"/>
      <c r="M391" s="52"/>
      <c r="N391" s="53" t="s">
        <v>2092</v>
      </c>
      <c r="O391" s="53" t="s">
        <v>202</v>
      </c>
      <c r="P391" s="52"/>
      <c r="Q391" s="54"/>
      <c r="R391" s="55"/>
      <c r="S391" s="51"/>
      <c r="T391" s="55" t="s">
        <v>2062</v>
      </c>
      <c r="U391" s="51" t="s">
        <v>2063</v>
      </c>
      <c r="V391" s="51" t="s">
        <v>2093</v>
      </c>
      <c r="W391" s="55" t="s">
        <v>2094</v>
      </c>
      <c r="X391" s="51" t="s">
        <v>2059</v>
      </c>
      <c r="Y391" s="54" t="s">
        <v>2063</v>
      </c>
      <c r="Z391" s="54" t="s">
        <v>2095</v>
      </c>
      <c r="AA391" s="52" t="s">
        <v>372</v>
      </c>
    </row>
    <row r="392" spans="2:27" ht="80.25" hidden="1" customHeight="1" x14ac:dyDescent="0.35">
      <c r="B392" s="51" t="s">
        <v>48</v>
      </c>
      <c r="C392" s="51" t="s">
        <v>2054</v>
      </c>
      <c r="D392" s="51" t="s">
        <v>51</v>
      </c>
      <c r="E392" s="52">
        <v>2</v>
      </c>
      <c r="F392" s="51" t="s">
        <v>210</v>
      </c>
      <c r="G392" s="51" t="s">
        <v>211</v>
      </c>
      <c r="H392" s="54" t="s">
        <v>200</v>
      </c>
      <c r="I392" s="52">
        <v>10</v>
      </c>
      <c r="J392" s="51" t="s">
        <v>123</v>
      </c>
      <c r="K392" s="52">
        <v>10</v>
      </c>
      <c r="L392" s="52"/>
      <c r="M392" s="52"/>
      <c r="N392" s="53" t="s">
        <v>2096</v>
      </c>
      <c r="O392" s="53" t="s">
        <v>213</v>
      </c>
      <c r="P392" s="52"/>
      <c r="Q392" s="51"/>
      <c r="R392" s="55"/>
      <c r="S392" s="51"/>
      <c r="T392" s="55" t="s">
        <v>2062</v>
      </c>
      <c r="U392" s="51" t="s">
        <v>2063</v>
      </c>
      <c r="V392" s="51" t="s">
        <v>2097</v>
      </c>
      <c r="W392" s="55" t="s">
        <v>2098</v>
      </c>
      <c r="X392" s="51" t="s">
        <v>2059</v>
      </c>
      <c r="Y392" s="54" t="s">
        <v>2063</v>
      </c>
      <c r="Z392" s="54" t="s">
        <v>2099</v>
      </c>
      <c r="AA392" s="52" t="s">
        <v>372</v>
      </c>
    </row>
    <row r="393" spans="2:27" ht="80.25" hidden="1" customHeight="1" x14ac:dyDescent="0.35">
      <c r="B393" s="51" t="s">
        <v>48</v>
      </c>
      <c r="C393" s="51" t="s">
        <v>2054</v>
      </c>
      <c r="D393" s="51" t="s">
        <v>51</v>
      </c>
      <c r="E393" s="52">
        <v>2</v>
      </c>
      <c r="F393" s="51" t="s">
        <v>222</v>
      </c>
      <c r="G393" s="51" t="s">
        <v>223</v>
      </c>
      <c r="H393" s="54" t="s">
        <v>224</v>
      </c>
      <c r="I393" s="52">
        <v>11</v>
      </c>
      <c r="J393" s="51" t="s">
        <v>123</v>
      </c>
      <c r="K393" s="52">
        <v>4</v>
      </c>
      <c r="L393" s="52"/>
      <c r="M393" s="52"/>
      <c r="N393" s="53" t="s">
        <v>2100</v>
      </c>
      <c r="O393" s="53" t="s">
        <v>226</v>
      </c>
      <c r="P393" s="52"/>
      <c r="Q393" s="55" t="s">
        <v>2101</v>
      </c>
      <c r="R393" s="55"/>
      <c r="S393" s="51"/>
      <c r="T393" s="117" t="s">
        <v>2071</v>
      </c>
      <c r="U393" s="55" t="s">
        <v>2072</v>
      </c>
      <c r="V393" s="55" t="s">
        <v>2102</v>
      </c>
      <c r="W393" s="55" t="s">
        <v>2103</v>
      </c>
      <c r="X393" s="51" t="s">
        <v>2059</v>
      </c>
      <c r="Y393" s="54" t="s">
        <v>2104</v>
      </c>
      <c r="Z393" s="54" t="s">
        <v>2105</v>
      </c>
      <c r="AA393" s="52" t="s">
        <v>372</v>
      </c>
    </row>
    <row r="394" spans="2:27" ht="80.25" hidden="1" customHeight="1" x14ac:dyDescent="0.35">
      <c r="B394" s="51" t="s">
        <v>48</v>
      </c>
      <c r="C394" s="51" t="s">
        <v>2054</v>
      </c>
      <c r="D394" s="51" t="s">
        <v>51</v>
      </c>
      <c r="E394" s="52">
        <v>2</v>
      </c>
      <c r="F394" s="51" t="s">
        <v>247</v>
      </c>
      <c r="G394" s="51" t="s">
        <v>248</v>
      </c>
      <c r="H394" s="51" t="s">
        <v>249</v>
      </c>
      <c r="I394" s="52">
        <v>12</v>
      </c>
      <c r="J394" s="51" t="s">
        <v>250</v>
      </c>
      <c r="K394" s="52">
        <v>23</v>
      </c>
      <c r="L394" s="52">
        <v>6</v>
      </c>
      <c r="M394" s="52"/>
      <c r="N394" s="53" t="s">
        <v>2106</v>
      </c>
      <c r="O394" s="53" t="s">
        <v>252</v>
      </c>
      <c r="P394" s="52"/>
      <c r="Q394" s="54"/>
      <c r="R394" s="55"/>
      <c r="S394" s="51"/>
      <c r="T394" s="117" t="s">
        <v>2107</v>
      </c>
      <c r="U394" s="55" t="s">
        <v>2108</v>
      </c>
      <c r="V394" s="55" t="s">
        <v>2109</v>
      </c>
      <c r="W394" s="55" t="s">
        <v>2110</v>
      </c>
      <c r="X394" s="51" t="s">
        <v>2059</v>
      </c>
      <c r="Y394" s="53" t="s">
        <v>2111</v>
      </c>
      <c r="Z394" s="53" t="s">
        <v>2112</v>
      </c>
      <c r="AA394" s="52" t="s">
        <v>647</v>
      </c>
    </row>
    <row r="395" spans="2:27" ht="80.25" hidden="1" customHeight="1" x14ac:dyDescent="0.35">
      <c r="B395" s="51" t="s">
        <v>48</v>
      </c>
      <c r="C395" s="51" t="s">
        <v>2054</v>
      </c>
      <c r="D395" s="51" t="s">
        <v>51</v>
      </c>
      <c r="E395" s="52">
        <v>2</v>
      </c>
      <c r="F395" s="51" t="s">
        <v>260</v>
      </c>
      <c r="G395" s="51" t="s">
        <v>261</v>
      </c>
      <c r="H395" s="51" t="s">
        <v>249</v>
      </c>
      <c r="I395" s="52">
        <v>13</v>
      </c>
      <c r="J395" s="51" t="s">
        <v>250</v>
      </c>
      <c r="K395" s="52">
        <v>23</v>
      </c>
      <c r="L395" s="52">
        <v>6</v>
      </c>
      <c r="M395" s="52"/>
      <c r="N395" s="53" t="s">
        <v>2113</v>
      </c>
      <c r="O395" s="53" t="s">
        <v>263</v>
      </c>
      <c r="P395" s="52"/>
      <c r="Q395" s="54"/>
      <c r="R395" s="55" t="s">
        <v>203</v>
      </c>
      <c r="S395" s="51" t="s">
        <v>253</v>
      </c>
      <c r="T395" s="117" t="s">
        <v>2071</v>
      </c>
      <c r="U395" s="55" t="s">
        <v>2072</v>
      </c>
      <c r="V395" s="55" t="s">
        <v>2114</v>
      </c>
      <c r="W395" s="55" t="s">
        <v>2115</v>
      </c>
      <c r="X395" s="51" t="s">
        <v>2059</v>
      </c>
      <c r="Y395" s="53" t="s">
        <v>2079</v>
      </c>
      <c r="Z395" s="53" t="s">
        <v>2116</v>
      </c>
      <c r="AA395" s="52" t="s">
        <v>372</v>
      </c>
    </row>
    <row r="396" spans="2:27" ht="80.25" hidden="1" customHeight="1" x14ac:dyDescent="0.35">
      <c r="B396" s="51" t="s">
        <v>48</v>
      </c>
      <c r="C396" s="51" t="s">
        <v>2054</v>
      </c>
      <c r="D396" s="51" t="s">
        <v>51</v>
      </c>
      <c r="E396" s="52">
        <v>2</v>
      </c>
      <c r="F396" s="51" t="s">
        <v>657</v>
      </c>
      <c r="G396" s="51" t="s">
        <v>658</v>
      </c>
      <c r="H396" s="54" t="s">
        <v>295</v>
      </c>
      <c r="I396" s="52">
        <v>14</v>
      </c>
      <c r="J396" s="51" t="s">
        <v>123</v>
      </c>
      <c r="K396" s="52">
        <v>4</v>
      </c>
      <c r="L396" s="52"/>
      <c r="M396" s="52"/>
      <c r="N396" s="53" t="s">
        <v>659</v>
      </c>
      <c r="O396" s="53" t="s">
        <v>660</v>
      </c>
      <c r="P396" s="52"/>
      <c r="Q396" s="53" t="s">
        <v>2117</v>
      </c>
      <c r="R396" s="53"/>
      <c r="S396" s="54"/>
      <c r="T396" s="55" t="s">
        <v>2055</v>
      </c>
      <c r="U396" s="55" t="s">
        <v>2056</v>
      </c>
      <c r="V396" s="55" t="s">
        <v>2057</v>
      </c>
      <c r="W396" s="55" t="s">
        <v>2118</v>
      </c>
      <c r="X396" s="51" t="s">
        <v>2059</v>
      </c>
      <c r="Y396" s="54" t="s">
        <v>2063</v>
      </c>
      <c r="Z396" s="54" t="s">
        <v>2119</v>
      </c>
      <c r="AA396" s="52" t="s">
        <v>372</v>
      </c>
    </row>
    <row r="397" spans="2:27" ht="80.25" customHeight="1" x14ac:dyDescent="0.35">
      <c r="B397" s="51" t="s">
        <v>48</v>
      </c>
      <c r="C397" s="51" t="s">
        <v>2054</v>
      </c>
      <c r="D397" s="51" t="s">
        <v>51</v>
      </c>
      <c r="E397" s="52">
        <v>2</v>
      </c>
      <c r="F397" s="51" t="s">
        <v>666</v>
      </c>
      <c r="G397" s="51" t="s">
        <v>667</v>
      </c>
      <c r="H397" s="54" t="s">
        <v>295</v>
      </c>
      <c r="I397" s="52">
        <v>15</v>
      </c>
      <c r="J397" s="51" t="s">
        <v>123</v>
      </c>
      <c r="K397" s="52">
        <v>4</v>
      </c>
      <c r="L397" s="52"/>
      <c r="M397" s="52"/>
      <c r="N397" s="53" t="s">
        <v>668</v>
      </c>
      <c r="O397" s="53" t="s">
        <v>669</v>
      </c>
      <c r="P397" s="52"/>
      <c r="Q397" s="55" t="s">
        <v>670</v>
      </c>
      <c r="R397" s="63"/>
      <c r="S397" s="61"/>
      <c r="T397" s="55" t="s">
        <v>2055</v>
      </c>
      <c r="U397" s="55" t="s">
        <v>2056</v>
      </c>
      <c r="V397" s="55" t="s">
        <v>2057</v>
      </c>
      <c r="W397" s="55" t="s">
        <v>2120</v>
      </c>
      <c r="X397" s="51" t="s">
        <v>2059</v>
      </c>
      <c r="Y397" s="54" t="s">
        <v>372</v>
      </c>
      <c r="Z397" s="54" t="s">
        <v>372</v>
      </c>
      <c r="AA397" s="52" t="s">
        <v>462</v>
      </c>
    </row>
    <row r="398" spans="2:27" ht="80.25" hidden="1" customHeight="1" x14ac:dyDescent="0.35">
      <c r="B398" s="51" t="s">
        <v>48</v>
      </c>
      <c r="C398" s="51" t="s">
        <v>2054</v>
      </c>
      <c r="D398" s="51" t="s">
        <v>51</v>
      </c>
      <c r="E398" s="52">
        <v>2</v>
      </c>
      <c r="F398" s="51" t="s">
        <v>326</v>
      </c>
      <c r="G398" s="51" t="s">
        <v>327</v>
      </c>
      <c r="H398" s="51" t="s">
        <v>328</v>
      </c>
      <c r="I398" s="52">
        <v>16</v>
      </c>
      <c r="J398" s="51" t="s">
        <v>123</v>
      </c>
      <c r="K398" s="52">
        <v>10</v>
      </c>
      <c r="L398" s="52"/>
      <c r="M398" s="52"/>
      <c r="N398" s="53" t="s">
        <v>329</v>
      </c>
      <c r="O398" s="53" t="s">
        <v>361</v>
      </c>
      <c r="P398" s="52" t="s">
        <v>126</v>
      </c>
      <c r="Q398" s="51"/>
      <c r="R398" s="55"/>
      <c r="S398" s="51"/>
      <c r="T398" s="55" t="s">
        <v>2062</v>
      </c>
      <c r="U398" s="51" t="s">
        <v>2063</v>
      </c>
      <c r="V398" s="51" t="s">
        <v>678</v>
      </c>
      <c r="W398" s="55" t="s">
        <v>2121</v>
      </c>
      <c r="X398" s="51" t="s">
        <v>372</v>
      </c>
      <c r="Y398" s="54" t="s">
        <v>372</v>
      </c>
      <c r="Z398" s="54" t="s">
        <v>372</v>
      </c>
      <c r="AA398" s="52" t="s">
        <v>372</v>
      </c>
    </row>
    <row r="399" spans="2:27" ht="80.25" hidden="1" customHeight="1" x14ac:dyDescent="0.35">
      <c r="B399" s="51" t="s">
        <v>48</v>
      </c>
      <c r="C399" s="51" t="s">
        <v>2054</v>
      </c>
      <c r="D399" s="51" t="s">
        <v>51</v>
      </c>
      <c r="E399" s="52">
        <v>2</v>
      </c>
      <c r="F399" s="51" t="s">
        <v>333</v>
      </c>
      <c r="G399" s="51" t="s">
        <v>334</v>
      </c>
      <c r="H399" s="51" t="s">
        <v>335</v>
      </c>
      <c r="I399" s="52">
        <v>17</v>
      </c>
      <c r="J399" s="51" t="s">
        <v>336</v>
      </c>
      <c r="K399" s="52">
        <v>23</v>
      </c>
      <c r="L399" s="52"/>
      <c r="M399" s="52"/>
      <c r="N399" s="53" t="s">
        <v>337</v>
      </c>
      <c r="O399" s="53" t="s">
        <v>338</v>
      </c>
      <c r="P399" s="52"/>
      <c r="Q399" s="51"/>
      <c r="R399" s="55"/>
      <c r="S399" s="51"/>
      <c r="T399" s="55" t="s">
        <v>2062</v>
      </c>
      <c r="U399" s="51" t="s">
        <v>2063</v>
      </c>
      <c r="V399" s="51" t="s">
        <v>372</v>
      </c>
      <c r="W399" s="55" t="s">
        <v>2122</v>
      </c>
      <c r="X399" s="51" t="s">
        <v>372</v>
      </c>
      <c r="Y399" s="54" t="s">
        <v>372</v>
      </c>
      <c r="Z399" s="54" t="s">
        <v>372</v>
      </c>
      <c r="AA399" s="52" t="s">
        <v>372</v>
      </c>
    </row>
    <row r="400" spans="2:27" ht="80.25" hidden="1" customHeight="1" x14ac:dyDescent="0.35">
      <c r="B400" s="62" t="s">
        <v>48</v>
      </c>
      <c r="C400" s="62" t="s">
        <v>2123</v>
      </c>
      <c r="D400" s="62" t="s">
        <v>2124</v>
      </c>
      <c r="E400" s="325">
        <v>0</v>
      </c>
      <c r="F400" s="51" t="s">
        <v>120</v>
      </c>
      <c r="G400" s="51" t="s">
        <v>121</v>
      </c>
      <c r="H400" s="79"/>
      <c r="I400" s="325">
        <v>1</v>
      </c>
      <c r="J400" s="62"/>
      <c r="K400" s="325"/>
      <c r="L400" s="325"/>
      <c r="M400" s="325"/>
      <c r="N400" s="90"/>
      <c r="O400" s="53" t="s">
        <v>125</v>
      </c>
      <c r="P400" s="325" t="s">
        <v>126</v>
      </c>
      <c r="Q400" s="62"/>
      <c r="R400" s="175"/>
      <c r="S400" s="79"/>
      <c r="T400" s="90" t="s">
        <v>2125</v>
      </c>
      <c r="U400" s="90" t="s">
        <v>2126</v>
      </c>
      <c r="V400" s="90" t="s">
        <v>323</v>
      </c>
      <c r="W400" s="321" t="s">
        <v>2127</v>
      </c>
      <c r="X400" s="175" t="s">
        <v>2128</v>
      </c>
      <c r="Y400" s="62"/>
      <c r="Z400" s="62"/>
      <c r="AA400" s="325"/>
    </row>
    <row r="401" spans="2:27" ht="80.25" hidden="1" customHeight="1" x14ac:dyDescent="0.35">
      <c r="B401" s="62" t="s">
        <v>48</v>
      </c>
      <c r="C401" s="62" t="s">
        <v>2123</v>
      </c>
      <c r="D401" s="62" t="s">
        <v>2124</v>
      </c>
      <c r="E401" s="325">
        <v>0</v>
      </c>
      <c r="F401" s="62" t="s">
        <v>136</v>
      </c>
      <c r="G401" s="62" t="s">
        <v>137</v>
      </c>
      <c r="H401" s="79"/>
      <c r="I401" s="325">
        <v>2</v>
      </c>
      <c r="J401" s="62"/>
      <c r="K401" s="325"/>
      <c r="L401" s="325"/>
      <c r="M401" s="325"/>
      <c r="N401" s="90"/>
      <c r="O401" s="53" t="s">
        <v>139</v>
      </c>
      <c r="P401" s="325" t="s">
        <v>126</v>
      </c>
      <c r="Q401" s="62"/>
      <c r="R401" s="175"/>
      <c r="S401" s="79"/>
      <c r="T401" s="90" t="s">
        <v>2125</v>
      </c>
      <c r="U401" s="90" t="s">
        <v>2126</v>
      </c>
      <c r="V401" s="90" t="s">
        <v>2129</v>
      </c>
      <c r="W401" s="321" t="s">
        <v>2130</v>
      </c>
      <c r="X401" s="175" t="s">
        <v>2128</v>
      </c>
      <c r="Y401" s="62"/>
      <c r="Z401" s="62"/>
      <c r="AA401" s="325"/>
    </row>
    <row r="402" spans="2:27" ht="80.25" hidden="1" customHeight="1" x14ac:dyDescent="0.35">
      <c r="B402" s="62" t="s">
        <v>48</v>
      </c>
      <c r="C402" s="62" t="s">
        <v>2123</v>
      </c>
      <c r="D402" s="62" t="s">
        <v>2124</v>
      </c>
      <c r="E402" s="325">
        <v>0</v>
      </c>
      <c r="F402" s="62" t="s">
        <v>352</v>
      </c>
      <c r="G402" s="62" t="s">
        <v>353</v>
      </c>
      <c r="H402" s="332" t="s">
        <v>240</v>
      </c>
      <c r="I402" s="325">
        <v>3</v>
      </c>
      <c r="J402" s="330" t="s">
        <v>123</v>
      </c>
      <c r="K402" s="325"/>
      <c r="L402" s="325"/>
      <c r="M402" s="325"/>
      <c r="N402" s="87" t="s">
        <v>354</v>
      </c>
      <c r="O402" s="53" t="s">
        <v>355</v>
      </c>
      <c r="P402" s="325"/>
      <c r="Q402" s="62"/>
      <c r="R402" s="175"/>
      <c r="S402" s="79"/>
      <c r="T402" s="90" t="s">
        <v>2125</v>
      </c>
      <c r="U402" s="90" t="s">
        <v>2126</v>
      </c>
      <c r="V402" s="90" t="s">
        <v>939</v>
      </c>
      <c r="W402" s="321" t="s">
        <v>2131</v>
      </c>
      <c r="X402" s="175" t="s">
        <v>2128</v>
      </c>
      <c r="Y402" s="62"/>
      <c r="Z402" s="62"/>
      <c r="AA402" s="325"/>
    </row>
    <row r="403" spans="2:27" ht="80.25" hidden="1" customHeight="1" x14ac:dyDescent="0.35">
      <c r="B403" s="62" t="s">
        <v>48</v>
      </c>
      <c r="C403" s="62" t="s">
        <v>2123</v>
      </c>
      <c r="D403" s="62" t="s">
        <v>2124</v>
      </c>
      <c r="E403" s="325">
        <v>0</v>
      </c>
      <c r="F403" s="62" t="s">
        <v>317</v>
      </c>
      <c r="G403" s="62" t="s">
        <v>318</v>
      </c>
      <c r="H403" s="79"/>
      <c r="I403" s="325">
        <v>4</v>
      </c>
      <c r="J403" s="62"/>
      <c r="K403" s="325"/>
      <c r="L403" s="325"/>
      <c r="M403" s="325"/>
      <c r="N403" s="90"/>
      <c r="O403" s="53" t="s">
        <v>321</v>
      </c>
      <c r="P403" s="325" t="s">
        <v>126</v>
      </c>
      <c r="Q403" s="62"/>
      <c r="R403" s="175"/>
      <c r="S403" s="79"/>
      <c r="T403" s="90" t="s">
        <v>2125</v>
      </c>
      <c r="U403" s="90" t="s">
        <v>2126</v>
      </c>
      <c r="V403" s="90" t="s">
        <v>939</v>
      </c>
      <c r="W403" s="321" t="s">
        <v>2132</v>
      </c>
      <c r="X403" s="175" t="s">
        <v>2128</v>
      </c>
      <c r="Y403" s="62"/>
      <c r="Z403" s="62"/>
      <c r="AA403" s="325"/>
    </row>
    <row r="404" spans="2:27" ht="80.25" hidden="1" customHeight="1" x14ac:dyDescent="0.35">
      <c r="B404" s="62" t="s">
        <v>48</v>
      </c>
      <c r="C404" s="62" t="s">
        <v>2123</v>
      </c>
      <c r="D404" s="62" t="s">
        <v>2124</v>
      </c>
      <c r="E404" s="325">
        <v>0</v>
      </c>
      <c r="F404" s="51" t="s">
        <v>326</v>
      </c>
      <c r="G404" s="51" t="s">
        <v>327</v>
      </c>
      <c r="H404" s="79"/>
      <c r="I404" s="325">
        <v>5</v>
      </c>
      <c r="J404" s="62"/>
      <c r="K404" s="325"/>
      <c r="L404" s="325"/>
      <c r="M404" s="325"/>
      <c r="N404" s="90"/>
      <c r="O404" s="53" t="s">
        <v>361</v>
      </c>
      <c r="P404" s="325"/>
      <c r="Q404" s="62"/>
      <c r="R404" s="175"/>
      <c r="S404" s="79"/>
      <c r="T404" s="90" t="s">
        <v>2125</v>
      </c>
      <c r="U404" s="90" t="s">
        <v>2133</v>
      </c>
      <c r="V404" s="90" t="s">
        <v>2134</v>
      </c>
      <c r="W404" s="321" t="s">
        <v>2135</v>
      </c>
      <c r="X404" s="175" t="s">
        <v>2128</v>
      </c>
      <c r="Y404" s="62"/>
      <c r="Z404" s="62"/>
      <c r="AA404" s="325"/>
    </row>
    <row r="405" spans="2:27" ht="80.25" hidden="1" customHeight="1" x14ac:dyDescent="0.35">
      <c r="B405" s="62" t="s">
        <v>48</v>
      </c>
      <c r="C405" s="62" t="s">
        <v>2123</v>
      </c>
      <c r="D405" s="62" t="s">
        <v>2124</v>
      </c>
      <c r="E405" s="325">
        <v>0</v>
      </c>
      <c r="F405" s="51" t="s">
        <v>333</v>
      </c>
      <c r="G405" s="51" t="s">
        <v>334</v>
      </c>
      <c r="H405" s="79"/>
      <c r="I405" s="325">
        <v>6</v>
      </c>
      <c r="J405" s="62"/>
      <c r="K405" s="325"/>
      <c r="L405" s="325"/>
      <c r="M405" s="325"/>
      <c r="N405" s="90"/>
      <c r="O405" s="53" t="s">
        <v>338</v>
      </c>
      <c r="P405" s="325"/>
      <c r="Q405" s="62"/>
      <c r="R405" s="175"/>
      <c r="S405" s="79"/>
      <c r="T405" s="90" t="s">
        <v>2125</v>
      </c>
      <c r="U405" s="90" t="s">
        <v>2126</v>
      </c>
      <c r="V405" s="90" t="s">
        <v>939</v>
      </c>
      <c r="W405" s="321" t="s">
        <v>2136</v>
      </c>
      <c r="X405" s="175" t="s">
        <v>2128</v>
      </c>
      <c r="Y405" s="62"/>
      <c r="Z405" s="62"/>
      <c r="AA405" s="325"/>
    </row>
    <row r="406" spans="2:27" ht="80.25" hidden="1" customHeight="1" x14ac:dyDescent="0.35">
      <c r="B406" s="328" t="s">
        <v>53</v>
      </c>
      <c r="C406" s="51" t="s">
        <v>2137</v>
      </c>
      <c r="D406" s="51" t="s">
        <v>54</v>
      </c>
      <c r="E406" s="52">
        <v>1</v>
      </c>
      <c r="F406" s="51" t="s">
        <v>120</v>
      </c>
      <c r="G406" s="51" t="s">
        <v>121</v>
      </c>
      <c r="H406" s="51" t="s">
        <v>122</v>
      </c>
      <c r="I406" s="52">
        <v>1</v>
      </c>
      <c r="J406" s="51" t="s">
        <v>123</v>
      </c>
      <c r="K406" s="52">
        <v>4</v>
      </c>
      <c r="L406" s="52"/>
      <c r="M406" s="52"/>
      <c r="N406" s="328" t="s">
        <v>124</v>
      </c>
      <c r="O406" s="53" t="s">
        <v>125</v>
      </c>
      <c r="P406" s="52" t="s">
        <v>126</v>
      </c>
      <c r="Q406" s="54"/>
      <c r="R406" s="55" t="s">
        <v>127</v>
      </c>
      <c r="S406" s="55" t="s">
        <v>2138</v>
      </c>
      <c r="T406" s="55" t="s">
        <v>2139</v>
      </c>
      <c r="U406" s="55" t="s">
        <v>2140</v>
      </c>
      <c r="V406" s="55" t="s">
        <v>369</v>
      </c>
      <c r="W406" s="355" t="s">
        <v>2141</v>
      </c>
      <c r="X406" s="51" t="s">
        <v>1585</v>
      </c>
      <c r="Y406" s="54" t="s">
        <v>372</v>
      </c>
      <c r="Z406" s="54" t="s">
        <v>372</v>
      </c>
      <c r="AA406" s="52" t="s">
        <v>373</v>
      </c>
    </row>
    <row r="407" spans="2:27" ht="80.25" hidden="1" customHeight="1" x14ac:dyDescent="0.35">
      <c r="B407" s="328" t="s">
        <v>53</v>
      </c>
      <c r="C407" s="51" t="s">
        <v>2137</v>
      </c>
      <c r="D407" s="51" t="s">
        <v>54</v>
      </c>
      <c r="E407" s="52">
        <v>1</v>
      </c>
      <c r="F407" s="51" t="s">
        <v>136</v>
      </c>
      <c r="G407" s="51" t="s">
        <v>137</v>
      </c>
      <c r="H407" s="51" t="s">
        <v>122</v>
      </c>
      <c r="I407" s="52">
        <v>2</v>
      </c>
      <c r="J407" s="51" t="s">
        <v>123</v>
      </c>
      <c r="K407" s="52">
        <v>30</v>
      </c>
      <c r="L407" s="52"/>
      <c r="M407" s="52"/>
      <c r="N407" s="53" t="s">
        <v>138</v>
      </c>
      <c r="O407" s="53" t="s">
        <v>139</v>
      </c>
      <c r="P407" s="52" t="s">
        <v>126</v>
      </c>
      <c r="Q407" s="54"/>
      <c r="R407" s="55" t="s">
        <v>127</v>
      </c>
      <c r="S407" s="55" t="s">
        <v>2138</v>
      </c>
      <c r="T407" s="51" t="s">
        <v>2142</v>
      </c>
      <c r="U407" s="51" t="s">
        <v>426</v>
      </c>
      <c r="V407" s="51" t="s">
        <v>2143</v>
      </c>
      <c r="W407" s="82" t="s">
        <v>2144</v>
      </c>
      <c r="X407" s="51" t="s">
        <v>1585</v>
      </c>
      <c r="Y407" s="54" t="s">
        <v>1582</v>
      </c>
      <c r="Z407" s="54" t="s">
        <v>1583</v>
      </c>
      <c r="AA407" s="52" t="s">
        <v>372</v>
      </c>
    </row>
    <row r="408" spans="2:27" ht="80.25" hidden="1" customHeight="1" x14ac:dyDescent="0.35">
      <c r="B408" s="328" t="s">
        <v>53</v>
      </c>
      <c r="C408" s="51" t="s">
        <v>2137</v>
      </c>
      <c r="D408" s="51" t="s">
        <v>54</v>
      </c>
      <c r="E408" s="52">
        <v>1</v>
      </c>
      <c r="F408" s="51" t="s">
        <v>148</v>
      </c>
      <c r="G408" s="51" t="s">
        <v>149</v>
      </c>
      <c r="H408" s="51" t="s">
        <v>150</v>
      </c>
      <c r="I408" s="52">
        <v>3</v>
      </c>
      <c r="J408" s="51" t="s">
        <v>123</v>
      </c>
      <c r="K408" s="52">
        <v>4</v>
      </c>
      <c r="L408" s="52"/>
      <c r="M408" s="52"/>
      <c r="N408" s="53" t="s">
        <v>151</v>
      </c>
      <c r="O408" s="53" t="s">
        <v>152</v>
      </c>
      <c r="P408" s="52"/>
      <c r="Q408" s="53" t="s">
        <v>586</v>
      </c>
      <c r="R408" s="55"/>
      <c r="S408" s="51"/>
      <c r="T408" s="55" t="s">
        <v>2139</v>
      </c>
      <c r="U408" s="55" t="s">
        <v>2140</v>
      </c>
      <c r="V408" s="55" t="s">
        <v>369</v>
      </c>
      <c r="W408" s="355" t="s">
        <v>2145</v>
      </c>
      <c r="X408" s="55" t="s">
        <v>1585</v>
      </c>
      <c r="Y408" s="53" t="s">
        <v>1582</v>
      </c>
      <c r="Z408" s="55" t="s">
        <v>1586</v>
      </c>
      <c r="AA408" s="52" t="s">
        <v>372</v>
      </c>
    </row>
    <row r="409" spans="2:27" ht="80.25" hidden="1" customHeight="1" x14ac:dyDescent="0.35">
      <c r="B409" s="328" t="s">
        <v>53</v>
      </c>
      <c r="C409" s="51" t="s">
        <v>2137</v>
      </c>
      <c r="D409" s="51" t="s">
        <v>54</v>
      </c>
      <c r="E409" s="52">
        <v>1</v>
      </c>
      <c r="F409" s="51" t="s">
        <v>155</v>
      </c>
      <c r="G409" s="51" t="s">
        <v>156</v>
      </c>
      <c r="H409" s="51" t="s">
        <v>150</v>
      </c>
      <c r="I409" s="52">
        <v>4</v>
      </c>
      <c r="J409" s="51" t="s">
        <v>123</v>
      </c>
      <c r="K409" s="52">
        <v>4</v>
      </c>
      <c r="L409" s="52"/>
      <c r="M409" s="52"/>
      <c r="N409" s="53" t="s">
        <v>157</v>
      </c>
      <c r="O409" s="53" t="s">
        <v>158</v>
      </c>
      <c r="P409" s="52"/>
      <c r="Q409" s="55" t="s">
        <v>1587</v>
      </c>
      <c r="R409" s="55" t="s">
        <v>160</v>
      </c>
      <c r="S409" s="55" t="s">
        <v>161</v>
      </c>
      <c r="T409" s="51" t="s">
        <v>2142</v>
      </c>
      <c r="U409" s="51" t="s">
        <v>426</v>
      </c>
      <c r="V409" s="51" t="s">
        <v>2146</v>
      </c>
      <c r="W409" s="82" t="s">
        <v>2147</v>
      </c>
      <c r="X409" s="51" t="s">
        <v>1585</v>
      </c>
      <c r="Y409" s="54" t="s">
        <v>1582</v>
      </c>
      <c r="Z409" s="54" t="s">
        <v>590</v>
      </c>
      <c r="AA409" s="52" t="s">
        <v>372</v>
      </c>
    </row>
    <row r="410" spans="2:27" ht="80.25" hidden="1" customHeight="1" x14ac:dyDescent="0.35">
      <c r="B410" s="328" t="s">
        <v>53</v>
      </c>
      <c r="C410" s="51" t="s">
        <v>2137</v>
      </c>
      <c r="D410" s="51" t="s">
        <v>54</v>
      </c>
      <c r="E410" s="52">
        <v>1</v>
      </c>
      <c r="F410" s="51" t="s">
        <v>167</v>
      </c>
      <c r="G410" s="51" t="s">
        <v>168</v>
      </c>
      <c r="H410" s="51" t="s">
        <v>150</v>
      </c>
      <c r="I410" s="52">
        <v>5</v>
      </c>
      <c r="J410" s="51" t="s">
        <v>123</v>
      </c>
      <c r="K410" s="52">
        <v>4</v>
      </c>
      <c r="L410" s="52"/>
      <c r="M410" s="52"/>
      <c r="N410" s="53" t="s">
        <v>169</v>
      </c>
      <c r="O410" s="53" t="s">
        <v>170</v>
      </c>
      <c r="P410" s="52"/>
      <c r="Q410" s="55" t="s">
        <v>1590</v>
      </c>
      <c r="R410" s="55" t="s">
        <v>160</v>
      </c>
      <c r="S410" s="55" t="s">
        <v>172</v>
      </c>
      <c r="T410" s="51" t="s">
        <v>2142</v>
      </c>
      <c r="U410" s="51" t="s">
        <v>426</v>
      </c>
      <c r="V410" s="51" t="s">
        <v>2148</v>
      </c>
      <c r="W410" s="82" t="s">
        <v>2149</v>
      </c>
      <c r="X410" s="51" t="s">
        <v>1585</v>
      </c>
      <c r="Y410" s="54" t="s">
        <v>1582</v>
      </c>
      <c r="Z410" s="54" t="s">
        <v>593</v>
      </c>
      <c r="AA410" s="52" t="s">
        <v>372</v>
      </c>
    </row>
    <row r="411" spans="2:27" ht="80.25" hidden="1" customHeight="1" x14ac:dyDescent="0.35">
      <c r="B411" s="328" t="s">
        <v>53</v>
      </c>
      <c r="C411" s="51" t="s">
        <v>2137</v>
      </c>
      <c r="D411" s="51" t="s">
        <v>54</v>
      </c>
      <c r="E411" s="52">
        <v>1</v>
      </c>
      <c r="F411" s="51" t="s">
        <v>176</v>
      </c>
      <c r="G411" s="51" t="s">
        <v>177</v>
      </c>
      <c r="H411" s="51" t="s">
        <v>150</v>
      </c>
      <c r="I411" s="52">
        <v>6</v>
      </c>
      <c r="J411" s="51" t="s">
        <v>123</v>
      </c>
      <c r="K411" s="52">
        <v>4</v>
      </c>
      <c r="L411" s="52"/>
      <c r="M411" s="52"/>
      <c r="N411" s="53" t="s">
        <v>2150</v>
      </c>
      <c r="O411" s="53" t="s">
        <v>179</v>
      </c>
      <c r="P411" s="52"/>
      <c r="Q411" s="54"/>
      <c r="R411" s="55" t="s">
        <v>203</v>
      </c>
      <c r="S411" s="51" t="s">
        <v>409</v>
      </c>
      <c r="T411" s="55" t="s">
        <v>2139</v>
      </c>
      <c r="U411" s="55" t="s">
        <v>2140</v>
      </c>
      <c r="V411" s="55" t="s">
        <v>369</v>
      </c>
      <c r="W411" s="355" t="s">
        <v>2141</v>
      </c>
      <c r="X411" s="51" t="s">
        <v>1585</v>
      </c>
      <c r="Y411" s="54" t="s">
        <v>372</v>
      </c>
      <c r="Z411" s="54" t="s">
        <v>372</v>
      </c>
      <c r="AA411" s="52" t="s">
        <v>373</v>
      </c>
    </row>
    <row r="412" spans="2:27" ht="80.25" hidden="1" customHeight="1" x14ac:dyDescent="0.35">
      <c r="B412" s="328" t="s">
        <v>53</v>
      </c>
      <c r="C412" s="51" t="s">
        <v>2137</v>
      </c>
      <c r="D412" s="51" t="s">
        <v>54</v>
      </c>
      <c r="E412" s="52">
        <v>1</v>
      </c>
      <c r="F412" s="51" t="s">
        <v>187</v>
      </c>
      <c r="G412" s="51" t="s">
        <v>188</v>
      </c>
      <c r="H412" s="51" t="s">
        <v>150</v>
      </c>
      <c r="I412" s="52">
        <v>7</v>
      </c>
      <c r="J412" s="51" t="s">
        <v>123</v>
      </c>
      <c r="K412" s="52">
        <v>30</v>
      </c>
      <c r="L412" s="52"/>
      <c r="M412" s="52"/>
      <c r="N412" s="53" t="s">
        <v>2151</v>
      </c>
      <c r="O412" s="53" t="s">
        <v>190</v>
      </c>
      <c r="P412" s="52"/>
      <c r="Q412" s="54"/>
      <c r="R412" s="55" t="s">
        <v>203</v>
      </c>
      <c r="S412" s="51" t="s">
        <v>409</v>
      </c>
      <c r="T412" s="55" t="s">
        <v>2152</v>
      </c>
      <c r="U412" s="55" t="s">
        <v>2153</v>
      </c>
      <c r="V412" s="55" t="s">
        <v>2154</v>
      </c>
      <c r="W412" s="82" t="s">
        <v>2155</v>
      </c>
      <c r="X412" s="55" t="s">
        <v>2156</v>
      </c>
      <c r="Y412" s="53" t="s">
        <v>2157</v>
      </c>
      <c r="Z412" s="53" t="s">
        <v>2158</v>
      </c>
      <c r="AA412" s="60" t="s">
        <v>500</v>
      </c>
    </row>
    <row r="413" spans="2:27" ht="80.25" hidden="1" customHeight="1" x14ac:dyDescent="0.35">
      <c r="B413" s="328" t="s">
        <v>53</v>
      </c>
      <c r="C413" s="51" t="s">
        <v>2137</v>
      </c>
      <c r="D413" s="51" t="s">
        <v>54</v>
      </c>
      <c r="E413" s="52">
        <v>1</v>
      </c>
      <c r="F413" s="51" t="s">
        <v>198</v>
      </c>
      <c r="G413" s="51" t="s">
        <v>199</v>
      </c>
      <c r="H413" s="51" t="s">
        <v>200</v>
      </c>
      <c r="I413" s="52">
        <v>8</v>
      </c>
      <c r="J413" s="51" t="s">
        <v>123</v>
      </c>
      <c r="K413" s="52">
        <v>10</v>
      </c>
      <c r="L413" s="52"/>
      <c r="M413" s="52"/>
      <c r="N413" s="53" t="s">
        <v>201</v>
      </c>
      <c r="O413" s="53" t="s">
        <v>202</v>
      </c>
      <c r="P413" s="52"/>
      <c r="Q413" s="54"/>
      <c r="R413" s="55" t="s">
        <v>203</v>
      </c>
      <c r="S413" s="51" t="s">
        <v>198</v>
      </c>
      <c r="T413" s="51" t="s">
        <v>2142</v>
      </c>
      <c r="U413" s="51" t="s">
        <v>426</v>
      </c>
      <c r="V413" s="51" t="s">
        <v>2159</v>
      </c>
      <c r="W413" s="82" t="s">
        <v>2160</v>
      </c>
      <c r="X413" s="51" t="s">
        <v>1585</v>
      </c>
      <c r="Y413" s="54" t="s">
        <v>1582</v>
      </c>
      <c r="Z413" s="54" t="s">
        <v>630</v>
      </c>
      <c r="AA413" s="52" t="s">
        <v>372</v>
      </c>
    </row>
    <row r="414" spans="2:27" ht="80.25" hidden="1" customHeight="1" x14ac:dyDescent="0.35">
      <c r="B414" s="328" t="s">
        <v>53</v>
      </c>
      <c r="C414" s="51" t="s">
        <v>2137</v>
      </c>
      <c r="D414" s="51" t="s">
        <v>54</v>
      </c>
      <c r="E414" s="52">
        <v>1</v>
      </c>
      <c r="F414" s="51" t="s">
        <v>210</v>
      </c>
      <c r="G414" s="51" t="s">
        <v>211</v>
      </c>
      <c r="H414" s="51" t="s">
        <v>200</v>
      </c>
      <c r="I414" s="52">
        <v>9</v>
      </c>
      <c r="J414" s="51" t="s">
        <v>123</v>
      </c>
      <c r="K414" s="52">
        <v>10</v>
      </c>
      <c r="L414" s="52"/>
      <c r="M414" s="52"/>
      <c r="N414" s="53" t="s">
        <v>212</v>
      </c>
      <c r="O414" s="53" t="s">
        <v>213</v>
      </c>
      <c r="P414" s="52"/>
      <c r="Q414" s="54"/>
      <c r="R414" s="55"/>
      <c r="S414" s="51"/>
      <c r="T414" s="51" t="s">
        <v>2142</v>
      </c>
      <c r="U414" s="51" t="s">
        <v>426</v>
      </c>
      <c r="V414" s="55" t="s">
        <v>2161</v>
      </c>
      <c r="W414" s="82" t="s">
        <v>2162</v>
      </c>
      <c r="X414" s="51" t="s">
        <v>1585</v>
      </c>
      <c r="Y414" s="54" t="s">
        <v>1582</v>
      </c>
      <c r="Z414" s="53" t="s">
        <v>2099</v>
      </c>
      <c r="AA414" s="52" t="s">
        <v>372</v>
      </c>
    </row>
    <row r="415" spans="2:27" ht="80.25" hidden="1" customHeight="1" x14ac:dyDescent="0.35">
      <c r="B415" s="328" t="s">
        <v>53</v>
      </c>
      <c r="C415" s="51" t="s">
        <v>2137</v>
      </c>
      <c r="D415" s="51" t="s">
        <v>54</v>
      </c>
      <c r="E415" s="52">
        <v>1</v>
      </c>
      <c r="F415" s="51" t="s">
        <v>222</v>
      </c>
      <c r="G415" s="51" t="s">
        <v>223</v>
      </c>
      <c r="H415" s="51" t="s">
        <v>224</v>
      </c>
      <c r="I415" s="52">
        <v>10</v>
      </c>
      <c r="J415" s="51" t="s">
        <v>123</v>
      </c>
      <c r="K415" s="52">
        <v>4</v>
      </c>
      <c r="L415" s="52"/>
      <c r="M415" s="52"/>
      <c r="N415" s="53" t="s">
        <v>225</v>
      </c>
      <c r="O415" s="53" t="s">
        <v>226</v>
      </c>
      <c r="P415" s="52"/>
      <c r="Q415" s="55" t="s">
        <v>419</v>
      </c>
      <c r="R415" s="55" t="s">
        <v>654</v>
      </c>
      <c r="S415" s="55" t="s">
        <v>229</v>
      </c>
      <c r="T415" s="51" t="s">
        <v>2142</v>
      </c>
      <c r="U415" s="51" t="s">
        <v>426</v>
      </c>
      <c r="V415" s="51" t="s">
        <v>2163</v>
      </c>
      <c r="W415" s="82" t="s">
        <v>2164</v>
      </c>
      <c r="X415" s="51" t="s">
        <v>1585</v>
      </c>
      <c r="Y415" s="54" t="s">
        <v>1582</v>
      </c>
      <c r="Z415" s="54" t="s">
        <v>427</v>
      </c>
      <c r="AA415" s="52" t="s">
        <v>372</v>
      </c>
    </row>
    <row r="416" spans="2:27" ht="80.25" hidden="1" customHeight="1" x14ac:dyDescent="0.35">
      <c r="B416" s="328" t="s">
        <v>53</v>
      </c>
      <c r="C416" s="51" t="s">
        <v>2137</v>
      </c>
      <c r="D416" s="51" t="s">
        <v>54</v>
      </c>
      <c r="E416" s="52">
        <v>1</v>
      </c>
      <c r="F416" s="51" t="s">
        <v>1604</v>
      </c>
      <c r="G416" s="51" t="s">
        <v>1605</v>
      </c>
      <c r="H416" s="54" t="s">
        <v>249</v>
      </c>
      <c r="I416" s="52">
        <v>11</v>
      </c>
      <c r="J416" s="51" t="s">
        <v>250</v>
      </c>
      <c r="K416" s="52">
        <v>23</v>
      </c>
      <c r="L416" s="52">
        <v>6</v>
      </c>
      <c r="M416" s="52"/>
      <c r="N416" s="53" t="s">
        <v>1606</v>
      </c>
      <c r="O416" s="53" t="s">
        <v>1607</v>
      </c>
      <c r="P416" s="52"/>
      <c r="Q416" s="54"/>
      <c r="R416" s="53"/>
      <c r="S416" s="54"/>
      <c r="T416" s="51" t="s">
        <v>2142</v>
      </c>
      <c r="U416" s="51" t="s">
        <v>426</v>
      </c>
      <c r="V416" s="51" t="s">
        <v>2165</v>
      </c>
      <c r="W416" s="82" t="s">
        <v>2166</v>
      </c>
      <c r="X416" s="51" t="s">
        <v>1585</v>
      </c>
      <c r="Y416" s="54" t="s">
        <v>1582</v>
      </c>
      <c r="Z416" s="54" t="s">
        <v>652</v>
      </c>
      <c r="AA416" s="52" t="s">
        <v>372</v>
      </c>
    </row>
    <row r="417" spans="2:27" ht="80.25" hidden="1" customHeight="1" x14ac:dyDescent="0.35">
      <c r="B417" s="328" t="s">
        <v>53</v>
      </c>
      <c r="C417" s="51" t="s">
        <v>2137</v>
      </c>
      <c r="D417" s="51" t="s">
        <v>54</v>
      </c>
      <c r="E417" s="52">
        <v>1</v>
      </c>
      <c r="F417" s="51" t="s">
        <v>1610</v>
      </c>
      <c r="G417" s="51" t="s">
        <v>1611</v>
      </c>
      <c r="H417" s="54" t="s">
        <v>249</v>
      </c>
      <c r="I417" s="52">
        <v>12</v>
      </c>
      <c r="J417" s="51" t="s">
        <v>250</v>
      </c>
      <c r="K417" s="52">
        <v>23</v>
      </c>
      <c r="L417" s="52">
        <v>6</v>
      </c>
      <c r="M417" s="52"/>
      <c r="N417" s="53" t="s">
        <v>1612</v>
      </c>
      <c r="O417" s="53" t="s">
        <v>1613</v>
      </c>
      <c r="P417" s="52"/>
      <c r="Q417" s="51"/>
      <c r="R417" s="53"/>
      <c r="S417" s="54"/>
      <c r="T417" s="55" t="s">
        <v>2142</v>
      </c>
      <c r="U417" s="55" t="s">
        <v>426</v>
      </c>
      <c r="V417" s="69" t="s">
        <v>2167</v>
      </c>
      <c r="W417" s="82" t="s">
        <v>2168</v>
      </c>
      <c r="X417" s="55" t="s">
        <v>1585</v>
      </c>
      <c r="Y417" s="53" t="s">
        <v>1582</v>
      </c>
      <c r="Z417" s="51" t="s">
        <v>1616</v>
      </c>
      <c r="AA417" s="60" t="s">
        <v>372</v>
      </c>
    </row>
    <row r="418" spans="2:27" ht="80.25" hidden="1" customHeight="1" x14ac:dyDescent="0.35">
      <c r="B418" s="328" t="s">
        <v>53</v>
      </c>
      <c r="C418" s="51" t="s">
        <v>2137</v>
      </c>
      <c r="D418" s="51" t="s">
        <v>54</v>
      </c>
      <c r="E418" s="52">
        <v>1</v>
      </c>
      <c r="F418" s="51" t="s">
        <v>1617</v>
      </c>
      <c r="G418" s="51" t="s">
        <v>1618</v>
      </c>
      <c r="H418" s="54" t="s">
        <v>249</v>
      </c>
      <c r="I418" s="52">
        <v>13</v>
      </c>
      <c r="J418" s="51" t="s">
        <v>250</v>
      </c>
      <c r="K418" s="52">
        <v>23</v>
      </c>
      <c r="L418" s="52">
        <v>6</v>
      </c>
      <c r="M418" s="52"/>
      <c r="N418" s="53" t="s">
        <v>1619</v>
      </c>
      <c r="O418" s="53" t="s">
        <v>1620</v>
      </c>
      <c r="P418" s="52"/>
      <c r="Q418" s="54"/>
      <c r="R418" s="53" t="s">
        <v>275</v>
      </c>
      <c r="S418" s="54" t="s">
        <v>276</v>
      </c>
      <c r="T418" s="51" t="s">
        <v>2142</v>
      </c>
      <c r="U418" s="51" t="s">
        <v>426</v>
      </c>
      <c r="V418" s="51" t="s">
        <v>2169</v>
      </c>
      <c r="W418" s="82" t="s">
        <v>2170</v>
      </c>
      <c r="X418" s="51" t="s">
        <v>1585</v>
      </c>
      <c r="Y418" s="54" t="s">
        <v>1582</v>
      </c>
      <c r="Z418" s="54" t="s">
        <v>1623</v>
      </c>
      <c r="AA418" s="52" t="s">
        <v>372</v>
      </c>
    </row>
    <row r="419" spans="2:27" ht="80.25" hidden="1" customHeight="1" x14ac:dyDescent="0.35">
      <c r="B419" s="328" t="s">
        <v>53</v>
      </c>
      <c r="C419" s="66" t="s">
        <v>2137</v>
      </c>
      <c r="D419" s="66" t="s">
        <v>54</v>
      </c>
      <c r="E419" s="77">
        <v>1</v>
      </c>
      <c r="F419" s="66" t="s">
        <v>2171</v>
      </c>
      <c r="G419" s="66" t="s">
        <v>2172</v>
      </c>
      <c r="H419" s="74" t="s">
        <v>746</v>
      </c>
      <c r="I419" s="77">
        <v>14</v>
      </c>
      <c r="J419" s="66" t="s">
        <v>123</v>
      </c>
      <c r="K419" s="77">
        <v>4</v>
      </c>
      <c r="L419" s="77"/>
      <c r="M419" s="77"/>
      <c r="N419" s="72" t="s">
        <v>2173</v>
      </c>
      <c r="O419" s="53" t="s">
        <v>2174</v>
      </c>
      <c r="P419" s="77"/>
      <c r="Q419" s="72" t="s">
        <v>1673</v>
      </c>
      <c r="R419" s="72"/>
      <c r="S419" s="74"/>
      <c r="T419" s="66"/>
      <c r="U419" s="66"/>
      <c r="V419" s="66"/>
      <c r="W419" s="66"/>
      <c r="X419" s="66" t="s">
        <v>1674</v>
      </c>
      <c r="Y419" s="66" t="s">
        <v>1674</v>
      </c>
      <c r="Z419" s="66" t="s">
        <v>1674</v>
      </c>
      <c r="AA419" s="75" t="s">
        <v>1674</v>
      </c>
    </row>
    <row r="420" spans="2:27" ht="80.25" hidden="1" customHeight="1" x14ac:dyDescent="0.35">
      <c r="B420" s="328" t="s">
        <v>53</v>
      </c>
      <c r="C420" s="66" t="s">
        <v>2137</v>
      </c>
      <c r="D420" s="66" t="s">
        <v>54</v>
      </c>
      <c r="E420" s="77">
        <v>1</v>
      </c>
      <c r="F420" s="66" t="s">
        <v>2175</v>
      </c>
      <c r="G420" s="66" t="s">
        <v>2176</v>
      </c>
      <c r="H420" s="74" t="s">
        <v>746</v>
      </c>
      <c r="I420" s="77">
        <v>15</v>
      </c>
      <c r="J420" s="66" t="s">
        <v>123</v>
      </c>
      <c r="K420" s="77">
        <v>3</v>
      </c>
      <c r="L420" s="77"/>
      <c r="M420" s="77"/>
      <c r="N420" s="72" t="s">
        <v>1677</v>
      </c>
      <c r="O420" s="53" t="s">
        <v>2177</v>
      </c>
      <c r="P420" s="77"/>
      <c r="Q420" s="72" t="s">
        <v>1679</v>
      </c>
      <c r="R420" s="72"/>
      <c r="S420" s="74"/>
      <c r="T420" s="66"/>
      <c r="U420" s="66"/>
      <c r="V420" s="66"/>
      <c r="W420" s="66"/>
      <c r="X420" s="66" t="s">
        <v>1674</v>
      </c>
      <c r="Y420" s="66" t="s">
        <v>1674</v>
      </c>
      <c r="Z420" s="66" t="s">
        <v>1674</v>
      </c>
      <c r="AA420" s="75" t="s">
        <v>1674</v>
      </c>
    </row>
    <row r="421" spans="2:27" ht="80.25" hidden="1" customHeight="1" x14ac:dyDescent="0.35">
      <c r="B421" s="328" t="s">
        <v>53</v>
      </c>
      <c r="C421" s="66" t="s">
        <v>2137</v>
      </c>
      <c r="D421" s="66" t="s">
        <v>54</v>
      </c>
      <c r="E421" s="77">
        <v>1</v>
      </c>
      <c r="F421" s="66" t="s">
        <v>2178</v>
      </c>
      <c r="G421" s="66" t="s">
        <v>2179</v>
      </c>
      <c r="H421" s="74" t="s">
        <v>767</v>
      </c>
      <c r="I421" s="77">
        <v>16</v>
      </c>
      <c r="J421" s="66" t="s">
        <v>250</v>
      </c>
      <c r="K421" s="77">
        <v>23</v>
      </c>
      <c r="L421" s="77">
        <v>6</v>
      </c>
      <c r="M421" s="77"/>
      <c r="N421" s="72" t="s">
        <v>2180</v>
      </c>
      <c r="O421" s="53" t="s">
        <v>2181</v>
      </c>
      <c r="P421" s="77"/>
      <c r="Q421" s="74"/>
      <c r="R421" s="72"/>
      <c r="S421" s="74"/>
      <c r="T421" s="66"/>
      <c r="U421" s="66"/>
      <c r="V421" s="66"/>
      <c r="W421" s="66"/>
      <c r="X421" s="66" t="s">
        <v>1674</v>
      </c>
      <c r="Y421" s="66" t="s">
        <v>1674</v>
      </c>
      <c r="Z421" s="66" t="s">
        <v>1674</v>
      </c>
      <c r="AA421" s="75" t="s">
        <v>1674</v>
      </c>
    </row>
    <row r="422" spans="2:27" ht="80.25" hidden="1" customHeight="1" x14ac:dyDescent="0.35">
      <c r="B422" s="328" t="s">
        <v>53</v>
      </c>
      <c r="C422" s="66" t="s">
        <v>2137</v>
      </c>
      <c r="D422" s="66" t="s">
        <v>54</v>
      </c>
      <c r="E422" s="77">
        <v>1</v>
      </c>
      <c r="F422" s="66" t="s">
        <v>2182</v>
      </c>
      <c r="G422" s="66" t="s">
        <v>2183</v>
      </c>
      <c r="H422" s="74" t="s">
        <v>767</v>
      </c>
      <c r="I422" s="77">
        <v>17</v>
      </c>
      <c r="J422" s="66" t="s">
        <v>250</v>
      </c>
      <c r="K422" s="77">
        <v>23</v>
      </c>
      <c r="L422" s="77">
        <v>6</v>
      </c>
      <c r="M422" s="77"/>
      <c r="N422" s="72" t="s">
        <v>1686</v>
      </c>
      <c r="O422" s="53" t="s">
        <v>2184</v>
      </c>
      <c r="P422" s="77"/>
      <c r="Q422" s="74"/>
      <c r="R422" s="72"/>
      <c r="S422" s="74"/>
      <c r="T422" s="66"/>
      <c r="U422" s="66"/>
      <c r="V422" s="66"/>
      <c r="W422" s="66"/>
      <c r="X422" s="66" t="s">
        <v>1674</v>
      </c>
      <c r="Y422" s="66" t="s">
        <v>1674</v>
      </c>
      <c r="Z422" s="66" t="s">
        <v>1674</v>
      </c>
      <c r="AA422" s="75" t="s">
        <v>1674</v>
      </c>
    </row>
    <row r="423" spans="2:27" ht="80.25" hidden="1" customHeight="1" x14ac:dyDescent="0.35">
      <c r="B423" s="328" t="s">
        <v>53</v>
      </c>
      <c r="C423" s="66" t="s">
        <v>2137</v>
      </c>
      <c r="D423" s="66" t="s">
        <v>54</v>
      </c>
      <c r="E423" s="77">
        <v>1</v>
      </c>
      <c r="F423" s="66" t="s">
        <v>2185</v>
      </c>
      <c r="G423" s="66" t="s">
        <v>2186</v>
      </c>
      <c r="H423" s="74" t="s">
        <v>767</v>
      </c>
      <c r="I423" s="77">
        <v>18</v>
      </c>
      <c r="J423" s="66" t="s">
        <v>250</v>
      </c>
      <c r="K423" s="77">
        <v>23</v>
      </c>
      <c r="L423" s="77">
        <v>6</v>
      </c>
      <c r="M423" s="77"/>
      <c r="N423" s="72" t="s">
        <v>2187</v>
      </c>
      <c r="O423" s="53" t="s">
        <v>2188</v>
      </c>
      <c r="P423" s="77"/>
      <c r="Q423" s="66"/>
      <c r="R423" s="67" t="s">
        <v>788</v>
      </c>
      <c r="S423" s="66" t="s">
        <v>1518</v>
      </c>
      <c r="T423" s="66"/>
      <c r="U423" s="66"/>
      <c r="V423" s="66"/>
      <c r="W423" s="66"/>
      <c r="X423" s="66" t="s">
        <v>1674</v>
      </c>
      <c r="Y423" s="66" t="s">
        <v>1674</v>
      </c>
      <c r="Z423" s="66" t="s">
        <v>1674</v>
      </c>
      <c r="AA423" s="75" t="s">
        <v>1674</v>
      </c>
    </row>
    <row r="424" spans="2:27" ht="80.25" hidden="1" customHeight="1" x14ac:dyDescent="0.35">
      <c r="B424" s="328" t="s">
        <v>53</v>
      </c>
      <c r="C424" s="66" t="s">
        <v>2137</v>
      </c>
      <c r="D424" s="66" t="s">
        <v>54</v>
      </c>
      <c r="E424" s="77">
        <v>1</v>
      </c>
      <c r="F424" s="66" t="s">
        <v>2189</v>
      </c>
      <c r="G424" s="66" t="s">
        <v>2190</v>
      </c>
      <c r="H424" s="74" t="s">
        <v>746</v>
      </c>
      <c r="I424" s="77">
        <v>19</v>
      </c>
      <c r="J424" s="66" t="s">
        <v>123</v>
      </c>
      <c r="K424" s="77">
        <v>4</v>
      </c>
      <c r="L424" s="77"/>
      <c r="M424" s="77"/>
      <c r="N424" s="72" t="s">
        <v>2191</v>
      </c>
      <c r="O424" s="53" t="s">
        <v>2192</v>
      </c>
      <c r="P424" s="77"/>
      <c r="Q424" s="72" t="s">
        <v>1673</v>
      </c>
      <c r="R424" s="72"/>
      <c r="S424" s="74"/>
      <c r="T424" s="66"/>
      <c r="U424" s="66"/>
      <c r="V424" s="66"/>
      <c r="W424" s="66"/>
      <c r="X424" s="66" t="s">
        <v>1674</v>
      </c>
      <c r="Y424" s="66" t="s">
        <v>1674</v>
      </c>
      <c r="Z424" s="66" t="s">
        <v>1674</v>
      </c>
      <c r="AA424" s="75" t="s">
        <v>1674</v>
      </c>
    </row>
    <row r="425" spans="2:27" ht="80.25" hidden="1" customHeight="1" x14ac:dyDescent="0.35">
      <c r="B425" s="328" t="s">
        <v>53</v>
      </c>
      <c r="C425" s="66" t="s">
        <v>2137</v>
      </c>
      <c r="D425" s="66" t="s">
        <v>54</v>
      </c>
      <c r="E425" s="77">
        <v>1</v>
      </c>
      <c r="F425" s="66" t="s">
        <v>2193</v>
      </c>
      <c r="G425" s="66" t="s">
        <v>2194</v>
      </c>
      <c r="H425" s="74" t="s">
        <v>746</v>
      </c>
      <c r="I425" s="77">
        <v>20</v>
      </c>
      <c r="J425" s="66" t="s">
        <v>123</v>
      </c>
      <c r="K425" s="77">
        <v>3</v>
      </c>
      <c r="L425" s="77"/>
      <c r="M425" s="77"/>
      <c r="N425" s="72" t="s">
        <v>1698</v>
      </c>
      <c r="O425" s="53" t="s">
        <v>2195</v>
      </c>
      <c r="P425" s="77"/>
      <c r="Q425" s="72" t="s">
        <v>1700</v>
      </c>
      <c r="R425" s="72"/>
      <c r="S425" s="74"/>
      <c r="T425" s="66"/>
      <c r="U425" s="66"/>
      <c r="V425" s="66"/>
      <c r="W425" s="66"/>
      <c r="X425" s="66" t="s">
        <v>1674</v>
      </c>
      <c r="Y425" s="66" t="s">
        <v>1674</v>
      </c>
      <c r="Z425" s="66" t="s">
        <v>1674</v>
      </c>
      <c r="AA425" s="75" t="s">
        <v>1674</v>
      </c>
    </row>
    <row r="426" spans="2:27" ht="80.25" hidden="1" customHeight="1" x14ac:dyDescent="0.35">
      <c r="B426" s="328" t="s">
        <v>53</v>
      </c>
      <c r="C426" s="66" t="s">
        <v>2137</v>
      </c>
      <c r="D426" s="66" t="s">
        <v>54</v>
      </c>
      <c r="E426" s="77">
        <v>1</v>
      </c>
      <c r="F426" s="66" t="s">
        <v>2196</v>
      </c>
      <c r="G426" s="66" t="s">
        <v>2197</v>
      </c>
      <c r="H426" s="74" t="s">
        <v>767</v>
      </c>
      <c r="I426" s="77">
        <v>21</v>
      </c>
      <c r="J426" s="66" t="s">
        <v>250</v>
      </c>
      <c r="K426" s="77">
        <v>23</v>
      </c>
      <c r="L426" s="77">
        <v>6</v>
      </c>
      <c r="M426" s="77"/>
      <c r="N426" s="72" t="s">
        <v>2198</v>
      </c>
      <c r="O426" s="53" t="s">
        <v>2199</v>
      </c>
      <c r="P426" s="77"/>
      <c r="Q426" s="74"/>
      <c r="R426" s="72"/>
      <c r="S426" s="74"/>
      <c r="T426" s="66"/>
      <c r="U426" s="66"/>
      <c r="V426" s="66"/>
      <c r="W426" s="66"/>
      <c r="X426" s="66" t="s">
        <v>1674</v>
      </c>
      <c r="Y426" s="66" t="s">
        <v>1674</v>
      </c>
      <c r="Z426" s="66" t="s">
        <v>1674</v>
      </c>
      <c r="AA426" s="75" t="s">
        <v>1674</v>
      </c>
    </row>
    <row r="427" spans="2:27" ht="80.25" hidden="1" customHeight="1" x14ac:dyDescent="0.35">
      <c r="B427" s="328" t="s">
        <v>53</v>
      </c>
      <c r="C427" s="66" t="s">
        <v>2137</v>
      </c>
      <c r="D427" s="66" t="s">
        <v>54</v>
      </c>
      <c r="E427" s="77">
        <v>1</v>
      </c>
      <c r="F427" s="66" t="s">
        <v>2200</v>
      </c>
      <c r="G427" s="66" t="s">
        <v>2201</v>
      </c>
      <c r="H427" s="74" t="s">
        <v>767</v>
      </c>
      <c r="I427" s="77">
        <v>22</v>
      </c>
      <c r="J427" s="66" t="s">
        <v>250</v>
      </c>
      <c r="K427" s="77">
        <v>23</v>
      </c>
      <c r="L427" s="77">
        <v>6</v>
      </c>
      <c r="M427" s="77"/>
      <c r="N427" s="72" t="s">
        <v>777</v>
      </c>
      <c r="O427" s="53" t="s">
        <v>2202</v>
      </c>
      <c r="P427" s="77"/>
      <c r="Q427" s="74"/>
      <c r="R427" s="72"/>
      <c r="S427" s="74"/>
      <c r="T427" s="66"/>
      <c r="U427" s="66"/>
      <c r="V427" s="66"/>
      <c r="W427" s="66"/>
      <c r="X427" s="66" t="s">
        <v>1674</v>
      </c>
      <c r="Y427" s="66" t="s">
        <v>1674</v>
      </c>
      <c r="Z427" s="66" t="s">
        <v>1674</v>
      </c>
      <c r="AA427" s="75" t="s">
        <v>1674</v>
      </c>
    </row>
    <row r="428" spans="2:27" ht="80.25" hidden="1" customHeight="1" x14ac:dyDescent="0.35">
      <c r="B428" s="328" t="s">
        <v>53</v>
      </c>
      <c r="C428" s="66" t="s">
        <v>2137</v>
      </c>
      <c r="D428" s="66" t="s">
        <v>54</v>
      </c>
      <c r="E428" s="77">
        <v>1</v>
      </c>
      <c r="F428" s="66" t="s">
        <v>2203</v>
      </c>
      <c r="G428" s="66" t="s">
        <v>2204</v>
      </c>
      <c r="H428" s="74" t="s">
        <v>767</v>
      </c>
      <c r="I428" s="77">
        <v>23</v>
      </c>
      <c r="J428" s="66" t="s">
        <v>250</v>
      </c>
      <c r="K428" s="77">
        <v>23</v>
      </c>
      <c r="L428" s="77">
        <v>6</v>
      </c>
      <c r="M428" s="77"/>
      <c r="N428" s="72" t="s">
        <v>2205</v>
      </c>
      <c r="O428" s="53" t="s">
        <v>2206</v>
      </c>
      <c r="P428" s="77"/>
      <c r="Q428" s="66"/>
      <c r="R428" s="67" t="s">
        <v>1712</v>
      </c>
      <c r="S428" s="67" t="s">
        <v>1713</v>
      </c>
      <c r="T428" s="66"/>
      <c r="U428" s="66"/>
      <c r="V428" s="66"/>
      <c r="W428" s="66"/>
      <c r="X428" s="66" t="s">
        <v>1674</v>
      </c>
      <c r="Y428" s="66" t="s">
        <v>1674</v>
      </c>
      <c r="Z428" s="66" t="s">
        <v>1674</v>
      </c>
      <c r="AA428" s="75" t="s">
        <v>1674</v>
      </c>
    </row>
    <row r="429" spans="2:27" ht="80.25" hidden="1" customHeight="1" x14ac:dyDescent="0.35">
      <c r="B429" s="328" t="s">
        <v>53</v>
      </c>
      <c r="C429" s="51" t="s">
        <v>2137</v>
      </c>
      <c r="D429" s="51" t="s">
        <v>54</v>
      </c>
      <c r="E429" s="52">
        <v>1</v>
      </c>
      <c r="F429" s="51" t="s">
        <v>293</v>
      </c>
      <c r="G429" s="51" t="s">
        <v>294</v>
      </c>
      <c r="H429" s="51" t="s">
        <v>295</v>
      </c>
      <c r="I429" s="52">
        <v>24</v>
      </c>
      <c r="J429" s="51" t="s">
        <v>123</v>
      </c>
      <c r="K429" s="52">
        <v>4</v>
      </c>
      <c r="L429" s="52"/>
      <c r="M429" s="52"/>
      <c r="N429" s="53" t="s">
        <v>296</v>
      </c>
      <c r="O429" s="53" t="s">
        <v>297</v>
      </c>
      <c r="P429" s="52"/>
      <c r="Q429" s="53" t="s">
        <v>1714</v>
      </c>
      <c r="R429" s="55" t="s">
        <v>299</v>
      </c>
      <c r="S429" s="55" t="s">
        <v>300</v>
      </c>
      <c r="T429" s="55" t="s">
        <v>2139</v>
      </c>
      <c r="U429" s="55" t="s">
        <v>2140</v>
      </c>
      <c r="V429" s="55" t="s">
        <v>369</v>
      </c>
      <c r="W429" s="355" t="s">
        <v>2207</v>
      </c>
      <c r="X429" s="55" t="s">
        <v>1585</v>
      </c>
      <c r="Y429" s="54" t="s">
        <v>1582</v>
      </c>
      <c r="Z429" s="54" t="s">
        <v>1042</v>
      </c>
      <c r="AA429" s="52" t="s">
        <v>372</v>
      </c>
    </row>
    <row r="430" spans="2:27" ht="80.25" customHeight="1" x14ac:dyDescent="0.35">
      <c r="B430" s="328" t="s">
        <v>53</v>
      </c>
      <c r="C430" s="51" t="s">
        <v>2137</v>
      </c>
      <c r="D430" s="51" t="s">
        <v>54</v>
      </c>
      <c r="E430" s="52">
        <v>1</v>
      </c>
      <c r="F430" s="51" t="s">
        <v>304</v>
      </c>
      <c r="G430" s="51" t="s">
        <v>305</v>
      </c>
      <c r="H430" s="51" t="s">
        <v>295</v>
      </c>
      <c r="I430" s="52">
        <v>25</v>
      </c>
      <c r="J430" s="51" t="s">
        <v>123</v>
      </c>
      <c r="K430" s="52">
        <v>4</v>
      </c>
      <c r="L430" s="52"/>
      <c r="M430" s="52"/>
      <c r="N430" s="53" t="s">
        <v>306</v>
      </c>
      <c r="O430" s="53" t="s">
        <v>307</v>
      </c>
      <c r="P430" s="52"/>
      <c r="Q430" s="53" t="s">
        <v>2208</v>
      </c>
      <c r="R430" s="55" t="s">
        <v>203</v>
      </c>
      <c r="S430" s="51" t="s">
        <v>309</v>
      </c>
      <c r="T430" s="51"/>
      <c r="U430" s="51"/>
      <c r="V430" s="51"/>
      <c r="W430" s="51"/>
      <c r="X430" s="61" t="s">
        <v>1674</v>
      </c>
      <c r="Y430" s="61" t="s">
        <v>1674</v>
      </c>
      <c r="Z430" s="61" t="s">
        <v>1674</v>
      </c>
      <c r="AA430" s="52" t="s">
        <v>1674</v>
      </c>
    </row>
    <row r="431" spans="2:27" ht="80.25" hidden="1" customHeight="1" x14ac:dyDescent="0.35">
      <c r="B431" s="328" t="s">
        <v>53</v>
      </c>
      <c r="C431" s="51" t="s">
        <v>2137</v>
      </c>
      <c r="D431" s="51" t="s">
        <v>54</v>
      </c>
      <c r="E431" s="52">
        <v>1</v>
      </c>
      <c r="F431" s="51" t="s">
        <v>317</v>
      </c>
      <c r="G431" s="51" t="s">
        <v>318</v>
      </c>
      <c r="H431" s="51" t="s">
        <v>319</v>
      </c>
      <c r="I431" s="52">
        <v>26</v>
      </c>
      <c r="J431" s="51" t="s">
        <v>123</v>
      </c>
      <c r="K431" s="52">
        <v>2</v>
      </c>
      <c r="L431" s="52"/>
      <c r="M431" s="52"/>
      <c r="N431" s="53" t="s">
        <v>320</v>
      </c>
      <c r="O431" s="53" t="s">
        <v>321</v>
      </c>
      <c r="P431" s="52"/>
      <c r="Q431" s="53" t="s">
        <v>463</v>
      </c>
      <c r="R431" s="55"/>
      <c r="S431" s="51"/>
      <c r="T431" s="51" t="s">
        <v>2142</v>
      </c>
      <c r="U431" s="51" t="s">
        <v>426</v>
      </c>
      <c r="V431" s="51" t="s">
        <v>372</v>
      </c>
      <c r="W431" s="82" t="s">
        <v>2209</v>
      </c>
      <c r="X431" s="55" t="s">
        <v>1585</v>
      </c>
      <c r="Y431" s="55" t="s">
        <v>372</v>
      </c>
      <c r="Z431" s="55" t="s">
        <v>372</v>
      </c>
      <c r="AA431" s="52" t="s">
        <v>1724</v>
      </c>
    </row>
    <row r="432" spans="2:27" ht="80.25" hidden="1" customHeight="1" x14ac:dyDescent="0.35">
      <c r="B432" s="328" t="s">
        <v>53</v>
      </c>
      <c r="C432" s="51" t="s">
        <v>2137</v>
      </c>
      <c r="D432" s="51" t="s">
        <v>54</v>
      </c>
      <c r="E432" s="52">
        <v>1</v>
      </c>
      <c r="F432" s="51" t="s">
        <v>326</v>
      </c>
      <c r="G432" s="51" t="s">
        <v>327</v>
      </c>
      <c r="H432" s="51" t="s">
        <v>328</v>
      </c>
      <c r="I432" s="52">
        <v>27</v>
      </c>
      <c r="J432" s="51" t="s">
        <v>123</v>
      </c>
      <c r="K432" s="52">
        <v>10</v>
      </c>
      <c r="L432" s="52"/>
      <c r="M432" s="52"/>
      <c r="N432" s="53" t="s">
        <v>329</v>
      </c>
      <c r="O432" s="53" t="s">
        <v>361</v>
      </c>
      <c r="P432" s="52" t="s">
        <v>126</v>
      </c>
      <c r="Q432" s="54"/>
      <c r="R432" s="55" t="s">
        <v>275</v>
      </c>
      <c r="S432" s="51" t="s">
        <v>803</v>
      </c>
      <c r="T432" s="51" t="s">
        <v>2142</v>
      </c>
      <c r="U432" s="51" t="s">
        <v>426</v>
      </c>
      <c r="V432" s="79" t="s">
        <v>678</v>
      </c>
      <c r="W432" s="82" t="s">
        <v>2210</v>
      </c>
      <c r="X432" s="55" t="s">
        <v>372</v>
      </c>
      <c r="Y432" s="55" t="s">
        <v>372</v>
      </c>
      <c r="Z432" s="55" t="s">
        <v>372</v>
      </c>
      <c r="AA432" s="52" t="s">
        <v>372</v>
      </c>
    </row>
    <row r="433" spans="2:27" ht="80.25" hidden="1" customHeight="1" x14ac:dyDescent="0.35">
      <c r="B433" s="328" t="s">
        <v>53</v>
      </c>
      <c r="C433" s="51" t="s">
        <v>2137</v>
      </c>
      <c r="D433" s="51" t="s">
        <v>54</v>
      </c>
      <c r="E433" s="52">
        <v>1</v>
      </c>
      <c r="F433" s="51" t="s">
        <v>333</v>
      </c>
      <c r="G433" s="51" t="s">
        <v>334</v>
      </c>
      <c r="H433" s="51" t="s">
        <v>335</v>
      </c>
      <c r="I433" s="52">
        <v>28</v>
      </c>
      <c r="J433" s="51" t="s">
        <v>336</v>
      </c>
      <c r="K433" s="52">
        <v>23</v>
      </c>
      <c r="L433" s="52"/>
      <c r="M433" s="52"/>
      <c r="N433" s="53" t="s">
        <v>337</v>
      </c>
      <c r="O433" s="53" t="s">
        <v>338</v>
      </c>
      <c r="P433" s="52"/>
      <c r="Q433" s="54"/>
      <c r="R433" s="55"/>
      <c r="S433" s="51"/>
      <c r="T433" s="51" t="s">
        <v>2142</v>
      </c>
      <c r="U433" s="51" t="s">
        <v>426</v>
      </c>
      <c r="V433" s="51" t="s">
        <v>372</v>
      </c>
      <c r="W433" s="82" t="s">
        <v>2211</v>
      </c>
      <c r="X433" s="55" t="s">
        <v>372</v>
      </c>
      <c r="Y433" s="55" t="s">
        <v>372</v>
      </c>
      <c r="Z433" s="55" t="s">
        <v>372</v>
      </c>
      <c r="AA433" s="52" t="s">
        <v>372</v>
      </c>
    </row>
    <row r="434" spans="2:27" ht="80.25" hidden="1" customHeight="1" x14ac:dyDescent="0.35">
      <c r="B434" s="51" t="s">
        <v>340</v>
      </c>
      <c r="C434" s="51" t="s">
        <v>2212</v>
      </c>
      <c r="D434" s="51" t="s">
        <v>2213</v>
      </c>
      <c r="E434" s="52">
        <v>0</v>
      </c>
      <c r="F434" s="51" t="s">
        <v>120</v>
      </c>
      <c r="G434" s="51" t="s">
        <v>121</v>
      </c>
      <c r="H434" s="51" t="s">
        <v>122</v>
      </c>
      <c r="I434" s="52">
        <v>1</v>
      </c>
      <c r="J434" s="51" t="s">
        <v>123</v>
      </c>
      <c r="K434" s="52">
        <v>4</v>
      </c>
      <c r="L434" s="52"/>
      <c r="M434" s="52"/>
      <c r="N434" s="328" t="s">
        <v>124</v>
      </c>
      <c r="O434" s="53" t="s">
        <v>125</v>
      </c>
      <c r="P434" s="52" t="s">
        <v>126</v>
      </c>
      <c r="Q434" s="51"/>
      <c r="R434" s="55"/>
      <c r="S434" s="51"/>
      <c r="T434" s="55" t="s">
        <v>2142</v>
      </c>
      <c r="U434" s="55" t="s">
        <v>426</v>
      </c>
      <c r="V434" s="55" t="s">
        <v>372</v>
      </c>
      <c r="W434" s="355" t="s">
        <v>2214</v>
      </c>
      <c r="X434" s="51" t="s">
        <v>1585</v>
      </c>
      <c r="Y434" s="54" t="s">
        <v>372</v>
      </c>
      <c r="Z434" s="54" t="s">
        <v>372</v>
      </c>
      <c r="AA434" s="52" t="s">
        <v>373</v>
      </c>
    </row>
    <row r="435" spans="2:27" ht="80.25" hidden="1" customHeight="1" x14ac:dyDescent="0.35">
      <c r="B435" s="51" t="s">
        <v>340</v>
      </c>
      <c r="C435" s="51" t="s">
        <v>2212</v>
      </c>
      <c r="D435" s="51" t="s">
        <v>2213</v>
      </c>
      <c r="E435" s="52">
        <v>0</v>
      </c>
      <c r="F435" s="51" t="s">
        <v>136</v>
      </c>
      <c r="G435" s="51" t="s">
        <v>137</v>
      </c>
      <c r="H435" s="51" t="s">
        <v>122</v>
      </c>
      <c r="I435" s="52">
        <v>2</v>
      </c>
      <c r="J435" s="51" t="s">
        <v>123</v>
      </c>
      <c r="K435" s="52">
        <v>30</v>
      </c>
      <c r="L435" s="52"/>
      <c r="M435" s="52"/>
      <c r="N435" s="53" t="s">
        <v>138</v>
      </c>
      <c r="O435" s="53" t="s">
        <v>139</v>
      </c>
      <c r="P435" s="52" t="s">
        <v>126</v>
      </c>
      <c r="Q435" s="51"/>
      <c r="R435" s="55"/>
      <c r="S435" s="51"/>
      <c r="T435" s="51" t="s">
        <v>2142</v>
      </c>
      <c r="U435" s="51" t="s">
        <v>426</v>
      </c>
      <c r="V435" s="51" t="s">
        <v>2143</v>
      </c>
      <c r="W435" s="82" t="s">
        <v>2215</v>
      </c>
      <c r="X435" s="51" t="s">
        <v>1585</v>
      </c>
      <c r="Y435" s="54" t="s">
        <v>1582</v>
      </c>
      <c r="Z435" s="54" t="s">
        <v>1583</v>
      </c>
      <c r="AA435" s="52" t="s">
        <v>372</v>
      </c>
    </row>
    <row r="436" spans="2:27" ht="80.25" hidden="1" customHeight="1" x14ac:dyDescent="0.35">
      <c r="B436" s="51" t="s">
        <v>340</v>
      </c>
      <c r="C436" s="51" t="s">
        <v>2212</v>
      </c>
      <c r="D436" s="51" t="s">
        <v>2213</v>
      </c>
      <c r="E436" s="52">
        <v>0</v>
      </c>
      <c r="F436" s="51" t="s">
        <v>352</v>
      </c>
      <c r="G436" s="51" t="s">
        <v>353</v>
      </c>
      <c r="H436" s="51" t="s">
        <v>240</v>
      </c>
      <c r="I436" s="52">
        <v>3</v>
      </c>
      <c r="J436" s="51" t="s">
        <v>123</v>
      </c>
      <c r="K436" s="52">
        <v>1</v>
      </c>
      <c r="L436" s="52"/>
      <c r="M436" s="52"/>
      <c r="N436" s="53" t="s">
        <v>354</v>
      </c>
      <c r="O436" s="53" t="s">
        <v>355</v>
      </c>
      <c r="P436" s="52"/>
      <c r="Q436" s="51"/>
      <c r="R436" s="55"/>
      <c r="S436" s="51"/>
      <c r="T436" s="51" t="s">
        <v>2142</v>
      </c>
      <c r="U436" s="51" t="s">
        <v>426</v>
      </c>
      <c r="V436" s="54" t="s">
        <v>2216</v>
      </c>
      <c r="W436" s="82" t="s">
        <v>2217</v>
      </c>
      <c r="X436" s="51" t="s">
        <v>1585</v>
      </c>
      <c r="Y436" s="54" t="s">
        <v>1582</v>
      </c>
      <c r="Z436" s="51" t="s">
        <v>1042</v>
      </c>
      <c r="AA436" s="52" t="s">
        <v>372</v>
      </c>
    </row>
    <row r="437" spans="2:27" ht="80.25" hidden="1" customHeight="1" x14ac:dyDescent="0.35">
      <c r="B437" s="51" t="s">
        <v>340</v>
      </c>
      <c r="C437" s="51" t="s">
        <v>2212</v>
      </c>
      <c r="D437" s="51" t="s">
        <v>2213</v>
      </c>
      <c r="E437" s="52">
        <v>0</v>
      </c>
      <c r="F437" s="51" t="s">
        <v>317</v>
      </c>
      <c r="G437" s="51" t="s">
        <v>318</v>
      </c>
      <c r="H437" s="51" t="s">
        <v>319</v>
      </c>
      <c r="I437" s="52">
        <v>4</v>
      </c>
      <c r="J437" s="51" t="s">
        <v>123</v>
      </c>
      <c r="K437" s="52">
        <v>2</v>
      </c>
      <c r="L437" s="52"/>
      <c r="M437" s="52"/>
      <c r="N437" s="53" t="s">
        <v>320</v>
      </c>
      <c r="O437" s="53" t="s">
        <v>321</v>
      </c>
      <c r="P437" s="325" t="s">
        <v>126</v>
      </c>
      <c r="Q437" s="53" t="s">
        <v>463</v>
      </c>
      <c r="R437" s="55"/>
      <c r="S437" s="51"/>
      <c r="T437" s="51" t="s">
        <v>2142</v>
      </c>
      <c r="U437" s="51" t="s">
        <v>426</v>
      </c>
      <c r="V437" s="53" t="s">
        <v>372</v>
      </c>
      <c r="W437" s="355" t="s">
        <v>2218</v>
      </c>
      <c r="X437" s="51" t="s">
        <v>1585</v>
      </c>
      <c r="Y437" s="54" t="s">
        <v>1582</v>
      </c>
      <c r="Z437" s="51" t="s">
        <v>372</v>
      </c>
      <c r="AA437" s="380" t="s">
        <v>2219</v>
      </c>
    </row>
    <row r="438" spans="2:27" ht="80.25" hidden="1" customHeight="1" x14ac:dyDescent="0.35">
      <c r="B438" s="51" t="s">
        <v>340</v>
      </c>
      <c r="C438" s="51" t="s">
        <v>2212</v>
      </c>
      <c r="D438" s="51" t="s">
        <v>2213</v>
      </c>
      <c r="E438" s="52">
        <v>0</v>
      </c>
      <c r="F438" s="51" t="s">
        <v>326</v>
      </c>
      <c r="G438" s="51" t="s">
        <v>327</v>
      </c>
      <c r="H438" s="51" t="s">
        <v>328</v>
      </c>
      <c r="I438" s="52">
        <v>5</v>
      </c>
      <c r="J438" s="51" t="s">
        <v>123</v>
      </c>
      <c r="K438" s="52">
        <v>10</v>
      </c>
      <c r="L438" s="52"/>
      <c r="M438" s="52"/>
      <c r="N438" s="53" t="s">
        <v>329</v>
      </c>
      <c r="O438" s="53" t="s">
        <v>361</v>
      </c>
      <c r="P438" s="52"/>
      <c r="Q438" s="51"/>
      <c r="R438" s="55"/>
      <c r="S438" s="51"/>
      <c r="T438" s="51" t="s">
        <v>2142</v>
      </c>
      <c r="U438" s="51" t="s">
        <v>426</v>
      </c>
      <c r="V438" s="54" t="s">
        <v>678</v>
      </c>
      <c r="W438" s="355" t="s">
        <v>2220</v>
      </c>
      <c r="X438" s="51" t="s">
        <v>1585</v>
      </c>
      <c r="Y438" s="54" t="s">
        <v>1582</v>
      </c>
      <c r="Z438" s="51" t="s">
        <v>678</v>
      </c>
      <c r="AA438" s="52" t="s">
        <v>372</v>
      </c>
    </row>
    <row r="439" spans="2:27" ht="80.25" hidden="1" customHeight="1" x14ac:dyDescent="0.35">
      <c r="B439" s="51" t="s">
        <v>340</v>
      </c>
      <c r="C439" s="51" t="s">
        <v>2212</v>
      </c>
      <c r="D439" s="51" t="s">
        <v>2213</v>
      </c>
      <c r="E439" s="52">
        <v>0</v>
      </c>
      <c r="F439" s="51" t="s">
        <v>333</v>
      </c>
      <c r="G439" s="51" t="s">
        <v>334</v>
      </c>
      <c r="H439" s="51" t="s">
        <v>335</v>
      </c>
      <c r="I439" s="52">
        <v>6</v>
      </c>
      <c r="J439" s="51" t="s">
        <v>336</v>
      </c>
      <c r="K439" s="52">
        <v>23</v>
      </c>
      <c r="L439" s="52"/>
      <c r="M439" s="52"/>
      <c r="N439" s="53" t="s">
        <v>337</v>
      </c>
      <c r="O439" s="53" t="s">
        <v>338</v>
      </c>
      <c r="P439" s="52"/>
      <c r="Q439" s="51"/>
      <c r="R439" s="55"/>
      <c r="S439" s="51"/>
      <c r="T439" s="51" t="s">
        <v>2142</v>
      </c>
      <c r="U439" s="51" t="s">
        <v>426</v>
      </c>
      <c r="V439" s="53" t="s">
        <v>372</v>
      </c>
      <c r="W439" s="355" t="s">
        <v>2221</v>
      </c>
      <c r="X439" s="51" t="s">
        <v>1585</v>
      </c>
      <c r="Y439" s="54" t="s">
        <v>1582</v>
      </c>
      <c r="Z439" s="51" t="s">
        <v>372</v>
      </c>
      <c r="AA439" s="52" t="s">
        <v>372</v>
      </c>
    </row>
    <row r="440" spans="2:27" ht="80.25" hidden="1" customHeight="1" x14ac:dyDescent="0.35">
      <c r="B440" s="51" t="s">
        <v>56</v>
      </c>
      <c r="C440" s="51" t="s">
        <v>2222</v>
      </c>
      <c r="D440" s="51" t="s">
        <v>57</v>
      </c>
      <c r="E440" s="52">
        <v>1</v>
      </c>
      <c r="F440" s="51" t="s">
        <v>120</v>
      </c>
      <c r="G440" s="51" t="s">
        <v>121</v>
      </c>
      <c r="H440" s="51" t="s">
        <v>122</v>
      </c>
      <c r="I440" s="52">
        <v>1</v>
      </c>
      <c r="J440" s="51" t="s">
        <v>123</v>
      </c>
      <c r="K440" s="52">
        <v>4</v>
      </c>
      <c r="L440" s="52"/>
      <c r="M440" s="52"/>
      <c r="N440" s="328" t="s">
        <v>124</v>
      </c>
      <c r="O440" s="53" t="s">
        <v>125</v>
      </c>
      <c r="P440" s="52" t="s">
        <v>126</v>
      </c>
      <c r="Q440" s="54"/>
      <c r="R440" s="55" t="s">
        <v>127</v>
      </c>
      <c r="S440" s="55" t="s">
        <v>2138</v>
      </c>
      <c r="T440" s="55" t="s">
        <v>2223</v>
      </c>
      <c r="U440" s="55" t="s">
        <v>2224</v>
      </c>
      <c r="V440" s="55" t="s">
        <v>2225</v>
      </c>
      <c r="W440" s="355" t="s">
        <v>2226</v>
      </c>
      <c r="X440" s="51" t="s">
        <v>1585</v>
      </c>
      <c r="Y440" s="54" t="s">
        <v>372</v>
      </c>
      <c r="Z440" s="54" t="s">
        <v>372</v>
      </c>
      <c r="AA440" s="52" t="s">
        <v>373</v>
      </c>
    </row>
    <row r="441" spans="2:27" ht="80.25" hidden="1" customHeight="1" x14ac:dyDescent="0.35">
      <c r="B441" s="51" t="s">
        <v>56</v>
      </c>
      <c r="C441" s="51" t="s">
        <v>2222</v>
      </c>
      <c r="D441" s="51" t="s">
        <v>57</v>
      </c>
      <c r="E441" s="52">
        <v>1</v>
      </c>
      <c r="F441" s="51" t="s">
        <v>136</v>
      </c>
      <c r="G441" s="51" t="s">
        <v>137</v>
      </c>
      <c r="H441" s="51" t="s">
        <v>122</v>
      </c>
      <c r="I441" s="52">
        <v>2</v>
      </c>
      <c r="J441" s="51" t="s">
        <v>123</v>
      </c>
      <c r="K441" s="52">
        <v>30</v>
      </c>
      <c r="L441" s="52"/>
      <c r="M441" s="52"/>
      <c r="N441" s="53" t="s">
        <v>138</v>
      </c>
      <c r="O441" s="53" t="s">
        <v>139</v>
      </c>
      <c r="P441" s="52" t="s">
        <v>126</v>
      </c>
      <c r="Q441" s="54"/>
      <c r="R441" s="55" t="s">
        <v>127</v>
      </c>
      <c r="S441" s="55" t="s">
        <v>2138</v>
      </c>
      <c r="T441" s="55" t="s">
        <v>2139</v>
      </c>
      <c r="U441" s="55" t="s">
        <v>2227</v>
      </c>
      <c r="V441" s="55" t="s">
        <v>1580</v>
      </c>
      <c r="W441" s="355" t="s">
        <v>2228</v>
      </c>
      <c r="X441" s="51" t="s">
        <v>1585</v>
      </c>
      <c r="Y441" s="54" t="s">
        <v>1582</v>
      </c>
      <c r="Z441" s="54" t="s">
        <v>1583</v>
      </c>
      <c r="AA441" s="52" t="s">
        <v>372</v>
      </c>
    </row>
    <row r="442" spans="2:27" ht="80.25" hidden="1" customHeight="1" x14ac:dyDescent="0.35">
      <c r="B442" s="51" t="s">
        <v>56</v>
      </c>
      <c r="C442" s="51" t="s">
        <v>2222</v>
      </c>
      <c r="D442" s="51" t="s">
        <v>57</v>
      </c>
      <c r="E442" s="52">
        <v>1</v>
      </c>
      <c r="F442" s="51" t="s">
        <v>148</v>
      </c>
      <c r="G442" s="51" t="s">
        <v>149</v>
      </c>
      <c r="H442" s="51" t="s">
        <v>150</v>
      </c>
      <c r="I442" s="52">
        <v>3</v>
      </c>
      <c r="J442" s="51" t="s">
        <v>123</v>
      </c>
      <c r="K442" s="52">
        <v>4</v>
      </c>
      <c r="L442" s="52"/>
      <c r="M442" s="52"/>
      <c r="N442" s="53" t="s">
        <v>151</v>
      </c>
      <c r="O442" s="53" t="s">
        <v>152</v>
      </c>
      <c r="P442" s="52"/>
      <c r="Q442" s="53" t="s">
        <v>586</v>
      </c>
      <c r="R442" s="55"/>
      <c r="S442" s="51"/>
      <c r="T442" s="55" t="s">
        <v>2223</v>
      </c>
      <c r="U442" s="55" t="s">
        <v>2224</v>
      </c>
      <c r="V442" s="55" t="s">
        <v>2225</v>
      </c>
      <c r="W442" s="355" t="s">
        <v>2229</v>
      </c>
      <c r="X442" s="55" t="s">
        <v>1585</v>
      </c>
      <c r="Y442" s="53" t="s">
        <v>1582</v>
      </c>
      <c r="Z442" s="55" t="s">
        <v>1586</v>
      </c>
      <c r="AA442" s="52" t="s">
        <v>372</v>
      </c>
    </row>
    <row r="443" spans="2:27" ht="80.25" hidden="1" customHeight="1" x14ac:dyDescent="0.35">
      <c r="B443" s="51" t="s">
        <v>56</v>
      </c>
      <c r="C443" s="51" t="s">
        <v>2222</v>
      </c>
      <c r="D443" s="51" t="s">
        <v>57</v>
      </c>
      <c r="E443" s="52">
        <v>1</v>
      </c>
      <c r="F443" s="51" t="s">
        <v>155</v>
      </c>
      <c r="G443" s="51" t="s">
        <v>156</v>
      </c>
      <c r="H443" s="51" t="s">
        <v>150</v>
      </c>
      <c r="I443" s="52">
        <v>4</v>
      </c>
      <c r="J443" s="51" t="s">
        <v>123</v>
      </c>
      <c r="K443" s="52">
        <v>4</v>
      </c>
      <c r="L443" s="52"/>
      <c r="M443" s="52"/>
      <c r="N443" s="53" t="s">
        <v>157</v>
      </c>
      <c r="O443" s="53" t="s">
        <v>158</v>
      </c>
      <c r="P443" s="52"/>
      <c r="Q443" s="55" t="s">
        <v>1587</v>
      </c>
      <c r="R443" s="55" t="s">
        <v>160</v>
      </c>
      <c r="S443" s="55" t="s">
        <v>161</v>
      </c>
      <c r="T443" s="55" t="s">
        <v>2139</v>
      </c>
      <c r="U443" s="55" t="s">
        <v>2227</v>
      </c>
      <c r="V443" s="55" t="s">
        <v>2230</v>
      </c>
      <c r="W443" s="355" t="s">
        <v>2231</v>
      </c>
      <c r="X443" s="51" t="s">
        <v>1585</v>
      </c>
      <c r="Y443" s="54" t="s">
        <v>1582</v>
      </c>
      <c r="Z443" s="54" t="s">
        <v>590</v>
      </c>
      <c r="AA443" s="52" t="s">
        <v>372</v>
      </c>
    </row>
    <row r="444" spans="2:27" ht="80.25" hidden="1" customHeight="1" x14ac:dyDescent="0.35">
      <c r="B444" s="51" t="s">
        <v>56</v>
      </c>
      <c r="C444" s="51" t="s">
        <v>2222</v>
      </c>
      <c r="D444" s="51" t="s">
        <v>57</v>
      </c>
      <c r="E444" s="52">
        <v>1</v>
      </c>
      <c r="F444" s="51" t="s">
        <v>167</v>
      </c>
      <c r="G444" s="51" t="s">
        <v>168</v>
      </c>
      <c r="H444" s="51" t="s">
        <v>150</v>
      </c>
      <c r="I444" s="52">
        <v>5</v>
      </c>
      <c r="J444" s="51" t="s">
        <v>123</v>
      </c>
      <c r="K444" s="52">
        <v>4</v>
      </c>
      <c r="L444" s="52"/>
      <c r="M444" s="52"/>
      <c r="N444" s="53" t="s">
        <v>169</v>
      </c>
      <c r="O444" s="53" t="s">
        <v>170</v>
      </c>
      <c r="P444" s="52"/>
      <c r="Q444" s="55" t="s">
        <v>1590</v>
      </c>
      <c r="R444" s="55" t="s">
        <v>160</v>
      </c>
      <c r="S444" s="55" t="s">
        <v>172</v>
      </c>
      <c r="T444" s="55" t="s">
        <v>2139</v>
      </c>
      <c r="U444" s="55" t="s">
        <v>2227</v>
      </c>
      <c r="V444" s="55" t="s">
        <v>1591</v>
      </c>
      <c r="W444" s="355" t="s">
        <v>2232</v>
      </c>
      <c r="X444" s="51" t="s">
        <v>1585</v>
      </c>
      <c r="Y444" s="54" t="s">
        <v>1582</v>
      </c>
      <c r="Z444" s="54" t="s">
        <v>593</v>
      </c>
      <c r="AA444" s="52" t="s">
        <v>372</v>
      </c>
    </row>
    <row r="445" spans="2:27" ht="80.25" hidden="1" customHeight="1" x14ac:dyDescent="0.35">
      <c r="B445" s="51" t="s">
        <v>56</v>
      </c>
      <c r="C445" s="51" t="s">
        <v>2222</v>
      </c>
      <c r="D445" s="51" t="s">
        <v>57</v>
      </c>
      <c r="E445" s="52">
        <v>1</v>
      </c>
      <c r="F445" s="51" t="s">
        <v>198</v>
      </c>
      <c r="G445" s="51" t="s">
        <v>199</v>
      </c>
      <c r="H445" s="51" t="s">
        <v>200</v>
      </c>
      <c r="I445" s="52">
        <v>6</v>
      </c>
      <c r="J445" s="51" t="s">
        <v>123</v>
      </c>
      <c r="K445" s="52">
        <v>10</v>
      </c>
      <c r="L445" s="52"/>
      <c r="M445" s="52"/>
      <c r="N445" s="53" t="s">
        <v>201</v>
      </c>
      <c r="O445" s="53" t="s">
        <v>202</v>
      </c>
      <c r="P445" s="52"/>
      <c r="Q445" s="54"/>
      <c r="R445" s="55" t="s">
        <v>203</v>
      </c>
      <c r="S445" s="51" t="s">
        <v>198</v>
      </c>
      <c r="T445" s="55" t="s">
        <v>2139</v>
      </c>
      <c r="U445" s="55" t="s">
        <v>2227</v>
      </c>
      <c r="V445" s="55" t="s">
        <v>1593</v>
      </c>
      <c r="W445" s="82" t="s">
        <v>2233</v>
      </c>
      <c r="X445" s="51" t="s">
        <v>1585</v>
      </c>
      <c r="Y445" s="54" t="s">
        <v>1582</v>
      </c>
      <c r="Z445" s="54" t="s">
        <v>630</v>
      </c>
      <c r="AA445" s="52" t="s">
        <v>372</v>
      </c>
    </row>
    <row r="446" spans="2:27" ht="80.25" hidden="1" customHeight="1" x14ac:dyDescent="0.35">
      <c r="B446" s="51" t="s">
        <v>56</v>
      </c>
      <c r="C446" s="51" t="s">
        <v>2222</v>
      </c>
      <c r="D446" s="51" t="s">
        <v>57</v>
      </c>
      <c r="E446" s="52">
        <v>1</v>
      </c>
      <c r="F446" s="51" t="s">
        <v>210</v>
      </c>
      <c r="G446" s="51" t="s">
        <v>211</v>
      </c>
      <c r="H446" s="51" t="s">
        <v>200</v>
      </c>
      <c r="I446" s="52">
        <v>7</v>
      </c>
      <c r="J446" s="51" t="s">
        <v>123</v>
      </c>
      <c r="K446" s="52">
        <v>10</v>
      </c>
      <c r="L446" s="52"/>
      <c r="M446" s="52"/>
      <c r="N446" s="53" t="s">
        <v>212</v>
      </c>
      <c r="O446" s="53" t="s">
        <v>213</v>
      </c>
      <c r="P446" s="52"/>
      <c r="Q446" s="54"/>
      <c r="R446" s="55"/>
      <c r="S446" s="51"/>
      <c r="T446" s="55" t="s">
        <v>2139</v>
      </c>
      <c r="U446" s="55" t="s">
        <v>2227</v>
      </c>
      <c r="V446" s="55" t="s">
        <v>2234</v>
      </c>
      <c r="W446" s="355" t="s">
        <v>2235</v>
      </c>
      <c r="X446" s="51" t="s">
        <v>1585</v>
      </c>
      <c r="Y446" s="54" t="s">
        <v>1582</v>
      </c>
      <c r="Z446" s="53" t="s">
        <v>2099</v>
      </c>
      <c r="AA446" s="52" t="s">
        <v>372</v>
      </c>
    </row>
    <row r="447" spans="2:27" ht="80.25" hidden="1" customHeight="1" x14ac:dyDescent="0.35">
      <c r="B447" s="51" t="s">
        <v>56</v>
      </c>
      <c r="C447" s="51" t="s">
        <v>2222</v>
      </c>
      <c r="D447" s="51" t="s">
        <v>57</v>
      </c>
      <c r="E447" s="52">
        <v>1</v>
      </c>
      <c r="F447" s="51" t="s">
        <v>222</v>
      </c>
      <c r="G447" s="51" t="s">
        <v>223</v>
      </c>
      <c r="H447" s="51" t="s">
        <v>224</v>
      </c>
      <c r="I447" s="52">
        <v>8</v>
      </c>
      <c r="J447" s="51" t="s">
        <v>123</v>
      </c>
      <c r="K447" s="52">
        <v>4</v>
      </c>
      <c r="L447" s="52"/>
      <c r="M447" s="52"/>
      <c r="N447" s="53" t="s">
        <v>225</v>
      </c>
      <c r="O447" s="53" t="s">
        <v>226</v>
      </c>
      <c r="P447" s="52"/>
      <c r="Q447" s="55" t="s">
        <v>419</v>
      </c>
      <c r="R447" s="55" t="s">
        <v>654</v>
      </c>
      <c r="S447" s="55" t="s">
        <v>229</v>
      </c>
      <c r="T447" s="55" t="s">
        <v>2139</v>
      </c>
      <c r="U447" s="55" t="s">
        <v>2227</v>
      </c>
      <c r="V447" s="55" t="s">
        <v>1601</v>
      </c>
      <c r="W447" s="355" t="s">
        <v>2236</v>
      </c>
      <c r="X447" s="51" t="s">
        <v>1585</v>
      </c>
      <c r="Y447" s="54" t="s">
        <v>1582</v>
      </c>
      <c r="Z447" s="54" t="s">
        <v>427</v>
      </c>
      <c r="AA447" s="52" t="s">
        <v>372</v>
      </c>
    </row>
    <row r="448" spans="2:27" ht="80.25" hidden="1" customHeight="1" x14ac:dyDescent="0.35">
      <c r="B448" s="51" t="s">
        <v>56</v>
      </c>
      <c r="C448" s="51" t="s">
        <v>2222</v>
      </c>
      <c r="D448" s="51" t="s">
        <v>57</v>
      </c>
      <c r="E448" s="52">
        <v>1</v>
      </c>
      <c r="F448" s="51" t="s">
        <v>1604</v>
      </c>
      <c r="G448" s="51" t="s">
        <v>1605</v>
      </c>
      <c r="H448" s="54" t="s">
        <v>249</v>
      </c>
      <c r="I448" s="52">
        <v>9</v>
      </c>
      <c r="J448" s="51" t="s">
        <v>250</v>
      </c>
      <c r="K448" s="52">
        <v>23</v>
      </c>
      <c r="L448" s="52">
        <v>6</v>
      </c>
      <c r="M448" s="52"/>
      <c r="N448" s="53" t="s">
        <v>1606</v>
      </c>
      <c r="O448" s="53" t="s">
        <v>1607</v>
      </c>
      <c r="P448" s="52"/>
      <c r="Q448" s="54"/>
      <c r="R448" s="53"/>
      <c r="S448" s="54"/>
      <c r="T448" s="55" t="s">
        <v>2139</v>
      </c>
      <c r="U448" s="55" t="s">
        <v>2227</v>
      </c>
      <c r="V448" s="55" t="s">
        <v>1608</v>
      </c>
      <c r="W448" s="355" t="s">
        <v>2237</v>
      </c>
      <c r="X448" s="51" t="s">
        <v>1585</v>
      </c>
      <c r="Y448" s="54" t="s">
        <v>1582</v>
      </c>
      <c r="Z448" s="54" t="s">
        <v>652</v>
      </c>
      <c r="AA448" s="52" t="s">
        <v>372</v>
      </c>
    </row>
    <row r="449" spans="2:27" ht="80.25" hidden="1" customHeight="1" x14ac:dyDescent="0.35">
      <c r="B449" s="51" t="s">
        <v>56</v>
      </c>
      <c r="C449" s="51" t="s">
        <v>2222</v>
      </c>
      <c r="D449" s="51" t="s">
        <v>57</v>
      </c>
      <c r="E449" s="52">
        <v>1</v>
      </c>
      <c r="F449" s="51" t="s">
        <v>1610</v>
      </c>
      <c r="G449" s="51" t="s">
        <v>1611</v>
      </c>
      <c r="H449" s="54" t="s">
        <v>249</v>
      </c>
      <c r="I449" s="52">
        <v>10</v>
      </c>
      <c r="J449" s="51" t="s">
        <v>250</v>
      </c>
      <c r="K449" s="52">
        <v>23</v>
      </c>
      <c r="L449" s="52">
        <v>6</v>
      </c>
      <c r="M449" s="52"/>
      <c r="N449" s="53" t="s">
        <v>1612</v>
      </c>
      <c r="O449" s="53" t="s">
        <v>1613</v>
      </c>
      <c r="P449" s="52"/>
      <c r="Q449" s="51"/>
      <c r="R449" s="53"/>
      <c r="S449" s="54"/>
      <c r="T449" s="55" t="s">
        <v>2139</v>
      </c>
      <c r="U449" s="55" t="s">
        <v>2227</v>
      </c>
      <c r="V449" s="65" t="s">
        <v>1614</v>
      </c>
      <c r="W449" s="355" t="s">
        <v>2238</v>
      </c>
      <c r="X449" s="55" t="s">
        <v>1585</v>
      </c>
      <c r="Y449" s="53" t="s">
        <v>1582</v>
      </c>
      <c r="Z449" s="51" t="s">
        <v>1616</v>
      </c>
      <c r="AA449" s="60" t="s">
        <v>372</v>
      </c>
    </row>
    <row r="450" spans="2:27" ht="80.25" hidden="1" customHeight="1" x14ac:dyDescent="0.35">
      <c r="B450" s="51" t="s">
        <v>56</v>
      </c>
      <c r="C450" s="51" t="s">
        <v>2222</v>
      </c>
      <c r="D450" s="51" t="s">
        <v>57</v>
      </c>
      <c r="E450" s="52">
        <v>1</v>
      </c>
      <c r="F450" s="51" t="s">
        <v>1617</v>
      </c>
      <c r="G450" s="51" t="s">
        <v>1618</v>
      </c>
      <c r="H450" s="54" t="s">
        <v>249</v>
      </c>
      <c r="I450" s="52">
        <v>11</v>
      </c>
      <c r="J450" s="51" t="s">
        <v>250</v>
      </c>
      <c r="K450" s="52">
        <v>23</v>
      </c>
      <c r="L450" s="52">
        <v>6</v>
      </c>
      <c r="M450" s="52"/>
      <c r="N450" s="53" t="s">
        <v>1619</v>
      </c>
      <c r="O450" s="53" t="s">
        <v>1620</v>
      </c>
      <c r="P450" s="52"/>
      <c r="Q450" s="54"/>
      <c r="R450" s="53" t="s">
        <v>275</v>
      </c>
      <c r="S450" s="54" t="s">
        <v>276</v>
      </c>
      <c r="T450" s="55" t="s">
        <v>2139</v>
      </c>
      <c r="U450" s="55" t="s">
        <v>2227</v>
      </c>
      <c r="V450" s="55" t="s">
        <v>2239</v>
      </c>
      <c r="W450" s="355" t="s">
        <v>2240</v>
      </c>
      <c r="X450" s="51" t="s">
        <v>1585</v>
      </c>
      <c r="Y450" s="54" t="s">
        <v>1582</v>
      </c>
      <c r="Z450" s="54" t="s">
        <v>1623</v>
      </c>
      <c r="AA450" s="52" t="s">
        <v>372</v>
      </c>
    </row>
    <row r="451" spans="2:27" ht="80.25" hidden="1" customHeight="1" x14ac:dyDescent="0.35">
      <c r="B451" s="51" t="s">
        <v>56</v>
      </c>
      <c r="C451" s="51" t="s">
        <v>2222</v>
      </c>
      <c r="D451" s="51" t="s">
        <v>57</v>
      </c>
      <c r="E451" s="77">
        <v>1</v>
      </c>
      <c r="F451" s="66" t="s">
        <v>2241</v>
      </c>
      <c r="G451" s="66" t="s">
        <v>2242</v>
      </c>
      <c r="H451" s="74" t="s">
        <v>746</v>
      </c>
      <c r="I451" s="77">
        <v>12</v>
      </c>
      <c r="J451" s="66" t="s">
        <v>123</v>
      </c>
      <c r="K451" s="77">
        <v>4</v>
      </c>
      <c r="L451" s="77"/>
      <c r="M451" s="77"/>
      <c r="N451" s="72" t="s">
        <v>2173</v>
      </c>
      <c r="O451" s="53" t="s">
        <v>2174</v>
      </c>
      <c r="P451" s="77"/>
      <c r="Q451" s="72" t="s">
        <v>1673</v>
      </c>
      <c r="R451" s="72"/>
      <c r="S451" s="74"/>
      <c r="T451" s="66"/>
      <c r="U451" s="66"/>
      <c r="V451" s="66"/>
      <c r="W451" s="66"/>
      <c r="X451" s="66" t="s">
        <v>1674</v>
      </c>
      <c r="Y451" s="66" t="s">
        <v>1674</v>
      </c>
      <c r="Z451" s="66" t="s">
        <v>1674</v>
      </c>
      <c r="AA451" s="75" t="s">
        <v>1674</v>
      </c>
    </row>
    <row r="452" spans="2:27" ht="80.25" hidden="1" customHeight="1" x14ac:dyDescent="0.35">
      <c r="B452" s="51" t="s">
        <v>56</v>
      </c>
      <c r="C452" s="51" t="s">
        <v>2222</v>
      </c>
      <c r="D452" s="51" t="s">
        <v>57</v>
      </c>
      <c r="E452" s="77">
        <v>1</v>
      </c>
      <c r="F452" s="66" t="s">
        <v>2243</v>
      </c>
      <c r="G452" s="66" t="s">
        <v>2244</v>
      </c>
      <c r="H452" s="74" t="s">
        <v>746</v>
      </c>
      <c r="I452" s="77">
        <v>13</v>
      </c>
      <c r="J452" s="66" t="s">
        <v>123</v>
      </c>
      <c r="K452" s="77">
        <v>3</v>
      </c>
      <c r="L452" s="77"/>
      <c r="M452" s="77"/>
      <c r="N452" s="72" t="s">
        <v>1677</v>
      </c>
      <c r="O452" s="53" t="s">
        <v>2177</v>
      </c>
      <c r="P452" s="77"/>
      <c r="Q452" s="72" t="s">
        <v>1679</v>
      </c>
      <c r="R452" s="72"/>
      <c r="S452" s="74"/>
      <c r="T452" s="66"/>
      <c r="U452" s="66"/>
      <c r="V452" s="66"/>
      <c r="W452" s="66"/>
      <c r="X452" s="66" t="s">
        <v>1674</v>
      </c>
      <c r="Y452" s="66" t="s">
        <v>1674</v>
      </c>
      <c r="Z452" s="66" t="s">
        <v>1674</v>
      </c>
      <c r="AA452" s="75" t="s">
        <v>1674</v>
      </c>
    </row>
    <row r="453" spans="2:27" ht="80.25" hidden="1" customHeight="1" x14ac:dyDescent="0.35">
      <c r="B453" s="51" t="s">
        <v>56</v>
      </c>
      <c r="C453" s="51" t="s">
        <v>2222</v>
      </c>
      <c r="D453" s="51" t="s">
        <v>57</v>
      </c>
      <c r="E453" s="77">
        <v>1</v>
      </c>
      <c r="F453" s="66" t="s">
        <v>2245</v>
      </c>
      <c r="G453" s="66" t="s">
        <v>2246</v>
      </c>
      <c r="H453" s="74" t="s">
        <v>767</v>
      </c>
      <c r="I453" s="77">
        <v>14</v>
      </c>
      <c r="J453" s="66" t="s">
        <v>250</v>
      </c>
      <c r="K453" s="77">
        <v>23</v>
      </c>
      <c r="L453" s="77">
        <v>6</v>
      </c>
      <c r="M453" s="77"/>
      <c r="N453" s="72" t="s">
        <v>2180</v>
      </c>
      <c r="O453" s="53" t="s">
        <v>2181</v>
      </c>
      <c r="P453" s="77"/>
      <c r="Q453" s="74"/>
      <c r="R453" s="72"/>
      <c r="S453" s="74"/>
      <c r="T453" s="66"/>
      <c r="U453" s="66"/>
      <c r="V453" s="66"/>
      <c r="W453" s="66"/>
      <c r="X453" s="66" t="s">
        <v>1674</v>
      </c>
      <c r="Y453" s="66" t="s">
        <v>1674</v>
      </c>
      <c r="Z453" s="66" t="s">
        <v>1674</v>
      </c>
      <c r="AA453" s="75" t="s">
        <v>1674</v>
      </c>
    </row>
    <row r="454" spans="2:27" ht="80.25" hidden="1" customHeight="1" x14ac:dyDescent="0.35">
      <c r="B454" s="51" t="s">
        <v>56</v>
      </c>
      <c r="C454" s="51" t="s">
        <v>2222</v>
      </c>
      <c r="D454" s="51" t="s">
        <v>57</v>
      </c>
      <c r="E454" s="77">
        <v>1</v>
      </c>
      <c r="F454" s="66" t="s">
        <v>2247</v>
      </c>
      <c r="G454" s="66" t="s">
        <v>2248</v>
      </c>
      <c r="H454" s="74" t="s">
        <v>767</v>
      </c>
      <c r="I454" s="77">
        <v>15</v>
      </c>
      <c r="J454" s="66" t="s">
        <v>250</v>
      </c>
      <c r="K454" s="77">
        <v>23</v>
      </c>
      <c r="L454" s="77">
        <v>6</v>
      </c>
      <c r="M454" s="77"/>
      <c r="N454" s="72" t="s">
        <v>1686</v>
      </c>
      <c r="O454" s="53" t="s">
        <v>2184</v>
      </c>
      <c r="P454" s="77"/>
      <c r="Q454" s="74"/>
      <c r="R454" s="72"/>
      <c r="S454" s="74"/>
      <c r="T454" s="66"/>
      <c r="U454" s="66"/>
      <c r="V454" s="66"/>
      <c r="W454" s="66"/>
      <c r="X454" s="66" t="s">
        <v>1674</v>
      </c>
      <c r="Y454" s="66" t="s">
        <v>1674</v>
      </c>
      <c r="Z454" s="66" t="s">
        <v>1674</v>
      </c>
      <c r="AA454" s="75" t="s">
        <v>1674</v>
      </c>
    </row>
    <row r="455" spans="2:27" ht="80.25" hidden="1" customHeight="1" x14ac:dyDescent="0.35">
      <c r="B455" s="51" t="s">
        <v>56</v>
      </c>
      <c r="C455" s="51" t="s">
        <v>2222</v>
      </c>
      <c r="D455" s="51" t="s">
        <v>57</v>
      </c>
      <c r="E455" s="77">
        <v>1</v>
      </c>
      <c r="F455" s="66" t="s">
        <v>2249</v>
      </c>
      <c r="G455" s="66" t="s">
        <v>2250</v>
      </c>
      <c r="H455" s="74" t="s">
        <v>767</v>
      </c>
      <c r="I455" s="77">
        <v>16</v>
      </c>
      <c r="J455" s="66" t="s">
        <v>250</v>
      </c>
      <c r="K455" s="77">
        <v>23</v>
      </c>
      <c r="L455" s="77">
        <v>6</v>
      </c>
      <c r="M455" s="77"/>
      <c r="N455" s="72" t="s">
        <v>2187</v>
      </c>
      <c r="O455" s="53" t="s">
        <v>2188</v>
      </c>
      <c r="P455" s="77"/>
      <c r="Q455" s="66"/>
      <c r="R455" s="67" t="s">
        <v>788</v>
      </c>
      <c r="S455" s="66" t="s">
        <v>1518</v>
      </c>
      <c r="T455" s="66"/>
      <c r="U455" s="66"/>
      <c r="V455" s="66"/>
      <c r="W455" s="66"/>
      <c r="X455" s="66" t="s">
        <v>1674</v>
      </c>
      <c r="Y455" s="66" t="s">
        <v>1674</v>
      </c>
      <c r="Z455" s="66" t="s">
        <v>1674</v>
      </c>
      <c r="AA455" s="75" t="s">
        <v>1674</v>
      </c>
    </row>
    <row r="456" spans="2:27" ht="80.25" hidden="1" customHeight="1" x14ac:dyDescent="0.35">
      <c r="B456" s="51" t="s">
        <v>56</v>
      </c>
      <c r="C456" s="51" t="s">
        <v>2222</v>
      </c>
      <c r="D456" s="51" t="s">
        <v>57</v>
      </c>
      <c r="E456" s="77">
        <v>1</v>
      </c>
      <c r="F456" s="66" t="s">
        <v>2251</v>
      </c>
      <c r="G456" s="66" t="s">
        <v>2252</v>
      </c>
      <c r="H456" s="74" t="s">
        <v>746</v>
      </c>
      <c r="I456" s="77">
        <v>17</v>
      </c>
      <c r="J456" s="66" t="s">
        <v>123</v>
      </c>
      <c r="K456" s="77">
        <v>4</v>
      </c>
      <c r="L456" s="77"/>
      <c r="M456" s="77"/>
      <c r="N456" s="72" t="s">
        <v>2191</v>
      </c>
      <c r="O456" s="53" t="s">
        <v>2192</v>
      </c>
      <c r="P456" s="77"/>
      <c r="Q456" s="72" t="s">
        <v>1673</v>
      </c>
      <c r="R456" s="72"/>
      <c r="S456" s="74"/>
      <c r="T456" s="66"/>
      <c r="U456" s="66"/>
      <c r="V456" s="66"/>
      <c r="W456" s="66"/>
      <c r="X456" s="66" t="s">
        <v>1674</v>
      </c>
      <c r="Y456" s="66" t="s">
        <v>1674</v>
      </c>
      <c r="Z456" s="66" t="s">
        <v>1674</v>
      </c>
      <c r="AA456" s="75" t="s">
        <v>1674</v>
      </c>
    </row>
    <row r="457" spans="2:27" ht="80.25" hidden="1" customHeight="1" x14ac:dyDescent="0.35">
      <c r="B457" s="51" t="s">
        <v>56</v>
      </c>
      <c r="C457" s="51" t="s">
        <v>2222</v>
      </c>
      <c r="D457" s="51" t="s">
        <v>57</v>
      </c>
      <c r="E457" s="77">
        <v>1</v>
      </c>
      <c r="F457" s="66" t="s">
        <v>2253</v>
      </c>
      <c r="G457" s="66" t="s">
        <v>2254</v>
      </c>
      <c r="H457" s="74" t="s">
        <v>746</v>
      </c>
      <c r="I457" s="77">
        <v>18</v>
      </c>
      <c r="J457" s="66" t="s">
        <v>123</v>
      </c>
      <c r="K457" s="77">
        <v>3</v>
      </c>
      <c r="L457" s="77"/>
      <c r="M457" s="77"/>
      <c r="N457" s="72" t="s">
        <v>1698</v>
      </c>
      <c r="O457" s="53" t="s">
        <v>2255</v>
      </c>
      <c r="P457" s="77"/>
      <c r="Q457" s="72" t="s">
        <v>1700</v>
      </c>
      <c r="R457" s="72"/>
      <c r="S457" s="74"/>
      <c r="T457" s="66"/>
      <c r="U457" s="66"/>
      <c r="V457" s="66"/>
      <c r="W457" s="66"/>
      <c r="X457" s="66" t="s">
        <v>1674</v>
      </c>
      <c r="Y457" s="66" t="s">
        <v>1674</v>
      </c>
      <c r="Z457" s="66" t="s">
        <v>1674</v>
      </c>
      <c r="AA457" s="75" t="s">
        <v>1674</v>
      </c>
    </row>
    <row r="458" spans="2:27" ht="80.25" hidden="1" customHeight="1" x14ac:dyDescent="0.35">
      <c r="B458" s="51" t="s">
        <v>56</v>
      </c>
      <c r="C458" s="51" t="s">
        <v>2222</v>
      </c>
      <c r="D458" s="51" t="s">
        <v>57</v>
      </c>
      <c r="E458" s="77">
        <v>1</v>
      </c>
      <c r="F458" s="66" t="s">
        <v>2256</v>
      </c>
      <c r="G458" s="66" t="s">
        <v>2257</v>
      </c>
      <c r="H458" s="74" t="s">
        <v>767</v>
      </c>
      <c r="I458" s="77">
        <v>19</v>
      </c>
      <c r="J458" s="66" t="s">
        <v>250</v>
      </c>
      <c r="K458" s="77">
        <v>23</v>
      </c>
      <c r="L458" s="77">
        <v>6</v>
      </c>
      <c r="M458" s="77"/>
      <c r="N458" s="72" t="s">
        <v>2198</v>
      </c>
      <c r="O458" s="53" t="s">
        <v>2199</v>
      </c>
      <c r="P458" s="77"/>
      <c r="Q458" s="74"/>
      <c r="R458" s="72"/>
      <c r="S458" s="74"/>
      <c r="T458" s="66"/>
      <c r="U458" s="66"/>
      <c r="V458" s="66"/>
      <c r="W458" s="66"/>
      <c r="X458" s="66" t="s">
        <v>1674</v>
      </c>
      <c r="Y458" s="66" t="s">
        <v>1674</v>
      </c>
      <c r="Z458" s="66" t="s">
        <v>1674</v>
      </c>
      <c r="AA458" s="75" t="s">
        <v>1674</v>
      </c>
    </row>
    <row r="459" spans="2:27" ht="80.25" hidden="1" customHeight="1" x14ac:dyDescent="0.35">
      <c r="B459" s="51" t="s">
        <v>56</v>
      </c>
      <c r="C459" s="51" t="s">
        <v>2222</v>
      </c>
      <c r="D459" s="51" t="s">
        <v>57</v>
      </c>
      <c r="E459" s="77">
        <v>1</v>
      </c>
      <c r="F459" s="66" t="s">
        <v>2258</v>
      </c>
      <c r="G459" s="66" t="s">
        <v>2259</v>
      </c>
      <c r="H459" s="74" t="s">
        <v>767</v>
      </c>
      <c r="I459" s="77">
        <v>20</v>
      </c>
      <c r="J459" s="66" t="s">
        <v>250</v>
      </c>
      <c r="K459" s="77">
        <v>23</v>
      </c>
      <c r="L459" s="77">
        <v>6</v>
      </c>
      <c r="M459" s="77"/>
      <c r="N459" s="72" t="s">
        <v>777</v>
      </c>
      <c r="O459" s="53" t="s">
        <v>2202</v>
      </c>
      <c r="P459" s="77"/>
      <c r="Q459" s="74"/>
      <c r="R459" s="72"/>
      <c r="S459" s="74"/>
      <c r="T459" s="66"/>
      <c r="U459" s="66"/>
      <c r="V459" s="66"/>
      <c r="W459" s="66"/>
      <c r="X459" s="66" t="s">
        <v>1674</v>
      </c>
      <c r="Y459" s="66" t="s">
        <v>1674</v>
      </c>
      <c r="Z459" s="66" t="s">
        <v>1674</v>
      </c>
      <c r="AA459" s="75" t="s">
        <v>1674</v>
      </c>
    </row>
    <row r="460" spans="2:27" ht="80.25" hidden="1" customHeight="1" x14ac:dyDescent="0.35">
      <c r="B460" s="51" t="s">
        <v>56</v>
      </c>
      <c r="C460" s="51" t="s">
        <v>2222</v>
      </c>
      <c r="D460" s="51" t="s">
        <v>57</v>
      </c>
      <c r="E460" s="77">
        <v>1</v>
      </c>
      <c r="F460" s="66" t="s">
        <v>2260</v>
      </c>
      <c r="G460" s="66" t="s">
        <v>2261</v>
      </c>
      <c r="H460" s="74" t="s">
        <v>767</v>
      </c>
      <c r="I460" s="77">
        <v>21</v>
      </c>
      <c r="J460" s="66" t="s">
        <v>250</v>
      </c>
      <c r="K460" s="77">
        <v>23</v>
      </c>
      <c r="L460" s="77">
        <v>6</v>
      </c>
      <c r="M460" s="77"/>
      <c r="N460" s="72" t="s">
        <v>2205</v>
      </c>
      <c r="O460" s="53" t="s">
        <v>2206</v>
      </c>
      <c r="P460" s="77"/>
      <c r="Q460" s="66"/>
      <c r="R460" s="67" t="s">
        <v>1712</v>
      </c>
      <c r="S460" s="67" t="s">
        <v>1713</v>
      </c>
      <c r="T460" s="66"/>
      <c r="U460" s="66"/>
      <c r="V460" s="66"/>
      <c r="W460" s="66"/>
      <c r="X460" s="66" t="s">
        <v>1674</v>
      </c>
      <c r="Y460" s="66" t="s">
        <v>1674</v>
      </c>
      <c r="Z460" s="66" t="s">
        <v>1674</v>
      </c>
      <c r="AA460" s="75" t="s">
        <v>1674</v>
      </c>
    </row>
    <row r="461" spans="2:27" ht="80.25" hidden="1" customHeight="1" x14ac:dyDescent="0.35">
      <c r="B461" s="51" t="s">
        <v>56</v>
      </c>
      <c r="C461" s="51" t="s">
        <v>2222</v>
      </c>
      <c r="D461" s="51" t="s">
        <v>57</v>
      </c>
      <c r="E461" s="52">
        <v>1</v>
      </c>
      <c r="F461" s="220" t="s">
        <v>293</v>
      </c>
      <c r="G461" s="220" t="s">
        <v>294</v>
      </c>
      <c r="H461" s="51" t="s">
        <v>295</v>
      </c>
      <c r="I461" s="52">
        <v>22</v>
      </c>
      <c r="J461" s="51" t="s">
        <v>123</v>
      </c>
      <c r="K461" s="52">
        <v>4</v>
      </c>
      <c r="L461" s="52"/>
      <c r="M461" s="52"/>
      <c r="N461" s="53" t="s">
        <v>296</v>
      </c>
      <c r="O461" s="53" t="s">
        <v>297</v>
      </c>
      <c r="P461" s="52"/>
      <c r="Q461" s="53" t="s">
        <v>1714</v>
      </c>
      <c r="R461" s="55" t="s">
        <v>299</v>
      </c>
      <c r="S461" s="55" t="s">
        <v>300</v>
      </c>
      <c r="T461" s="55" t="s">
        <v>2223</v>
      </c>
      <c r="U461" s="55" t="s">
        <v>2224</v>
      </c>
      <c r="V461" s="55" t="s">
        <v>2225</v>
      </c>
      <c r="W461" s="355" t="s">
        <v>2262</v>
      </c>
      <c r="X461" s="55" t="s">
        <v>1585</v>
      </c>
      <c r="Y461" s="54" t="s">
        <v>1582</v>
      </c>
      <c r="Z461" s="54" t="s">
        <v>1042</v>
      </c>
      <c r="AA461" s="52" t="s">
        <v>372</v>
      </c>
    </row>
    <row r="462" spans="2:27" ht="80.25" customHeight="1" x14ac:dyDescent="0.35">
      <c r="B462" s="51" t="s">
        <v>56</v>
      </c>
      <c r="C462" s="51" t="s">
        <v>2222</v>
      </c>
      <c r="D462" s="51" t="s">
        <v>57</v>
      </c>
      <c r="E462" s="52">
        <v>1</v>
      </c>
      <c r="F462" s="51" t="s">
        <v>304</v>
      </c>
      <c r="G462" s="51" t="s">
        <v>305</v>
      </c>
      <c r="H462" s="51" t="s">
        <v>295</v>
      </c>
      <c r="I462" s="52">
        <v>23</v>
      </c>
      <c r="J462" s="51" t="s">
        <v>123</v>
      </c>
      <c r="K462" s="52">
        <v>4</v>
      </c>
      <c r="L462" s="52"/>
      <c r="M462" s="52"/>
      <c r="N462" s="53" t="s">
        <v>306</v>
      </c>
      <c r="O462" s="53" t="s">
        <v>307</v>
      </c>
      <c r="P462" s="52"/>
      <c r="Q462" s="53" t="s">
        <v>2208</v>
      </c>
      <c r="R462" s="55" t="s">
        <v>203</v>
      </c>
      <c r="S462" s="51" t="s">
        <v>309</v>
      </c>
      <c r="T462" s="55" t="s">
        <v>2223</v>
      </c>
      <c r="U462" s="55" t="s">
        <v>2224</v>
      </c>
      <c r="V462" s="55" t="s">
        <v>2225</v>
      </c>
      <c r="W462" s="355" t="s">
        <v>2263</v>
      </c>
      <c r="X462" s="55" t="s">
        <v>1585</v>
      </c>
      <c r="Y462" s="54" t="s">
        <v>1582</v>
      </c>
      <c r="Z462" s="61" t="s">
        <v>372</v>
      </c>
      <c r="AA462" s="70" t="s">
        <v>462</v>
      </c>
    </row>
    <row r="463" spans="2:27" ht="80.25" hidden="1" customHeight="1" x14ac:dyDescent="0.35">
      <c r="B463" s="51" t="s">
        <v>56</v>
      </c>
      <c r="C463" s="51" t="s">
        <v>2222</v>
      </c>
      <c r="D463" s="51" t="s">
        <v>57</v>
      </c>
      <c r="E463" s="52">
        <v>1</v>
      </c>
      <c r="F463" s="51" t="s">
        <v>317</v>
      </c>
      <c r="G463" s="51" t="s">
        <v>318</v>
      </c>
      <c r="H463" s="51" t="s">
        <v>319</v>
      </c>
      <c r="I463" s="52">
        <v>24</v>
      </c>
      <c r="J463" s="51" t="s">
        <v>123</v>
      </c>
      <c r="K463" s="52">
        <v>2</v>
      </c>
      <c r="L463" s="52"/>
      <c r="M463" s="52"/>
      <c r="N463" s="53" t="s">
        <v>320</v>
      </c>
      <c r="O463" s="53" t="s">
        <v>321</v>
      </c>
      <c r="P463" s="52"/>
      <c r="Q463" s="53" t="s">
        <v>463</v>
      </c>
      <c r="R463" s="55"/>
      <c r="S463" s="51"/>
      <c r="T463" s="55" t="s">
        <v>2139</v>
      </c>
      <c r="U463" s="55" t="s">
        <v>2227</v>
      </c>
      <c r="V463" s="55" t="s">
        <v>351</v>
      </c>
      <c r="W463" s="355" t="s">
        <v>2264</v>
      </c>
      <c r="X463" s="55" t="s">
        <v>1585</v>
      </c>
      <c r="Y463" s="55" t="s">
        <v>372</v>
      </c>
      <c r="Z463" s="55" t="s">
        <v>372</v>
      </c>
      <c r="AA463" s="52" t="s">
        <v>1724</v>
      </c>
    </row>
    <row r="464" spans="2:27" ht="80.25" hidden="1" customHeight="1" x14ac:dyDescent="0.35">
      <c r="B464" s="51" t="s">
        <v>56</v>
      </c>
      <c r="C464" s="51" t="s">
        <v>2222</v>
      </c>
      <c r="D464" s="51" t="s">
        <v>57</v>
      </c>
      <c r="E464" s="52">
        <v>1</v>
      </c>
      <c r="F464" s="51" t="s">
        <v>326</v>
      </c>
      <c r="G464" s="51" t="s">
        <v>327</v>
      </c>
      <c r="H464" s="51" t="s">
        <v>328</v>
      </c>
      <c r="I464" s="52">
        <v>25</v>
      </c>
      <c r="J464" s="51" t="s">
        <v>123</v>
      </c>
      <c r="K464" s="52">
        <v>10</v>
      </c>
      <c r="L464" s="52"/>
      <c r="M464" s="52"/>
      <c r="N464" s="53" t="s">
        <v>329</v>
      </c>
      <c r="O464" s="53" t="s">
        <v>361</v>
      </c>
      <c r="P464" s="52" t="s">
        <v>126</v>
      </c>
      <c r="Q464" s="54"/>
      <c r="R464" s="55" t="s">
        <v>275</v>
      </c>
      <c r="S464" s="51" t="s">
        <v>803</v>
      </c>
      <c r="T464" s="55" t="s">
        <v>2139</v>
      </c>
      <c r="U464" s="55" t="s">
        <v>2227</v>
      </c>
      <c r="V464" s="90" t="s">
        <v>804</v>
      </c>
      <c r="W464" s="355" t="s">
        <v>2265</v>
      </c>
      <c r="X464" s="55" t="s">
        <v>372</v>
      </c>
      <c r="Y464" s="55" t="s">
        <v>372</v>
      </c>
      <c r="Z464" s="55" t="s">
        <v>372</v>
      </c>
      <c r="AA464" s="52" t="s">
        <v>372</v>
      </c>
    </row>
    <row r="465" spans="2:27" ht="80.25" hidden="1" customHeight="1" x14ac:dyDescent="0.35">
      <c r="B465" s="51" t="s">
        <v>56</v>
      </c>
      <c r="C465" s="51" t="s">
        <v>2222</v>
      </c>
      <c r="D465" s="51" t="s">
        <v>57</v>
      </c>
      <c r="E465" s="52">
        <v>1</v>
      </c>
      <c r="F465" s="51" t="s">
        <v>333</v>
      </c>
      <c r="G465" s="51" t="s">
        <v>334</v>
      </c>
      <c r="H465" s="51" t="s">
        <v>335</v>
      </c>
      <c r="I465" s="52">
        <v>25</v>
      </c>
      <c r="J465" s="51" t="s">
        <v>336</v>
      </c>
      <c r="K465" s="52">
        <v>23</v>
      </c>
      <c r="L465" s="52"/>
      <c r="M465" s="52"/>
      <c r="N465" s="53" t="s">
        <v>337</v>
      </c>
      <c r="O465" s="53" t="s">
        <v>338</v>
      </c>
      <c r="P465" s="52"/>
      <c r="Q465" s="54"/>
      <c r="R465" s="55"/>
      <c r="S465" s="51"/>
      <c r="T465" s="55" t="s">
        <v>2139</v>
      </c>
      <c r="U465" s="55" t="s">
        <v>2227</v>
      </c>
      <c r="V465" s="55" t="s">
        <v>351</v>
      </c>
      <c r="W465" s="355" t="s">
        <v>2266</v>
      </c>
      <c r="X465" s="55" t="s">
        <v>372</v>
      </c>
      <c r="Y465" s="55" t="s">
        <v>372</v>
      </c>
      <c r="Z465" s="55" t="s">
        <v>372</v>
      </c>
      <c r="AA465" s="52" t="s">
        <v>372</v>
      </c>
    </row>
    <row r="466" spans="2:27" ht="80.25" hidden="1" customHeight="1" x14ac:dyDescent="0.35">
      <c r="B466" s="51" t="s">
        <v>340</v>
      </c>
      <c r="C466" s="51" t="s">
        <v>2267</v>
      </c>
      <c r="D466" s="51" t="s">
        <v>2268</v>
      </c>
      <c r="E466" s="52">
        <v>0</v>
      </c>
      <c r="F466" s="51" t="s">
        <v>120</v>
      </c>
      <c r="G466" s="51" t="s">
        <v>121</v>
      </c>
      <c r="H466" s="51" t="s">
        <v>122</v>
      </c>
      <c r="I466" s="52">
        <v>1</v>
      </c>
      <c r="J466" s="51" t="s">
        <v>123</v>
      </c>
      <c r="K466" s="52">
        <v>4</v>
      </c>
      <c r="L466" s="52"/>
      <c r="M466" s="52"/>
      <c r="N466" s="328" t="s">
        <v>124</v>
      </c>
      <c r="O466" s="53" t="s">
        <v>125</v>
      </c>
      <c r="P466" s="52" t="s">
        <v>126</v>
      </c>
      <c r="Q466" s="51"/>
      <c r="R466" s="55"/>
      <c r="S466" s="51"/>
      <c r="T466" s="55" t="s">
        <v>2142</v>
      </c>
      <c r="U466" s="55" t="s">
        <v>426</v>
      </c>
      <c r="V466" s="55" t="s">
        <v>372</v>
      </c>
      <c r="W466" s="355" t="s">
        <v>2269</v>
      </c>
      <c r="X466" s="51" t="s">
        <v>1585</v>
      </c>
      <c r="Y466" s="54" t="s">
        <v>372</v>
      </c>
      <c r="Z466" s="54" t="s">
        <v>372</v>
      </c>
      <c r="AA466" s="52" t="s">
        <v>373</v>
      </c>
    </row>
    <row r="467" spans="2:27" ht="80.25" hidden="1" customHeight="1" x14ac:dyDescent="0.35">
      <c r="B467" s="51" t="s">
        <v>340</v>
      </c>
      <c r="C467" s="51" t="s">
        <v>2267</v>
      </c>
      <c r="D467" s="51" t="s">
        <v>2268</v>
      </c>
      <c r="E467" s="52">
        <v>0</v>
      </c>
      <c r="F467" s="51" t="s">
        <v>136</v>
      </c>
      <c r="G467" s="51" t="s">
        <v>137</v>
      </c>
      <c r="H467" s="51" t="s">
        <v>122</v>
      </c>
      <c r="I467" s="52">
        <v>2</v>
      </c>
      <c r="J467" s="51" t="s">
        <v>123</v>
      </c>
      <c r="K467" s="52">
        <v>30</v>
      </c>
      <c r="L467" s="52"/>
      <c r="M467" s="52"/>
      <c r="N467" s="53" t="s">
        <v>138</v>
      </c>
      <c r="O467" s="53" t="s">
        <v>139</v>
      </c>
      <c r="P467" s="52" t="s">
        <v>126</v>
      </c>
      <c r="Q467" s="51"/>
      <c r="R467" s="55"/>
      <c r="S467" s="51"/>
      <c r="T467" s="51" t="s">
        <v>2142</v>
      </c>
      <c r="U467" s="51" t="s">
        <v>426</v>
      </c>
      <c r="V467" s="51" t="s">
        <v>2143</v>
      </c>
      <c r="W467" s="82" t="s">
        <v>2270</v>
      </c>
      <c r="X467" s="51" t="s">
        <v>1585</v>
      </c>
      <c r="Y467" s="54" t="s">
        <v>1582</v>
      </c>
      <c r="Z467" s="54" t="s">
        <v>1583</v>
      </c>
      <c r="AA467" s="52" t="s">
        <v>372</v>
      </c>
    </row>
    <row r="468" spans="2:27" ht="80.25" hidden="1" customHeight="1" x14ac:dyDescent="0.35">
      <c r="B468" s="51" t="s">
        <v>340</v>
      </c>
      <c r="C468" s="51" t="s">
        <v>2267</v>
      </c>
      <c r="D468" s="51" t="s">
        <v>2268</v>
      </c>
      <c r="E468" s="52">
        <v>0</v>
      </c>
      <c r="F468" s="51" t="s">
        <v>352</v>
      </c>
      <c r="G468" s="51" t="s">
        <v>353</v>
      </c>
      <c r="H468" s="51" t="s">
        <v>240</v>
      </c>
      <c r="I468" s="52">
        <v>3</v>
      </c>
      <c r="J468" s="51" t="s">
        <v>123</v>
      </c>
      <c r="K468" s="52">
        <v>1</v>
      </c>
      <c r="L468" s="52"/>
      <c r="M468" s="52"/>
      <c r="N468" s="53" t="s">
        <v>354</v>
      </c>
      <c r="O468" s="53" t="s">
        <v>355</v>
      </c>
      <c r="P468" s="52"/>
      <c r="Q468" s="51"/>
      <c r="R468" s="55"/>
      <c r="S468" s="51"/>
      <c r="T468" s="51" t="s">
        <v>2142</v>
      </c>
      <c r="U468" s="51" t="s">
        <v>426</v>
      </c>
      <c r="V468" s="54" t="s">
        <v>2216</v>
      </c>
      <c r="W468" s="82" t="s">
        <v>2271</v>
      </c>
      <c r="X468" s="51" t="s">
        <v>1585</v>
      </c>
      <c r="Y468" s="54" t="s">
        <v>1582</v>
      </c>
      <c r="Z468" s="51" t="s">
        <v>1042</v>
      </c>
      <c r="AA468" s="52" t="s">
        <v>372</v>
      </c>
    </row>
    <row r="469" spans="2:27" ht="80.25" hidden="1" customHeight="1" x14ac:dyDescent="0.35">
      <c r="B469" s="51" t="s">
        <v>340</v>
      </c>
      <c r="C469" s="51" t="s">
        <v>2267</v>
      </c>
      <c r="D469" s="51" t="s">
        <v>2268</v>
      </c>
      <c r="E469" s="52">
        <v>0</v>
      </c>
      <c r="F469" s="51" t="s">
        <v>317</v>
      </c>
      <c r="G469" s="51" t="s">
        <v>318</v>
      </c>
      <c r="H469" s="51" t="s">
        <v>319</v>
      </c>
      <c r="I469" s="52">
        <v>4</v>
      </c>
      <c r="J469" s="51" t="s">
        <v>123</v>
      </c>
      <c r="K469" s="52">
        <v>2</v>
      </c>
      <c r="L469" s="52"/>
      <c r="M469" s="52"/>
      <c r="N469" s="53" t="s">
        <v>320</v>
      </c>
      <c r="O469" s="53" t="s">
        <v>321</v>
      </c>
      <c r="P469" s="325" t="s">
        <v>126</v>
      </c>
      <c r="Q469" s="53" t="s">
        <v>463</v>
      </c>
      <c r="R469" s="55"/>
      <c r="S469" s="51"/>
      <c r="T469" s="51" t="s">
        <v>2142</v>
      </c>
      <c r="U469" s="51" t="s">
        <v>426</v>
      </c>
      <c r="V469" s="53" t="s">
        <v>372</v>
      </c>
      <c r="W469" s="355" t="s">
        <v>2272</v>
      </c>
      <c r="X469" s="51" t="s">
        <v>1585</v>
      </c>
      <c r="Y469" s="54" t="s">
        <v>1582</v>
      </c>
      <c r="Z469" s="51" t="s">
        <v>372</v>
      </c>
      <c r="AA469" s="380" t="s">
        <v>2219</v>
      </c>
    </row>
    <row r="470" spans="2:27" ht="80.25" hidden="1" customHeight="1" x14ac:dyDescent="0.35">
      <c r="B470" s="51" t="s">
        <v>340</v>
      </c>
      <c r="C470" s="51" t="s">
        <v>2267</v>
      </c>
      <c r="D470" s="51" t="s">
        <v>2268</v>
      </c>
      <c r="E470" s="52">
        <v>0</v>
      </c>
      <c r="F470" s="51" t="s">
        <v>326</v>
      </c>
      <c r="G470" s="51" t="s">
        <v>327</v>
      </c>
      <c r="H470" s="51" t="s">
        <v>328</v>
      </c>
      <c r="I470" s="52">
        <v>5</v>
      </c>
      <c r="J470" s="51" t="s">
        <v>123</v>
      </c>
      <c r="K470" s="52">
        <v>10</v>
      </c>
      <c r="L470" s="52"/>
      <c r="M470" s="52"/>
      <c r="N470" s="53" t="s">
        <v>329</v>
      </c>
      <c r="O470" s="53" t="s">
        <v>361</v>
      </c>
      <c r="P470" s="52"/>
      <c r="Q470" s="51"/>
      <c r="R470" s="55"/>
      <c r="S470" s="51"/>
      <c r="T470" s="51" t="s">
        <v>2142</v>
      </c>
      <c r="U470" s="51" t="s">
        <v>426</v>
      </c>
      <c r="V470" s="54" t="s">
        <v>678</v>
      </c>
      <c r="W470" s="355" t="s">
        <v>2273</v>
      </c>
      <c r="X470" s="51" t="s">
        <v>1585</v>
      </c>
      <c r="Y470" s="54" t="s">
        <v>1582</v>
      </c>
      <c r="Z470" s="51" t="s">
        <v>678</v>
      </c>
      <c r="AA470" s="52" t="s">
        <v>372</v>
      </c>
    </row>
    <row r="471" spans="2:27" ht="80.25" hidden="1" customHeight="1" x14ac:dyDescent="0.35">
      <c r="B471" s="51" t="s">
        <v>340</v>
      </c>
      <c r="C471" s="51" t="s">
        <v>2267</v>
      </c>
      <c r="D471" s="51" t="s">
        <v>2268</v>
      </c>
      <c r="E471" s="52">
        <v>0</v>
      </c>
      <c r="F471" s="51" t="s">
        <v>333</v>
      </c>
      <c r="G471" s="51" t="s">
        <v>334</v>
      </c>
      <c r="H471" s="51" t="s">
        <v>335</v>
      </c>
      <c r="I471" s="52">
        <v>6</v>
      </c>
      <c r="J471" s="51" t="s">
        <v>336</v>
      </c>
      <c r="K471" s="52">
        <v>23</v>
      </c>
      <c r="L471" s="52"/>
      <c r="M471" s="52"/>
      <c r="N471" s="53" t="s">
        <v>337</v>
      </c>
      <c r="O471" s="53" t="s">
        <v>338</v>
      </c>
      <c r="P471" s="52"/>
      <c r="Q471" s="51"/>
      <c r="R471" s="55"/>
      <c r="S471" s="51"/>
      <c r="T471" s="51" t="s">
        <v>2142</v>
      </c>
      <c r="U471" s="51" t="s">
        <v>426</v>
      </c>
      <c r="V471" s="53" t="s">
        <v>372</v>
      </c>
      <c r="W471" s="355" t="s">
        <v>2221</v>
      </c>
      <c r="X471" s="51" t="s">
        <v>1585</v>
      </c>
      <c r="Y471" s="54" t="s">
        <v>1582</v>
      </c>
      <c r="Z471" s="51" t="s">
        <v>372</v>
      </c>
      <c r="AA471" s="52" t="s">
        <v>372</v>
      </c>
    </row>
    <row r="472" spans="2:27" ht="80.25" hidden="1" customHeight="1" x14ac:dyDescent="0.35">
      <c r="B472" s="51" t="s">
        <v>59</v>
      </c>
      <c r="C472" s="51" t="s">
        <v>2274</v>
      </c>
      <c r="D472" s="51" t="s">
        <v>60</v>
      </c>
      <c r="E472" s="52">
        <v>1</v>
      </c>
      <c r="F472" s="51" t="s">
        <v>120</v>
      </c>
      <c r="G472" s="51" t="s">
        <v>121</v>
      </c>
      <c r="H472" s="51" t="s">
        <v>122</v>
      </c>
      <c r="I472" s="52">
        <v>1</v>
      </c>
      <c r="J472" s="51" t="s">
        <v>123</v>
      </c>
      <c r="K472" s="52">
        <v>4</v>
      </c>
      <c r="L472" s="52"/>
      <c r="M472" s="52"/>
      <c r="N472" s="328" t="s">
        <v>124</v>
      </c>
      <c r="O472" s="53" t="s">
        <v>125</v>
      </c>
      <c r="P472" s="52" t="s">
        <v>126</v>
      </c>
      <c r="Q472" s="51"/>
      <c r="R472" s="55" t="s">
        <v>1326</v>
      </c>
      <c r="S472" s="55" t="s">
        <v>2138</v>
      </c>
      <c r="T472" s="55" t="s">
        <v>2275</v>
      </c>
      <c r="U472" s="55" t="s">
        <v>2276</v>
      </c>
      <c r="V472" s="55" t="s">
        <v>2277</v>
      </c>
      <c r="W472" s="320" t="s">
        <v>2278</v>
      </c>
      <c r="X472" s="51" t="s">
        <v>2279</v>
      </c>
      <c r="Y472" s="53" t="s">
        <v>2280</v>
      </c>
      <c r="Z472" s="53" t="s">
        <v>1107</v>
      </c>
      <c r="AA472" s="60" t="s">
        <v>372</v>
      </c>
    </row>
    <row r="473" spans="2:27" ht="80.25" hidden="1" customHeight="1" x14ac:dyDescent="0.35">
      <c r="B473" s="51" t="s">
        <v>59</v>
      </c>
      <c r="C473" s="51" t="s">
        <v>2274</v>
      </c>
      <c r="D473" s="51" t="s">
        <v>60</v>
      </c>
      <c r="E473" s="52">
        <v>1</v>
      </c>
      <c r="F473" s="51" t="s">
        <v>136</v>
      </c>
      <c r="G473" s="51" t="s">
        <v>137</v>
      </c>
      <c r="H473" s="51" t="s">
        <v>122</v>
      </c>
      <c r="I473" s="52">
        <v>2</v>
      </c>
      <c r="J473" s="51" t="s">
        <v>123</v>
      </c>
      <c r="K473" s="52">
        <v>30</v>
      </c>
      <c r="L473" s="52"/>
      <c r="M473" s="52"/>
      <c r="N473" s="53" t="s">
        <v>138</v>
      </c>
      <c r="O473" s="53" t="s">
        <v>139</v>
      </c>
      <c r="P473" s="52" t="s">
        <v>126</v>
      </c>
      <c r="Q473" s="51"/>
      <c r="R473" s="55" t="s">
        <v>1326</v>
      </c>
      <c r="S473" s="55" t="s">
        <v>2138</v>
      </c>
      <c r="T473" s="51" t="s">
        <v>2281</v>
      </c>
      <c r="U473" s="51" t="s">
        <v>2282</v>
      </c>
      <c r="V473" s="51" t="s">
        <v>2283</v>
      </c>
      <c r="W473" s="82" t="s">
        <v>2284</v>
      </c>
      <c r="X473" s="51" t="s">
        <v>2279</v>
      </c>
      <c r="Y473" s="53" t="s">
        <v>2280</v>
      </c>
      <c r="Z473" s="53" t="s">
        <v>2285</v>
      </c>
      <c r="AA473" s="60" t="s">
        <v>372</v>
      </c>
    </row>
    <row r="474" spans="2:27" ht="80.25" hidden="1" customHeight="1" x14ac:dyDescent="0.35">
      <c r="B474" s="51" t="s">
        <v>59</v>
      </c>
      <c r="C474" s="51" t="s">
        <v>2274</v>
      </c>
      <c r="D474" s="51" t="s">
        <v>60</v>
      </c>
      <c r="E474" s="52">
        <v>1</v>
      </c>
      <c r="F474" s="51" t="s">
        <v>148</v>
      </c>
      <c r="G474" s="51" t="s">
        <v>149</v>
      </c>
      <c r="H474" s="54" t="s">
        <v>150</v>
      </c>
      <c r="I474" s="52">
        <v>3</v>
      </c>
      <c r="J474" s="51" t="s">
        <v>123</v>
      </c>
      <c r="K474" s="52">
        <v>4</v>
      </c>
      <c r="L474" s="52"/>
      <c r="M474" s="52"/>
      <c r="N474" s="53" t="s">
        <v>151</v>
      </c>
      <c r="O474" s="53" t="s">
        <v>152</v>
      </c>
      <c r="P474" s="52"/>
      <c r="Q474" s="53" t="s">
        <v>586</v>
      </c>
      <c r="R474" s="55"/>
      <c r="S474" s="51"/>
      <c r="T474" s="55" t="s">
        <v>2275</v>
      </c>
      <c r="U474" s="55" t="s">
        <v>2276</v>
      </c>
      <c r="V474" s="55" t="s">
        <v>369</v>
      </c>
      <c r="W474" s="82" t="s">
        <v>2286</v>
      </c>
      <c r="X474" s="55" t="s">
        <v>372</v>
      </c>
      <c r="Y474" s="55" t="s">
        <v>372</v>
      </c>
      <c r="Z474" s="55" t="s">
        <v>372</v>
      </c>
      <c r="AA474" s="60" t="s">
        <v>372</v>
      </c>
    </row>
    <row r="475" spans="2:27" ht="80.25" hidden="1" customHeight="1" x14ac:dyDescent="0.35">
      <c r="B475" s="51" t="s">
        <v>59</v>
      </c>
      <c r="C475" s="51" t="s">
        <v>2274</v>
      </c>
      <c r="D475" s="51" t="s">
        <v>60</v>
      </c>
      <c r="E475" s="52">
        <v>1</v>
      </c>
      <c r="F475" s="51" t="s">
        <v>155</v>
      </c>
      <c r="G475" s="51" t="s">
        <v>156</v>
      </c>
      <c r="H475" s="54" t="s">
        <v>150</v>
      </c>
      <c r="I475" s="52">
        <v>3</v>
      </c>
      <c r="J475" s="51" t="s">
        <v>123</v>
      </c>
      <c r="K475" s="52">
        <v>4</v>
      </c>
      <c r="L475" s="52"/>
      <c r="M475" s="52"/>
      <c r="N475" s="53" t="s">
        <v>157</v>
      </c>
      <c r="O475" s="53" t="s">
        <v>158</v>
      </c>
      <c r="P475" s="52"/>
      <c r="Q475" s="55" t="s">
        <v>2287</v>
      </c>
      <c r="R475" s="55" t="s">
        <v>160</v>
      </c>
      <c r="S475" s="55" t="s">
        <v>161</v>
      </c>
      <c r="T475" s="51" t="s">
        <v>2281</v>
      </c>
      <c r="U475" s="51" t="s">
        <v>2282</v>
      </c>
      <c r="V475" s="51" t="s">
        <v>2288</v>
      </c>
      <c r="W475" s="82" t="s">
        <v>2289</v>
      </c>
      <c r="X475" s="55" t="s">
        <v>2279</v>
      </c>
      <c r="Y475" s="53" t="s">
        <v>2290</v>
      </c>
      <c r="Z475" s="53" t="s">
        <v>2291</v>
      </c>
      <c r="AA475" s="60" t="s">
        <v>500</v>
      </c>
    </row>
    <row r="476" spans="2:27" ht="80.25" hidden="1" customHeight="1" x14ac:dyDescent="0.35">
      <c r="B476" s="51" t="s">
        <v>59</v>
      </c>
      <c r="C476" s="51" t="s">
        <v>2274</v>
      </c>
      <c r="D476" s="51" t="s">
        <v>60</v>
      </c>
      <c r="E476" s="52">
        <v>1</v>
      </c>
      <c r="F476" s="51" t="s">
        <v>167</v>
      </c>
      <c r="G476" s="51" t="s">
        <v>168</v>
      </c>
      <c r="H476" s="54" t="s">
        <v>150</v>
      </c>
      <c r="I476" s="52">
        <v>3</v>
      </c>
      <c r="J476" s="51" t="s">
        <v>123</v>
      </c>
      <c r="K476" s="52">
        <v>4</v>
      </c>
      <c r="L476" s="52"/>
      <c r="M476" s="52"/>
      <c r="N476" s="53" t="s">
        <v>169</v>
      </c>
      <c r="O476" s="53" t="s">
        <v>170</v>
      </c>
      <c r="P476" s="52"/>
      <c r="Q476" s="55" t="s">
        <v>2292</v>
      </c>
      <c r="R476" s="55" t="s">
        <v>160</v>
      </c>
      <c r="S476" s="55" t="s">
        <v>172</v>
      </c>
      <c r="T476" s="51" t="s">
        <v>2281</v>
      </c>
      <c r="U476" s="51" t="s">
        <v>2282</v>
      </c>
      <c r="V476" s="51" t="s">
        <v>2293</v>
      </c>
      <c r="W476" s="82" t="s">
        <v>2294</v>
      </c>
      <c r="X476" s="55" t="s">
        <v>2279</v>
      </c>
      <c r="Y476" s="53" t="s">
        <v>2295</v>
      </c>
      <c r="Z476" s="53" t="s">
        <v>2296</v>
      </c>
      <c r="AA476" s="60" t="s">
        <v>500</v>
      </c>
    </row>
    <row r="477" spans="2:27" ht="80.25" hidden="1" customHeight="1" x14ac:dyDescent="0.35">
      <c r="B477" s="51" t="s">
        <v>59</v>
      </c>
      <c r="C477" s="51" t="s">
        <v>2274</v>
      </c>
      <c r="D477" s="51" t="s">
        <v>60</v>
      </c>
      <c r="E477" s="52">
        <v>1</v>
      </c>
      <c r="F477" s="51" t="s">
        <v>176</v>
      </c>
      <c r="G477" s="51" t="s">
        <v>177</v>
      </c>
      <c r="H477" s="54" t="s">
        <v>150</v>
      </c>
      <c r="I477" s="52">
        <v>6</v>
      </c>
      <c r="J477" s="51" t="s">
        <v>123</v>
      </c>
      <c r="K477" s="52">
        <v>4</v>
      </c>
      <c r="L477" s="52"/>
      <c r="M477" s="52"/>
      <c r="N477" s="76" t="s">
        <v>2297</v>
      </c>
      <c r="O477" s="53" t="s">
        <v>179</v>
      </c>
      <c r="P477" s="52"/>
      <c r="Q477" s="51"/>
      <c r="R477" s="55" t="s">
        <v>203</v>
      </c>
      <c r="S477" s="51" t="s">
        <v>409</v>
      </c>
      <c r="T477" s="55" t="s">
        <v>2275</v>
      </c>
      <c r="U477" s="55" t="s">
        <v>2276</v>
      </c>
      <c r="V477" s="55" t="s">
        <v>369</v>
      </c>
      <c r="W477" s="82" t="s">
        <v>2298</v>
      </c>
      <c r="X477" s="51" t="s">
        <v>2279</v>
      </c>
      <c r="Y477" s="53" t="s">
        <v>372</v>
      </c>
      <c r="Z477" s="53" t="s">
        <v>372</v>
      </c>
      <c r="AA477" s="60" t="s">
        <v>373</v>
      </c>
    </row>
    <row r="478" spans="2:27" ht="80.25" hidden="1" customHeight="1" x14ac:dyDescent="0.35">
      <c r="B478" s="51" t="s">
        <v>59</v>
      </c>
      <c r="C478" s="51" t="s">
        <v>2274</v>
      </c>
      <c r="D478" s="51" t="s">
        <v>60</v>
      </c>
      <c r="E478" s="52">
        <v>1</v>
      </c>
      <c r="F478" s="51" t="s">
        <v>187</v>
      </c>
      <c r="G478" s="51" t="s">
        <v>188</v>
      </c>
      <c r="H478" s="54" t="s">
        <v>150</v>
      </c>
      <c r="I478" s="52">
        <v>7</v>
      </c>
      <c r="J478" s="51" t="s">
        <v>123</v>
      </c>
      <c r="K478" s="52">
        <v>30</v>
      </c>
      <c r="L478" s="52"/>
      <c r="M478" s="52"/>
      <c r="N478" s="53" t="s">
        <v>2299</v>
      </c>
      <c r="O478" s="53" t="s">
        <v>190</v>
      </c>
      <c r="P478" s="52"/>
      <c r="Q478" s="51"/>
      <c r="R478" s="55" t="s">
        <v>203</v>
      </c>
      <c r="S478" s="51" t="s">
        <v>409</v>
      </c>
      <c r="T478" s="51" t="s">
        <v>2281</v>
      </c>
      <c r="U478" s="51" t="s">
        <v>2282</v>
      </c>
      <c r="V478" s="51" t="s">
        <v>2300</v>
      </c>
      <c r="W478" s="82" t="s">
        <v>2301</v>
      </c>
      <c r="X478" s="51" t="s">
        <v>2279</v>
      </c>
      <c r="Y478" s="53" t="s">
        <v>2280</v>
      </c>
      <c r="Z478" s="53" t="s">
        <v>2302</v>
      </c>
      <c r="AA478" s="60" t="s">
        <v>372</v>
      </c>
    </row>
    <row r="479" spans="2:27" ht="80.25" hidden="1" customHeight="1" x14ac:dyDescent="0.35">
      <c r="B479" s="51" t="s">
        <v>59</v>
      </c>
      <c r="C479" s="51" t="s">
        <v>2274</v>
      </c>
      <c r="D479" s="51" t="s">
        <v>60</v>
      </c>
      <c r="E479" s="52">
        <v>1</v>
      </c>
      <c r="F479" s="51" t="s">
        <v>1832</v>
      </c>
      <c r="G479" s="51" t="s">
        <v>1833</v>
      </c>
      <c r="H479" s="54" t="s">
        <v>1157</v>
      </c>
      <c r="I479" s="52">
        <v>8</v>
      </c>
      <c r="J479" s="51" t="s">
        <v>123</v>
      </c>
      <c r="K479" s="52">
        <v>25</v>
      </c>
      <c r="L479" s="52"/>
      <c r="M479" s="52"/>
      <c r="N479" s="53" t="s">
        <v>2303</v>
      </c>
      <c r="O479" s="53" t="s">
        <v>1835</v>
      </c>
      <c r="P479" s="52"/>
      <c r="Q479" s="54"/>
      <c r="R479" s="55" t="s">
        <v>203</v>
      </c>
      <c r="S479" s="51" t="s">
        <v>409</v>
      </c>
      <c r="T479" s="51" t="s">
        <v>2281</v>
      </c>
      <c r="U479" s="51" t="s">
        <v>2282</v>
      </c>
      <c r="V479" s="51" t="s">
        <v>2304</v>
      </c>
      <c r="W479" s="82" t="s">
        <v>2305</v>
      </c>
      <c r="X479" s="51" t="s">
        <v>2279</v>
      </c>
      <c r="Y479" s="53" t="s">
        <v>2280</v>
      </c>
      <c r="Z479" s="53" t="s">
        <v>2304</v>
      </c>
      <c r="AA479" s="60" t="s">
        <v>372</v>
      </c>
    </row>
    <row r="480" spans="2:27" ht="80.25" hidden="1" customHeight="1" x14ac:dyDescent="0.35">
      <c r="B480" s="51" t="s">
        <v>59</v>
      </c>
      <c r="C480" s="51" t="s">
        <v>2274</v>
      </c>
      <c r="D480" s="51" t="s">
        <v>60</v>
      </c>
      <c r="E480" s="52">
        <v>1</v>
      </c>
      <c r="F480" s="51" t="s">
        <v>2306</v>
      </c>
      <c r="G480" s="51" t="s">
        <v>2307</v>
      </c>
      <c r="H480" s="54" t="s">
        <v>1157</v>
      </c>
      <c r="I480" s="52">
        <v>9</v>
      </c>
      <c r="J480" s="51" t="s">
        <v>123</v>
      </c>
      <c r="K480" s="52">
        <v>21</v>
      </c>
      <c r="L480" s="52"/>
      <c r="M480" s="52"/>
      <c r="N480" s="53" t="s">
        <v>2308</v>
      </c>
      <c r="O480" s="53" t="s">
        <v>2309</v>
      </c>
      <c r="P480" s="52"/>
      <c r="Q480" s="51"/>
      <c r="R480" s="55" t="s">
        <v>203</v>
      </c>
      <c r="S480" s="51" t="s">
        <v>409</v>
      </c>
      <c r="T480" s="51" t="s">
        <v>2281</v>
      </c>
      <c r="U480" s="51" t="s">
        <v>2282</v>
      </c>
      <c r="V480" s="51" t="s">
        <v>2310</v>
      </c>
      <c r="W480" s="82" t="s">
        <v>2311</v>
      </c>
      <c r="X480" s="51" t="s">
        <v>2279</v>
      </c>
      <c r="Y480" s="53" t="s">
        <v>2280</v>
      </c>
      <c r="Z480" s="51" t="s">
        <v>2310</v>
      </c>
      <c r="AA480" s="60" t="s">
        <v>372</v>
      </c>
    </row>
    <row r="481" spans="2:27" ht="80.25" hidden="1" customHeight="1" x14ac:dyDescent="0.35">
      <c r="B481" s="51" t="s">
        <v>59</v>
      </c>
      <c r="C481" s="51" t="s">
        <v>2274</v>
      </c>
      <c r="D481" s="51" t="s">
        <v>60</v>
      </c>
      <c r="E481" s="52">
        <v>1</v>
      </c>
      <c r="F481" s="51" t="s">
        <v>2312</v>
      </c>
      <c r="G481" s="51" t="s">
        <v>2313</v>
      </c>
      <c r="H481" s="54" t="s">
        <v>2314</v>
      </c>
      <c r="I481" s="52">
        <v>10</v>
      </c>
      <c r="J481" s="51" t="s">
        <v>123</v>
      </c>
      <c r="K481" s="52">
        <v>4</v>
      </c>
      <c r="L481" s="52"/>
      <c r="M481" s="52"/>
      <c r="N481" s="53" t="s">
        <v>2315</v>
      </c>
      <c r="O481" s="53" t="s">
        <v>2316</v>
      </c>
      <c r="P481" s="52"/>
      <c r="Q481" s="55" t="s">
        <v>2317</v>
      </c>
      <c r="R481" s="53"/>
      <c r="S481" s="54"/>
      <c r="T481" s="51" t="s">
        <v>2281</v>
      </c>
      <c r="U481" s="51" t="s">
        <v>2282</v>
      </c>
      <c r="V481" s="51" t="s">
        <v>2318</v>
      </c>
      <c r="W481" s="82" t="s">
        <v>2319</v>
      </c>
      <c r="X481" s="51" t="s">
        <v>2279</v>
      </c>
      <c r="Y481" s="53" t="s">
        <v>2280</v>
      </c>
      <c r="Z481" s="51" t="s">
        <v>2318</v>
      </c>
      <c r="AA481" s="60" t="s">
        <v>372</v>
      </c>
    </row>
    <row r="482" spans="2:27" ht="80.25" hidden="1" customHeight="1" x14ac:dyDescent="0.35">
      <c r="B482" s="51" t="s">
        <v>59</v>
      </c>
      <c r="C482" s="51" t="s">
        <v>2274</v>
      </c>
      <c r="D482" s="51" t="s">
        <v>60</v>
      </c>
      <c r="E482" s="52">
        <v>1</v>
      </c>
      <c r="F482" s="51" t="s">
        <v>2320</v>
      </c>
      <c r="G482" s="51" t="s">
        <v>2321</v>
      </c>
      <c r="H482" s="54" t="s">
        <v>150</v>
      </c>
      <c r="I482" s="52">
        <v>11</v>
      </c>
      <c r="J482" s="51" t="s">
        <v>123</v>
      </c>
      <c r="K482" s="52">
        <v>4</v>
      </c>
      <c r="L482" s="52"/>
      <c r="M482" s="52"/>
      <c r="N482" s="53" t="s">
        <v>2322</v>
      </c>
      <c r="O482" s="53" t="s">
        <v>2323</v>
      </c>
      <c r="P482" s="52"/>
      <c r="Q482" s="55" t="s">
        <v>2324</v>
      </c>
      <c r="R482" s="53"/>
      <c r="S482" s="54"/>
      <c r="T482" s="51" t="s">
        <v>2281</v>
      </c>
      <c r="U482" s="51" t="s">
        <v>2282</v>
      </c>
      <c r="V482" s="51" t="s">
        <v>2325</v>
      </c>
      <c r="W482" s="82" t="s">
        <v>2326</v>
      </c>
      <c r="X482" s="51" t="s">
        <v>2279</v>
      </c>
      <c r="Y482" s="53" t="s">
        <v>2280</v>
      </c>
      <c r="Z482" s="51" t="s">
        <v>2325</v>
      </c>
      <c r="AA482" s="60" t="s">
        <v>372</v>
      </c>
    </row>
    <row r="483" spans="2:27" ht="80.25" hidden="1" customHeight="1" x14ac:dyDescent="0.35">
      <c r="B483" s="51" t="s">
        <v>59</v>
      </c>
      <c r="C483" s="51" t="s">
        <v>2274</v>
      </c>
      <c r="D483" s="51" t="s">
        <v>60</v>
      </c>
      <c r="E483" s="52">
        <v>1</v>
      </c>
      <c r="F483" s="51" t="s">
        <v>2327</v>
      </c>
      <c r="G483" s="51" t="s">
        <v>2328</v>
      </c>
      <c r="H483" s="54" t="s">
        <v>1157</v>
      </c>
      <c r="I483" s="52">
        <v>12</v>
      </c>
      <c r="J483" s="51" t="s">
        <v>123</v>
      </c>
      <c r="K483" s="52">
        <v>17</v>
      </c>
      <c r="L483" s="52"/>
      <c r="M483" s="52"/>
      <c r="N483" s="53" t="s">
        <v>2329</v>
      </c>
      <c r="O483" s="53" t="s">
        <v>2330</v>
      </c>
      <c r="P483" s="52"/>
      <c r="Q483" s="51"/>
      <c r="R483" s="55" t="s">
        <v>203</v>
      </c>
      <c r="S483" s="51" t="s">
        <v>409</v>
      </c>
      <c r="T483" s="51" t="s">
        <v>2281</v>
      </c>
      <c r="U483" s="51" t="s">
        <v>2282</v>
      </c>
      <c r="V483" s="51" t="s">
        <v>2331</v>
      </c>
      <c r="W483" s="377" t="s">
        <v>2332</v>
      </c>
      <c r="X483" s="51" t="s">
        <v>2279</v>
      </c>
      <c r="Y483" s="53" t="s">
        <v>2280</v>
      </c>
      <c r="Z483" s="51" t="s">
        <v>2331</v>
      </c>
      <c r="AA483" s="60" t="s">
        <v>372</v>
      </c>
    </row>
    <row r="484" spans="2:27" ht="80.25" hidden="1" customHeight="1" x14ac:dyDescent="0.35">
      <c r="B484" s="51" t="s">
        <v>59</v>
      </c>
      <c r="C484" s="51" t="s">
        <v>2274</v>
      </c>
      <c r="D484" s="51" t="s">
        <v>60</v>
      </c>
      <c r="E484" s="52">
        <v>1</v>
      </c>
      <c r="F484" s="51" t="s">
        <v>198</v>
      </c>
      <c r="G484" s="51" t="s">
        <v>199</v>
      </c>
      <c r="H484" s="54" t="s">
        <v>200</v>
      </c>
      <c r="I484" s="52">
        <v>13</v>
      </c>
      <c r="J484" s="51" t="s">
        <v>123</v>
      </c>
      <c r="K484" s="52">
        <v>10</v>
      </c>
      <c r="L484" s="52"/>
      <c r="M484" s="52"/>
      <c r="N484" s="53" t="s">
        <v>201</v>
      </c>
      <c r="O484" s="53" t="s">
        <v>202</v>
      </c>
      <c r="P484" s="52"/>
      <c r="Q484" s="51"/>
      <c r="R484" s="55" t="s">
        <v>203</v>
      </c>
      <c r="S484" s="51" t="s">
        <v>198</v>
      </c>
      <c r="T484" s="51" t="s">
        <v>2281</v>
      </c>
      <c r="U484" s="51" t="s">
        <v>2282</v>
      </c>
      <c r="V484" s="51" t="s">
        <v>2333</v>
      </c>
      <c r="W484" s="82" t="s">
        <v>2334</v>
      </c>
      <c r="X484" s="51" t="s">
        <v>2279</v>
      </c>
      <c r="Y484" s="53" t="s">
        <v>2280</v>
      </c>
      <c r="Z484" s="53" t="s">
        <v>2333</v>
      </c>
      <c r="AA484" s="60" t="s">
        <v>372</v>
      </c>
    </row>
    <row r="485" spans="2:27" ht="80.25" hidden="1" customHeight="1" x14ac:dyDescent="0.35">
      <c r="B485" s="51" t="s">
        <v>59</v>
      </c>
      <c r="C485" s="51" t="s">
        <v>2274</v>
      </c>
      <c r="D485" s="51" t="s">
        <v>60</v>
      </c>
      <c r="E485" s="52">
        <v>1</v>
      </c>
      <c r="F485" s="51" t="s">
        <v>210</v>
      </c>
      <c r="G485" s="51" t="s">
        <v>211</v>
      </c>
      <c r="H485" s="54" t="s">
        <v>200</v>
      </c>
      <c r="I485" s="52">
        <v>14</v>
      </c>
      <c r="J485" s="51" t="s">
        <v>123</v>
      </c>
      <c r="K485" s="52">
        <v>10</v>
      </c>
      <c r="L485" s="52"/>
      <c r="M485" s="52"/>
      <c r="N485" s="53" t="s">
        <v>212</v>
      </c>
      <c r="O485" s="53" t="s">
        <v>213</v>
      </c>
      <c r="P485" s="52"/>
      <c r="Q485" s="51"/>
      <c r="R485" s="55" t="s">
        <v>214</v>
      </c>
      <c r="S485" s="51" t="s">
        <v>210</v>
      </c>
      <c r="T485" s="51" t="s">
        <v>2281</v>
      </c>
      <c r="U485" s="51" t="s">
        <v>2282</v>
      </c>
      <c r="V485" s="51" t="s">
        <v>2335</v>
      </c>
      <c r="W485" s="377" t="s">
        <v>2336</v>
      </c>
      <c r="X485" s="51" t="s">
        <v>2279</v>
      </c>
      <c r="Y485" s="53" t="s">
        <v>2280</v>
      </c>
      <c r="Z485" s="53" t="s">
        <v>2335</v>
      </c>
      <c r="AA485" s="60" t="s">
        <v>372</v>
      </c>
    </row>
    <row r="486" spans="2:27" ht="80.25" hidden="1" customHeight="1" x14ac:dyDescent="0.35">
      <c r="B486" s="51" t="s">
        <v>59</v>
      </c>
      <c r="C486" s="51" t="s">
        <v>2274</v>
      </c>
      <c r="D486" s="51" t="s">
        <v>60</v>
      </c>
      <c r="E486" s="52">
        <v>1</v>
      </c>
      <c r="F486" s="51" t="s">
        <v>222</v>
      </c>
      <c r="G486" s="51" t="s">
        <v>223</v>
      </c>
      <c r="H486" s="54" t="s">
        <v>224</v>
      </c>
      <c r="I486" s="52">
        <v>15</v>
      </c>
      <c r="J486" s="51" t="s">
        <v>123</v>
      </c>
      <c r="K486" s="52">
        <v>4</v>
      </c>
      <c r="L486" s="52"/>
      <c r="M486" s="52"/>
      <c r="N486" s="53" t="s">
        <v>225</v>
      </c>
      <c r="O486" s="53" t="s">
        <v>226</v>
      </c>
      <c r="P486" s="52"/>
      <c r="Q486" s="55" t="s">
        <v>1277</v>
      </c>
      <c r="R486" s="55" t="s">
        <v>654</v>
      </c>
      <c r="S486" s="55" t="s">
        <v>229</v>
      </c>
      <c r="T486" s="51" t="s">
        <v>2281</v>
      </c>
      <c r="U486" s="51" t="s">
        <v>2282</v>
      </c>
      <c r="V486" s="51" t="s">
        <v>2337</v>
      </c>
      <c r="W486" s="82" t="s">
        <v>2338</v>
      </c>
      <c r="X486" s="51" t="s">
        <v>2279</v>
      </c>
      <c r="Y486" s="53" t="s">
        <v>2339</v>
      </c>
      <c r="Z486" s="53" t="s">
        <v>2340</v>
      </c>
      <c r="AA486" s="60" t="s">
        <v>372</v>
      </c>
    </row>
    <row r="487" spans="2:27" ht="80.25" hidden="1" customHeight="1" x14ac:dyDescent="0.35">
      <c r="B487" s="51" t="s">
        <v>59</v>
      </c>
      <c r="C487" s="51" t="s">
        <v>2274</v>
      </c>
      <c r="D487" s="51" t="s">
        <v>60</v>
      </c>
      <c r="E487" s="52">
        <v>1</v>
      </c>
      <c r="F487" s="51" t="s">
        <v>238</v>
      </c>
      <c r="G487" s="51" t="s">
        <v>239</v>
      </c>
      <c r="H487" s="54" t="s">
        <v>240</v>
      </c>
      <c r="I487" s="52">
        <v>16</v>
      </c>
      <c r="J487" s="51" t="s">
        <v>123</v>
      </c>
      <c r="K487" s="52">
        <v>4</v>
      </c>
      <c r="L487" s="52"/>
      <c r="M487" s="52"/>
      <c r="N487" s="53" t="s">
        <v>241</v>
      </c>
      <c r="O487" s="53" t="s">
        <v>242</v>
      </c>
      <c r="P487" s="52"/>
      <c r="Q487" s="54"/>
      <c r="R487" s="63"/>
      <c r="S487" s="61"/>
      <c r="T487" s="51" t="s">
        <v>2281</v>
      </c>
      <c r="U487" s="51" t="s">
        <v>2282</v>
      </c>
      <c r="V487" s="61" t="s">
        <v>372</v>
      </c>
      <c r="W487" s="82" t="s">
        <v>2341</v>
      </c>
      <c r="X487" s="51" t="s">
        <v>2279</v>
      </c>
      <c r="Y487" s="53" t="s">
        <v>2280</v>
      </c>
      <c r="Z487" s="53" t="s">
        <v>2342</v>
      </c>
      <c r="AA487" s="60" t="s">
        <v>372</v>
      </c>
    </row>
    <row r="488" spans="2:27" ht="80.25" hidden="1" customHeight="1" x14ac:dyDescent="0.35">
      <c r="B488" s="51" t="s">
        <v>59</v>
      </c>
      <c r="C488" s="51" t="s">
        <v>2274</v>
      </c>
      <c r="D488" s="51" t="s">
        <v>60</v>
      </c>
      <c r="E488" s="52">
        <v>1</v>
      </c>
      <c r="F488" s="51" t="s">
        <v>2343</v>
      </c>
      <c r="G488" s="51" t="s">
        <v>2344</v>
      </c>
      <c r="H488" s="54" t="s">
        <v>249</v>
      </c>
      <c r="I488" s="52">
        <v>17</v>
      </c>
      <c r="J488" s="51" t="s">
        <v>471</v>
      </c>
      <c r="K488" s="52"/>
      <c r="L488" s="52"/>
      <c r="M488" s="52"/>
      <c r="N488" s="53" t="s">
        <v>2345</v>
      </c>
      <c r="O488" s="53" t="s">
        <v>2346</v>
      </c>
      <c r="P488" s="52"/>
      <c r="Q488" s="54"/>
      <c r="R488" s="55" t="s">
        <v>722</v>
      </c>
      <c r="S488" s="51" t="s">
        <v>2347</v>
      </c>
      <c r="T488" s="51" t="s">
        <v>2281</v>
      </c>
      <c r="U488" s="51" t="s">
        <v>2282</v>
      </c>
      <c r="V488" s="51" t="s">
        <v>2348</v>
      </c>
      <c r="W488" s="82" t="s">
        <v>2349</v>
      </c>
      <c r="X488" s="51" t="s">
        <v>2279</v>
      </c>
      <c r="Y488" s="53" t="s">
        <v>2350</v>
      </c>
      <c r="Z488" s="53" t="s">
        <v>2348</v>
      </c>
      <c r="AA488" s="60" t="s">
        <v>372</v>
      </c>
    </row>
    <row r="489" spans="2:27" ht="80.25" hidden="1" customHeight="1" x14ac:dyDescent="0.35">
      <c r="B489" s="51" t="s">
        <v>59</v>
      </c>
      <c r="C489" s="51" t="s">
        <v>2274</v>
      </c>
      <c r="D489" s="51" t="s">
        <v>60</v>
      </c>
      <c r="E489" s="52">
        <v>1</v>
      </c>
      <c r="F489" s="51" t="s">
        <v>247</v>
      </c>
      <c r="G489" s="51" t="s">
        <v>248</v>
      </c>
      <c r="H489" s="51" t="s">
        <v>249</v>
      </c>
      <c r="I489" s="52">
        <v>18</v>
      </c>
      <c r="J489" s="51" t="s">
        <v>250</v>
      </c>
      <c r="K489" s="52">
        <v>23</v>
      </c>
      <c r="L489" s="52">
        <v>6</v>
      </c>
      <c r="M489" s="52"/>
      <c r="N489" s="53" t="s">
        <v>2351</v>
      </c>
      <c r="O489" s="53" t="s">
        <v>252</v>
      </c>
      <c r="P489" s="52"/>
      <c r="Q489" s="54"/>
      <c r="R489" s="55" t="s">
        <v>203</v>
      </c>
      <c r="S489" s="51" t="s">
        <v>253</v>
      </c>
      <c r="T489" s="51" t="s">
        <v>2281</v>
      </c>
      <c r="U489" s="51" t="s">
        <v>2282</v>
      </c>
      <c r="V489" s="51" t="s">
        <v>2352</v>
      </c>
      <c r="W489" s="82" t="s">
        <v>2353</v>
      </c>
      <c r="X489" s="51" t="s">
        <v>2279</v>
      </c>
      <c r="Y489" s="53" t="s">
        <v>2280</v>
      </c>
      <c r="Z489" s="65" t="s">
        <v>2352</v>
      </c>
      <c r="AA489" s="60" t="s">
        <v>372</v>
      </c>
    </row>
    <row r="490" spans="2:27" ht="80.25" hidden="1" customHeight="1" x14ac:dyDescent="0.35">
      <c r="B490" s="51" t="s">
        <v>59</v>
      </c>
      <c r="C490" s="51" t="s">
        <v>2274</v>
      </c>
      <c r="D490" s="51" t="s">
        <v>60</v>
      </c>
      <c r="E490" s="52">
        <v>1</v>
      </c>
      <c r="F490" s="51" t="s">
        <v>260</v>
      </c>
      <c r="G490" s="51" t="s">
        <v>261</v>
      </c>
      <c r="H490" s="51" t="s">
        <v>249</v>
      </c>
      <c r="I490" s="52">
        <v>19</v>
      </c>
      <c r="J490" s="51" t="s">
        <v>250</v>
      </c>
      <c r="K490" s="52">
        <v>23</v>
      </c>
      <c r="L490" s="52">
        <v>6</v>
      </c>
      <c r="M490" s="52"/>
      <c r="N490" s="53" t="s">
        <v>2354</v>
      </c>
      <c r="O490" s="53" t="s">
        <v>263</v>
      </c>
      <c r="P490" s="52"/>
      <c r="Q490" s="54"/>
      <c r="R490" s="55"/>
      <c r="S490" s="51"/>
      <c r="T490" s="51" t="s">
        <v>2281</v>
      </c>
      <c r="U490" s="51" t="s">
        <v>2282</v>
      </c>
      <c r="V490" s="51" t="s">
        <v>2352</v>
      </c>
      <c r="W490" s="82" t="s">
        <v>2353</v>
      </c>
      <c r="X490" s="51" t="s">
        <v>2279</v>
      </c>
      <c r="Y490" s="53" t="s">
        <v>2280</v>
      </c>
      <c r="Z490" s="65" t="s">
        <v>2352</v>
      </c>
      <c r="AA490" s="60" t="s">
        <v>372</v>
      </c>
    </row>
    <row r="491" spans="2:27" ht="80.25" hidden="1" customHeight="1" x14ac:dyDescent="0.35">
      <c r="B491" s="51" t="s">
        <v>59</v>
      </c>
      <c r="C491" s="51" t="s">
        <v>2274</v>
      </c>
      <c r="D491" s="51" t="s">
        <v>60</v>
      </c>
      <c r="E491" s="52">
        <v>1</v>
      </c>
      <c r="F491" s="51" t="s">
        <v>2355</v>
      </c>
      <c r="G491" s="51" t="s">
        <v>2356</v>
      </c>
      <c r="H491" s="54" t="s">
        <v>249</v>
      </c>
      <c r="I491" s="52">
        <v>20</v>
      </c>
      <c r="J491" s="51" t="s">
        <v>250</v>
      </c>
      <c r="K491" s="52">
        <v>23</v>
      </c>
      <c r="L491" s="52">
        <v>6</v>
      </c>
      <c r="M491" s="52"/>
      <c r="N491" s="53" t="s">
        <v>2357</v>
      </c>
      <c r="O491" s="53" t="s">
        <v>2358</v>
      </c>
      <c r="P491" s="52"/>
      <c r="Q491" s="51"/>
      <c r="R491" s="55"/>
      <c r="S491" s="51"/>
      <c r="T491" s="51" t="s">
        <v>2281</v>
      </c>
      <c r="U491" s="51" t="s">
        <v>2282</v>
      </c>
      <c r="V491" s="51" t="s">
        <v>2359</v>
      </c>
      <c r="W491" s="82" t="s">
        <v>2360</v>
      </c>
      <c r="X491" s="51" t="s">
        <v>2279</v>
      </c>
      <c r="Y491" s="53" t="s">
        <v>2280</v>
      </c>
      <c r="Z491" s="53" t="s">
        <v>2361</v>
      </c>
      <c r="AA491" s="60" t="s">
        <v>372</v>
      </c>
    </row>
    <row r="492" spans="2:27" ht="80.25" hidden="1" customHeight="1" x14ac:dyDescent="0.35">
      <c r="B492" s="51" t="s">
        <v>59</v>
      </c>
      <c r="C492" s="51" t="s">
        <v>2274</v>
      </c>
      <c r="D492" s="51" t="s">
        <v>60</v>
      </c>
      <c r="E492" s="52">
        <v>1</v>
      </c>
      <c r="F492" s="51" t="s">
        <v>964</v>
      </c>
      <c r="G492" s="51" t="s">
        <v>2362</v>
      </c>
      <c r="H492" s="54" t="s">
        <v>249</v>
      </c>
      <c r="I492" s="52">
        <v>21</v>
      </c>
      <c r="J492" s="51" t="s">
        <v>250</v>
      </c>
      <c r="K492" s="52">
        <v>23</v>
      </c>
      <c r="L492" s="52">
        <v>6</v>
      </c>
      <c r="M492" s="52"/>
      <c r="N492" s="53" t="s">
        <v>2363</v>
      </c>
      <c r="O492" s="53" t="s">
        <v>2364</v>
      </c>
      <c r="P492" s="52"/>
      <c r="Q492" s="51"/>
      <c r="R492" s="55"/>
      <c r="S492" s="51"/>
      <c r="T492" s="51" t="s">
        <v>2281</v>
      </c>
      <c r="U492" s="51" t="s">
        <v>2282</v>
      </c>
      <c r="V492" s="51" t="s">
        <v>2365</v>
      </c>
      <c r="W492" s="82" t="s">
        <v>2366</v>
      </c>
      <c r="X492" s="51" t="s">
        <v>2279</v>
      </c>
      <c r="Y492" s="53" t="s">
        <v>2280</v>
      </c>
      <c r="Z492" s="53" t="s">
        <v>2367</v>
      </c>
      <c r="AA492" s="60" t="s">
        <v>372</v>
      </c>
    </row>
    <row r="493" spans="2:27" ht="80.25" hidden="1" customHeight="1" x14ac:dyDescent="0.35">
      <c r="B493" s="51" t="s">
        <v>59</v>
      </c>
      <c r="C493" s="51" t="s">
        <v>2274</v>
      </c>
      <c r="D493" s="51" t="s">
        <v>60</v>
      </c>
      <c r="E493" s="52">
        <v>1</v>
      </c>
      <c r="F493" s="51" t="s">
        <v>879</v>
      </c>
      <c r="G493" s="51" t="s">
        <v>880</v>
      </c>
      <c r="H493" s="51" t="s">
        <v>249</v>
      </c>
      <c r="I493" s="52">
        <v>22</v>
      </c>
      <c r="J493" s="51" t="s">
        <v>250</v>
      </c>
      <c r="K493" s="52">
        <v>23</v>
      </c>
      <c r="L493" s="52">
        <v>6</v>
      </c>
      <c r="M493" s="52"/>
      <c r="N493" s="53" t="s">
        <v>2368</v>
      </c>
      <c r="O493" s="53" t="s">
        <v>882</v>
      </c>
      <c r="P493" s="52"/>
      <c r="Q493" s="54"/>
      <c r="R493" s="53"/>
      <c r="S493" s="54"/>
      <c r="T493" s="51" t="s">
        <v>2281</v>
      </c>
      <c r="U493" s="51" t="s">
        <v>2282</v>
      </c>
      <c r="V493" s="51" t="s">
        <v>2369</v>
      </c>
      <c r="W493" s="82" t="s">
        <v>2370</v>
      </c>
      <c r="X493" s="51" t="s">
        <v>2279</v>
      </c>
      <c r="Y493" s="53" t="s">
        <v>2339</v>
      </c>
      <c r="Z493" s="53" t="s">
        <v>2371</v>
      </c>
      <c r="AA493" s="60" t="s">
        <v>372</v>
      </c>
    </row>
    <row r="494" spans="2:27" ht="80.25" hidden="1" customHeight="1" x14ac:dyDescent="0.35">
      <c r="B494" s="51" t="s">
        <v>59</v>
      </c>
      <c r="C494" s="51" t="s">
        <v>2274</v>
      </c>
      <c r="D494" s="51" t="s">
        <v>60</v>
      </c>
      <c r="E494" s="52">
        <v>1</v>
      </c>
      <c r="F494" s="51" t="s">
        <v>648</v>
      </c>
      <c r="G494" s="51" t="s">
        <v>649</v>
      </c>
      <c r="H494" s="51" t="s">
        <v>249</v>
      </c>
      <c r="I494" s="52">
        <v>23</v>
      </c>
      <c r="J494" s="51" t="s">
        <v>250</v>
      </c>
      <c r="K494" s="52">
        <v>23</v>
      </c>
      <c r="L494" s="52">
        <v>6</v>
      </c>
      <c r="M494" s="52"/>
      <c r="N494" s="53" t="s">
        <v>650</v>
      </c>
      <c r="O494" s="53" t="s">
        <v>651</v>
      </c>
      <c r="P494" s="52"/>
      <c r="Q494" s="54"/>
      <c r="R494" s="53" t="s">
        <v>685</v>
      </c>
      <c r="S494" s="53" t="s">
        <v>2372</v>
      </c>
      <c r="T494" s="51" t="s">
        <v>2281</v>
      </c>
      <c r="U494" s="51" t="s">
        <v>2282</v>
      </c>
      <c r="V494" s="51" t="s">
        <v>2373</v>
      </c>
      <c r="W494" s="82" t="s">
        <v>2374</v>
      </c>
      <c r="X494" s="51" t="s">
        <v>2279</v>
      </c>
      <c r="Y494" s="53" t="s">
        <v>2375</v>
      </c>
      <c r="Z494" s="62" t="s">
        <v>2373</v>
      </c>
      <c r="AA494" s="60" t="s">
        <v>372</v>
      </c>
    </row>
    <row r="495" spans="2:27" ht="80.25" hidden="1" customHeight="1" x14ac:dyDescent="0.35">
      <c r="B495" s="51" t="s">
        <v>59</v>
      </c>
      <c r="C495" s="51" t="s">
        <v>2274</v>
      </c>
      <c r="D495" s="51" t="s">
        <v>60</v>
      </c>
      <c r="E495" s="52">
        <v>1</v>
      </c>
      <c r="F495" s="51" t="s">
        <v>271</v>
      </c>
      <c r="G495" s="51" t="s">
        <v>272</v>
      </c>
      <c r="H495" s="51" t="s">
        <v>249</v>
      </c>
      <c r="I495" s="52">
        <v>24</v>
      </c>
      <c r="J495" s="51" t="s">
        <v>250</v>
      </c>
      <c r="K495" s="52">
        <v>23</v>
      </c>
      <c r="L495" s="52">
        <v>6</v>
      </c>
      <c r="M495" s="52"/>
      <c r="N495" s="53" t="s">
        <v>273</v>
      </c>
      <c r="O495" s="53" t="s">
        <v>274</v>
      </c>
      <c r="P495" s="52"/>
      <c r="Q495" s="54"/>
      <c r="R495" s="53" t="s">
        <v>275</v>
      </c>
      <c r="S495" s="54" t="s">
        <v>276</v>
      </c>
      <c r="T495" s="51" t="s">
        <v>2281</v>
      </c>
      <c r="U495" s="51" t="s">
        <v>2282</v>
      </c>
      <c r="V495" s="51" t="s">
        <v>2376</v>
      </c>
      <c r="W495" s="82" t="s">
        <v>2377</v>
      </c>
      <c r="X495" s="51" t="s">
        <v>2279</v>
      </c>
      <c r="Y495" s="53" t="s">
        <v>2378</v>
      </c>
      <c r="Z495" s="53" t="s">
        <v>2379</v>
      </c>
      <c r="AA495" s="60" t="s">
        <v>372</v>
      </c>
    </row>
    <row r="496" spans="2:27" ht="80.25" hidden="1" customHeight="1" x14ac:dyDescent="0.35">
      <c r="B496" s="51" t="s">
        <v>59</v>
      </c>
      <c r="C496" s="51" t="s">
        <v>2274</v>
      </c>
      <c r="D496" s="51" t="s">
        <v>60</v>
      </c>
      <c r="E496" s="52">
        <v>1</v>
      </c>
      <c r="F496" s="51" t="s">
        <v>2380</v>
      </c>
      <c r="G496" s="51" t="s">
        <v>2381</v>
      </c>
      <c r="H496" s="51" t="s">
        <v>249</v>
      </c>
      <c r="I496" s="52">
        <v>25</v>
      </c>
      <c r="J496" s="51" t="s">
        <v>250</v>
      </c>
      <c r="K496" s="52">
        <v>23</v>
      </c>
      <c r="L496" s="52">
        <v>6</v>
      </c>
      <c r="M496" s="52"/>
      <c r="N496" s="53" t="s">
        <v>2382</v>
      </c>
      <c r="O496" s="53" t="s">
        <v>2383</v>
      </c>
      <c r="P496" s="52"/>
      <c r="Q496" s="54"/>
      <c r="R496" s="53"/>
      <c r="S496" s="54"/>
      <c r="T496" s="51" t="s">
        <v>2281</v>
      </c>
      <c r="U496" s="51" t="s">
        <v>2282</v>
      </c>
      <c r="V496" s="51" t="s">
        <v>2384</v>
      </c>
      <c r="W496" s="82" t="s">
        <v>2385</v>
      </c>
      <c r="X496" s="51" t="s">
        <v>2279</v>
      </c>
      <c r="Y496" s="53" t="s">
        <v>2378</v>
      </c>
      <c r="Z496" s="53" t="s">
        <v>2384</v>
      </c>
      <c r="AA496" s="60" t="s">
        <v>372</v>
      </c>
    </row>
    <row r="497" spans="2:27" ht="80.25" hidden="1" customHeight="1" x14ac:dyDescent="0.35">
      <c r="B497" s="51" t="s">
        <v>59</v>
      </c>
      <c r="C497" s="51" t="s">
        <v>2274</v>
      </c>
      <c r="D497" s="51" t="s">
        <v>60</v>
      </c>
      <c r="E497" s="52">
        <v>1</v>
      </c>
      <c r="F497" s="51" t="s">
        <v>2386</v>
      </c>
      <c r="G497" s="51" t="s">
        <v>2387</v>
      </c>
      <c r="H497" s="51" t="s">
        <v>249</v>
      </c>
      <c r="I497" s="52">
        <v>26</v>
      </c>
      <c r="J497" s="51" t="s">
        <v>250</v>
      </c>
      <c r="K497" s="52">
        <v>23</v>
      </c>
      <c r="L497" s="52">
        <v>6</v>
      </c>
      <c r="M497" s="52"/>
      <c r="N497" s="53" t="s">
        <v>2388</v>
      </c>
      <c r="O497" s="53" t="s">
        <v>2389</v>
      </c>
      <c r="P497" s="52"/>
      <c r="Q497" s="54"/>
      <c r="R497" s="53"/>
      <c r="S497" s="54"/>
      <c r="T497" s="51" t="s">
        <v>2281</v>
      </c>
      <c r="U497" s="51" t="s">
        <v>2282</v>
      </c>
      <c r="V497" s="51" t="s">
        <v>2390</v>
      </c>
      <c r="W497" s="82" t="s">
        <v>2391</v>
      </c>
      <c r="X497" s="51" t="s">
        <v>2279</v>
      </c>
      <c r="Y497" s="53" t="s">
        <v>2378</v>
      </c>
      <c r="Z497" s="53" t="s">
        <v>2392</v>
      </c>
      <c r="AA497" s="60" t="s">
        <v>372</v>
      </c>
    </row>
    <row r="498" spans="2:27" ht="80.25" hidden="1" customHeight="1" x14ac:dyDescent="0.35">
      <c r="B498" s="51" t="s">
        <v>59</v>
      </c>
      <c r="C498" s="51" t="s">
        <v>2274</v>
      </c>
      <c r="D498" s="51" t="s">
        <v>60</v>
      </c>
      <c r="E498" s="52">
        <v>1</v>
      </c>
      <c r="F498" s="51" t="s">
        <v>2393</v>
      </c>
      <c r="G498" s="51" t="s">
        <v>2394</v>
      </c>
      <c r="H498" s="51" t="s">
        <v>249</v>
      </c>
      <c r="I498" s="52">
        <v>27</v>
      </c>
      <c r="J498" s="51" t="s">
        <v>250</v>
      </c>
      <c r="K498" s="52">
        <v>23</v>
      </c>
      <c r="L498" s="52">
        <v>6</v>
      </c>
      <c r="M498" s="52"/>
      <c r="N498" s="53" t="s">
        <v>2395</v>
      </c>
      <c r="O498" s="53" t="s">
        <v>2396</v>
      </c>
      <c r="P498" s="52"/>
      <c r="Q498" s="54"/>
      <c r="R498" s="53"/>
      <c r="S498" s="54"/>
      <c r="T498" s="51" t="s">
        <v>2281</v>
      </c>
      <c r="U498" s="51" t="s">
        <v>2282</v>
      </c>
      <c r="V498" s="51" t="s">
        <v>2397</v>
      </c>
      <c r="W498" s="82" t="s">
        <v>2398</v>
      </c>
      <c r="X498" s="51" t="s">
        <v>2279</v>
      </c>
      <c r="Y498" s="53" t="s">
        <v>2378</v>
      </c>
      <c r="Z498" s="53" t="s">
        <v>2397</v>
      </c>
      <c r="AA498" s="60" t="s">
        <v>372</v>
      </c>
    </row>
    <row r="499" spans="2:27" ht="80.25" hidden="1" customHeight="1" x14ac:dyDescent="0.35">
      <c r="B499" s="51" t="s">
        <v>59</v>
      </c>
      <c r="C499" s="51" t="s">
        <v>2274</v>
      </c>
      <c r="D499" s="51" t="s">
        <v>60</v>
      </c>
      <c r="E499" s="52">
        <v>1</v>
      </c>
      <c r="F499" s="51" t="s">
        <v>282</v>
      </c>
      <c r="G499" s="51" t="s">
        <v>283</v>
      </c>
      <c r="H499" s="51" t="s">
        <v>249</v>
      </c>
      <c r="I499" s="52">
        <v>28</v>
      </c>
      <c r="J499" s="51" t="s">
        <v>250</v>
      </c>
      <c r="K499" s="52">
        <v>23</v>
      </c>
      <c r="L499" s="52">
        <v>6</v>
      </c>
      <c r="M499" s="52"/>
      <c r="N499" s="53" t="s">
        <v>284</v>
      </c>
      <c r="O499" s="53" t="s">
        <v>285</v>
      </c>
      <c r="P499" s="52"/>
      <c r="Q499" s="54"/>
      <c r="R499" s="63"/>
      <c r="S499" s="61"/>
      <c r="T499" s="51" t="s">
        <v>2281</v>
      </c>
      <c r="U499" s="51" t="s">
        <v>2282</v>
      </c>
      <c r="V499" s="61" t="s">
        <v>2376</v>
      </c>
      <c r="W499" s="82" t="s">
        <v>2399</v>
      </c>
      <c r="X499" s="51" t="s">
        <v>2279</v>
      </c>
      <c r="Y499" s="53" t="s">
        <v>2378</v>
      </c>
      <c r="Z499" s="53" t="s">
        <v>2379</v>
      </c>
      <c r="AA499" s="60" t="s">
        <v>372</v>
      </c>
    </row>
    <row r="500" spans="2:27" ht="80.25" hidden="1" customHeight="1" x14ac:dyDescent="0.35">
      <c r="B500" s="51" t="s">
        <v>59</v>
      </c>
      <c r="C500" s="51" t="s">
        <v>2274</v>
      </c>
      <c r="D500" s="51" t="s">
        <v>60</v>
      </c>
      <c r="E500" s="52">
        <v>1</v>
      </c>
      <c r="F500" s="51" t="s">
        <v>2400</v>
      </c>
      <c r="G500" s="51" t="s">
        <v>2401</v>
      </c>
      <c r="H500" s="51" t="s">
        <v>249</v>
      </c>
      <c r="I500" s="52">
        <v>29</v>
      </c>
      <c r="J500" s="51" t="s">
        <v>250</v>
      </c>
      <c r="K500" s="52">
        <v>23</v>
      </c>
      <c r="L500" s="52">
        <v>6</v>
      </c>
      <c r="M500" s="52"/>
      <c r="N500" s="53" t="s">
        <v>2402</v>
      </c>
      <c r="O500" s="53" t="s">
        <v>2403</v>
      </c>
      <c r="P500" s="52"/>
      <c r="Q500" s="51"/>
      <c r="R500" s="53"/>
      <c r="S500" s="54"/>
      <c r="T500" s="51" t="s">
        <v>2281</v>
      </c>
      <c r="U500" s="51" t="s">
        <v>2282</v>
      </c>
      <c r="V500" s="51" t="s">
        <v>2404</v>
      </c>
      <c r="W500" s="82" t="s">
        <v>2405</v>
      </c>
      <c r="X500" s="51" t="s">
        <v>2279</v>
      </c>
      <c r="Y500" s="53" t="s">
        <v>2406</v>
      </c>
      <c r="Z500" s="51" t="s">
        <v>2407</v>
      </c>
      <c r="AA500" s="60" t="s">
        <v>372</v>
      </c>
    </row>
    <row r="501" spans="2:27" ht="80.25" hidden="1" customHeight="1" x14ac:dyDescent="0.35">
      <c r="B501" s="51" t="s">
        <v>59</v>
      </c>
      <c r="C501" s="51" t="s">
        <v>2274</v>
      </c>
      <c r="D501" s="51" t="s">
        <v>60</v>
      </c>
      <c r="E501" s="52">
        <v>1</v>
      </c>
      <c r="F501" s="51" t="s">
        <v>2408</v>
      </c>
      <c r="G501" s="51" t="s">
        <v>2409</v>
      </c>
      <c r="H501" s="51" t="s">
        <v>249</v>
      </c>
      <c r="I501" s="52">
        <v>30</v>
      </c>
      <c r="J501" s="51" t="s">
        <v>250</v>
      </c>
      <c r="K501" s="52">
        <v>23</v>
      </c>
      <c r="L501" s="52">
        <v>6</v>
      </c>
      <c r="M501" s="52"/>
      <c r="N501" s="53" t="s">
        <v>2410</v>
      </c>
      <c r="O501" s="53" t="s">
        <v>2411</v>
      </c>
      <c r="P501" s="52"/>
      <c r="Q501" s="51"/>
      <c r="R501" s="53"/>
      <c r="S501" s="54"/>
      <c r="T501" s="51" t="s">
        <v>2281</v>
      </c>
      <c r="U501" s="51" t="s">
        <v>2282</v>
      </c>
      <c r="V501" s="51" t="s">
        <v>2412</v>
      </c>
      <c r="W501" s="82" t="s">
        <v>2413</v>
      </c>
      <c r="X501" s="51" t="s">
        <v>2279</v>
      </c>
      <c r="Y501" s="53" t="s">
        <v>2406</v>
      </c>
      <c r="Z501" s="51" t="s">
        <v>2412</v>
      </c>
      <c r="AA501" s="60" t="s">
        <v>372</v>
      </c>
    </row>
    <row r="502" spans="2:27" ht="80.25" hidden="1" customHeight="1" x14ac:dyDescent="0.35">
      <c r="B502" s="51" t="s">
        <v>59</v>
      </c>
      <c r="C502" s="51" t="s">
        <v>2274</v>
      </c>
      <c r="D502" s="51" t="s">
        <v>60</v>
      </c>
      <c r="E502" s="52">
        <v>1</v>
      </c>
      <c r="F502" s="51" t="s">
        <v>2414</v>
      </c>
      <c r="G502" s="51" t="s">
        <v>2415</v>
      </c>
      <c r="H502" s="51" t="s">
        <v>249</v>
      </c>
      <c r="I502" s="52">
        <v>31</v>
      </c>
      <c r="J502" s="51" t="s">
        <v>250</v>
      </c>
      <c r="K502" s="52">
        <v>23</v>
      </c>
      <c r="L502" s="52">
        <v>6</v>
      </c>
      <c r="M502" s="52"/>
      <c r="N502" s="53" t="s">
        <v>2416</v>
      </c>
      <c r="O502" s="53" t="s">
        <v>2417</v>
      </c>
      <c r="P502" s="52"/>
      <c r="Q502" s="51"/>
      <c r="R502" s="53"/>
      <c r="S502" s="54"/>
      <c r="T502" s="51" t="s">
        <v>2281</v>
      </c>
      <c r="U502" s="51" t="s">
        <v>2282</v>
      </c>
      <c r="V502" s="51" t="s">
        <v>2418</v>
      </c>
      <c r="W502" s="82" t="s">
        <v>2419</v>
      </c>
      <c r="X502" s="51" t="s">
        <v>2279</v>
      </c>
      <c r="Y502" s="53" t="s">
        <v>2406</v>
      </c>
      <c r="Z502" s="51" t="s">
        <v>2418</v>
      </c>
      <c r="AA502" s="60" t="s">
        <v>372</v>
      </c>
    </row>
    <row r="503" spans="2:27" ht="80.25" hidden="1" customHeight="1" x14ac:dyDescent="0.35">
      <c r="B503" s="51" t="s">
        <v>59</v>
      </c>
      <c r="C503" s="51" t="s">
        <v>2274</v>
      </c>
      <c r="D503" s="51" t="s">
        <v>60</v>
      </c>
      <c r="E503" s="52">
        <v>1</v>
      </c>
      <c r="F503" s="51" t="s">
        <v>2420</v>
      </c>
      <c r="G503" s="51" t="s">
        <v>2421</v>
      </c>
      <c r="H503" s="51" t="s">
        <v>249</v>
      </c>
      <c r="I503" s="52">
        <v>32</v>
      </c>
      <c r="J503" s="51" t="s">
        <v>250</v>
      </c>
      <c r="K503" s="52">
        <v>23</v>
      </c>
      <c r="L503" s="52">
        <v>6</v>
      </c>
      <c r="M503" s="52"/>
      <c r="N503" s="53" t="s">
        <v>2422</v>
      </c>
      <c r="O503" s="53" t="s">
        <v>2423</v>
      </c>
      <c r="P503" s="52"/>
      <c r="Q503" s="51"/>
      <c r="R503" s="53"/>
      <c r="S503" s="54"/>
      <c r="T503" s="51" t="s">
        <v>2281</v>
      </c>
      <c r="U503" s="51" t="s">
        <v>2282</v>
      </c>
      <c r="V503" s="51" t="s">
        <v>2424</v>
      </c>
      <c r="W503" s="82" t="s">
        <v>2425</v>
      </c>
      <c r="X503" s="51" t="s">
        <v>2279</v>
      </c>
      <c r="Y503" s="53" t="s">
        <v>2406</v>
      </c>
      <c r="Z503" s="51" t="s">
        <v>2424</v>
      </c>
      <c r="AA503" s="60" t="s">
        <v>372</v>
      </c>
    </row>
    <row r="504" spans="2:27" ht="80.25" hidden="1" customHeight="1" x14ac:dyDescent="0.35">
      <c r="B504" s="51" t="s">
        <v>59</v>
      </c>
      <c r="C504" s="51" t="s">
        <v>2274</v>
      </c>
      <c r="D504" s="51" t="s">
        <v>60</v>
      </c>
      <c r="E504" s="52">
        <v>1</v>
      </c>
      <c r="F504" s="51" t="s">
        <v>714</v>
      </c>
      <c r="G504" s="51" t="s">
        <v>715</v>
      </c>
      <c r="H504" s="54" t="s">
        <v>430</v>
      </c>
      <c r="I504" s="52">
        <v>33</v>
      </c>
      <c r="J504" s="51" t="s">
        <v>123</v>
      </c>
      <c r="K504" s="52">
        <v>10</v>
      </c>
      <c r="L504" s="52"/>
      <c r="M504" s="52"/>
      <c r="N504" s="53" t="s">
        <v>2426</v>
      </c>
      <c r="O504" s="53" t="s">
        <v>717</v>
      </c>
      <c r="P504" s="52"/>
      <c r="Q504" s="54"/>
      <c r="R504" s="55"/>
      <c r="S504" s="51"/>
      <c r="T504" s="51" t="s">
        <v>2281</v>
      </c>
      <c r="U504" s="51" t="s">
        <v>2282</v>
      </c>
      <c r="V504" s="51" t="s">
        <v>2427</v>
      </c>
      <c r="W504" s="82" t="s">
        <v>2428</v>
      </c>
      <c r="X504" s="51" t="s">
        <v>2279</v>
      </c>
      <c r="Y504" s="53" t="s">
        <v>2406</v>
      </c>
      <c r="Z504" s="53" t="s">
        <v>2427</v>
      </c>
      <c r="AA504" s="60" t="s">
        <v>372</v>
      </c>
    </row>
    <row r="505" spans="2:27" ht="80.25" hidden="1" customHeight="1" x14ac:dyDescent="0.35">
      <c r="B505" s="51" t="s">
        <v>59</v>
      </c>
      <c r="C505" s="51" t="s">
        <v>2274</v>
      </c>
      <c r="D505" s="51" t="s">
        <v>60</v>
      </c>
      <c r="E505" s="52">
        <v>1</v>
      </c>
      <c r="F505" s="51" t="s">
        <v>1448</v>
      </c>
      <c r="G505" s="51" t="s">
        <v>1449</v>
      </c>
      <c r="H505" s="54" t="s">
        <v>249</v>
      </c>
      <c r="I505" s="52">
        <v>34</v>
      </c>
      <c r="J505" s="51" t="s">
        <v>250</v>
      </c>
      <c r="K505" s="52">
        <v>23</v>
      </c>
      <c r="L505" s="52">
        <v>6</v>
      </c>
      <c r="M505" s="52"/>
      <c r="N505" s="53" t="s">
        <v>2429</v>
      </c>
      <c r="O505" s="53" t="s">
        <v>1451</v>
      </c>
      <c r="P505" s="52"/>
      <c r="Q505" s="54"/>
      <c r="R505" s="55" t="s">
        <v>722</v>
      </c>
      <c r="S505" s="51" t="s">
        <v>2430</v>
      </c>
      <c r="T505" s="51" t="s">
        <v>2281</v>
      </c>
      <c r="U505" s="51" t="s">
        <v>2282</v>
      </c>
      <c r="V505" s="51" t="s">
        <v>2431</v>
      </c>
      <c r="W505" s="82" t="s">
        <v>2432</v>
      </c>
      <c r="X505" s="51" t="s">
        <v>2279</v>
      </c>
      <c r="Y505" s="53" t="s">
        <v>2406</v>
      </c>
      <c r="Z505" s="53" t="s">
        <v>2431</v>
      </c>
      <c r="AA505" s="60" t="s">
        <v>372</v>
      </c>
    </row>
    <row r="506" spans="2:27" ht="80.25" hidden="1" customHeight="1" x14ac:dyDescent="0.35">
      <c r="B506" s="51" t="s">
        <v>59</v>
      </c>
      <c r="C506" s="51" t="s">
        <v>2274</v>
      </c>
      <c r="D506" s="51" t="s">
        <v>60</v>
      </c>
      <c r="E506" s="52">
        <v>1</v>
      </c>
      <c r="F506" s="51" t="s">
        <v>1457</v>
      </c>
      <c r="G506" s="51" t="s">
        <v>1458</v>
      </c>
      <c r="H506" s="54" t="s">
        <v>430</v>
      </c>
      <c r="I506" s="52">
        <v>35</v>
      </c>
      <c r="J506" s="51" t="s">
        <v>123</v>
      </c>
      <c r="K506" s="52">
        <v>10</v>
      </c>
      <c r="L506" s="52"/>
      <c r="M506" s="52"/>
      <c r="N506" s="53" t="s">
        <v>2433</v>
      </c>
      <c r="O506" s="53" t="s">
        <v>1460</v>
      </c>
      <c r="P506" s="52"/>
      <c r="Q506" s="54"/>
      <c r="R506" s="55"/>
      <c r="S506" s="51"/>
      <c r="T506" s="51" t="s">
        <v>2281</v>
      </c>
      <c r="U506" s="55" t="s">
        <v>2282</v>
      </c>
      <c r="V506" s="55" t="s">
        <v>2434</v>
      </c>
      <c r="W506" s="82" t="s">
        <v>2435</v>
      </c>
      <c r="X506" s="51" t="s">
        <v>2279</v>
      </c>
      <c r="Y506" s="53" t="s">
        <v>2406</v>
      </c>
      <c r="Z506" s="53" t="s">
        <v>2436</v>
      </c>
      <c r="AA506" s="60" t="s">
        <v>372</v>
      </c>
    </row>
    <row r="507" spans="2:27" ht="80.25" hidden="1" customHeight="1" x14ac:dyDescent="0.35">
      <c r="B507" s="51" t="s">
        <v>59</v>
      </c>
      <c r="C507" s="51" t="s">
        <v>2274</v>
      </c>
      <c r="D507" s="51" t="s">
        <v>60</v>
      </c>
      <c r="E507" s="52">
        <v>1</v>
      </c>
      <c r="F507" s="51" t="s">
        <v>1466</v>
      </c>
      <c r="G507" s="51" t="s">
        <v>1467</v>
      </c>
      <c r="H507" s="54" t="s">
        <v>249</v>
      </c>
      <c r="I507" s="52">
        <v>36</v>
      </c>
      <c r="J507" s="51" t="s">
        <v>250</v>
      </c>
      <c r="K507" s="52">
        <v>23</v>
      </c>
      <c r="L507" s="52">
        <v>6</v>
      </c>
      <c r="M507" s="52"/>
      <c r="N507" s="53" t="s">
        <v>2437</v>
      </c>
      <c r="O507" s="53" t="s">
        <v>1469</v>
      </c>
      <c r="P507" s="52"/>
      <c r="Q507" s="54"/>
      <c r="R507" s="55"/>
      <c r="S507" s="51"/>
      <c r="T507" s="51" t="s">
        <v>2281</v>
      </c>
      <c r="U507" s="55" t="s">
        <v>2282</v>
      </c>
      <c r="V507" s="51" t="s">
        <v>2438</v>
      </c>
      <c r="W507" s="82" t="s">
        <v>2439</v>
      </c>
      <c r="X507" s="51" t="s">
        <v>2279</v>
      </c>
      <c r="Y507" s="53" t="s">
        <v>2406</v>
      </c>
      <c r="Z507" s="55" t="s">
        <v>2438</v>
      </c>
      <c r="AA507" s="60" t="s">
        <v>372</v>
      </c>
    </row>
    <row r="508" spans="2:27" ht="80.25" hidden="1" customHeight="1" x14ac:dyDescent="0.35">
      <c r="B508" s="51" t="s">
        <v>59</v>
      </c>
      <c r="C508" s="51" t="s">
        <v>2274</v>
      </c>
      <c r="D508" s="51" t="s">
        <v>60</v>
      </c>
      <c r="E508" s="52">
        <v>1</v>
      </c>
      <c r="F508" s="51" t="s">
        <v>2440</v>
      </c>
      <c r="G508" s="51" t="s">
        <v>2441</v>
      </c>
      <c r="H508" s="54" t="s">
        <v>249</v>
      </c>
      <c r="I508" s="52">
        <v>37</v>
      </c>
      <c r="J508" s="51" t="s">
        <v>250</v>
      </c>
      <c r="K508" s="52">
        <v>23</v>
      </c>
      <c r="L508" s="52">
        <v>6</v>
      </c>
      <c r="M508" s="52"/>
      <c r="N508" s="53" t="s">
        <v>2442</v>
      </c>
      <c r="O508" s="53" t="s">
        <v>2443</v>
      </c>
      <c r="P508" s="52"/>
      <c r="Q508" s="54"/>
      <c r="R508" s="63"/>
      <c r="S508" s="61"/>
      <c r="T508" s="51" t="s">
        <v>2281</v>
      </c>
      <c r="U508" s="55" t="s">
        <v>2282</v>
      </c>
      <c r="V508" s="61" t="s">
        <v>2444</v>
      </c>
      <c r="W508" s="82" t="s">
        <v>2445</v>
      </c>
      <c r="X508" s="51" t="s">
        <v>2279</v>
      </c>
      <c r="Y508" s="53" t="s">
        <v>2406</v>
      </c>
      <c r="Z508" s="54" t="s">
        <v>2444</v>
      </c>
      <c r="AA508" s="60" t="s">
        <v>372</v>
      </c>
    </row>
    <row r="509" spans="2:27" ht="80.25" hidden="1" customHeight="1" x14ac:dyDescent="0.35">
      <c r="B509" s="51" t="s">
        <v>59</v>
      </c>
      <c r="C509" s="51" t="s">
        <v>2274</v>
      </c>
      <c r="D509" s="51" t="s">
        <v>60</v>
      </c>
      <c r="E509" s="52">
        <v>1</v>
      </c>
      <c r="F509" s="51" t="s">
        <v>2446</v>
      </c>
      <c r="G509" s="51" t="s">
        <v>2447</v>
      </c>
      <c r="H509" s="54" t="s">
        <v>249</v>
      </c>
      <c r="I509" s="52">
        <v>38</v>
      </c>
      <c r="J509" s="51" t="s">
        <v>250</v>
      </c>
      <c r="K509" s="52">
        <v>23</v>
      </c>
      <c r="L509" s="52">
        <v>6</v>
      </c>
      <c r="M509" s="52"/>
      <c r="N509" s="53" t="s">
        <v>2448</v>
      </c>
      <c r="O509" s="53" t="s">
        <v>2449</v>
      </c>
      <c r="P509" s="52"/>
      <c r="Q509" s="54"/>
      <c r="R509" s="63"/>
      <c r="S509" s="61"/>
      <c r="T509" s="51" t="s">
        <v>2281</v>
      </c>
      <c r="U509" s="55" t="s">
        <v>2282</v>
      </c>
      <c r="V509" s="61" t="s">
        <v>2450</v>
      </c>
      <c r="W509" s="82" t="s">
        <v>2451</v>
      </c>
      <c r="X509" s="51" t="s">
        <v>2279</v>
      </c>
      <c r="Y509" s="53" t="s">
        <v>2406</v>
      </c>
      <c r="Z509" s="54" t="s">
        <v>2450</v>
      </c>
      <c r="AA509" s="60" t="s">
        <v>372</v>
      </c>
    </row>
    <row r="510" spans="2:27" ht="80.25" hidden="1" customHeight="1" x14ac:dyDescent="0.35">
      <c r="B510" s="51" t="s">
        <v>59</v>
      </c>
      <c r="C510" s="51" t="s">
        <v>2274</v>
      </c>
      <c r="D510" s="51" t="s">
        <v>60</v>
      </c>
      <c r="E510" s="52">
        <v>1</v>
      </c>
      <c r="F510" s="51" t="s">
        <v>2452</v>
      </c>
      <c r="G510" s="51" t="s">
        <v>2453</v>
      </c>
      <c r="H510" s="54" t="s">
        <v>249</v>
      </c>
      <c r="I510" s="52">
        <v>39</v>
      </c>
      <c r="J510" s="51" t="s">
        <v>250</v>
      </c>
      <c r="K510" s="52">
        <v>23</v>
      </c>
      <c r="L510" s="52">
        <v>6</v>
      </c>
      <c r="M510" s="52"/>
      <c r="N510" s="53" t="s">
        <v>2454</v>
      </c>
      <c r="O510" s="53" t="s">
        <v>2455</v>
      </c>
      <c r="P510" s="52"/>
      <c r="Q510" s="54"/>
      <c r="R510" s="63"/>
      <c r="S510" s="61"/>
      <c r="T510" s="51" t="s">
        <v>2281</v>
      </c>
      <c r="U510" s="55" t="s">
        <v>2282</v>
      </c>
      <c r="V510" s="61" t="s">
        <v>2456</v>
      </c>
      <c r="W510" s="82" t="s">
        <v>2457</v>
      </c>
      <c r="X510" s="51" t="s">
        <v>2279</v>
      </c>
      <c r="Y510" s="53" t="s">
        <v>2406</v>
      </c>
      <c r="Z510" s="54" t="s">
        <v>2456</v>
      </c>
      <c r="AA510" s="60" t="s">
        <v>372</v>
      </c>
    </row>
    <row r="511" spans="2:27" ht="80.25" hidden="1" customHeight="1" x14ac:dyDescent="0.35">
      <c r="B511" s="51" t="s">
        <v>59</v>
      </c>
      <c r="C511" s="51" t="s">
        <v>2274</v>
      </c>
      <c r="D511" s="51" t="s">
        <v>60</v>
      </c>
      <c r="E511" s="52">
        <v>1</v>
      </c>
      <c r="F511" s="51" t="s">
        <v>1472</v>
      </c>
      <c r="G511" s="51" t="s">
        <v>1473</v>
      </c>
      <c r="H511" s="54" t="s">
        <v>430</v>
      </c>
      <c r="I511" s="52">
        <v>40</v>
      </c>
      <c r="J511" s="51" t="s">
        <v>123</v>
      </c>
      <c r="K511" s="52">
        <v>10</v>
      </c>
      <c r="L511" s="52"/>
      <c r="M511" s="52"/>
      <c r="N511" s="53" t="s">
        <v>2458</v>
      </c>
      <c r="O511" s="53" t="s">
        <v>1474</v>
      </c>
      <c r="P511" s="52"/>
      <c r="Q511" s="54"/>
      <c r="R511" s="55" t="s">
        <v>722</v>
      </c>
      <c r="S511" s="51" t="s">
        <v>723</v>
      </c>
      <c r="T511" s="51" t="s">
        <v>2281</v>
      </c>
      <c r="U511" s="51" t="s">
        <v>2282</v>
      </c>
      <c r="V511" s="51" t="s">
        <v>2459</v>
      </c>
      <c r="W511" s="82" t="s">
        <v>2460</v>
      </c>
      <c r="X511" s="51" t="s">
        <v>2279</v>
      </c>
      <c r="Y511" s="53" t="s">
        <v>2350</v>
      </c>
      <c r="Z511" s="53" t="s">
        <v>2459</v>
      </c>
      <c r="AA511" s="60" t="s">
        <v>372</v>
      </c>
    </row>
    <row r="512" spans="2:27" ht="80.25" hidden="1" customHeight="1" x14ac:dyDescent="0.35">
      <c r="B512" s="51" t="s">
        <v>59</v>
      </c>
      <c r="C512" s="51" t="s">
        <v>2274</v>
      </c>
      <c r="D512" s="220" t="s">
        <v>60</v>
      </c>
      <c r="E512" s="336">
        <v>1</v>
      </c>
      <c r="F512" s="220" t="s">
        <v>1480</v>
      </c>
      <c r="G512" s="51" t="s">
        <v>1481</v>
      </c>
      <c r="H512" s="54" t="s">
        <v>249</v>
      </c>
      <c r="I512" s="52">
        <v>41</v>
      </c>
      <c r="J512" s="51" t="s">
        <v>250</v>
      </c>
      <c r="K512" s="52">
        <v>23</v>
      </c>
      <c r="L512" s="52">
        <v>6</v>
      </c>
      <c r="M512" s="52"/>
      <c r="N512" s="53" t="s">
        <v>2461</v>
      </c>
      <c r="O512" s="53" t="s">
        <v>1483</v>
      </c>
      <c r="P512" s="52"/>
      <c r="Q512" s="54"/>
      <c r="R512" s="55"/>
      <c r="S512" s="51"/>
      <c r="T512" s="51" t="s">
        <v>2281</v>
      </c>
      <c r="U512" s="51" t="s">
        <v>2282</v>
      </c>
      <c r="V512" s="51" t="s">
        <v>2462</v>
      </c>
      <c r="W512" s="82" t="s">
        <v>2463</v>
      </c>
      <c r="X512" s="51" t="s">
        <v>2279</v>
      </c>
      <c r="Y512" s="53" t="s">
        <v>2350</v>
      </c>
      <c r="Z512" s="53" t="s">
        <v>2462</v>
      </c>
      <c r="AA512" s="60" t="s">
        <v>372</v>
      </c>
    </row>
    <row r="513" spans="2:27" ht="80.25" hidden="1" customHeight="1" x14ac:dyDescent="0.35">
      <c r="B513" s="51" t="s">
        <v>59</v>
      </c>
      <c r="C513" s="51" t="s">
        <v>2274</v>
      </c>
      <c r="D513" s="51" t="s">
        <v>60</v>
      </c>
      <c r="E513" s="52">
        <v>1</v>
      </c>
      <c r="F513" s="51" t="s">
        <v>2464</v>
      </c>
      <c r="G513" s="51" t="s">
        <v>2465</v>
      </c>
      <c r="H513" s="54" t="s">
        <v>249</v>
      </c>
      <c r="I513" s="52">
        <v>42</v>
      </c>
      <c r="J513" s="51" t="s">
        <v>250</v>
      </c>
      <c r="K513" s="52">
        <v>23</v>
      </c>
      <c r="L513" s="52">
        <v>6</v>
      </c>
      <c r="M513" s="52"/>
      <c r="N513" s="53" t="s">
        <v>2466</v>
      </c>
      <c r="O513" s="53" t="s">
        <v>2467</v>
      </c>
      <c r="P513" s="52"/>
      <c r="Q513" s="54"/>
      <c r="R513" s="63"/>
      <c r="S513" s="61"/>
      <c r="T513" s="51" t="s">
        <v>2281</v>
      </c>
      <c r="U513" s="51" t="s">
        <v>2282</v>
      </c>
      <c r="V513" s="61" t="s">
        <v>2468</v>
      </c>
      <c r="W513" s="82" t="s">
        <v>2469</v>
      </c>
      <c r="X513" s="51" t="s">
        <v>2279</v>
      </c>
      <c r="Y513" s="53" t="s">
        <v>2350</v>
      </c>
      <c r="Z513" s="54" t="s">
        <v>2468</v>
      </c>
      <c r="AA513" s="60" t="s">
        <v>372</v>
      </c>
    </row>
    <row r="514" spans="2:27" ht="80.25" hidden="1" customHeight="1" x14ac:dyDescent="0.35">
      <c r="B514" s="51" t="s">
        <v>59</v>
      </c>
      <c r="C514" s="51" t="s">
        <v>2274</v>
      </c>
      <c r="D514" s="51" t="s">
        <v>60</v>
      </c>
      <c r="E514" s="52">
        <v>1</v>
      </c>
      <c r="F514" s="51" t="s">
        <v>2470</v>
      </c>
      <c r="G514" s="51" t="s">
        <v>2471</v>
      </c>
      <c r="H514" s="54" t="s">
        <v>249</v>
      </c>
      <c r="I514" s="52">
        <v>43</v>
      </c>
      <c r="J514" s="51" t="s">
        <v>250</v>
      </c>
      <c r="K514" s="52">
        <v>23</v>
      </c>
      <c r="L514" s="52">
        <v>6</v>
      </c>
      <c r="M514" s="52"/>
      <c r="N514" s="53" t="s">
        <v>2472</v>
      </c>
      <c r="O514" s="53" t="s">
        <v>2473</v>
      </c>
      <c r="P514" s="52"/>
      <c r="Q514" s="54"/>
      <c r="R514" s="63"/>
      <c r="S514" s="61"/>
      <c r="T514" s="51" t="s">
        <v>2281</v>
      </c>
      <c r="U514" s="51" t="s">
        <v>2282</v>
      </c>
      <c r="V514" s="61" t="s">
        <v>2474</v>
      </c>
      <c r="W514" s="82" t="s">
        <v>2475</v>
      </c>
      <c r="X514" s="51" t="s">
        <v>2279</v>
      </c>
      <c r="Y514" s="53" t="s">
        <v>2350</v>
      </c>
      <c r="Z514" s="54" t="s">
        <v>2476</v>
      </c>
      <c r="AA514" s="60" t="s">
        <v>372</v>
      </c>
    </row>
    <row r="515" spans="2:27" ht="80.25" hidden="1" customHeight="1" x14ac:dyDescent="0.35">
      <c r="B515" s="51" t="s">
        <v>59</v>
      </c>
      <c r="C515" s="51" t="s">
        <v>2274</v>
      </c>
      <c r="D515" s="51" t="s">
        <v>60</v>
      </c>
      <c r="E515" s="52">
        <v>1</v>
      </c>
      <c r="F515" s="51" t="s">
        <v>428</v>
      </c>
      <c r="G515" s="51" t="s">
        <v>429</v>
      </c>
      <c r="H515" s="54" t="s">
        <v>430</v>
      </c>
      <c r="I515" s="52">
        <v>44</v>
      </c>
      <c r="J515" s="51" t="s">
        <v>123</v>
      </c>
      <c r="K515" s="52">
        <v>10</v>
      </c>
      <c r="L515" s="52"/>
      <c r="M515" s="52"/>
      <c r="N515" s="53" t="s">
        <v>2477</v>
      </c>
      <c r="O515" s="53" t="s">
        <v>432</v>
      </c>
      <c r="P515" s="52"/>
      <c r="Q515" s="54"/>
      <c r="R515" s="55" t="s">
        <v>722</v>
      </c>
      <c r="S515" s="51" t="s">
        <v>723</v>
      </c>
      <c r="T515" s="51" t="s">
        <v>2281</v>
      </c>
      <c r="U515" s="51" t="s">
        <v>2282</v>
      </c>
      <c r="V515" s="51" t="s">
        <v>2478</v>
      </c>
      <c r="W515" s="82" t="s">
        <v>2479</v>
      </c>
      <c r="X515" s="51" t="s">
        <v>2279</v>
      </c>
      <c r="Y515" s="53" t="s">
        <v>2350</v>
      </c>
      <c r="Z515" s="53" t="s">
        <v>2478</v>
      </c>
      <c r="AA515" s="60" t="s">
        <v>372</v>
      </c>
    </row>
    <row r="516" spans="2:27" ht="80.25" hidden="1" customHeight="1" x14ac:dyDescent="0.35">
      <c r="B516" s="51" t="s">
        <v>59</v>
      </c>
      <c r="C516" s="51" t="s">
        <v>2274</v>
      </c>
      <c r="D516" s="51" t="s">
        <v>60</v>
      </c>
      <c r="E516" s="52">
        <v>1</v>
      </c>
      <c r="F516" s="51" t="s">
        <v>438</v>
      </c>
      <c r="G516" s="51" t="s">
        <v>439</v>
      </c>
      <c r="H516" s="54" t="s">
        <v>249</v>
      </c>
      <c r="I516" s="52">
        <v>45</v>
      </c>
      <c r="J516" s="51" t="s">
        <v>250</v>
      </c>
      <c r="K516" s="52">
        <v>23</v>
      </c>
      <c r="L516" s="52">
        <v>6</v>
      </c>
      <c r="M516" s="52"/>
      <c r="N516" s="53" t="s">
        <v>2480</v>
      </c>
      <c r="O516" s="53" t="s">
        <v>441</v>
      </c>
      <c r="P516" s="52"/>
      <c r="Q516" s="54"/>
      <c r="R516" s="55"/>
      <c r="S516" s="51"/>
      <c r="T516" s="51" t="s">
        <v>2281</v>
      </c>
      <c r="U516" s="51" t="s">
        <v>2282</v>
      </c>
      <c r="V516" s="51" t="s">
        <v>2481</v>
      </c>
      <c r="W516" s="82" t="s">
        <v>2482</v>
      </c>
      <c r="X516" s="51" t="s">
        <v>2279</v>
      </c>
      <c r="Y516" s="53" t="s">
        <v>2350</v>
      </c>
      <c r="Z516" s="53" t="s">
        <v>2481</v>
      </c>
      <c r="AA516" s="60" t="s">
        <v>372</v>
      </c>
    </row>
    <row r="517" spans="2:27" ht="80.25" hidden="1" customHeight="1" x14ac:dyDescent="0.35">
      <c r="B517" s="51" t="s">
        <v>59</v>
      </c>
      <c r="C517" s="51" t="s">
        <v>2274</v>
      </c>
      <c r="D517" s="51" t="s">
        <v>60</v>
      </c>
      <c r="E517" s="52">
        <v>1</v>
      </c>
      <c r="F517" s="51" t="s">
        <v>1500</v>
      </c>
      <c r="G517" s="51" t="s">
        <v>1501</v>
      </c>
      <c r="H517" s="54" t="s">
        <v>249</v>
      </c>
      <c r="I517" s="52">
        <v>46</v>
      </c>
      <c r="J517" s="51" t="s">
        <v>471</v>
      </c>
      <c r="K517" s="52"/>
      <c r="L517" s="52"/>
      <c r="M517" s="52"/>
      <c r="N517" s="53" t="s">
        <v>1502</v>
      </c>
      <c r="O517" s="53" t="s">
        <v>1503</v>
      </c>
      <c r="P517" s="52"/>
      <c r="Q517" s="54"/>
      <c r="R517" s="63"/>
      <c r="S517" s="61"/>
      <c r="T517" s="61" t="s">
        <v>2281</v>
      </c>
      <c r="U517" s="61" t="s">
        <v>2282</v>
      </c>
      <c r="V517" s="61" t="s">
        <v>2483</v>
      </c>
      <c r="W517" s="82" t="s">
        <v>2484</v>
      </c>
      <c r="X517" s="51" t="s">
        <v>2279</v>
      </c>
      <c r="Y517" s="53" t="s">
        <v>2350</v>
      </c>
      <c r="Z517" s="53" t="s">
        <v>2485</v>
      </c>
      <c r="AA517" s="60" t="s">
        <v>372</v>
      </c>
    </row>
    <row r="518" spans="2:27" ht="80.25" hidden="1" customHeight="1" x14ac:dyDescent="0.35">
      <c r="B518" s="51" t="s">
        <v>59</v>
      </c>
      <c r="C518" s="51" t="s">
        <v>2274</v>
      </c>
      <c r="D518" s="51" t="s">
        <v>60</v>
      </c>
      <c r="E518" s="52">
        <v>1</v>
      </c>
      <c r="F518" s="51" t="s">
        <v>1507</v>
      </c>
      <c r="G518" s="51" t="s">
        <v>1969</v>
      </c>
      <c r="H518" s="54" t="s">
        <v>1509</v>
      </c>
      <c r="I518" s="52">
        <v>47</v>
      </c>
      <c r="J518" s="51" t="s">
        <v>123</v>
      </c>
      <c r="K518" s="52">
        <v>4</v>
      </c>
      <c r="L518" s="52"/>
      <c r="M518" s="52"/>
      <c r="N518" s="53" t="s">
        <v>2173</v>
      </c>
      <c r="O518" s="53" t="s">
        <v>1511</v>
      </c>
      <c r="P518" s="52"/>
      <c r="Q518" s="53" t="s">
        <v>2486</v>
      </c>
      <c r="R518" s="53"/>
      <c r="S518" s="54"/>
      <c r="T518" s="55" t="s">
        <v>2275</v>
      </c>
      <c r="U518" s="55" t="s">
        <v>2276</v>
      </c>
      <c r="V518" s="55" t="s">
        <v>369</v>
      </c>
      <c r="W518" s="82" t="s">
        <v>2487</v>
      </c>
      <c r="X518" s="51" t="s">
        <v>2279</v>
      </c>
      <c r="Y518" s="53" t="s">
        <v>2280</v>
      </c>
      <c r="Z518" s="53" t="s">
        <v>2488</v>
      </c>
      <c r="AA518" s="60" t="s">
        <v>372</v>
      </c>
    </row>
    <row r="519" spans="2:27" ht="80.25" hidden="1" customHeight="1" x14ac:dyDescent="0.35">
      <c r="B519" s="51" t="s">
        <v>59</v>
      </c>
      <c r="C519" s="51" t="s">
        <v>2274</v>
      </c>
      <c r="D519" s="51" t="s">
        <v>60</v>
      </c>
      <c r="E519" s="52">
        <v>1</v>
      </c>
      <c r="F519" s="51" t="s">
        <v>1976</v>
      </c>
      <c r="G519" s="51" t="s">
        <v>1977</v>
      </c>
      <c r="H519" s="54" t="s">
        <v>746</v>
      </c>
      <c r="I519" s="52">
        <v>48</v>
      </c>
      <c r="J519" s="51" t="s">
        <v>123</v>
      </c>
      <c r="K519" s="52">
        <v>4</v>
      </c>
      <c r="L519" s="52"/>
      <c r="M519" s="52"/>
      <c r="N519" s="53" t="s">
        <v>1677</v>
      </c>
      <c r="O519" s="53" t="s">
        <v>1979</v>
      </c>
      <c r="P519" s="52"/>
      <c r="Q519" s="53" t="s">
        <v>2489</v>
      </c>
      <c r="R519" s="53"/>
      <c r="S519" s="54"/>
      <c r="T519" s="51" t="s">
        <v>2281</v>
      </c>
      <c r="U519" s="51" t="s">
        <v>2282</v>
      </c>
      <c r="V519" s="51" t="s">
        <v>2490</v>
      </c>
      <c r="W519" s="82" t="s">
        <v>2491</v>
      </c>
      <c r="X519" s="51" t="s">
        <v>2279</v>
      </c>
      <c r="Y519" s="53" t="s">
        <v>2406</v>
      </c>
      <c r="Z519" s="62" t="s">
        <v>2490</v>
      </c>
      <c r="AA519" s="60" t="s">
        <v>372</v>
      </c>
    </row>
    <row r="520" spans="2:27" ht="80.25" hidden="1" customHeight="1" x14ac:dyDescent="0.35">
      <c r="B520" s="51" t="s">
        <v>59</v>
      </c>
      <c r="C520" s="51" t="s">
        <v>2274</v>
      </c>
      <c r="D520" s="51" t="s">
        <v>60</v>
      </c>
      <c r="E520" s="52">
        <v>1</v>
      </c>
      <c r="F520" s="51" t="s">
        <v>1987</v>
      </c>
      <c r="G520" s="51" t="s">
        <v>1988</v>
      </c>
      <c r="H520" s="54" t="s">
        <v>767</v>
      </c>
      <c r="I520" s="52">
        <v>49</v>
      </c>
      <c r="J520" s="51" t="s">
        <v>250</v>
      </c>
      <c r="K520" s="52">
        <v>23</v>
      </c>
      <c r="L520" s="52">
        <v>6</v>
      </c>
      <c r="M520" s="52"/>
      <c r="N520" s="53" t="s">
        <v>2180</v>
      </c>
      <c r="O520" s="53" t="s">
        <v>1990</v>
      </c>
      <c r="P520" s="52"/>
      <c r="Q520" s="54"/>
      <c r="R520" s="53"/>
      <c r="S520" s="54"/>
      <c r="T520" s="51" t="s">
        <v>2281</v>
      </c>
      <c r="U520" s="51" t="s">
        <v>2282</v>
      </c>
      <c r="V520" s="51" t="s">
        <v>2492</v>
      </c>
      <c r="W520" s="82" t="s">
        <v>2493</v>
      </c>
      <c r="X520" s="51" t="s">
        <v>2279</v>
      </c>
      <c r="Y520" s="53" t="s">
        <v>2406</v>
      </c>
      <c r="Z520" s="53" t="s">
        <v>2492</v>
      </c>
      <c r="AA520" s="60" t="s">
        <v>372</v>
      </c>
    </row>
    <row r="521" spans="2:27" ht="80.25" hidden="1" customHeight="1" x14ac:dyDescent="0.35">
      <c r="B521" s="51" t="s">
        <v>59</v>
      </c>
      <c r="C521" s="51" t="s">
        <v>2274</v>
      </c>
      <c r="D521" s="51" t="s">
        <v>60</v>
      </c>
      <c r="E521" s="52">
        <v>1</v>
      </c>
      <c r="F521" s="51" t="s">
        <v>1997</v>
      </c>
      <c r="G521" s="51" t="s">
        <v>1998</v>
      </c>
      <c r="H521" s="54" t="s">
        <v>767</v>
      </c>
      <c r="I521" s="52">
        <v>50</v>
      </c>
      <c r="J521" s="51" t="s">
        <v>250</v>
      </c>
      <c r="K521" s="52">
        <v>23</v>
      </c>
      <c r="L521" s="52">
        <v>6</v>
      </c>
      <c r="M521" s="52"/>
      <c r="N521" s="53" t="s">
        <v>1686</v>
      </c>
      <c r="O521" s="53" t="s">
        <v>2000</v>
      </c>
      <c r="P521" s="52"/>
      <c r="Q521" s="54"/>
      <c r="R521" s="53"/>
      <c r="S521" s="54"/>
      <c r="T521" s="51" t="s">
        <v>2281</v>
      </c>
      <c r="U521" s="51" t="s">
        <v>2282</v>
      </c>
      <c r="V521" s="51" t="s">
        <v>2494</v>
      </c>
      <c r="W521" s="82" t="s">
        <v>2495</v>
      </c>
      <c r="X521" s="51" t="s">
        <v>2279</v>
      </c>
      <c r="Y521" s="53" t="s">
        <v>2406</v>
      </c>
      <c r="Z521" s="53" t="s">
        <v>2496</v>
      </c>
      <c r="AA521" s="60" t="s">
        <v>372</v>
      </c>
    </row>
    <row r="522" spans="2:27" ht="80.25" hidden="1" customHeight="1" x14ac:dyDescent="0.35">
      <c r="B522" s="51" t="s">
        <v>59</v>
      </c>
      <c r="C522" s="51" t="s">
        <v>2274</v>
      </c>
      <c r="D522" s="51" t="s">
        <v>60</v>
      </c>
      <c r="E522" s="52">
        <v>1</v>
      </c>
      <c r="F522" s="51" t="s">
        <v>1514</v>
      </c>
      <c r="G522" s="51" t="s">
        <v>1515</v>
      </c>
      <c r="H522" s="54" t="s">
        <v>767</v>
      </c>
      <c r="I522" s="52">
        <v>51</v>
      </c>
      <c r="J522" s="51" t="s">
        <v>250</v>
      </c>
      <c r="K522" s="52">
        <v>23</v>
      </c>
      <c r="L522" s="52">
        <v>6</v>
      </c>
      <c r="M522" s="52"/>
      <c r="N522" s="53" t="s">
        <v>2187</v>
      </c>
      <c r="O522" s="53" t="s">
        <v>1517</v>
      </c>
      <c r="P522" s="52"/>
      <c r="Q522" s="51"/>
      <c r="R522" s="55" t="s">
        <v>788</v>
      </c>
      <c r="S522" s="51" t="s">
        <v>1518</v>
      </c>
      <c r="T522" s="51" t="s">
        <v>2281</v>
      </c>
      <c r="U522" s="51" t="s">
        <v>2282</v>
      </c>
      <c r="V522" s="51" t="s">
        <v>2497</v>
      </c>
      <c r="W522" s="82" t="s">
        <v>2498</v>
      </c>
      <c r="X522" s="51" t="s">
        <v>2279</v>
      </c>
      <c r="Y522" s="53" t="s">
        <v>2280</v>
      </c>
      <c r="Z522" s="53" t="s">
        <v>2497</v>
      </c>
      <c r="AA522" s="60" t="s">
        <v>372</v>
      </c>
    </row>
    <row r="523" spans="2:27" ht="80.25" hidden="1" customHeight="1" x14ac:dyDescent="0.35">
      <c r="B523" s="51" t="s">
        <v>59</v>
      </c>
      <c r="C523" s="51" t="s">
        <v>2274</v>
      </c>
      <c r="D523" s="51" t="s">
        <v>60</v>
      </c>
      <c r="E523" s="52">
        <v>1</v>
      </c>
      <c r="F523" s="51" t="s">
        <v>744</v>
      </c>
      <c r="G523" s="51" t="s">
        <v>1522</v>
      </c>
      <c r="H523" s="54" t="s">
        <v>746</v>
      </c>
      <c r="I523" s="52">
        <v>52</v>
      </c>
      <c r="J523" s="51" t="s">
        <v>123</v>
      </c>
      <c r="K523" s="52">
        <v>4</v>
      </c>
      <c r="L523" s="52"/>
      <c r="M523" s="52"/>
      <c r="N523" s="53" t="s">
        <v>2191</v>
      </c>
      <c r="O523" s="53" t="s">
        <v>748</v>
      </c>
      <c r="P523" s="52"/>
      <c r="Q523" s="53" t="s">
        <v>2486</v>
      </c>
      <c r="R523" s="53"/>
      <c r="S523" s="54"/>
      <c r="T523" s="55" t="s">
        <v>2275</v>
      </c>
      <c r="U523" s="55" t="s">
        <v>2276</v>
      </c>
      <c r="V523" s="55" t="s">
        <v>369</v>
      </c>
      <c r="W523" s="82" t="s">
        <v>2499</v>
      </c>
      <c r="X523" s="51" t="s">
        <v>2279</v>
      </c>
      <c r="Y523" s="53" t="s">
        <v>2280</v>
      </c>
      <c r="Z523" s="53" t="s">
        <v>2500</v>
      </c>
      <c r="AA523" s="60" t="s">
        <v>372</v>
      </c>
    </row>
    <row r="524" spans="2:27" ht="80.25" hidden="1" customHeight="1" x14ac:dyDescent="0.35">
      <c r="B524" s="51" t="s">
        <v>59</v>
      </c>
      <c r="C524" s="51" t="s">
        <v>2274</v>
      </c>
      <c r="D524" s="51" t="s">
        <v>60</v>
      </c>
      <c r="E524" s="52">
        <v>1</v>
      </c>
      <c r="F524" s="51" t="s">
        <v>755</v>
      </c>
      <c r="G524" s="51" t="s">
        <v>756</v>
      </c>
      <c r="H524" s="54" t="s">
        <v>746</v>
      </c>
      <c r="I524" s="52">
        <v>53</v>
      </c>
      <c r="J524" s="51" t="s">
        <v>123</v>
      </c>
      <c r="K524" s="52">
        <v>4</v>
      </c>
      <c r="L524" s="52"/>
      <c r="M524" s="52"/>
      <c r="N524" s="53" t="s">
        <v>1698</v>
      </c>
      <c r="O524" s="53" t="s">
        <v>758</v>
      </c>
      <c r="P524" s="52"/>
      <c r="Q524" s="53" t="s">
        <v>2501</v>
      </c>
      <c r="R524" s="53"/>
      <c r="S524" s="54"/>
      <c r="T524" s="51" t="s">
        <v>2281</v>
      </c>
      <c r="U524" s="51" t="s">
        <v>2282</v>
      </c>
      <c r="V524" s="51" t="s">
        <v>2502</v>
      </c>
      <c r="W524" s="82" t="s">
        <v>2503</v>
      </c>
      <c r="X524" s="51" t="s">
        <v>2279</v>
      </c>
      <c r="Y524" s="53" t="s">
        <v>2406</v>
      </c>
      <c r="Z524" s="53" t="s">
        <v>2502</v>
      </c>
      <c r="AA524" s="60" t="s">
        <v>372</v>
      </c>
    </row>
    <row r="525" spans="2:27" ht="80.25" hidden="1" customHeight="1" x14ac:dyDescent="0.35">
      <c r="B525" s="51" t="s">
        <v>59</v>
      </c>
      <c r="C525" s="51" t="s">
        <v>2274</v>
      </c>
      <c r="D525" s="51" t="s">
        <v>60</v>
      </c>
      <c r="E525" s="52">
        <v>1</v>
      </c>
      <c r="F525" s="51" t="s">
        <v>765</v>
      </c>
      <c r="G525" s="51" t="s">
        <v>766</v>
      </c>
      <c r="H525" s="54" t="s">
        <v>767</v>
      </c>
      <c r="I525" s="52">
        <v>54</v>
      </c>
      <c r="J525" s="51" t="s">
        <v>250</v>
      </c>
      <c r="K525" s="52">
        <v>23</v>
      </c>
      <c r="L525" s="52">
        <v>6</v>
      </c>
      <c r="M525" s="52"/>
      <c r="N525" s="53" t="s">
        <v>2198</v>
      </c>
      <c r="O525" s="53" t="s">
        <v>769</v>
      </c>
      <c r="P525" s="52"/>
      <c r="Q525" s="54"/>
      <c r="R525" s="53"/>
      <c r="S525" s="54"/>
      <c r="T525" s="51" t="s">
        <v>2281</v>
      </c>
      <c r="U525" s="51" t="s">
        <v>2282</v>
      </c>
      <c r="V525" s="51" t="s">
        <v>2504</v>
      </c>
      <c r="W525" s="82" t="s">
        <v>2505</v>
      </c>
      <c r="X525" s="51" t="s">
        <v>2279</v>
      </c>
      <c r="Y525" s="53" t="s">
        <v>2406</v>
      </c>
      <c r="Z525" s="53" t="s">
        <v>2504</v>
      </c>
      <c r="AA525" s="60" t="s">
        <v>372</v>
      </c>
    </row>
    <row r="526" spans="2:27" ht="80.25" hidden="1" customHeight="1" x14ac:dyDescent="0.35">
      <c r="B526" s="51" t="s">
        <v>59</v>
      </c>
      <c r="C526" s="51" t="s">
        <v>2274</v>
      </c>
      <c r="D526" s="51" t="s">
        <v>60</v>
      </c>
      <c r="E526" s="52">
        <v>1</v>
      </c>
      <c r="F526" s="51" t="s">
        <v>775</v>
      </c>
      <c r="G526" s="51" t="s">
        <v>776</v>
      </c>
      <c r="H526" s="54" t="s">
        <v>767</v>
      </c>
      <c r="I526" s="52">
        <v>55</v>
      </c>
      <c r="J526" s="51" t="s">
        <v>250</v>
      </c>
      <c r="K526" s="52">
        <v>23</v>
      </c>
      <c r="L526" s="52">
        <v>6</v>
      </c>
      <c r="M526" s="52"/>
      <c r="N526" s="53" t="s">
        <v>777</v>
      </c>
      <c r="O526" s="53" t="s">
        <v>778</v>
      </c>
      <c r="P526" s="52"/>
      <c r="Q526" s="54"/>
      <c r="R526" s="53"/>
      <c r="S526" s="54"/>
      <c r="T526" s="51" t="s">
        <v>2281</v>
      </c>
      <c r="U526" s="51" t="s">
        <v>2282</v>
      </c>
      <c r="V526" s="51" t="s">
        <v>2506</v>
      </c>
      <c r="W526" s="82" t="s">
        <v>2507</v>
      </c>
      <c r="X526" s="51" t="s">
        <v>2279</v>
      </c>
      <c r="Y526" s="53" t="s">
        <v>2280</v>
      </c>
      <c r="Z526" s="53" t="s">
        <v>2506</v>
      </c>
      <c r="AA526" s="60" t="s">
        <v>372</v>
      </c>
    </row>
    <row r="527" spans="2:27" ht="80.25" hidden="1" customHeight="1" x14ac:dyDescent="0.35">
      <c r="B527" s="51" t="s">
        <v>59</v>
      </c>
      <c r="C527" s="51" t="s">
        <v>2274</v>
      </c>
      <c r="D527" s="51" t="s">
        <v>60</v>
      </c>
      <c r="E527" s="52">
        <v>1</v>
      </c>
      <c r="F527" s="51" t="s">
        <v>784</v>
      </c>
      <c r="G527" s="51" t="s">
        <v>785</v>
      </c>
      <c r="H527" s="54" t="s">
        <v>767</v>
      </c>
      <c r="I527" s="52">
        <v>56</v>
      </c>
      <c r="J527" s="51" t="s">
        <v>250</v>
      </c>
      <c r="K527" s="52">
        <v>23</v>
      </c>
      <c r="L527" s="52">
        <v>6</v>
      </c>
      <c r="M527" s="52"/>
      <c r="N527" s="53" t="s">
        <v>2205</v>
      </c>
      <c r="O527" s="53" t="s">
        <v>787</v>
      </c>
      <c r="P527" s="52"/>
      <c r="Q527" s="51"/>
      <c r="R527" s="55" t="s">
        <v>788</v>
      </c>
      <c r="S527" s="51" t="s">
        <v>789</v>
      </c>
      <c r="T527" s="51" t="s">
        <v>2281</v>
      </c>
      <c r="U527" s="51" t="s">
        <v>2282</v>
      </c>
      <c r="V527" s="51" t="s">
        <v>2508</v>
      </c>
      <c r="W527" s="82" t="s">
        <v>2509</v>
      </c>
      <c r="X527" s="51" t="s">
        <v>2279</v>
      </c>
      <c r="Y527" s="53" t="s">
        <v>2280</v>
      </c>
      <c r="Z527" s="53" t="s">
        <v>2508</v>
      </c>
      <c r="AA527" s="60" t="s">
        <v>372</v>
      </c>
    </row>
    <row r="528" spans="2:27" ht="80.25" hidden="1" customHeight="1" x14ac:dyDescent="0.35">
      <c r="B528" s="51" t="s">
        <v>59</v>
      </c>
      <c r="C528" s="51" t="s">
        <v>2274</v>
      </c>
      <c r="D528" s="51" t="s">
        <v>60</v>
      </c>
      <c r="E528" s="52">
        <v>1</v>
      </c>
      <c r="F528" s="51" t="s">
        <v>293</v>
      </c>
      <c r="G528" s="51" t="s">
        <v>294</v>
      </c>
      <c r="H528" s="54" t="s">
        <v>295</v>
      </c>
      <c r="I528" s="52">
        <v>57</v>
      </c>
      <c r="J528" s="51" t="s">
        <v>123</v>
      </c>
      <c r="K528" s="52">
        <v>4</v>
      </c>
      <c r="L528" s="52"/>
      <c r="M528" s="52"/>
      <c r="N528" s="53" t="s">
        <v>296</v>
      </c>
      <c r="O528" s="53" t="s">
        <v>297</v>
      </c>
      <c r="P528" s="52"/>
      <c r="Q528" s="53" t="s">
        <v>2510</v>
      </c>
      <c r="R528" s="55" t="s">
        <v>299</v>
      </c>
      <c r="S528" s="51" t="s">
        <v>300</v>
      </c>
      <c r="T528" s="55" t="s">
        <v>2275</v>
      </c>
      <c r="U528" s="55" t="s">
        <v>2276</v>
      </c>
      <c r="V528" s="55" t="s">
        <v>369</v>
      </c>
      <c r="W528" s="82" t="s">
        <v>2511</v>
      </c>
      <c r="X528" s="51" t="s">
        <v>2279</v>
      </c>
      <c r="Y528" s="53" t="s">
        <v>2280</v>
      </c>
      <c r="Z528" s="53" t="s">
        <v>2342</v>
      </c>
      <c r="AA528" s="60" t="s">
        <v>372</v>
      </c>
    </row>
    <row r="529" spans="2:27" ht="80.25" customHeight="1" x14ac:dyDescent="0.35">
      <c r="B529" s="51" t="s">
        <v>59</v>
      </c>
      <c r="C529" s="51" t="s">
        <v>2274</v>
      </c>
      <c r="D529" s="51" t="s">
        <v>60</v>
      </c>
      <c r="E529" s="52">
        <v>1</v>
      </c>
      <c r="F529" s="51" t="s">
        <v>304</v>
      </c>
      <c r="G529" s="51" t="s">
        <v>305</v>
      </c>
      <c r="H529" s="54" t="s">
        <v>295</v>
      </c>
      <c r="I529" s="52">
        <v>58</v>
      </c>
      <c r="J529" s="51" t="s">
        <v>123</v>
      </c>
      <c r="K529" s="52">
        <v>4</v>
      </c>
      <c r="L529" s="52"/>
      <c r="M529" s="52"/>
      <c r="N529" s="53" t="s">
        <v>306</v>
      </c>
      <c r="O529" s="53" t="s">
        <v>307</v>
      </c>
      <c r="P529" s="52"/>
      <c r="Q529" s="55" t="s">
        <v>459</v>
      </c>
      <c r="R529" s="55" t="s">
        <v>203</v>
      </c>
      <c r="S529" s="51" t="s">
        <v>309</v>
      </c>
      <c r="T529" s="55" t="s">
        <v>2512</v>
      </c>
      <c r="U529" s="55" t="s">
        <v>2513</v>
      </c>
      <c r="V529" s="55" t="s">
        <v>555</v>
      </c>
      <c r="W529" s="82" t="s">
        <v>2514</v>
      </c>
      <c r="X529" s="51" t="s">
        <v>2515</v>
      </c>
      <c r="Y529" s="53" t="s">
        <v>2516</v>
      </c>
      <c r="Z529" s="53" t="s">
        <v>2517</v>
      </c>
      <c r="AA529" s="60" t="s">
        <v>372</v>
      </c>
    </row>
    <row r="530" spans="2:27" ht="80.25" hidden="1" customHeight="1" x14ac:dyDescent="0.35">
      <c r="B530" s="51" t="s">
        <v>59</v>
      </c>
      <c r="C530" s="51" t="s">
        <v>2274</v>
      </c>
      <c r="D530" s="51" t="s">
        <v>60</v>
      </c>
      <c r="E530" s="52">
        <v>1</v>
      </c>
      <c r="F530" s="51" t="s">
        <v>317</v>
      </c>
      <c r="G530" s="51" t="s">
        <v>318</v>
      </c>
      <c r="H530" s="51" t="s">
        <v>319</v>
      </c>
      <c r="I530" s="52">
        <v>59</v>
      </c>
      <c r="J530" s="51" t="s">
        <v>123</v>
      </c>
      <c r="K530" s="52">
        <v>2</v>
      </c>
      <c r="L530" s="52"/>
      <c r="M530" s="52"/>
      <c r="N530" s="53" t="s">
        <v>320</v>
      </c>
      <c r="O530" s="53" t="s">
        <v>321</v>
      </c>
      <c r="P530" s="52"/>
      <c r="Q530" s="53" t="s">
        <v>463</v>
      </c>
      <c r="R530" s="55"/>
      <c r="S530" s="51"/>
      <c r="T530" s="51" t="s">
        <v>2281</v>
      </c>
      <c r="U530" s="51" t="s">
        <v>2282</v>
      </c>
      <c r="V530" s="51" t="s">
        <v>372</v>
      </c>
      <c r="W530" s="82" t="s">
        <v>2518</v>
      </c>
      <c r="X530" s="51" t="s">
        <v>2279</v>
      </c>
      <c r="Y530" s="54" t="s">
        <v>372</v>
      </c>
      <c r="Z530" s="54" t="s">
        <v>372</v>
      </c>
      <c r="AA530" s="60" t="s">
        <v>2519</v>
      </c>
    </row>
    <row r="531" spans="2:27" ht="80.25" hidden="1" customHeight="1" x14ac:dyDescent="0.35">
      <c r="B531" s="51" t="s">
        <v>59</v>
      </c>
      <c r="C531" s="51" t="s">
        <v>2274</v>
      </c>
      <c r="D531" s="51" t="s">
        <v>60</v>
      </c>
      <c r="E531" s="52">
        <v>1</v>
      </c>
      <c r="F531" s="51" t="s">
        <v>326</v>
      </c>
      <c r="G531" s="51" t="s">
        <v>327</v>
      </c>
      <c r="H531" s="51" t="s">
        <v>328</v>
      </c>
      <c r="I531" s="52">
        <v>60</v>
      </c>
      <c r="J531" s="51" t="s">
        <v>123</v>
      </c>
      <c r="K531" s="52">
        <v>10</v>
      </c>
      <c r="L531" s="52"/>
      <c r="M531" s="52"/>
      <c r="N531" s="53" t="s">
        <v>329</v>
      </c>
      <c r="O531" s="53" t="s">
        <v>361</v>
      </c>
      <c r="P531" s="52" t="s">
        <v>126</v>
      </c>
      <c r="Q531" s="51"/>
      <c r="R531" s="55" t="s">
        <v>275</v>
      </c>
      <c r="S531" s="51" t="s">
        <v>803</v>
      </c>
      <c r="T531" s="51" t="s">
        <v>2281</v>
      </c>
      <c r="U531" s="51" t="s">
        <v>2282</v>
      </c>
      <c r="V531" s="51" t="s">
        <v>678</v>
      </c>
      <c r="W531" s="82" t="s">
        <v>2520</v>
      </c>
      <c r="X531" s="54" t="s">
        <v>372</v>
      </c>
      <c r="Y531" s="54" t="s">
        <v>372</v>
      </c>
      <c r="Z531" s="54" t="s">
        <v>372</v>
      </c>
      <c r="AA531" s="60" t="s">
        <v>372</v>
      </c>
    </row>
    <row r="532" spans="2:27" ht="80.25" hidden="1" customHeight="1" x14ac:dyDescent="0.35">
      <c r="B532" s="51" t="s">
        <v>59</v>
      </c>
      <c r="C532" s="51" t="s">
        <v>2274</v>
      </c>
      <c r="D532" s="51" t="s">
        <v>60</v>
      </c>
      <c r="E532" s="52">
        <v>1</v>
      </c>
      <c r="F532" s="51" t="s">
        <v>333</v>
      </c>
      <c r="G532" s="51" t="s">
        <v>334</v>
      </c>
      <c r="H532" s="51" t="s">
        <v>335</v>
      </c>
      <c r="I532" s="52">
        <v>61</v>
      </c>
      <c r="J532" s="51" t="s">
        <v>336</v>
      </c>
      <c r="K532" s="52">
        <v>23</v>
      </c>
      <c r="L532" s="52"/>
      <c r="M532" s="52"/>
      <c r="N532" s="53" t="s">
        <v>337</v>
      </c>
      <c r="O532" s="53" t="s">
        <v>338</v>
      </c>
      <c r="P532" s="52"/>
      <c r="Q532" s="51"/>
      <c r="R532" s="55"/>
      <c r="S532" s="51"/>
      <c r="T532" s="51" t="s">
        <v>2281</v>
      </c>
      <c r="U532" s="51" t="s">
        <v>2282</v>
      </c>
      <c r="V532" s="51" t="s">
        <v>372</v>
      </c>
      <c r="W532" s="82" t="s">
        <v>551</v>
      </c>
      <c r="X532" s="54" t="s">
        <v>372</v>
      </c>
      <c r="Y532" s="54" t="s">
        <v>372</v>
      </c>
      <c r="Z532" s="54" t="s">
        <v>372</v>
      </c>
      <c r="AA532" s="60" t="s">
        <v>372</v>
      </c>
    </row>
    <row r="533" spans="2:27" ht="80.25" hidden="1" customHeight="1" x14ac:dyDescent="0.35">
      <c r="B533" s="51" t="s">
        <v>340</v>
      </c>
      <c r="C533" s="51" t="s">
        <v>2521</v>
      </c>
      <c r="D533" s="51" t="s">
        <v>62</v>
      </c>
      <c r="E533" s="52">
        <v>0</v>
      </c>
      <c r="F533" s="51" t="s">
        <v>120</v>
      </c>
      <c r="G533" s="51" t="s">
        <v>121</v>
      </c>
      <c r="H533" s="51" t="s">
        <v>122</v>
      </c>
      <c r="I533" s="52">
        <v>1</v>
      </c>
      <c r="J533" s="51" t="s">
        <v>123</v>
      </c>
      <c r="K533" s="52">
        <v>4</v>
      </c>
      <c r="L533" s="52"/>
      <c r="M533" s="52"/>
      <c r="N533" s="328" t="s">
        <v>124</v>
      </c>
      <c r="O533" s="53" t="s">
        <v>125</v>
      </c>
      <c r="P533" s="52" t="s">
        <v>126</v>
      </c>
      <c r="Q533" s="51"/>
      <c r="R533" s="55"/>
      <c r="S533" s="51"/>
      <c r="T533" s="51" t="s">
        <v>2281</v>
      </c>
      <c r="U533" s="51" t="s">
        <v>2282</v>
      </c>
      <c r="V533" s="51" t="s">
        <v>1107</v>
      </c>
      <c r="W533" s="82" t="s">
        <v>2522</v>
      </c>
      <c r="X533" s="51" t="s">
        <v>2279</v>
      </c>
      <c r="Y533" s="53" t="s">
        <v>2280</v>
      </c>
      <c r="Z533" s="53" t="s">
        <v>1107</v>
      </c>
      <c r="AA533" s="60" t="s">
        <v>372</v>
      </c>
    </row>
    <row r="534" spans="2:27" ht="80.25" hidden="1" customHeight="1" x14ac:dyDescent="0.35">
      <c r="B534" s="51" t="s">
        <v>340</v>
      </c>
      <c r="C534" s="51" t="s">
        <v>2521</v>
      </c>
      <c r="D534" s="51" t="s">
        <v>62</v>
      </c>
      <c r="E534" s="52">
        <v>0</v>
      </c>
      <c r="F534" s="51" t="s">
        <v>136</v>
      </c>
      <c r="G534" s="51" t="s">
        <v>137</v>
      </c>
      <c r="H534" s="51" t="s">
        <v>122</v>
      </c>
      <c r="I534" s="52">
        <v>2</v>
      </c>
      <c r="J534" s="51" t="s">
        <v>123</v>
      </c>
      <c r="K534" s="52">
        <v>30</v>
      </c>
      <c r="L534" s="52"/>
      <c r="M534" s="52"/>
      <c r="N534" s="53" t="s">
        <v>138</v>
      </c>
      <c r="O534" s="53" t="s">
        <v>139</v>
      </c>
      <c r="P534" s="52" t="s">
        <v>126</v>
      </c>
      <c r="Q534" s="51"/>
      <c r="R534" s="55"/>
      <c r="S534" s="51"/>
      <c r="T534" s="51" t="s">
        <v>2281</v>
      </c>
      <c r="U534" s="51" t="s">
        <v>2282</v>
      </c>
      <c r="V534" s="51" t="s">
        <v>2283</v>
      </c>
      <c r="W534" s="82" t="s">
        <v>2523</v>
      </c>
      <c r="X534" s="51" t="s">
        <v>2279</v>
      </c>
      <c r="Y534" s="53" t="s">
        <v>2280</v>
      </c>
      <c r="Z534" s="53" t="s">
        <v>2524</v>
      </c>
      <c r="AA534" s="60" t="s">
        <v>372</v>
      </c>
    </row>
    <row r="535" spans="2:27" ht="80.25" hidden="1" customHeight="1" x14ac:dyDescent="0.35">
      <c r="B535" s="51" t="s">
        <v>340</v>
      </c>
      <c r="C535" s="51" t="s">
        <v>2521</v>
      </c>
      <c r="D535" s="51" t="s">
        <v>62</v>
      </c>
      <c r="E535" s="52">
        <v>0</v>
      </c>
      <c r="F535" s="51" t="s">
        <v>352</v>
      </c>
      <c r="G535" s="51" t="s">
        <v>353</v>
      </c>
      <c r="H535" s="51" t="s">
        <v>240</v>
      </c>
      <c r="I535" s="52">
        <v>3</v>
      </c>
      <c r="J535" s="51" t="s">
        <v>123</v>
      </c>
      <c r="K535" s="52">
        <v>1</v>
      </c>
      <c r="L535" s="52"/>
      <c r="M535" s="52"/>
      <c r="N535" s="53" t="s">
        <v>354</v>
      </c>
      <c r="O535" s="53" t="s">
        <v>355</v>
      </c>
      <c r="P535" s="52"/>
      <c r="Q535" s="51"/>
      <c r="R535" s="55"/>
      <c r="S535" s="51"/>
      <c r="T535" s="51" t="s">
        <v>2281</v>
      </c>
      <c r="U535" s="51" t="s">
        <v>2282</v>
      </c>
      <c r="V535" s="79" t="s">
        <v>372</v>
      </c>
      <c r="W535" s="82" t="s">
        <v>2525</v>
      </c>
      <c r="X535" s="51" t="s">
        <v>2279</v>
      </c>
      <c r="Y535" s="51" t="s">
        <v>372</v>
      </c>
      <c r="Z535" s="51" t="s">
        <v>372</v>
      </c>
      <c r="AA535" s="52" t="s">
        <v>2526</v>
      </c>
    </row>
    <row r="536" spans="2:27" ht="80.25" hidden="1" customHeight="1" x14ac:dyDescent="0.35">
      <c r="B536" s="51" t="s">
        <v>340</v>
      </c>
      <c r="C536" s="51" t="s">
        <v>2521</v>
      </c>
      <c r="D536" s="51" t="s">
        <v>62</v>
      </c>
      <c r="E536" s="52">
        <v>0</v>
      </c>
      <c r="F536" s="51" t="s">
        <v>317</v>
      </c>
      <c r="G536" s="51" t="s">
        <v>318</v>
      </c>
      <c r="H536" s="51" t="s">
        <v>319</v>
      </c>
      <c r="I536" s="52">
        <v>4</v>
      </c>
      <c r="J536" s="51" t="s">
        <v>123</v>
      </c>
      <c r="K536" s="52">
        <v>2</v>
      </c>
      <c r="L536" s="52"/>
      <c r="M536" s="52"/>
      <c r="N536" s="53" t="s">
        <v>320</v>
      </c>
      <c r="O536" s="53" t="s">
        <v>321</v>
      </c>
      <c r="P536" s="325" t="s">
        <v>126</v>
      </c>
      <c r="Q536" s="53" t="s">
        <v>463</v>
      </c>
      <c r="R536" s="55"/>
      <c r="S536" s="51"/>
      <c r="T536" s="51" t="s">
        <v>2281</v>
      </c>
      <c r="U536" s="51" t="s">
        <v>2282</v>
      </c>
      <c r="V536" s="51" t="s">
        <v>372</v>
      </c>
      <c r="W536" s="82" t="s">
        <v>2518</v>
      </c>
      <c r="X536" s="51" t="s">
        <v>2279</v>
      </c>
      <c r="Y536" s="54" t="s">
        <v>372</v>
      </c>
      <c r="Z536" s="54" t="s">
        <v>372</v>
      </c>
      <c r="AA536" s="60" t="s">
        <v>2519</v>
      </c>
    </row>
    <row r="537" spans="2:27" ht="80.25" hidden="1" customHeight="1" x14ac:dyDescent="0.35">
      <c r="B537" s="51" t="s">
        <v>340</v>
      </c>
      <c r="C537" s="51" t="s">
        <v>2521</v>
      </c>
      <c r="D537" s="51" t="s">
        <v>62</v>
      </c>
      <c r="E537" s="52">
        <v>0</v>
      </c>
      <c r="F537" s="51" t="s">
        <v>326</v>
      </c>
      <c r="G537" s="51" t="s">
        <v>327</v>
      </c>
      <c r="H537" s="51" t="s">
        <v>328</v>
      </c>
      <c r="I537" s="52">
        <v>5</v>
      </c>
      <c r="J537" s="51" t="s">
        <v>123</v>
      </c>
      <c r="K537" s="52">
        <v>10</v>
      </c>
      <c r="L537" s="52"/>
      <c r="M537" s="52"/>
      <c r="N537" s="53" t="s">
        <v>329</v>
      </c>
      <c r="O537" s="53" t="s">
        <v>361</v>
      </c>
      <c r="P537" s="52"/>
      <c r="Q537" s="51"/>
      <c r="R537" s="55"/>
      <c r="S537" s="51"/>
      <c r="T537" s="51" t="s">
        <v>2281</v>
      </c>
      <c r="U537" s="51" t="s">
        <v>2282</v>
      </c>
      <c r="V537" s="51" t="s">
        <v>678</v>
      </c>
      <c r="W537" s="82" t="s">
        <v>2520</v>
      </c>
      <c r="X537" s="54" t="s">
        <v>372</v>
      </c>
      <c r="Y537" s="54" t="s">
        <v>372</v>
      </c>
      <c r="Z537" s="54" t="s">
        <v>372</v>
      </c>
      <c r="AA537" s="60" t="s">
        <v>372</v>
      </c>
    </row>
    <row r="538" spans="2:27" ht="80.25" hidden="1" customHeight="1" x14ac:dyDescent="0.35">
      <c r="B538" s="51" t="s">
        <v>340</v>
      </c>
      <c r="C538" s="51" t="s">
        <v>2521</v>
      </c>
      <c r="D538" s="51" t="s">
        <v>62</v>
      </c>
      <c r="E538" s="52">
        <v>0</v>
      </c>
      <c r="F538" s="51" t="s">
        <v>333</v>
      </c>
      <c r="G538" s="51" t="s">
        <v>334</v>
      </c>
      <c r="H538" s="51" t="s">
        <v>335</v>
      </c>
      <c r="I538" s="52">
        <v>6</v>
      </c>
      <c r="J538" s="51" t="s">
        <v>336</v>
      </c>
      <c r="K538" s="52">
        <v>23</v>
      </c>
      <c r="L538" s="52"/>
      <c r="M538" s="52"/>
      <c r="N538" s="53" t="s">
        <v>337</v>
      </c>
      <c r="O538" s="53" t="s">
        <v>338</v>
      </c>
      <c r="P538" s="52"/>
      <c r="Q538" s="51"/>
      <c r="R538" s="55"/>
      <c r="S538" s="51"/>
      <c r="T538" s="51" t="s">
        <v>2281</v>
      </c>
      <c r="U538" s="51" t="s">
        <v>2282</v>
      </c>
      <c r="V538" s="51" t="s">
        <v>372</v>
      </c>
      <c r="W538" s="82" t="s">
        <v>806</v>
      </c>
      <c r="X538" s="54" t="s">
        <v>372</v>
      </c>
      <c r="Y538" s="54" t="s">
        <v>372</v>
      </c>
      <c r="Z538" s="54" t="s">
        <v>372</v>
      </c>
      <c r="AA538" s="60" t="s">
        <v>372</v>
      </c>
    </row>
    <row r="539" spans="2:27" ht="217.5" hidden="1" customHeight="1" x14ac:dyDescent="0.35">
      <c r="B539" s="51" t="s">
        <v>64</v>
      </c>
      <c r="C539" s="51" t="s">
        <v>2527</v>
      </c>
      <c r="D539" s="51" t="s">
        <v>65</v>
      </c>
      <c r="E539" s="52">
        <v>1</v>
      </c>
      <c r="F539" s="51" t="s">
        <v>120</v>
      </c>
      <c r="G539" s="51" t="s">
        <v>121</v>
      </c>
      <c r="H539" s="51" t="s">
        <v>122</v>
      </c>
      <c r="I539" s="52">
        <v>1</v>
      </c>
      <c r="J539" s="51" t="s">
        <v>123</v>
      </c>
      <c r="K539" s="52">
        <v>4</v>
      </c>
      <c r="L539" s="52"/>
      <c r="M539" s="52"/>
      <c r="N539" s="328" t="s">
        <v>124</v>
      </c>
      <c r="O539" s="53" t="s">
        <v>125</v>
      </c>
      <c r="P539" s="52" t="s">
        <v>126</v>
      </c>
      <c r="Q539" s="51"/>
      <c r="R539" s="55" t="s">
        <v>1326</v>
      </c>
      <c r="S539" s="55" t="s">
        <v>1327</v>
      </c>
      <c r="T539" s="175" t="s">
        <v>2528</v>
      </c>
      <c r="U539" s="90" t="s">
        <v>2529</v>
      </c>
      <c r="V539" s="90" t="s">
        <v>2530</v>
      </c>
      <c r="W539" s="383" t="s">
        <v>2531</v>
      </c>
      <c r="X539" s="55" t="s">
        <v>2532</v>
      </c>
      <c r="Y539" s="53" t="s">
        <v>2533</v>
      </c>
      <c r="Z539" s="53" t="s">
        <v>2534</v>
      </c>
      <c r="AA539" s="60" t="s">
        <v>2535</v>
      </c>
    </row>
    <row r="540" spans="2:27" ht="80.25" hidden="1" customHeight="1" x14ac:dyDescent="0.35">
      <c r="B540" s="51" t="s">
        <v>64</v>
      </c>
      <c r="C540" s="51" t="s">
        <v>2527</v>
      </c>
      <c r="D540" s="51" t="s">
        <v>65</v>
      </c>
      <c r="E540" s="52">
        <v>1</v>
      </c>
      <c r="F540" s="51" t="s">
        <v>136</v>
      </c>
      <c r="G540" s="51" t="s">
        <v>137</v>
      </c>
      <c r="H540" s="51" t="s">
        <v>122</v>
      </c>
      <c r="I540" s="52">
        <v>2</v>
      </c>
      <c r="J540" s="51" t="s">
        <v>123</v>
      </c>
      <c r="K540" s="52">
        <v>30</v>
      </c>
      <c r="L540" s="52"/>
      <c r="M540" s="52"/>
      <c r="N540" s="53" t="s">
        <v>138</v>
      </c>
      <c r="O540" s="53" t="s">
        <v>139</v>
      </c>
      <c r="P540" s="52" t="s">
        <v>126</v>
      </c>
      <c r="Q540" s="51"/>
      <c r="R540" s="55" t="s">
        <v>1326</v>
      </c>
      <c r="S540" s="55" t="s">
        <v>1327</v>
      </c>
      <c r="T540" s="175" t="s">
        <v>2536</v>
      </c>
      <c r="U540" s="90" t="s">
        <v>2537</v>
      </c>
      <c r="V540" s="55" t="s">
        <v>2538</v>
      </c>
      <c r="W540" s="319" t="s">
        <v>2539</v>
      </c>
      <c r="X540" s="55" t="s">
        <v>2540</v>
      </c>
      <c r="Y540" s="53" t="s">
        <v>2541</v>
      </c>
      <c r="Z540" s="53" t="s">
        <v>2542</v>
      </c>
      <c r="AA540" s="60" t="s">
        <v>2543</v>
      </c>
    </row>
    <row r="541" spans="2:27" ht="80.25" hidden="1" customHeight="1" x14ac:dyDescent="0.35">
      <c r="B541" s="51" t="s">
        <v>64</v>
      </c>
      <c r="C541" s="51" t="s">
        <v>2527</v>
      </c>
      <c r="D541" s="51" t="s">
        <v>65</v>
      </c>
      <c r="E541" s="52">
        <v>1</v>
      </c>
      <c r="F541" s="51" t="s">
        <v>148</v>
      </c>
      <c r="G541" s="51" t="s">
        <v>149</v>
      </c>
      <c r="H541" s="54" t="s">
        <v>150</v>
      </c>
      <c r="I541" s="52">
        <v>3</v>
      </c>
      <c r="J541" s="51" t="s">
        <v>123</v>
      </c>
      <c r="K541" s="52">
        <v>4</v>
      </c>
      <c r="L541" s="52"/>
      <c r="M541" s="52"/>
      <c r="N541" s="53" t="s">
        <v>151</v>
      </c>
      <c r="O541" s="53" t="s">
        <v>152</v>
      </c>
      <c r="P541" s="52"/>
      <c r="Q541" s="53" t="s">
        <v>586</v>
      </c>
      <c r="R541" s="55"/>
      <c r="S541" s="51"/>
      <c r="T541" s="175" t="s">
        <v>2528</v>
      </c>
      <c r="U541" s="90" t="s">
        <v>2529</v>
      </c>
      <c r="V541" s="90" t="s">
        <v>2530</v>
      </c>
      <c r="W541" s="383" t="s">
        <v>2544</v>
      </c>
      <c r="X541" s="55" t="s">
        <v>351</v>
      </c>
      <c r="Y541" s="55" t="s">
        <v>351</v>
      </c>
      <c r="Z541" s="55" t="s">
        <v>351</v>
      </c>
      <c r="AA541" s="60" t="s">
        <v>351</v>
      </c>
    </row>
    <row r="542" spans="2:27" ht="80.25" hidden="1" customHeight="1" x14ac:dyDescent="0.35">
      <c r="B542" s="51" t="s">
        <v>64</v>
      </c>
      <c r="C542" s="51" t="s">
        <v>2527</v>
      </c>
      <c r="D542" s="51" t="s">
        <v>65</v>
      </c>
      <c r="E542" s="52">
        <v>1</v>
      </c>
      <c r="F542" s="51" t="s">
        <v>155</v>
      </c>
      <c r="G542" s="51" t="s">
        <v>156</v>
      </c>
      <c r="H542" s="54" t="s">
        <v>150</v>
      </c>
      <c r="I542" s="52">
        <v>3</v>
      </c>
      <c r="J542" s="51" t="s">
        <v>123</v>
      </c>
      <c r="K542" s="52">
        <v>4</v>
      </c>
      <c r="L542" s="52"/>
      <c r="M542" s="52"/>
      <c r="N542" s="53" t="s">
        <v>157</v>
      </c>
      <c r="O542" s="53" t="s">
        <v>158</v>
      </c>
      <c r="P542" s="52"/>
      <c r="Q542" s="55" t="s">
        <v>2545</v>
      </c>
      <c r="R542" s="55" t="s">
        <v>160</v>
      </c>
      <c r="S542" s="55" t="s">
        <v>161</v>
      </c>
      <c r="T542" s="175" t="s">
        <v>2536</v>
      </c>
      <c r="U542" s="90" t="s">
        <v>2546</v>
      </c>
      <c r="V542" s="55" t="s">
        <v>2547</v>
      </c>
      <c r="W542" s="319" t="s">
        <v>2548</v>
      </c>
      <c r="X542" s="55" t="s">
        <v>2540</v>
      </c>
      <c r="Y542" s="65" t="s">
        <v>2549</v>
      </c>
      <c r="Z542" s="80" t="s">
        <v>2550</v>
      </c>
      <c r="AA542" s="60" t="s">
        <v>2543</v>
      </c>
    </row>
    <row r="543" spans="2:27" ht="80.25" hidden="1" customHeight="1" x14ac:dyDescent="0.35">
      <c r="B543" s="51" t="s">
        <v>64</v>
      </c>
      <c r="C543" s="51" t="s">
        <v>2527</v>
      </c>
      <c r="D543" s="51" t="s">
        <v>65</v>
      </c>
      <c r="E543" s="52">
        <v>1</v>
      </c>
      <c r="F543" s="51" t="s">
        <v>167</v>
      </c>
      <c r="G543" s="51" t="s">
        <v>168</v>
      </c>
      <c r="H543" s="54" t="s">
        <v>150</v>
      </c>
      <c r="I543" s="52">
        <v>3</v>
      </c>
      <c r="J543" s="51" t="s">
        <v>123</v>
      </c>
      <c r="K543" s="52">
        <v>4</v>
      </c>
      <c r="L543" s="52"/>
      <c r="M543" s="52"/>
      <c r="N543" s="53" t="s">
        <v>169</v>
      </c>
      <c r="O543" s="53" t="s">
        <v>170</v>
      </c>
      <c r="P543" s="52"/>
      <c r="Q543" s="55" t="s">
        <v>2551</v>
      </c>
      <c r="R543" s="55" t="s">
        <v>160</v>
      </c>
      <c r="S543" s="55" t="s">
        <v>172</v>
      </c>
      <c r="T543" s="175" t="s">
        <v>2536</v>
      </c>
      <c r="U543" s="90" t="s">
        <v>2546</v>
      </c>
      <c r="V543" s="55" t="s">
        <v>2552</v>
      </c>
      <c r="W543" s="319" t="s">
        <v>2553</v>
      </c>
      <c r="X543" s="55" t="s">
        <v>2540</v>
      </c>
      <c r="Y543" s="65" t="s">
        <v>2549</v>
      </c>
      <c r="Z543" s="347" t="s">
        <v>2554</v>
      </c>
      <c r="AA543" s="60" t="s">
        <v>2543</v>
      </c>
    </row>
    <row r="544" spans="2:27" ht="80.25" hidden="1" customHeight="1" x14ac:dyDescent="0.35">
      <c r="B544" s="51" t="s">
        <v>64</v>
      </c>
      <c r="C544" s="51" t="s">
        <v>2527</v>
      </c>
      <c r="D544" s="51" t="s">
        <v>65</v>
      </c>
      <c r="E544" s="52">
        <v>1</v>
      </c>
      <c r="F544" s="51" t="s">
        <v>176</v>
      </c>
      <c r="G544" s="51" t="s">
        <v>177</v>
      </c>
      <c r="H544" s="54" t="s">
        <v>150</v>
      </c>
      <c r="I544" s="52">
        <v>6</v>
      </c>
      <c r="J544" s="51" t="s">
        <v>123</v>
      </c>
      <c r="K544" s="52">
        <v>4</v>
      </c>
      <c r="L544" s="52"/>
      <c r="M544" s="52"/>
      <c r="N544" s="76" t="s">
        <v>2555</v>
      </c>
      <c r="O544" s="53" t="s">
        <v>179</v>
      </c>
      <c r="P544" s="52"/>
      <c r="Q544" s="51"/>
      <c r="R544" s="55" t="s">
        <v>180</v>
      </c>
      <c r="S544" s="55" t="s">
        <v>181</v>
      </c>
      <c r="T544" s="175" t="s">
        <v>2528</v>
      </c>
      <c r="U544" s="90" t="s">
        <v>2529</v>
      </c>
      <c r="V544" s="90" t="s">
        <v>2530</v>
      </c>
      <c r="W544" s="383" t="s">
        <v>2556</v>
      </c>
      <c r="X544" s="55" t="s">
        <v>2532</v>
      </c>
      <c r="Y544" s="53" t="s">
        <v>351</v>
      </c>
      <c r="Z544" s="53" t="s">
        <v>351</v>
      </c>
      <c r="AA544" s="60" t="s">
        <v>2535</v>
      </c>
    </row>
    <row r="545" spans="2:27" ht="80.25" hidden="1" customHeight="1" x14ac:dyDescent="0.35">
      <c r="B545" s="51" t="s">
        <v>64</v>
      </c>
      <c r="C545" s="51" t="s">
        <v>2527</v>
      </c>
      <c r="D545" s="51" t="s">
        <v>65</v>
      </c>
      <c r="E545" s="52">
        <v>1</v>
      </c>
      <c r="F545" s="51" t="s">
        <v>187</v>
      </c>
      <c r="G545" s="51" t="s">
        <v>188</v>
      </c>
      <c r="H545" s="54" t="s">
        <v>150</v>
      </c>
      <c r="I545" s="52">
        <v>7</v>
      </c>
      <c r="J545" s="51" t="s">
        <v>123</v>
      </c>
      <c r="K545" s="52">
        <v>30</v>
      </c>
      <c r="L545" s="52"/>
      <c r="M545" s="52"/>
      <c r="N545" s="53" t="s">
        <v>2557</v>
      </c>
      <c r="O545" s="53" t="s">
        <v>190</v>
      </c>
      <c r="P545" s="52"/>
      <c r="Q545" s="51"/>
      <c r="R545" s="55" t="s">
        <v>180</v>
      </c>
      <c r="S545" s="55" t="s">
        <v>181</v>
      </c>
      <c r="T545" s="175" t="s">
        <v>2558</v>
      </c>
      <c r="U545" s="90" t="s">
        <v>2559</v>
      </c>
      <c r="V545" s="55" t="s">
        <v>2560</v>
      </c>
      <c r="W545" s="319" t="s">
        <v>2561</v>
      </c>
      <c r="X545" s="55" t="s">
        <v>2540</v>
      </c>
      <c r="Y545" s="53" t="s">
        <v>2562</v>
      </c>
      <c r="Z545" s="53" t="s">
        <v>2563</v>
      </c>
      <c r="AA545" s="60" t="s">
        <v>2543</v>
      </c>
    </row>
    <row r="546" spans="2:27" ht="80.25" hidden="1" customHeight="1" x14ac:dyDescent="0.35">
      <c r="B546" s="51" t="s">
        <v>64</v>
      </c>
      <c r="C546" s="51" t="s">
        <v>2527</v>
      </c>
      <c r="D546" s="51" t="s">
        <v>65</v>
      </c>
      <c r="E546" s="52">
        <v>1</v>
      </c>
      <c r="F546" s="51" t="s">
        <v>198</v>
      </c>
      <c r="G546" s="51" t="s">
        <v>199</v>
      </c>
      <c r="H546" s="54" t="s">
        <v>200</v>
      </c>
      <c r="I546" s="52">
        <v>8</v>
      </c>
      <c r="J546" s="51" t="s">
        <v>123</v>
      </c>
      <c r="K546" s="52">
        <v>10</v>
      </c>
      <c r="L546" s="52"/>
      <c r="M546" s="52"/>
      <c r="N546" s="53" t="s">
        <v>201</v>
      </c>
      <c r="O546" s="53" t="s">
        <v>202</v>
      </c>
      <c r="P546" s="52"/>
      <c r="Q546" s="51"/>
      <c r="R546" s="55" t="s">
        <v>203</v>
      </c>
      <c r="S546" s="51" t="s">
        <v>198</v>
      </c>
      <c r="T546" s="175" t="s">
        <v>2564</v>
      </c>
      <c r="U546" s="90" t="s">
        <v>2565</v>
      </c>
      <c r="V546" s="55" t="s">
        <v>2566</v>
      </c>
      <c r="W546" s="319" t="s">
        <v>2567</v>
      </c>
      <c r="X546" s="55" t="s">
        <v>2532</v>
      </c>
      <c r="Y546" s="53" t="s">
        <v>2568</v>
      </c>
      <c r="Z546" s="53" t="s">
        <v>2569</v>
      </c>
      <c r="AA546" s="60" t="s">
        <v>351</v>
      </c>
    </row>
    <row r="547" spans="2:27" ht="80.25" hidden="1" customHeight="1" x14ac:dyDescent="0.35">
      <c r="B547" s="51" t="s">
        <v>64</v>
      </c>
      <c r="C547" s="51" t="s">
        <v>2527</v>
      </c>
      <c r="D547" s="51" t="s">
        <v>65</v>
      </c>
      <c r="E547" s="52">
        <v>1</v>
      </c>
      <c r="F547" s="51" t="s">
        <v>210</v>
      </c>
      <c r="G547" s="51" t="s">
        <v>211</v>
      </c>
      <c r="H547" s="54" t="s">
        <v>200</v>
      </c>
      <c r="I547" s="52">
        <v>9</v>
      </c>
      <c r="J547" s="51" t="s">
        <v>123</v>
      </c>
      <c r="K547" s="52">
        <v>10</v>
      </c>
      <c r="L547" s="52"/>
      <c r="M547" s="52"/>
      <c r="N547" s="53" t="s">
        <v>212</v>
      </c>
      <c r="O547" s="53" t="s">
        <v>213</v>
      </c>
      <c r="P547" s="52"/>
      <c r="Q547" s="51"/>
      <c r="R547" s="55" t="s">
        <v>214</v>
      </c>
      <c r="S547" s="51" t="s">
        <v>210</v>
      </c>
      <c r="T547" s="175" t="s">
        <v>2564</v>
      </c>
      <c r="U547" s="90" t="s">
        <v>2565</v>
      </c>
      <c r="V547" s="55" t="s">
        <v>2570</v>
      </c>
      <c r="W547" s="319" t="s">
        <v>2571</v>
      </c>
      <c r="X547" s="55" t="s">
        <v>2572</v>
      </c>
      <c r="Y547" s="53" t="s">
        <v>2573</v>
      </c>
      <c r="Z547" s="53" t="s">
        <v>2574</v>
      </c>
      <c r="AA547" s="60" t="s">
        <v>2575</v>
      </c>
    </row>
    <row r="548" spans="2:27" ht="80.25" hidden="1" customHeight="1" x14ac:dyDescent="0.35">
      <c r="B548" s="51" t="s">
        <v>64</v>
      </c>
      <c r="C548" s="51" t="s">
        <v>2527</v>
      </c>
      <c r="D548" s="51" t="s">
        <v>65</v>
      </c>
      <c r="E548" s="52">
        <v>1</v>
      </c>
      <c r="F548" s="51" t="s">
        <v>222</v>
      </c>
      <c r="G548" s="51" t="s">
        <v>223</v>
      </c>
      <c r="H548" s="54" t="s">
        <v>224</v>
      </c>
      <c r="I548" s="52">
        <v>10</v>
      </c>
      <c r="J548" s="51" t="s">
        <v>123</v>
      </c>
      <c r="K548" s="52">
        <v>4</v>
      </c>
      <c r="L548" s="52"/>
      <c r="M548" s="52"/>
      <c r="N548" s="53" t="s">
        <v>225</v>
      </c>
      <c r="O548" s="53" t="s">
        <v>226</v>
      </c>
      <c r="P548" s="52"/>
      <c r="Q548" s="55" t="s">
        <v>2576</v>
      </c>
      <c r="R548" s="55" t="s">
        <v>654</v>
      </c>
      <c r="S548" s="55" t="s">
        <v>229</v>
      </c>
      <c r="T548" s="175" t="s">
        <v>2536</v>
      </c>
      <c r="U548" s="90" t="s">
        <v>2577</v>
      </c>
      <c r="V548" s="55" t="s">
        <v>2578</v>
      </c>
      <c r="W548" s="319" t="s">
        <v>2579</v>
      </c>
      <c r="X548" s="55" t="s">
        <v>2540</v>
      </c>
      <c r="Y548" s="53" t="s">
        <v>2580</v>
      </c>
      <c r="Z548" s="53" t="s">
        <v>2581</v>
      </c>
      <c r="AA548" s="60" t="s">
        <v>2543</v>
      </c>
    </row>
    <row r="549" spans="2:27" ht="80.25" hidden="1" customHeight="1" x14ac:dyDescent="0.35">
      <c r="B549" s="51" t="s">
        <v>64</v>
      </c>
      <c r="C549" s="51" t="s">
        <v>2527</v>
      </c>
      <c r="D549" s="51" t="s">
        <v>65</v>
      </c>
      <c r="E549" s="52">
        <v>1</v>
      </c>
      <c r="F549" s="51" t="s">
        <v>238</v>
      </c>
      <c r="G549" s="51" t="s">
        <v>239</v>
      </c>
      <c r="H549" s="54" t="s">
        <v>240</v>
      </c>
      <c r="I549" s="52">
        <v>11</v>
      </c>
      <c r="J549" s="51" t="s">
        <v>123</v>
      </c>
      <c r="K549" s="52">
        <v>4</v>
      </c>
      <c r="L549" s="52"/>
      <c r="M549" s="52"/>
      <c r="N549" s="53" t="s">
        <v>241</v>
      </c>
      <c r="O549" s="53" t="s">
        <v>242</v>
      </c>
      <c r="P549" s="52"/>
      <c r="Q549" s="54"/>
      <c r="R549" s="63"/>
      <c r="S549" s="61"/>
      <c r="T549" s="175" t="s">
        <v>2564</v>
      </c>
      <c r="U549" s="90" t="s">
        <v>2565</v>
      </c>
      <c r="V549" s="55" t="s">
        <v>134</v>
      </c>
      <c r="W549" s="319" t="s">
        <v>2582</v>
      </c>
      <c r="X549" s="55" t="s">
        <v>2572</v>
      </c>
      <c r="Y549" s="53" t="s">
        <v>2575</v>
      </c>
      <c r="Z549" s="53" t="s">
        <v>2575</v>
      </c>
      <c r="AA549" s="60" t="s">
        <v>2583</v>
      </c>
    </row>
    <row r="550" spans="2:27" ht="80.25" hidden="1" customHeight="1" x14ac:dyDescent="0.35">
      <c r="B550" s="242" t="s">
        <v>64</v>
      </c>
      <c r="C550" s="242" t="s">
        <v>2527</v>
      </c>
      <c r="D550" s="242" t="s">
        <v>65</v>
      </c>
      <c r="E550" s="243">
        <v>1</v>
      </c>
      <c r="F550" s="242" t="s">
        <v>2343</v>
      </c>
      <c r="G550" s="242" t="s">
        <v>2344</v>
      </c>
      <c r="H550" s="244" t="s">
        <v>249</v>
      </c>
      <c r="I550" s="243">
        <v>12</v>
      </c>
      <c r="J550" s="242" t="s">
        <v>471</v>
      </c>
      <c r="K550" s="243"/>
      <c r="L550" s="243"/>
      <c r="M550" s="243"/>
      <c r="N550" s="245" t="s">
        <v>2345</v>
      </c>
      <c r="O550" s="245" t="s">
        <v>2346</v>
      </c>
      <c r="P550" s="243"/>
      <c r="Q550" s="244"/>
      <c r="R550" s="246" t="s">
        <v>722</v>
      </c>
      <c r="S550" s="242" t="s">
        <v>2347</v>
      </c>
      <c r="T550" s="245" t="s">
        <v>2584</v>
      </c>
      <c r="U550" s="245" t="s">
        <v>2585</v>
      </c>
      <c r="V550" s="245" t="s">
        <v>2586</v>
      </c>
      <c r="W550" s="323" t="s">
        <v>2587</v>
      </c>
      <c r="X550" s="246" t="s">
        <v>2532</v>
      </c>
      <c r="Y550" s="245" t="s">
        <v>2588</v>
      </c>
      <c r="Z550" s="245" t="s">
        <v>2589</v>
      </c>
      <c r="AA550" s="247" t="s">
        <v>351</v>
      </c>
    </row>
    <row r="551" spans="2:27" ht="80.25" hidden="1" customHeight="1" x14ac:dyDescent="0.35">
      <c r="B551" s="51" t="s">
        <v>64</v>
      </c>
      <c r="C551" s="51" t="s">
        <v>2527</v>
      </c>
      <c r="D551" s="51" t="s">
        <v>65</v>
      </c>
      <c r="E551" s="52">
        <v>1</v>
      </c>
      <c r="F551" s="51" t="s">
        <v>2590</v>
      </c>
      <c r="G551" s="51" t="s">
        <v>2591</v>
      </c>
      <c r="H551" s="54" t="s">
        <v>249</v>
      </c>
      <c r="I551" s="52">
        <v>13</v>
      </c>
      <c r="J551" s="51" t="s">
        <v>250</v>
      </c>
      <c r="K551" s="52">
        <v>23</v>
      </c>
      <c r="L551" s="52">
        <v>6</v>
      </c>
      <c r="M551" s="52"/>
      <c r="N551" s="53" t="s">
        <v>2592</v>
      </c>
      <c r="O551" s="53" t="s">
        <v>2593</v>
      </c>
      <c r="P551" s="52"/>
      <c r="Q551" s="51"/>
      <c r="R551" s="79"/>
      <c r="S551" s="79"/>
      <c r="T551" s="175" t="s">
        <v>2584</v>
      </c>
      <c r="U551" s="90" t="s">
        <v>2594</v>
      </c>
      <c r="V551" s="55" t="s">
        <v>2595</v>
      </c>
      <c r="W551" s="319" t="s">
        <v>2596</v>
      </c>
      <c r="X551" s="55" t="s">
        <v>2532</v>
      </c>
      <c r="Y551" s="53" t="s">
        <v>2597</v>
      </c>
      <c r="Z551" s="175" t="s">
        <v>2598</v>
      </c>
      <c r="AA551" s="60" t="s">
        <v>351</v>
      </c>
    </row>
    <row r="552" spans="2:27" ht="80.25" hidden="1" customHeight="1" x14ac:dyDescent="0.35">
      <c r="B552" s="51" t="s">
        <v>64</v>
      </c>
      <c r="C552" s="51" t="s">
        <v>2527</v>
      </c>
      <c r="D552" s="51" t="s">
        <v>65</v>
      </c>
      <c r="E552" s="52">
        <v>1</v>
      </c>
      <c r="F552" s="51" t="s">
        <v>260</v>
      </c>
      <c r="G552" s="51" t="s">
        <v>261</v>
      </c>
      <c r="H552" s="54" t="s">
        <v>249</v>
      </c>
      <c r="I552" s="52">
        <v>14</v>
      </c>
      <c r="J552" s="51" t="s">
        <v>250</v>
      </c>
      <c r="K552" s="52">
        <v>23</v>
      </c>
      <c r="L552" s="52">
        <v>6</v>
      </c>
      <c r="M552" s="52"/>
      <c r="N552" s="53" t="s">
        <v>2354</v>
      </c>
      <c r="O552" s="53" t="s">
        <v>263</v>
      </c>
      <c r="P552" s="52"/>
      <c r="Q552" s="51"/>
      <c r="R552" s="55" t="s">
        <v>203</v>
      </c>
      <c r="S552" s="51" t="s">
        <v>253</v>
      </c>
      <c r="T552" s="175" t="s">
        <v>2584</v>
      </c>
      <c r="U552" s="90" t="s">
        <v>2594</v>
      </c>
      <c r="V552" s="55" t="s">
        <v>2599</v>
      </c>
      <c r="W552" s="319" t="s">
        <v>2600</v>
      </c>
      <c r="X552" s="55" t="s">
        <v>2532</v>
      </c>
      <c r="Y552" s="53" t="s">
        <v>2597</v>
      </c>
      <c r="Z552" s="53" t="s">
        <v>2601</v>
      </c>
      <c r="AA552" s="60" t="s">
        <v>351</v>
      </c>
    </row>
    <row r="553" spans="2:27" ht="80.25" hidden="1" customHeight="1" x14ac:dyDescent="0.35">
      <c r="B553" s="51" t="s">
        <v>64</v>
      </c>
      <c r="C553" s="51" t="s">
        <v>2527</v>
      </c>
      <c r="D553" s="51" t="s">
        <v>65</v>
      </c>
      <c r="E553" s="52">
        <v>1</v>
      </c>
      <c r="F553" s="51" t="s">
        <v>964</v>
      </c>
      <c r="G553" s="51" t="s">
        <v>965</v>
      </c>
      <c r="H553" s="51" t="s">
        <v>249</v>
      </c>
      <c r="I553" s="52">
        <v>15</v>
      </c>
      <c r="J553" s="51" t="s">
        <v>250</v>
      </c>
      <c r="K553" s="52">
        <v>23</v>
      </c>
      <c r="L553" s="52">
        <v>6</v>
      </c>
      <c r="M553" s="52"/>
      <c r="N553" s="53" t="s">
        <v>966</v>
      </c>
      <c r="O553" s="53" t="s">
        <v>2602</v>
      </c>
      <c r="P553" s="52"/>
      <c r="Q553" s="54"/>
      <c r="R553" s="53" t="s">
        <v>912</v>
      </c>
      <c r="S553" s="54" t="s">
        <v>968</v>
      </c>
      <c r="T553" s="175" t="s">
        <v>2584</v>
      </c>
      <c r="U553" s="90" t="s">
        <v>2594</v>
      </c>
      <c r="V553" s="55" t="s">
        <v>2603</v>
      </c>
      <c r="W553" s="319" t="s">
        <v>2604</v>
      </c>
      <c r="X553" s="55" t="s">
        <v>2532</v>
      </c>
      <c r="Y553" s="53" t="s">
        <v>2597</v>
      </c>
      <c r="Z553" s="53" t="s">
        <v>2605</v>
      </c>
      <c r="AA553" s="60" t="s">
        <v>351</v>
      </c>
    </row>
    <row r="554" spans="2:27" ht="80.25" hidden="1" customHeight="1" x14ac:dyDescent="0.35">
      <c r="B554" s="51" t="s">
        <v>64</v>
      </c>
      <c r="C554" s="51" t="s">
        <v>2527</v>
      </c>
      <c r="D554" s="51" t="s">
        <v>65</v>
      </c>
      <c r="E554" s="52">
        <v>1</v>
      </c>
      <c r="F554" s="51" t="s">
        <v>648</v>
      </c>
      <c r="G554" s="51" t="s">
        <v>649</v>
      </c>
      <c r="H554" s="51" t="s">
        <v>249</v>
      </c>
      <c r="I554" s="52">
        <v>16</v>
      </c>
      <c r="J554" s="51" t="s">
        <v>250</v>
      </c>
      <c r="K554" s="52">
        <v>23</v>
      </c>
      <c r="L554" s="52">
        <v>6</v>
      </c>
      <c r="M554" s="52"/>
      <c r="N554" s="53" t="s">
        <v>650</v>
      </c>
      <c r="O554" s="53" t="s">
        <v>651</v>
      </c>
      <c r="P554" s="52"/>
      <c r="Q554" s="54"/>
      <c r="R554" s="53" t="s">
        <v>685</v>
      </c>
      <c r="S554" s="53" t="s">
        <v>2372</v>
      </c>
      <c r="T554" s="175" t="s">
        <v>2606</v>
      </c>
      <c r="U554" s="90" t="s">
        <v>2607</v>
      </c>
      <c r="V554" s="55" t="s">
        <v>2608</v>
      </c>
      <c r="W554" s="319" t="s">
        <v>2609</v>
      </c>
      <c r="X554" s="55" t="s">
        <v>2572</v>
      </c>
      <c r="Y554" s="53" t="s">
        <v>2610</v>
      </c>
      <c r="Z554" s="53" t="s">
        <v>2611</v>
      </c>
      <c r="AA554" s="60" t="s">
        <v>2612</v>
      </c>
    </row>
    <row r="555" spans="2:27" ht="80.25" hidden="1" customHeight="1" x14ac:dyDescent="0.35">
      <c r="B555" s="51" t="s">
        <v>64</v>
      </c>
      <c r="C555" s="51" t="s">
        <v>2527</v>
      </c>
      <c r="D555" s="51" t="s">
        <v>65</v>
      </c>
      <c r="E555" s="52">
        <v>1</v>
      </c>
      <c r="F555" s="51" t="s">
        <v>271</v>
      </c>
      <c r="G555" s="51" t="s">
        <v>272</v>
      </c>
      <c r="H555" s="51" t="s">
        <v>249</v>
      </c>
      <c r="I555" s="52">
        <v>17</v>
      </c>
      <c r="J555" s="51" t="s">
        <v>250</v>
      </c>
      <c r="K555" s="52">
        <v>23</v>
      </c>
      <c r="L555" s="52">
        <v>6</v>
      </c>
      <c r="M555" s="52"/>
      <c r="N555" s="53" t="s">
        <v>273</v>
      </c>
      <c r="O555" s="53" t="s">
        <v>2613</v>
      </c>
      <c r="P555" s="52"/>
      <c r="Q555" s="54"/>
      <c r="R555" s="53" t="s">
        <v>275</v>
      </c>
      <c r="S555" s="54" t="s">
        <v>2614</v>
      </c>
      <c r="T555" s="175" t="s">
        <v>2584</v>
      </c>
      <c r="U555" s="90" t="s">
        <v>2607</v>
      </c>
      <c r="V555" s="55" t="s">
        <v>2615</v>
      </c>
      <c r="W555" s="319" t="s">
        <v>2616</v>
      </c>
      <c r="X555" s="55" t="s">
        <v>2572</v>
      </c>
      <c r="Y555" s="53" t="s">
        <v>2617</v>
      </c>
      <c r="Z555" s="53" t="s">
        <v>2618</v>
      </c>
      <c r="AA555" s="60" t="s">
        <v>2612</v>
      </c>
    </row>
    <row r="556" spans="2:27" ht="80.25" hidden="1" customHeight="1" x14ac:dyDescent="0.35">
      <c r="B556" s="51" t="s">
        <v>64</v>
      </c>
      <c r="C556" s="51" t="s">
        <v>2527</v>
      </c>
      <c r="D556" s="51" t="s">
        <v>65</v>
      </c>
      <c r="E556" s="52">
        <v>1</v>
      </c>
      <c r="F556" s="51" t="s">
        <v>282</v>
      </c>
      <c r="G556" s="51" t="s">
        <v>283</v>
      </c>
      <c r="H556" s="51" t="s">
        <v>249</v>
      </c>
      <c r="I556" s="52">
        <v>18</v>
      </c>
      <c r="J556" s="51" t="s">
        <v>250</v>
      </c>
      <c r="K556" s="52">
        <v>23</v>
      </c>
      <c r="L556" s="52">
        <v>6</v>
      </c>
      <c r="M556" s="52"/>
      <c r="N556" s="53" t="s">
        <v>284</v>
      </c>
      <c r="O556" s="53" t="s">
        <v>285</v>
      </c>
      <c r="P556" s="52"/>
      <c r="Q556" s="54"/>
      <c r="R556" s="63"/>
      <c r="S556" s="61"/>
      <c r="T556" s="175" t="s">
        <v>2619</v>
      </c>
      <c r="U556" s="90" t="s">
        <v>2620</v>
      </c>
      <c r="V556" s="55" t="s">
        <v>2621</v>
      </c>
      <c r="W556" s="319" t="s">
        <v>2622</v>
      </c>
      <c r="X556" s="55" t="s">
        <v>2572</v>
      </c>
      <c r="Y556" s="53" t="s">
        <v>2623</v>
      </c>
      <c r="Z556" s="53" t="s">
        <v>2624</v>
      </c>
      <c r="AA556" s="60" t="s">
        <v>2625</v>
      </c>
    </row>
    <row r="557" spans="2:27" ht="80.25" hidden="1" customHeight="1" x14ac:dyDescent="0.35">
      <c r="B557" s="51" t="s">
        <v>64</v>
      </c>
      <c r="C557" s="51" t="s">
        <v>2527</v>
      </c>
      <c r="D557" s="51" t="s">
        <v>65</v>
      </c>
      <c r="E557" s="52">
        <v>1</v>
      </c>
      <c r="F557" s="51" t="s">
        <v>714</v>
      </c>
      <c r="G557" s="51" t="s">
        <v>715</v>
      </c>
      <c r="H557" s="54" t="s">
        <v>430</v>
      </c>
      <c r="I557" s="52">
        <v>19</v>
      </c>
      <c r="J557" s="51" t="s">
        <v>123</v>
      </c>
      <c r="K557" s="52">
        <v>10</v>
      </c>
      <c r="L557" s="52"/>
      <c r="M557" s="52"/>
      <c r="N557" s="53" t="s">
        <v>2626</v>
      </c>
      <c r="O557" s="53" t="s">
        <v>717</v>
      </c>
      <c r="P557" s="52"/>
      <c r="Q557" s="54"/>
      <c r="R557" s="55"/>
      <c r="S557" s="51"/>
      <c r="T557" s="55" t="s">
        <v>2564</v>
      </c>
      <c r="U557" s="55" t="s">
        <v>2565</v>
      </c>
      <c r="V557" s="55" t="s">
        <v>2627</v>
      </c>
      <c r="W557" s="319" t="s">
        <v>2628</v>
      </c>
      <c r="X557" s="55" t="s">
        <v>2532</v>
      </c>
      <c r="Y557" s="53" t="s">
        <v>2568</v>
      </c>
      <c r="Z557" s="53" t="s">
        <v>2629</v>
      </c>
      <c r="AA557" s="60" t="s">
        <v>351</v>
      </c>
    </row>
    <row r="558" spans="2:27" ht="80.25" hidden="1" customHeight="1" x14ac:dyDescent="0.35">
      <c r="B558" s="51" t="s">
        <v>64</v>
      </c>
      <c r="C558" s="51" t="s">
        <v>2527</v>
      </c>
      <c r="D558" s="51" t="s">
        <v>65</v>
      </c>
      <c r="E558" s="52">
        <v>1</v>
      </c>
      <c r="F558" s="51" t="s">
        <v>2630</v>
      </c>
      <c r="G558" s="51" t="s">
        <v>2631</v>
      </c>
      <c r="H558" s="54" t="s">
        <v>249</v>
      </c>
      <c r="I558" s="52">
        <v>20</v>
      </c>
      <c r="J558" s="51" t="s">
        <v>250</v>
      </c>
      <c r="K558" s="52">
        <v>23</v>
      </c>
      <c r="L558" s="52">
        <v>6</v>
      </c>
      <c r="M558" s="52"/>
      <c r="N558" s="53" t="s">
        <v>1441</v>
      </c>
      <c r="O558" s="53" t="s">
        <v>1451</v>
      </c>
      <c r="P558" s="52"/>
      <c r="Q558" s="54"/>
      <c r="R558" s="55" t="s">
        <v>722</v>
      </c>
      <c r="S558" s="51" t="s">
        <v>2430</v>
      </c>
      <c r="T558" s="55" t="s">
        <v>2606</v>
      </c>
      <c r="U558" s="55" t="s">
        <v>2632</v>
      </c>
      <c r="V558" s="55" t="s">
        <v>2633</v>
      </c>
      <c r="W558" s="319" t="s">
        <v>2634</v>
      </c>
      <c r="X558" s="55" t="s">
        <v>2532</v>
      </c>
      <c r="Y558" s="53" t="s">
        <v>2635</v>
      </c>
      <c r="Z558" s="53" t="s">
        <v>2636</v>
      </c>
      <c r="AA558" s="60" t="s">
        <v>351</v>
      </c>
    </row>
    <row r="559" spans="2:27" ht="80.25" hidden="1" customHeight="1" x14ac:dyDescent="0.35">
      <c r="B559" s="51" t="s">
        <v>64</v>
      </c>
      <c r="C559" s="51" t="s">
        <v>2527</v>
      </c>
      <c r="D559" s="51" t="s">
        <v>65</v>
      </c>
      <c r="E559" s="52">
        <v>1</v>
      </c>
      <c r="F559" s="51" t="s">
        <v>2637</v>
      </c>
      <c r="G559" s="51" t="s">
        <v>2638</v>
      </c>
      <c r="H559" s="54" t="s">
        <v>249</v>
      </c>
      <c r="I559" s="52">
        <v>22</v>
      </c>
      <c r="J559" s="51" t="s">
        <v>250</v>
      </c>
      <c r="K559" s="52">
        <v>23</v>
      </c>
      <c r="L559" s="52">
        <v>6</v>
      </c>
      <c r="M559" s="52"/>
      <c r="N559" s="53" t="s">
        <v>2639</v>
      </c>
      <c r="O559" s="53" t="s">
        <v>2640</v>
      </c>
      <c r="P559" s="52"/>
      <c r="Q559" s="54"/>
      <c r="R559" s="55" t="s">
        <v>722</v>
      </c>
      <c r="S559" s="51" t="s">
        <v>2430</v>
      </c>
      <c r="T559" s="55" t="s">
        <v>2584</v>
      </c>
      <c r="U559" s="55" t="s">
        <v>2641</v>
      </c>
      <c r="V559" s="55" t="s">
        <v>2642</v>
      </c>
      <c r="W559" s="319" t="s">
        <v>2643</v>
      </c>
      <c r="X559" s="55" t="s">
        <v>2532</v>
      </c>
      <c r="Y559" s="53" t="s">
        <v>2644</v>
      </c>
      <c r="Z559" s="53" t="s">
        <v>2645</v>
      </c>
      <c r="AA559" s="60" t="s">
        <v>2646</v>
      </c>
    </row>
    <row r="560" spans="2:27" ht="80.25" hidden="1" customHeight="1" x14ac:dyDescent="0.35">
      <c r="B560" s="51" t="s">
        <v>64</v>
      </c>
      <c r="C560" s="51" t="s">
        <v>2527</v>
      </c>
      <c r="D560" s="51" t="s">
        <v>65</v>
      </c>
      <c r="E560" s="52">
        <v>1</v>
      </c>
      <c r="F560" s="51" t="s">
        <v>1457</v>
      </c>
      <c r="G560" s="51" t="s">
        <v>1458</v>
      </c>
      <c r="H560" s="54" t="s">
        <v>430</v>
      </c>
      <c r="I560" s="52">
        <v>23</v>
      </c>
      <c r="J560" s="51" t="s">
        <v>123</v>
      </c>
      <c r="K560" s="52">
        <v>10</v>
      </c>
      <c r="L560" s="52"/>
      <c r="M560" s="52"/>
      <c r="N560" s="53" t="s">
        <v>2647</v>
      </c>
      <c r="O560" s="53" t="s">
        <v>1460</v>
      </c>
      <c r="P560" s="52"/>
      <c r="Q560" s="54"/>
      <c r="R560" s="55"/>
      <c r="S560" s="51"/>
      <c r="T560" s="55" t="s">
        <v>2606</v>
      </c>
      <c r="U560" s="55" t="s">
        <v>2648</v>
      </c>
      <c r="V560" s="55" t="s">
        <v>2649</v>
      </c>
      <c r="W560" s="82" t="s">
        <v>2650</v>
      </c>
      <c r="X560" s="55" t="s">
        <v>2532</v>
      </c>
      <c r="Y560" s="55" t="s">
        <v>2651</v>
      </c>
      <c r="Z560" s="53" t="s">
        <v>2652</v>
      </c>
      <c r="AA560" s="60" t="s">
        <v>351</v>
      </c>
    </row>
    <row r="561" spans="2:27" ht="80.25" hidden="1" customHeight="1" x14ac:dyDescent="0.35">
      <c r="B561" s="51" t="s">
        <v>64</v>
      </c>
      <c r="C561" s="51" t="s">
        <v>2527</v>
      </c>
      <c r="D561" s="51" t="s">
        <v>65</v>
      </c>
      <c r="E561" s="52">
        <v>1</v>
      </c>
      <c r="F561" s="51" t="s">
        <v>1466</v>
      </c>
      <c r="G561" s="51" t="s">
        <v>1467</v>
      </c>
      <c r="H561" s="54" t="s">
        <v>249</v>
      </c>
      <c r="I561" s="52">
        <v>24</v>
      </c>
      <c r="J561" s="51" t="s">
        <v>250</v>
      </c>
      <c r="K561" s="52">
        <v>23</v>
      </c>
      <c r="L561" s="52">
        <v>6</v>
      </c>
      <c r="M561" s="52"/>
      <c r="N561" s="53" t="s">
        <v>1468</v>
      </c>
      <c r="O561" s="53" t="s">
        <v>1469</v>
      </c>
      <c r="P561" s="52"/>
      <c r="Q561" s="54"/>
      <c r="R561" s="55"/>
      <c r="S561" s="51"/>
      <c r="T561" s="55" t="s">
        <v>2653</v>
      </c>
      <c r="U561" s="55" t="s">
        <v>2654</v>
      </c>
      <c r="V561" s="55" t="s">
        <v>2655</v>
      </c>
      <c r="W561" s="319" t="s">
        <v>2656</v>
      </c>
      <c r="X561" s="55" t="s">
        <v>2657</v>
      </c>
      <c r="Y561" s="55" t="s">
        <v>2651</v>
      </c>
      <c r="Z561" s="55" t="s">
        <v>2658</v>
      </c>
      <c r="AA561" s="60" t="s">
        <v>351</v>
      </c>
    </row>
    <row r="562" spans="2:27" ht="80.25" hidden="1" customHeight="1" x14ac:dyDescent="0.35">
      <c r="B562" s="51" t="s">
        <v>64</v>
      </c>
      <c r="C562" s="51" t="s">
        <v>2527</v>
      </c>
      <c r="D562" s="51" t="s">
        <v>65</v>
      </c>
      <c r="E562" s="52">
        <v>1</v>
      </c>
      <c r="F562" s="51" t="s">
        <v>1472</v>
      </c>
      <c r="G562" s="51" t="s">
        <v>1473</v>
      </c>
      <c r="H562" s="54" t="s">
        <v>430</v>
      </c>
      <c r="I562" s="52">
        <v>25</v>
      </c>
      <c r="J562" s="51" t="s">
        <v>123</v>
      </c>
      <c r="K562" s="52">
        <v>10</v>
      </c>
      <c r="L562" s="52"/>
      <c r="M562" s="52"/>
      <c r="N562" s="53" t="s">
        <v>1450</v>
      </c>
      <c r="O562" s="53" t="s">
        <v>1474</v>
      </c>
      <c r="P562" s="52"/>
      <c r="Q562" s="54"/>
      <c r="R562" s="55" t="s">
        <v>722</v>
      </c>
      <c r="S562" s="51" t="s">
        <v>723</v>
      </c>
      <c r="T562" s="55" t="s">
        <v>2653</v>
      </c>
      <c r="U562" s="55" t="s">
        <v>2659</v>
      </c>
      <c r="V562" s="55" t="s">
        <v>2660</v>
      </c>
      <c r="W562" s="319" t="s">
        <v>2661</v>
      </c>
      <c r="X562" s="55" t="s">
        <v>2532</v>
      </c>
      <c r="Y562" s="53" t="s">
        <v>2662</v>
      </c>
      <c r="Z562" s="53" t="s">
        <v>2663</v>
      </c>
      <c r="AA562" s="60" t="s">
        <v>351</v>
      </c>
    </row>
    <row r="563" spans="2:27" ht="80.25" hidden="1" customHeight="1" x14ac:dyDescent="0.35">
      <c r="B563" s="51" t="s">
        <v>64</v>
      </c>
      <c r="C563" s="51" t="s">
        <v>2527</v>
      </c>
      <c r="D563" s="51" t="s">
        <v>65</v>
      </c>
      <c r="E563" s="52">
        <v>1</v>
      </c>
      <c r="F563" s="51" t="s">
        <v>1480</v>
      </c>
      <c r="G563" s="51" t="s">
        <v>1481</v>
      </c>
      <c r="H563" s="54" t="s">
        <v>249</v>
      </c>
      <c r="I563" s="52">
        <v>26</v>
      </c>
      <c r="J563" s="51" t="s">
        <v>250</v>
      </c>
      <c r="K563" s="52">
        <v>23</v>
      </c>
      <c r="L563" s="52">
        <v>6</v>
      </c>
      <c r="M563" s="52"/>
      <c r="N563" s="53" t="s">
        <v>1482</v>
      </c>
      <c r="O563" s="53" t="s">
        <v>1483</v>
      </c>
      <c r="P563" s="52"/>
      <c r="Q563" s="54"/>
      <c r="R563" s="55"/>
      <c r="S563" s="51"/>
      <c r="T563" s="55" t="s">
        <v>2653</v>
      </c>
      <c r="U563" s="55" t="s">
        <v>2659</v>
      </c>
      <c r="V563" s="55" t="s">
        <v>2664</v>
      </c>
      <c r="W563" s="319" t="s">
        <v>2665</v>
      </c>
      <c r="X563" s="55" t="s">
        <v>2532</v>
      </c>
      <c r="Y563" s="53" t="s">
        <v>2662</v>
      </c>
      <c r="Z563" s="53" t="s">
        <v>2666</v>
      </c>
      <c r="AA563" s="60" t="s">
        <v>351</v>
      </c>
    </row>
    <row r="564" spans="2:27" ht="80.25" hidden="1" customHeight="1" x14ac:dyDescent="0.35">
      <c r="B564" s="51" t="s">
        <v>64</v>
      </c>
      <c r="C564" s="51" t="s">
        <v>2527</v>
      </c>
      <c r="D564" s="51" t="s">
        <v>65</v>
      </c>
      <c r="E564" s="52">
        <v>1</v>
      </c>
      <c r="F564" s="51" t="s">
        <v>428</v>
      </c>
      <c r="G564" s="51" t="s">
        <v>429</v>
      </c>
      <c r="H564" s="54" t="s">
        <v>430</v>
      </c>
      <c r="I564" s="52">
        <v>27</v>
      </c>
      <c r="J564" s="51" t="s">
        <v>123</v>
      </c>
      <c r="K564" s="52">
        <v>10</v>
      </c>
      <c r="L564" s="52"/>
      <c r="M564" s="52"/>
      <c r="N564" s="53" t="s">
        <v>2667</v>
      </c>
      <c r="O564" s="53" t="s">
        <v>432</v>
      </c>
      <c r="P564" s="52"/>
      <c r="Q564" s="54"/>
      <c r="R564" s="55" t="s">
        <v>722</v>
      </c>
      <c r="S564" s="51" t="s">
        <v>723</v>
      </c>
      <c r="T564" s="55" t="s">
        <v>2653</v>
      </c>
      <c r="U564" s="55" t="s">
        <v>2659</v>
      </c>
      <c r="V564" s="55" t="s">
        <v>2660</v>
      </c>
      <c r="W564" s="319" t="s">
        <v>2668</v>
      </c>
      <c r="X564" s="55" t="s">
        <v>2532</v>
      </c>
      <c r="Y564" s="53" t="s">
        <v>2662</v>
      </c>
      <c r="Z564" s="53" t="s">
        <v>2663</v>
      </c>
      <c r="AA564" s="60" t="s">
        <v>351</v>
      </c>
    </row>
    <row r="565" spans="2:27" ht="80.25" hidden="1" customHeight="1" x14ac:dyDescent="0.35">
      <c r="B565" s="51" t="s">
        <v>64</v>
      </c>
      <c r="C565" s="51" t="s">
        <v>2527</v>
      </c>
      <c r="D565" s="51" t="s">
        <v>65</v>
      </c>
      <c r="E565" s="52">
        <v>1</v>
      </c>
      <c r="F565" s="51" t="s">
        <v>438</v>
      </c>
      <c r="G565" s="51" t="s">
        <v>439</v>
      </c>
      <c r="H565" s="54" t="s">
        <v>249</v>
      </c>
      <c r="I565" s="52">
        <v>28</v>
      </c>
      <c r="J565" s="51" t="s">
        <v>250</v>
      </c>
      <c r="K565" s="52">
        <v>23</v>
      </c>
      <c r="L565" s="52">
        <v>6</v>
      </c>
      <c r="M565" s="52"/>
      <c r="N565" s="53" t="s">
        <v>2669</v>
      </c>
      <c r="O565" s="53" t="s">
        <v>441</v>
      </c>
      <c r="P565" s="52"/>
      <c r="Q565" s="54"/>
      <c r="R565" s="55"/>
      <c r="S565" s="51"/>
      <c r="T565" s="55" t="s">
        <v>2653</v>
      </c>
      <c r="U565" s="55" t="s">
        <v>2659</v>
      </c>
      <c r="V565" s="55" t="s">
        <v>2664</v>
      </c>
      <c r="W565" s="319" t="s">
        <v>2670</v>
      </c>
      <c r="X565" s="55" t="s">
        <v>2532</v>
      </c>
      <c r="Y565" s="53" t="s">
        <v>2662</v>
      </c>
      <c r="Z565" s="53" t="s">
        <v>2666</v>
      </c>
      <c r="AA565" s="60" t="s">
        <v>351</v>
      </c>
    </row>
    <row r="566" spans="2:27" ht="80.25" hidden="1" customHeight="1" x14ac:dyDescent="0.35">
      <c r="B566" s="51" t="s">
        <v>64</v>
      </c>
      <c r="C566" s="51" t="s">
        <v>2527</v>
      </c>
      <c r="D566" s="51" t="s">
        <v>65</v>
      </c>
      <c r="E566" s="52">
        <v>1</v>
      </c>
      <c r="F566" s="51" t="s">
        <v>1500</v>
      </c>
      <c r="G566" s="51" t="s">
        <v>1501</v>
      </c>
      <c r="H566" s="54" t="s">
        <v>249</v>
      </c>
      <c r="I566" s="52">
        <v>29</v>
      </c>
      <c r="J566" s="51" t="s">
        <v>471</v>
      </c>
      <c r="K566" s="52"/>
      <c r="L566" s="52"/>
      <c r="M566" s="52"/>
      <c r="N566" s="53" t="s">
        <v>1502</v>
      </c>
      <c r="O566" s="53" t="s">
        <v>1503</v>
      </c>
      <c r="P566" s="52"/>
      <c r="Q566" s="54"/>
      <c r="R566" s="63"/>
      <c r="S566" s="61"/>
      <c r="T566" s="55" t="s">
        <v>2671</v>
      </c>
      <c r="U566" s="55" t="s">
        <v>2672</v>
      </c>
      <c r="V566" s="55" t="s">
        <v>2673</v>
      </c>
      <c r="W566" s="319" t="s">
        <v>2674</v>
      </c>
      <c r="X566" s="55" t="s">
        <v>2532</v>
      </c>
      <c r="Y566" s="53" t="s">
        <v>2675</v>
      </c>
      <c r="Z566" s="53" t="s">
        <v>2676</v>
      </c>
      <c r="AA566" s="60" t="s">
        <v>351</v>
      </c>
    </row>
    <row r="567" spans="2:27" ht="80.25" hidden="1" customHeight="1" x14ac:dyDescent="0.35">
      <c r="B567" s="51" t="s">
        <v>64</v>
      </c>
      <c r="C567" s="51" t="s">
        <v>2527</v>
      </c>
      <c r="D567" s="51" t="s">
        <v>65</v>
      </c>
      <c r="E567" s="52">
        <v>1</v>
      </c>
      <c r="F567" s="51" t="s">
        <v>2677</v>
      </c>
      <c r="G567" s="51" t="s">
        <v>2678</v>
      </c>
      <c r="H567" s="54" t="s">
        <v>1509</v>
      </c>
      <c r="I567" s="52">
        <v>30</v>
      </c>
      <c r="J567" s="51" t="s">
        <v>123</v>
      </c>
      <c r="K567" s="52">
        <v>4</v>
      </c>
      <c r="L567" s="52"/>
      <c r="M567" s="52"/>
      <c r="N567" s="53" t="s">
        <v>2679</v>
      </c>
      <c r="O567" s="53" t="s">
        <v>2680</v>
      </c>
      <c r="P567" s="52"/>
      <c r="Q567" s="53" t="s">
        <v>2681</v>
      </c>
      <c r="R567" s="53"/>
      <c r="S567" s="54"/>
      <c r="T567" s="55" t="s">
        <v>2564</v>
      </c>
      <c r="U567" s="55" t="s">
        <v>2565</v>
      </c>
      <c r="V567" s="55" t="s">
        <v>2682</v>
      </c>
      <c r="W567" s="82" t="s">
        <v>2683</v>
      </c>
      <c r="X567" s="55" t="s">
        <v>2532</v>
      </c>
      <c r="Y567" s="53" t="s">
        <v>2684</v>
      </c>
      <c r="Z567" s="53" t="s">
        <v>2685</v>
      </c>
      <c r="AA567" s="60" t="s">
        <v>2686</v>
      </c>
    </row>
    <row r="568" spans="2:27" ht="80.25" hidden="1" customHeight="1" x14ac:dyDescent="0.35">
      <c r="B568" s="51" t="s">
        <v>64</v>
      </c>
      <c r="C568" s="51" t="s">
        <v>2527</v>
      </c>
      <c r="D568" s="51" t="s">
        <v>65</v>
      </c>
      <c r="E568" s="52">
        <v>1</v>
      </c>
      <c r="F568" s="51" t="s">
        <v>1507</v>
      </c>
      <c r="G568" s="51" t="s">
        <v>1969</v>
      </c>
      <c r="H568" s="54" t="s">
        <v>1509</v>
      </c>
      <c r="I568" s="52">
        <v>31</v>
      </c>
      <c r="J568" s="51" t="s">
        <v>123</v>
      </c>
      <c r="K568" s="52">
        <v>4</v>
      </c>
      <c r="L568" s="52"/>
      <c r="M568" s="52"/>
      <c r="N568" s="53" t="s">
        <v>2173</v>
      </c>
      <c r="O568" s="53" t="s">
        <v>1511</v>
      </c>
      <c r="P568" s="52"/>
      <c r="Q568" s="53"/>
      <c r="R568" s="53"/>
      <c r="S568" s="54"/>
      <c r="T568" s="175" t="s">
        <v>2606</v>
      </c>
      <c r="U568" s="90" t="s">
        <v>2687</v>
      </c>
      <c r="V568" s="55" t="s">
        <v>2688</v>
      </c>
      <c r="W568" s="82" t="s">
        <v>2689</v>
      </c>
      <c r="X568" s="55" t="s">
        <v>2540</v>
      </c>
      <c r="Y568" s="53" t="s">
        <v>2690</v>
      </c>
      <c r="Z568" s="53" t="s">
        <v>2691</v>
      </c>
      <c r="AA568" s="60" t="s">
        <v>2543</v>
      </c>
    </row>
    <row r="569" spans="2:27" ht="80.25" hidden="1" customHeight="1" x14ac:dyDescent="0.35">
      <c r="B569" s="51" t="s">
        <v>64</v>
      </c>
      <c r="C569" s="51" t="s">
        <v>2527</v>
      </c>
      <c r="D569" s="51" t="s">
        <v>65</v>
      </c>
      <c r="E569" s="52">
        <v>1</v>
      </c>
      <c r="F569" s="51" t="s">
        <v>1976</v>
      </c>
      <c r="G569" s="51" t="s">
        <v>1977</v>
      </c>
      <c r="H569" s="54" t="s">
        <v>746</v>
      </c>
      <c r="I569" s="52">
        <v>32</v>
      </c>
      <c r="J569" s="51" t="s">
        <v>123</v>
      </c>
      <c r="K569" s="52">
        <v>20</v>
      </c>
      <c r="L569" s="52"/>
      <c r="M569" s="52"/>
      <c r="N569" s="53" t="s">
        <v>1677</v>
      </c>
      <c r="O569" s="53" t="s">
        <v>1979</v>
      </c>
      <c r="P569" s="52"/>
      <c r="Q569" s="53" t="s">
        <v>2692</v>
      </c>
      <c r="R569" s="53"/>
      <c r="S569" s="54"/>
      <c r="T569" s="175" t="s">
        <v>2693</v>
      </c>
      <c r="U569" s="90" t="s">
        <v>2694</v>
      </c>
      <c r="V569" s="55" t="s">
        <v>2695</v>
      </c>
      <c r="W569" s="82" t="s">
        <v>2696</v>
      </c>
      <c r="X569" s="55" t="s">
        <v>2540</v>
      </c>
      <c r="Y569" s="53" t="s">
        <v>2697</v>
      </c>
      <c r="Z569" s="53" t="s">
        <v>2698</v>
      </c>
      <c r="AA569" s="60" t="s">
        <v>2699</v>
      </c>
    </row>
    <row r="570" spans="2:27" ht="80.25" hidden="1" customHeight="1" x14ac:dyDescent="0.35">
      <c r="B570" s="51" t="s">
        <v>64</v>
      </c>
      <c r="C570" s="51" t="s">
        <v>2527</v>
      </c>
      <c r="D570" s="51" t="s">
        <v>65</v>
      </c>
      <c r="E570" s="52">
        <v>1</v>
      </c>
      <c r="F570" s="51" t="s">
        <v>1987</v>
      </c>
      <c r="G570" s="51" t="s">
        <v>1988</v>
      </c>
      <c r="H570" s="54" t="s">
        <v>767</v>
      </c>
      <c r="I570" s="52">
        <v>33</v>
      </c>
      <c r="J570" s="51" t="s">
        <v>250</v>
      </c>
      <c r="K570" s="52">
        <v>23</v>
      </c>
      <c r="L570" s="52">
        <v>6</v>
      </c>
      <c r="M570" s="52"/>
      <c r="N570" s="53" t="s">
        <v>2180</v>
      </c>
      <c r="O570" s="53" t="s">
        <v>1990</v>
      </c>
      <c r="P570" s="52"/>
      <c r="Q570" s="54"/>
      <c r="R570" s="53"/>
      <c r="S570" s="54"/>
      <c r="T570" s="175" t="s">
        <v>2653</v>
      </c>
      <c r="U570" s="90" t="s">
        <v>2700</v>
      </c>
      <c r="V570" s="55" t="s">
        <v>2701</v>
      </c>
      <c r="W570" s="82" t="s">
        <v>2702</v>
      </c>
      <c r="X570" s="55" t="s">
        <v>2532</v>
      </c>
      <c r="Y570" s="53" t="s">
        <v>2703</v>
      </c>
      <c r="Z570" s="53" t="s">
        <v>2704</v>
      </c>
      <c r="AA570" s="60" t="s">
        <v>2705</v>
      </c>
    </row>
    <row r="571" spans="2:27" ht="80.25" hidden="1" customHeight="1" x14ac:dyDescent="0.35">
      <c r="B571" s="51" t="s">
        <v>64</v>
      </c>
      <c r="C571" s="51" t="s">
        <v>2527</v>
      </c>
      <c r="D571" s="51" t="s">
        <v>65</v>
      </c>
      <c r="E571" s="52">
        <v>1</v>
      </c>
      <c r="F571" s="51" t="s">
        <v>1997</v>
      </c>
      <c r="G571" s="51" t="s">
        <v>1998</v>
      </c>
      <c r="H571" s="54" t="s">
        <v>767</v>
      </c>
      <c r="I571" s="52">
        <v>34</v>
      </c>
      <c r="J571" s="51" t="s">
        <v>250</v>
      </c>
      <c r="K571" s="52">
        <v>23</v>
      </c>
      <c r="L571" s="52">
        <v>6</v>
      </c>
      <c r="M571" s="52"/>
      <c r="N571" s="53" t="s">
        <v>1686</v>
      </c>
      <c r="O571" s="53" t="s">
        <v>2000</v>
      </c>
      <c r="P571" s="52"/>
      <c r="Q571" s="54"/>
      <c r="R571" s="53"/>
      <c r="S571" s="54"/>
      <c r="T571" s="175" t="s">
        <v>2606</v>
      </c>
      <c r="U571" s="90" t="s">
        <v>2706</v>
      </c>
      <c r="V571" s="55" t="s">
        <v>2707</v>
      </c>
      <c r="W571" s="82" t="s">
        <v>2708</v>
      </c>
      <c r="X571" s="55" t="s">
        <v>2532</v>
      </c>
      <c r="Y571" s="53" t="s">
        <v>2709</v>
      </c>
      <c r="Z571" s="53" t="s">
        <v>2710</v>
      </c>
      <c r="AA571" s="60" t="s">
        <v>351</v>
      </c>
    </row>
    <row r="572" spans="2:27" ht="80.25" hidden="1" customHeight="1" x14ac:dyDescent="0.35">
      <c r="B572" s="51" t="s">
        <v>64</v>
      </c>
      <c r="C572" s="51" t="s">
        <v>2527</v>
      </c>
      <c r="D572" s="51" t="s">
        <v>65</v>
      </c>
      <c r="E572" s="52">
        <v>1</v>
      </c>
      <c r="F572" s="51" t="s">
        <v>1514</v>
      </c>
      <c r="G572" s="51" t="s">
        <v>1515</v>
      </c>
      <c r="H572" s="54" t="s">
        <v>767</v>
      </c>
      <c r="I572" s="52">
        <v>35</v>
      </c>
      <c r="J572" s="51" t="s">
        <v>250</v>
      </c>
      <c r="K572" s="52">
        <v>23</v>
      </c>
      <c r="L572" s="52">
        <v>6</v>
      </c>
      <c r="M572" s="52"/>
      <c r="N572" s="53" t="s">
        <v>2187</v>
      </c>
      <c r="O572" s="53" t="s">
        <v>1517</v>
      </c>
      <c r="P572" s="52"/>
      <c r="Q572" s="51"/>
      <c r="R572" s="79"/>
      <c r="S572" s="62"/>
      <c r="T572" s="175" t="s">
        <v>2606</v>
      </c>
      <c r="U572" s="90" t="s">
        <v>2706</v>
      </c>
      <c r="V572" s="55" t="s">
        <v>2711</v>
      </c>
      <c r="W572" s="82" t="s">
        <v>2712</v>
      </c>
      <c r="X572" s="55" t="s">
        <v>2532</v>
      </c>
      <c r="Y572" s="53" t="s">
        <v>2709</v>
      </c>
      <c r="Z572" s="53" t="s">
        <v>2713</v>
      </c>
      <c r="AA572" s="60" t="s">
        <v>351</v>
      </c>
    </row>
    <row r="573" spans="2:27" ht="80.25" hidden="1" customHeight="1" x14ac:dyDescent="0.35">
      <c r="B573" s="51" t="s">
        <v>64</v>
      </c>
      <c r="C573" s="51" t="s">
        <v>2527</v>
      </c>
      <c r="D573" s="51" t="s">
        <v>65</v>
      </c>
      <c r="E573" s="52">
        <v>1</v>
      </c>
      <c r="F573" s="51" t="s">
        <v>2714</v>
      </c>
      <c r="G573" s="51" t="s">
        <v>2715</v>
      </c>
      <c r="H573" s="54" t="s">
        <v>767</v>
      </c>
      <c r="I573" s="52">
        <v>36</v>
      </c>
      <c r="J573" s="51" t="s">
        <v>250</v>
      </c>
      <c r="K573" s="52">
        <v>23</v>
      </c>
      <c r="L573" s="52">
        <v>6</v>
      </c>
      <c r="M573" s="52"/>
      <c r="N573" s="53" t="s">
        <v>2716</v>
      </c>
      <c r="O573" s="53" t="s">
        <v>2717</v>
      </c>
      <c r="P573" s="52"/>
      <c r="Q573" s="54"/>
      <c r="R573" s="55" t="s">
        <v>788</v>
      </c>
      <c r="S573" s="51" t="s">
        <v>1518</v>
      </c>
      <c r="T573" s="55" t="s">
        <v>2584</v>
      </c>
      <c r="U573" s="55" t="s">
        <v>2641</v>
      </c>
      <c r="V573" s="55" t="s">
        <v>2718</v>
      </c>
      <c r="W573" s="82" t="s">
        <v>2719</v>
      </c>
      <c r="X573" s="55" t="s">
        <v>2532</v>
      </c>
      <c r="Y573" s="53" t="s">
        <v>2644</v>
      </c>
      <c r="Z573" s="53" t="s">
        <v>2720</v>
      </c>
      <c r="AA573" s="60" t="s">
        <v>2646</v>
      </c>
    </row>
    <row r="574" spans="2:27" ht="80.25" hidden="1" customHeight="1" x14ac:dyDescent="0.35">
      <c r="B574" s="51" t="s">
        <v>64</v>
      </c>
      <c r="C574" s="51" t="s">
        <v>2527</v>
      </c>
      <c r="D574" s="51" t="s">
        <v>65</v>
      </c>
      <c r="E574" s="52">
        <v>1</v>
      </c>
      <c r="F574" s="51" t="s">
        <v>744</v>
      </c>
      <c r="G574" s="51" t="s">
        <v>1522</v>
      </c>
      <c r="H574" s="54" t="s">
        <v>746</v>
      </c>
      <c r="I574" s="52">
        <v>37</v>
      </c>
      <c r="J574" s="51" t="s">
        <v>123</v>
      </c>
      <c r="K574" s="52">
        <v>3</v>
      </c>
      <c r="L574" s="52"/>
      <c r="M574" s="52"/>
      <c r="N574" s="53" t="s">
        <v>2191</v>
      </c>
      <c r="O574" s="53" t="s">
        <v>748</v>
      </c>
      <c r="P574" s="52"/>
      <c r="Q574" s="53" t="s">
        <v>2721</v>
      </c>
      <c r="R574" s="53"/>
      <c r="S574" s="54"/>
      <c r="T574" s="175" t="s">
        <v>2606</v>
      </c>
      <c r="U574" s="90" t="s">
        <v>2687</v>
      </c>
      <c r="V574" s="55" t="s">
        <v>2688</v>
      </c>
      <c r="W574" s="82" t="s">
        <v>2722</v>
      </c>
      <c r="X574" s="55" t="s">
        <v>2532</v>
      </c>
      <c r="Y574" s="53" t="s">
        <v>2723</v>
      </c>
      <c r="Z574" s="53" t="s">
        <v>2724</v>
      </c>
      <c r="AA574" s="60" t="s">
        <v>351</v>
      </c>
    </row>
    <row r="575" spans="2:27" ht="80.25" hidden="1" customHeight="1" x14ac:dyDescent="0.35">
      <c r="B575" s="51" t="s">
        <v>64</v>
      </c>
      <c r="C575" s="51" t="s">
        <v>2527</v>
      </c>
      <c r="D575" s="51" t="s">
        <v>65</v>
      </c>
      <c r="E575" s="52">
        <v>1</v>
      </c>
      <c r="F575" s="51" t="s">
        <v>755</v>
      </c>
      <c r="G575" s="51" t="s">
        <v>756</v>
      </c>
      <c r="H575" s="54" t="s">
        <v>746</v>
      </c>
      <c r="I575" s="52">
        <v>38</v>
      </c>
      <c r="J575" s="51" t="s">
        <v>123</v>
      </c>
      <c r="K575" s="52">
        <v>20</v>
      </c>
      <c r="L575" s="52"/>
      <c r="M575" s="52"/>
      <c r="N575" s="53" t="s">
        <v>1698</v>
      </c>
      <c r="O575" s="53" t="s">
        <v>758</v>
      </c>
      <c r="P575" s="52"/>
      <c r="Q575" s="53" t="s">
        <v>2692</v>
      </c>
      <c r="R575" s="53"/>
      <c r="S575" s="54"/>
      <c r="T575" s="175" t="s">
        <v>2693</v>
      </c>
      <c r="U575" s="90" t="s">
        <v>2694</v>
      </c>
      <c r="V575" s="55" t="s">
        <v>2695</v>
      </c>
      <c r="W575" s="82" t="s">
        <v>2725</v>
      </c>
      <c r="X575" s="55" t="s">
        <v>2540</v>
      </c>
      <c r="Y575" s="53" t="s">
        <v>2697</v>
      </c>
      <c r="Z575" s="53" t="s">
        <v>2698</v>
      </c>
      <c r="AA575" s="60" t="s">
        <v>2699</v>
      </c>
    </row>
    <row r="576" spans="2:27" ht="80.25" hidden="1" customHeight="1" x14ac:dyDescent="0.35">
      <c r="B576" s="51" t="s">
        <v>64</v>
      </c>
      <c r="C576" s="51" t="s">
        <v>2527</v>
      </c>
      <c r="D576" s="51" t="s">
        <v>65</v>
      </c>
      <c r="E576" s="52">
        <v>1</v>
      </c>
      <c r="F576" s="51" t="s">
        <v>765</v>
      </c>
      <c r="G576" s="51" t="s">
        <v>766</v>
      </c>
      <c r="H576" s="54" t="s">
        <v>767</v>
      </c>
      <c r="I576" s="52">
        <v>39</v>
      </c>
      <c r="J576" s="51" t="s">
        <v>250</v>
      </c>
      <c r="K576" s="52">
        <v>23</v>
      </c>
      <c r="L576" s="52">
        <v>6</v>
      </c>
      <c r="M576" s="52"/>
      <c r="N576" s="53" t="s">
        <v>2198</v>
      </c>
      <c r="O576" s="53" t="s">
        <v>769</v>
      </c>
      <c r="P576" s="52"/>
      <c r="Q576" s="54"/>
      <c r="R576" s="53"/>
      <c r="S576" s="54"/>
      <c r="T576" s="175" t="s">
        <v>2653</v>
      </c>
      <c r="U576" s="90" t="s">
        <v>2700</v>
      </c>
      <c r="V576" s="55" t="s">
        <v>2701</v>
      </c>
      <c r="W576" s="82" t="s">
        <v>2726</v>
      </c>
      <c r="X576" s="55" t="s">
        <v>2532</v>
      </c>
      <c r="Y576" s="53" t="s">
        <v>2703</v>
      </c>
      <c r="Z576" s="53" t="s">
        <v>2704</v>
      </c>
      <c r="AA576" s="60" t="s">
        <v>2727</v>
      </c>
    </row>
    <row r="577" spans="2:27" ht="80.25" hidden="1" customHeight="1" x14ac:dyDescent="0.35">
      <c r="B577" s="51" t="s">
        <v>64</v>
      </c>
      <c r="C577" s="51" t="s">
        <v>2527</v>
      </c>
      <c r="D577" s="51" t="s">
        <v>65</v>
      </c>
      <c r="E577" s="52">
        <v>1</v>
      </c>
      <c r="F577" s="51" t="s">
        <v>775</v>
      </c>
      <c r="G577" s="51" t="s">
        <v>776</v>
      </c>
      <c r="H577" s="54" t="s">
        <v>767</v>
      </c>
      <c r="I577" s="52">
        <v>40</v>
      </c>
      <c r="J577" s="51" t="s">
        <v>250</v>
      </c>
      <c r="K577" s="52">
        <v>23</v>
      </c>
      <c r="L577" s="52">
        <v>6</v>
      </c>
      <c r="M577" s="52"/>
      <c r="N577" s="53" t="s">
        <v>777</v>
      </c>
      <c r="O577" s="53" t="s">
        <v>778</v>
      </c>
      <c r="P577" s="52"/>
      <c r="Q577" s="54"/>
      <c r="R577" s="53"/>
      <c r="S577" s="54"/>
      <c r="T577" s="175" t="s">
        <v>2606</v>
      </c>
      <c r="U577" s="90" t="s">
        <v>2706</v>
      </c>
      <c r="V577" s="55" t="s">
        <v>2707</v>
      </c>
      <c r="W577" s="82" t="s">
        <v>2728</v>
      </c>
      <c r="X577" s="55" t="s">
        <v>2532</v>
      </c>
      <c r="Y577" s="53" t="s">
        <v>2709</v>
      </c>
      <c r="Z577" s="53" t="s">
        <v>2710</v>
      </c>
      <c r="AA577" s="60" t="s">
        <v>351</v>
      </c>
    </row>
    <row r="578" spans="2:27" ht="80.25" hidden="1" customHeight="1" x14ac:dyDescent="0.35">
      <c r="B578" s="51" t="s">
        <v>64</v>
      </c>
      <c r="C578" s="51" t="s">
        <v>2527</v>
      </c>
      <c r="D578" s="51" t="s">
        <v>65</v>
      </c>
      <c r="E578" s="52">
        <v>1</v>
      </c>
      <c r="F578" s="51" t="s">
        <v>784</v>
      </c>
      <c r="G578" s="51" t="s">
        <v>785</v>
      </c>
      <c r="H578" s="54" t="s">
        <v>767</v>
      </c>
      <c r="I578" s="52">
        <v>41</v>
      </c>
      <c r="J578" s="51" t="s">
        <v>250</v>
      </c>
      <c r="K578" s="52">
        <v>23</v>
      </c>
      <c r="L578" s="52">
        <v>6</v>
      </c>
      <c r="M578" s="52"/>
      <c r="N578" s="53" t="s">
        <v>2205</v>
      </c>
      <c r="O578" s="53" t="s">
        <v>787</v>
      </c>
      <c r="P578" s="52"/>
      <c r="Q578" s="51"/>
      <c r="R578" s="79"/>
      <c r="S578" s="62"/>
      <c r="T578" s="175" t="s">
        <v>2606</v>
      </c>
      <c r="U578" s="90" t="s">
        <v>2706</v>
      </c>
      <c r="V578" s="55" t="s">
        <v>2711</v>
      </c>
      <c r="W578" s="82" t="s">
        <v>2729</v>
      </c>
      <c r="X578" s="55" t="s">
        <v>2532</v>
      </c>
      <c r="Y578" s="53" t="s">
        <v>2709</v>
      </c>
      <c r="Z578" s="53" t="s">
        <v>2713</v>
      </c>
      <c r="AA578" s="60" t="s">
        <v>351</v>
      </c>
    </row>
    <row r="579" spans="2:27" ht="80.25" hidden="1" customHeight="1" x14ac:dyDescent="0.35">
      <c r="B579" s="51" t="s">
        <v>64</v>
      </c>
      <c r="C579" s="51" t="s">
        <v>2527</v>
      </c>
      <c r="D579" s="51" t="s">
        <v>65</v>
      </c>
      <c r="E579" s="52">
        <v>1</v>
      </c>
      <c r="F579" s="51" t="s">
        <v>2730</v>
      </c>
      <c r="G579" s="51" t="s">
        <v>2731</v>
      </c>
      <c r="H579" s="54" t="s">
        <v>767</v>
      </c>
      <c r="I579" s="52">
        <v>42</v>
      </c>
      <c r="J579" s="51" t="s">
        <v>250</v>
      </c>
      <c r="K579" s="52">
        <v>23</v>
      </c>
      <c r="L579" s="52">
        <v>6</v>
      </c>
      <c r="M579" s="52"/>
      <c r="N579" s="53" t="s">
        <v>2732</v>
      </c>
      <c r="O579" s="53" t="s">
        <v>2733</v>
      </c>
      <c r="P579" s="52"/>
      <c r="Q579" s="54"/>
      <c r="R579" s="55" t="s">
        <v>788</v>
      </c>
      <c r="S579" s="51" t="s">
        <v>789</v>
      </c>
      <c r="T579" s="55" t="s">
        <v>2584</v>
      </c>
      <c r="U579" s="55" t="s">
        <v>2641</v>
      </c>
      <c r="V579" s="55" t="s">
        <v>2718</v>
      </c>
      <c r="W579" s="82" t="s">
        <v>2734</v>
      </c>
      <c r="X579" s="55" t="s">
        <v>2532</v>
      </c>
      <c r="Y579" s="53" t="s">
        <v>2644</v>
      </c>
      <c r="Z579" s="53" t="s">
        <v>2720</v>
      </c>
      <c r="AA579" s="60" t="s">
        <v>2646</v>
      </c>
    </row>
    <row r="580" spans="2:27" ht="80.25" hidden="1" customHeight="1" x14ac:dyDescent="0.35">
      <c r="B580" s="51" t="s">
        <v>64</v>
      </c>
      <c r="C580" s="51" t="s">
        <v>2527</v>
      </c>
      <c r="D580" s="51" t="s">
        <v>65</v>
      </c>
      <c r="E580" s="52">
        <v>1</v>
      </c>
      <c r="F580" s="51" t="s">
        <v>293</v>
      </c>
      <c r="G580" s="51" t="s">
        <v>294</v>
      </c>
      <c r="H580" s="54" t="s">
        <v>295</v>
      </c>
      <c r="I580" s="52">
        <v>43</v>
      </c>
      <c r="J580" s="51" t="s">
        <v>123</v>
      </c>
      <c r="K580" s="52">
        <v>4</v>
      </c>
      <c r="L580" s="52"/>
      <c r="M580" s="52"/>
      <c r="N580" s="53" t="s">
        <v>296</v>
      </c>
      <c r="O580" s="53" t="s">
        <v>297</v>
      </c>
      <c r="P580" s="52"/>
      <c r="Q580" s="53" t="s">
        <v>2735</v>
      </c>
      <c r="R580" s="55" t="s">
        <v>299</v>
      </c>
      <c r="S580" s="51" t="s">
        <v>300</v>
      </c>
      <c r="T580" s="55" t="s">
        <v>2528</v>
      </c>
      <c r="U580" s="55" t="s">
        <v>2529</v>
      </c>
      <c r="V580" s="55" t="s">
        <v>2530</v>
      </c>
      <c r="W580" s="355" t="s">
        <v>2736</v>
      </c>
      <c r="X580" s="55" t="s">
        <v>2540</v>
      </c>
      <c r="Y580" s="53" t="s">
        <v>2737</v>
      </c>
      <c r="Z580" s="53" t="s">
        <v>2738</v>
      </c>
      <c r="AA580" s="60" t="s">
        <v>2543</v>
      </c>
    </row>
    <row r="581" spans="2:27" ht="80.25" customHeight="1" x14ac:dyDescent="0.35">
      <c r="B581" s="51" t="s">
        <v>64</v>
      </c>
      <c r="C581" s="51" t="s">
        <v>2527</v>
      </c>
      <c r="D581" s="51" t="s">
        <v>65</v>
      </c>
      <c r="E581" s="52">
        <v>1</v>
      </c>
      <c r="F581" s="51" t="s">
        <v>304</v>
      </c>
      <c r="G581" s="51" t="s">
        <v>305</v>
      </c>
      <c r="H581" s="54" t="s">
        <v>295</v>
      </c>
      <c r="I581" s="52">
        <v>44</v>
      </c>
      <c r="J581" s="51" t="s">
        <v>123</v>
      </c>
      <c r="K581" s="52">
        <v>4</v>
      </c>
      <c r="L581" s="52"/>
      <c r="M581" s="52"/>
      <c r="N581" s="53" t="s">
        <v>306</v>
      </c>
      <c r="O581" s="53" t="s">
        <v>307</v>
      </c>
      <c r="P581" s="52"/>
      <c r="Q581" s="55" t="s">
        <v>2739</v>
      </c>
      <c r="R581" s="55" t="s">
        <v>203</v>
      </c>
      <c r="S581" s="51" t="s">
        <v>309</v>
      </c>
      <c r="T581" s="55" t="s">
        <v>2740</v>
      </c>
      <c r="U581" s="55" t="s">
        <v>2741</v>
      </c>
      <c r="V581" s="55" t="s">
        <v>1777</v>
      </c>
      <c r="W581" s="82" t="s">
        <v>2742</v>
      </c>
      <c r="X581" s="55" t="s">
        <v>2743</v>
      </c>
      <c r="Y581" s="53" t="s">
        <v>2744</v>
      </c>
      <c r="Z581" s="53" t="s">
        <v>2745</v>
      </c>
      <c r="AA581" s="60" t="s">
        <v>351</v>
      </c>
    </row>
    <row r="582" spans="2:27" ht="80.25" hidden="1" customHeight="1" x14ac:dyDescent="0.35">
      <c r="B582" s="51" t="s">
        <v>64</v>
      </c>
      <c r="C582" s="51" t="s">
        <v>2527</v>
      </c>
      <c r="D582" s="51" t="s">
        <v>65</v>
      </c>
      <c r="E582" s="52">
        <v>1</v>
      </c>
      <c r="F582" s="51" t="s">
        <v>317</v>
      </c>
      <c r="G582" s="51" t="s">
        <v>318</v>
      </c>
      <c r="H582" s="51" t="s">
        <v>319</v>
      </c>
      <c r="I582" s="52">
        <v>45</v>
      </c>
      <c r="J582" s="51" t="s">
        <v>123</v>
      </c>
      <c r="K582" s="52">
        <v>2</v>
      </c>
      <c r="L582" s="52"/>
      <c r="M582" s="52"/>
      <c r="N582" s="53" t="s">
        <v>320</v>
      </c>
      <c r="O582" s="53" t="s">
        <v>321</v>
      </c>
      <c r="P582" s="52"/>
      <c r="Q582" s="53" t="s">
        <v>2746</v>
      </c>
      <c r="R582" s="55"/>
      <c r="S582" s="51"/>
      <c r="T582" s="55" t="s">
        <v>2564</v>
      </c>
      <c r="U582" s="55" t="s">
        <v>2565</v>
      </c>
      <c r="V582" s="55" t="s">
        <v>134</v>
      </c>
      <c r="W582" s="82" t="s">
        <v>2747</v>
      </c>
      <c r="X582" s="55" t="s">
        <v>2572</v>
      </c>
      <c r="Y582" s="53" t="s">
        <v>2575</v>
      </c>
      <c r="Z582" s="53" t="s">
        <v>2575</v>
      </c>
      <c r="AA582" s="60" t="s">
        <v>2748</v>
      </c>
    </row>
    <row r="583" spans="2:27" ht="80.25" hidden="1" customHeight="1" x14ac:dyDescent="0.35">
      <c r="B583" s="51" t="s">
        <v>64</v>
      </c>
      <c r="C583" s="51" t="s">
        <v>2527</v>
      </c>
      <c r="D583" s="51" t="s">
        <v>65</v>
      </c>
      <c r="E583" s="52">
        <v>1</v>
      </c>
      <c r="F583" s="51" t="s">
        <v>326</v>
      </c>
      <c r="G583" s="51" t="s">
        <v>327</v>
      </c>
      <c r="H583" s="51" t="s">
        <v>328</v>
      </c>
      <c r="I583" s="52">
        <v>46</v>
      </c>
      <c r="J583" s="51" t="s">
        <v>123</v>
      </c>
      <c r="K583" s="52">
        <v>10</v>
      </c>
      <c r="L583" s="52"/>
      <c r="M583" s="52"/>
      <c r="N583" s="53" t="s">
        <v>329</v>
      </c>
      <c r="O583" s="53" t="s">
        <v>361</v>
      </c>
      <c r="P583" s="52" t="s">
        <v>126</v>
      </c>
      <c r="Q583" s="51"/>
      <c r="R583" s="55" t="s">
        <v>275</v>
      </c>
      <c r="S583" s="51" t="s">
        <v>803</v>
      </c>
      <c r="T583" s="55" t="s">
        <v>2564</v>
      </c>
      <c r="U583" s="55" t="s">
        <v>2565</v>
      </c>
      <c r="V583" s="55" t="s">
        <v>2749</v>
      </c>
      <c r="W583" s="82" t="s">
        <v>2750</v>
      </c>
      <c r="X583" s="55" t="s">
        <v>351</v>
      </c>
      <c r="Y583" s="55" t="s">
        <v>351</v>
      </c>
      <c r="Z583" s="55" t="s">
        <v>351</v>
      </c>
      <c r="AA583" s="60" t="s">
        <v>351</v>
      </c>
    </row>
    <row r="584" spans="2:27" ht="80.25" hidden="1" customHeight="1" x14ac:dyDescent="0.35">
      <c r="B584" s="51" t="s">
        <v>64</v>
      </c>
      <c r="C584" s="51" t="s">
        <v>2527</v>
      </c>
      <c r="D584" s="51" t="s">
        <v>65</v>
      </c>
      <c r="E584" s="52">
        <v>1</v>
      </c>
      <c r="F584" s="51" t="s">
        <v>333</v>
      </c>
      <c r="G584" s="51" t="s">
        <v>334</v>
      </c>
      <c r="H584" s="51" t="s">
        <v>335</v>
      </c>
      <c r="I584" s="52">
        <v>47</v>
      </c>
      <c r="J584" s="51" t="s">
        <v>336</v>
      </c>
      <c r="K584" s="52">
        <v>23</v>
      </c>
      <c r="L584" s="52"/>
      <c r="M584" s="52"/>
      <c r="N584" s="53" t="s">
        <v>337</v>
      </c>
      <c r="O584" s="53" t="s">
        <v>338</v>
      </c>
      <c r="P584" s="52"/>
      <c r="Q584" s="51"/>
      <c r="R584" s="55"/>
      <c r="S584" s="51"/>
      <c r="T584" s="55" t="s">
        <v>2564</v>
      </c>
      <c r="U584" s="55" t="s">
        <v>2565</v>
      </c>
      <c r="V584" s="55" t="s">
        <v>134</v>
      </c>
      <c r="W584" s="82" t="s">
        <v>2751</v>
      </c>
      <c r="X584" s="55" t="s">
        <v>351</v>
      </c>
      <c r="Y584" s="55" t="s">
        <v>351</v>
      </c>
      <c r="Z584" s="55" t="s">
        <v>351</v>
      </c>
      <c r="AA584" s="60" t="s">
        <v>351</v>
      </c>
    </row>
    <row r="585" spans="2:27" ht="80.25" hidden="1" customHeight="1" x14ac:dyDescent="0.35">
      <c r="B585" s="51" t="s">
        <v>340</v>
      </c>
      <c r="C585" s="62" t="s">
        <v>2752</v>
      </c>
      <c r="D585" s="62" t="s">
        <v>2753</v>
      </c>
      <c r="E585" s="325">
        <v>0</v>
      </c>
      <c r="F585" s="51" t="s">
        <v>120</v>
      </c>
      <c r="G585" s="51" t="s">
        <v>121</v>
      </c>
      <c r="H585" s="79" t="s">
        <v>122</v>
      </c>
      <c r="I585" s="325">
        <v>1</v>
      </c>
      <c r="J585" s="62" t="s">
        <v>123</v>
      </c>
      <c r="K585" s="325">
        <v>2</v>
      </c>
      <c r="L585" s="325"/>
      <c r="M585" s="350"/>
      <c r="N585" s="328" t="s">
        <v>124</v>
      </c>
      <c r="O585" s="53" t="s">
        <v>125</v>
      </c>
      <c r="P585" s="325" t="s">
        <v>126</v>
      </c>
      <c r="Q585" s="62"/>
      <c r="R585" s="55"/>
      <c r="S585" s="51"/>
      <c r="T585" s="55" t="s">
        <v>2754</v>
      </c>
      <c r="U585" s="55" t="s">
        <v>2755</v>
      </c>
      <c r="V585" s="55" t="s">
        <v>323</v>
      </c>
      <c r="W585" s="82" t="s">
        <v>2756</v>
      </c>
      <c r="X585" s="51"/>
      <c r="Y585" s="51"/>
      <c r="Z585" s="51"/>
      <c r="AA585" s="52"/>
    </row>
    <row r="586" spans="2:27" ht="80.25" hidden="1" customHeight="1" x14ac:dyDescent="0.35">
      <c r="B586" s="51" t="s">
        <v>340</v>
      </c>
      <c r="C586" s="62" t="s">
        <v>2752</v>
      </c>
      <c r="D586" s="62" t="s">
        <v>2753</v>
      </c>
      <c r="E586" s="325">
        <v>0</v>
      </c>
      <c r="F586" s="62" t="s">
        <v>136</v>
      </c>
      <c r="G586" s="62" t="s">
        <v>137</v>
      </c>
      <c r="H586" s="79" t="s">
        <v>122</v>
      </c>
      <c r="I586" s="325">
        <v>2</v>
      </c>
      <c r="J586" s="62" t="s">
        <v>123</v>
      </c>
      <c r="K586" s="325">
        <v>30</v>
      </c>
      <c r="L586" s="325"/>
      <c r="M586" s="350"/>
      <c r="N586" s="53" t="s">
        <v>138</v>
      </c>
      <c r="O586" s="53" t="s">
        <v>139</v>
      </c>
      <c r="P586" s="325" t="s">
        <v>126</v>
      </c>
      <c r="Q586" s="62"/>
      <c r="R586" s="55"/>
      <c r="S586" s="51"/>
      <c r="T586" s="55" t="s">
        <v>2757</v>
      </c>
      <c r="U586" s="55" t="s">
        <v>2758</v>
      </c>
      <c r="V586" s="55" t="s">
        <v>2759</v>
      </c>
      <c r="W586" s="82" t="s">
        <v>2760</v>
      </c>
      <c r="X586" s="51"/>
      <c r="Y586" s="51"/>
      <c r="Z586" s="51"/>
      <c r="AA586" s="52"/>
    </row>
    <row r="587" spans="2:27" ht="80.25" hidden="1" customHeight="1" x14ac:dyDescent="0.35">
      <c r="B587" s="51" t="s">
        <v>340</v>
      </c>
      <c r="C587" s="62" t="s">
        <v>2752</v>
      </c>
      <c r="D587" s="62" t="s">
        <v>2753</v>
      </c>
      <c r="E587" s="325">
        <v>0</v>
      </c>
      <c r="F587" s="62" t="s">
        <v>352</v>
      </c>
      <c r="G587" s="62" t="s">
        <v>353</v>
      </c>
      <c r="H587" s="51" t="s">
        <v>240</v>
      </c>
      <c r="I587" s="325">
        <v>3</v>
      </c>
      <c r="J587" s="62" t="s">
        <v>123</v>
      </c>
      <c r="K587" s="325">
        <v>4</v>
      </c>
      <c r="L587" s="325"/>
      <c r="M587" s="350"/>
      <c r="N587" s="53" t="s">
        <v>354</v>
      </c>
      <c r="O587" s="53" t="s">
        <v>355</v>
      </c>
      <c r="P587" s="325"/>
      <c r="Q587" s="62"/>
      <c r="R587" s="55"/>
      <c r="S587" s="51"/>
      <c r="T587" s="55" t="s">
        <v>2754</v>
      </c>
      <c r="U587" s="55" t="s">
        <v>2755</v>
      </c>
      <c r="V587" s="55" t="s">
        <v>323</v>
      </c>
      <c r="W587" s="82" t="s">
        <v>2761</v>
      </c>
      <c r="X587" s="51"/>
      <c r="Y587" s="51"/>
      <c r="Z587" s="51"/>
      <c r="AA587" s="52"/>
    </row>
    <row r="588" spans="2:27" ht="80.25" hidden="1" customHeight="1" x14ac:dyDescent="0.35">
      <c r="B588" s="51" t="s">
        <v>340</v>
      </c>
      <c r="C588" s="62" t="s">
        <v>2752</v>
      </c>
      <c r="D588" s="62" t="s">
        <v>2753</v>
      </c>
      <c r="E588" s="325">
        <v>0</v>
      </c>
      <c r="F588" s="62" t="s">
        <v>317</v>
      </c>
      <c r="G588" s="62" t="s">
        <v>318</v>
      </c>
      <c r="H588" s="51" t="s">
        <v>319</v>
      </c>
      <c r="I588" s="325">
        <v>4</v>
      </c>
      <c r="J588" s="62" t="s">
        <v>123</v>
      </c>
      <c r="K588" s="325">
        <v>4</v>
      </c>
      <c r="L588" s="325"/>
      <c r="M588" s="350"/>
      <c r="N588" s="53" t="s">
        <v>320</v>
      </c>
      <c r="O588" s="53" t="s">
        <v>321</v>
      </c>
      <c r="P588" s="325" t="s">
        <v>126</v>
      </c>
      <c r="Q588" s="62"/>
      <c r="R588" s="55"/>
      <c r="S588" s="51"/>
      <c r="T588" s="55" t="s">
        <v>2754</v>
      </c>
      <c r="U588" s="55" t="s">
        <v>2755</v>
      </c>
      <c r="V588" s="55" t="s">
        <v>323</v>
      </c>
      <c r="W588" s="82" t="s">
        <v>2762</v>
      </c>
      <c r="X588" s="51"/>
      <c r="Y588" s="51"/>
      <c r="Z588" s="51"/>
      <c r="AA588" s="52"/>
    </row>
    <row r="589" spans="2:27" ht="80.25" hidden="1" customHeight="1" x14ac:dyDescent="0.35">
      <c r="B589" s="51" t="s">
        <v>340</v>
      </c>
      <c r="C589" s="62" t="s">
        <v>2752</v>
      </c>
      <c r="D589" s="62" t="s">
        <v>2753</v>
      </c>
      <c r="E589" s="325">
        <v>0</v>
      </c>
      <c r="F589" s="51" t="s">
        <v>326</v>
      </c>
      <c r="G589" s="51" t="s">
        <v>327</v>
      </c>
      <c r="H589" s="51" t="s">
        <v>335</v>
      </c>
      <c r="I589" s="325">
        <v>5</v>
      </c>
      <c r="J589" s="62" t="s">
        <v>123</v>
      </c>
      <c r="K589" s="325">
        <v>10</v>
      </c>
      <c r="L589" s="325"/>
      <c r="M589" s="350"/>
      <c r="N589" s="53" t="s">
        <v>329</v>
      </c>
      <c r="O589" s="53" t="s">
        <v>361</v>
      </c>
      <c r="P589" s="325"/>
      <c r="Q589" s="62"/>
      <c r="R589" s="55"/>
      <c r="S589" s="51"/>
      <c r="T589" s="55" t="s">
        <v>2754</v>
      </c>
      <c r="U589" s="55" t="s">
        <v>2755</v>
      </c>
      <c r="V589" s="55" t="s">
        <v>323</v>
      </c>
      <c r="W589" s="82" t="s">
        <v>2763</v>
      </c>
      <c r="X589" s="51"/>
      <c r="Y589" s="51"/>
      <c r="Z589" s="51"/>
      <c r="AA589" s="52"/>
    </row>
    <row r="590" spans="2:27" ht="80.25" hidden="1" customHeight="1" x14ac:dyDescent="0.35">
      <c r="B590" s="51" t="s">
        <v>340</v>
      </c>
      <c r="C590" s="62" t="s">
        <v>2752</v>
      </c>
      <c r="D590" s="62" t="s">
        <v>2753</v>
      </c>
      <c r="E590" s="325">
        <v>0</v>
      </c>
      <c r="F590" s="51" t="s">
        <v>333</v>
      </c>
      <c r="G590" s="51" t="s">
        <v>334</v>
      </c>
      <c r="H590" s="51" t="s">
        <v>335</v>
      </c>
      <c r="I590" s="325">
        <v>6</v>
      </c>
      <c r="J590" s="51" t="s">
        <v>336</v>
      </c>
      <c r="K590" s="52">
        <v>23</v>
      </c>
      <c r="L590" s="325"/>
      <c r="M590" s="350"/>
      <c r="N590" s="53" t="s">
        <v>337</v>
      </c>
      <c r="O590" s="53" t="s">
        <v>338</v>
      </c>
      <c r="P590" s="325"/>
      <c r="Q590" s="62"/>
      <c r="R590" s="55"/>
      <c r="S590" s="51"/>
      <c r="T590" s="55" t="s">
        <v>2754</v>
      </c>
      <c r="U590" s="55" t="s">
        <v>2755</v>
      </c>
      <c r="V590" s="55" t="s">
        <v>323</v>
      </c>
      <c r="W590" s="82" t="s">
        <v>2764</v>
      </c>
      <c r="X590" s="51"/>
      <c r="Y590" s="51"/>
      <c r="Z590" s="51"/>
      <c r="AA590" s="52"/>
    </row>
    <row r="591" spans="2:27" ht="80.25" hidden="1" customHeight="1" x14ac:dyDescent="0.35">
      <c r="B591" s="51" t="s">
        <v>67</v>
      </c>
      <c r="C591" s="51" t="s">
        <v>2765</v>
      </c>
      <c r="D591" s="51" t="s">
        <v>68</v>
      </c>
      <c r="E591" s="52">
        <v>1</v>
      </c>
      <c r="F591" s="51" t="s">
        <v>120</v>
      </c>
      <c r="G591" s="51" t="s">
        <v>121</v>
      </c>
      <c r="H591" s="51" t="s">
        <v>122</v>
      </c>
      <c r="I591" s="52">
        <v>1</v>
      </c>
      <c r="J591" s="51" t="s">
        <v>123</v>
      </c>
      <c r="K591" s="52">
        <v>4</v>
      </c>
      <c r="L591" s="52"/>
      <c r="M591" s="52"/>
      <c r="N591" s="328" t="s">
        <v>124</v>
      </c>
      <c r="O591" s="53" t="s">
        <v>125</v>
      </c>
      <c r="P591" s="52" t="s">
        <v>126</v>
      </c>
      <c r="Q591" s="51"/>
      <c r="R591" s="55" t="s">
        <v>127</v>
      </c>
      <c r="S591" s="55" t="s">
        <v>2138</v>
      </c>
      <c r="T591" s="55" t="s">
        <v>1575</v>
      </c>
      <c r="U591" s="55" t="s">
        <v>1576</v>
      </c>
      <c r="V591" s="55" t="s">
        <v>555</v>
      </c>
      <c r="W591" s="82" t="s">
        <v>2766</v>
      </c>
      <c r="X591" s="51" t="s">
        <v>1585</v>
      </c>
      <c r="Y591" s="54" t="s">
        <v>372</v>
      </c>
      <c r="Z591" s="54" t="s">
        <v>372</v>
      </c>
      <c r="AA591" s="52" t="s">
        <v>373</v>
      </c>
    </row>
    <row r="592" spans="2:27" ht="80.25" hidden="1" customHeight="1" x14ac:dyDescent="0.35">
      <c r="B592" s="51" t="s">
        <v>67</v>
      </c>
      <c r="C592" s="51" t="s">
        <v>2765</v>
      </c>
      <c r="D592" s="51" t="s">
        <v>68</v>
      </c>
      <c r="E592" s="52">
        <v>1</v>
      </c>
      <c r="F592" s="51" t="s">
        <v>136</v>
      </c>
      <c r="G592" s="51" t="s">
        <v>137</v>
      </c>
      <c r="H592" s="51" t="s">
        <v>122</v>
      </c>
      <c r="I592" s="52">
        <v>2</v>
      </c>
      <c r="J592" s="51" t="s">
        <v>123</v>
      </c>
      <c r="K592" s="52">
        <v>30</v>
      </c>
      <c r="L592" s="52"/>
      <c r="M592" s="52"/>
      <c r="N592" s="53" t="s">
        <v>138</v>
      </c>
      <c r="O592" s="53" t="s">
        <v>139</v>
      </c>
      <c r="P592" s="52" t="s">
        <v>126</v>
      </c>
      <c r="Q592" s="51"/>
      <c r="R592" s="55" t="s">
        <v>127</v>
      </c>
      <c r="S592" s="55" t="s">
        <v>2138</v>
      </c>
      <c r="T592" s="55" t="s">
        <v>1578</v>
      </c>
      <c r="U592" s="55" t="s">
        <v>1579</v>
      </c>
      <c r="V592" s="55" t="s">
        <v>1580</v>
      </c>
      <c r="W592" s="82" t="s">
        <v>2767</v>
      </c>
      <c r="X592" s="51" t="s">
        <v>1585</v>
      </c>
      <c r="Y592" s="54" t="s">
        <v>1582</v>
      </c>
      <c r="Z592" s="54" t="s">
        <v>1583</v>
      </c>
      <c r="AA592" s="52" t="s">
        <v>372</v>
      </c>
    </row>
    <row r="593" spans="2:27" ht="80.25" hidden="1" customHeight="1" x14ac:dyDescent="0.35">
      <c r="B593" s="51" t="s">
        <v>67</v>
      </c>
      <c r="C593" s="51" t="s">
        <v>2765</v>
      </c>
      <c r="D593" s="51" t="s">
        <v>68</v>
      </c>
      <c r="E593" s="52">
        <v>1</v>
      </c>
      <c r="F593" s="51" t="s">
        <v>148</v>
      </c>
      <c r="G593" s="51" t="s">
        <v>149</v>
      </c>
      <c r="H593" s="54" t="s">
        <v>150</v>
      </c>
      <c r="I593" s="52">
        <v>3</v>
      </c>
      <c r="J593" s="51" t="s">
        <v>123</v>
      </c>
      <c r="K593" s="52">
        <v>4</v>
      </c>
      <c r="L593" s="52"/>
      <c r="M593" s="52"/>
      <c r="N593" s="53" t="s">
        <v>151</v>
      </c>
      <c r="O593" s="53" t="s">
        <v>152</v>
      </c>
      <c r="P593" s="52"/>
      <c r="Q593" s="53" t="s">
        <v>586</v>
      </c>
      <c r="R593" s="55"/>
      <c r="S593" s="51"/>
      <c r="T593" s="55" t="s">
        <v>1575</v>
      </c>
      <c r="U593" s="55" t="s">
        <v>1576</v>
      </c>
      <c r="V593" s="55" t="s">
        <v>555</v>
      </c>
      <c r="W593" s="82" t="s">
        <v>2768</v>
      </c>
      <c r="X593" s="55" t="s">
        <v>1585</v>
      </c>
      <c r="Y593" s="53" t="s">
        <v>1582</v>
      </c>
      <c r="Z593" s="55" t="s">
        <v>1586</v>
      </c>
      <c r="AA593" s="52" t="s">
        <v>372</v>
      </c>
    </row>
    <row r="594" spans="2:27" ht="80.25" hidden="1" customHeight="1" x14ac:dyDescent="0.35">
      <c r="B594" s="51" t="s">
        <v>67</v>
      </c>
      <c r="C594" s="51" t="s">
        <v>2765</v>
      </c>
      <c r="D594" s="51" t="s">
        <v>68</v>
      </c>
      <c r="E594" s="52">
        <v>1</v>
      </c>
      <c r="F594" s="51" t="s">
        <v>155</v>
      </c>
      <c r="G594" s="51" t="s">
        <v>156</v>
      </c>
      <c r="H594" s="54" t="s">
        <v>150</v>
      </c>
      <c r="I594" s="52">
        <v>3</v>
      </c>
      <c r="J594" s="51" t="s">
        <v>123</v>
      </c>
      <c r="K594" s="52">
        <v>4</v>
      </c>
      <c r="L594" s="52"/>
      <c r="M594" s="52"/>
      <c r="N594" s="53" t="s">
        <v>157</v>
      </c>
      <c r="O594" s="53" t="s">
        <v>158</v>
      </c>
      <c r="P594" s="52"/>
      <c r="Q594" s="55" t="s">
        <v>2769</v>
      </c>
      <c r="R594" s="55" t="s">
        <v>160</v>
      </c>
      <c r="S594" s="55" t="s">
        <v>161</v>
      </c>
      <c r="T594" s="55" t="s">
        <v>1578</v>
      </c>
      <c r="U594" s="55" t="s">
        <v>1579</v>
      </c>
      <c r="V594" s="55" t="s">
        <v>2230</v>
      </c>
      <c r="W594" s="82" t="s">
        <v>2770</v>
      </c>
      <c r="X594" s="51" t="s">
        <v>1585</v>
      </c>
      <c r="Y594" s="54" t="s">
        <v>1582</v>
      </c>
      <c r="Z594" s="54" t="s">
        <v>590</v>
      </c>
      <c r="AA594" s="52" t="s">
        <v>372</v>
      </c>
    </row>
    <row r="595" spans="2:27" ht="80.25" hidden="1" customHeight="1" x14ac:dyDescent="0.35">
      <c r="B595" s="51" t="s">
        <v>67</v>
      </c>
      <c r="C595" s="51" t="s">
        <v>2765</v>
      </c>
      <c r="D595" s="51" t="s">
        <v>68</v>
      </c>
      <c r="E595" s="52">
        <v>1</v>
      </c>
      <c r="F595" s="51" t="s">
        <v>167</v>
      </c>
      <c r="G595" s="51" t="s">
        <v>168</v>
      </c>
      <c r="H595" s="54" t="s">
        <v>150</v>
      </c>
      <c r="I595" s="52">
        <v>3</v>
      </c>
      <c r="J595" s="51" t="s">
        <v>123</v>
      </c>
      <c r="K595" s="52">
        <v>4</v>
      </c>
      <c r="L595" s="52"/>
      <c r="M595" s="52"/>
      <c r="N595" s="53" t="s">
        <v>169</v>
      </c>
      <c r="O595" s="53" t="s">
        <v>170</v>
      </c>
      <c r="P595" s="52"/>
      <c r="Q595" s="55" t="s">
        <v>2771</v>
      </c>
      <c r="R595" s="55" t="s">
        <v>160</v>
      </c>
      <c r="S595" s="55" t="s">
        <v>172</v>
      </c>
      <c r="T595" s="55" t="s">
        <v>1578</v>
      </c>
      <c r="U595" s="55" t="s">
        <v>1579</v>
      </c>
      <c r="V595" s="55" t="s">
        <v>1591</v>
      </c>
      <c r="W595" s="82" t="s">
        <v>2772</v>
      </c>
      <c r="X595" s="51" t="s">
        <v>1585</v>
      </c>
      <c r="Y595" s="54" t="s">
        <v>1582</v>
      </c>
      <c r="Z595" s="54" t="s">
        <v>593</v>
      </c>
      <c r="AA595" s="52" t="s">
        <v>372</v>
      </c>
    </row>
    <row r="596" spans="2:27" ht="80.25" hidden="1" customHeight="1" x14ac:dyDescent="0.35">
      <c r="B596" s="51" t="s">
        <v>67</v>
      </c>
      <c r="C596" s="51" t="s">
        <v>2765</v>
      </c>
      <c r="D596" s="51" t="s">
        <v>68</v>
      </c>
      <c r="E596" s="52">
        <v>1</v>
      </c>
      <c r="F596" s="51" t="s">
        <v>176</v>
      </c>
      <c r="G596" s="51" t="s">
        <v>177</v>
      </c>
      <c r="H596" s="54" t="s">
        <v>150</v>
      </c>
      <c r="I596" s="52">
        <v>6</v>
      </c>
      <c r="J596" s="51" t="s">
        <v>123</v>
      </c>
      <c r="K596" s="52">
        <v>4</v>
      </c>
      <c r="L596" s="52"/>
      <c r="M596" s="52"/>
      <c r="N596" s="76" t="s">
        <v>2773</v>
      </c>
      <c r="O596" s="53" t="s">
        <v>179</v>
      </c>
      <c r="P596" s="52"/>
      <c r="Q596" s="51"/>
      <c r="R596" s="55" t="s">
        <v>203</v>
      </c>
      <c r="S596" s="55" t="s">
        <v>409</v>
      </c>
      <c r="T596" s="55" t="s">
        <v>1575</v>
      </c>
      <c r="U596" s="55" t="s">
        <v>1576</v>
      </c>
      <c r="V596" s="55" t="s">
        <v>555</v>
      </c>
      <c r="W596" s="82" t="s">
        <v>2766</v>
      </c>
      <c r="X596" s="51" t="s">
        <v>1585</v>
      </c>
      <c r="Y596" s="54" t="s">
        <v>372</v>
      </c>
      <c r="Z596" s="54" t="s">
        <v>372</v>
      </c>
      <c r="AA596" s="52" t="s">
        <v>373</v>
      </c>
    </row>
    <row r="597" spans="2:27" ht="80.25" hidden="1" customHeight="1" x14ac:dyDescent="0.35">
      <c r="B597" s="51" t="s">
        <v>67</v>
      </c>
      <c r="C597" s="51" t="s">
        <v>2765</v>
      </c>
      <c r="D597" s="51" t="s">
        <v>68</v>
      </c>
      <c r="E597" s="52">
        <v>1</v>
      </c>
      <c r="F597" s="51" t="s">
        <v>187</v>
      </c>
      <c r="G597" s="51" t="s">
        <v>188</v>
      </c>
      <c r="H597" s="54" t="s">
        <v>150</v>
      </c>
      <c r="I597" s="52">
        <v>7</v>
      </c>
      <c r="J597" s="51" t="s">
        <v>123</v>
      </c>
      <c r="K597" s="52">
        <v>30</v>
      </c>
      <c r="L597" s="52"/>
      <c r="M597" s="52"/>
      <c r="N597" s="53" t="s">
        <v>2774</v>
      </c>
      <c r="O597" s="53" t="s">
        <v>190</v>
      </c>
      <c r="P597" s="52"/>
      <c r="Q597" s="51"/>
      <c r="R597" s="55" t="s">
        <v>203</v>
      </c>
      <c r="S597" s="55" t="s">
        <v>409</v>
      </c>
      <c r="T597" s="55" t="s">
        <v>2775</v>
      </c>
      <c r="U597" s="55" t="s">
        <v>2776</v>
      </c>
      <c r="V597" s="55" t="s">
        <v>2777</v>
      </c>
      <c r="W597" s="82" t="s">
        <v>2778</v>
      </c>
      <c r="X597" s="55" t="s">
        <v>2156</v>
      </c>
      <c r="Y597" s="53" t="s">
        <v>2157</v>
      </c>
      <c r="Z597" s="53" t="s">
        <v>2158</v>
      </c>
      <c r="AA597" s="60" t="s">
        <v>500</v>
      </c>
    </row>
    <row r="598" spans="2:27" ht="80.25" hidden="1" customHeight="1" x14ac:dyDescent="0.35">
      <c r="B598" s="51" t="s">
        <v>67</v>
      </c>
      <c r="C598" s="51" t="s">
        <v>2765</v>
      </c>
      <c r="D598" s="51" t="s">
        <v>68</v>
      </c>
      <c r="E598" s="52">
        <v>1</v>
      </c>
      <c r="F598" s="51" t="s">
        <v>198</v>
      </c>
      <c r="G598" s="51" t="s">
        <v>199</v>
      </c>
      <c r="H598" s="54" t="s">
        <v>200</v>
      </c>
      <c r="I598" s="52">
        <v>8</v>
      </c>
      <c r="J598" s="51" t="s">
        <v>123</v>
      </c>
      <c r="K598" s="52">
        <v>10</v>
      </c>
      <c r="L598" s="52"/>
      <c r="M598" s="52"/>
      <c r="N598" s="53" t="s">
        <v>201</v>
      </c>
      <c r="O598" s="53" t="s">
        <v>202</v>
      </c>
      <c r="P598" s="52"/>
      <c r="Q598" s="51"/>
      <c r="R598" s="55" t="s">
        <v>203</v>
      </c>
      <c r="S598" s="51" t="s">
        <v>198</v>
      </c>
      <c r="T598" s="55" t="s">
        <v>1578</v>
      </c>
      <c r="U598" s="55" t="s">
        <v>1579</v>
      </c>
      <c r="V598" s="55" t="s">
        <v>1593</v>
      </c>
      <c r="W598" s="82" t="s">
        <v>2779</v>
      </c>
      <c r="X598" s="51" t="s">
        <v>1585</v>
      </c>
      <c r="Y598" s="54" t="s">
        <v>1582</v>
      </c>
      <c r="Z598" s="54" t="s">
        <v>630</v>
      </c>
      <c r="AA598" s="52" t="s">
        <v>372</v>
      </c>
    </row>
    <row r="599" spans="2:27" ht="80.25" hidden="1" customHeight="1" x14ac:dyDescent="0.35">
      <c r="B599" s="51" t="s">
        <v>67</v>
      </c>
      <c r="C599" s="51" t="s">
        <v>2765</v>
      </c>
      <c r="D599" s="51" t="s">
        <v>68</v>
      </c>
      <c r="E599" s="52">
        <v>1</v>
      </c>
      <c r="F599" s="51" t="s">
        <v>210</v>
      </c>
      <c r="G599" s="51" t="s">
        <v>211</v>
      </c>
      <c r="H599" s="54" t="s">
        <v>200</v>
      </c>
      <c r="I599" s="52">
        <v>9</v>
      </c>
      <c r="J599" s="51" t="s">
        <v>123</v>
      </c>
      <c r="K599" s="52">
        <v>10</v>
      </c>
      <c r="L599" s="52"/>
      <c r="M599" s="52"/>
      <c r="N599" s="53" t="s">
        <v>212</v>
      </c>
      <c r="O599" s="53" t="s">
        <v>213</v>
      </c>
      <c r="P599" s="52"/>
      <c r="Q599" s="51"/>
      <c r="R599" s="55" t="s">
        <v>214</v>
      </c>
      <c r="S599" s="51" t="s">
        <v>210</v>
      </c>
      <c r="T599" s="55" t="s">
        <v>1578</v>
      </c>
      <c r="U599" s="55" t="s">
        <v>1579</v>
      </c>
      <c r="V599" s="55" t="s">
        <v>1595</v>
      </c>
      <c r="W599" s="82" t="s">
        <v>2780</v>
      </c>
      <c r="X599" s="55" t="s">
        <v>1597</v>
      </c>
      <c r="Y599" s="53" t="s">
        <v>1598</v>
      </c>
      <c r="Z599" s="53" t="s">
        <v>2781</v>
      </c>
      <c r="AA599" s="64" t="s">
        <v>647</v>
      </c>
    </row>
    <row r="600" spans="2:27" ht="80.25" hidden="1" customHeight="1" x14ac:dyDescent="0.35">
      <c r="B600" s="51" t="s">
        <v>67</v>
      </c>
      <c r="C600" s="51" t="s">
        <v>2765</v>
      </c>
      <c r="D600" s="51" t="s">
        <v>68</v>
      </c>
      <c r="E600" s="52">
        <v>1</v>
      </c>
      <c r="F600" s="51" t="s">
        <v>222</v>
      </c>
      <c r="G600" s="51" t="s">
        <v>223</v>
      </c>
      <c r="H600" s="54" t="s">
        <v>224</v>
      </c>
      <c r="I600" s="52">
        <v>10</v>
      </c>
      <c r="J600" s="51" t="s">
        <v>123</v>
      </c>
      <c r="K600" s="52">
        <v>4</v>
      </c>
      <c r="L600" s="52"/>
      <c r="M600" s="52"/>
      <c r="N600" s="53" t="s">
        <v>225</v>
      </c>
      <c r="O600" s="53" t="s">
        <v>226</v>
      </c>
      <c r="P600" s="52"/>
      <c r="Q600" s="55" t="s">
        <v>1277</v>
      </c>
      <c r="R600" s="55" t="s">
        <v>228</v>
      </c>
      <c r="S600" s="55" t="s">
        <v>229</v>
      </c>
      <c r="T600" s="249" t="s">
        <v>1578</v>
      </c>
      <c r="U600" s="249" t="s">
        <v>1579</v>
      </c>
      <c r="V600" s="55" t="s">
        <v>1601</v>
      </c>
      <c r="W600" s="82" t="s">
        <v>2782</v>
      </c>
      <c r="X600" s="51" t="s">
        <v>1585</v>
      </c>
      <c r="Y600" s="54" t="s">
        <v>1582</v>
      </c>
      <c r="Z600" s="54" t="s">
        <v>427</v>
      </c>
      <c r="AA600" s="52" t="s">
        <v>372</v>
      </c>
    </row>
    <row r="601" spans="2:27" ht="80.25" hidden="1" customHeight="1" x14ac:dyDescent="0.35">
      <c r="B601" s="51" t="s">
        <v>67</v>
      </c>
      <c r="C601" s="51" t="s">
        <v>2765</v>
      </c>
      <c r="D601" s="51" t="s">
        <v>68</v>
      </c>
      <c r="E601" s="52">
        <v>1</v>
      </c>
      <c r="F601" s="51" t="s">
        <v>238</v>
      </c>
      <c r="G601" s="51" t="s">
        <v>239</v>
      </c>
      <c r="H601" s="54" t="s">
        <v>240</v>
      </c>
      <c r="I601" s="52">
        <v>11</v>
      </c>
      <c r="J601" s="51" t="s">
        <v>123</v>
      </c>
      <c r="K601" s="52">
        <v>4</v>
      </c>
      <c r="L601" s="52"/>
      <c r="M601" s="52"/>
      <c r="N601" s="53" t="s">
        <v>241</v>
      </c>
      <c r="O601" s="53" t="s">
        <v>242</v>
      </c>
      <c r="P601" s="52"/>
      <c r="Q601" s="54"/>
      <c r="R601" s="63"/>
      <c r="S601" s="61"/>
      <c r="T601" s="249" t="s">
        <v>1578</v>
      </c>
      <c r="U601" s="249" t="s">
        <v>1579</v>
      </c>
      <c r="V601" s="63" t="s">
        <v>351</v>
      </c>
      <c r="W601" s="82" t="s">
        <v>2783</v>
      </c>
      <c r="X601" s="55" t="s">
        <v>1597</v>
      </c>
      <c r="Y601" s="53" t="s">
        <v>647</v>
      </c>
      <c r="Z601" s="53" t="s">
        <v>647</v>
      </c>
      <c r="AA601" s="60" t="s">
        <v>665</v>
      </c>
    </row>
    <row r="602" spans="2:27" ht="80.25" hidden="1" customHeight="1" x14ac:dyDescent="0.35">
      <c r="B602" s="51" t="s">
        <v>67</v>
      </c>
      <c r="C602" s="51" t="s">
        <v>2765</v>
      </c>
      <c r="D602" s="51" t="s">
        <v>68</v>
      </c>
      <c r="E602" s="52">
        <v>1</v>
      </c>
      <c r="F602" s="51" t="s">
        <v>260</v>
      </c>
      <c r="G602" s="51" t="s">
        <v>261</v>
      </c>
      <c r="H602" s="51" t="s">
        <v>249</v>
      </c>
      <c r="I602" s="52">
        <v>12</v>
      </c>
      <c r="J602" s="51" t="s">
        <v>250</v>
      </c>
      <c r="K602" s="52">
        <v>23</v>
      </c>
      <c r="L602" s="52">
        <v>6</v>
      </c>
      <c r="M602" s="52"/>
      <c r="N602" s="53" t="s">
        <v>2784</v>
      </c>
      <c r="O602" s="53" t="s">
        <v>263</v>
      </c>
      <c r="P602" s="52"/>
      <c r="Q602" s="54"/>
      <c r="R602" s="53" t="s">
        <v>203</v>
      </c>
      <c r="S602" s="53" t="s">
        <v>253</v>
      </c>
      <c r="T602" s="249" t="s">
        <v>1578</v>
      </c>
      <c r="U602" s="249" t="s">
        <v>1579</v>
      </c>
      <c r="V602" s="89" t="s">
        <v>2785</v>
      </c>
      <c r="W602" s="320" t="s">
        <v>2786</v>
      </c>
      <c r="X602" s="51" t="s">
        <v>1585</v>
      </c>
      <c r="Y602" s="54" t="s">
        <v>2787</v>
      </c>
      <c r="Z602" s="54" t="s">
        <v>2788</v>
      </c>
      <c r="AA602" s="52" t="s">
        <v>647</v>
      </c>
    </row>
    <row r="603" spans="2:27" ht="80.25" hidden="1" customHeight="1" x14ac:dyDescent="0.35">
      <c r="B603" s="51" t="s">
        <v>67</v>
      </c>
      <c r="C603" s="51" t="s">
        <v>2765</v>
      </c>
      <c r="D603" s="51" t="s">
        <v>68</v>
      </c>
      <c r="E603" s="52">
        <v>1</v>
      </c>
      <c r="F603" s="51" t="s">
        <v>879</v>
      </c>
      <c r="G603" s="51" t="s">
        <v>880</v>
      </c>
      <c r="H603" s="51" t="s">
        <v>249</v>
      </c>
      <c r="I603" s="52">
        <v>13</v>
      </c>
      <c r="J603" s="51" t="s">
        <v>250</v>
      </c>
      <c r="K603" s="52">
        <v>23</v>
      </c>
      <c r="L603" s="52">
        <v>6</v>
      </c>
      <c r="M603" s="52"/>
      <c r="N603" s="53" t="s">
        <v>2789</v>
      </c>
      <c r="O603" s="53" t="s">
        <v>882</v>
      </c>
      <c r="P603" s="52"/>
      <c r="Q603" s="54"/>
      <c r="R603" s="53" t="s">
        <v>275</v>
      </c>
      <c r="S603" s="54" t="s">
        <v>276</v>
      </c>
      <c r="T603" s="249" t="s">
        <v>1578</v>
      </c>
      <c r="U603" s="249" t="s">
        <v>1579</v>
      </c>
      <c r="V603" s="55" t="s">
        <v>1621</v>
      </c>
      <c r="W603" s="82" t="s">
        <v>2790</v>
      </c>
      <c r="X603" s="55" t="s">
        <v>1597</v>
      </c>
      <c r="Y603" s="54" t="s">
        <v>2791</v>
      </c>
      <c r="Z603" s="54" t="s">
        <v>2792</v>
      </c>
      <c r="AA603" s="60" t="s">
        <v>1668</v>
      </c>
    </row>
    <row r="604" spans="2:27" ht="80.25" hidden="1" customHeight="1" x14ac:dyDescent="0.35">
      <c r="B604" s="51" t="s">
        <v>67</v>
      </c>
      <c r="C604" s="51" t="s">
        <v>2765</v>
      </c>
      <c r="D604" s="51" t="s">
        <v>68</v>
      </c>
      <c r="E604" s="52">
        <v>1</v>
      </c>
      <c r="F604" s="51" t="s">
        <v>1610</v>
      </c>
      <c r="G604" s="51" t="s">
        <v>1611</v>
      </c>
      <c r="H604" s="54" t="s">
        <v>249</v>
      </c>
      <c r="I604" s="52">
        <v>14</v>
      </c>
      <c r="J604" s="51" t="s">
        <v>250</v>
      </c>
      <c r="K604" s="52">
        <v>23</v>
      </c>
      <c r="L604" s="52">
        <v>6</v>
      </c>
      <c r="M604" s="52"/>
      <c r="N604" s="53" t="s">
        <v>1612</v>
      </c>
      <c r="O604" s="53" t="s">
        <v>1613</v>
      </c>
      <c r="P604" s="52"/>
      <c r="Q604" s="51"/>
      <c r="R604" s="53"/>
      <c r="S604" s="54"/>
      <c r="T604" s="249" t="s">
        <v>1578</v>
      </c>
      <c r="U604" s="249" t="s">
        <v>1579</v>
      </c>
      <c r="V604" s="63" t="s">
        <v>1614</v>
      </c>
      <c r="W604" s="82" t="s">
        <v>2793</v>
      </c>
      <c r="X604" s="55" t="s">
        <v>1585</v>
      </c>
      <c r="Y604" s="53" t="s">
        <v>1582</v>
      </c>
      <c r="Z604" s="51" t="s">
        <v>1616</v>
      </c>
      <c r="AA604" s="60" t="s">
        <v>372</v>
      </c>
    </row>
    <row r="605" spans="2:27" ht="80.25" hidden="1" customHeight="1" x14ac:dyDescent="0.35">
      <c r="B605" s="51" t="s">
        <v>67</v>
      </c>
      <c r="C605" s="51" t="s">
        <v>2765</v>
      </c>
      <c r="D605" s="51" t="s">
        <v>68</v>
      </c>
      <c r="E605" s="52">
        <v>1</v>
      </c>
      <c r="F605" s="51" t="s">
        <v>648</v>
      </c>
      <c r="G605" s="51" t="s">
        <v>649</v>
      </c>
      <c r="H605" s="51" t="s">
        <v>249</v>
      </c>
      <c r="I605" s="52">
        <v>15</v>
      </c>
      <c r="J605" s="51" t="s">
        <v>250</v>
      </c>
      <c r="K605" s="52">
        <v>23</v>
      </c>
      <c r="L605" s="52">
        <v>6</v>
      </c>
      <c r="M605" s="52"/>
      <c r="N605" s="53" t="s">
        <v>650</v>
      </c>
      <c r="O605" s="53" t="s">
        <v>651</v>
      </c>
      <c r="P605" s="52"/>
      <c r="Q605" s="54"/>
      <c r="R605" s="53"/>
      <c r="S605" s="54"/>
      <c r="T605" s="249" t="s">
        <v>1578</v>
      </c>
      <c r="U605" s="249" t="s">
        <v>1579</v>
      </c>
      <c r="V605" s="55" t="s">
        <v>1608</v>
      </c>
      <c r="W605" s="82" t="s">
        <v>2794</v>
      </c>
      <c r="X605" s="55" t="s">
        <v>1597</v>
      </c>
      <c r="Y605" s="54" t="s">
        <v>2791</v>
      </c>
      <c r="Z605" s="54" t="s">
        <v>2795</v>
      </c>
      <c r="AA605" s="60" t="s">
        <v>1668</v>
      </c>
    </row>
    <row r="606" spans="2:27" ht="80.25" hidden="1" customHeight="1" x14ac:dyDescent="0.35">
      <c r="B606" s="51" t="s">
        <v>67</v>
      </c>
      <c r="C606" s="51" t="s">
        <v>2765</v>
      </c>
      <c r="D606" s="51" t="s">
        <v>68</v>
      </c>
      <c r="E606" s="52">
        <v>1</v>
      </c>
      <c r="F606" s="51" t="s">
        <v>271</v>
      </c>
      <c r="G606" s="51" t="s">
        <v>272</v>
      </c>
      <c r="H606" s="51" t="s">
        <v>249</v>
      </c>
      <c r="I606" s="52">
        <v>16</v>
      </c>
      <c r="J606" s="51" t="s">
        <v>250</v>
      </c>
      <c r="K606" s="52">
        <v>23</v>
      </c>
      <c r="L606" s="52">
        <v>6</v>
      </c>
      <c r="M606" s="52"/>
      <c r="N606" s="53" t="s">
        <v>273</v>
      </c>
      <c r="O606" s="53" t="s">
        <v>2613</v>
      </c>
      <c r="P606" s="52"/>
      <c r="Q606" s="54"/>
      <c r="R606" s="53"/>
      <c r="S606" s="54"/>
      <c r="T606" s="249" t="s">
        <v>1578</v>
      </c>
      <c r="U606" s="249" t="s">
        <v>1579</v>
      </c>
      <c r="V606" s="55" t="s">
        <v>1608</v>
      </c>
      <c r="W606" s="82" t="s">
        <v>2796</v>
      </c>
      <c r="X606" s="55" t="s">
        <v>1597</v>
      </c>
      <c r="Y606" s="54" t="s">
        <v>2791</v>
      </c>
      <c r="Z606" s="54" t="s">
        <v>2795</v>
      </c>
      <c r="AA606" s="60" t="s">
        <v>1668</v>
      </c>
    </row>
    <row r="607" spans="2:27" ht="80.25" hidden="1" customHeight="1" x14ac:dyDescent="0.35">
      <c r="B607" s="51" t="s">
        <v>67</v>
      </c>
      <c r="C607" s="51" t="s">
        <v>2765</v>
      </c>
      <c r="D607" s="51" t="s">
        <v>68</v>
      </c>
      <c r="E607" s="52">
        <v>1</v>
      </c>
      <c r="F607" s="51" t="s">
        <v>282</v>
      </c>
      <c r="G607" s="51" t="s">
        <v>283</v>
      </c>
      <c r="H607" s="51" t="s">
        <v>249</v>
      </c>
      <c r="I607" s="52">
        <v>17</v>
      </c>
      <c r="J607" s="51" t="s">
        <v>250</v>
      </c>
      <c r="K607" s="52">
        <v>23</v>
      </c>
      <c r="L607" s="52">
        <v>6</v>
      </c>
      <c r="M607" s="52"/>
      <c r="N607" s="53" t="s">
        <v>284</v>
      </c>
      <c r="O607" s="53" t="s">
        <v>285</v>
      </c>
      <c r="P607" s="52"/>
      <c r="Q607" s="54"/>
      <c r="R607" s="63"/>
      <c r="S607" s="61"/>
      <c r="T607" s="249" t="s">
        <v>1661</v>
      </c>
      <c r="U607" s="249" t="s">
        <v>2797</v>
      </c>
      <c r="V607" s="55" t="s">
        <v>2798</v>
      </c>
      <c r="W607" s="82" t="s">
        <v>2799</v>
      </c>
      <c r="X607" s="55" t="s">
        <v>1597</v>
      </c>
      <c r="Y607" s="68" t="s">
        <v>741</v>
      </c>
      <c r="Z607" s="53" t="s">
        <v>2800</v>
      </c>
      <c r="AA607" s="60" t="s">
        <v>743</v>
      </c>
    </row>
    <row r="608" spans="2:27" ht="80.25" hidden="1" customHeight="1" x14ac:dyDescent="0.35">
      <c r="B608" s="66" t="s">
        <v>67</v>
      </c>
      <c r="C608" s="66" t="s">
        <v>2765</v>
      </c>
      <c r="D608" s="66" t="s">
        <v>68</v>
      </c>
      <c r="E608" s="77">
        <v>1</v>
      </c>
      <c r="F608" s="66" t="s">
        <v>2241</v>
      </c>
      <c r="G608" s="66" t="s">
        <v>2242</v>
      </c>
      <c r="H608" s="74" t="s">
        <v>1509</v>
      </c>
      <c r="I608" s="77">
        <v>18</v>
      </c>
      <c r="J608" s="66" t="s">
        <v>123</v>
      </c>
      <c r="K608" s="77">
        <v>4</v>
      </c>
      <c r="L608" s="77"/>
      <c r="M608" s="77"/>
      <c r="N608" s="72" t="s">
        <v>2173</v>
      </c>
      <c r="O608" s="72" t="s">
        <v>1511</v>
      </c>
      <c r="P608" s="77"/>
      <c r="Q608" s="72"/>
      <c r="R608" s="72"/>
      <c r="S608" s="74"/>
      <c r="T608" s="337"/>
      <c r="U608" s="338"/>
      <c r="V608" s="66"/>
      <c r="W608" s="66"/>
      <c r="X608" s="66" t="s">
        <v>2801</v>
      </c>
      <c r="Y608" s="72" t="s">
        <v>2802</v>
      </c>
      <c r="Z608" s="72" t="s">
        <v>2803</v>
      </c>
      <c r="AA608" s="75" t="s">
        <v>647</v>
      </c>
    </row>
    <row r="609" spans="2:27" ht="80.25" hidden="1" customHeight="1" x14ac:dyDescent="0.35">
      <c r="B609" s="66" t="s">
        <v>67</v>
      </c>
      <c r="C609" s="66" t="s">
        <v>2765</v>
      </c>
      <c r="D609" s="66" t="s">
        <v>68</v>
      </c>
      <c r="E609" s="77">
        <v>1</v>
      </c>
      <c r="F609" s="66" t="s">
        <v>2243</v>
      </c>
      <c r="G609" s="66" t="s">
        <v>2244</v>
      </c>
      <c r="H609" s="74" t="s">
        <v>746</v>
      </c>
      <c r="I609" s="77">
        <v>19</v>
      </c>
      <c r="J609" s="66" t="s">
        <v>123</v>
      </c>
      <c r="K609" s="77">
        <v>4</v>
      </c>
      <c r="L609" s="77"/>
      <c r="M609" s="77"/>
      <c r="N609" s="72" t="s">
        <v>1677</v>
      </c>
      <c r="O609" s="53" t="s">
        <v>1979</v>
      </c>
      <c r="P609" s="77"/>
      <c r="Q609" s="72" t="s">
        <v>1679</v>
      </c>
      <c r="R609" s="72"/>
      <c r="S609" s="74"/>
      <c r="T609" s="66"/>
      <c r="U609" s="74"/>
      <c r="V609" s="66"/>
      <c r="W609" s="66"/>
      <c r="X609" s="66" t="s">
        <v>2804</v>
      </c>
      <c r="Y609" s="72" t="s">
        <v>2805</v>
      </c>
      <c r="Z609" s="72" t="s">
        <v>2806</v>
      </c>
      <c r="AA609" s="75" t="s">
        <v>2807</v>
      </c>
    </row>
    <row r="610" spans="2:27" ht="80.25" hidden="1" customHeight="1" x14ac:dyDescent="0.35">
      <c r="B610" s="66" t="s">
        <v>67</v>
      </c>
      <c r="C610" s="66" t="s">
        <v>2765</v>
      </c>
      <c r="D610" s="66" t="s">
        <v>68</v>
      </c>
      <c r="E610" s="77">
        <v>1</v>
      </c>
      <c r="F610" s="66" t="s">
        <v>2245</v>
      </c>
      <c r="G610" s="66" t="s">
        <v>2246</v>
      </c>
      <c r="H610" s="74" t="s">
        <v>767</v>
      </c>
      <c r="I610" s="77">
        <v>20</v>
      </c>
      <c r="J610" s="66" t="s">
        <v>250</v>
      </c>
      <c r="K610" s="77">
        <v>23</v>
      </c>
      <c r="L610" s="77">
        <v>6</v>
      </c>
      <c r="M610" s="77"/>
      <c r="N610" s="72" t="s">
        <v>2180</v>
      </c>
      <c r="O610" s="53" t="s">
        <v>1990</v>
      </c>
      <c r="P610" s="77"/>
      <c r="Q610" s="74"/>
      <c r="R610" s="72"/>
      <c r="S610" s="74"/>
      <c r="T610" s="337"/>
      <c r="U610" s="338"/>
      <c r="V610" s="66"/>
      <c r="W610" s="66"/>
      <c r="X610" s="66" t="s">
        <v>1585</v>
      </c>
      <c r="Y610" s="84" t="s">
        <v>2808</v>
      </c>
      <c r="Z610" s="84" t="s">
        <v>2809</v>
      </c>
      <c r="AA610" s="75" t="s">
        <v>372</v>
      </c>
    </row>
    <row r="611" spans="2:27" ht="80.25" hidden="1" customHeight="1" x14ac:dyDescent="0.35">
      <c r="B611" s="66" t="s">
        <v>67</v>
      </c>
      <c r="C611" s="66" t="s">
        <v>2765</v>
      </c>
      <c r="D611" s="66" t="s">
        <v>68</v>
      </c>
      <c r="E611" s="77">
        <v>1</v>
      </c>
      <c r="F611" s="66" t="s">
        <v>2247</v>
      </c>
      <c r="G611" s="66" t="s">
        <v>2248</v>
      </c>
      <c r="H611" s="74" t="s">
        <v>767</v>
      </c>
      <c r="I611" s="77">
        <v>21</v>
      </c>
      <c r="J611" s="66" t="s">
        <v>250</v>
      </c>
      <c r="K611" s="77">
        <v>23</v>
      </c>
      <c r="L611" s="77">
        <v>6</v>
      </c>
      <c r="M611" s="77"/>
      <c r="N611" s="72" t="s">
        <v>1686</v>
      </c>
      <c r="O611" s="53" t="s">
        <v>2000</v>
      </c>
      <c r="P611" s="77"/>
      <c r="Q611" s="74"/>
      <c r="R611" s="72"/>
      <c r="S611" s="74"/>
      <c r="T611" s="337"/>
      <c r="U611" s="338"/>
      <c r="V611" s="66"/>
      <c r="W611" s="66"/>
      <c r="X611" s="66" t="s">
        <v>1585</v>
      </c>
      <c r="Y611" s="72" t="s">
        <v>2802</v>
      </c>
      <c r="Z611" s="72" t="s">
        <v>2810</v>
      </c>
      <c r="AA611" s="75" t="s">
        <v>647</v>
      </c>
    </row>
    <row r="612" spans="2:27" ht="80.25" hidden="1" customHeight="1" x14ac:dyDescent="0.35">
      <c r="B612" s="66" t="s">
        <v>67</v>
      </c>
      <c r="C612" s="66" t="s">
        <v>2765</v>
      </c>
      <c r="D612" s="66" t="s">
        <v>68</v>
      </c>
      <c r="E612" s="77">
        <v>1</v>
      </c>
      <c r="F612" s="66" t="s">
        <v>2249</v>
      </c>
      <c r="G612" s="66" t="s">
        <v>2250</v>
      </c>
      <c r="H612" s="74" t="s">
        <v>767</v>
      </c>
      <c r="I612" s="77">
        <v>22</v>
      </c>
      <c r="J612" s="66" t="s">
        <v>250</v>
      </c>
      <c r="K612" s="77">
        <v>23</v>
      </c>
      <c r="L612" s="77">
        <v>6</v>
      </c>
      <c r="M612" s="77"/>
      <c r="N612" s="72" t="s">
        <v>2187</v>
      </c>
      <c r="O612" s="53" t="s">
        <v>1517</v>
      </c>
      <c r="P612" s="77"/>
      <c r="Q612" s="66"/>
      <c r="R612" s="67" t="s">
        <v>788</v>
      </c>
      <c r="S612" s="66" t="s">
        <v>1518</v>
      </c>
      <c r="T612" s="77"/>
      <c r="U612" s="77"/>
      <c r="V612" s="66"/>
      <c r="W612" s="66"/>
      <c r="X612" s="66" t="s">
        <v>1585</v>
      </c>
      <c r="Y612" s="72" t="s">
        <v>2811</v>
      </c>
      <c r="Z612" s="84" t="s">
        <v>2812</v>
      </c>
      <c r="AA612" s="75" t="s">
        <v>647</v>
      </c>
    </row>
    <row r="613" spans="2:27" ht="80.25" hidden="1" customHeight="1" x14ac:dyDescent="0.35">
      <c r="B613" s="66" t="s">
        <v>67</v>
      </c>
      <c r="C613" s="66" t="s">
        <v>2765</v>
      </c>
      <c r="D613" s="66" t="s">
        <v>68</v>
      </c>
      <c r="E613" s="77">
        <v>1</v>
      </c>
      <c r="F613" s="369" t="s">
        <v>2251</v>
      </c>
      <c r="G613" s="369" t="s">
        <v>2252</v>
      </c>
      <c r="H613" s="74" t="s">
        <v>746</v>
      </c>
      <c r="I613" s="77">
        <v>23</v>
      </c>
      <c r="J613" s="66" t="s">
        <v>123</v>
      </c>
      <c r="K613" s="77">
        <v>4</v>
      </c>
      <c r="L613" s="77"/>
      <c r="M613" s="77"/>
      <c r="N613" s="72" t="s">
        <v>2191</v>
      </c>
      <c r="O613" s="53" t="s">
        <v>748</v>
      </c>
      <c r="P613" s="77"/>
      <c r="Q613" s="72" t="s">
        <v>1673</v>
      </c>
      <c r="R613" s="72"/>
      <c r="S613" s="74"/>
      <c r="T613" s="66"/>
      <c r="U613" s="74"/>
      <c r="V613" s="66"/>
      <c r="W613" s="66"/>
      <c r="X613" s="66" t="s">
        <v>2804</v>
      </c>
      <c r="Y613" s="72" t="s">
        <v>2802</v>
      </c>
      <c r="Z613" s="72" t="s">
        <v>2803</v>
      </c>
      <c r="AA613" s="75" t="s">
        <v>647</v>
      </c>
    </row>
    <row r="614" spans="2:27" ht="80.25" hidden="1" customHeight="1" x14ac:dyDescent="0.35">
      <c r="B614" s="66" t="s">
        <v>67</v>
      </c>
      <c r="C614" s="66" t="s">
        <v>2765</v>
      </c>
      <c r="D614" s="66" t="s">
        <v>68</v>
      </c>
      <c r="E614" s="77">
        <v>1</v>
      </c>
      <c r="F614" s="66" t="s">
        <v>2253</v>
      </c>
      <c r="G614" s="66" t="s">
        <v>2254</v>
      </c>
      <c r="H614" s="74" t="s">
        <v>746</v>
      </c>
      <c r="I614" s="77">
        <v>24</v>
      </c>
      <c r="J614" s="66" t="s">
        <v>123</v>
      </c>
      <c r="K614" s="77">
        <v>4</v>
      </c>
      <c r="L614" s="77"/>
      <c r="M614" s="77"/>
      <c r="N614" s="72" t="s">
        <v>1698</v>
      </c>
      <c r="O614" s="53" t="s">
        <v>758</v>
      </c>
      <c r="P614" s="77"/>
      <c r="Q614" s="72" t="s">
        <v>1700</v>
      </c>
      <c r="R614" s="72"/>
      <c r="S614" s="74"/>
      <c r="T614" s="66"/>
      <c r="U614" s="74"/>
      <c r="V614" s="66"/>
      <c r="W614" s="66"/>
      <c r="X614" s="66" t="s">
        <v>2804</v>
      </c>
      <c r="Y614" s="72" t="s">
        <v>2805</v>
      </c>
      <c r="Z614" s="72" t="s">
        <v>2806</v>
      </c>
      <c r="AA614" s="75" t="s">
        <v>2807</v>
      </c>
    </row>
    <row r="615" spans="2:27" ht="80.25" hidden="1" customHeight="1" x14ac:dyDescent="0.35">
      <c r="B615" s="66" t="s">
        <v>67</v>
      </c>
      <c r="C615" s="66" t="s">
        <v>2765</v>
      </c>
      <c r="D615" s="66" t="s">
        <v>68</v>
      </c>
      <c r="E615" s="77">
        <v>1</v>
      </c>
      <c r="F615" s="66" t="s">
        <v>2256</v>
      </c>
      <c r="G615" s="66" t="s">
        <v>2257</v>
      </c>
      <c r="H615" s="74" t="s">
        <v>767</v>
      </c>
      <c r="I615" s="77">
        <v>25</v>
      </c>
      <c r="J615" s="66" t="s">
        <v>250</v>
      </c>
      <c r="K615" s="77">
        <v>23</v>
      </c>
      <c r="L615" s="77">
        <v>6</v>
      </c>
      <c r="M615" s="77"/>
      <c r="N615" s="72" t="s">
        <v>2198</v>
      </c>
      <c r="O615" s="53" t="s">
        <v>769</v>
      </c>
      <c r="P615" s="77"/>
      <c r="Q615" s="74"/>
      <c r="R615" s="72"/>
      <c r="S615" s="74"/>
      <c r="T615" s="66"/>
      <c r="U615" s="74"/>
      <c r="V615" s="66"/>
      <c r="W615" s="66"/>
      <c r="X615" s="66" t="s">
        <v>1585</v>
      </c>
      <c r="Y615" s="84" t="s">
        <v>2808</v>
      </c>
      <c r="Z615" s="84" t="s">
        <v>2809</v>
      </c>
      <c r="AA615" s="75" t="s">
        <v>372</v>
      </c>
    </row>
    <row r="616" spans="2:27" ht="80.25" hidden="1" customHeight="1" x14ac:dyDescent="0.35">
      <c r="B616" s="66" t="s">
        <v>67</v>
      </c>
      <c r="C616" s="66" t="s">
        <v>2765</v>
      </c>
      <c r="D616" s="66" t="s">
        <v>68</v>
      </c>
      <c r="E616" s="77">
        <v>1</v>
      </c>
      <c r="F616" s="66" t="s">
        <v>2258</v>
      </c>
      <c r="G616" s="66" t="s">
        <v>2259</v>
      </c>
      <c r="H616" s="74" t="s">
        <v>767</v>
      </c>
      <c r="I616" s="77">
        <v>26</v>
      </c>
      <c r="J616" s="66" t="s">
        <v>250</v>
      </c>
      <c r="K616" s="77">
        <v>23</v>
      </c>
      <c r="L616" s="77">
        <v>6</v>
      </c>
      <c r="M616" s="77"/>
      <c r="N616" s="72" t="s">
        <v>777</v>
      </c>
      <c r="O616" s="53" t="s">
        <v>778</v>
      </c>
      <c r="P616" s="77"/>
      <c r="Q616" s="74"/>
      <c r="R616" s="72"/>
      <c r="S616" s="74"/>
      <c r="T616" s="66"/>
      <c r="U616" s="74"/>
      <c r="V616" s="66"/>
      <c r="W616" s="66"/>
      <c r="X616" s="66" t="s">
        <v>1585</v>
      </c>
      <c r="Y616" s="72" t="s">
        <v>2802</v>
      </c>
      <c r="Z616" s="72" t="s">
        <v>2810</v>
      </c>
      <c r="AA616" s="75" t="s">
        <v>647</v>
      </c>
    </row>
    <row r="617" spans="2:27" ht="80.25" hidden="1" customHeight="1" x14ac:dyDescent="0.35">
      <c r="B617" s="66" t="s">
        <v>67</v>
      </c>
      <c r="C617" s="66" t="s">
        <v>2765</v>
      </c>
      <c r="D617" s="66" t="s">
        <v>68</v>
      </c>
      <c r="E617" s="77">
        <v>1</v>
      </c>
      <c r="F617" s="66" t="s">
        <v>2260</v>
      </c>
      <c r="G617" s="66" t="s">
        <v>2261</v>
      </c>
      <c r="H617" s="74" t="s">
        <v>767</v>
      </c>
      <c r="I617" s="77">
        <v>27</v>
      </c>
      <c r="J617" s="66" t="s">
        <v>250</v>
      </c>
      <c r="K617" s="77">
        <v>23</v>
      </c>
      <c r="L617" s="77">
        <v>6</v>
      </c>
      <c r="M617" s="77"/>
      <c r="N617" s="72" t="s">
        <v>2205</v>
      </c>
      <c r="O617" s="53" t="s">
        <v>787</v>
      </c>
      <c r="P617" s="77"/>
      <c r="Q617" s="66"/>
      <c r="R617" s="67" t="s">
        <v>1712</v>
      </c>
      <c r="S617" s="67" t="s">
        <v>1713</v>
      </c>
      <c r="T617" s="77"/>
      <c r="U617" s="77"/>
      <c r="V617" s="66"/>
      <c r="W617" s="66"/>
      <c r="X617" s="66" t="s">
        <v>1585</v>
      </c>
      <c r="Y617" s="72" t="s">
        <v>2811</v>
      </c>
      <c r="Z617" s="84" t="s">
        <v>2812</v>
      </c>
      <c r="AA617" s="75" t="s">
        <v>647</v>
      </c>
    </row>
    <row r="618" spans="2:27" ht="80.25" hidden="1" customHeight="1" x14ac:dyDescent="0.35">
      <c r="B618" s="51" t="s">
        <v>67</v>
      </c>
      <c r="C618" s="51" t="s">
        <v>2765</v>
      </c>
      <c r="D618" s="51" t="s">
        <v>68</v>
      </c>
      <c r="E618" s="52">
        <v>1</v>
      </c>
      <c r="F618" s="51" t="s">
        <v>293</v>
      </c>
      <c r="G618" s="51" t="s">
        <v>294</v>
      </c>
      <c r="H618" s="54" t="s">
        <v>295</v>
      </c>
      <c r="I618" s="52">
        <v>28</v>
      </c>
      <c r="J618" s="51" t="s">
        <v>123</v>
      </c>
      <c r="K618" s="52">
        <v>4</v>
      </c>
      <c r="L618" s="52"/>
      <c r="M618" s="52"/>
      <c r="N618" s="53" t="s">
        <v>296</v>
      </c>
      <c r="O618" s="53" t="s">
        <v>297</v>
      </c>
      <c r="P618" s="52"/>
      <c r="Q618" s="53" t="s">
        <v>2813</v>
      </c>
      <c r="R618" s="55" t="s">
        <v>299</v>
      </c>
      <c r="S618" s="51" t="s">
        <v>300</v>
      </c>
      <c r="T618" s="55" t="s">
        <v>1575</v>
      </c>
      <c r="U618" s="55" t="s">
        <v>1576</v>
      </c>
      <c r="V618" s="57" t="s">
        <v>555</v>
      </c>
      <c r="W618" s="305" t="s">
        <v>2814</v>
      </c>
      <c r="X618" s="55" t="s">
        <v>1597</v>
      </c>
      <c r="Y618" s="54" t="s">
        <v>1598</v>
      </c>
      <c r="Z618" s="54" t="s">
        <v>1718</v>
      </c>
      <c r="AA618" s="52" t="s">
        <v>647</v>
      </c>
    </row>
    <row r="619" spans="2:27" ht="80.25" customHeight="1" x14ac:dyDescent="0.35">
      <c r="B619" s="51" t="s">
        <v>67</v>
      </c>
      <c r="C619" s="51" t="s">
        <v>2765</v>
      </c>
      <c r="D619" s="51" t="s">
        <v>68</v>
      </c>
      <c r="E619" s="52">
        <v>1</v>
      </c>
      <c r="F619" s="51" t="s">
        <v>304</v>
      </c>
      <c r="G619" s="51" t="s">
        <v>305</v>
      </c>
      <c r="H619" s="54" t="s">
        <v>295</v>
      </c>
      <c r="I619" s="52">
        <v>29</v>
      </c>
      <c r="J619" s="51" t="s">
        <v>123</v>
      </c>
      <c r="K619" s="52">
        <v>4</v>
      </c>
      <c r="L619" s="52"/>
      <c r="M619" s="52"/>
      <c r="N619" s="53" t="s">
        <v>306</v>
      </c>
      <c r="O619" s="53" t="s">
        <v>307</v>
      </c>
      <c r="P619" s="52"/>
      <c r="Q619" s="55" t="s">
        <v>459</v>
      </c>
      <c r="R619" s="55" t="s">
        <v>203</v>
      </c>
      <c r="S619" s="51" t="s">
        <v>309</v>
      </c>
      <c r="T619" s="55" t="s">
        <v>1575</v>
      </c>
      <c r="U619" s="249" t="s">
        <v>1576</v>
      </c>
      <c r="V619" s="55" t="s">
        <v>555</v>
      </c>
      <c r="W619" s="82" t="s">
        <v>2815</v>
      </c>
      <c r="X619" s="51" t="s">
        <v>1585</v>
      </c>
      <c r="Y619" s="55" t="s">
        <v>372</v>
      </c>
      <c r="Z619" s="55" t="s">
        <v>372</v>
      </c>
      <c r="AA619" s="52" t="s">
        <v>462</v>
      </c>
    </row>
    <row r="620" spans="2:27" ht="80.25" hidden="1" customHeight="1" x14ac:dyDescent="0.35">
      <c r="B620" s="51" t="s">
        <v>67</v>
      </c>
      <c r="C620" s="51" t="s">
        <v>2765</v>
      </c>
      <c r="D620" s="51" t="s">
        <v>68</v>
      </c>
      <c r="E620" s="52">
        <v>1</v>
      </c>
      <c r="F620" s="51" t="s">
        <v>317</v>
      </c>
      <c r="G620" s="51" t="s">
        <v>318</v>
      </c>
      <c r="H620" s="51" t="s">
        <v>319</v>
      </c>
      <c r="I620" s="52">
        <v>30</v>
      </c>
      <c r="J620" s="51" t="s">
        <v>123</v>
      </c>
      <c r="K620" s="52">
        <v>2</v>
      </c>
      <c r="L620" s="52"/>
      <c r="M620" s="52"/>
      <c r="N620" s="53" t="s">
        <v>320</v>
      </c>
      <c r="O620" s="53" t="s">
        <v>321</v>
      </c>
      <c r="P620" s="52"/>
      <c r="Q620" s="53" t="s">
        <v>463</v>
      </c>
      <c r="R620" s="55"/>
      <c r="S620" s="51"/>
      <c r="T620" s="57" t="s">
        <v>1578</v>
      </c>
      <c r="U620" s="216" t="s">
        <v>1579</v>
      </c>
      <c r="V620" s="55" t="s">
        <v>351</v>
      </c>
      <c r="W620" s="82" t="s">
        <v>2816</v>
      </c>
      <c r="X620" s="55" t="s">
        <v>1597</v>
      </c>
      <c r="Y620" s="55" t="s">
        <v>372</v>
      </c>
      <c r="Z620" s="55" t="s">
        <v>372</v>
      </c>
      <c r="AA620" s="52" t="s">
        <v>2817</v>
      </c>
    </row>
    <row r="621" spans="2:27" ht="80.25" hidden="1" customHeight="1" x14ac:dyDescent="0.35">
      <c r="B621" s="51" t="s">
        <v>67</v>
      </c>
      <c r="C621" s="51" t="s">
        <v>2765</v>
      </c>
      <c r="D621" s="51" t="s">
        <v>68</v>
      </c>
      <c r="E621" s="52">
        <v>1</v>
      </c>
      <c r="F621" s="51" t="s">
        <v>326</v>
      </c>
      <c r="G621" s="51" t="s">
        <v>327</v>
      </c>
      <c r="H621" s="51" t="s">
        <v>328</v>
      </c>
      <c r="I621" s="52">
        <v>31</v>
      </c>
      <c r="J621" s="51" t="s">
        <v>123</v>
      </c>
      <c r="K621" s="52">
        <v>10</v>
      </c>
      <c r="L621" s="52"/>
      <c r="M621" s="52"/>
      <c r="N621" s="53" t="s">
        <v>329</v>
      </c>
      <c r="O621" s="53" t="s">
        <v>361</v>
      </c>
      <c r="P621" s="52" t="s">
        <v>126</v>
      </c>
      <c r="Q621" s="51"/>
      <c r="R621" s="55" t="s">
        <v>275</v>
      </c>
      <c r="S621" s="51" t="s">
        <v>803</v>
      </c>
      <c r="T621" s="55" t="s">
        <v>1578</v>
      </c>
      <c r="U621" s="249" t="s">
        <v>1579</v>
      </c>
      <c r="V621" s="55" t="s">
        <v>804</v>
      </c>
      <c r="W621" s="82" t="s">
        <v>2818</v>
      </c>
      <c r="X621" s="55" t="s">
        <v>372</v>
      </c>
      <c r="Y621" s="55" t="s">
        <v>372</v>
      </c>
      <c r="Z621" s="55" t="s">
        <v>372</v>
      </c>
      <c r="AA621" s="52" t="s">
        <v>372</v>
      </c>
    </row>
    <row r="622" spans="2:27" ht="80.25" hidden="1" customHeight="1" x14ac:dyDescent="0.35">
      <c r="B622" s="51" t="s">
        <v>67</v>
      </c>
      <c r="C622" s="51" t="s">
        <v>2765</v>
      </c>
      <c r="D622" s="51" t="s">
        <v>68</v>
      </c>
      <c r="E622" s="52">
        <v>1</v>
      </c>
      <c r="F622" s="51" t="s">
        <v>333</v>
      </c>
      <c r="G622" s="51" t="s">
        <v>334</v>
      </c>
      <c r="H622" s="51" t="s">
        <v>335</v>
      </c>
      <c r="I622" s="52">
        <v>32</v>
      </c>
      <c r="J622" s="51" t="s">
        <v>336</v>
      </c>
      <c r="K622" s="52">
        <v>23</v>
      </c>
      <c r="L622" s="52"/>
      <c r="M622" s="52"/>
      <c r="N622" s="53" t="s">
        <v>337</v>
      </c>
      <c r="O622" s="53" t="s">
        <v>338</v>
      </c>
      <c r="P622" s="52"/>
      <c r="Q622" s="51"/>
      <c r="R622" s="55"/>
      <c r="S622" s="51"/>
      <c r="T622" s="55" t="s">
        <v>1578</v>
      </c>
      <c r="U622" s="55" t="s">
        <v>1579</v>
      </c>
      <c r="V622" s="55" t="s">
        <v>351</v>
      </c>
      <c r="W622" s="370" t="s">
        <v>2819</v>
      </c>
      <c r="X622" s="55" t="s">
        <v>372</v>
      </c>
      <c r="Y622" s="55" t="s">
        <v>372</v>
      </c>
      <c r="Z622" s="55" t="s">
        <v>372</v>
      </c>
      <c r="AA622" s="52" t="s">
        <v>372</v>
      </c>
    </row>
    <row r="623" spans="2:27" ht="80.25" hidden="1" customHeight="1" x14ac:dyDescent="0.35">
      <c r="B623" s="51" t="s">
        <v>70</v>
      </c>
      <c r="C623" s="51" t="s">
        <v>2820</v>
      </c>
      <c r="D623" s="51" t="s">
        <v>71</v>
      </c>
      <c r="E623" s="52">
        <v>1</v>
      </c>
      <c r="F623" s="51" t="s">
        <v>120</v>
      </c>
      <c r="G623" s="51" t="s">
        <v>121</v>
      </c>
      <c r="H623" s="51" t="s">
        <v>122</v>
      </c>
      <c r="I623" s="52">
        <v>1</v>
      </c>
      <c r="J623" s="51" t="s">
        <v>123</v>
      </c>
      <c r="K623" s="52">
        <v>4</v>
      </c>
      <c r="L623" s="52"/>
      <c r="M623" s="52"/>
      <c r="N623" s="328" t="s">
        <v>124</v>
      </c>
      <c r="O623" s="53" t="s">
        <v>125</v>
      </c>
      <c r="P623" s="52" t="s">
        <v>126</v>
      </c>
      <c r="Q623" s="54"/>
      <c r="R623" s="55" t="s">
        <v>127</v>
      </c>
      <c r="S623" s="55" t="s">
        <v>2138</v>
      </c>
      <c r="T623" s="55" t="s">
        <v>1575</v>
      </c>
      <c r="U623" s="55" t="s">
        <v>1576</v>
      </c>
      <c r="V623" s="55" t="s">
        <v>555</v>
      </c>
      <c r="W623" s="370" t="s">
        <v>2821</v>
      </c>
      <c r="X623" s="51" t="s">
        <v>1585</v>
      </c>
      <c r="Y623" s="54" t="s">
        <v>372</v>
      </c>
      <c r="Z623" s="54" t="s">
        <v>372</v>
      </c>
      <c r="AA623" s="52" t="s">
        <v>373</v>
      </c>
    </row>
    <row r="624" spans="2:27" ht="80.25" hidden="1" customHeight="1" x14ac:dyDescent="0.35">
      <c r="B624" s="51" t="s">
        <v>70</v>
      </c>
      <c r="C624" s="51" t="s">
        <v>2820</v>
      </c>
      <c r="D624" s="51" t="s">
        <v>71</v>
      </c>
      <c r="E624" s="52">
        <v>1</v>
      </c>
      <c r="F624" s="51" t="s">
        <v>136</v>
      </c>
      <c r="G624" s="51" t="s">
        <v>137</v>
      </c>
      <c r="H624" s="51" t="s">
        <v>122</v>
      </c>
      <c r="I624" s="52">
        <v>2</v>
      </c>
      <c r="J624" s="51" t="s">
        <v>123</v>
      </c>
      <c r="K624" s="52">
        <v>30</v>
      </c>
      <c r="L624" s="52"/>
      <c r="M624" s="52"/>
      <c r="N624" s="53" t="s">
        <v>138</v>
      </c>
      <c r="O624" s="53" t="s">
        <v>139</v>
      </c>
      <c r="P624" s="52" t="s">
        <v>126</v>
      </c>
      <c r="Q624" s="54"/>
      <c r="R624" s="55" t="s">
        <v>127</v>
      </c>
      <c r="S624" s="55" t="s">
        <v>2138</v>
      </c>
      <c r="T624" s="55" t="s">
        <v>1578</v>
      </c>
      <c r="U624" s="249" t="s">
        <v>1579</v>
      </c>
      <c r="V624" s="55" t="s">
        <v>1580</v>
      </c>
      <c r="W624" s="82" t="s">
        <v>2822</v>
      </c>
      <c r="X624" s="51" t="s">
        <v>1585</v>
      </c>
      <c r="Y624" s="54" t="s">
        <v>1582</v>
      </c>
      <c r="Z624" s="54" t="s">
        <v>1583</v>
      </c>
      <c r="AA624" s="52" t="s">
        <v>372</v>
      </c>
    </row>
    <row r="625" spans="2:27" ht="80.25" hidden="1" customHeight="1" x14ac:dyDescent="0.35">
      <c r="B625" s="51" t="s">
        <v>70</v>
      </c>
      <c r="C625" s="51" t="s">
        <v>2820</v>
      </c>
      <c r="D625" s="51" t="s">
        <v>71</v>
      </c>
      <c r="E625" s="52">
        <v>1</v>
      </c>
      <c r="F625" s="51" t="s">
        <v>148</v>
      </c>
      <c r="G625" s="51" t="s">
        <v>149</v>
      </c>
      <c r="H625" s="51" t="s">
        <v>150</v>
      </c>
      <c r="I625" s="52">
        <v>3</v>
      </c>
      <c r="J625" s="51" t="s">
        <v>123</v>
      </c>
      <c r="K625" s="52">
        <v>4</v>
      </c>
      <c r="L625" s="52"/>
      <c r="M625" s="52"/>
      <c r="N625" s="53" t="s">
        <v>151</v>
      </c>
      <c r="O625" s="53" t="s">
        <v>152</v>
      </c>
      <c r="P625" s="52"/>
      <c r="Q625" s="53" t="s">
        <v>586</v>
      </c>
      <c r="R625" s="55"/>
      <c r="S625" s="51"/>
      <c r="T625" s="55" t="s">
        <v>1575</v>
      </c>
      <c r="U625" s="55" t="s">
        <v>1576</v>
      </c>
      <c r="V625" s="89" t="s">
        <v>555</v>
      </c>
      <c r="W625" s="82" t="s">
        <v>2823</v>
      </c>
      <c r="X625" s="55" t="s">
        <v>1585</v>
      </c>
      <c r="Y625" s="53" t="s">
        <v>1582</v>
      </c>
      <c r="Z625" s="55" t="s">
        <v>1586</v>
      </c>
      <c r="AA625" s="52" t="s">
        <v>372</v>
      </c>
    </row>
    <row r="626" spans="2:27" ht="80.25" hidden="1" customHeight="1" x14ac:dyDescent="0.35">
      <c r="B626" s="51" t="s">
        <v>70</v>
      </c>
      <c r="C626" s="51" t="s">
        <v>2820</v>
      </c>
      <c r="D626" s="51" t="s">
        <v>71</v>
      </c>
      <c r="E626" s="52">
        <v>1</v>
      </c>
      <c r="F626" s="51" t="s">
        <v>155</v>
      </c>
      <c r="G626" s="51" t="s">
        <v>156</v>
      </c>
      <c r="H626" s="51" t="s">
        <v>150</v>
      </c>
      <c r="I626" s="52">
        <v>3</v>
      </c>
      <c r="J626" s="51" t="s">
        <v>123</v>
      </c>
      <c r="K626" s="52">
        <v>4</v>
      </c>
      <c r="L626" s="52"/>
      <c r="M626" s="52"/>
      <c r="N626" s="53" t="s">
        <v>157</v>
      </c>
      <c r="O626" s="53" t="s">
        <v>158</v>
      </c>
      <c r="P626" s="52"/>
      <c r="Q626" s="55" t="s">
        <v>2769</v>
      </c>
      <c r="R626" s="55" t="s">
        <v>160</v>
      </c>
      <c r="S626" s="55" t="s">
        <v>161</v>
      </c>
      <c r="T626" s="55" t="s">
        <v>1578</v>
      </c>
      <c r="U626" s="55" t="s">
        <v>1579</v>
      </c>
      <c r="V626" s="55" t="s">
        <v>2230</v>
      </c>
      <c r="W626" s="82" t="s">
        <v>2824</v>
      </c>
      <c r="X626" s="51" t="s">
        <v>1585</v>
      </c>
      <c r="Y626" s="54" t="s">
        <v>1582</v>
      </c>
      <c r="Z626" s="54" t="s">
        <v>590</v>
      </c>
      <c r="AA626" s="52" t="s">
        <v>372</v>
      </c>
    </row>
    <row r="627" spans="2:27" ht="80.25" hidden="1" customHeight="1" x14ac:dyDescent="0.35">
      <c r="B627" s="51" t="s">
        <v>70</v>
      </c>
      <c r="C627" s="51" t="s">
        <v>2820</v>
      </c>
      <c r="D627" s="51" t="s">
        <v>71</v>
      </c>
      <c r="E627" s="52">
        <v>1</v>
      </c>
      <c r="F627" s="51" t="s">
        <v>167</v>
      </c>
      <c r="G627" s="51" t="s">
        <v>168</v>
      </c>
      <c r="H627" s="51" t="s">
        <v>150</v>
      </c>
      <c r="I627" s="52">
        <v>3</v>
      </c>
      <c r="J627" s="51" t="s">
        <v>123</v>
      </c>
      <c r="K627" s="52">
        <v>4</v>
      </c>
      <c r="L627" s="52"/>
      <c r="M627" s="52"/>
      <c r="N627" s="53" t="s">
        <v>169</v>
      </c>
      <c r="O627" s="53" t="s">
        <v>170</v>
      </c>
      <c r="P627" s="52"/>
      <c r="Q627" s="55" t="s">
        <v>2771</v>
      </c>
      <c r="R627" s="55" t="s">
        <v>160</v>
      </c>
      <c r="S627" s="55" t="s">
        <v>172</v>
      </c>
      <c r="T627" s="55" t="s">
        <v>1578</v>
      </c>
      <c r="U627" s="55" t="s">
        <v>1579</v>
      </c>
      <c r="V627" s="55" t="s">
        <v>1591</v>
      </c>
      <c r="W627" s="82" t="s">
        <v>2825</v>
      </c>
      <c r="X627" s="51" t="s">
        <v>1585</v>
      </c>
      <c r="Y627" s="54" t="s">
        <v>1582</v>
      </c>
      <c r="Z627" s="54" t="s">
        <v>593</v>
      </c>
      <c r="AA627" s="52" t="s">
        <v>372</v>
      </c>
    </row>
    <row r="628" spans="2:27" ht="80.25" hidden="1" customHeight="1" x14ac:dyDescent="0.35">
      <c r="B628" s="51" t="s">
        <v>70</v>
      </c>
      <c r="C628" s="51" t="s">
        <v>2820</v>
      </c>
      <c r="D628" s="51" t="s">
        <v>71</v>
      </c>
      <c r="E628" s="52">
        <v>1</v>
      </c>
      <c r="F628" s="51" t="s">
        <v>198</v>
      </c>
      <c r="G628" s="51" t="s">
        <v>199</v>
      </c>
      <c r="H628" s="51" t="s">
        <v>200</v>
      </c>
      <c r="I628" s="52">
        <v>6</v>
      </c>
      <c r="J628" s="51" t="s">
        <v>123</v>
      </c>
      <c r="K628" s="52">
        <v>10</v>
      </c>
      <c r="L628" s="52"/>
      <c r="M628" s="52"/>
      <c r="N628" s="53" t="s">
        <v>201</v>
      </c>
      <c r="O628" s="53" t="s">
        <v>202</v>
      </c>
      <c r="P628" s="52"/>
      <c r="Q628" s="54"/>
      <c r="R628" s="55" t="s">
        <v>203</v>
      </c>
      <c r="S628" s="51" t="s">
        <v>198</v>
      </c>
      <c r="T628" s="55" t="s">
        <v>1578</v>
      </c>
      <c r="U628" s="55" t="s">
        <v>1579</v>
      </c>
      <c r="V628" s="55" t="s">
        <v>1593</v>
      </c>
      <c r="W628" s="82" t="s">
        <v>2826</v>
      </c>
      <c r="X628" s="51" t="s">
        <v>1585</v>
      </c>
      <c r="Y628" s="54" t="s">
        <v>1582</v>
      </c>
      <c r="Z628" s="54" t="s">
        <v>630</v>
      </c>
      <c r="AA628" s="52" t="s">
        <v>372</v>
      </c>
    </row>
    <row r="629" spans="2:27" ht="80.25" hidden="1" customHeight="1" x14ac:dyDescent="0.35">
      <c r="B629" s="51" t="s">
        <v>70</v>
      </c>
      <c r="C629" s="51" t="s">
        <v>2820</v>
      </c>
      <c r="D629" s="51" t="s">
        <v>71</v>
      </c>
      <c r="E629" s="52">
        <v>1</v>
      </c>
      <c r="F629" s="51" t="s">
        <v>210</v>
      </c>
      <c r="G629" s="51" t="s">
        <v>211</v>
      </c>
      <c r="H629" s="51" t="s">
        <v>200</v>
      </c>
      <c r="I629" s="52">
        <v>7</v>
      </c>
      <c r="J629" s="51" t="s">
        <v>123</v>
      </c>
      <c r="K629" s="52">
        <v>10</v>
      </c>
      <c r="L629" s="52"/>
      <c r="M629" s="52"/>
      <c r="N629" s="53" t="s">
        <v>212</v>
      </c>
      <c r="O629" s="53" t="s">
        <v>213</v>
      </c>
      <c r="P629" s="52"/>
      <c r="Q629" s="54"/>
      <c r="R629" s="55"/>
      <c r="S629" s="51"/>
      <c r="T629" s="89" t="s">
        <v>1578</v>
      </c>
      <c r="U629" s="55" t="s">
        <v>1579</v>
      </c>
      <c r="V629" s="55" t="s">
        <v>1595</v>
      </c>
      <c r="W629" s="82" t="s">
        <v>2827</v>
      </c>
      <c r="X629" s="55" t="s">
        <v>1597</v>
      </c>
      <c r="Y629" s="53" t="s">
        <v>2828</v>
      </c>
      <c r="Z629" s="53" t="s">
        <v>2781</v>
      </c>
      <c r="AA629" s="64" t="s">
        <v>647</v>
      </c>
    </row>
    <row r="630" spans="2:27" ht="80.25" hidden="1" customHeight="1" x14ac:dyDescent="0.35">
      <c r="B630" s="51" t="s">
        <v>70</v>
      </c>
      <c r="C630" s="51" t="s">
        <v>2820</v>
      </c>
      <c r="D630" s="51" t="s">
        <v>71</v>
      </c>
      <c r="E630" s="52">
        <v>1</v>
      </c>
      <c r="F630" s="51" t="s">
        <v>222</v>
      </c>
      <c r="G630" s="51" t="s">
        <v>223</v>
      </c>
      <c r="H630" s="51" t="s">
        <v>224</v>
      </c>
      <c r="I630" s="52">
        <v>8</v>
      </c>
      <c r="J630" s="51" t="s">
        <v>123</v>
      </c>
      <c r="K630" s="52">
        <v>4</v>
      </c>
      <c r="L630" s="52"/>
      <c r="M630" s="52"/>
      <c r="N630" s="53" t="s">
        <v>225</v>
      </c>
      <c r="O630" s="53" t="s">
        <v>226</v>
      </c>
      <c r="P630" s="52"/>
      <c r="Q630" s="55" t="s">
        <v>1277</v>
      </c>
      <c r="R630" s="55" t="s">
        <v>654</v>
      </c>
      <c r="S630" s="55" t="s">
        <v>229</v>
      </c>
      <c r="T630" s="55" t="s">
        <v>1578</v>
      </c>
      <c r="U630" s="55" t="s">
        <v>1579</v>
      </c>
      <c r="V630" s="55" t="s">
        <v>1601</v>
      </c>
      <c r="W630" s="82" t="s">
        <v>2829</v>
      </c>
      <c r="X630" s="51" t="s">
        <v>1585</v>
      </c>
      <c r="Y630" s="54" t="s">
        <v>1582</v>
      </c>
      <c r="Z630" s="54" t="s">
        <v>427</v>
      </c>
      <c r="AA630" s="52" t="s">
        <v>372</v>
      </c>
    </row>
    <row r="631" spans="2:27" ht="80.25" hidden="1" customHeight="1" x14ac:dyDescent="0.35">
      <c r="B631" s="51" t="s">
        <v>70</v>
      </c>
      <c r="C631" s="51" t="s">
        <v>2820</v>
      </c>
      <c r="D631" s="51" t="s">
        <v>71</v>
      </c>
      <c r="E631" s="52">
        <v>1</v>
      </c>
      <c r="F631" s="51" t="s">
        <v>238</v>
      </c>
      <c r="G631" s="51" t="s">
        <v>239</v>
      </c>
      <c r="H631" s="54" t="s">
        <v>240</v>
      </c>
      <c r="I631" s="52">
        <v>9</v>
      </c>
      <c r="J631" s="51" t="s">
        <v>123</v>
      </c>
      <c r="K631" s="52">
        <v>4</v>
      </c>
      <c r="L631" s="52"/>
      <c r="M631" s="52"/>
      <c r="N631" s="53" t="s">
        <v>241</v>
      </c>
      <c r="O631" s="53" t="s">
        <v>242</v>
      </c>
      <c r="P631" s="52"/>
      <c r="Q631" s="54"/>
      <c r="R631" s="63"/>
      <c r="S631" s="61"/>
      <c r="T631" s="55" t="s">
        <v>1578</v>
      </c>
      <c r="U631" s="55" t="s">
        <v>1579</v>
      </c>
      <c r="V631" s="63" t="s">
        <v>351</v>
      </c>
      <c r="W631" s="82" t="s">
        <v>2830</v>
      </c>
      <c r="X631" s="55" t="s">
        <v>1597</v>
      </c>
      <c r="Y631" s="53" t="s">
        <v>647</v>
      </c>
      <c r="Z631" s="53" t="s">
        <v>647</v>
      </c>
      <c r="AA631" s="60" t="s">
        <v>665</v>
      </c>
    </row>
    <row r="632" spans="2:27" ht="80.25" hidden="1" customHeight="1" x14ac:dyDescent="0.35">
      <c r="B632" s="51" t="s">
        <v>70</v>
      </c>
      <c r="C632" s="51" t="s">
        <v>2820</v>
      </c>
      <c r="D632" s="51" t="s">
        <v>71</v>
      </c>
      <c r="E632" s="52">
        <v>1</v>
      </c>
      <c r="F632" s="51" t="s">
        <v>1604</v>
      </c>
      <c r="G632" s="51" t="s">
        <v>1605</v>
      </c>
      <c r="H632" s="54" t="s">
        <v>249</v>
      </c>
      <c r="I632" s="52">
        <v>10</v>
      </c>
      <c r="J632" s="51" t="s">
        <v>250</v>
      </c>
      <c r="K632" s="52">
        <v>23</v>
      </c>
      <c r="L632" s="52">
        <v>6</v>
      </c>
      <c r="M632" s="52"/>
      <c r="N632" s="53" t="s">
        <v>1606</v>
      </c>
      <c r="O632" s="53" t="s">
        <v>1607</v>
      </c>
      <c r="P632" s="52"/>
      <c r="Q632" s="54"/>
      <c r="R632" s="53"/>
      <c r="S632" s="54"/>
      <c r="T632" s="55" t="s">
        <v>1578</v>
      </c>
      <c r="U632" s="55" t="s">
        <v>1579</v>
      </c>
      <c r="V632" s="55" t="s">
        <v>1608</v>
      </c>
      <c r="W632" s="82" t="s">
        <v>2831</v>
      </c>
      <c r="X632" s="51" t="s">
        <v>1585</v>
      </c>
      <c r="Y632" s="54" t="s">
        <v>1582</v>
      </c>
      <c r="Z632" s="54" t="s">
        <v>652</v>
      </c>
      <c r="AA632" s="52" t="s">
        <v>372</v>
      </c>
    </row>
    <row r="633" spans="2:27" ht="80.25" hidden="1" customHeight="1" x14ac:dyDescent="0.35">
      <c r="B633" s="51" t="s">
        <v>70</v>
      </c>
      <c r="C633" s="51" t="s">
        <v>2820</v>
      </c>
      <c r="D633" s="51" t="s">
        <v>71</v>
      </c>
      <c r="E633" s="52">
        <v>1</v>
      </c>
      <c r="F633" s="51" t="s">
        <v>1610</v>
      </c>
      <c r="G633" s="51" t="s">
        <v>1611</v>
      </c>
      <c r="H633" s="54" t="s">
        <v>249</v>
      </c>
      <c r="I633" s="52">
        <v>11</v>
      </c>
      <c r="J633" s="51" t="s">
        <v>250</v>
      </c>
      <c r="K633" s="52">
        <v>23</v>
      </c>
      <c r="L633" s="52">
        <v>6</v>
      </c>
      <c r="M633" s="52"/>
      <c r="N633" s="53" t="s">
        <v>1612</v>
      </c>
      <c r="O633" s="53" t="s">
        <v>1613</v>
      </c>
      <c r="P633" s="52"/>
      <c r="Q633" s="51"/>
      <c r="R633" s="53"/>
      <c r="S633" s="54"/>
      <c r="T633" s="55" t="s">
        <v>1578</v>
      </c>
      <c r="U633" s="55" t="s">
        <v>1579</v>
      </c>
      <c r="V633" s="65" t="s">
        <v>1614</v>
      </c>
      <c r="W633" s="82" t="s">
        <v>2832</v>
      </c>
      <c r="X633" s="55" t="s">
        <v>1585</v>
      </c>
      <c r="Y633" s="53" t="s">
        <v>1582</v>
      </c>
      <c r="Z633" s="51" t="s">
        <v>1616</v>
      </c>
      <c r="AA633" s="60" t="s">
        <v>372</v>
      </c>
    </row>
    <row r="634" spans="2:27" ht="80.25" hidden="1" customHeight="1" x14ac:dyDescent="0.35">
      <c r="B634" s="51" t="s">
        <v>70</v>
      </c>
      <c r="C634" s="51" t="s">
        <v>2820</v>
      </c>
      <c r="D634" s="51" t="s">
        <v>71</v>
      </c>
      <c r="E634" s="52">
        <v>1</v>
      </c>
      <c r="F634" s="51" t="s">
        <v>1617</v>
      </c>
      <c r="G634" s="51" t="s">
        <v>1618</v>
      </c>
      <c r="H634" s="54" t="s">
        <v>249</v>
      </c>
      <c r="I634" s="52">
        <v>12</v>
      </c>
      <c r="J634" s="51" t="s">
        <v>250</v>
      </c>
      <c r="K634" s="52">
        <v>23</v>
      </c>
      <c r="L634" s="52">
        <v>6</v>
      </c>
      <c r="M634" s="52"/>
      <c r="N634" s="53" t="s">
        <v>1619</v>
      </c>
      <c r="O634" s="53" t="s">
        <v>1620</v>
      </c>
      <c r="P634" s="52"/>
      <c r="Q634" s="54"/>
      <c r="R634" s="53" t="s">
        <v>275</v>
      </c>
      <c r="S634" s="54" t="s">
        <v>276</v>
      </c>
      <c r="T634" s="55" t="s">
        <v>1578</v>
      </c>
      <c r="U634" s="55" t="s">
        <v>1579</v>
      </c>
      <c r="V634" s="55" t="s">
        <v>2239</v>
      </c>
      <c r="W634" s="82" t="s">
        <v>2833</v>
      </c>
      <c r="X634" s="51" t="s">
        <v>1585</v>
      </c>
      <c r="Y634" s="54" t="s">
        <v>1582</v>
      </c>
      <c r="Z634" s="54" t="s">
        <v>1623</v>
      </c>
      <c r="AA634" s="52" t="s">
        <v>372</v>
      </c>
    </row>
    <row r="635" spans="2:27" ht="80.25" hidden="1" customHeight="1" x14ac:dyDescent="0.35">
      <c r="B635" s="51" t="s">
        <v>70</v>
      </c>
      <c r="C635" s="51" t="s">
        <v>2820</v>
      </c>
      <c r="D635" s="51" t="s">
        <v>71</v>
      </c>
      <c r="E635" s="52">
        <v>1</v>
      </c>
      <c r="F635" s="51" t="s">
        <v>282</v>
      </c>
      <c r="G635" s="51" t="s">
        <v>283</v>
      </c>
      <c r="H635" s="51" t="s">
        <v>249</v>
      </c>
      <c r="I635" s="52">
        <v>13</v>
      </c>
      <c r="J635" s="51" t="s">
        <v>250</v>
      </c>
      <c r="K635" s="52">
        <v>23</v>
      </c>
      <c r="L635" s="52">
        <v>6</v>
      </c>
      <c r="M635" s="52"/>
      <c r="N635" s="53" t="s">
        <v>284</v>
      </c>
      <c r="O635" s="53" t="s">
        <v>285</v>
      </c>
      <c r="P635" s="52"/>
      <c r="Q635" s="54"/>
      <c r="R635" s="63"/>
      <c r="S635" s="61"/>
      <c r="T635" s="55" t="s">
        <v>1661</v>
      </c>
      <c r="U635" s="55" t="s">
        <v>1662</v>
      </c>
      <c r="V635" s="63" t="s">
        <v>1663</v>
      </c>
      <c r="W635" s="82" t="s">
        <v>2834</v>
      </c>
      <c r="X635" s="55" t="s">
        <v>1597</v>
      </c>
      <c r="Y635" s="68" t="s">
        <v>741</v>
      </c>
      <c r="Z635" s="53" t="s">
        <v>2800</v>
      </c>
      <c r="AA635" s="60" t="s">
        <v>743</v>
      </c>
    </row>
    <row r="636" spans="2:27" ht="80.25" hidden="1" customHeight="1" x14ac:dyDescent="0.35">
      <c r="B636" s="66" t="s">
        <v>70</v>
      </c>
      <c r="C636" s="66" t="s">
        <v>2820</v>
      </c>
      <c r="D636" s="66" t="s">
        <v>71</v>
      </c>
      <c r="E636" s="77">
        <v>1</v>
      </c>
      <c r="F636" s="51" t="s">
        <v>2241</v>
      </c>
      <c r="G636" s="51" t="s">
        <v>2242</v>
      </c>
      <c r="H636" s="74" t="s">
        <v>1509</v>
      </c>
      <c r="I636" s="77">
        <v>14</v>
      </c>
      <c r="J636" s="51" t="s">
        <v>123</v>
      </c>
      <c r="K636" s="52">
        <v>4</v>
      </c>
      <c r="L636" s="77"/>
      <c r="M636" s="77"/>
      <c r="N636" s="53" t="s">
        <v>2173</v>
      </c>
      <c r="O636" s="53" t="s">
        <v>1511</v>
      </c>
      <c r="P636" s="77"/>
      <c r="Q636" s="72"/>
      <c r="R636" s="72"/>
      <c r="S636" s="74"/>
      <c r="T636" s="66"/>
      <c r="U636" s="74"/>
      <c r="V636" s="74"/>
      <c r="W636" s="77"/>
      <c r="X636" s="66" t="s">
        <v>2801</v>
      </c>
      <c r="Y636" s="72" t="s">
        <v>2835</v>
      </c>
      <c r="Z636" s="72" t="s">
        <v>2803</v>
      </c>
      <c r="AA636" s="75" t="s">
        <v>647</v>
      </c>
    </row>
    <row r="637" spans="2:27" ht="80.25" hidden="1" customHeight="1" x14ac:dyDescent="0.35">
      <c r="B637" s="66" t="s">
        <v>70</v>
      </c>
      <c r="C637" s="66" t="s">
        <v>2820</v>
      </c>
      <c r="D637" s="66" t="s">
        <v>71</v>
      </c>
      <c r="E637" s="77">
        <v>1</v>
      </c>
      <c r="F637" s="66" t="s">
        <v>2243</v>
      </c>
      <c r="G637" s="66" t="s">
        <v>2244</v>
      </c>
      <c r="H637" s="74" t="s">
        <v>746</v>
      </c>
      <c r="I637" s="77">
        <v>15</v>
      </c>
      <c r="J637" s="66" t="s">
        <v>123</v>
      </c>
      <c r="K637" s="77">
        <v>4</v>
      </c>
      <c r="L637" s="77"/>
      <c r="M637" s="77"/>
      <c r="N637" s="72" t="s">
        <v>1677</v>
      </c>
      <c r="O637" s="53" t="s">
        <v>1979</v>
      </c>
      <c r="P637" s="77"/>
      <c r="Q637" s="72" t="s">
        <v>1679</v>
      </c>
      <c r="R637" s="72"/>
      <c r="S637" s="74"/>
      <c r="T637" s="66"/>
      <c r="U637" s="74"/>
      <c r="V637" s="74"/>
      <c r="W637" s="77"/>
      <c r="X637" s="66" t="s">
        <v>2804</v>
      </c>
      <c r="Y637" s="72" t="s">
        <v>2836</v>
      </c>
      <c r="Z637" s="72" t="s">
        <v>2806</v>
      </c>
      <c r="AA637" s="75" t="s">
        <v>2807</v>
      </c>
    </row>
    <row r="638" spans="2:27" ht="80.25" hidden="1" customHeight="1" x14ac:dyDescent="0.35">
      <c r="B638" s="66" t="s">
        <v>70</v>
      </c>
      <c r="C638" s="66" t="s">
        <v>2820</v>
      </c>
      <c r="D638" s="66" t="s">
        <v>71</v>
      </c>
      <c r="E638" s="77">
        <v>1</v>
      </c>
      <c r="F638" s="66" t="s">
        <v>2245</v>
      </c>
      <c r="G638" s="66" t="s">
        <v>2246</v>
      </c>
      <c r="H638" s="74" t="s">
        <v>767</v>
      </c>
      <c r="I638" s="77">
        <v>16</v>
      </c>
      <c r="J638" s="66" t="s">
        <v>250</v>
      </c>
      <c r="K638" s="77">
        <v>23</v>
      </c>
      <c r="L638" s="77">
        <v>6</v>
      </c>
      <c r="M638" s="77"/>
      <c r="N638" s="72" t="s">
        <v>2180</v>
      </c>
      <c r="O638" s="53" t="s">
        <v>1990</v>
      </c>
      <c r="P638" s="77"/>
      <c r="Q638" s="74"/>
      <c r="R638" s="72"/>
      <c r="S638" s="74"/>
      <c r="T638" s="66"/>
      <c r="U638" s="74"/>
      <c r="V638" s="74"/>
      <c r="W638" s="77"/>
      <c r="X638" s="66" t="s">
        <v>1585</v>
      </c>
      <c r="Y638" s="84" t="s">
        <v>2808</v>
      </c>
      <c r="Z638" s="84" t="s">
        <v>2809</v>
      </c>
      <c r="AA638" s="75" t="s">
        <v>372</v>
      </c>
    </row>
    <row r="639" spans="2:27" ht="80.25" hidden="1" customHeight="1" x14ac:dyDescent="0.35">
      <c r="B639" s="66" t="s">
        <v>70</v>
      </c>
      <c r="C639" s="66" t="s">
        <v>2820</v>
      </c>
      <c r="D639" s="66" t="s">
        <v>71</v>
      </c>
      <c r="E639" s="77">
        <v>1</v>
      </c>
      <c r="F639" s="66" t="s">
        <v>2247</v>
      </c>
      <c r="G639" s="66" t="s">
        <v>2248</v>
      </c>
      <c r="H639" s="74" t="s">
        <v>767</v>
      </c>
      <c r="I639" s="77">
        <v>17</v>
      </c>
      <c r="J639" s="66" t="s">
        <v>250</v>
      </c>
      <c r="K639" s="77">
        <v>23</v>
      </c>
      <c r="L639" s="77">
        <v>6</v>
      </c>
      <c r="M639" s="77"/>
      <c r="N639" s="72" t="s">
        <v>1686</v>
      </c>
      <c r="O639" s="53" t="s">
        <v>2000</v>
      </c>
      <c r="P639" s="77"/>
      <c r="Q639" s="74"/>
      <c r="R639" s="72"/>
      <c r="S639" s="74"/>
      <c r="T639" s="66"/>
      <c r="U639" s="74"/>
      <c r="V639" s="74"/>
      <c r="W639" s="77"/>
      <c r="X639" s="66" t="s">
        <v>1585</v>
      </c>
      <c r="Y639" s="72" t="s">
        <v>2835</v>
      </c>
      <c r="Z639" s="72" t="s">
        <v>2810</v>
      </c>
      <c r="AA639" s="75" t="s">
        <v>647</v>
      </c>
    </row>
    <row r="640" spans="2:27" ht="80.25" hidden="1" customHeight="1" x14ac:dyDescent="0.35">
      <c r="B640" s="66" t="s">
        <v>70</v>
      </c>
      <c r="C640" s="66" t="s">
        <v>2820</v>
      </c>
      <c r="D640" s="66" t="s">
        <v>71</v>
      </c>
      <c r="E640" s="77">
        <v>1</v>
      </c>
      <c r="F640" s="66" t="s">
        <v>2249</v>
      </c>
      <c r="G640" s="66" t="s">
        <v>2250</v>
      </c>
      <c r="H640" s="74" t="s">
        <v>767</v>
      </c>
      <c r="I640" s="77">
        <v>18</v>
      </c>
      <c r="J640" s="66" t="s">
        <v>250</v>
      </c>
      <c r="K640" s="77">
        <v>23</v>
      </c>
      <c r="L640" s="77">
        <v>6</v>
      </c>
      <c r="M640" s="77"/>
      <c r="N640" s="72" t="s">
        <v>2187</v>
      </c>
      <c r="O640" s="53" t="s">
        <v>1517</v>
      </c>
      <c r="P640" s="77"/>
      <c r="Q640" s="66"/>
      <c r="R640" s="67" t="s">
        <v>788</v>
      </c>
      <c r="S640" s="66" t="s">
        <v>1518</v>
      </c>
      <c r="T640" s="77"/>
      <c r="U640" s="77"/>
      <c r="V640" s="77"/>
      <c r="W640" s="77"/>
      <c r="X640" s="66" t="s">
        <v>1585</v>
      </c>
      <c r="Y640" s="107" t="s">
        <v>2837</v>
      </c>
      <c r="Z640" s="84" t="s">
        <v>2812</v>
      </c>
      <c r="AA640" s="75" t="s">
        <v>647</v>
      </c>
    </row>
    <row r="641" spans="2:27" ht="80.25" hidden="1" customHeight="1" x14ac:dyDescent="0.35">
      <c r="B641" s="66" t="s">
        <v>70</v>
      </c>
      <c r="C641" s="66" t="s">
        <v>2820</v>
      </c>
      <c r="D641" s="66" t="s">
        <v>71</v>
      </c>
      <c r="E641" s="77">
        <v>1</v>
      </c>
      <c r="F641" s="66" t="s">
        <v>2251</v>
      </c>
      <c r="G641" s="66" t="s">
        <v>2252</v>
      </c>
      <c r="H641" s="74" t="s">
        <v>746</v>
      </c>
      <c r="I641" s="77">
        <v>19</v>
      </c>
      <c r="J641" s="66" t="s">
        <v>123</v>
      </c>
      <c r="K641" s="77">
        <v>4</v>
      </c>
      <c r="L641" s="77"/>
      <c r="M641" s="77"/>
      <c r="N641" s="72" t="s">
        <v>2191</v>
      </c>
      <c r="O641" s="53" t="s">
        <v>748</v>
      </c>
      <c r="P641" s="77"/>
      <c r="Q641" s="72" t="s">
        <v>1673</v>
      </c>
      <c r="R641" s="72"/>
      <c r="S641" s="74"/>
      <c r="T641" s="66"/>
      <c r="U641" s="74"/>
      <c r="V641" s="74"/>
      <c r="W641" s="77"/>
      <c r="X641" s="66" t="s">
        <v>2804</v>
      </c>
      <c r="Y641" s="72" t="s">
        <v>2835</v>
      </c>
      <c r="Z641" s="72" t="s">
        <v>2803</v>
      </c>
      <c r="AA641" s="75" t="s">
        <v>647</v>
      </c>
    </row>
    <row r="642" spans="2:27" ht="80.25" hidden="1" customHeight="1" x14ac:dyDescent="0.35">
      <c r="B642" s="66" t="s">
        <v>70</v>
      </c>
      <c r="C642" s="66" t="s">
        <v>2820</v>
      </c>
      <c r="D642" s="66" t="s">
        <v>71</v>
      </c>
      <c r="E642" s="77">
        <v>1</v>
      </c>
      <c r="F642" s="66" t="s">
        <v>2253</v>
      </c>
      <c r="G642" s="66" t="s">
        <v>2254</v>
      </c>
      <c r="H642" s="74" t="s">
        <v>746</v>
      </c>
      <c r="I642" s="77">
        <v>20</v>
      </c>
      <c r="J642" s="66" t="s">
        <v>123</v>
      </c>
      <c r="K642" s="77">
        <v>4</v>
      </c>
      <c r="L642" s="77"/>
      <c r="M642" s="77"/>
      <c r="N642" s="72" t="s">
        <v>1698</v>
      </c>
      <c r="O642" s="53" t="s">
        <v>758</v>
      </c>
      <c r="P642" s="77"/>
      <c r="Q642" s="72" t="s">
        <v>1700</v>
      </c>
      <c r="R642" s="72"/>
      <c r="S642" s="74"/>
      <c r="T642" s="66"/>
      <c r="U642" s="74"/>
      <c r="V642" s="74"/>
      <c r="W642" s="77"/>
      <c r="X642" s="66" t="s">
        <v>2804</v>
      </c>
      <c r="Y642" s="72" t="s">
        <v>2836</v>
      </c>
      <c r="Z642" s="72" t="s">
        <v>2806</v>
      </c>
      <c r="AA642" s="75" t="s">
        <v>2807</v>
      </c>
    </row>
    <row r="643" spans="2:27" ht="80.25" hidden="1" customHeight="1" x14ac:dyDescent="0.35">
      <c r="B643" s="66" t="s">
        <v>70</v>
      </c>
      <c r="C643" s="66" t="s">
        <v>2820</v>
      </c>
      <c r="D643" s="66" t="s">
        <v>71</v>
      </c>
      <c r="E643" s="77">
        <v>1</v>
      </c>
      <c r="F643" s="66" t="s">
        <v>2256</v>
      </c>
      <c r="G643" s="66" t="s">
        <v>2257</v>
      </c>
      <c r="H643" s="74" t="s">
        <v>767</v>
      </c>
      <c r="I643" s="77">
        <v>27</v>
      </c>
      <c r="J643" s="66" t="s">
        <v>250</v>
      </c>
      <c r="K643" s="77">
        <v>23</v>
      </c>
      <c r="L643" s="77">
        <v>6</v>
      </c>
      <c r="M643" s="77"/>
      <c r="N643" s="72" t="s">
        <v>2198</v>
      </c>
      <c r="O643" s="53" t="s">
        <v>769</v>
      </c>
      <c r="P643" s="77"/>
      <c r="Q643" s="74"/>
      <c r="R643" s="72"/>
      <c r="S643" s="74"/>
      <c r="T643" s="66"/>
      <c r="U643" s="74"/>
      <c r="V643" s="74"/>
      <c r="W643" s="77"/>
      <c r="X643" s="66" t="s">
        <v>1585</v>
      </c>
      <c r="Y643" s="84" t="s">
        <v>2808</v>
      </c>
      <c r="Z643" s="84" t="s">
        <v>2809</v>
      </c>
      <c r="AA643" s="75" t="s">
        <v>372</v>
      </c>
    </row>
    <row r="644" spans="2:27" ht="80.25" hidden="1" customHeight="1" x14ac:dyDescent="0.35">
      <c r="B644" s="66" t="s">
        <v>70</v>
      </c>
      <c r="C644" s="66" t="s">
        <v>2820</v>
      </c>
      <c r="D644" s="66" t="s">
        <v>71</v>
      </c>
      <c r="E644" s="77">
        <v>1</v>
      </c>
      <c r="F644" s="66" t="s">
        <v>2838</v>
      </c>
      <c r="G644" s="66" t="s">
        <v>2259</v>
      </c>
      <c r="H644" s="74" t="s">
        <v>767</v>
      </c>
      <c r="I644" s="77">
        <v>28</v>
      </c>
      <c r="J644" s="66" t="s">
        <v>250</v>
      </c>
      <c r="K644" s="77">
        <v>23</v>
      </c>
      <c r="L644" s="77">
        <v>6</v>
      </c>
      <c r="M644" s="77"/>
      <c r="N644" s="72" t="s">
        <v>777</v>
      </c>
      <c r="O644" s="53" t="s">
        <v>778</v>
      </c>
      <c r="P644" s="77"/>
      <c r="Q644" s="74"/>
      <c r="R644" s="72"/>
      <c r="S644" s="74"/>
      <c r="T644" s="66"/>
      <c r="U644" s="74"/>
      <c r="V644" s="74"/>
      <c r="W644" s="77"/>
      <c r="X644" s="66" t="s">
        <v>1585</v>
      </c>
      <c r="Y644" s="72" t="s">
        <v>2835</v>
      </c>
      <c r="Z644" s="72" t="s">
        <v>2810</v>
      </c>
      <c r="AA644" s="75" t="s">
        <v>647</v>
      </c>
    </row>
    <row r="645" spans="2:27" ht="80.25" hidden="1" customHeight="1" x14ac:dyDescent="0.35">
      <c r="B645" s="66" t="s">
        <v>70</v>
      </c>
      <c r="C645" s="66" t="s">
        <v>2820</v>
      </c>
      <c r="D645" s="66" t="s">
        <v>71</v>
      </c>
      <c r="E645" s="77">
        <v>1</v>
      </c>
      <c r="F645" s="66" t="s">
        <v>2260</v>
      </c>
      <c r="G645" s="369" t="s">
        <v>2261</v>
      </c>
      <c r="H645" s="74" t="s">
        <v>767</v>
      </c>
      <c r="I645" s="77">
        <v>29</v>
      </c>
      <c r="J645" s="66" t="s">
        <v>250</v>
      </c>
      <c r="K645" s="77">
        <v>23</v>
      </c>
      <c r="L645" s="77">
        <v>6</v>
      </c>
      <c r="M645" s="77"/>
      <c r="N645" s="72" t="s">
        <v>2205</v>
      </c>
      <c r="O645" s="53" t="s">
        <v>787</v>
      </c>
      <c r="P645" s="77"/>
      <c r="Q645" s="66"/>
      <c r="R645" s="67" t="s">
        <v>1712</v>
      </c>
      <c r="S645" s="67" t="s">
        <v>1713</v>
      </c>
      <c r="T645" s="77"/>
      <c r="U645" s="77"/>
      <c r="V645" s="77"/>
      <c r="W645" s="77"/>
      <c r="X645" s="66" t="s">
        <v>1585</v>
      </c>
      <c r="Y645" s="72" t="s">
        <v>2837</v>
      </c>
      <c r="Z645" s="84" t="s">
        <v>2812</v>
      </c>
      <c r="AA645" s="75" t="s">
        <v>647</v>
      </c>
    </row>
    <row r="646" spans="2:27" ht="80.25" hidden="1" customHeight="1" x14ac:dyDescent="0.35">
      <c r="B646" s="51" t="s">
        <v>70</v>
      </c>
      <c r="C646" s="51" t="s">
        <v>2820</v>
      </c>
      <c r="D646" s="51" t="s">
        <v>71</v>
      </c>
      <c r="E646" s="52">
        <v>1</v>
      </c>
      <c r="F646" s="51" t="s">
        <v>293</v>
      </c>
      <c r="G646" s="220" t="s">
        <v>294</v>
      </c>
      <c r="H646" s="51" t="s">
        <v>295</v>
      </c>
      <c r="I646" s="52">
        <v>30</v>
      </c>
      <c r="J646" s="51" t="s">
        <v>123</v>
      </c>
      <c r="K646" s="52">
        <v>4</v>
      </c>
      <c r="L646" s="52"/>
      <c r="M646" s="52"/>
      <c r="N646" s="53" t="s">
        <v>296</v>
      </c>
      <c r="O646" s="53" t="s">
        <v>297</v>
      </c>
      <c r="P646" s="52"/>
      <c r="Q646" s="53" t="s">
        <v>2813</v>
      </c>
      <c r="R646" s="55" t="s">
        <v>299</v>
      </c>
      <c r="S646" s="55" t="s">
        <v>300</v>
      </c>
      <c r="T646" s="55" t="s">
        <v>1575</v>
      </c>
      <c r="U646" s="55" t="s">
        <v>1576</v>
      </c>
      <c r="V646" s="55" t="s">
        <v>555</v>
      </c>
      <c r="W646" s="82" t="s">
        <v>2839</v>
      </c>
      <c r="X646" s="51" t="s">
        <v>1585</v>
      </c>
      <c r="Y646" s="54" t="s">
        <v>1582</v>
      </c>
      <c r="Z646" s="54" t="s">
        <v>1042</v>
      </c>
      <c r="AA646" s="52" t="s">
        <v>372</v>
      </c>
    </row>
    <row r="647" spans="2:27" ht="80.25" customHeight="1" x14ac:dyDescent="0.35">
      <c r="B647" s="51" t="s">
        <v>70</v>
      </c>
      <c r="C647" s="51" t="s">
        <v>2820</v>
      </c>
      <c r="D647" s="51" t="s">
        <v>71</v>
      </c>
      <c r="E647" s="52">
        <v>1</v>
      </c>
      <c r="F647" s="51" t="s">
        <v>304</v>
      </c>
      <c r="G647" s="51" t="s">
        <v>305</v>
      </c>
      <c r="H647" s="51" t="s">
        <v>295</v>
      </c>
      <c r="I647" s="52">
        <v>31</v>
      </c>
      <c r="J647" s="51" t="s">
        <v>123</v>
      </c>
      <c r="K647" s="52">
        <v>4</v>
      </c>
      <c r="L647" s="52"/>
      <c r="M647" s="52"/>
      <c r="N647" s="53" t="s">
        <v>306</v>
      </c>
      <c r="O647" s="53" t="s">
        <v>307</v>
      </c>
      <c r="P647" s="52"/>
      <c r="Q647" s="55" t="s">
        <v>459</v>
      </c>
      <c r="R647" s="55" t="s">
        <v>203</v>
      </c>
      <c r="S647" s="51" t="s">
        <v>309</v>
      </c>
      <c r="T647" s="55" t="s">
        <v>1575</v>
      </c>
      <c r="U647" s="55" t="s">
        <v>1576</v>
      </c>
      <c r="V647" s="55" t="s">
        <v>555</v>
      </c>
      <c r="W647" s="82" t="s">
        <v>2840</v>
      </c>
      <c r="X647" s="51" t="s">
        <v>1585</v>
      </c>
      <c r="Y647" s="55" t="s">
        <v>372</v>
      </c>
      <c r="Z647" s="55" t="s">
        <v>372</v>
      </c>
      <c r="AA647" s="52" t="s">
        <v>462</v>
      </c>
    </row>
    <row r="648" spans="2:27" ht="80.25" hidden="1" customHeight="1" x14ac:dyDescent="0.35">
      <c r="B648" s="51" t="s">
        <v>70</v>
      </c>
      <c r="C648" s="51" t="s">
        <v>2820</v>
      </c>
      <c r="D648" s="51" t="s">
        <v>71</v>
      </c>
      <c r="E648" s="52">
        <v>1</v>
      </c>
      <c r="F648" s="51" t="s">
        <v>317</v>
      </c>
      <c r="G648" s="51" t="s">
        <v>318</v>
      </c>
      <c r="H648" s="51" t="s">
        <v>319</v>
      </c>
      <c r="I648" s="52">
        <v>32</v>
      </c>
      <c r="J648" s="51" t="s">
        <v>123</v>
      </c>
      <c r="K648" s="52">
        <v>2</v>
      </c>
      <c r="L648" s="52"/>
      <c r="M648" s="52"/>
      <c r="N648" s="53" t="s">
        <v>320</v>
      </c>
      <c r="O648" s="53" t="s">
        <v>321</v>
      </c>
      <c r="P648" s="52"/>
      <c r="Q648" s="53" t="s">
        <v>463</v>
      </c>
      <c r="R648" s="55"/>
      <c r="S648" s="51"/>
      <c r="T648" s="55" t="s">
        <v>1578</v>
      </c>
      <c r="U648" s="55" t="s">
        <v>1579</v>
      </c>
      <c r="V648" s="55" t="s">
        <v>351</v>
      </c>
      <c r="W648" s="82" t="s">
        <v>2841</v>
      </c>
      <c r="X648" s="55" t="s">
        <v>1597</v>
      </c>
      <c r="Y648" s="55" t="s">
        <v>372</v>
      </c>
      <c r="Z648" s="55" t="s">
        <v>372</v>
      </c>
      <c r="AA648" s="52" t="s">
        <v>2817</v>
      </c>
    </row>
    <row r="649" spans="2:27" ht="80.25" hidden="1" customHeight="1" x14ac:dyDescent="0.35">
      <c r="B649" s="51" t="s">
        <v>70</v>
      </c>
      <c r="C649" s="51" t="s">
        <v>2820</v>
      </c>
      <c r="D649" s="51" t="s">
        <v>71</v>
      </c>
      <c r="E649" s="52">
        <v>1</v>
      </c>
      <c r="F649" s="51" t="s">
        <v>326</v>
      </c>
      <c r="G649" s="51" t="s">
        <v>327</v>
      </c>
      <c r="H649" s="51" t="s">
        <v>328</v>
      </c>
      <c r="I649" s="52">
        <v>33</v>
      </c>
      <c r="J649" s="51" t="s">
        <v>123</v>
      </c>
      <c r="K649" s="52">
        <v>10</v>
      </c>
      <c r="L649" s="52"/>
      <c r="M649" s="52"/>
      <c r="N649" s="53" t="s">
        <v>329</v>
      </c>
      <c r="O649" s="53" t="s">
        <v>361</v>
      </c>
      <c r="P649" s="52" t="s">
        <v>126</v>
      </c>
      <c r="Q649" s="54"/>
      <c r="R649" s="55" t="s">
        <v>275</v>
      </c>
      <c r="S649" s="51" t="s">
        <v>803</v>
      </c>
      <c r="T649" s="55" t="s">
        <v>1578</v>
      </c>
      <c r="U649" s="55" t="s">
        <v>1579</v>
      </c>
      <c r="V649" s="55" t="s">
        <v>804</v>
      </c>
      <c r="W649" s="82" t="s">
        <v>2842</v>
      </c>
      <c r="X649" s="55" t="s">
        <v>372</v>
      </c>
      <c r="Y649" s="55" t="s">
        <v>372</v>
      </c>
      <c r="Z649" s="55" t="s">
        <v>372</v>
      </c>
      <c r="AA649" s="52" t="s">
        <v>372</v>
      </c>
    </row>
    <row r="650" spans="2:27" ht="80.25" hidden="1" customHeight="1" x14ac:dyDescent="0.35">
      <c r="B650" s="51" t="s">
        <v>70</v>
      </c>
      <c r="C650" s="51" t="s">
        <v>2820</v>
      </c>
      <c r="D650" s="51" t="s">
        <v>71</v>
      </c>
      <c r="E650" s="52">
        <v>1</v>
      </c>
      <c r="F650" s="51" t="s">
        <v>333</v>
      </c>
      <c r="G650" s="51" t="s">
        <v>334</v>
      </c>
      <c r="H650" s="51" t="s">
        <v>335</v>
      </c>
      <c r="I650" s="52">
        <v>34</v>
      </c>
      <c r="J650" s="51" t="s">
        <v>336</v>
      </c>
      <c r="K650" s="52">
        <v>23</v>
      </c>
      <c r="L650" s="52"/>
      <c r="M650" s="52"/>
      <c r="N650" s="53" t="s">
        <v>337</v>
      </c>
      <c r="O650" s="53" t="s">
        <v>338</v>
      </c>
      <c r="P650" s="52"/>
      <c r="Q650" s="54"/>
      <c r="R650" s="55"/>
      <c r="S650" s="51"/>
      <c r="T650" s="55" t="s">
        <v>1578</v>
      </c>
      <c r="U650" s="55" t="s">
        <v>1579</v>
      </c>
      <c r="V650" s="55" t="s">
        <v>351</v>
      </c>
      <c r="W650" s="82" t="s">
        <v>2843</v>
      </c>
      <c r="X650" s="55" t="s">
        <v>372</v>
      </c>
      <c r="Y650" s="55" t="s">
        <v>372</v>
      </c>
      <c r="Z650" s="55" t="s">
        <v>372</v>
      </c>
      <c r="AA650" s="52" t="s">
        <v>372</v>
      </c>
    </row>
    <row r="651" spans="2:27" ht="80.25" hidden="1" customHeight="1" x14ac:dyDescent="0.35">
      <c r="B651" s="51" t="s">
        <v>73</v>
      </c>
      <c r="C651" s="51" t="s">
        <v>2844</v>
      </c>
      <c r="D651" s="51" t="s">
        <v>74</v>
      </c>
      <c r="E651" s="52">
        <v>2</v>
      </c>
      <c r="F651" s="51" t="s">
        <v>1155</v>
      </c>
      <c r="G651" s="51" t="s">
        <v>1156</v>
      </c>
      <c r="H651" s="54" t="s">
        <v>1157</v>
      </c>
      <c r="I651" s="52">
        <v>1</v>
      </c>
      <c r="J651" s="51" t="s">
        <v>123</v>
      </c>
      <c r="K651" s="52">
        <v>16</v>
      </c>
      <c r="L651" s="52"/>
      <c r="M651" s="52"/>
      <c r="N651" s="329" t="s">
        <v>1158</v>
      </c>
      <c r="O651" s="54" t="s">
        <v>1159</v>
      </c>
      <c r="P651" s="52" t="s">
        <v>126</v>
      </c>
      <c r="Q651" s="54"/>
      <c r="R651" s="55" t="s">
        <v>1160</v>
      </c>
      <c r="S651" s="51" t="s">
        <v>1155</v>
      </c>
      <c r="T651" s="53" t="s">
        <v>1161</v>
      </c>
      <c r="U651" s="53" t="s">
        <v>1728</v>
      </c>
      <c r="V651" s="53" t="s">
        <v>1163</v>
      </c>
      <c r="W651" s="319" t="s">
        <v>2845</v>
      </c>
      <c r="X651" s="51" t="s">
        <v>1165</v>
      </c>
      <c r="Y651" s="69" t="s">
        <v>1166</v>
      </c>
      <c r="Z651" s="69" t="s">
        <v>1167</v>
      </c>
      <c r="AA651" s="52" t="s">
        <v>372</v>
      </c>
    </row>
    <row r="652" spans="2:27" ht="80.25" hidden="1" customHeight="1" x14ac:dyDescent="0.35">
      <c r="B652" s="51" t="s">
        <v>73</v>
      </c>
      <c r="C652" s="51" t="s">
        <v>2844</v>
      </c>
      <c r="D652" s="51" t="s">
        <v>74</v>
      </c>
      <c r="E652" s="52">
        <v>2</v>
      </c>
      <c r="F652" s="51" t="s">
        <v>120</v>
      </c>
      <c r="G652" s="51" t="s">
        <v>121</v>
      </c>
      <c r="H652" s="54" t="s">
        <v>150</v>
      </c>
      <c r="I652" s="52">
        <v>2</v>
      </c>
      <c r="J652" s="51" t="s">
        <v>123</v>
      </c>
      <c r="K652" s="52">
        <v>4</v>
      </c>
      <c r="L652" s="52"/>
      <c r="M652" s="52"/>
      <c r="N652" s="328" t="s">
        <v>124</v>
      </c>
      <c r="O652" s="53" t="s">
        <v>125</v>
      </c>
      <c r="P652" s="52"/>
      <c r="Q652" s="54"/>
      <c r="R652" s="55" t="s">
        <v>1160</v>
      </c>
      <c r="S652" s="51" t="s">
        <v>136</v>
      </c>
      <c r="T652" s="55" t="s">
        <v>1170</v>
      </c>
      <c r="U652" s="55" t="s">
        <v>1730</v>
      </c>
      <c r="V652" s="55" t="s">
        <v>555</v>
      </c>
      <c r="W652" s="355" t="s">
        <v>2846</v>
      </c>
      <c r="X652" s="51" t="s">
        <v>1165</v>
      </c>
      <c r="Y652" s="54" t="s">
        <v>372</v>
      </c>
      <c r="Z652" s="54" t="s">
        <v>372</v>
      </c>
      <c r="AA652" s="52" t="s">
        <v>373</v>
      </c>
    </row>
    <row r="653" spans="2:27" ht="80.25" hidden="1" customHeight="1" x14ac:dyDescent="0.35">
      <c r="B653" s="51" t="s">
        <v>73</v>
      </c>
      <c r="C653" s="51" t="s">
        <v>2844</v>
      </c>
      <c r="D653" s="51" t="s">
        <v>74</v>
      </c>
      <c r="E653" s="52">
        <v>2</v>
      </c>
      <c r="F653" s="51" t="s">
        <v>136</v>
      </c>
      <c r="G653" s="51" t="s">
        <v>137</v>
      </c>
      <c r="H653" s="54" t="s">
        <v>150</v>
      </c>
      <c r="I653" s="52">
        <v>3</v>
      </c>
      <c r="J653" s="51" t="s">
        <v>123</v>
      </c>
      <c r="K653" s="52">
        <v>30</v>
      </c>
      <c r="L653" s="52"/>
      <c r="M653" s="52"/>
      <c r="N653" s="53" t="s">
        <v>1732</v>
      </c>
      <c r="O653" s="53" t="s">
        <v>1733</v>
      </c>
      <c r="P653" s="52"/>
      <c r="Q653" s="54"/>
      <c r="R653" s="55" t="s">
        <v>1160</v>
      </c>
      <c r="S653" s="51" t="s">
        <v>136</v>
      </c>
      <c r="T653" s="53" t="s">
        <v>1178</v>
      </c>
      <c r="U653" s="53" t="s">
        <v>1734</v>
      </c>
      <c r="V653" s="53" t="s">
        <v>1180</v>
      </c>
      <c r="W653" s="319" t="s">
        <v>2847</v>
      </c>
      <c r="X653" s="51" t="s">
        <v>1165</v>
      </c>
      <c r="Y653" s="54" t="s">
        <v>1182</v>
      </c>
      <c r="Z653" s="54" t="s">
        <v>1029</v>
      </c>
      <c r="AA653" s="52" t="s">
        <v>372</v>
      </c>
    </row>
    <row r="654" spans="2:27" ht="80.25" hidden="1" customHeight="1" x14ac:dyDescent="0.35">
      <c r="B654" s="51" t="s">
        <v>73</v>
      </c>
      <c r="C654" s="51" t="s">
        <v>2844</v>
      </c>
      <c r="D654" s="51" t="s">
        <v>74</v>
      </c>
      <c r="E654" s="52">
        <v>2</v>
      </c>
      <c r="F654" s="51" t="s">
        <v>1183</v>
      </c>
      <c r="G654" s="51" t="s">
        <v>1184</v>
      </c>
      <c r="H654" s="54" t="s">
        <v>150</v>
      </c>
      <c r="I654" s="52">
        <v>4</v>
      </c>
      <c r="J654" s="51" t="s">
        <v>123</v>
      </c>
      <c r="K654" s="52">
        <v>4</v>
      </c>
      <c r="L654" s="52"/>
      <c r="M654" s="52"/>
      <c r="N654" s="53" t="s">
        <v>1737</v>
      </c>
      <c r="O654" s="53" t="s">
        <v>1186</v>
      </c>
      <c r="P654" s="52"/>
      <c r="Q654" s="54"/>
      <c r="R654" s="55"/>
      <c r="S654" s="51"/>
      <c r="T654" s="53" t="s">
        <v>1161</v>
      </c>
      <c r="U654" s="53" t="s">
        <v>1728</v>
      </c>
      <c r="V654" s="53" t="s">
        <v>1188</v>
      </c>
      <c r="W654" s="319" t="s">
        <v>1738</v>
      </c>
      <c r="X654" s="51" t="s">
        <v>1165</v>
      </c>
      <c r="Y654" s="54" t="s">
        <v>1166</v>
      </c>
      <c r="Z654" s="54" t="s">
        <v>1190</v>
      </c>
      <c r="AA654" s="52" t="s">
        <v>372</v>
      </c>
    </row>
    <row r="655" spans="2:27" ht="80.25" hidden="1" customHeight="1" x14ac:dyDescent="0.35">
      <c r="B655" s="51" t="s">
        <v>73</v>
      </c>
      <c r="C655" s="51" t="s">
        <v>2844</v>
      </c>
      <c r="D655" s="51" t="s">
        <v>74</v>
      </c>
      <c r="E655" s="52">
        <v>2</v>
      </c>
      <c r="F655" s="51" t="s">
        <v>1191</v>
      </c>
      <c r="G655" s="51" t="s">
        <v>1192</v>
      </c>
      <c r="H655" s="54" t="s">
        <v>150</v>
      </c>
      <c r="I655" s="52">
        <v>5</v>
      </c>
      <c r="J655" s="51" t="s">
        <v>1136</v>
      </c>
      <c r="K655" s="52"/>
      <c r="L655" s="52"/>
      <c r="M655" s="52"/>
      <c r="N655" s="53" t="s">
        <v>1193</v>
      </c>
      <c r="O655" s="53" t="s">
        <v>1194</v>
      </c>
      <c r="P655" s="52"/>
      <c r="Q655" s="51"/>
      <c r="R655" s="55"/>
      <c r="S655" s="51"/>
      <c r="T655" s="53" t="s">
        <v>1195</v>
      </c>
      <c r="U655" s="53" t="s">
        <v>1739</v>
      </c>
      <c r="V655" s="53" t="s">
        <v>1197</v>
      </c>
      <c r="W655" s="319" t="s">
        <v>1740</v>
      </c>
      <c r="X655" s="51" t="s">
        <v>1165</v>
      </c>
      <c r="Y655" s="54" t="s">
        <v>1166</v>
      </c>
      <c r="Z655" s="54" t="s">
        <v>1190</v>
      </c>
      <c r="AA655" s="52" t="s">
        <v>372</v>
      </c>
    </row>
    <row r="656" spans="2:27" ht="80.25" hidden="1" customHeight="1" x14ac:dyDescent="0.35">
      <c r="B656" s="51" t="s">
        <v>73</v>
      </c>
      <c r="C656" s="51" t="s">
        <v>2844</v>
      </c>
      <c r="D656" s="51" t="s">
        <v>74</v>
      </c>
      <c r="E656" s="52">
        <v>2</v>
      </c>
      <c r="F656" s="51" t="s">
        <v>1199</v>
      </c>
      <c r="G656" s="51" t="s">
        <v>1200</v>
      </c>
      <c r="H656" s="54" t="s">
        <v>200</v>
      </c>
      <c r="I656" s="52">
        <v>6</v>
      </c>
      <c r="J656" s="51" t="s">
        <v>123</v>
      </c>
      <c r="K656" s="52">
        <v>10</v>
      </c>
      <c r="L656" s="52"/>
      <c r="M656" s="52"/>
      <c r="N656" s="53" t="s">
        <v>1201</v>
      </c>
      <c r="O656" s="53" t="s">
        <v>1202</v>
      </c>
      <c r="P656" s="52"/>
      <c r="Q656" s="54"/>
      <c r="R656" s="55" t="s">
        <v>1160</v>
      </c>
      <c r="S656" s="51" t="s">
        <v>1203</v>
      </c>
      <c r="T656" s="53" t="s">
        <v>1161</v>
      </c>
      <c r="U656" s="53" t="s">
        <v>1728</v>
      </c>
      <c r="V656" s="53" t="s">
        <v>1204</v>
      </c>
      <c r="W656" s="319" t="s">
        <v>2848</v>
      </c>
      <c r="X656" s="51" t="s">
        <v>1165</v>
      </c>
      <c r="Y656" s="69" t="s">
        <v>1166</v>
      </c>
      <c r="Z656" s="69" t="s">
        <v>1206</v>
      </c>
      <c r="AA656" s="52" t="s">
        <v>372</v>
      </c>
    </row>
    <row r="657" spans="2:27" ht="80.25" hidden="1" customHeight="1" x14ac:dyDescent="0.35">
      <c r="B657" s="51" t="s">
        <v>73</v>
      </c>
      <c r="C657" s="51" t="s">
        <v>2844</v>
      </c>
      <c r="D657" s="51" t="s">
        <v>74</v>
      </c>
      <c r="E657" s="52">
        <v>2</v>
      </c>
      <c r="F657" s="51" t="s">
        <v>1207</v>
      </c>
      <c r="G657" s="51" t="s">
        <v>1208</v>
      </c>
      <c r="H657" s="54" t="s">
        <v>200</v>
      </c>
      <c r="I657" s="52">
        <v>7</v>
      </c>
      <c r="J657" s="51" t="s">
        <v>123</v>
      </c>
      <c r="K657" s="52">
        <v>10</v>
      </c>
      <c r="L657" s="52"/>
      <c r="M657" s="52"/>
      <c r="N657" s="53" t="s">
        <v>1209</v>
      </c>
      <c r="O657" s="53" t="s">
        <v>1210</v>
      </c>
      <c r="P657" s="52"/>
      <c r="Q657" s="54"/>
      <c r="R657" s="55" t="s">
        <v>1160</v>
      </c>
      <c r="S657" s="51" t="s">
        <v>1211</v>
      </c>
      <c r="T657" s="53" t="s">
        <v>1161</v>
      </c>
      <c r="U657" s="53" t="s">
        <v>1728</v>
      </c>
      <c r="V657" s="53" t="s">
        <v>1212</v>
      </c>
      <c r="W657" s="319" t="s">
        <v>2849</v>
      </c>
      <c r="X657" s="51" t="s">
        <v>1165</v>
      </c>
      <c r="Y657" s="69" t="s">
        <v>1166</v>
      </c>
      <c r="Z657" s="69" t="s">
        <v>1214</v>
      </c>
      <c r="AA657" s="52" t="s">
        <v>372</v>
      </c>
    </row>
    <row r="658" spans="2:27" ht="80.25" hidden="1" customHeight="1" x14ac:dyDescent="0.35">
      <c r="B658" s="51" t="s">
        <v>73</v>
      </c>
      <c r="C658" s="51" t="s">
        <v>2844</v>
      </c>
      <c r="D658" s="51" t="s">
        <v>74</v>
      </c>
      <c r="E658" s="52">
        <v>2</v>
      </c>
      <c r="F658" s="51" t="s">
        <v>1215</v>
      </c>
      <c r="G658" s="51" t="s">
        <v>1216</v>
      </c>
      <c r="H658" s="54" t="s">
        <v>1217</v>
      </c>
      <c r="I658" s="52">
        <v>8</v>
      </c>
      <c r="J658" s="51" t="s">
        <v>250</v>
      </c>
      <c r="K658" s="52">
        <v>23</v>
      </c>
      <c r="L658" s="52">
        <v>6</v>
      </c>
      <c r="M658" s="52"/>
      <c r="N658" s="53" t="s">
        <v>1218</v>
      </c>
      <c r="O658" s="53" t="s">
        <v>1219</v>
      </c>
      <c r="P658" s="52"/>
      <c r="Q658" s="54"/>
      <c r="R658" s="55" t="s">
        <v>1160</v>
      </c>
      <c r="S658" s="51" t="s">
        <v>1220</v>
      </c>
      <c r="T658" s="53" t="s">
        <v>1161</v>
      </c>
      <c r="U658" s="53" t="s">
        <v>1743</v>
      </c>
      <c r="V658" s="53" t="s">
        <v>1222</v>
      </c>
      <c r="W658" s="319" t="s">
        <v>2850</v>
      </c>
      <c r="X658" s="51" t="s">
        <v>1165</v>
      </c>
      <c r="Y658" s="69" t="s">
        <v>1224</v>
      </c>
      <c r="Z658" s="69" t="s">
        <v>1225</v>
      </c>
      <c r="AA658" s="52" t="s">
        <v>372</v>
      </c>
    </row>
    <row r="659" spans="2:27" ht="80.25" hidden="1" customHeight="1" x14ac:dyDescent="0.35">
      <c r="B659" s="51" t="s">
        <v>73</v>
      </c>
      <c r="C659" s="51" t="s">
        <v>2844</v>
      </c>
      <c r="D659" s="51" t="s">
        <v>74</v>
      </c>
      <c r="E659" s="52">
        <v>2</v>
      </c>
      <c r="F659" s="51" t="s">
        <v>1226</v>
      </c>
      <c r="G659" s="51" t="s">
        <v>1227</v>
      </c>
      <c r="H659" s="54" t="s">
        <v>1217</v>
      </c>
      <c r="I659" s="52">
        <v>9</v>
      </c>
      <c r="J659" s="51" t="s">
        <v>250</v>
      </c>
      <c r="K659" s="52">
        <v>23</v>
      </c>
      <c r="L659" s="52">
        <v>6</v>
      </c>
      <c r="M659" s="52"/>
      <c r="N659" s="53" t="s">
        <v>1228</v>
      </c>
      <c r="O659" s="53" t="s">
        <v>1229</v>
      </c>
      <c r="P659" s="52"/>
      <c r="Q659" s="54"/>
      <c r="R659" s="55" t="s">
        <v>1160</v>
      </c>
      <c r="S659" s="51" t="s">
        <v>1230</v>
      </c>
      <c r="T659" s="53" t="s">
        <v>1161</v>
      </c>
      <c r="U659" s="53" t="s">
        <v>1743</v>
      </c>
      <c r="V659" s="53" t="s">
        <v>1231</v>
      </c>
      <c r="W659" s="319" t="s">
        <v>2851</v>
      </c>
      <c r="X659" s="51" t="s">
        <v>1165</v>
      </c>
      <c r="Y659" s="69" t="s">
        <v>1224</v>
      </c>
      <c r="Z659" s="69" t="s">
        <v>1233</v>
      </c>
      <c r="AA659" s="52" t="s">
        <v>372</v>
      </c>
    </row>
    <row r="660" spans="2:27" ht="80.25" hidden="1" customHeight="1" x14ac:dyDescent="0.35">
      <c r="B660" s="51" t="s">
        <v>73</v>
      </c>
      <c r="C660" s="51" t="s">
        <v>2844</v>
      </c>
      <c r="D660" s="51" t="s">
        <v>74</v>
      </c>
      <c r="E660" s="52">
        <v>2</v>
      </c>
      <c r="F660" s="51" t="s">
        <v>1234</v>
      </c>
      <c r="G660" s="51" t="s">
        <v>1235</v>
      </c>
      <c r="H660" s="54" t="s">
        <v>295</v>
      </c>
      <c r="I660" s="52">
        <v>10</v>
      </c>
      <c r="J660" s="51" t="s">
        <v>123</v>
      </c>
      <c r="K660" s="52">
        <v>4</v>
      </c>
      <c r="L660" s="52"/>
      <c r="M660" s="52"/>
      <c r="N660" s="53" t="s">
        <v>1236</v>
      </c>
      <c r="O660" s="53" t="s">
        <v>1237</v>
      </c>
      <c r="P660" s="52"/>
      <c r="Q660" s="53" t="s">
        <v>1238</v>
      </c>
      <c r="R660" s="55" t="s">
        <v>1160</v>
      </c>
      <c r="S660" s="51" t="s">
        <v>1239</v>
      </c>
      <c r="T660" s="55" t="s">
        <v>1170</v>
      </c>
      <c r="U660" s="55" t="s">
        <v>1730</v>
      </c>
      <c r="V660" s="55" t="s">
        <v>2530</v>
      </c>
      <c r="W660" s="355" t="s">
        <v>2852</v>
      </c>
      <c r="X660" s="51" t="s">
        <v>1165</v>
      </c>
      <c r="Y660" s="69" t="s">
        <v>1166</v>
      </c>
      <c r="Z660" s="69" t="s">
        <v>1241</v>
      </c>
      <c r="AA660" s="52" t="s">
        <v>372</v>
      </c>
    </row>
    <row r="661" spans="2:27" ht="80.25" hidden="1" customHeight="1" x14ac:dyDescent="0.35">
      <c r="B661" s="51" t="s">
        <v>73</v>
      </c>
      <c r="C661" s="51" t="s">
        <v>2844</v>
      </c>
      <c r="D661" s="51" t="s">
        <v>74</v>
      </c>
      <c r="E661" s="52">
        <v>2</v>
      </c>
      <c r="F661" s="51" t="s">
        <v>326</v>
      </c>
      <c r="G661" s="51" t="s">
        <v>327</v>
      </c>
      <c r="H661" s="51" t="s">
        <v>328</v>
      </c>
      <c r="I661" s="52">
        <v>11</v>
      </c>
      <c r="J661" s="51" t="s">
        <v>123</v>
      </c>
      <c r="K661" s="52">
        <v>10</v>
      </c>
      <c r="L661" s="52"/>
      <c r="M661" s="52"/>
      <c r="N661" s="53" t="s">
        <v>329</v>
      </c>
      <c r="O661" s="53" t="s">
        <v>361</v>
      </c>
      <c r="P661" s="52" t="s">
        <v>126</v>
      </c>
      <c r="Q661" s="54"/>
      <c r="R661" s="55"/>
      <c r="S661" s="51"/>
      <c r="T661" s="53" t="s">
        <v>1161</v>
      </c>
      <c r="U661" s="53" t="s">
        <v>1728</v>
      </c>
      <c r="V661" s="53" t="s">
        <v>804</v>
      </c>
      <c r="W661" s="319" t="s">
        <v>2853</v>
      </c>
      <c r="X661" s="51" t="s">
        <v>372</v>
      </c>
      <c r="Y661" s="51" t="s">
        <v>372</v>
      </c>
      <c r="Z661" s="51" t="s">
        <v>372</v>
      </c>
      <c r="AA661" s="52" t="s">
        <v>372</v>
      </c>
    </row>
    <row r="662" spans="2:27" ht="80.25" hidden="1" customHeight="1" x14ac:dyDescent="0.35">
      <c r="B662" s="51" t="s">
        <v>73</v>
      </c>
      <c r="C662" s="51" t="s">
        <v>2844</v>
      </c>
      <c r="D662" s="51" t="s">
        <v>74</v>
      </c>
      <c r="E662" s="52">
        <v>2</v>
      </c>
      <c r="F662" s="51" t="s">
        <v>333</v>
      </c>
      <c r="G662" s="51" t="s">
        <v>334</v>
      </c>
      <c r="H662" s="51" t="s">
        <v>335</v>
      </c>
      <c r="I662" s="52">
        <v>12</v>
      </c>
      <c r="J662" s="51" t="s">
        <v>336</v>
      </c>
      <c r="K662" s="52">
        <v>23</v>
      </c>
      <c r="L662" s="52"/>
      <c r="M662" s="52"/>
      <c r="N662" s="53" t="s">
        <v>337</v>
      </c>
      <c r="O662" s="53" t="s">
        <v>338</v>
      </c>
      <c r="P662" s="52"/>
      <c r="Q662" s="54"/>
      <c r="R662" s="55"/>
      <c r="S662" s="51"/>
      <c r="T662" s="53" t="s">
        <v>1161</v>
      </c>
      <c r="U662" s="53" t="s">
        <v>1728</v>
      </c>
      <c r="V662" s="53" t="s">
        <v>351</v>
      </c>
      <c r="W662" s="319" t="s">
        <v>2854</v>
      </c>
      <c r="X662" s="51" t="s">
        <v>372</v>
      </c>
      <c r="Y662" s="51" t="s">
        <v>372</v>
      </c>
      <c r="Z662" s="51" t="s">
        <v>372</v>
      </c>
      <c r="AA662" s="52" t="s">
        <v>372</v>
      </c>
    </row>
    <row r="663" spans="2:27" ht="80.25" hidden="1" customHeight="1" x14ac:dyDescent="0.35">
      <c r="B663" s="51" t="s">
        <v>73</v>
      </c>
      <c r="C663" s="51" t="s">
        <v>2855</v>
      </c>
      <c r="D663" s="51" t="s">
        <v>76</v>
      </c>
      <c r="E663" s="52">
        <v>1</v>
      </c>
      <c r="F663" s="51" t="s">
        <v>120</v>
      </c>
      <c r="G663" s="51" t="s">
        <v>121</v>
      </c>
      <c r="H663" s="51" t="s">
        <v>122</v>
      </c>
      <c r="I663" s="52">
        <v>1</v>
      </c>
      <c r="J663" s="51" t="s">
        <v>123</v>
      </c>
      <c r="K663" s="52">
        <v>4</v>
      </c>
      <c r="L663" s="52"/>
      <c r="M663" s="52"/>
      <c r="N663" s="328" t="s">
        <v>124</v>
      </c>
      <c r="O663" s="53" t="s">
        <v>125</v>
      </c>
      <c r="P663" s="52" t="s">
        <v>126</v>
      </c>
      <c r="Q663" s="54"/>
      <c r="R663" s="55" t="s">
        <v>1750</v>
      </c>
      <c r="S663" s="55" t="s">
        <v>1327</v>
      </c>
      <c r="T663" s="53" t="s">
        <v>1170</v>
      </c>
      <c r="U663" s="53" t="s">
        <v>1751</v>
      </c>
      <c r="V663" s="53" t="s">
        <v>555</v>
      </c>
      <c r="W663" s="326" t="s">
        <v>2856</v>
      </c>
      <c r="X663" s="51" t="s">
        <v>1165</v>
      </c>
      <c r="Y663" s="54" t="s">
        <v>372</v>
      </c>
      <c r="Z663" s="54" t="s">
        <v>372</v>
      </c>
      <c r="AA663" s="52" t="s">
        <v>373</v>
      </c>
    </row>
    <row r="664" spans="2:27" ht="80.25" hidden="1" customHeight="1" x14ac:dyDescent="0.35">
      <c r="B664" s="51" t="s">
        <v>73</v>
      </c>
      <c r="C664" s="51" t="s">
        <v>2855</v>
      </c>
      <c r="D664" s="51" t="s">
        <v>76</v>
      </c>
      <c r="E664" s="52">
        <v>1</v>
      </c>
      <c r="F664" s="51" t="s">
        <v>136</v>
      </c>
      <c r="G664" s="51" t="s">
        <v>137</v>
      </c>
      <c r="H664" s="51" t="s">
        <v>122</v>
      </c>
      <c r="I664" s="52">
        <v>2</v>
      </c>
      <c r="J664" s="51" t="s">
        <v>123</v>
      </c>
      <c r="K664" s="52">
        <v>15</v>
      </c>
      <c r="L664" s="52"/>
      <c r="M664" s="52"/>
      <c r="N664" s="53" t="s">
        <v>138</v>
      </c>
      <c r="O664" s="53" t="s">
        <v>139</v>
      </c>
      <c r="P664" s="52" t="s">
        <v>126</v>
      </c>
      <c r="Q664" s="54"/>
      <c r="R664" s="55" t="s">
        <v>1750</v>
      </c>
      <c r="S664" s="55" t="s">
        <v>1327</v>
      </c>
      <c r="T664" s="53" t="s">
        <v>1161</v>
      </c>
      <c r="U664" s="53" t="s">
        <v>1753</v>
      </c>
      <c r="V664" s="53" t="s">
        <v>633</v>
      </c>
      <c r="W664" s="319" t="s">
        <v>2857</v>
      </c>
      <c r="X664" s="51" t="s">
        <v>1165</v>
      </c>
      <c r="Y664" s="54" t="s">
        <v>1182</v>
      </c>
      <c r="Z664" s="54" t="s">
        <v>1029</v>
      </c>
      <c r="AA664" s="52" t="s">
        <v>372</v>
      </c>
    </row>
    <row r="665" spans="2:27" ht="80.25" hidden="1" customHeight="1" x14ac:dyDescent="0.35">
      <c r="B665" s="51" t="s">
        <v>73</v>
      </c>
      <c r="C665" s="51" t="s">
        <v>2855</v>
      </c>
      <c r="D665" s="51" t="s">
        <v>76</v>
      </c>
      <c r="E665" s="52">
        <v>1</v>
      </c>
      <c r="F665" s="51" t="s">
        <v>148</v>
      </c>
      <c r="G665" s="51" t="s">
        <v>149</v>
      </c>
      <c r="H665" s="54" t="s">
        <v>150</v>
      </c>
      <c r="I665" s="52">
        <v>3</v>
      </c>
      <c r="J665" s="51" t="s">
        <v>123</v>
      </c>
      <c r="K665" s="52">
        <v>4</v>
      </c>
      <c r="L665" s="52"/>
      <c r="M665" s="52"/>
      <c r="N665" s="53" t="s">
        <v>151</v>
      </c>
      <c r="O665" s="53" t="s">
        <v>152</v>
      </c>
      <c r="P665" s="52"/>
      <c r="Q665" s="53" t="s">
        <v>586</v>
      </c>
      <c r="R665" s="55"/>
      <c r="S665" s="51"/>
      <c r="T665" s="53" t="s">
        <v>1170</v>
      </c>
      <c r="U665" s="53" t="s">
        <v>1751</v>
      </c>
      <c r="V665" s="53" t="s">
        <v>555</v>
      </c>
      <c r="W665" s="319" t="s">
        <v>2858</v>
      </c>
      <c r="X665" s="51" t="s">
        <v>372</v>
      </c>
      <c r="Y665" s="54" t="s">
        <v>372</v>
      </c>
      <c r="Z665" s="54" t="s">
        <v>372</v>
      </c>
      <c r="AA665" s="52" t="s">
        <v>372</v>
      </c>
    </row>
    <row r="666" spans="2:27" ht="80.25" hidden="1" customHeight="1" x14ac:dyDescent="0.35">
      <c r="B666" s="51" t="s">
        <v>73</v>
      </c>
      <c r="C666" s="51" t="s">
        <v>2855</v>
      </c>
      <c r="D666" s="51" t="s">
        <v>76</v>
      </c>
      <c r="E666" s="52">
        <v>1</v>
      </c>
      <c r="F666" s="51" t="s">
        <v>155</v>
      </c>
      <c r="G666" s="51" t="s">
        <v>156</v>
      </c>
      <c r="H666" s="54" t="s">
        <v>150</v>
      </c>
      <c r="I666" s="52">
        <v>3</v>
      </c>
      <c r="J666" s="51" t="s">
        <v>123</v>
      </c>
      <c r="K666" s="52">
        <v>4</v>
      </c>
      <c r="L666" s="52"/>
      <c r="M666" s="52"/>
      <c r="N666" s="53" t="s">
        <v>157</v>
      </c>
      <c r="O666" s="53" t="s">
        <v>158</v>
      </c>
      <c r="P666" s="52"/>
      <c r="Q666" s="53" t="s">
        <v>1252</v>
      </c>
      <c r="R666" s="55" t="s">
        <v>203</v>
      </c>
      <c r="S666" s="51" t="s">
        <v>1756</v>
      </c>
      <c r="T666" s="53" t="s">
        <v>1178</v>
      </c>
      <c r="U666" s="53" t="s">
        <v>1757</v>
      </c>
      <c r="V666" s="53" t="s">
        <v>1254</v>
      </c>
      <c r="W666" s="319" t="s">
        <v>2859</v>
      </c>
      <c r="X666" s="51" t="s">
        <v>1165</v>
      </c>
      <c r="Y666" s="65" t="s">
        <v>1256</v>
      </c>
      <c r="Z666" s="65" t="s">
        <v>590</v>
      </c>
      <c r="AA666" s="52" t="s">
        <v>372</v>
      </c>
    </row>
    <row r="667" spans="2:27" ht="80.25" hidden="1" customHeight="1" x14ac:dyDescent="0.35">
      <c r="B667" s="51" t="s">
        <v>73</v>
      </c>
      <c r="C667" s="51" t="s">
        <v>2855</v>
      </c>
      <c r="D667" s="51" t="s">
        <v>76</v>
      </c>
      <c r="E667" s="52">
        <v>1</v>
      </c>
      <c r="F667" s="51" t="s">
        <v>167</v>
      </c>
      <c r="G667" s="51" t="s">
        <v>168</v>
      </c>
      <c r="H667" s="54" t="s">
        <v>150</v>
      </c>
      <c r="I667" s="52">
        <v>3</v>
      </c>
      <c r="J667" s="51" t="s">
        <v>123</v>
      </c>
      <c r="K667" s="52">
        <v>4</v>
      </c>
      <c r="L667" s="52"/>
      <c r="M667" s="52"/>
      <c r="N667" s="53" t="s">
        <v>169</v>
      </c>
      <c r="O667" s="53" t="s">
        <v>170</v>
      </c>
      <c r="P667" s="52"/>
      <c r="Q667" s="53" t="s">
        <v>1257</v>
      </c>
      <c r="R667" s="55" t="s">
        <v>203</v>
      </c>
      <c r="S667" s="51" t="s">
        <v>1759</v>
      </c>
      <c r="T667" s="53" t="s">
        <v>1178</v>
      </c>
      <c r="U667" s="53" t="s">
        <v>1757</v>
      </c>
      <c r="V667" s="53" t="s">
        <v>1258</v>
      </c>
      <c r="W667" s="319" t="s">
        <v>2860</v>
      </c>
      <c r="X667" s="51" t="s">
        <v>1165</v>
      </c>
      <c r="Y667" s="65" t="s">
        <v>1256</v>
      </c>
      <c r="Z667" s="65" t="s">
        <v>593</v>
      </c>
      <c r="AA667" s="52" t="s">
        <v>372</v>
      </c>
    </row>
    <row r="668" spans="2:27" ht="80.25" hidden="1" customHeight="1" x14ac:dyDescent="0.35">
      <c r="B668" s="51" t="s">
        <v>73</v>
      </c>
      <c r="C668" s="51" t="s">
        <v>2855</v>
      </c>
      <c r="D668" s="51" t="s">
        <v>76</v>
      </c>
      <c r="E668" s="52">
        <v>1</v>
      </c>
      <c r="F668" s="51" t="s">
        <v>176</v>
      </c>
      <c r="G668" s="51" t="s">
        <v>177</v>
      </c>
      <c r="H668" s="54" t="s">
        <v>150</v>
      </c>
      <c r="I668" s="52">
        <v>6</v>
      </c>
      <c r="J668" s="51" t="s">
        <v>123</v>
      </c>
      <c r="K668" s="52">
        <v>4</v>
      </c>
      <c r="L668" s="52"/>
      <c r="M668" s="52"/>
      <c r="N668" s="76" t="s">
        <v>1761</v>
      </c>
      <c r="O668" s="53" t="s">
        <v>179</v>
      </c>
      <c r="P668" s="52"/>
      <c r="Q668" s="54"/>
      <c r="R668" s="53" t="s">
        <v>1393</v>
      </c>
      <c r="S668" s="53" t="s">
        <v>181</v>
      </c>
      <c r="T668" s="53" t="s">
        <v>1170</v>
      </c>
      <c r="U668" s="53" t="s">
        <v>1751</v>
      </c>
      <c r="V668" s="53" t="s">
        <v>555</v>
      </c>
      <c r="W668" s="326" t="s">
        <v>2861</v>
      </c>
      <c r="X668" s="51" t="s">
        <v>1165</v>
      </c>
      <c r="Y668" s="54" t="s">
        <v>372</v>
      </c>
      <c r="Z668" s="54" t="s">
        <v>372</v>
      </c>
      <c r="AA668" s="52" t="s">
        <v>373</v>
      </c>
    </row>
    <row r="669" spans="2:27" ht="80.25" hidden="1" customHeight="1" x14ac:dyDescent="0.35">
      <c r="B669" s="51" t="s">
        <v>73</v>
      </c>
      <c r="C669" s="51" t="s">
        <v>2855</v>
      </c>
      <c r="D669" s="51" t="s">
        <v>76</v>
      </c>
      <c r="E669" s="52">
        <v>1</v>
      </c>
      <c r="F669" s="51" t="s">
        <v>187</v>
      </c>
      <c r="G669" s="51" t="s">
        <v>188</v>
      </c>
      <c r="H669" s="54" t="s">
        <v>150</v>
      </c>
      <c r="I669" s="52">
        <v>7</v>
      </c>
      <c r="J669" s="51" t="s">
        <v>123</v>
      </c>
      <c r="K669" s="52">
        <v>30</v>
      </c>
      <c r="L669" s="52"/>
      <c r="M669" s="52"/>
      <c r="N669" s="53" t="s">
        <v>1763</v>
      </c>
      <c r="O669" s="53" t="s">
        <v>190</v>
      </c>
      <c r="P669" s="52"/>
      <c r="Q669" s="54"/>
      <c r="R669" s="53" t="s">
        <v>1393</v>
      </c>
      <c r="S669" s="53" t="s">
        <v>181</v>
      </c>
      <c r="T669" s="53" t="s">
        <v>1178</v>
      </c>
      <c r="U669" s="53" t="s">
        <v>1764</v>
      </c>
      <c r="V669" s="53" t="s">
        <v>1265</v>
      </c>
      <c r="W669" s="319" t="s">
        <v>2862</v>
      </c>
      <c r="X669" s="51" t="s">
        <v>1165</v>
      </c>
      <c r="Y669" s="65" t="s">
        <v>1267</v>
      </c>
      <c r="Z669" s="69" t="s">
        <v>1766</v>
      </c>
      <c r="AA669" s="52" t="s">
        <v>372</v>
      </c>
    </row>
    <row r="670" spans="2:27" ht="80.25" hidden="1" customHeight="1" x14ac:dyDescent="0.35">
      <c r="B670" s="51" t="s">
        <v>73</v>
      </c>
      <c r="C670" s="51" t="s">
        <v>2855</v>
      </c>
      <c r="D670" s="51" t="s">
        <v>76</v>
      </c>
      <c r="E670" s="52">
        <v>1</v>
      </c>
      <c r="F670" s="51" t="s">
        <v>198</v>
      </c>
      <c r="G670" s="51" t="s">
        <v>199</v>
      </c>
      <c r="H670" s="54" t="s">
        <v>200</v>
      </c>
      <c r="I670" s="52">
        <v>8</v>
      </c>
      <c r="J670" s="51" t="s">
        <v>123</v>
      </c>
      <c r="K670" s="52">
        <v>10</v>
      </c>
      <c r="L670" s="52"/>
      <c r="M670" s="52"/>
      <c r="N670" s="53" t="s">
        <v>1767</v>
      </c>
      <c r="O670" s="53" t="s">
        <v>202</v>
      </c>
      <c r="P670" s="52"/>
      <c r="Q670" s="54"/>
      <c r="R670" s="55" t="s">
        <v>203</v>
      </c>
      <c r="S670" s="51" t="s">
        <v>198</v>
      </c>
      <c r="T670" s="53" t="s">
        <v>1161</v>
      </c>
      <c r="U670" s="53" t="s">
        <v>1753</v>
      </c>
      <c r="V670" s="53" t="s">
        <v>1271</v>
      </c>
      <c r="W670" s="319" t="s">
        <v>2863</v>
      </c>
      <c r="X670" s="51" t="s">
        <v>1165</v>
      </c>
      <c r="Y670" s="54" t="s">
        <v>1182</v>
      </c>
      <c r="Z670" s="54" t="s">
        <v>1273</v>
      </c>
      <c r="AA670" s="52" t="s">
        <v>372</v>
      </c>
    </row>
    <row r="671" spans="2:27" ht="80.25" hidden="1" customHeight="1" x14ac:dyDescent="0.35">
      <c r="B671" s="51" t="s">
        <v>73</v>
      </c>
      <c r="C671" s="51" t="s">
        <v>2855</v>
      </c>
      <c r="D671" s="51" t="s">
        <v>76</v>
      </c>
      <c r="E671" s="52">
        <v>1</v>
      </c>
      <c r="F671" s="51" t="s">
        <v>210</v>
      </c>
      <c r="G671" s="51" t="s">
        <v>211</v>
      </c>
      <c r="H671" s="54" t="s">
        <v>200</v>
      </c>
      <c r="I671" s="52">
        <v>9</v>
      </c>
      <c r="J671" s="51" t="s">
        <v>123</v>
      </c>
      <c r="K671" s="52">
        <v>10</v>
      </c>
      <c r="L671" s="52"/>
      <c r="M671" s="52"/>
      <c r="N671" s="53" t="s">
        <v>212</v>
      </c>
      <c r="O671" s="53" t="s">
        <v>213</v>
      </c>
      <c r="P671" s="52"/>
      <c r="Q671" s="54"/>
      <c r="R671" s="53"/>
      <c r="S671" s="54"/>
      <c r="T671" s="53" t="s">
        <v>1170</v>
      </c>
      <c r="U671" s="53" t="s">
        <v>1751</v>
      </c>
      <c r="V671" s="53" t="s">
        <v>351</v>
      </c>
      <c r="W671" s="319" t="s">
        <v>2864</v>
      </c>
      <c r="X671" s="51" t="s">
        <v>1165</v>
      </c>
      <c r="Y671" s="54" t="s">
        <v>372</v>
      </c>
      <c r="Z671" s="54" t="s">
        <v>372</v>
      </c>
      <c r="AA671" s="64" t="s">
        <v>636</v>
      </c>
    </row>
    <row r="672" spans="2:27" ht="80.25" hidden="1" customHeight="1" x14ac:dyDescent="0.35">
      <c r="B672" s="51" t="s">
        <v>73</v>
      </c>
      <c r="C672" s="51" t="s">
        <v>2855</v>
      </c>
      <c r="D672" s="51" t="s">
        <v>76</v>
      </c>
      <c r="E672" s="52">
        <v>1</v>
      </c>
      <c r="F672" s="51" t="s">
        <v>222</v>
      </c>
      <c r="G672" s="51" t="s">
        <v>223</v>
      </c>
      <c r="H672" s="54" t="s">
        <v>224</v>
      </c>
      <c r="I672" s="52">
        <v>10</v>
      </c>
      <c r="J672" s="51" t="s">
        <v>123</v>
      </c>
      <c r="K672" s="52">
        <v>4</v>
      </c>
      <c r="L672" s="52"/>
      <c r="M672" s="52"/>
      <c r="N672" s="53" t="s">
        <v>1770</v>
      </c>
      <c r="O672" s="53" t="s">
        <v>226</v>
      </c>
      <c r="P672" s="52"/>
      <c r="Q672" s="53" t="s">
        <v>1277</v>
      </c>
      <c r="R672" s="55" t="s">
        <v>654</v>
      </c>
      <c r="S672" s="55" t="s">
        <v>229</v>
      </c>
      <c r="T672" s="53" t="s">
        <v>1161</v>
      </c>
      <c r="U672" s="53" t="s">
        <v>1753</v>
      </c>
      <c r="V672" s="53" t="s">
        <v>1278</v>
      </c>
      <c r="W672" s="319" t="s">
        <v>2865</v>
      </c>
      <c r="X672" s="51" t="s">
        <v>1165</v>
      </c>
      <c r="Y672" s="54" t="s">
        <v>1182</v>
      </c>
      <c r="Z672" s="54" t="s">
        <v>1280</v>
      </c>
      <c r="AA672" s="52" t="s">
        <v>372</v>
      </c>
    </row>
    <row r="673" spans="2:27" ht="80.25" hidden="1" customHeight="1" x14ac:dyDescent="0.35">
      <c r="B673" s="51" t="s">
        <v>73</v>
      </c>
      <c r="C673" s="51" t="s">
        <v>2855</v>
      </c>
      <c r="D673" s="51" t="s">
        <v>76</v>
      </c>
      <c r="E673" s="52">
        <v>1</v>
      </c>
      <c r="F673" s="51" t="s">
        <v>293</v>
      </c>
      <c r="G673" s="51" t="s">
        <v>294</v>
      </c>
      <c r="H673" s="54" t="s">
        <v>295</v>
      </c>
      <c r="I673" s="52">
        <v>12</v>
      </c>
      <c r="J673" s="51" t="s">
        <v>123</v>
      </c>
      <c r="K673" s="52">
        <v>4</v>
      </c>
      <c r="L673" s="52"/>
      <c r="M673" s="52"/>
      <c r="N673" s="53" t="s">
        <v>1772</v>
      </c>
      <c r="O673" s="53" t="s">
        <v>297</v>
      </c>
      <c r="P673" s="52"/>
      <c r="Q673" s="53" t="s">
        <v>1285</v>
      </c>
      <c r="R673" s="53" t="s">
        <v>299</v>
      </c>
      <c r="S673" s="54" t="s">
        <v>300</v>
      </c>
      <c r="T673" s="55" t="s">
        <v>1170</v>
      </c>
      <c r="U673" s="55" t="s">
        <v>1751</v>
      </c>
      <c r="V673" s="55" t="s">
        <v>555</v>
      </c>
      <c r="W673" s="355" t="s">
        <v>2866</v>
      </c>
      <c r="X673" s="51" t="s">
        <v>1165</v>
      </c>
      <c r="Y673" s="54" t="s">
        <v>1182</v>
      </c>
      <c r="Z673" s="54" t="s">
        <v>1288</v>
      </c>
      <c r="AA673" s="52" t="s">
        <v>372</v>
      </c>
    </row>
    <row r="674" spans="2:27" ht="80.25" customHeight="1" x14ac:dyDescent="0.35">
      <c r="B674" s="51" t="s">
        <v>73</v>
      </c>
      <c r="C674" s="51" t="s">
        <v>2855</v>
      </c>
      <c r="D674" s="51" t="s">
        <v>76</v>
      </c>
      <c r="E674" s="52">
        <v>1</v>
      </c>
      <c r="F674" s="51" t="s">
        <v>304</v>
      </c>
      <c r="G674" s="51" t="s">
        <v>305</v>
      </c>
      <c r="H674" s="54" t="s">
        <v>295</v>
      </c>
      <c r="I674" s="52">
        <v>13</v>
      </c>
      <c r="J674" s="51" t="s">
        <v>123</v>
      </c>
      <c r="K674" s="52">
        <v>4</v>
      </c>
      <c r="L674" s="52"/>
      <c r="M674" s="52"/>
      <c r="N674" s="53" t="s">
        <v>306</v>
      </c>
      <c r="O674" s="53" t="s">
        <v>307</v>
      </c>
      <c r="P674" s="52"/>
      <c r="Q674" s="53" t="s">
        <v>1774</v>
      </c>
      <c r="R674" s="55" t="s">
        <v>203</v>
      </c>
      <c r="S674" s="51" t="s">
        <v>309</v>
      </c>
      <c r="T674" s="55" t="s">
        <v>1775</v>
      </c>
      <c r="U674" s="55" t="s">
        <v>1776</v>
      </c>
      <c r="V674" s="55" t="s">
        <v>1777</v>
      </c>
      <c r="W674" s="355" t="s">
        <v>2867</v>
      </c>
      <c r="X674" s="51" t="s">
        <v>1165</v>
      </c>
      <c r="Y674" s="65" t="s">
        <v>1779</v>
      </c>
      <c r="Z674" s="65" t="s">
        <v>1780</v>
      </c>
      <c r="AA674" s="52" t="s">
        <v>1781</v>
      </c>
    </row>
    <row r="675" spans="2:27" ht="80.25" hidden="1" customHeight="1" x14ac:dyDescent="0.35">
      <c r="B675" s="51" t="s">
        <v>73</v>
      </c>
      <c r="C675" s="51" t="s">
        <v>2855</v>
      </c>
      <c r="D675" s="51" t="s">
        <v>76</v>
      </c>
      <c r="E675" s="52">
        <v>1</v>
      </c>
      <c r="F675" s="51" t="s">
        <v>317</v>
      </c>
      <c r="G675" s="51" t="s">
        <v>318</v>
      </c>
      <c r="H675" s="51" t="s">
        <v>319</v>
      </c>
      <c r="I675" s="52">
        <v>14</v>
      </c>
      <c r="J675" s="51" t="s">
        <v>123</v>
      </c>
      <c r="K675" s="52">
        <v>2</v>
      </c>
      <c r="L675" s="52"/>
      <c r="M675" s="52"/>
      <c r="N675" s="53" t="s">
        <v>320</v>
      </c>
      <c r="O675" s="53" t="s">
        <v>321</v>
      </c>
      <c r="P675" s="52"/>
      <c r="Q675" s="53" t="s">
        <v>463</v>
      </c>
      <c r="R675" s="55"/>
      <c r="S675" s="51"/>
      <c r="T675" s="53" t="s">
        <v>1161</v>
      </c>
      <c r="U675" s="53" t="s">
        <v>1753</v>
      </c>
      <c r="V675" s="90" t="s">
        <v>351</v>
      </c>
      <c r="W675" s="321" t="s">
        <v>2868</v>
      </c>
      <c r="X675" s="51" t="s">
        <v>1165</v>
      </c>
      <c r="Y675" s="54" t="s">
        <v>372</v>
      </c>
      <c r="Z675" s="54" t="s">
        <v>372</v>
      </c>
      <c r="AA675" s="52" t="s">
        <v>1783</v>
      </c>
    </row>
    <row r="676" spans="2:27" ht="80.25" hidden="1" customHeight="1" x14ac:dyDescent="0.35">
      <c r="B676" s="51" t="s">
        <v>73</v>
      </c>
      <c r="C676" s="51" t="s">
        <v>2855</v>
      </c>
      <c r="D676" s="51" t="s">
        <v>76</v>
      </c>
      <c r="E676" s="52">
        <v>1</v>
      </c>
      <c r="F676" s="51" t="s">
        <v>326</v>
      </c>
      <c r="G676" s="51" t="s">
        <v>327</v>
      </c>
      <c r="H676" s="51" t="s">
        <v>328</v>
      </c>
      <c r="I676" s="52">
        <v>15</v>
      </c>
      <c r="J676" s="51" t="s">
        <v>123</v>
      </c>
      <c r="K676" s="52">
        <v>10</v>
      </c>
      <c r="L676" s="52"/>
      <c r="M676" s="52"/>
      <c r="N676" s="53" t="s">
        <v>329</v>
      </c>
      <c r="O676" s="53" t="s">
        <v>361</v>
      </c>
      <c r="P676" s="52" t="s">
        <v>126</v>
      </c>
      <c r="Q676" s="54"/>
      <c r="R676" s="55" t="s">
        <v>275</v>
      </c>
      <c r="S676" s="51" t="s">
        <v>803</v>
      </c>
      <c r="T676" s="53" t="s">
        <v>1161</v>
      </c>
      <c r="U676" s="53" t="s">
        <v>1753</v>
      </c>
      <c r="V676" s="53" t="s">
        <v>804</v>
      </c>
      <c r="W676" s="319" t="s">
        <v>2869</v>
      </c>
      <c r="X676" s="51" t="s">
        <v>372</v>
      </c>
      <c r="Y676" s="54" t="s">
        <v>372</v>
      </c>
      <c r="Z676" s="54" t="s">
        <v>372</v>
      </c>
      <c r="AA676" s="52" t="s">
        <v>372</v>
      </c>
    </row>
    <row r="677" spans="2:27" ht="80.25" hidden="1" customHeight="1" x14ac:dyDescent="0.35">
      <c r="B677" s="51" t="s">
        <v>73</v>
      </c>
      <c r="C677" s="51" t="s">
        <v>2855</v>
      </c>
      <c r="D677" s="51" t="s">
        <v>76</v>
      </c>
      <c r="E677" s="52">
        <v>1</v>
      </c>
      <c r="F677" s="51" t="s">
        <v>333</v>
      </c>
      <c r="G677" s="51" t="s">
        <v>334</v>
      </c>
      <c r="H677" s="51" t="s">
        <v>335</v>
      </c>
      <c r="I677" s="52">
        <v>16</v>
      </c>
      <c r="J677" s="51" t="s">
        <v>336</v>
      </c>
      <c r="K677" s="52">
        <v>23</v>
      </c>
      <c r="L677" s="52"/>
      <c r="M677" s="52"/>
      <c r="N677" s="53" t="s">
        <v>337</v>
      </c>
      <c r="O677" s="53" t="s">
        <v>338</v>
      </c>
      <c r="P677" s="52"/>
      <c r="Q677" s="54"/>
      <c r="R677" s="55"/>
      <c r="S677" s="51"/>
      <c r="T677" s="53" t="s">
        <v>1161</v>
      </c>
      <c r="U677" s="53" t="s">
        <v>1753</v>
      </c>
      <c r="V677" s="53" t="s">
        <v>351</v>
      </c>
      <c r="W677" s="319" t="s">
        <v>2870</v>
      </c>
      <c r="X677" s="51" t="s">
        <v>372</v>
      </c>
      <c r="Y677" s="54" t="s">
        <v>372</v>
      </c>
      <c r="Z677" s="54" t="s">
        <v>372</v>
      </c>
      <c r="AA677" s="52" t="s">
        <v>372</v>
      </c>
    </row>
    <row r="678" spans="2:27" ht="80.25" hidden="1" customHeight="1" x14ac:dyDescent="0.35">
      <c r="B678" s="51" t="s">
        <v>78</v>
      </c>
      <c r="C678" s="51" t="s">
        <v>2871</v>
      </c>
      <c r="D678" s="51" t="s">
        <v>79</v>
      </c>
      <c r="E678" s="52">
        <v>1</v>
      </c>
      <c r="F678" s="51" t="s">
        <v>120</v>
      </c>
      <c r="G678" s="51" t="s">
        <v>121</v>
      </c>
      <c r="H678" s="51" t="s">
        <v>122</v>
      </c>
      <c r="I678" s="52">
        <v>1</v>
      </c>
      <c r="J678" s="51" t="s">
        <v>123</v>
      </c>
      <c r="K678" s="52">
        <v>4</v>
      </c>
      <c r="L678" s="52"/>
      <c r="M678" s="52"/>
      <c r="N678" s="328" t="s">
        <v>124</v>
      </c>
      <c r="O678" s="53" t="s">
        <v>125</v>
      </c>
      <c r="P678" s="52" t="s">
        <v>126</v>
      </c>
      <c r="Q678" s="54"/>
      <c r="R678" s="55" t="s">
        <v>2872</v>
      </c>
      <c r="S678" s="55" t="s">
        <v>2873</v>
      </c>
      <c r="T678" s="53" t="s">
        <v>2874</v>
      </c>
      <c r="U678" s="53" t="s">
        <v>2875</v>
      </c>
      <c r="V678" s="53" t="s">
        <v>369</v>
      </c>
      <c r="W678" s="82" t="s">
        <v>2876</v>
      </c>
      <c r="X678" s="51" t="s">
        <v>2877</v>
      </c>
      <c r="Y678" s="54" t="s">
        <v>372</v>
      </c>
      <c r="Z678" s="54" t="s">
        <v>372</v>
      </c>
      <c r="AA678" s="52" t="s">
        <v>373</v>
      </c>
    </row>
    <row r="679" spans="2:27" ht="80.25" hidden="1" customHeight="1" x14ac:dyDescent="0.35">
      <c r="B679" s="51" t="s">
        <v>78</v>
      </c>
      <c r="C679" s="51" t="s">
        <v>2871</v>
      </c>
      <c r="D679" s="51" t="s">
        <v>79</v>
      </c>
      <c r="E679" s="52">
        <v>1</v>
      </c>
      <c r="F679" s="51" t="s">
        <v>136</v>
      </c>
      <c r="G679" s="51" t="s">
        <v>137</v>
      </c>
      <c r="H679" s="51" t="s">
        <v>122</v>
      </c>
      <c r="I679" s="52">
        <v>2</v>
      </c>
      <c r="J679" s="51" t="s">
        <v>123</v>
      </c>
      <c r="K679" s="52">
        <v>30</v>
      </c>
      <c r="L679" s="52"/>
      <c r="M679" s="52"/>
      <c r="N679" s="53" t="s">
        <v>138</v>
      </c>
      <c r="O679" s="53" t="s">
        <v>139</v>
      </c>
      <c r="P679" s="52" t="s">
        <v>126</v>
      </c>
      <c r="Q679" s="51"/>
      <c r="R679" s="55" t="s">
        <v>2872</v>
      </c>
      <c r="S679" s="55" t="s">
        <v>2873</v>
      </c>
      <c r="T679" s="53" t="s">
        <v>2878</v>
      </c>
      <c r="U679" s="53" t="s">
        <v>2879</v>
      </c>
      <c r="V679" s="53" t="s">
        <v>2283</v>
      </c>
      <c r="W679" s="82" t="s">
        <v>2880</v>
      </c>
      <c r="X679" s="51" t="s">
        <v>2877</v>
      </c>
      <c r="Y679" s="53" t="s">
        <v>2881</v>
      </c>
      <c r="Z679" s="54" t="s">
        <v>2882</v>
      </c>
      <c r="AA679" s="52" t="s">
        <v>372</v>
      </c>
    </row>
    <row r="680" spans="2:27" ht="80.25" hidden="1" customHeight="1" x14ac:dyDescent="0.35">
      <c r="B680" s="51" t="s">
        <v>78</v>
      </c>
      <c r="C680" s="51" t="s">
        <v>2871</v>
      </c>
      <c r="D680" s="51" t="s">
        <v>79</v>
      </c>
      <c r="E680" s="52">
        <v>1</v>
      </c>
      <c r="F680" s="51" t="s">
        <v>198</v>
      </c>
      <c r="G680" s="51" t="s">
        <v>199</v>
      </c>
      <c r="H680" s="54" t="s">
        <v>200</v>
      </c>
      <c r="I680" s="52">
        <v>3</v>
      </c>
      <c r="J680" s="51" t="s">
        <v>123</v>
      </c>
      <c r="K680" s="52">
        <v>10</v>
      </c>
      <c r="L680" s="52"/>
      <c r="M680" s="52"/>
      <c r="N680" s="53" t="s">
        <v>201</v>
      </c>
      <c r="O680" s="53" t="s">
        <v>202</v>
      </c>
      <c r="P680" s="52" t="s">
        <v>126</v>
      </c>
      <c r="Q680" s="51"/>
      <c r="R680" s="55" t="s">
        <v>203</v>
      </c>
      <c r="S680" s="51" t="s">
        <v>198</v>
      </c>
      <c r="T680" s="53" t="s">
        <v>2878</v>
      </c>
      <c r="U680" s="53" t="s">
        <v>2879</v>
      </c>
      <c r="V680" s="51" t="s">
        <v>630</v>
      </c>
      <c r="W680" s="82" t="s">
        <v>2883</v>
      </c>
      <c r="X680" s="51" t="s">
        <v>2877</v>
      </c>
      <c r="Y680" s="53" t="s">
        <v>2881</v>
      </c>
      <c r="Z680" s="53" t="s">
        <v>630</v>
      </c>
      <c r="AA680" s="52" t="s">
        <v>372</v>
      </c>
    </row>
    <row r="681" spans="2:27" ht="80.25" hidden="1" customHeight="1" x14ac:dyDescent="0.35">
      <c r="B681" s="51" t="s">
        <v>78</v>
      </c>
      <c r="C681" s="51" t="s">
        <v>2871</v>
      </c>
      <c r="D681" s="51" t="s">
        <v>79</v>
      </c>
      <c r="E681" s="52">
        <v>1</v>
      </c>
      <c r="F681" s="51" t="s">
        <v>148</v>
      </c>
      <c r="G681" s="51" t="s">
        <v>149</v>
      </c>
      <c r="H681" s="54" t="s">
        <v>150</v>
      </c>
      <c r="I681" s="52">
        <v>4</v>
      </c>
      <c r="J681" s="51" t="s">
        <v>123</v>
      </c>
      <c r="K681" s="52">
        <v>4</v>
      </c>
      <c r="L681" s="52"/>
      <c r="M681" s="52"/>
      <c r="N681" s="53" t="s">
        <v>151</v>
      </c>
      <c r="O681" s="53" t="s">
        <v>152</v>
      </c>
      <c r="P681" s="52"/>
      <c r="Q681" s="53" t="s">
        <v>586</v>
      </c>
      <c r="R681" s="55"/>
      <c r="S681" s="51"/>
      <c r="T681" s="53" t="s">
        <v>2874</v>
      </c>
      <c r="U681" s="53" t="s">
        <v>2875</v>
      </c>
      <c r="V681" s="53" t="s">
        <v>369</v>
      </c>
      <c r="W681" s="355" t="s">
        <v>2884</v>
      </c>
      <c r="X681" s="51" t="s">
        <v>372</v>
      </c>
      <c r="Y681" s="51" t="s">
        <v>372</v>
      </c>
      <c r="Z681" s="51" t="s">
        <v>372</v>
      </c>
      <c r="AA681" s="52" t="s">
        <v>372</v>
      </c>
    </row>
    <row r="682" spans="2:27" ht="80.25" hidden="1" customHeight="1" x14ac:dyDescent="0.35">
      <c r="B682" s="51" t="s">
        <v>78</v>
      </c>
      <c r="C682" s="51" t="s">
        <v>2871</v>
      </c>
      <c r="D682" s="51" t="s">
        <v>79</v>
      </c>
      <c r="E682" s="52">
        <v>1</v>
      </c>
      <c r="F682" s="51" t="s">
        <v>155</v>
      </c>
      <c r="G682" s="51" t="s">
        <v>156</v>
      </c>
      <c r="H682" s="54" t="s">
        <v>150</v>
      </c>
      <c r="I682" s="52">
        <v>5</v>
      </c>
      <c r="J682" s="51" t="s">
        <v>123</v>
      </c>
      <c r="K682" s="52">
        <v>4</v>
      </c>
      <c r="L682" s="52"/>
      <c r="M682" s="52"/>
      <c r="N682" s="53" t="s">
        <v>157</v>
      </c>
      <c r="O682" s="53" t="s">
        <v>158</v>
      </c>
      <c r="P682" s="52"/>
      <c r="Q682" s="55" t="s">
        <v>2769</v>
      </c>
      <c r="R682" s="55" t="s">
        <v>160</v>
      </c>
      <c r="S682" s="55" t="s">
        <v>161</v>
      </c>
      <c r="T682" s="53" t="s">
        <v>2878</v>
      </c>
      <c r="U682" s="53" t="s">
        <v>2879</v>
      </c>
      <c r="V682" s="53" t="s">
        <v>590</v>
      </c>
      <c r="W682" s="321" t="s">
        <v>2885</v>
      </c>
      <c r="X682" s="51" t="s">
        <v>2877</v>
      </c>
      <c r="Y682" s="53" t="s">
        <v>2881</v>
      </c>
      <c r="Z682" s="53" t="s">
        <v>590</v>
      </c>
      <c r="AA682" s="52" t="s">
        <v>372</v>
      </c>
    </row>
    <row r="683" spans="2:27" ht="80.25" hidden="1" customHeight="1" x14ac:dyDescent="0.35">
      <c r="B683" s="51" t="s">
        <v>78</v>
      </c>
      <c r="C683" s="51" t="s">
        <v>2871</v>
      </c>
      <c r="D683" s="51" t="s">
        <v>79</v>
      </c>
      <c r="E683" s="52">
        <v>1</v>
      </c>
      <c r="F683" s="51" t="s">
        <v>167</v>
      </c>
      <c r="G683" s="51" t="s">
        <v>168</v>
      </c>
      <c r="H683" s="54" t="s">
        <v>150</v>
      </c>
      <c r="I683" s="52">
        <v>6</v>
      </c>
      <c r="J683" s="51" t="s">
        <v>123</v>
      </c>
      <c r="K683" s="52">
        <v>4</v>
      </c>
      <c r="L683" s="52"/>
      <c r="M683" s="52"/>
      <c r="N683" s="53" t="s">
        <v>169</v>
      </c>
      <c r="O683" s="53" t="s">
        <v>170</v>
      </c>
      <c r="P683" s="52"/>
      <c r="Q683" s="55" t="s">
        <v>2771</v>
      </c>
      <c r="R683" s="55" t="s">
        <v>160</v>
      </c>
      <c r="S683" s="55" t="s">
        <v>172</v>
      </c>
      <c r="T683" s="53" t="s">
        <v>2878</v>
      </c>
      <c r="U683" s="53" t="s">
        <v>2879</v>
      </c>
      <c r="V683" s="53" t="s">
        <v>593</v>
      </c>
      <c r="W683" s="321" t="s">
        <v>2886</v>
      </c>
      <c r="X683" s="51" t="s">
        <v>2877</v>
      </c>
      <c r="Y683" s="53" t="s">
        <v>2881</v>
      </c>
      <c r="Z683" s="53" t="s">
        <v>593</v>
      </c>
      <c r="AA683" s="52" t="s">
        <v>372</v>
      </c>
    </row>
    <row r="684" spans="2:27" ht="80.25" hidden="1" customHeight="1" x14ac:dyDescent="0.35">
      <c r="B684" s="51" t="s">
        <v>78</v>
      </c>
      <c r="C684" s="51" t="s">
        <v>2871</v>
      </c>
      <c r="D684" s="51" t="s">
        <v>79</v>
      </c>
      <c r="E684" s="52">
        <v>1</v>
      </c>
      <c r="F684" s="51" t="s">
        <v>176</v>
      </c>
      <c r="G684" s="51" t="s">
        <v>177</v>
      </c>
      <c r="H684" s="54" t="s">
        <v>150</v>
      </c>
      <c r="I684" s="52">
        <v>7</v>
      </c>
      <c r="J684" s="51" t="s">
        <v>123</v>
      </c>
      <c r="K684" s="52">
        <v>4</v>
      </c>
      <c r="L684" s="52"/>
      <c r="M684" s="52"/>
      <c r="N684" s="76" t="s">
        <v>2150</v>
      </c>
      <c r="O684" s="53" t="s">
        <v>179</v>
      </c>
      <c r="P684" s="52"/>
      <c r="Q684" s="51"/>
      <c r="R684" s="55" t="s">
        <v>2887</v>
      </c>
      <c r="S684" s="55" t="s">
        <v>181</v>
      </c>
      <c r="T684" s="53" t="s">
        <v>2874</v>
      </c>
      <c r="U684" s="53" t="s">
        <v>2875</v>
      </c>
      <c r="V684" s="53" t="s">
        <v>369</v>
      </c>
      <c r="W684" s="82" t="s">
        <v>2888</v>
      </c>
      <c r="X684" s="51" t="s">
        <v>2877</v>
      </c>
      <c r="Y684" s="62" t="s">
        <v>372</v>
      </c>
      <c r="Z684" s="62" t="s">
        <v>372</v>
      </c>
      <c r="AA684" s="52" t="s">
        <v>373</v>
      </c>
    </row>
    <row r="685" spans="2:27" ht="80.25" hidden="1" customHeight="1" x14ac:dyDescent="0.35">
      <c r="B685" s="51" t="s">
        <v>78</v>
      </c>
      <c r="C685" s="51" t="s">
        <v>2871</v>
      </c>
      <c r="D685" s="51" t="s">
        <v>79</v>
      </c>
      <c r="E685" s="52">
        <v>1</v>
      </c>
      <c r="F685" s="51" t="s">
        <v>187</v>
      </c>
      <c r="G685" s="51" t="s">
        <v>188</v>
      </c>
      <c r="H685" s="54" t="s">
        <v>150</v>
      </c>
      <c r="I685" s="52">
        <v>8</v>
      </c>
      <c r="J685" s="51" t="s">
        <v>123</v>
      </c>
      <c r="K685" s="52">
        <v>30</v>
      </c>
      <c r="L685" s="52"/>
      <c r="M685" s="52"/>
      <c r="N685" s="53" t="s">
        <v>2889</v>
      </c>
      <c r="O685" s="53" t="s">
        <v>190</v>
      </c>
      <c r="P685" s="52"/>
      <c r="Q685" s="51"/>
      <c r="R685" s="55" t="s">
        <v>2887</v>
      </c>
      <c r="S685" s="55" t="s">
        <v>181</v>
      </c>
      <c r="T685" s="53" t="s">
        <v>2890</v>
      </c>
      <c r="U685" s="53" t="s">
        <v>2891</v>
      </c>
      <c r="V685" s="53" t="s">
        <v>2892</v>
      </c>
      <c r="W685" s="82" t="s">
        <v>2893</v>
      </c>
      <c r="X685" s="55" t="s">
        <v>2156</v>
      </c>
      <c r="Y685" s="53" t="s">
        <v>2157</v>
      </c>
      <c r="Z685" s="53" t="s">
        <v>2158</v>
      </c>
      <c r="AA685" s="52" t="s">
        <v>372</v>
      </c>
    </row>
    <row r="686" spans="2:27" ht="80.25" hidden="1" customHeight="1" x14ac:dyDescent="0.35">
      <c r="B686" s="51" t="s">
        <v>78</v>
      </c>
      <c r="C686" s="51" t="s">
        <v>2871</v>
      </c>
      <c r="D686" s="51" t="s">
        <v>79</v>
      </c>
      <c r="E686" s="52">
        <v>1</v>
      </c>
      <c r="F686" s="51" t="s">
        <v>210</v>
      </c>
      <c r="G686" s="51" t="s">
        <v>211</v>
      </c>
      <c r="H686" s="54" t="s">
        <v>200</v>
      </c>
      <c r="I686" s="52">
        <v>9</v>
      </c>
      <c r="J686" s="51" t="s">
        <v>123</v>
      </c>
      <c r="K686" s="52">
        <v>10</v>
      </c>
      <c r="L686" s="52"/>
      <c r="M686" s="52"/>
      <c r="N686" s="53" t="s">
        <v>212</v>
      </c>
      <c r="O686" s="53" t="s">
        <v>213</v>
      </c>
      <c r="P686" s="52"/>
      <c r="Q686" s="51"/>
      <c r="R686" s="55" t="s">
        <v>2894</v>
      </c>
      <c r="S686" s="55" t="s">
        <v>2895</v>
      </c>
      <c r="T686" s="53" t="s">
        <v>2878</v>
      </c>
      <c r="U686" s="53" t="s">
        <v>2879</v>
      </c>
      <c r="V686" s="51" t="s">
        <v>2896</v>
      </c>
      <c r="W686" s="82" t="s">
        <v>2897</v>
      </c>
      <c r="X686" s="51" t="s">
        <v>2877</v>
      </c>
      <c r="Y686" s="53" t="s">
        <v>2881</v>
      </c>
      <c r="Z686" s="53" t="s">
        <v>2896</v>
      </c>
      <c r="AA686" s="52" t="s">
        <v>372</v>
      </c>
    </row>
    <row r="687" spans="2:27" ht="80.25" hidden="1" customHeight="1" x14ac:dyDescent="0.35">
      <c r="B687" s="51" t="s">
        <v>78</v>
      </c>
      <c r="C687" s="51" t="s">
        <v>2871</v>
      </c>
      <c r="D687" s="51" t="s">
        <v>79</v>
      </c>
      <c r="E687" s="52">
        <v>1</v>
      </c>
      <c r="F687" s="51" t="s">
        <v>222</v>
      </c>
      <c r="G687" s="51" t="s">
        <v>223</v>
      </c>
      <c r="H687" s="54" t="s">
        <v>224</v>
      </c>
      <c r="I687" s="52">
        <v>10</v>
      </c>
      <c r="J687" s="51" t="s">
        <v>123</v>
      </c>
      <c r="K687" s="52">
        <v>4</v>
      </c>
      <c r="L687" s="52"/>
      <c r="M687" s="52"/>
      <c r="N687" s="53" t="s">
        <v>225</v>
      </c>
      <c r="O687" s="53" t="s">
        <v>226</v>
      </c>
      <c r="P687" s="52"/>
      <c r="Q687" s="53" t="s">
        <v>1277</v>
      </c>
      <c r="R687" s="55" t="s">
        <v>2898</v>
      </c>
      <c r="S687" s="82" t="s">
        <v>864</v>
      </c>
      <c r="T687" s="53" t="s">
        <v>2899</v>
      </c>
      <c r="U687" s="53" t="s">
        <v>2900</v>
      </c>
      <c r="V687" s="55" t="s">
        <v>2901</v>
      </c>
      <c r="W687" s="82" t="s">
        <v>2902</v>
      </c>
      <c r="X687" s="51" t="s">
        <v>2877</v>
      </c>
      <c r="Y687" s="53" t="s">
        <v>2903</v>
      </c>
      <c r="Z687" s="53" t="s">
        <v>2904</v>
      </c>
      <c r="AA687" s="52" t="s">
        <v>372</v>
      </c>
    </row>
    <row r="688" spans="2:27" ht="80.25" hidden="1" customHeight="1" x14ac:dyDescent="0.35">
      <c r="B688" s="51" t="s">
        <v>78</v>
      </c>
      <c r="C688" s="51" t="s">
        <v>2871</v>
      </c>
      <c r="D688" s="51" t="s">
        <v>79</v>
      </c>
      <c r="E688" s="52">
        <v>1</v>
      </c>
      <c r="F688" s="51" t="s">
        <v>2905</v>
      </c>
      <c r="G688" s="51" t="s">
        <v>2906</v>
      </c>
      <c r="H688" s="54" t="s">
        <v>2907</v>
      </c>
      <c r="I688" s="52">
        <v>11</v>
      </c>
      <c r="J688" s="51" t="s">
        <v>250</v>
      </c>
      <c r="K688" s="52">
        <v>23</v>
      </c>
      <c r="L688" s="52">
        <v>6</v>
      </c>
      <c r="M688" s="52"/>
      <c r="N688" s="53" t="s">
        <v>2908</v>
      </c>
      <c r="O688" s="53" t="s">
        <v>2909</v>
      </c>
      <c r="P688" s="52"/>
      <c r="Q688" s="54"/>
      <c r="R688" s="55" t="s">
        <v>2910</v>
      </c>
      <c r="S688" s="51" t="s">
        <v>2911</v>
      </c>
      <c r="T688" s="53" t="s">
        <v>2899</v>
      </c>
      <c r="U688" s="53" t="s">
        <v>2900</v>
      </c>
      <c r="V688" s="55" t="s">
        <v>2912</v>
      </c>
      <c r="W688" s="82" t="s">
        <v>2913</v>
      </c>
      <c r="X688" s="51" t="s">
        <v>2877</v>
      </c>
      <c r="Y688" s="53" t="s">
        <v>2914</v>
      </c>
      <c r="Z688" s="54" t="s">
        <v>677</v>
      </c>
      <c r="AA688" s="52" t="s">
        <v>372</v>
      </c>
    </row>
    <row r="689" spans="2:27" ht="80.25" hidden="1" customHeight="1" x14ac:dyDescent="0.35">
      <c r="B689" s="51" t="s">
        <v>78</v>
      </c>
      <c r="C689" s="51" t="s">
        <v>2871</v>
      </c>
      <c r="D689" s="51" t="s">
        <v>79</v>
      </c>
      <c r="E689" s="52">
        <v>1</v>
      </c>
      <c r="F689" s="51" t="s">
        <v>1604</v>
      </c>
      <c r="G689" s="51" t="s">
        <v>1605</v>
      </c>
      <c r="H689" s="54" t="s">
        <v>249</v>
      </c>
      <c r="I689" s="52">
        <v>12</v>
      </c>
      <c r="J689" s="51" t="s">
        <v>250</v>
      </c>
      <c r="K689" s="52">
        <v>23</v>
      </c>
      <c r="L689" s="52">
        <v>6</v>
      </c>
      <c r="M689" s="52"/>
      <c r="N689" s="53" t="s">
        <v>1619</v>
      </c>
      <c r="O689" s="53" t="s">
        <v>1607</v>
      </c>
      <c r="P689" s="52"/>
      <c r="Q689" s="54"/>
      <c r="R689" s="53" t="s">
        <v>275</v>
      </c>
      <c r="S689" s="53" t="s">
        <v>276</v>
      </c>
      <c r="T689" s="53" t="s">
        <v>2899</v>
      </c>
      <c r="U689" s="53" t="s">
        <v>2900</v>
      </c>
      <c r="V689" s="55" t="s">
        <v>2912</v>
      </c>
      <c r="W689" s="82" t="s">
        <v>2915</v>
      </c>
      <c r="X689" s="51" t="s">
        <v>2877</v>
      </c>
      <c r="Y689" s="54" t="s">
        <v>2903</v>
      </c>
      <c r="Z689" s="54" t="s">
        <v>652</v>
      </c>
      <c r="AA689" s="52" t="s">
        <v>372</v>
      </c>
    </row>
    <row r="690" spans="2:27" ht="80.25" hidden="1" customHeight="1" x14ac:dyDescent="0.35">
      <c r="B690" s="66" t="s">
        <v>78</v>
      </c>
      <c r="C690" s="66" t="s">
        <v>2871</v>
      </c>
      <c r="D690" s="66" t="s">
        <v>79</v>
      </c>
      <c r="E690" s="77">
        <v>1</v>
      </c>
      <c r="F690" s="66" t="s">
        <v>2916</v>
      </c>
      <c r="G690" s="66" t="s">
        <v>2917</v>
      </c>
      <c r="H690" s="66" t="s">
        <v>2907</v>
      </c>
      <c r="I690" s="77">
        <v>13</v>
      </c>
      <c r="J690" s="66" t="s">
        <v>250</v>
      </c>
      <c r="K690" s="77">
        <v>23</v>
      </c>
      <c r="L690" s="77">
        <v>6</v>
      </c>
      <c r="M690" s="77"/>
      <c r="N690" s="72" t="s">
        <v>2918</v>
      </c>
      <c r="O690" s="72" t="s">
        <v>2919</v>
      </c>
      <c r="P690" s="77"/>
      <c r="Q690" s="74"/>
      <c r="R690" s="67" t="s">
        <v>2910</v>
      </c>
      <c r="S690" s="66" t="s">
        <v>2920</v>
      </c>
      <c r="T690" s="77"/>
      <c r="U690" s="77"/>
      <c r="V690" s="77"/>
      <c r="W690" s="66"/>
      <c r="X690" s="66" t="s">
        <v>1674</v>
      </c>
      <c r="Y690" s="66" t="s">
        <v>1674</v>
      </c>
      <c r="Z690" s="66" t="s">
        <v>1674</v>
      </c>
      <c r="AA690" s="77" t="s">
        <v>1674</v>
      </c>
    </row>
    <row r="691" spans="2:27" ht="80.25" hidden="1" customHeight="1" x14ac:dyDescent="0.35">
      <c r="B691" s="66" t="s">
        <v>78</v>
      </c>
      <c r="C691" s="66" t="s">
        <v>2871</v>
      </c>
      <c r="D691" s="66" t="s">
        <v>79</v>
      </c>
      <c r="E691" s="77">
        <v>1</v>
      </c>
      <c r="F691" s="66" t="s">
        <v>2171</v>
      </c>
      <c r="G691" s="66" t="s">
        <v>2172</v>
      </c>
      <c r="H691" s="74" t="s">
        <v>746</v>
      </c>
      <c r="I691" s="77">
        <v>14</v>
      </c>
      <c r="J691" s="66" t="s">
        <v>123</v>
      </c>
      <c r="K691" s="77">
        <v>4</v>
      </c>
      <c r="L691" s="77"/>
      <c r="M691" s="77"/>
      <c r="N691" s="72" t="s">
        <v>2173</v>
      </c>
      <c r="O691" s="53" t="s">
        <v>2174</v>
      </c>
      <c r="P691" s="77"/>
      <c r="Q691" s="72" t="s">
        <v>1673</v>
      </c>
      <c r="R691" s="72"/>
      <c r="S691" s="74"/>
      <c r="T691" s="66"/>
      <c r="U691" s="74"/>
      <c r="V691" s="74"/>
      <c r="W691" s="66"/>
      <c r="X691" s="66" t="s">
        <v>1674</v>
      </c>
      <c r="Y691" s="66" t="s">
        <v>1674</v>
      </c>
      <c r="Z691" s="66" t="s">
        <v>1674</v>
      </c>
      <c r="AA691" s="75" t="s">
        <v>1674</v>
      </c>
    </row>
    <row r="692" spans="2:27" ht="80.25" hidden="1" customHeight="1" x14ac:dyDescent="0.35">
      <c r="B692" s="66" t="s">
        <v>78</v>
      </c>
      <c r="C692" s="66" t="s">
        <v>2871</v>
      </c>
      <c r="D692" s="66" t="s">
        <v>79</v>
      </c>
      <c r="E692" s="77">
        <v>1</v>
      </c>
      <c r="F692" s="66" t="s">
        <v>2175</v>
      </c>
      <c r="G692" s="66" t="s">
        <v>2176</v>
      </c>
      <c r="H692" s="74" t="s">
        <v>746</v>
      </c>
      <c r="I692" s="77">
        <v>15</v>
      </c>
      <c r="J692" s="66" t="s">
        <v>123</v>
      </c>
      <c r="K692" s="77">
        <v>20</v>
      </c>
      <c r="L692" s="77"/>
      <c r="M692" s="77"/>
      <c r="N692" s="72" t="s">
        <v>1677</v>
      </c>
      <c r="O692" s="53" t="s">
        <v>2177</v>
      </c>
      <c r="P692" s="77"/>
      <c r="Q692" s="72" t="s">
        <v>1679</v>
      </c>
      <c r="R692" s="72"/>
      <c r="S692" s="74"/>
      <c r="T692" s="66"/>
      <c r="U692" s="74"/>
      <c r="V692" s="74"/>
      <c r="W692" s="66"/>
      <c r="X692" s="66" t="s">
        <v>1674</v>
      </c>
      <c r="Y692" s="66" t="s">
        <v>1674</v>
      </c>
      <c r="Z692" s="66" t="s">
        <v>1674</v>
      </c>
      <c r="AA692" s="75" t="s">
        <v>1674</v>
      </c>
    </row>
    <row r="693" spans="2:27" ht="80.25" hidden="1" customHeight="1" x14ac:dyDescent="0.35">
      <c r="B693" s="66" t="s">
        <v>78</v>
      </c>
      <c r="C693" s="66" t="s">
        <v>2871</v>
      </c>
      <c r="D693" s="66" t="s">
        <v>79</v>
      </c>
      <c r="E693" s="77">
        <v>1</v>
      </c>
      <c r="F693" s="66" t="s">
        <v>2178</v>
      </c>
      <c r="G693" s="66" t="s">
        <v>2179</v>
      </c>
      <c r="H693" s="74" t="s">
        <v>767</v>
      </c>
      <c r="I693" s="77">
        <v>16</v>
      </c>
      <c r="J693" s="66" t="s">
        <v>250</v>
      </c>
      <c r="K693" s="77">
        <v>23</v>
      </c>
      <c r="L693" s="77">
        <v>6</v>
      </c>
      <c r="M693" s="77"/>
      <c r="N693" s="72" t="s">
        <v>2180</v>
      </c>
      <c r="O693" s="53" t="s">
        <v>2181</v>
      </c>
      <c r="P693" s="77"/>
      <c r="Q693" s="74"/>
      <c r="R693" s="72"/>
      <c r="S693" s="74"/>
      <c r="T693" s="66"/>
      <c r="U693" s="74"/>
      <c r="V693" s="74"/>
      <c r="W693" s="66"/>
      <c r="X693" s="66" t="s">
        <v>1674</v>
      </c>
      <c r="Y693" s="66" t="s">
        <v>1674</v>
      </c>
      <c r="Z693" s="66" t="s">
        <v>1674</v>
      </c>
      <c r="AA693" s="75" t="s">
        <v>1674</v>
      </c>
    </row>
    <row r="694" spans="2:27" ht="80.25" hidden="1" customHeight="1" x14ac:dyDescent="0.35">
      <c r="B694" s="66" t="s">
        <v>78</v>
      </c>
      <c r="C694" s="66" t="s">
        <v>2871</v>
      </c>
      <c r="D694" s="66" t="s">
        <v>79</v>
      </c>
      <c r="E694" s="77">
        <v>1</v>
      </c>
      <c r="F694" s="66" t="s">
        <v>2182</v>
      </c>
      <c r="G694" s="66" t="s">
        <v>2183</v>
      </c>
      <c r="H694" s="74" t="s">
        <v>767</v>
      </c>
      <c r="I694" s="77">
        <v>17</v>
      </c>
      <c r="J694" s="66" t="s">
        <v>250</v>
      </c>
      <c r="K694" s="77">
        <v>23</v>
      </c>
      <c r="L694" s="77">
        <v>6</v>
      </c>
      <c r="M694" s="77"/>
      <c r="N694" s="72" t="s">
        <v>1686</v>
      </c>
      <c r="O694" s="53" t="s">
        <v>2184</v>
      </c>
      <c r="P694" s="77"/>
      <c r="Q694" s="74"/>
      <c r="R694" s="72"/>
      <c r="S694" s="74"/>
      <c r="T694" s="66"/>
      <c r="U694" s="74"/>
      <c r="V694" s="74"/>
      <c r="W694" s="66"/>
      <c r="X694" s="66" t="s">
        <v>1674</v>
      </c>
      <c r="Y694" s="66" t="s">
        <v>1674</v>
      </c>
      <c r="Z694" s="66" t="s">
        <v>1674</v>
      </c>
      <c r="AA694" s="75" t="s">
        <v>1674</v>
      </c>
    </row>
    <row r="695" spans="2:27" ht="80.25" hidden="1" customHeight="1" x14ac:dyDescent="0.35">
      <c r="B695" s="66" t="s">
        <v>78</v>
      </c>
      <c r="C695" s="66" t="s">
        <v>2871</v>
      </c>
      <c r="D695" s="66" t="s">
        <v>79</v>
      </c>
      <c r="E695" s="77">
        <v>1</v>
      </c>
      <c r="F695" s="66" t="s">
        <v>2185</v>
      </c>
      <c r="G695" s="66" t="s">
        <v>2186</v>
      </c>
      <c r="H695" s="74" t="s">
        <v>767</v>
      </c>
      <c r="I695" s="77">
        <v>18</v>
      </c>
      <c r="J695" s="66" t="s">
        <v>250</v>
      </c>
      <c r="K695" s="77">
        <v>23</v>
      </c>
      <c r="L695" s="77">
        <v>6</v>
      </c>
      <c r="M695" s="77"/>
      <c r="N695" s="72" t="s">
        <v>2187</v>
      </c>
      <c r="O695" s="53" t="s">
        <v>2188</v>
      </c>
      <c r="P695" s="77"/>
      <c r="Q695" s="66"/>
      <c r="R695" s="67" t="s">
        <v>788</v>
      </c>
      <c r="S695" s="66" t="s">
        <v>1518</v>
      </c>
      <c r="T695" s="77"/>
      <c r="U695" s="77"/>
      <c r="V695" s="77"/>
      <c r="W695" s="66"/>
      <c r="X695" s="66" t="s">
        <v>1674</v>
      </c>
      <c r="Y695" s="66" t="s">
        <v>1674</v>
      </c>
      <c r="Z695" s="66" t="s">
        <v>1674</v>
      </c>
      <c r="AA695" s="75" t="s">
        <v>1674</v>
      </c>
    </row>
    <row r="696" spans="2:27" ht="80.25" hidden="1" customHeight="1" x14ac:dyDescent="0.35">
      <c r="B696" s="66" t="s">
        <v>78</v>
      </c>
      <c r="C696" s="66" t="s">
        <v>2871</v>
      </c>
      <c r="D696" s="66" t="s">
        <v>79</v>
      </c>
      <c r="E696" s="77">
        <v>1</v>
      </c>
      <c r="F696" s="66" t="s">
        <v>2189</v>
      </c>
      <c r="G696" s="66" t="s">
        <v>2190</v>
      </c>
      <c r="H696" s="74" t="s">
        <v>746</v>
      </c>
      <c r="I696" s="77">
        <v>19</v>
      </c>
      <c r="J696" s="66" t="s">
        <v>123</v>
      </c>
      <c r="K696" s="77">
        <v>4</v>
      </c>
      <c r="L696" s="77"/>
      <c r="M696" s="77"/>
      <c r="N696" s="72" t="s">
        <v>2191</v>
      </c>
      <c r="O696" s="53" t="s">
        <v>2192</v>
      </c>
      <c r="P696" s="77"/>
      <c r="Q696" s="72" t="s">
        <v>1673</v>
      </c>
      <c r="R696" s="72"/>
      <c r="S696" s="74"/>
      <c r="T696" s="66"/>
      <c r="U696" s="74"/>
      <c r="V696" s="74"/>
      <c r="W696" s="66"/>
      <c r="X696" s="66" t="s">
        <v>1674</v>
      </c>
      <c r="Y696" s="66" t="s">
        <v>1674</v>
      </c>
      <c r="Z696" s="66" t="s">
        <v>1674</v>
      </c>
      <c r="AA696" s="75" t="s">
        <v>1674</v>
      </c>
    </row>
    <row r="697" spans="2:27" ht="80.25" hidden="1" customHeight="1" x14ac:dyDescent="0.35">
      <c r="B697" s="66" t="s">
        <v>78</v>
      </c>
      <c r="C697" s="66" t="s">
        <v>2871</v>
      </c>
      <c r="D697" s="66" t="s">
        <v>79</v>
      </c>
      <c r="E697" s="77">
        <v>1</v>
      </c>
      <c r="F697" s="66" t="s">
        <v>2193</v>
      </c>
      <c r="G697" s="66" t="s">
        <v>2194</v>
      </c>
      <c r="H697" s="74" t="s">
        <v>746</v>
      </c>
      <c r="I697" s="77">
        <v>20</v>
      </c>
      <c r="J697" s="66" t="s">
        <v>123</v>
      </c>
      <c r="K697" s="77">
        <v>20</v>
      </c>
      <c r="L697" s="77"/>
      <c r="M697" s="77"/>
      <c r="N697" s="72" t="s">
        <v>1698</v>
      </c>
      <c r="O697" s="53" t="s">
        <v>2255</v>
      </c>
      <c r="P697" s="77"/>
      <c r="Q697" s="72" t="s">
        <v>1700</v>
      </c>
      <c r="R697" s="72"/>
      <c r="S697" s="74"/>
      <c r="T697" s="66"/>
      <c r="U697" s="74"/>
      <c r="V697" s="74"/>
      <c r="W697" s="66"/>
      <c r="X697" s="66" t="s">
        <v>1674</v>
      </c>
      <c r="Y697" s="66" t="s">
        <v>1674</v>
      </c>
      <c r="Z697" s="66" t="s">
        <v>1674</v>
      </c>
      <c r="AA697" s="75" t="s">
        <v>1674</v>
      </c>
    </row>
    <row r="698" spans="2:27" ht="80.25" hidden="1" customHeight="1" x14ac:dyDescent="0.35">
      <c r="B698" s="66" t="s">
        <v>78</v>
      </c>
      <c r="C698" s="66" t="s">
        <v>2871</v>
      </c>
      <c r="D698" s="66" t="s">
        <v>79</v>
      </c>
      <c r="E698" s="77">
        <v>1</v>
      </c>
      <c r="F698" s="66" t="s">
        <v>2196</v>
      </c>
      <c r="G698" s="66" t="s">
        <v>2197</v>
      </c>
      <c r="H698" s="74" t="s">
        <v>767</v>
      </c>
      <c r="I698" s="77">
        <v>21</v>
      </c>
      <c r="J698" s="66" t="s">
        <v>250</v>
      </c>
      <c r="K698" s="77">
        <v>23</v>
      </c>
      <c r="L698" s="77">
        <v>6</v>
      </c>
      <c r="M698" s="77"/>
      <c r="N698" s="72" t="s">
        <v>2198</v>
      </c>
      <c r="O698" s="53" t="s">
        <v>2199</v>
      </c>
      <c r="P698" s="77"/>
      <c r="Q698" s="74"/>
      <c r="R698" s="72"/>
      <c r="S698" s="74"/>
      <c r="T698" s="66"/>
      <c r="U698" s="74"/>
      <c r="V698" s="74"/>
      <c r="W698" s="66"/>
      <c r="X698" s="66" t="s">
        <v>1674</v>
      </c>
      <c r="Y698" s="66" t="s">
        <v>1674</v>
      </c>
      <c r="Z698" s="66" t="s">
        <v>1674</v>
      </c>
      <c r="AA698" s="75" t="s">
        <v>1674</v>
      </c>
    </row>
    <row r="699" spans="2:27" ht="80.25" hidden="1" customHeight="1" x14ac:dyDescent="0.35">
      <c r="B699" s="66" t="s">
        <v>78</v>
      </c>
      <c r="C699" s="66" t="s">
        <v>2871</v>
      </c>
      <c r="D699" s="66" t="s">
        <v>79</v>
      </c>
      <c r="E699" s="77">
        <v>1</v>
      </c>
      <c r="F699" s="66" t="s">
        <v>2200</v>
      </c>
      <c r="G699" s="66" t="s">
        <v>2201</v>
      </c>
      <c r="H699" s="74" t="s">
        <v>767</v>
      </c>
      <c r="I699" s="77">
        <v>22</v>
      </c>
      <c r="J699" s="66" t="s">
        <v>250</v>
      </c>
      <c r="K699" s="77">
        <v>23</v>
      </c>
      <c r="L699" s="77">
        <v>6</v>
      </c>
      <c r="M699" s="77"/>
      <c r="N699" s="72" t="s">
        <v>777</v>
      </c>
      <c r="O699" s="53" t="s">
        <v>2202</v>
      </c>
      <c r="P699" s="77"/>
      <c r="Q699" s="74"/>
      <c r="R699" s="72"/>
      <c r="S699" s="74"/>
      <c r="T699" s="66"/>
      <c r="U699" s="74"/>
      <c r="V699" s="74"/>
      <c r="W699" s="66"/>
      <c r="X699" s="66" t="s">
        <v>1674</v>
      </c>
      <c r="Y699" s="66" t="s">
        <v>1674</v>
      </c>
      <c r="Z699" s="66" t="s">
        <v>1674</v>
      </c>
      <c r="AA699" s="75" t="s">
        <v>1674</v>
      </c>
    </row>
    <row r="700" spans="2:27" ht="80.25" hidden="1" customHeight="1" x14ac:dyDescent="0.35">
      <c r="B700" s="66" t="s">
        <v>78</v>
      </c>
      <c r="C700" s="66" t="s">
        <v>2871</v>
      </c>
      <c r="D700" s="66" t="s">
        <v>79</v>
      </c>
      <c r="E700" s="77">
        <v>1</v>
      </c>
      <c r="F700" s="66" t="s">
        <v>2203</v>
      </c>
      <c r="G700" s="66" t="s">
        <v>2204</v>
      </c>
      <c r="H700" s="74" t="s">
        <v>767</v>
      </c>
      <c r="I700" s="77">
        <v>23</v>
      </c>
      <c r="J700" s="66" t="s">
        <v>250</v>
      </c>
      <c r="K700" s="77">
        <v>23</v>
      </c>
      <c r="L700" s="77">
        <v>6</v>
      </c>
      <c r="M700" s="77"/>
      <c r="N700" s="72" t="s">
        <v>2205</v>
      </c>
      <c r="O700" s="53" t="s">
        <v>2206</v>
      </c>
      <c r="P700" s="77"/>
      <c r="Q700" s="66"/>
      <c r="R700" s="67" t="s">
        <v>1712</v>
      </c>
      <c r="S700" s="67" t="s">
        <v>1713</v>
      </c>
      <c r="T700" s="77"/>
      <c r="U700" s="77"/>
      <c r="V700" s="77"/>
      <c r="W700" s="66"/>
      <c r="X700" s="66" t="s">
        <v>1674</v>
      </c>
      <c r="Y700" s="66" t="s">
        <v>1674</v>
      </c>
      <c r="Z700" s="66" t="s">
        <v>1674</v>
      </c>
      <c r="AA700" s="75" t="s">
        <v>1674</v>
      </c>
    </row>
    <row r="701" spans="2:27" ht="80.25" hidden="1" customHeight="1" x14ac:dyDescent="0.35">
      <c r="B701" s="51" t="s">
        <v>78</v>
      </c>
      <c r="C701" s="51" t="s">
        <v>2871</v>
      </c>
      <c r="D701" s="51" t="s">
        <v>79</v>
      </c>
      <c r="E701" s="52">
        <v>1</v>
      </c>
      <c r="F701" s="51" t="s">
        <v>293</v>
      </c>
      <c r="G701" s="51" t="s">
        <v>294</v>
      </c>
      <c r="H701" s="54" t="s">
        <v>295</v>
      </c>
      <c r="I701" s="52">
        <v>24</v>
      </c>
      <c r="J701" s="51" t="s">
        <v>123</v>
      </c>
      <c r="K701" s="52">
        <v>4</v>
      </c>
      <c r="L701" s="52"/>
      <c r="M701" s="52"/>
      <c r="N701" s="53" t="s">
        <v>296</v>
      </c>
      <c r="O701" s="53" t="s">
        <v>297</v>
      </c>
      <c r="P701" s="52"/>
      <c r="Q701" s="53" t="s">
        <v>2921</v>
      </c>
      <c r="R701" s="55" t="s">
        <v>2922</v>
      </c>
      <c r="S701" s="55" t="s">
        <v>1716</v>
      </c>
      <c r="T701" s="53" t="s">
        <v>2874</v>
      </c>
      <c r="U701" s="53" t="s">
        <v>2875</v>
      </c>
      <c r="V701" s="53" t="s">
        <v>369</v>
      </c>
      <c r="W701" s="355" t="s">
        <v>2923</v>
      </c>
      <c r="X701" s="51" t="s">
        <v>2877</v>
      </c>
      <c r="Y701" s="53" t="s">
        <v>2881</v>
      </c>
      <c r="Z701" s="53" t="s">
        <v>1042</v>
      </c>
      <c r="AA701" s="60" t="s">
        <v>372</v>
      </c>
    </row>
    <row r="702" spans="2:27" ht="80.25" customHeight="1" x14ac:dyDescent="0.35">
      <c r="B702" s="51" t="s">
        <v>78</v>
      </c>
      <c r="C702" s="51" t="s">
        <v>2871</v>
      </c>
      <c r="D702" s="51" t="s">
        <v>79</v>
      </c>
      <c r="E702" s="52">
        <v>1</v>
      </c>
      <c r="F702" s="51" t="s">
        <v>304</v>
      </c>
      <c r="G702" s="51" t="s">
        <v>305</v>
      </c>
      <c r="H702" s="54" t="s">
        <v>295</v>
      </c>
      <c r="I702" s="52">
        <v>25</v>
      </c>
      <c r="J702" s="51" t="s">
        <v>123</v>
      </c>
      <c r="K702" s="52">
        <v>4</v>
      </c>
      <c r="L702" s="52"/>
      <c r="M702" s="52"/>
      <c r="N702" s="53" t="s">
        <v>306</v>
      </c>
      <c r="O702" s="53" t="s">
        <v>307</v>
      </c>
      <c r="P702" s="52"/>
      <c r="Q702" s="55" t="s">
        <v>1774</v>
      </c>
      <c r="R702" s="55" t="s">
        <v>203</v>
      </c>
      <c r="S702" s="51" t="s">
        <v>309</v>
      </c>
      <c r="T702" s="53" t="s">
        <v>2924</v>
      </c>
      <c r="U702" s="53" t="s">
        <v>2925</v>
      </c>
      <c r="V702" s="53" t="s">
        <v>2530</v>
      </c>
      <c r="W702" s="355" t="s">
        <v>2926</v>
      </c>
      <c r="X702" s="51" t="s">
        <v>2927</v>
      </c>
      <c r="Y702" s="51" t="s">
        <v>2928</v>
      </c>
      <c r="Z702" s="51" t="s">
        <v>2929</v>
      </c>
      <c r="AA702" s="60" t="s">
        <v>1781</v>
      </c>
    </row>
    <row r="703" spans="2:27" ht="80.25" hidden="1" customHeight="1" x14ac:dyDescent="0.35">
      <c r="B703" s="51" t="s">
        <v>78</v>
      </c>
      <c r="C703" s="51" t="s">
        <v>2871</v>
      </c>
      <c r="D703" s="51" t="s">
        <v>79</v>
      </c>
      <c r="E703" s="52">
        <v>1</v>
      </c>
      <c r="F703" s="51" t="s">
        <v>317</v>
      </c>
      <c r="G703" s="51" t="s">
        <v>318</v>
      </c>
      <c r="H703" s="51" t="s">
        <v>319</v>
      </c>
      <c r="I703" s="52">
        <v>26</v>
      </c>
      <c r="J703" s="51" t="s">
        <v>123</v>
      </c>
      <c r="K703" s="52">
        <v>2</v>
      </c>
      <c r="L703" s="52"/>
      <c r="M703" s="52"/>
      <c r="N703" s="53" t="s">
        <v>320</v>
      </c>
      <c r="O703" s="53" t="s">
        <v>321</v>
      </c>
      <c r="P703" s="52"/>
      <c r="Q703" s="53" t="s">
        <v>463</v>
      </c>
      <c r="R703" s="55"/>
      <c r="S703" s="51"/>
      <c r="T703" s="53" t="s">
        <v>2878</v>
      </c>
      <c r="U703" s="53" t="s">
        <v>2879</v>
      </c>
      <c r="V703" s="51" t="s">
        <v>372</v>
      </c>
      <c r="W703" s="82" t="s">
        <v>2930</v>
      </c>
      <c r="X703" s="51" t="s">
        <v>2877</v>
      </c>
      <c r="Y703" s="54" t="s">
        <v>372</v>
      </c>
      <c r="Z703" s="54" t="s">
        <v>372</v>
      </c>
      <c r="AA703" s="52" t="s">
        <v>2931</v>
      </c>
    </row>
    <row r="704" spans="2:27" ht="80.25" hidden="1" customHeight="1" x14ac:dyDescent="0.35">
      <c r="B704" s="51" t="s">
        <v>78</v>
      </c>
      <c r="C704" s="51" t="s">
        <v>2871</v>
      </c>
      <c r="D704" s="51" t="s">
        <v>79</v>
      </c>
      <c r="E704" s="52">
        <v>1</v>
      </c>
      <c r="F704" s="51" t="s">
        <v>326</v>
      </c>
      <c r="G704" s="51" t="s">
        <v>327</v>
      </c>
      <c r="H704" s="51" t="s">
        <v>328</v>
      </c>
      <c r="I704" s="52">
        <v>27</v>
      </c>
      <c r="J704" s="51" t="s">
        <v>123</v>
      </c>
      <c r="K704" s="52">
        <v>27</v>
      </c>
      <c r="L704" s="52"/>
      <c r="M704" s="52"/>
      <c r="N704" s="53" t="s">
        <v>329</v>
      </c>
      <c r="O704" s="53" t="s">
        <v>361</v>
      </c>
      <c r="P704" s="52" t="s">
        <v>126</v>
      </c>
      <c r="Q704" s="51"/>
      <c r="R704" s="55" t="s">
        <v>275</v>
      </c>
      <c r="S704" s="51" t="s">
        <v>803</v>
      </c>
      <c r="T704" s="53" t="s">
        <v>2878</v>
      </c>
      <c r="U704" s="53" t="s">
        <v>2879</v>
      </c>
      <c r="V704" s="51" t="s">
        <v>678</v>
      </c>
      <c r="W704" s="82" t="s">
        <v>2932</v>
      </c>
      <c r="X704" s="54" t="s">
        <v>372</v>
      </c>
      <c r="Y704" s="54" t="s">
        <v>372</v>
      </c>
      <c r="Z704" s="54" t="s">
        <v>372</v>
      </c>
      <c r="AA704" s="60" t="s">
        <v>372</v>
      </c>
    </row>
    <row r="705" spans="2:27" ht="80.25" hidden="1" customHeight="1" x14ac:dyDescent="0.35">
      <c r="B705" s="51" t="s">
        <v>78</v>
      </c>
      <c r="C705" s="51" t="s">
        <v>2871</v>
      </c>
      <c r="D705" s="51" t="s">
        <v>79</v>
      </c>
      <c r="E705" s="52">
        <v>1</v>
      </c>
      <c r="F705" s="51" t="s">
        <v>333</v>
      </c>
      <c r="G705" s="51" t="s">
        <v>334</v>
      </c>
      <c r="H705" s="51" t="s">
        <v>335</v>
      </c>
      <c r="I705" s="52">
        <v>28</v>
      </c>
      <c r="J705" s="51" t="s">
        <v>336</v>
      </c>
      <c r="K705" s="52">
        <v>28</v>
      </c>
      <c r="L705" s="52"/>
      <c r="M705" s="52"/>
      <c r="N705" s="53" t="s">
        <v>337</v>
      </c>
      <c r="O705" s="53" t="s">
        <v>338</v>
      </c>
      <c r="P705" s="52"/>
      <c r="Q705" s="51"/>
      <c r="R705" s="55"/>
      <c r="S705" s="51"/>
      <c r="T705" s="53" t="s">
        <v>2878</v>
      </c>
      <c r="U705" s="53" t="s">
        <v>2879</v>
      </c>
      <c r="V705" s="51" t="s">
        <v>372</v>
      </c>
      <c r="W705" s="82" t="s">
        <v>2933</v>
      </c>
      <c r="X705" s="54" t="s">
        <v>372</v>
      </c>
      <c r="Y705" s="54" t="s">
        <v>372</v>
      </c>
      <c r="Z705" s="54" t="s">
        <v>372</v>
      </c>
      <c r="AA705" s="60" t="s">
        <v>372</v>
      </c>
    </row>
    <row r="706" spans="2:27" ht="80.25" hidden="1" customHeight="1" x14ac:dyDescent="0.35">
      <c r="B706" s="51" t="s">
        <v>81</v>
      </c>
      <c r="C706" s="51" t="s">
        <v>2934</v>
      </c>
      <c r="D706" s="51" t="s">
        <v>82</v>
      </c>
      <c r="E706" s="52">
        <v>1</v>
      </c>
      <c r="F706" s="51" t="s">
        <v>120</v>
      </c>
      <c r="G706" s="51" t="s">
        <v>121</v>
      </c>
      <c r="H706" s="51" t="s">
        <v>122</v>
      </c>
      <c r="I706" s="52">
        <v>1</v>
      </c>
      <c r="J706" s="51" t="s">
        <v>123</v>
      </c>
      <c r="K706" s="52">
        <v>4</v>
      </c>
      <c r="L706" s="52"/>
      <c r="M706" s="52"/>
      <c r="N706" s="328" t="s">
        <v>124</v>
      </c>
      <c r="O706" s="53" t="s">
        <v>125</v>
      </c>
      <c r="P706" s="52" t="s">
        <v>126</v>
      </c>
      <c r="Q706" s="54"/>
      <c r="R706" s="55" t="s">
        <v>2935</v>
      </c>
      <c r="S706" s="55" t="s">
        <v>2138</v>
      </c>
      <c r="T706" s="55" t="s">
        <v>2936</v>
      </c>
      <c r="U706" s="55" t="s">
        <v>2937</v>
      </c>
      <c r="V706" s="55" t="s">
        <v>2938</v>
      </c>
      <c r="W706" s="82" t="s">
        <v>2939</v>
      </c>
      <c r="X706" s="63" t="s">
        <v>2940</v>
      </c>
      <c r="Y706" s="53" t="s">
        <v>939</v>
      </c>
      <c r="Z706" s="53" t="s">
        <v>939</v>
      </c>
      <c r="AA706" s="60" t="s">
        <v>2941</v>
      </c>
    </row>
    <row r="707" spans="2:27" ht="80.25" hidden="1" customHeight="1" x14ac:dyDescent="0.35">
      <c r="B707" s="51" t="s">
        <v>81</v>
      </c>
      <c r="C707" s="51" t="s">
        <v>2934</v>
      </c>
      <c r="D707" s="51" t="s">
        <v>82</v>
      </c>
      <c r="E707" s="52">
        <v>1</v>
      </c>
      <c r="F707" s="51" t="s">
        <v>136</v>
      </c>
      <c r="G707" s="51" t="s">
        <v>137</v>
      </c>
      <c r="H707" s="51" t="s">
        <v>122</v>
      </c>
      <c r="I707" s="52">
        <v>2</v>
      </c>
      <c r="J707" s="51" t="s">
        <v>123</v>
      </c>
      <c r="K707" s="52">
        <v>30</v>
      </c>
      <c r="L707" s="52"/>
      <c r="M707" s="52"/>
      <c r="N707" s="53" t="s">
        <v>138</v>
      </c>
      <c r="O707" s="53" t="s">
        <v>139</v>
      </c>
      <c r="P707" s="52" t="s">
        <v>126</v>
      </c>
      <c r="Q707" s="54"/>
      <c r="R707" s="55" t="s">
        <v>2935</v>
      </c>
      <c r="S707" s="55" t="s">
        <v>2138</v>
      </c>
      <c r="T707" s="55" t="s">
        <v>2942</v>
      </c>
      <c r="U707" s="55" t="s">
        <v>2943</v>
      </c>
      <c r="V707" s="55" t="s">
        <v>2944</v>
      </c>
      <c r="W707" s="82" t="s">
        <v>2945</v>
      </c>
      <c r="X707" s="63" t="s">
        <v>2940</v>
      </c>
      <c r="Y707" s="65" t="s">
        <v>2946</v>
      </c>
      <c r="Z707" s="65" t="s">
        <v>2947</v>
      </c>
      <c r="AA707" s="60" t="s">
        <v>939</v>
      </c>
    </row>
    <row r="708" spans="2:27" ht="80.25" hidden="1" customHeight="1" x14ac:dyDescent="0.35">
      <c r="B708" s="51" t="s">
        <v>81</v>
      </c>
      <c r="C708" s="51" t="s">
        <v>2934</v>
      </c>
      <c r="D708" s="51" t="s">
        <v>82</v>
      </c>
      <c r="E708" s="52">
        <v>1</v>
      </c>
      <c r="F708" s="51" t="s">
        <v>148</v>
      </c>
      <c r="G708" s="51" t="s">
        <v>149</v>
      </c>
      <c r="H708" s="54" t="s">
        <v>150</v>
      </c>
      <c r="I708" s="52">
        <v>3</v>
      </c>
      <c r="J708" s="51" t="s">
        <v>123</v>
      </c>
      <c r="K708" s="52">
        <v>3</v>
      </c>
      <c r="L708" s="52"/>
      <c r="M708" s="52"/>
      <c r="N708" s="53" t="s">
        <v>151</v>
      </c>
      <c r="O708" s="53" t="s">
        <v>152</v>
      </c>
      <c r="P708" s="52"/>
      <c r="Q708" s="53" t="s">
        <v>2948</v>
      </c>
      <c r="R708" s="55"/>
      <c r="S708" s="51"/>
      <c r="T708" s="55" t="s">
        <v>2949</v>
      </c>
      <c r="U708" s="55" t="s">
        <v>2950</v>
      </c>
      <c r="V708" s="55" t="s">
        <v>2938</v>
      </c>
      <c r="W708" s="355" t="s">
        <v>2951</v>
      </c>
      <c r="X708" s="53" t="s">
        <v>939</v>
      </c>
      <c r="Y708" s="53" t="s">
        <v>939</v>
      </c>
      <c r="Z708" s="53" t="s">
        <v>939</v>
      </c>
      <c r="AA708" s="60" t="s">
        <v>939</v>
      </c>
    </row>
    <row r="709" spans="2:27" ht="80.25" hidden="1" customHeight="1" x14ac:dyDescent="0.35">
      <c r="B709" s="51" t="s">
        <v>81</v>
      </c>
      <c r="C709" s="51" t="s">
        <v>2934</v>
      </c>
      <c r="D709" s="51" t="s">
        <v>82</v>
      </c>
      <c r="E709" s="52">
        <v>1</v>
      </c>
      <c r="F709" s="51" t="s">
        <v>155</v>
      </c>
      <c r="G709" s="51" t="s">
        <v>156</v>
      </c>
      <c r="H709" s="54" t="s">
        <v>150</v>
      </c>
      <c r="I709" s="52">
        <v>4</v>
      </c>
      <c r="J709" s="51" t="s">
        <v>123</v>
      </c>
      <c r="K709" s="52">
        <v>20</v>
      </c>
      <c r="L709" s="52"/>
      <c r="M709" s="52"/>
      <c r="N709" s="53" t="s">
        <v>157</v>
      </c>
      <c r="O709" s="53" t="s">
        <v>158</v>
      </c>
      <c r="P709" s="52"/>
      <c r="Q709" s="53" t="s">
        <v>2952</v>
      </c>
      <c r="R709" s="55" t="s">
        <v>160</v>
      </c>
      <c r="S709" s="55" t="s">
        <v>161</v>
      </c>
      <c r="T709" s="55" t="s">
        <v>2942</v>
      </c>
      <c r="U709" s="55" t="s">
        <v>2953</v>
      </c>
      <c r="V709" s="55" t="s">
        <v>2954</v>
      </c>
      <c r="W709" s="82" t="s">
        <v>2955</v>
      </c>
      <c r="X709" s="63" t="s">
        <v>2940</v>
      </c>
      <c r="Y709" s="65" t="s">
        <v>2956</v>
      </c>
      <c r="Z709" s="53" t="s">
        <v>2957</v>
      </c>
      <c r="AA709" s="60" t="s">
        <v>939</v>
      </c>
    </row>
    <row r="710" spans="2:27" ht="80.25" hidden="1" customHeight="1" x14ac:dyDescent="0.35">
      <c r="B710" s="51" t="s">
        <v>81</v>
      </c>
      <c r="C710" s="51" t="s">
        <v>2934</v>
      </c>
      <c r="D710" s="51" t="s">
        <v>82</v>
      </c>
      <c r="E710" s="52">
        <v>1</v>
      </c>
      <c r="F710" s="51" t="s">
        <v>167</v>
      </c>
      <c r="G710" s="51" t="s">
        <v>168</v>
      </c>
      <c r="H710" s="54" t="s">
        <v>150</v>
      </c>
      <c r="I710" s="52">
        <v>5</v>
      </c>
      <c r="J710" s="51" t="s">
        <v>123</v>
      </c>
      <c r="K710" s="52">
        <v>20</v>
      </c>
      <c r="L710" s="52"/>
      <c r="M710" s="52"/>
      <c r="N710" s="53" t="s">
        <v>169</v>
      </c>
      <c r="O710" s="53" t="s">
        <v>170</v>
      </c>
      <c r="P710" s="52"/>
      <c r="Q710" s="53" t="s">
        <v>2958</v>
      </c>
      <c r="R710" s="55" t="s">
        <v>160</v>
      </c>
      <c r="S710" s="55" t="s">
        <v>172</v>
      </c>
      <c r="T710" s="55" t="s">
        <v>2942</v>
      </c>
      <c r="U710" s="55" t="s">
        <v>2953</v>
      </c>
      <c r="V710" s="55" t="s">
        <v>2959</v>
      </c>
      <c r="W710" s="82" t="s">
        <v>2960</v>
      </c>
      <c r="X710" s="63" t="s">
        <v>2940</v>
      </c>
      <c r="Y710" s="65" t="s">
        <v>2956</v>
      </c>
      <c r="Z710" s="65" t="s">
        <v>2961</v>
      </c>
      <c r="AA710" s="60" t="s">
        <v>939</v>
      </c>
    </row>
    <row r="711" spans="2:27" ht="80.25" hidden="1" customHeight="1" x14ac:dyDescent="0.35">
      <c r="B711" s="51" t="s">
        <v>81</v>
      </c>
      <c r="C711" s="51" t="s">
        <v>2934</v>
      </c>
      <c r="D711" s="51" t="s">
        <v>82</v>
      </c>
      <c r="E711" s="52">
        <v>1</v>
      </c>
      <c r="F711" s="51" t="s">
        <v>176</v>
      </c>
      <c r="G711" s="51" t="s">
        <v>177</v>
      </c>
      <c r="H711" s="54" t="s">
        <v>150</v>
      </c>
      <c r="I711" s="52">
        <v>6</v>
      </c>
      <c r="J711" s="51" t="s">
        <v>123</v>
      </c>
      <c r="K711" s="52">
        <v>4</v>
      </c>
      <c r="L711" s="52"/>
      <c r="M711" s="52"/>
      <c r="N711" s="76" t="s">
        <v>2962</v>
      </c>
      <c r="O711" s="53" t="s">
        <v>179</v>
      </c>
      <c r="P711" s="52"/>
      <c r="Q711" s="54"/>
      <c r="R711" s="55" t="s">
        <v>2963</v>
      </c>
      <c r="S711" s="55" t="s">
        <v>181</v>
      </c>
      <c r="T711" s="55" t="s">
        <v>2964</v>
      </c>
      <c r="U711" s="55" t="s">
        <v>2950</v>
      </c>
      <c r="V711" s="55" t="s">
        <v>2965</v>
      </c>
      <c r="W711" s="82" t="s">
        <v>2966</v>
      </c>
      <c r="X711" s="63" t="s">
        <v>2940</v>
      </c>
      <c r="Y711" s="53" t="s">
        <v>939</v>
      </c>
      <c r="Z711" s="53" t="s">
        <v>939</v>
      </c>
      <c r="AA711" s="60" t="s">
        <v>2967</v>
      </c>
    </row>
    <row r="712" spans="2:27" ht="80.25" hidden="1" customHeight="1" x14ac:dyDescent="0.35">
      <c r="B712" s="51" t="s">
        <v>81</v>
      </c>
      <c r="C712" s="51" t="s">
        <v>2934</v>
      </c>
      <c r="D712" s="51" t="s">
        <v>82</v>
      </c>
      <c r="E712" s="52">
        <v>1</v>
      </c>
      <c r="F712" s="51" t="s">
        <v>187</v>
      </c>
      <c r="G712" s="51" t="s">
        <v>188</v>
      </c>
      <c r="H712" s="54" t="s">
        <v>150</v>
      </c>
      <c r="I712" s="52">
        <v>7</v>
      </c>
      <c r="J712" s="51" t="s">
        <v>123</v>
      </c>
      <c r="K712" s="52">
        <v>30</v>
      </c>
      <c r="L712" s="52"/>
      <c r="M712" s="52"/>
      <c r="N712" s="53" t="s">
        <v>2968</v>
      </c>
      <c r="O712" s="53" t="s">
        <v>190</v>
      </c>
      <c r="P712" s="52"/>
      <c r="Q712" s="54"/>
      <c r="R712" s="55" t="s">
        <v>2963</v>
      </c>
      <c r="S712" s="55" t="s">
        <v>181</v>
      </c>
      <c r="T712" s="55" t="s">
        <v>2942</v>
      </c>
      <c r="U712" s="286" t="s">
        <v>2953</v>
      </c>
      <c r="V712" s="55" t="s">
        <v>2969</v>
      </c>
      <c r="W712" s="82" t="s">
        <v>2970</v>
      </c>
      <c r="X712" s="63" t="s">
        <v>2940</v>
      </c>
      <c r="Y712" s="65" t="s">
        <v>2971</v>
      </c>
      <c r="Z712" s="65" t="s">
        <v>2972</v>
      </c>
      <c r="AA712" s="60" t="s">
        <v>2973</v>
      </c>
    </row>
    <row r="713" spans="2:27" ht="80.25" hidden="1" customHeight="1" x14ac:dyDescent="0.35">
      <c r="B713" s="51" t="s">
        <v>81</v>
      </c>
      <c r="C713" s="51" t="s">
        <v>2934</v>
      </c>
      <c r="D713" s="51" t="s">
        <v>82</v>
      </c>
      <c r="E713" s="52">
        <v>1</v>
      </c>
      <c r="F713" s="51" t="s">
        <v>198</v>
      </c>
      <c r="G713" s="51" t="s">
        <v>199</v>
      </c>
      <c r="H713" s="54" t="s">
        <v>200</v>
      </c>
      <c r="I713" s="52">
        <v>8</v>
      </c>
      <c r="J713" s="51" t="s">
        <v>123</v>
      </c>
      <c r="K713" s="52">
        <v>10</v>
      </c>
      <c r="L713" s="52"/>
      <c r="M713" s="52"/>
      <c r="N713" s="53" t="s">
        <v>201</v>
      </c>
      <c r="O713" s="53" t="s">
        <v>202</v>
      </c>
      <c r="P713" s="52"/>
      <c r="Q713" s="54"/>
      <c r="R713" s="55" t="s">
        <v>203</v>
      </c>
      <c r="S713" s="51" t="s">
        <v>198</v>
      </c>
      <c r="T713" s="55" t="s">
        <v>2942</v>
      </c>
      <c r="U713" s="55" t="s">
        <v>2943</v>
      </c>
      <c r="V713" s="55" t="s">
        <v>2974</v>
      </c>
      <c r="W713" s="82" t="s">
        <v>2975</v>
      </c>
      <c r="X713" s="63" t="s">
        <v>2940</v>
      </c>
      <c r="Y713" s="65" t="s">
        <v>2976</v>
      </c>
      <c r="Z713" s="65" t="s">
        <v>2977</v>
      </c>
      <c r="AA713" s="60" t="s">
        <v>2978</v>
      </c>
    </row>
    <row r="714" spans="2:27" ht="80.25" hidden="1" customHeight="1" x14ac:dyDescent="0.35">
      <c r="B714" s="51" t="s">
        <v>81</v>
      </c>
      <c r="C714" s="51" t="s">
        <v>2934</v>
      </c>
      <c r="D714" s="51" t="s">
        <v>82</v>
      </c>
      <c r="E714" s="52">
        <v>1</v>
      </c>
      <c r="F714" s="51" t="s">
        <v>210</v>
      </c>
      <c r="G714" s="51" t="s">
        <v>211</v>
      </c>
      <c r="H714" s="54" t="s">
        <v>200</v>
      </c>
      <c r="I714" s="52">
        <v>9</v>
      </c>
      <c r="J714" s="51" t="s">
        <v>123</v>
      </c>
      <c r="K714" s="52">
        <v>10</v>
      </c>
      <c r="L714" s="52"/>
      <c r="M714" s="52"/>
      <c r="N714" s="53" t="s">
        <v>212</v>
      </c>
      <c r="O714" s="53" t="s">
        <v>213</v>
      </c>
      <c r="P714" s="52"/>
      <c r="Q714" s="54"/>
      <c r="R714" s="55" t="s">
        <v>214</v>
      </c>
      <c r="S714" s="51" t="s">
        <v>210</v>
      </c>
      <c r="T714" s="55" t="s">
        <v>2942</v>
      </c>
      <c r="U714" s="55" t="s">
        <v>2943</v>
      </c>
      <c r="V714" s="55" t="s">
        <v>2979</v>
      </c>
      <c r="W714" s="82" t="s">
        <v>2980</v>
      </c>
      <c r="X714" s="63" t="s">
        <v>2940</v>
      </c>
      <c r="Y714" s="65" t="s">
        <v>2981</v>
      </c>
      <c r="Z714" s="65" t="s">
        <v>2982</v>
      </c>
      <c r="AA714" s="60" t="s">
        <v>2983</v>
      </c>
    </row>
    <row r="715" spans="2:27" ht="80.25" hidden="1" customHeight="1" x14ac:dyDescent="0.35">
      <c r="B715" s="51" t="s">
        <v>81</v>
      </c>
      <c r="C715" s="51" t="s">
        <v>2934</v>
      </c>
      <c r="D715" s="51" t="s">
        <v>82</v>
      </c>
      <c r="E715" s="52">
        <v>1</v>
      </c>
      <c r="F715" s="51" t="s">
        <v>222</v>
      </c>
      <c r="G715" s="51" t="s">
        <v>223</v>
      </c>
      <c r="H715" s="54" t="s">
        <v>224</v>
      </c>
      <c r="I715" s="52">
        <v>10</v>
      </c>
      <c r="J715" s="51" t="s">
        <v>123</v>
      </c>
      <c r="K715" s="52">
        <v>3</v>
      </c>
      <c r="L715" s="52"/>
      <c r="M715" s="52"/>
      <c r="N715" s="53" t="s">
        <v>225</v>
      </c>
      <c r="O715" s="53" t="s">
        <v>226</v>
      </c>
      <c r="P715" s="52"/>
      <c r="Q715" s="53" t="s">
        <v>2984</v>
      </c>
      <c r="R715" s="55" t="s">
        <v>2985</v>
      </c>
      <c r="S715" s="55" t="s">
        <v>864</v>
      </c>
      <c r="T715" s="55" t="s">
        <v>2986</v>
      </c>
      <c r="U715" s="55" t="s">
        <v>2987</v>
      </c>
      <c r="V715" s="55" t="s">
        <v>2988</v>
      </c>
      <c r="W715" s="82" t="s">
        <v>2989</v>
      </c>
      <c r="X715" s="63" t="s">
        <v>2990</v>
      </c>
      <c r="Y715" s="65" t="s">
        <v>2991</v>
      </c>
      <c r="Z715" s="65" t="s">
        <v>2992</v>
      </c>
      <c r="AA715" s="60" t="s">
        <v>2993</v>
      </c>
    </row>
    <row r="716" spans="2:27" ht="80.25" hidden="1" customHeight="1" x14ac:dyDescent="0.35">
      <c r="B716" s="51" t="s">
        <v>81</v>
      </c>
      <c r="C716" s="51" t="s">
        <v>2934</v>
      </c>
      <c r="D716" s="51" t="s">
        <v>82</v>
      </c>
      <c r="E716" s="52">
        <v>1</v>
      </c>
      <c r="F716" s="51" t="s">
        <v>238</v>
      </c>
      <c r="G716" s="51" t="s">
        <v>239</v>
      </c>
      <c r="H716" s="54" t="s">
        <v>240</v>
      </c>
      <c r="I716" s="52">
        <v>11</v>
      </c>
      <c r="J716" s="51" t="s">
        <v>123</v>
      </c>
      <c r="K716" s="52">
        <v>4</v>
      </c>
      <c r="L716" s="52"/>
      <c r="M716" s="52"/>
      <c r="N716" s="53" t="s">
        <v>241</v>
      </c>
      <c r="O716" s="53" t="s">
        <v>242</v>
      </c>
      <c r="P716" s="52"/>
      <c r="Q716" s="60"/>
      <c r="R716" s="63"/>
      <c r="S716" s="61"/>
      <c r="T716" s="55" t="s">
        <v>2994</v>
      </c>
      <c r="U716" s="55" t="s">
        <v>2953</v>
      </c>
      <c r="V716" s="63" t="s">
        <v>2995</v>
      </c>
      <c r="W716" s="82" t="s">
        <v>2996</v>
      </c>
      <c r="X716" s="63" t="s">
        <v>2940</v>
      </c>
      <c r="Y716" s="53" t="s">
        <v>939</v>
      </c>
      <c r="Z716" s="53" t="s">
        <v>939</v>
      </c>
      <c r="AA716" s="60" t="s">
        <v>2997</v>
      </c>
    </row>
    <row r="717" spans="2:27" ht="80.25" hidden="1" customHeight="1" x14ac:dyDescent="0.35">
      <c r="B717" s="51" t="s">
        <v>81</v>
      </c>
      <c r="C717" s="51" t="s">
        <v>2934</v>
      </c>
      <c r="D717" s="51" t="s">
        <v>82</v>
      </c>
      <c r="E717" s="52">
        <v>1</v>
      </c>
      <c r="F717" s="51" t="s">
        <v>2998</v>
      </c>
      <c r="G717" s="51" t="s">
        <v>2999</v>
      </c>
      <c r="H717" s="54" t="s">
        <v>3000</v>
      </c>
      <c r="I717" s="52">
        <v>12</v>
      </c>
      <c r="J717" s="51" t="s">
        <v>123</v>
      </c>
      <c r="K717" s="52">
        <v>4</v>
      </c>
      <c r="L717" s="52"/>
      <c r="M717" s="52"/>
      <c r="N717" s="53" t="s">
        <v>3001</v>
      </c>
      <c r="O717" s="53" t="s">
        <v>3002</v>
      </c>
      <c r="P717" s="52"/>
      <c r="Q717" s="54"/>
      <c r="R717" s="55" t="s">
        <v>3003</v>
      </c>
      <c r="S717" s="51" t="s">
        <v>3004</v>
      </c>
      <c r="T717" s="55" t="s">
        <v>2994</v>
      </c>
      <c r="U717" s="55" t="s">
        <v>2953</v>
      </c>
      <c r="V717" s="63" t="s">
        <v>2995</v>
      </c>
      <c r="W717" s="82" t="s">
        <v>3005</v>
      </c>
      <c r="X717" s="63" t="s">
        <v>2940</v>
      </c>
      <c r="Y717" s="65" t="s">
        <v>3006</v>
      </c>
      <c r="Z717" s="65" t="s">
        <v>939</v>
      </c>
      <c r="AA717" s="60" t="s">
        <v>3007</v>
      </c>
    </row>
    <row r="718" spans="2:27" ht="80.25" hidden="1" customHeight="1" x14ac:dyDescent="0.35">
      <c r="B718" s="51" t="s">
        <v>81</v>
      </c>
      <c r="C718" s="51" t="s">
        <v>2934</v>
      </c>
      <c r="D718" s="51" t="s">
        <v>82</v>
      </c>
      <c r="E718" s="52">
        <v>1</v>
      </c>
      <c r="F718" s="51" t="s">
        <v>3008</v>
      </c>
      <c r="G718" s="51" t="s">
        <v>3009</v>
      </c>
      <c r="H718" s="54" t="s">
        <v>3010</v>
      </c>
      <c r="I718" s="52">
        <v>13</v>
      </c>
      <c r="J718" s="51" t="s">
        <v>123</v>
      </c>
      <c r="K718" s="52">
        <v>4</v>
      </c>
      <c r="L718" s="52"/>
      <c r="M718" s="52"/>
      <c r="N718" s="53" t="s">
        <v>3011</v>
      </c>
      <c r="O718" s="53" t="s">
        <v>3012</v>
      </c>
      <c r="P718" s="52"/>
      <c r="Q718" s="55" t="s">
        <v>3013</v>
      </c>
      <c r="R718" s="55"/>
      <c r="S718" s="55"/>
      <c r="T718" s="55" t="s">
        <v>2994</v>
      </c>
      <c r="U718" s="55" t="s">
        <v>2953</v>
      </c>
      <c r="V718" s="55" t="s">
        <v>3014</v>
      </c>
      <c r="W718" s="82" t="s">
        <v>3015</v>
      </c>
      <c r="X718" s="63" t="s">
        <v>2940</v>
      </c>
      <c r="Y718" s="65" t="s">
        <v>2971</v>
      </c>
      <c r="Z718" s="63" t="s">
        <v>3016</v>
      </c>
      <c r="AA718" s="60" t="s">
        <v>3017</v>
      </c>
    </row>
    <row r="719" spans="2:27" ht="80.25" hidden="1" customHeight="1" x14ac:dyDescent="0.35">
      <c r="B719" s="51" t="s">
        <v>81</v>
      </c>
      <c r="C719" s="51" t="s">
        <v>2934</v>
      </c>
      <c r="D719" s="51" t="s">
        <v>82</v>
      </c>
      <c r="E719" s="52">
        <v>1</v>
      </c>
      <c r="F719" s="51" t="s">
        <v>3018</v>
      </c>
      <c r="G719" s="51" t="s">
        <v>3019</v>
      </c>
      <c r="H719" s="54" t="s">
        <v>3020</v>
      </c>
      <c r="I719" s="52">
        <v>14</v>
      </c>
      <c r="J719" s="51" t="s">
        <v>123</v>
      </c>
      <c r="K719" s="52">
        <v>10</v>
      </c>
      <c r="L719" s="52"/>
      <c r="M719" s="52"/>
      <c r="N719" s="53" t="s">
        <v>3021</v>
      </c>
      <c r="O719" s="53" t="s">
        <v>3022</v>
      </c>
      <c r="P719" s="52"/>
      <c r="Q719" s="53" t="s">
        <v>3023</v>
      </c>
      <c r="R719" s="53" t="s">
        <v>3003</v>
      </c>
      <c r="S719" s="53" t="s">
        <v>3024</v>
      </c>
      <c r="T719" s="55" t="s">
        <v>2942</v>
      </c>
      <c r="U719" s="55" t="s">
        <v>2953</v>
      </c>
      <c r="V719" s="63" t="s">
        <v>3025</v>
      </c>
      <c r="W719" s="82" t="s">
        <v>3026</v>
      </c>
      <c r="X719" s="63" t="s">
        <v>2940</v>
      </c>
      <c r="Y719" s="65" t="s">
        <v>3027</v>
      </c>
      <c r="Z719" s="65" t="s">
        <v>3025</v>
      </c>
      <c r="AA719" s="71" t="s">
        <v>3028</v>
      </c>
    </row>
    <row r="720" spans="2:27" ht="80.25" hidden="1" customHeight="1" x14ac:dyDescent="0.35">
      <c r="B720" s="51" t="s">
        <v>81</v>
      </c>
      <c r="C720" s="51" t="s">
        <v>2934</v>
      </c>
      <c r="D720" s="51" t="s">
        <v>82</v>
      </c>
      <c r="E720" s="52">
        <v>1</v>
      </c>
      <c r="F720" s="51" t="s">
        <v>3029</v>
      </c>
      <c r="G720" s="51" t="s">
        <v>3030</v>
      </c>
      <c r="H720" s="54" t="s">
        <v>3031</v>
      </c>
      <c r="I720" s="52">
        <v>15</v>
      </c>
      <c r="J720" s="51" t="s">
        <v>123</v>
      </c>
      <c r="K720" s="52">
        <v>10</v>
      </c>
      <c r="L720" s="52"/>
      <c r="M720" s="52"/>
      <c r="N720" s="53" t="s">
        <v>3032</v>
      </c>
      <c r="O720" s="53" t="s">
        <v>3033</v>
      </c>
      <c r="P720" s="52"/>
      <c r="Q720" s="53" t="s">
        <v>3034</v>
      </c>
      <c r="R720" s="55" t="s">
        <v>3003</v>
      </c>
      <c r="S720" s="51" t="s">
        <v>3035</v>
      </c>
      <c r="T720" s="55" t="s">
        <v>2942</v>
      </c>
      <c r="U720" s="55" t="s">
        <v>2953</v>
      </c>
      <c r="V720" s="63" t="s">
        <v>3036</v>
      </c>
      <c r="W720" s="82" t="s">
        <v>3037</v>
      </c>
      <c r="X720" s="63" t="s">
        <v>2940</v>
      </c>
      <c r="Y720" s="65" t="s">
        <v>3027</v>
      </c>
      <c r="Z720" s="65" t="s">
        <v>3036</v>
      </c>
      <c r="AA720" s="71" t="s">
        <v>3028</v>
      </c>
    </row>
    <row r="721" spans="2:27" ht="80.25" hidden="1" customHeight="1" x14ac:dyDescent="0.35">
      <c r="B721" s="51" t="s">
        <v>81</v>
      </c>
      <c r="C721" s="51" t="s">
        <v>2934</v>
      </c>
      <c r="D721" s="51" t="s">
        <v>82</v>
      </c>
      <c r="E721" s="52">
        <v>1</v>
      </c>
      <c r="F721" s="51" t="s">
        <v>3038</v>
      </c>
      <c r="G721" s="51" t="s">
        <v>3039</v>
      </c>
      <c r="H721" s="54" t="s">
        <v>3040</v>
      </c>
      <c r="I721" s="52">
        <v>16</v>
      </c>
      <c r="J721" s="51" t="s">
        <v>123</v>
      </c>
      <c r="K721" s="52">
        <v>10</v>
      </c>
      <c r="L721" s="52"/>
      <c r="M721" s="52"/>
      <c r="N721" s="53" t="s">
        <v>3041</v>
      </c>
      <c r="O721" s="53" t="s">
        <v>3042</v>
      </c>
      <c r="P721" s="52"/>
      <c r="Q721" s="54"/>
      <c r="R721" s="55" t="s">
        <v>3003</v>
      </c>
      <c r="S721" s="51" t="s">
        <v>3043</v>
      </c>
      <c r="T721" s="55" t="s">
        <v>2942</v>
      </c>
      <c r="U721" s="55" t="s">
        <v>2953</v>
      </c>
      <c r="V721" s="63" t="s">
        <v>3044</v>
      </c>
      <c r="W721" s="355" t="s">
        <v>3045</v>
      </c>
      <c r="X721" s="63" t="s">
        <v>2940</v>
      </c>
      <c r="Y721" s="65" t="s">
        <v>3027</v>
      </c>
      <c r="Z721" s="65" t="s">
        <v>3044</v>
      </c>
      <c r="AA721" s="71" t="s">
        <v>3046</v>
      </c>
    </row>
    <row r="722" spans="2:27" ht="80.25" hidden="1" customHeight="1" x14ac:dyDescent="0.35">
      <c r="B722" s="51" t="s">
        <v>81</v>
      </c>
      <c r="C722" s="51" t="s">
        <v>2934</v>
      </c>
      <c r="D722" s="51" t="s">
        <v>82</v>
      </c>
      <c r="E722" s="52">
        <v>1</v>
      </c>
      <c r="F722" s="51" t="s">
        <v>3047</v>
      </c>
      <c r="G722" s="51" t="s">
        <v>3048</v>
      </c>
      <c r="H722" s="54" t="s">
        <v>3040</v>
      </c>
      <c r="I722" s="52">
        <v>17</v>
      </c>
      <c r="J722" s="51" t="s">
        <v>123</v>
      </c>
      <c r="K722" s="52">
        <v>10</v>
      </c>
      <c r="L722" s="52"/>
      <c r="M722" s="52"/>
      <c r="N722" s="53" t="s">
        <v>3049</v>
      </c>
      <c r="O722" s="53" t="s">
        <v>3050</v>
      </c>
      <c r="P722" s="52"/>
      <c r="Q722" s="54"/>
      <c r="R722" s="55" t="s">
        <v>3003</v>
      </c>
      <c r="S722" s="51" t="s">
        <v>3051</v>
      </c>
      <c r="T722" s="55" t="s">
        <v>2942</v>
      </c>
      <c r="U722" s="55" t="s">
        <v>2953</v>
      </c>
      <c r="V722" s="63" t="s">
        <v>3052</v>
      </c>
      <c r="W722" s="355" t="s">
        <v>3053</v>
      </c>
      <c r="X722" s="63" t="s">
        <v>2940</v>
      </c>
      <c r="Y722" s="65" t="s">
        <v>3027</v>
      </c>
      <c r="Z722" s="65" t="s">
        <v>3052</v>
      </c>
      <c r="AA722" s="60" t="s">
        <v>3054</v>
      </c>
    </row>
    <row r="723" spans="2:27" ht="80.25" hidden="1" customHeight="1" x14ac:dyDescent="0.35">
      <c r="B723" s="51" t="s">
        <v>81</v>
      </c>
      <c r="C723" s="51" t="s">
        <v>2934</v>
      </c>
      <c r="D723" s="51" t="s">
        <v>82</v>
      </c>
      <c r="E723" s="52">
        <v>1</v>
      </c>
      <c r="F723" s="51" t="s">
        <v>3055</v>
      </c>
      <c r="G723" s="51" t="s">
        <v>3056</v>
      </c>
      <c r="H723" s="54" t="s">
        <v>3057</v>
      </c>
      <c r="I723" s="52">
        <v>18</v>
      </c>
      <c r="J723" s="51" t="s">
        <v>123</v>
      </c>
      <c r="K723" s="52">
        <v>20</v>
      </c>
      <c r="L723" s="52"/>
      <c r="M723" s="52"/>
      <c r="N723" s="53" t="s">
        <v>3058</v>
      </c>
      <c r="O723" s="53" t="s">
        <v>3059</v>
      </c>
      <c r="P723" s="52"/>
      <c r="Q723" s="53" t="s">
        <v>3060</v>
      </c>
      <c r="R723" s="55" t="s">
        <v>3003</v>
      </c>
      <c r="S723" s="51" t="s">
        <v>3061</v>
      </c>
      <c r="T723" s="55" t="s">
        <v>2942</v>
      </c>
      <c r="U723" s="55" t="s">
        <v>2953</v>
      </c>
      <c r="V723" s="63" t="s">
        <v>3062</v>
      </c>
      <c r="W723" s="355" t="s">
        <v>3063</v>
      </c>
      <c r="X723" s="63" t="s">
        <v>2940</v>
      </c>
      <c r="Y723" s="65" t="s">
        <v>3027</v>
      </c>
      <c r="Z723" s="65" t="s">
        <v>3062</v>
      </c>
      <c r="AA723" s="71" t="s">
        <v>3028</v>
      </c>
    </row>
    <row r="724" spans="2:27" ht="80.25" hidden="1" customHeight="1" x14ac:dyDescent="0.35">
      <c r="B724" s="51" t="s">
        <v>81</v>
      </c>
      <c r="C724" s="51" t="s">
        <v>2934</v>
      </c>
      <c r="D724" s="51" t="s">
        <v>82</v>
      </c>
      <c r="E724" s="52">
        <v>1</v>
      </c>
      <c r="F724" s="51" t="s">
        <v>247</v>
      </c>
      <c r="G724" s="51" t="s">
        <v>248</v>
      </c>
      <c r="H724" s="51" t="s">
        <v>249</v>
      </c>
      <c r="I724" s="52">
        <v>19</v>
      </c>
      <c r="J724" s="51" t="s">
        <v>250</v>
      </c>
      <c r="K724" s="52">
        <v>23</v>
      </c>
      <c r="L724" s="52">
        <v>6</v>
      </c>
      <c r="M724" s="52"/>
      <c r="N724" s="53" t="s">
        <v>3064</v>
      </c>
      <c r="O724" s="53" t="s">
        <v>252</v>
      </c>
      <c r="P724" s="52"/>
      <c r="Q724" s="54"/>
      <c r="R724" s="55" t="s">
        <v>203</v>
      </c>
      <c r="S724" s="55" t="s">
        <v>253</v>
      </c>
      <c r="T724" s="55" t="s">
        <v>2994</v>
      </c>
      <c r="U724" s="55" t="s">
        <v>3065</v>
      </c>
      <c r="V724" s="55" t="s">
        <v>3066</v>
      </c>
      <c r="W724" s="355" t="s">
        <v>3067</v>
      </c>
      <c r="X724" s="63" t="s">
        <v>2940</v>
      </c>
      <c r="Y724" s="65" t="s">
        <v>3068</v>
      </c>
      <c r="Z724" s="65" t="s">
        <v>3069</v>
      </c>
      <c r="AA724" s="60" t="s">
        <v>3070</v>
      </c>
    </row>
    <row r="725" spans="2:27" ht="80.25" hidden="1" customHeight="1" x14ac:dyDescent="0.35">
      <c r="B725" s="51" t="s">
        <v>81</v>
      </c>
      <c r="C725" s="51" t="s">
        <v>2934</v>
      </c>
      <c r="D725" s="51" t="s">
        <v>82</v>
      </c>
      <c r="E725" s="52">
        <v>1</v>
      </c>
      <c r="F725" s="51" t="s">
        <v>260</v>
      </c>
      <c r="G725" s="51" t="s">
        <v>261</v>
      </c>
      <c r="H725" s="51" t="s">
        <v>249</v>
      </c>
      <c r="I725" s="52">
        <v>20</v>
      </c>
      <c r="J725" s="51" t="s">
        <v>250</v>
      </c>
      <c r="K725" s="52">
        <v>23</v>
      </c>
      <c r="L725" s="52">
        <v>6</v>
      </c>
      <c r="M725" s="52"/>
      <c r="N725" s="53" t="s">
        <v>3071</v>
      </c>
      <c r="O725" s="53" t="s">
        <v>263</v>
      </c>
      <c r="P725" s="52"/>
      <c r="Q725" s="54"/>
      <c r="R725" s="55"/>
      <c r="S725" s="51"/>
      <c r="T725" s="55" t="s">
        <v>2942</v>
      </c>
      <c r="U725" s="55" t="s">
        <v>3006</v>
      </c>
      <c r="V725" s="55" t="s">
        <v>3072</v>
      </c>
      <c r="W725" s="355" t="s">
        <v>3073</v>
      </c>
      <c r="X725" s="63" t="s">
        <v>2940</v>
      </c>
      <c r="Y725" s="53" t="s">
        <v>3068</v>
      </c>
      <c r="Z725" s="53" t="s">
        <v>3069</v>
      </c>
      <c r="AA725" s="60" t="s">
        <v>3070</v>
      </c>
    </row>
    <row r="726" spans="2:27" ht="80.25" hidden="1" customHeight="1" x14ac:dyDescent="0.35">
      <c r="B726" s="51" t="s">
        <v>81</v>
      </c>
      <c r="C726" s="56" t="s">
        <v>2934</v>
      </c>
      <c r="D726" s="56" t="s">
        <v>82</v>
      </c>
      <c r="E726" s="335">
        <v>1</v>
      </c>
      <c r="F726" s="51" t="s">
        <v>1908</v>
      </c>
      <c r="G726" s="51" t="s">
        <v>1909</v>
      </c>
      <c r="H726" s="56" t="s">
        <v>249</v>
      </c>
      <c r="I726" s="335">
        <v>21</v>
      </c>
      <c r="J726" s="56" t="s">
        <v>250</v>
      </c>
      <c r="K726" s="335">
        <v>23</v>
      </c>
      <c r="L726" s="335">
        <v>6</v>
      </c>
      <c r="M726" s="335"/>
      <c r="N726" s="53" t="s">
        <v>3074</v>
      </c>
      <c r="O726" s="53" t="s">
        <v>3075</v>
      </c>
      <c r="P726" s="335"/>
      <c r="Q726" s="200"/>
      <c r="R726" s="155"/>
      <c r="S726" s="154"/>
      <c r="T726" s="55" t="s">
        <v>2942</v>
      </c>
      <c r="U726" s="55" t="s">
        <v>2953</v>
      </c>
      <c r="V726" s="55" t="s">
        <v>3076</v>
      </c>
      <c r="W726" s="355" t="s">
        <v>3077</v>
      </c>
      <c r="X726" s="345" t="s">
        <v>2940</v>
      </c>
      <c r="Y726" s="155" t="s">
        <v>3006</v>
      </c>
      <c r="Z726" s="155" t="s">
        <v>3076</v>
      </c>
      <c r="AA726" s="341" t="s">
        <v>3078</v>
      </c>
    </row>
    <row r="727" spans="2:27" ht="80.25" hidden="1" customHeight="1" x14ac:dyDescent="0.35">
      <c r="B727" s="56" t="s">
        <v>81</v>
      </c>
      <c r="C727" s="56" t="s">
        <v>2934</v>
      </c>
      <c r="D727" s="56" t="s">
        <v>82</v>
      </c>
      <c r="E727" s="335">
        <v>1</v>
      </c>
      <c r="F727" s="56" t="s">
        <v>879</v>
      </c>
      <c r="G727" s="56" t="s">
        <v>880</v>
      </c>
      <c r="H727" s="56" t="s">
        <v>249</v>
      </c>
      <c r="I727" s="335">
        <v>22</v>
      </c>
      <c r="J727" s="56" t="s">
        <v>250</v>
      </c>
      <c r="K727" s="335">
        <v>23</v>
      </c>
      <c r="L727" s="335">
        <v>6</v>
      </c>
      <c r="M727" s="335"/>
      <c r="N727" s="53" t="s">
        <v>3079</v>
      </c>
      <c r="O727" s="53"/>
      <c r="P727" s="335"/>
      <c r="Q727" s="56"/>
      <c r="R727" s="155"/>
      <c r="S727" s="154"/>
      <c r="T727" s="55" t="s">
        <v>2942</v>
      </c>
      <c r="U727" s="55" t="s">
        <v>3006</v>
      </c>
      <c r="V727" s="55" t="s">
        <v>244</v>
      </c>
      <c r="W727" s="355" t="s">
        <v>3080</v>
      </c>
      <c r="X727" s="345" t="s">
        <v>2940</v>
      </c>
      <c r="Y727" s="155" t="s">
        <v>3068</v>
      </c>
      <c r="Z727" s="339" t="s">
        <v>3081</v>
      </c>
      <c r="AA727" s="60" t="s">
        <v>3082</v>
      </c>
    </row>
    <row r="728" spans="2:27" ht="80.25" hidden="1" customHeight="1" x14ac:dyDescent="0.35">
      <c r="B728" s="56" t="s">
        <v>81</v>
      </c>
      <c r="C728" s="56" t="s">
        <v>2934</v>
      </c>
      <c r="D728" s="56" t="s">
        <v>82</v>
      </c>
      <c r="E728" s="335">
        <v>1</v>
      </c>
      <c r="F728" s="56" t="s">
        <v>648</v>
      </c>
      <c r="G728" s="56" t="s">
        <v>649</v>
      </c>
      <c r="H728" s="51" t="s">
        <v>249</v>
      </c>
      <c r="I728" s="335">
        <v>24</v>
      </c>
      <c r="J728" s="56" t="s">
        <v>250</v>
      </c>
      <c r="K728" s="335">
        <v>23</v>
      </c>
      <c r="L728" s="335">
        <v>6</v>
      </c>
      <c r="M728" s="335"/>
      <c r="N728" s="53" t="s">
        <v>650</v>
      </c>
      <c r="O728" s="53" t="s">
        <v>651</v>
      </c>
      <c r="P728" s="335"/>
      <c r="Q728" s="200"/>
      <c r="R728" s="155" t="s">
        <v>685</v>
      </c>
      <c r="S728" s="155" t="s">
        <v>686</v>
      </c>
      <c r="T728" s="55" t="s">
        <v>2942</v>
      </c>
      <c r="U728" s="55" t="s">
        <v>2953</v>
      </c>
      <c r="V728" s="55" t="s">
        <v>3083</v>
      </c>
      <c r="W728" s="355" t="s">
        <v>3084</v>
      </c>
      <c r="X728" s="63" t="s">
        <v>2940</v>
      </c>
      <c r="Y728" s="339" t="s">
        <v>3068</v>
      </c>
      <c r="Z728" s="339" t="s">
        <v>3085</v>
      </c>
      <c r="AA728" s="341" t="s">
        <v>3086</v>
      </c>
    </row>
    <row r="729" spans="2:27" ht="80.25" hidden="1" customHeight="1" x14ac:dyDescent="0.35">
      <c r="B729" s="371" t="s">
        <v>81</v>
      </c>
      <c r="C729" s="371" t="s">
        <v>2934</v>
      </c>
      <c r="D729" s="371" t="s">
        <v>82</v>
      </c>
      <c r="E729" s="372">
        <v>1</v>
      </c>
      <c r="F729" s="356" t="s">
        <v>271</v>
      </c>
      <c r="G729" s="356" t="s">
        <v>272</v>
      </c>
      <c r="H729" s="356" t="s">
        <v>249</v>
      </c>
      <c r="I729" s="372">
        <v>25</v>
      </c>
      <c r="J729" s="371" t="s">
        <v>250</v>
      </c>
      <c r="K729" s="357">
        <v>23</v>
      </c>
      <c r="L729" s="357">
        <v>6</v>
      </c>
      <c r="M729" s="357"/>
      <c r="N729" s="191" t="s">
        <v>273</v>
      </c>
      <c r="O729" s="191" t="s">
        <v>274</v>
      </c>
      <c r="P729" s="357"/>
      <c r="Q729" s="374"/>
      <c r="R729" s="373" t="s">
        <v>275</v>
      </c>
      <c r="S729" s="374" t="s">
        <v>276</v>
      </c>
      <c r="T729" s="286" t="s">
        <v>2942</v>
      </c>
      <c r="U729" s="286" t="s">
        <v>2953</v>
      </c>
      <c r="V729" s="286" t="s">
        <v>3087</v>
      </c>
      <c r="W729" s="362" t="s">
        <v>3088</v>
      </c>
      <c r="X729" s="360" t="s">
        <v>2940</v>
      </c>
      <c r="Y729" s="378" t="s">
        <v>3089</v>
      </c>
      <c r="Z729" s="378" t="s">
        <v>3087</v>
      </c>
      <c r="AA729" s="379" t="s">
        <v>3090</v>
      </c>
    </row>
    <row r="730" spans="2:27" ht="80.25" hidden="1" customHeight="1" x14ac:dyDescent="0.35">
      <c r="B730" s="56" t="s">
        <v>81</v>
      </c>
      <c r="C730" s="56" t="s">
        <v>2934</v>
      </c>
      <c r="D730" s="56" t="s">
        <v>82</v>
      </c>
      <c r="E730" s="335">
        <v>1</v>
      </c>
      <c r="F730" s="56" t="s">
        <v>282</v>
      </c>
      <c r="G730" s="56" t="s">
        <v>283</v>
      </c>
      <c r="H730" s="51" t="s">
        <v>249</v>
      </c>
      <c r="I730" s="335">
        <v>26</v>
      </c>
      <c r="J730" s="56" t="s">
        <v>250</v>
      </c>
      <c r="K730" s="335">
        <v>23</v>
      </c>
      <c r="L730" s="335">
        <v>6</v>
      </c>
      <c r="M730" s="335"/>
      <c r="N730" s="155" t="s">
        <v>284</v>
      </c>
      <c r="O730" s="53" t="s">
        <v>285</v>
      </c>
      <c r="P730" s="335"/>
      <c r="Q730" s="200"/>
      <c r="R730" s="346"/>
      <c r="S730" s="375"/>
      <c r="T730" s="55" t="s">
        <v>3091</v>
      </c>
      <c r="U730" s="55" t="s">
        <v>3092</v>
      </c>
      <c r="V730" s="63" t="s">
        <v>3093</v>
      </c>
      <c r="W730" s="355" t="s">
        <v>3094</v>
      </c>
      <c r="X730" s="63" t="s">
        <v>2940</v>
      </c>
      <c r="Y730" s="155" t="s">
        <v>3095</v>
      </c>
      <c r="Z730" s="155" t="s">
        <v>1932</v>
      </c>
      <c r="AA730" s="60" t="s">
        <v>3096</v>
      </c>
    </row>
    <row r="731" spans="2:27" ht="80.25" hidden="1" customHeight="1" x14ac:dyDescent="0.35">
      <c r="B731" s="56" t="s">
        <v>81</v>
      </c>
      <c r="C731" s="56" t="s">
        <v>2934</v>
      </c>
      <c r="D731" s="56" t="s">
        <v>82</v>
      </c>
      <c r="E731" s="335">
        <v>1</v>
      </c>
      <c r="F731" s="51" t="s">
        <v>703</v>
      </c>
      <c r="G731" s="51" t="s">
        <v>704</v>
      </c>
      <c r="H731" s="51" t="s">
        <v>249</v>
      </c>
      <c r="I731" s="52">
        <v>27</v>
      </c>
      <c r="J731" s="56" t="s">
        <v>250</v>
      </c>
      <c r="K731" s="335">
        <v>23</v>
      </c>
      <c r="L731" s="335">
        <v>6</v>
      </c>
      <c r="M731" s="350"/>
      <c r="N731" s="53" t="s">
        <v>705</v>
      </c>
      <c r="O731" s="53" t="s">
        <v>706</v>
      </c>
      <c r="P731" s="52"/>
      <c r="Q731" s="51"/>
      <c r="R731" s="63"/>
      <c r="S731" s="61"/>
      <c r="T731" s="286" t="s">
        <v>2942</v>
      </c>
      <c r="U731" s="286" t="s">
        <v>2953</v>
      </c>
      <c r="V731" s="286" t="s">
        <v>3087</v>
      </c>
      <c r="W731" s="362" t="s">
        <v>3097</v>
      </c>
      <c r="X731" s="360" t="s">
        <v>2940</v>
      </c>
      <c r="Y731" s="51"/>
      <c r="Z731" s="51"/>
      <c r="AA731" s="52"/>
    </row>
    <row r="732" spans="2:27" ht="80.25" hidden="1" customHeight="1" x14ac:dyDescent="0.35">
      <c r="B732" s="56" t="s">
        <v>81</v>
      </c>
      <c r="C732" s="56" t="s">
        <v>2934</v>
      </c>
      <c r="D732" s="56" t="s">
        <v>82</v>
      </c>
      <c r="E732" s="335">
        <v>1</v>
      </c>
      <c r="F732" s="51" t="s">
        <v>708</v>
      </c>
      <c r="G732" s="51" t="s">
        <v>709</v>
      </c>
      <c r="H732" s="51" t="s">
        <v>249</v>
      </c>
      <c r="I732" s="52">
        <v>28</v>
      </c>
      <c r="J732" s="56" t="s">
        <v>250</v>
      </c>
      <c r="K732" s="335">
        <v>23</v>
      </c>
      <c r="L732" s="335">
        <v>6</v>
      </c>
      <c r="M732" s="350"/>
      <c r="N732" s="53" t="s">
        <v>705</v>
      </c>
      <c r="O732" s="53" t="s">
        <v>706</v>
      </c>
      <c r="P732" s="52"/>
      <c r="Q732" s="51"/>
      <c r="R732" s="63"/>
      <c r="S732" s="61"/>
      <c r="T732" s="286" t="s">
        <v>2942</v>
      </c>
      <c r="U732" s="286" t="s">
        <v>2953</v>
      </c>
      <c r="V732" s="286" t="s">
        <v>3087</v>
      </c>
      <c r="W732" s="362" t="s">
        <v>3098</v>
      </c>
      <c r="X732" s="360" t="s">
        <v>2940</v>
      </c>
      <c r="Y732" s="51"/>
      <c r="Z732" s="51"/>
      <c r="AA732" s="52"/>
    </row>
    <row r="733" spans="2:27" ht="80.25" hidden="1" customHeight="1" x14ac:dyDescent="0.35">
      <c r="B733" s="371" t="s">
        <v>81</v>
      </c>
      <c r="C733" s="371" t="s">
        <v>2934</v>
      </c>
      <c r="D733" s="371" t="s">
        <v>82</v>
      </c>
      <c r="E733" s="372">
        <v>1</v>
      </c>
      <c r="F733" s="356" t="s">
        <v>1514</v>
      </c>
      <c r="G733" s="356" t="s">
        <v>1515</v>
      </c>
      <c r="H733" s="358" t="s">
        <v>767</v>
      </c>
      <c r="I733" s="372">
        <v>29</v>
      </c>
      <c r="J733" s="356" t="s">
        <v>250</v>
      </c>
      <c r="K733" s="357">
        <v>23</v>
      </c>
      <c r="L733" s="357">
        <v>6</v>
      </c>
      <c r="M733" s="372"/>
      <c r="N733" s="373" t="s">
        <v>2187</v>
      </c>
      <c r="O733" s="191" t="s">
        <v>1517</v>
      </c>
      <c r="P733" s="372"/>
      <c r="Q733" s="371"/>
      <c r="R733" s="289" t="s">
        <v>788</v>
      </c>
      <c r="S733" s="371" t="s">
        <v>1518</v>
      </c>
      <c r="T733" s="286" t="s">
        <v>2964</v>
      </c>
      <c r="U733" s="286" t="s">
        <v>3099</v>
      </c>
      <c r="V733" s="286" t="s">
        <v>3100</v>
      </c>
      <c r="W733" s="359" t="s">
        <v>3101</v>
      </c>
      <c r="X733" s="360" t="s">
        <v>2940</v>
      </c>
      <c r="Y733" s="373" t="s">
        <v>3102</v>
      </c>
      <c r="Z733" s="373" t="s">
        <v>3103</v>
      </c>
      <c r="AA733" s="361" t="s">
        <v>3104</v>
      </c>
    </row>
    <row r="734" spans="2:27" ht="80.25" hidden="1" customHeight="1" x14ac:dyDescent="0.35">
      <c r="B734" s="371" t="s">
        <v>81</v>
      </c>
      <c r="C734" s="371" t="s">
        <v>2934</v>
      </c>
      <c r="D734" s="371" t="s">
        <v>82</v>
      </c>
      <c r="E734" s="372">
        <v>1</v>
      </c>
      <c r="F734" s="356" t="s">
        <v>784</v>
      </c>
      <c r="G734" s="356" t="s">
        <v>785</v>
      </c>
      <c r="H734" s="358" t="s">
        <v>767</v>
      </c>
      <c r="I734" s="357">
        <v>30</v>
      </c>
      <c r="J734" s="356" t="s">
        <v>250</v>
      </c>
      <c r="K734" s="357">
        <v>23</v>
      </c>
      <c r="L734" s="357">
        <v>6</v>
      </c>
      <c r="M734" s="357"/>
      <c r="N734" s="191" t="s">
        <v>2205</v>
      </c>
      <c r="O734" s="191" t="s">
        <v>787</v>
      </c>
      <c r="P734" s="357"/>
      <c r="Q734" s="356"/>
      <c r="R734" s="286" t="s">
        <v>788</v>
      </c>
      <c r="S734" s="356" t="s">
        <v>789</v>
      </c>
      <c r="T734" s="286" t="s">
        <v>2942</v>
      </c>
      <c r="U734" s="286" t="s">
        <v>2953</v>
      </c>
      <c r="V734" s="289" t="s">
        <v>3105</v>
      </c>
      <c r="W734" s="359" t="s">
        <v>3106</v>
      </c>
      <c r="X734" s="360" t="s">
        <v>2940</v>
      </c>
      <c r="Y734" s="373" t="s">
        <v>3107</v>
      </c>
      <c r="Z734" s="373" t="s">
        <v>3108</v>
      </c>
      <c r="AA734" s="361" t="s">
        <v>3104</v>
      </c>
    </row>
    <row r="735" spans="2:27" ht="80.25" hidden="1" customHeight="1" x14ac:dyDescent="0.35">
      <c r="B735" s="56" t="s">
        <v>81</v>
      </c>
      <c r="C735" s="56" t="s">
        <v>2934</v>
      </c>
      <c r="D735" s="56" t="s">
        <v>82</v>
      </c>
      <c r="E735" s="335">
        <v>1</v>
      </c>
      <c r="F735" s="51" t="s">
        <v>3109</v>
      </c>
      <c r="G735" s="51" t="s">
        <v>3110</v>
      </c>
      <c r="H735" s="200" t="s">
        <v>3111</v>
      </c>
      <c r="I735" s="335">
        <v>31</v>
      </c>
      <c r="J735" s="56" t="s">
        <v>123</v>
      </c>
      <c r="K735" s="335">
        <v>4</v>
      </c>
      <c r="L735" s="335"/>
      <c r="M735" s="335"/>
      <c r="N735" s="53" t="s">
        <v>3112</v>
      </c>
      <c r="O735" s="53" t="s">
        <v>3113</v>
      </c>
      <c r="P735" s="335"/>
      <c r="Q735" s="200"/>
      <c r="R735" s="57" t="s">
        <v>3003</v>
      </c>
      <c r="S735" s="56" t="s">
        <v>3109</v>
      </c>
      <c r="T735" s="55" t="s">
        <v>2994</v>
      </c>
      <c r="U735" s="55" t="s">
        <v>3114</v>
      </c>
      <c r="V735" s="55" t="s">
        <v>3115</v>
      </c>
      <c r="W735" s="355" t="s">
        <v>3116</v>
      </c>
      <c r="X735" s="346" t="s">
        <v>2940</v>
      </c>
      <c r="Y735" s="65" t="s">
        <v>3117</v>
      </c>
      <c r="Z735" s="65" t="s">
        <v>3118</v>
      </c>
      <c r="AA735" s="341" t="s">
        <v>3017</v>
      </c>
    </row>
    <row r="736" spans="2:27" ht="80.25" hidden="1" customHeight="1" x14ac:dyDescent="0.35">
      <c r="B736" s="56" t="s">
        <v>81</v>
      </c>
      <c r="C736" s="56" t="s">
        <v>2934</v>
      </c>
      <c r="D736" s="56" t="s">
        <v>82</v>
      </c>
      <c r="E736" s="335">
        <v>1</v>
      </c>
      <c r="F736" s="56" t="s">
        <v>3119</v>
      </c>
      <c r="G736" s="56" t="s">
        <v>3120</v>
      </c>
      <c r="H736" s="200" t="s">
        <v>3121</v>
      </c>
      <c r="I736" s="335">
        <v>32</v>
      </c>
      <c r="J736" s="56" t="s">
        <v>123</v>
      </c>
      <c r="K736" s="335">
        <v>10</v>
      </c>
      <c r="L736" s="52"/>
      <c r="M736" s="52"/>
      <c r="N736" s="53" t="s">
        <v>3122</v>
      </c>
      <c r="O736" s="53" t="s">
        <v>3123</v>
      </c>
      <c r="P736" s="335"/>
      <c r="Q736" s="54"/>
      <c r="R736" s="55" t="s">
        <v>3003</v>
      </c>
      <c r="S736" s="51" t="s">
        <v>3119</v>
      </c>
      <c r="T736" s="55" t="s">
        <v>2942</v>
      </c>
      <c r="U736" s="55" t="s">
        <v>2953</v>
      </c>
      <c r="V736" s="55" t="s">
        <v>3124</v>
      </c>
      <c r="W736" s="355" t="s">
        <v>3125</v>
      </c>
      <c r="X736" s="63" t="s">
        <v>2940</v>
      </c>
      <c r="Y736" s="65" t="s">
        <v>3027</v>
      </c>
      <c r="Z736" s="65" t="s">
        <v>3124</v>
      </c>
      <c r="AA736" s="60" t="s">
        <v>3054</v>
      </c>
    </row>
    <row r="737" spans="2:27" ht="80.25" hidden="1" customHeight="1" x14ac:dyDescent="0.35">
      <c r="B737" s="56" t="s">
        <v>81</v>
      </c>
      <c r="C737" s="56" t="s">
        <v>2934</v>
      </c>
      <c r="D737" s="56" t="s">
        <v>82</v>
      </c>
      <c r="E737" s="335">
        <v>1</v>
      </c>
      <c r="F737" s="56" t="s">
        <v>3126</v>
      </c>
      <c r="G737" s="56" t="s">
        <v>3127</v>
      </c>
      <c r="H737" s="54" t="s">
        <v>3128</v>
      </c>
      <c r="I737" s="335">
        <v>33</v>
      </c>
      <c r="J737" s="56" t="s">
        <v>123</v>
      </c>
      <c r="K737" s="335"/>
      <c r="L737" s="52"/>
      <c r="M737" s="52"/>
      <c r="N737" s="53" t="s">
        <v>3129</v>
      </c>
      <c r="O737" s="53" t="s">
        <v>3130</v>
      </c>
      <c r="P737" s="52"/>
      <c r="Q737" s="53" t="s">
        <v>3131</v>
      </c>
      <c r="R737" s="55" t="s">
        <v>3003</v>
      </c>
      <c r="S737" s="51" t="s">
        <v>3132</v>
      </c>
      <c r="T737" s="55" t="s">
        <v>2994</v>
      </c>
      <c r="U737" s="55" t="s">
        <v>3114</v>
      </c>
      <c r="V737" s="55" t="s">
        <v>3115</v>
      </c>
      <c r="W737" s="355" t="s">
        <v>3133</v>
      </c>
      <c r="X737" s="63" t="s">
        <v>2940</v>
      </c>
      <c r="Y737" s="65" t="s">
        <v>3117</v>
      </c>
      <c r="Z737" s="65" t="s">
        <v>3118</v>
      </c>
      <c r="AA737" s="60" t="s">
        <v>3017</v>
      </c>
    </row>
    <row r="738" spans="2:27" ht="80.25" hidden="1" customHeight="1" x14ac:dyDescent="0.35">
      <c r="B738" s="56" t="s">
        <v>81</v>
      </c>
      <c r="C738" s="56" t="s">
        <v>2934</v>
      </c>
      <c r="D738" s="56" t="s">
        <v>82</v>
      </c>
      <c r="E738" s="335">
        <v>1</v>
      </c>
      <c r="F738" s="56" t="s">
        <v>3134</v>
      </c>
      <c r="G738" s="56" t="s">
        <v>3135</v>
      </c>
      <c r="H738" s="200" t="s">
        <v>3128</v>
      </c>
      <c r="I738" s="335">
        <v>34</v>
      </c>
      <c r="J738" s="56" t="s">
        <v>123</v>
      </c>
      <c r="K738" s="335"/>
      <c r="L738" s="335"/>
      <c r="M738" s="335"/>
      <c r="N738" s="155" t="s">
        <v>3136</v>
      </c>
      <c r="O738" s="155" t="s">
        <v>3137</v>
      </c>
      <c r="P738" s="335"/>
      <c r="Q738" s="155" t="s">
        <v>3131</v>
      </c>
      <c r="R738" s="57" t="s">
        <v>3003</v>
      </c>
      <c r="S738" s="56" t="s">
        <v>3132</v>
      </c>
      <c r="T738" s="57" t="s">
        <v>2994</v>
      </c>
      <c r="U738" s="57" t="s">
        <v>3114</v>
      </c>
      <c r="V738" s="57" t="s">
        <v>3115</v>
      </c>
      <c r="W738" s="376" t="s">
        <v>3138</v>
      </c>
      <c r="X738" s="346" t="s">
        <v>2940</v>
      </c>
      <c r="Y738" s="339" t="s">
        <v>3117</v>
      </c>
      <c r="Z738" s="339" t="s">
        <v>3118</v>
      </c>
      <c r="AA738" s="341" t="s">
        <v>3017</v>
      </c>
    </row>
    <row r="739" spans="2:27" ht="80.25" hidden="1" customHeight="1" x14ac:dyDescent="0.35">
      <c r="B739" s="51" t="s">
        <v>81</v>
      </c>
      <c r="C739" s="51" t="s">
        <v>2934</v>
      </c>
      <c r="D739" s="51" t="s">
        <v>82</v>
      </c>
      <c r="E739" s="52">
        <v>1</v>
      </c>
      <c r="F739" s="51" t="s">
        <v>3139</v>
      </c>
      <c r="G739" s="51" t="s">
        <v>3140</v>
      </c>
      <c r="H739" s="54" t="s">
        <v>3128</v>
      </c>
      <c r="I739" s="52">
        <v>35</v>
      </c>
      <c r="J739" s="51" t="s">
        <v>123</v>
      </c>
      <c r="K739" s="52"/>
      <c r="L739" s="52"/>
      <c r="M739" s="52"/>
      <c r="N739" s="53" t="s">
        <v>3141</v>
      </c>
      <c r="O739" s="53" t="s">
        <v>3142</v>
      </c>
      <c r="P739" s="52"/>
      <c r="Q739" s="54"/>
      <c r="R739" s="55" t="s">
        <v>3003</v>
      </c>
      <c r="S739" s="51" t="s">
        <v>3139</v>
      </c>
      <c r="T739" s="55" t="s">
        <v>2964</v>
      </c>
      <c r="U739" s="55" t="s">
        <v>3143</v>
      </c>
      <c r="V739" s="55" t="s">
        <v>3144</v>
      </c>
      <c r="W739" s="355" t="s">
        <v>3145</v>
      </c>
      <c r="X739" s="63" t="s">
        <v>2940</v>
      </c>
      <c r="Y739" s="53" t="s">
        <v>3146</v>
      </c>
      <c r="Z739" s="53" t="s">
        <v>3147</v>
      </c>
      <c r="AA739" s="71" t="s">
        <v>3054</v>
      </c>
    </row>
    <row r="740" spans="2:27" ht="80.25" hidden="1" customHeight="1" x14ac:dyDescent="0.35">
      <c r="B740" s="51" t="s">
        <v>81</v>
      </c>
      <c r="C740" s="51" t="s">
        <v>2934</v>
      </c>
      <c r="D740" s="51" t="s">
        <v>82</v>
      </c>
      <c r="E740" s="52">
        <v>1</v>
      </c>
      <c r="F740" s="51" t="s">
        <v>293</v>
      </c>
      <c r="G740" s="51" t="s">
        <v>294</v>
      </c>
      <c r="H740" s="54" t="s">
        <v>295</v>
      </c>
      <c r="I740" s="52">
        <v>36</v>
      </c>
      <c r="J740" s="51" t="s">
        <v>123</v>
      </c>
      <c r="K740" s="52">
        <v>3</v>
      </c>
      <c r="L740" s="52"/>
      <c r="M740" s="52"/>
      <c r="N740" s="53" t="s">
        <v>296</v>
      </c>
      <c r="O740" s="53" t="s">
        <v>297</v>
      </c>
      <c r="P740" s="52"/>
      <c r="Q740" s="53" t="s">
        <v>3148</v>
      </c>
      <c r="R740" s="55" t="s">
        <v>299</v>
      </c>
      <c r="S740" s="51" t="s">
        <v>300</v>
      </c>
      <c r="T740" s="55" t="s">
        <v>3149</v>
      </c>
      <c r="U740" s="55" t="s">
        <v>2950</v>
      </c>
      <c r="V740" s="55" t="s">
        <v>3150</v>
      </c>
      <c r="W740" s="355" t="s">
        <v>3151</v>
      </c>
      <c r="X740" s="63" t="s">
        <v>2940</v>
      </c>
      <c r="Y740" s="65" t="s">
        <v>2956</v>
      </c>
      <c r="Z740" s="53" t="s">
        <v>3152</v>
      </c>
      <c r="AA740" s="60" t="s">
        <v>939</v>
      </c>
    </row>
    <row r="741" spans="2:27" ht="80.25" customHeight="1" x14ac:dyDescent="0.35">
      <c r="B741" s="51" t="s">
        <v>81</v>
      </c>
      <c r="C741" s="51" t="s">
        <v>2934</v>
      </c>
      <c r="D741" s="51" t="s">
        <v>82</v>
      </c>
      <c r="E741" s="52">
        <v>1</v>
      </c>
      <c r="F741" s="51" t="s">
        <v>304</v>
      </c>
      <c r="G741" s="51" t="s">
        <v>305</v>
      </c>
      <c r="H741" s="54" t="s">
        <v>295</v>
      </c>
      <c r="I741" s="52">
        <v>37</v>
      </c>
      <c r="J741" s="51" t="s">
        <v>123</v>
      </c>
      <c r="K741" s="52">
        <v>3</v>
      </c>
      <c r="L741" s="52"/>
      <c r="M741" s="52"/>
      <c r="N741" s="53" t="s">
        <v>306</v>
      </c>
      <c r="O741" s="53" t="s">
        <v>307</v>
      </c>
      <c r="P741" s="52"/>
      <c r="Q741" s="53" t="s">
        <v>3153</v>
      </c>
      <c r="R741" s="55" t="s">
        <v>203</v>
      </c>
      <c r="S741" s="51" t="s">
        <v>309</v>
      </c>
      <c r="T741" s="55" t="s">
        <v>3154</v>
      </c>
      <c r="U741" s="55" t="s">
        <v>3155</v>
      </c>
      <c r="V741" s="55" t="s">
        <v>1777</v>
      </c>
      <c r="W741" s="355" t="s">
        <v>3156</v>
      </c>
      <c r="X741" s="63" t="s">
        <v>2940</v>
      </c>
      <c r="Y741" s="65" t="s">
        <v>3157</v>
      </c>
      <c r="Z741" s="63" t="s">
        <v>3158</v>
      </c>
      <c r="AA741" s="60" t="s">
        <v>3159</v>
      </c>
    </row>
    <row r="742" spans="2:27" ht="80.25" hidden="1" customHeight="1" x14ac:dyDescent="0.35">
      <c r="B742" s="51" t="s">
        <v>81</v>
      </c>
      <c r="C742" s="51" t="s">
        <v>2934</v>
      </c>
      <c r="D742" s="51" t="s">
        <v>82</v>
      </c>
      <c r="E742" s="52">
        <v>1</v>
      </c>
      <c r="F742" s="51" t="s">
        <v>317</v>
      </c>
      <c r="G742" s="51" t="s">
        <v>318</v>
      </c>
      <c r="H742" s="51" t="s">
        <v>319</v>
      </c>
      <c r="I742" s="52">
        <v>38</v>
      </c>
      <c r="J742" s="51" t="s">
        <v>123</v>
      </c>
      <c r="K742" s="52">
        <v>2</v>
      </c>
      <c r="L742" s="52"/>
      <c r="M742" s="52"/>
      <c r="N742" s="53" t="s">
        <v>320</v>
      </c>
      <c r="O742" s="53" t="s">
        <v>321</v>
      </c>
      <c r="P742" s="52"/>
      <c r="Q742" s="53" t="s">
        <v>3160</v>
      </c>
      <c r="R742" s="55"/>
      <c r="S742" s="51"/>
      <c r="T742" s="55" t="s">
        <v>2942</v>
      </c>
      <c r="U742" s="55" t="s">
        <v>2953</v>
      </c>
      <c r="V742" s="55" t="s">
        <v>939</v>
      </c>
      <c r="W742" s="355" t="s">
        <v>3161</v>
      </c>
      <c r="X742" s="63" t="s">
        <v>2940</v>
      </c>
      <c r="Y742" s="53" t="s">
        <v>939</v>
      </c>
      <c r="Z742" s="53" t="s">
        <v>939</v>
      </c>
      <c r="AA742" s="60" t="s">
        <v>3162</v>
      </c>
    </row>
    <row r="743" spans="2:27" ht="80.25" hidden="1" customHeight="1" x14ac:dyDescent="0.35">
      <c r="B743" s="56" t="s">
        <v>81</v>
      </c>
      <c r="C743" s="51" t="s">
        <v>2934</v>
      </c>
      <c r="D743" s="56" t="s">
        <v>82</v>
      </c>
      <c r="E743" s="335">
        <v>1</v>
      </c>
      <c r="F743" s="51" t="s">
        <v>326</v>
      </c>
      <c r="G743" s="51" t="s">
        <v>327</v>
      </c>
      <c r="H743" s="56" t="s">
        <v>328</v>
      </c>
      <c r="I743" s="335">
        <v>39</v>
      </c>
      <c r="J743" s="56" t="s">
        <v>123</v>
      </c>
      <c r="K743" s="335">
        <v>10</v>
      </c>
      <c r="L743" s="335"/>
      <c r="M743" s="335"/>
      <c r="N743" s="155" t="s">
        <v>329</v>
      </c>
      <c r="O743" s="53" t="s">
        <v>361</v>
      </c>
      <c r="P743" s="335" t="s">
        <v>126</v>
      </c>
      <c r="Q743" s="200"/>
      <c r="R743" s="57" t="s">
        <v>275</v>
      </c>
      <c r="S743" s="56" t="s">
        <v>803</v>
      </c>
      <c r="T743" s="55" t="s">
        <v>2942</v>
      </c>
      <c r="U743" s="55" t="s">
        <v>2953</v>
      </c>
      <c r="V743" s="55" t="s">
        <v>3163</v>
      </c>
      <c r="W743" s="376" t="s">
        <v>3164</v>
      </c>
      <c r="X743" s="53" t="s">
        <v>939</v>
      </c>
      <c r="Y743" s="155" t="s">
        <v>939</v>
      </c>
      <c r="Z743" s="155" t="s">
        <v>939</v>
      </c>
      <c r="AA743" s="341" t="s">
        <v>939</v>
      </c>
    </row>
    <row r="744" spans="2:27" ht="80.25" hidden="1" customHeight="1" x14ac:dyDescent="0.35">
      <c r="B744" s="56" t="s">
        <v>81</v>
      </c>
      <c r="C744" s="51" t="s">
        <v>2934</v>
      </c>
      <c r="D744" s="56" t="s">
        <v>82</v>
      </c>
      <c r="E744" s="335">
        <v>1</v>
      </c>
      <c r="F744" s="51" t="s">
        <v>333</v>
      </c>
      <c r="G744" s="51" t="s">
        <v>334</v>
      </c>
      <c r="H744" s="56" t="s">
        <v>335</v>
      </c>
      <c r="I744" s="335">
        <v>40</v>
      </c>
      <c r="J744" s="56" t="s">
        <v>336</v>
      </c>
      <c r="K744" s="335">
        <v>23</v>
      </c>
      <c r="L744" s="335"/>
      <c r="M744" s="335"/>
      <c r="N744" s="155" t="s">
        <v>337</v>
      </c>
      <c r="O744" s="53" t="s">
        <v>338</v>
      </c>
      <c r="P744" s="335"/>
      <c r="Q744" s="200"/>
      <c r="R744" s="57"/>
      <c r="S744" s="56"/>
      <c r="T744" s="55" t="s">
        <v>2942</v>
      </c>
      <c r="U744" s="55" t="s">
        <v>2953</v>
      </c>
      <c r="V744" s="55" t="s">
        <v>244</v>
      </c>
      <c r="W744" s="376" t="s">
        <v>3165</v>
      </c>
      <c r="X744" s="53" t="s">
        <v>939</v>
      </c>
      <c r="Y744" s="155" t="s">
        <v>939</v>
      </c>
      <c r="Z744" s="155" t="s">
        <v>939</v>
      </c>
      <c r="AA744" s="341" t="s">
        <v>939</v>
      </c>
    </row>
    <row r="745" spans="2:27" ht="80.25" hidden="1" customHeight="1" x14ac:dyDescent="0.35">
      <c r="B745" s="62" t="s">
        <v>81</v>
      </c>
      <c r="C745" s="62" t="s">
        <v>3166</v>
      </c>
      <c r="D745" s="62" t="s">
        <v>3167</v>
      </c>
      <c r="E745" s="325">
        <v>0</v>
      </c>
      <c r="F745" s="51" t="s">
        <v>120</v>
      </c>
      <c r="G745" s="51" t="s">
        <v>121</v>
      </c>
      <c r="H745" s="79"/>
      <c r="I745" s="325">
        <v>1</v>
      </c>
      <c r="J745" s="62"/>
      <c r="K745" s="325"/>
      <c r="L745" s="325"/>
      <c r="M745" s="325"/>
      <c r="N745" s="90"/>
      <c r="O745" s="53" t="s">
        <v>125</v>
      </c>
      <c r="P745" s="325" t="s">
        <v>126</v>
      </c>
      <c r="Q745" s="62"/>
      <c r="R745" s="175"/>
      <c r="S745" s="79"/>
      <c r="T745" s="90" t="s">
        <v>2964</v>
      </c>
      <c r="U745" s="90" t="s">
        <v>3168</v>
      </c>
      <c r="V745" s="90" t="s">
        <v>3169</v>
      </c>
      <c r="W745" s="384" t="s">
        <v>3170</v>
      </c>
      <c r="X745" s="62"/>
      <c r="Y745" s="62"/>
      <c r="Z745" s="62"/>
      <c r="AA745" s="325"/>
    </row>
    <row r="746" spans="2:27" ht="80.25" hidden="1" customHeight="1" x14ac:dyDescent="0.35">
      <c r="B746" s="62" t="s">
        <v>81</v>
      </c>
      <c r="C746" s="62" t="s">
        <v>3166</v>
      </c>
      <c r="D746" s="62" t="s">
        <v>3167</v>
      </c>
      <c r="E746" s="325">
        <v>0</v>
      </c>
      <c r="F746" s="62" t="s">
        <v>136</v>
      </c>
      <c r="G746" s="62" t="s">
        <v>137</v>
      </c>
      <c r="H746" s="79"/>
      <c r="I746" s="325">
        <v>2</v>
      </c>
      <c r="J746" s="62"/>
      <c r="K746" s="325"/>
      <c r="L746" s="325"/>
      <c r="M746" s="325"/>
      <c r="N746" s="90"/>
      <c r="O746" s="53" t="s">
        <v>139</v>
      </c>
      <c r="P746" s="325" t="s">
        <v>126</v>
      </c>
      <c r="Q746" s="62"/>
      <c r="R746" s="175"/>
      <c r="S746" s="79"/>
      <c r="T746" s="90" t="s">
        <v>3171</v>
      </c>
      <c r="U746" s="90" t="s">
        <v>3172</v>
      </c>
      <c r="V746" s="90" t="s">
        <v>3173</v>
      </c>
      <c r="W746" s="384" t="s">
        <v>3174</v>
      </c>
      <c r="X746" s="62"/>
      <c r="Y746" s="62"/>
      <c r="Z746" s="62"/>
      <c r="AA746" s="325"/>
    </row>
    <row r="747" spans="2:27" ht="80.25" hidden="1" customHeight="1" x14ac:dyDescent="0.35">
      <c r="B747" s="349" t="s">
        <v>81</v>
      </c>
      <c r="C747" s="62" t="s">
        <v>3166</v>
      </c>
      <c r="D747" s="62" t="s">
        <v>3167</v>
      </c>
      <c r="E747" s="350">
        <v>0</v>
      </c>
      <c r="F747" s="349" t="s">
        <v>352</v>
      </c>
      <c r="G747" s="349" t="s">
        <v>353</v>
      </c>
      <c r="H747" s="332" t="s">
        <v>240</v>
      </c>
      <c r="I747" s="350">
        <v>3</v>
      </c>
      <c r="J747" s="330" t="s">
        <v>123</v>
      </c>
      <c r="K747" s="350"/>
      <c r="L747" s="350"/>
      <c r="M747" s="350"/>
      <c r="N747" s="87" t="s">
        <v>354</v>
      </c>
      <c r="O747" s="155" t="s">
        <v>355</v>
      </c>
      <c r="P747" s="350"/>
      <c r="Q747" s="349"/>
      <c r="R747" s="353"/>
      <c r="S747" s="351"/>
      <c r="T747" s="90" t="s">
        <v>2964</v>
      </c>
      <c r="U747" s="90" t="s">
        <v>3175</v>
      </c>
      <c r="V747" s="352" t="s">
        <v>3169</v>
      </c>
      <c r="W747" s="384" t="s">
        <v>3176</v>
      </c>
      <c r="X747" s="349"/>
      <c r="Y747" s="349"/>
      <c r="Z747" s="349"/>
      <c r="AA747" s="350"/>
    </row>
    <row r="748" spans="2:27" ht="80.25" hidden="1" customHeight="1" x14ac:dyDescent="0.35">
      <c r="B748" s="349" t="s">
        <v>81</v>
      </c>
      <c r="C748" s="62" t="s">
        <v>3166</v>
      </c>
      <c r="D748" s="62" t="s">
        <v>3167</v>
      </c>
      <c r="E748" s="350">
        <v>0</v>
      </c>
      <c r="F748" s="62" t="s">
        <v>317</v>
      </c>
      <c r="G748" s="62" t="s">
        <v>318</v>
      </c>
      <c r="H748" s="79"/>
      <c r="I748" s="325">
        <v>4</v>
      </c>
      <c r="J748" s="62"/>
      <c r="K748" s="325"/>
      <c r="L748" s="325"/>
      <c r="M748" s="325"/>
      <c r="N748" s="90"/>
      <c r="O748" s="53" t="s">
        <v>321</v>
      </c>
      <c r="P748" s="325" t="s">
        <v>126</v>
      </c>
      <c r="Q748" s="62"/>
      <c r="R748" s="175"/>
      <c r="S748" s="79"/>
      <c r="T748" s="90" t="s">
        <v>2994</v>
      </c>
      <c r="U748" s="90" t="s">
        <v>3175</v>
      </c>
      <c r="V748" s="90" t="s">
        <v>3169</v>
      </c>
      <c r="W748" s="384" t="s">
        <v>3177</v>
      </c>
      <c r="X748" s="62"/>
      <c r="Y748" s="62"/>
      <c r="Z748" s="62"/>
      <c r="AA748" s="325"/>
    </row>
    <row r="749" spans="2:27" ht="80.25" hidden="1" customHeight="1" x14ac:dyDescent="0.35">
      <c r="B749" s="349" t="s">
        <v>81</v>
      </c>
      <c r="C749" s="62" t="s">
        <v>3166</v>
      </c>
      <c r="D749" s="62" t="s">
        <v>3167</v>
      </c>
      <c r="E749" s="350">
        <v>0</v>
      </c>
      <c r="F749" s="51" t="s">
        <v>326</v>
      </c>
      <c r="G749" s="51" t="s">
        <v>327</v>
      </c>
      <c r="H749" s="351"/>
      <c r="I749" s="350">
        <v>5</v>
      </c>
      <c r="J749" s="349"/>
      <c r="K749" s="350"/>
      <c r="L749" s="350"/>
      <c r="M749" s="350"/>
      <c r="N749" s="352"/>
      <c r="O749" s="53" t="s">
        <v>361</v>
      </c>
      <c r="P749" s="350"/>
      <c r="Q749" s="62"/>
      <c r="R749" s="175"/>
      <c r="S749" s="79"/>
      <c r="T749" s="90" t="s">
        <v>2964</v>
      </c>
      <c r="U749" s="90" t="s">
        <v>3175</v>
      </c>
      <c r="V749" s="90" t="s">
        <v>3178</v>
      </c>
      <c r="W749" s="384" t="s">
        <v>3179</v>
      </c>
      <c r="X749" s="62"/>
      <c r="Y749" s="62"/>
      <c r="Z749" s="62"/>
      <c r="AA749" s="325"/>
    </row>
    <row r="750" spans="2:27" ht="80.25" hidden="1" customHeight="1" x14ac:dyDescent="0.35">
      <c r="B750" s="349" t="s">
        <v>81</v>
      </c>
      <c r="C750" s="62" t="s">
        <v>3166</v>
      </c>
      <c r="D750" s="62" t="s">
        <v>3167</v>
      </c>
      <c r="E750" s="350">
        <v>0</v>
      </c>
      <c r="F750" s="51" t="s">
        <v>333</v>
      </c>
      <c r="G750" s="51" t="s">
        <v>334</v>
      </c>
      <c r="H750" s="351"/>
      <c r="I750" s="350">
        <v>6</v>
      </c>
      <c r="J750" s="349"/>
      <c r="K750" s="350"/>
      <c r="L750" s="350"/>
      <c r="M750" s="350"/>
      <c r="N750" s="352"/>
      <c r="O750" s="53" t="s">
        <v>338</v>
      </c>
      <c r="P750" s="350"/>
      <c r="Q750" s="349"/>
      <c r="R750" s="353"/>
      <c r="S750" s="351"/>
      <c r="T750" s="90" t="s">
        <v>2942</v>
      </c>
      <c r="U750" s="90" t="s">
        <v>2953</v>
      </c>
      <c r="V750" s="90" t="s">
        <v>2995</v>
      </c>
      <c r="W750" s="384" t="s">
        <v>3180</v>
      </c>
      <c r="X750" s="349"/>
      <c r="Y750" s="349"/>
      <c r="Z750" s="349"/>
      <c r="AA750" s="350"/>
    </row>
  </sheetData>
  <sortState xmlns:xlrd2="http://schemas.microsoft.com/office/spreadsheetml/2017/richdata2" ref="B8:Z142">
    <sortCondition ref="C8:C142"/>
    <sortCondition ref="I8:I142"/>
  </sortState>
  <mergeCells count="8">
    <mergeCell ref="X6:AA6"/>
    <mergeCell ref="X5:AA5"/>
    <mergeCell ref="B5:Q5"/>
    <mergeCell ref="B6:Q6"/>
    <mergeCell ref="R5:S5"/>
    <mergeCell ref="R6:S6"/>
    <mergeCell ref="U6:W6"/>
    <mergeCell ref="T5:W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636"/>
  <sheetViews>
    <sheetView showGridLines="0" workbookViewId="0">
      <selection activeCell="B2" sqref="B2"/>
    </sheetView>
  </sheetViews>
  <sheetFormatPr defaultRowHeight="14.5" x14ac:dyDescent="0.35"/>
  <cols>
    <col min="2" max="2" width="39.26953125" style="30" bestFit="1" customWidth="1"/>
    <col min="3" max="4" width="43.7265625" style="29" customWidth="1"/>
    <col min="5" max="5" width="40.1796875" style="29" customWidth="1"/>
    <col min="6" max="6" width="50.453125" style="29" customWidth="1"/>
    <col min="7" max="7" width="37.26953125" customWidth="1"/>
    <col min="8" max="8" width="125.54296875" style="49" customWidth="1"/>
    <col min="9" max="9" width="32.54296875" customWidth="1"/>
  </cols>
  <sheetData>
    <row r="1" spans="2:9" ht="40.5" customHeight="1" x14ac:dyDescent="0.35"/>
    <row r="2" spans="2:9" x14ac:dyDescent="0.35">
      <c r="B2" s="58" t="s">
        <v>3181</v>
      </c>
      <c r="C2" s="58" t="s">
        <v>95</v>
      </c>
      <c r="D2" s="58" t="s">
        <v>3182</v>
      </c>
      <c r="E2" s="58" t="s">
        <v>3183</v>
      </c>
      <c r="F2" s="58" t="s">
        <v>3184</v>
      </c>
      <c r="G2" s="58" t="s">
        <v>3185</v>
      </c>
      <c r="H2" s="59" t="s">
        <v>3186</v>
      </c>
      <c r="I2" s="116" t="s">
        <v>3187</v>
      </c>
    </row>
    <row r="3" spans="2:9" ht="30" customHeight="1" x14ac:dyDescent="0.35">
      <c r="B3" s="51" t="s">
        <v>4</v>
      </c>
      <c r="C3" s="51" t="s">
        <v>5</v>
      </c>
      <c r="D3" s="51" t="s">
        <v>3188</v>
      </c>
      <c r="E3" s="51" t="s">
        <v>3189</v>
      </c>
      <c r="F3" s="51" t="s">
        <v>3188</v>
      </c>
      <c r="G3" s="51" t="s">
        <v>3190</v>
      </c>
      <c r="H3" s="55" t="s">
        <v>3191</v>
      </c>
      <c r="I3" s="55" t="s">
        <v>3192</v>
      </c>
    </row>
    <row r="4" spans="2:9" ht="30" customHeight="1" x14ac:dyDescent="0.35">
      <c r="B4" s="51" t="s">
        <v>4</v>
      </c>
      <c r="C4" s="51" t="s">
        <v>5</v>
      </c>
      <c r="D4" s="51" t="s">
        <v>3188</v>
      </c>
      <c r="E4" s="51" t="s">
        <v>3189</v>
      </c>
      <c r="F4" s="51" t="s">
        <v>3188</v>
      </c>
      <c r="G4" s="51" t="s">
        <v>3193</v>
      </c>
      <c r="H4" s="55" t="s">
        <v>3194</v>
      </c>
      <c r="I4" s="55" t="s">
        <v>3192</v>
      </c>
    </row>
    <row r="5" spans="2:9" ht="30" customHeight="1" x14ac:dyDescent="0.35">
      <c r="B5" s="51" t="s">
        <v>4</v>
      </c>
      <c r="C5" s="51" t="s">
        <v>5</v>
      </c>
      <c r="D5" s="51" t="s">
        <v>3188</v>
      </c>
      <c r="E5" s="51" t="s">
        <v>3189</v>
      </c>
      <c r="F5" s="51" t="s">
        <v>3188</v>
      </c>
      <c r="G5" s="51" t="s">
        <v>3195</v>
      </c>
      <c r="H5" s="55" t="s">
        <v>3196</v>
      </c>
      <c r="I5" s="55" t="s">
        <v>3192</v>
      </c>
    </row>
    <row r="6" spans="2:9" ht="30" customHeight="1" x14ac:dyDescent="0.35">
      <c r="B6" s="51" t="s">
        <v>4</v>
      </c>
      <c r="C6" s="51" t="s">
        <v>5</v>
      </c>
      <c r="D6" s="51" t="s">
        <v>3188</v>
      </c>
      <c r="E6" s="51" t="s">
        <v>3189</v>
      </c>
      <c r="F6" s="51" t="s">
        <v>3197</v>
      </c>
      <c r="G6" s="51" t="s">
        <v>3198</v>
      </c>
      <c r="H6" s="55" t="s">
        <v>3199</v>
      </c>
      <c r="I6" s="55" t="s">
        <v>3200</v>
      </c>
    </row>
    <row r="7" spans="2:9" ht="30" customHeight="1" x14ac:dyDescent="0.35">
      <c r="B7" s="51" t="s">
        <v>4</v>
      </c>
      <c r="C7" s="51" t="s">
        <v>5</v>
      </c>
      <c r="D7" s="51" t="s">
        <v>3188</v>
      </c>
      <c r="E7" s="51" t="s">
        <v>3189</v>
      </c>
      <c r="F7" s="51" t="s">
        <v>3197</v>
      </c>
      <c r="G7" s="51" t="s">
        <v>3201</v>
      </c>
      <c r="H7" s="55" t="s">
        <v>3202</v>
      </c>
      <c r="I7" s="55" t="s">
        <v>3192</v>
      </c>
    </row>
    <row r="8" spans="2:9" ht="30" customHeight="1" x14ac:dyDescent="0.35">
      <c r="B8" s="51" t="s">
        <v>4</v>
      </c>
      <c r="C8" s="51" t="s">
        <v>5</v>
      </c>
      <c r="D8" s="51" t="s">
        <v>3188</v>
      </c>
      <c r="E8" s="51" t="s">
        <v>3189</v>
      </c>
      <c r="F8" s="51" t="s">
        <v>3197</v>
      </c>
      <c r="G8" s="51" t="s">
        <v>3203</v>
      </c>
      <c r="H8" s="55" t="s">
        <v>3204</v>
      </c>
      <c r="I8" s="55" t="s">
        <v>3192</v>
      </c>
    </row>
    <row r="9" spans="2:9" ht="30" customHeight="1" x14ac:dyDescent="0.35">
      <c r="B9" s="51" t="s">
        <v>4</v>
      </c>
      <c r="C9" s="51" t="s">
        <v>5</v>
      </c>
      <c r="D9" s="51" t="s">
        <v>3188</v>
      </c>
      <c r="E9" s="51" t="s">
        <v>3189</v>
      </c>
      <c r="F9" s="51" t="s">
        <v>3197</v>
      </c>
      <c r="G9" s="51" t="s">
        <v>3205</v>
      </c>
      <c r="H9" s="55" t="s">
        <v>3206</v>
      </c>
      <c r="I9" s="55" t="s">
        <v>3192</v>
      </c>
    </row>
    <row r="10" spans="2:9" ht="30" customHeight="1" x14ac:dyDescent="0.35">
      <c r="B10" s="51" t="s">
        <v>4</v>
      </c>
      <c r="C10" s="51" t="s">
        <v>5</v>
      </c>
      <c r="D10" s="51" t="s">
        <v>3197</v>
      </c>
      <c r="E10" s="110" t="s">
        <v>3207</v>
      </c>
      <c r="F10" s="51" t="s">
        <v>3197</v>
      </c>
      <c r="G10" s="51" t="s">
        <v>3198</v>
      </c>
      <c r="H10" s="55" t="s">
        <v>3208</v>
      </c>
      <c r="I10" s="55" t="s">
        <v>3192</v>
      </c>
    </row>
    <row r="11" spans="2:9" ht="30" customHeight="1" x14ac:dyDescent="0.35">
      <c r="B11" s="51" t="s">
        <v>4</v>
      </c>
      <c r="C11" s="51" t="s">
        <v>5</v>
      </c>
      <c r="D11" s="51" t="s">
        <v>3209</v>
      </c>
      <c r="E11" s="51" t="s">
        <v>3210</v>
      </c>
      <c r="F11" s="51" t="s">
        <v>3209</v>
      </c>
      <c r="G11" s="51" t="s">
        <v>3211</v>
      </c>
      <c r="H11" s="55" t="s">
        <v>3212</v>
      </c>
      <c r="I11" s="55" t="s">
        <v>3192</v>
      </c>
    </row>
    <row r="12" spans="2:9" ht="30" customHeight="1" x14ac:dyDescent="0.35">
      <c r="B12" s="51" t="s">
        <v>4</v>
      </c>
      <c r="C12" s="51" t="s">
        <v>5</v>
      </c>
      <c r="D12" s="51" t="s">
        <v>3209</v>
      </c>
      <c r="E12" s="51" t="s">
        <v>3210</v>
      </c>
      <c r="F12" s="51" t="s">
        <v>3197</v>
      </c>
      <c r="G12" s="51" t="s">
        <v>3213</v>
      </c>
      <c r="H12" s="55" t="s">
        <v>3214</v>
      </c>
      <c r="I12" s="55" t="s">
        <v>3192</v>
      </c>
    </row>
    <row r="13" spans="2:9" ht="30" customHeight="1" x14ac:dyDescent="0.35">
      <c r="B13" s="51" t="s">
        <v>4</v>
      </c>
      <c r="C13" s="51" t="s">
        <v>5</v>
      </c>
      <c r="D13" s="51" t="s">
        <v>3188</v>
      </c>
      <c r="E13" s="50" t="s">
        <v>3189</v>
      </c>
      <c r="F13" s="51" t="s">
        <v>3197</v>
      </c>
      <c r="G13" s="51" t="s">
        <v>3215</v>
      </c>
      <c r="H13" s="55" t="s">
        <v>3216</v>
      </c>
      <c r="I13" s="55" t="s">
        <v>3192</v>
      </c>
    </row>
    <row r="14" spans="2:9" ht="30" customHeight="1" x14ac:dyDescent="0.35">
      <c r="B14" s="51" t="s">
        <v>4</v>
      </c>
      <c r="C14" s="51" t="s">
        <v>5</v>
      </c>
      <c r="D14" s="56" t="s">
        <v>3197</v>
      </c>
      <c r="E14" s="56" t="s">
        <v>3215</v>
      </c>
      <c r="F14" s="56" t="s">
        <v>3197</v>
      </c>
      <c r="G14" s="56" t="s">
        <v>3213</v>
      </c>
      <c r="H14" s="57" t="s">
        <v>3217</v>
      </c>
      <c r="I14" s="55" t="s">
        <v>3192</v>
      </c>
    </row>
    <row r="15" spans="2:9" ht="30" customHeight="1" x14ac:dyDescent="0.35">
      <c r="B15" s="51" t="s">
        <v>4</v>
      </c>
      <c r="C15" s="51" t="s">
        <v>5</v>
      </c>
      <c r="D15" s="56" t="s">
        <v>3197</v>
      </c>
      <c r="E15" s="56" t="s">
        <v>3198</v>
      </c>
      <c r="F15" s="385" t="s">
        <v>340</v>
      </c>
      <c r="G15" s="385" t="s">
        <v>7</v>
      </c>
      <c r="H15" s="386" t="s">
        <v>3218</v>
      </c>
      <c r="I15" s="385" t="s">
        <v>3200</v>
      </c>
    </row>
    <row r="16" spans="2:9" ht="30" customHeight="1" x14ac:dyDescent="0.35">
      <c r="B16" s="51" t="s">
        <v>4</v>
      </c>
      <c r="C16" s="51" t="s">
        <v>5</v>
      </c>
      <c r="D16" s="387" t="s">
        <v>3219</v>
      </c>
      <c r="E16" s="387" t="s">
        <v>3220</v>
      </c>
      <c r="F16" s="387" t="s">
        <v>340</v>
      </c>
      <c r="G16" s="387" t="s">
        <v>7</v>
      </c>
      <c r="H16" s="388" t="s">
        <v>3221</v>
      </c>
      <c r="I16" s="385" t="s">
        <v>3200</v>
      </c>
    </row>
    <row r="17" spans="2:9" ht="30" customHeight="1" x14ac:dyDescent="0.35">
      <c r="B17" s="51" t="s">
        <v>4</v>
      </c>
      <c r="C17" s="51" t="s">
        <v>5</v>
      </c>
      <c r="D17" s="387" t="s">
        <v>3209</v>
      </c>
      <c r="E17" s="387" t="s">
        <v>3210</v>
      </c>
      <c r="F17" s="387" t="s">
        <v>340</v>
      </c>
      <c r="G17" s="387" t="s">
        <v>7</v>
      </c>
      <c r="H17" s="388" t="s">
        <v>3222</v>
      </c>
      <c r="I17" s="385" t="s">
        <v>3200</v>
      </c>
    </row>
    <row r="18" spans="2:9" ht="30" customHeight="1" x14ac:dyDescent="0.35">
      <c r="B18" s="51" t="s">
        <v>9</v>
      </c>
      <c r="C18" s="51" t="s">
        <v>10</v>
      </c>
      <c r="D18" s="51" t="s">
        <v>3223</v>
      </c>
      <c r="E18" s="51" t="s">
        <v>3224</v>
      </c>
      <c r="F18" s="51" t="s">
        <v>3223</v>
      </c>
      <c r="G18" s="51" t="s">
        <v>3225</v>
      </c>
      <c r="H18" s="55" t="s">
        <v>3226</v>
      </c>
      <c r="I18" s="55" t="s">
        <v>3192</v>
      </c>
    </row>
    <row r="19" spans="2:9" ht="30" customHeight="1" x14ac:dyDescent="0.35">
      <c r="B19" s="51" t="s">
        <v>9</v>
      </c>
      <c r="C19" s="51" t="s">
        <v>10</v>
      </c>
      <c r="D19" s="51" t="s">
        <v>3223</v>
      </c>
      <c r="E19" s="51" t="s">
        <v>3224</v>
      </c>
      <c r="F19" s="51" t="s">
        <v>3223</v>
      </c>
      <c r="G19" s="51" t="s">
        <v>3227</v>
      </c>
      <c r="H19" s="55" t="s">
        <v>3228</v>
      </c>
      <c r="I19" s="55" t="s">
        <v>3192</v>
      </c>
    </row>
    <row r="20" spans="2:9" ht="30" customHeight="1" x14ac:dyDescent="0.35">
      <c r="B20" s="51" t="s">
        <v>9</v>
      </c>
      <c r="C20" s="51" t="s">
        <v>10</v>
      </c>
      <c r="D20" s="51" t="s">
        <v>3223</v>
      </c>
      <c r="E20" s="51" t="s">
        <v>3224</v>
      </c>
      <c r="F20" s="51" t="s">
        <v>3219</v>
      </c>
      <c r="G20" s="51" t="s">
        <v>3220</v>
      </c>
      <c r="H20" s="55" t="s">
        <v>3229</v>
      </c>
      <c r="I20" s="55" t="s">
        <v>3192</v>
      </c>
    </row>
    <row r="21" spans="2:9" ht="30" customHeight="1" x14ac:dyDescent="0.35">
      <c r="B21" s="51" t="s">
        <v>9</v>
      </c>
      <c r="C21" s="51" t="s">
        <v>12</v>
      </c>
      <c r="D21" s="51" t="s">
        <v>3223</v>
      </c>
      <c r="E21" s="51" t="s">
        <v>3230</v>
      </c>
      <c r="F21" s="51" t="s">
        <v>3223</v>
      </c>
      <c r="G21" s="51" t="s">
        <v>3224</v>
      </c>
      <c r="H21" s="55" t="s">
        <v>3231</v>
      </c>
      <c r="I21" s="55" t="s">
        <v>3200</v>
      </c>
    </row>
    <row r="22" spans="2:9" ht="30" customHeight="1" x14ac:dyDescent="0.35">
      <c r="B22" s="56" t="s">
        <v>9</v>
      </c>
      <c r="C22" s="51" t="s">
        <v>12</v>
      </c>
      <c r="D22" s="51" t="s">
        <v>3223</v>
      </c>
      <c r="E22" s="51" t="s">
        <v>3230</v>
      </c>
      <c r="F22" s="51" t="s">
        <v>3232</v>
      </c>
      <c r="G22" s="56" t="s">
        <v>3233</v>
      </c>
      <c r="H22" s="57" t="s">
        <v>3234</v>
      </c>
      <c r="I22" s="55" t="s">
        <v>3192</v>
      </c>
    </row>
    <row r="23" spans="2:9" ht="30" customHeight="1" x14ac:dyDescent="0.35">
      <c r="B23" s="51" t="s">
        <v>9</v>
      </c>
      <c r="C23" s="51" t="s">
        <v>12</v>
      </c>
      <c r="D23" s="51" t="s">
        <v>3223</v>
      </c>
      <c r="E23" s="51" t="s">
        <v>3230</v>
      </c>
      <c r="F23" s="51" t="s">
        <v>3232</v>
      </c>
      <c r="G23" s="51" t="s">
        <v>3233</v>
      </c>
      <c r="H23" s="57" t="s">
        <v>3235</v>
      </c>
      <c r="I23" s="55" t="s">
        <v>3192</v>
      </c>
    </row>
    <row r="24" spans="2:9" ht="30" customHeight="1" x14ac:dyDescent="0.35">
      <c r="B24" s="56" t="s">
        <v>14</v>
      </c>
      <c r="C24" s="56" t="s">
        <v>15</v>
      </c>
      <c r="D24" s="57" t="s">
        <v>3236</v>
      </c>
      <c r="E24" s="56" t="s">
        <v>3237</v>
      </c>
      <c r="F24" s="57" t="s">
        <v>3236</v>
      </c>
      <c r="G24" s="56" t="s">
        <v>3238</v>
      </c>
      <c r="H24" s="57" t="s">
        <v>3239</v>
      </c>
      <c r="I24" s="117" t="s">
        <v>3192</v>
      </c>
    </row>
    <row r="25" spans="2:9" ht="30" customHeight="1" x14ac:dyDescent="0.35">
      <c r="B25" s="56" t="s">
        <v>14</v>
      </c>
      <c r="C25" s="56" t="s">
        <v>15</v>
      </c>
      <c r="D25" s="57" t="s">
        <v>3236</v>
      </c>
      <c r="E25" s="57" t="s">
        <v>3240</v>
      </c>
      <c r="F25" s="56" t="s">
        <v>3209</v>
      </c>
      <c r="G25" s="51" t="s">
        <v>3241</v>
      </c>
      <c r="H25" s="82" t="s">
        <v>3242</v>
      </c>
      <c r="I25" s="117" t="s">
        <v>3192</v>
      </c>
    </row>
    <row r="26" spans="2:9" ht="30" customHeight="1" x14ac:dyDescent="0.35">
      <c r="B26" s="56" t="s">
        <v>14</v>
      </c>
      <c r="C26" s="56" t="s">
        <v>15</v>
      </c>
      <c r="D26" s="57" t="s">
        <v>3236</v>
      </c>
      <c r="E26" s="57" t="s">
        <v>3240</v>
      </c>
      <c r="F26" s="55" t="s">
        <v>3236</v>
      </c>
      <c r="G26" s="51" t="s">
        <v>3237</v>
      </c>
      <c r="H26" s="82" t="s">
        <v>3243</v>
      </c>
      <c r="I26" s="117" t="s">
        <v>3192</v>
      </c>
    </row>
    <row r="27" spans="2:9" ht="30" customHeight="1" x14ac:dyDescent="0.35">
      <c r="B27" s="56" t="s">
        <v>14</v>
      </c>
      <c r="C27" s="56" t="s">
        <v>15</v>
      </c>
      <c r="D27" s="55" t="s">
        <v>3236</v>
      </c>
      <c r="E27" s="55" t="s">
        <v>3240</v>
      </c>
      <c r="F27" s="55" t="s">
        <v>3236</v>
      </c>
      <c r="G27" s="51" t="s">
        <v>3244</v>
      </c>
      <c r="H27" s="55" t="s">
        <v>3245</v>
      </c>
      <c r="I27" s="117" t="s">
        <v>3192</v>
      </c>
    </row>
    <row r="28" spans="2:9" ht="30" customHeight="1" x14ac:dyDescent="0.35">
      <c r="B28" s="56" t="s">
        <v>14</v>
      </c>
      <c r="C28" s="56" t="s">
        <v>15</v>
      </c>
      <c r="D28" s="51" t="s">
        <v>3209</v>
      </c>
      <c r="E28" s="51" t="s">
        <v>3210</v>
      </c>
      <c r="F28" s="51" t="s">
        <v>3209</v>
      </c>
      <c r="G28" s="51" t="s">
        <v>3211</v>
      </c>
      <c r="H28" s="55" t="s">
        <v>3212</v>
      </c>
      <c r="I28" s="117" t="s">
        <v>3192</v>
      </c>
    </row>
    <row r="29" spans="2:9" ht="30" customHeight="1" x14ac:dyDescent="0.35">
      <c r="B29" s="385" t="s">
        <v>14</v>
      </c>
      <c r="C29" s="385" t="s">
        <v>15</v>
      </c>
      <c r="D29" s="55" t="s">
        <v>3236</v>
      </c>
      <c r="E29" s="55" t="s">
        <v>3240</v>
      </c>
      <c r="F29" s="387" t="s">
        <v>340</v>
      </c>
      <c r="G29" s="387" t="s">
        <v>19</v>
      </c>
      <c r="H29" s="389" t="s">
        <v>3246</v>
      </c>
      <c r="I29" s="387" t="s">
        <v>3200</v>
      </c>
    </row>
    <row r="30" spans="2:9" ht="30" customHeight="1" x14ac:dyDescent="0.35">
      <c r="B30" s="56" t="s">
        <v>14</v>
      </c>
      <c r="C30" s="56" t="s">
        <v>17</v>
      </c>
      <c r="D30" s="56" t="s">
        <v>3236</v>
      </c>
      <c r="E30" s="56" t="s">
        <v>3237</v>
      </c>
      <c r="F30" s="51" t="s">
        <v>372</v>
      </c>
      <c r="G30" s="51" t="s">
        <v>372</v>
      </c>
      <c r="H30" s="51" t="s">
        <v>372</v>
      </c>
      <c r="I30" s="51" t="s">
        <v>372</v>
      </c>
    </row>
    <row r="31" spans="2:9" ht="30" customHeight="1" x14ac:dyDescent="0.35">
      <c r="B31" s="56" t="s">
        <v>14</v>
      </c>
      <c r="C31" s="56" t="s">
        <v>15</v>
      </c>
      <c r="D31" s="56" t="s">
        <v>3236</v>
      </c>
      <c r="E31" s="56" t="s">
        <v>3237</v>
      </c>
      <c r="F31" s="387" t="s">
        <v>3247</v>
      </c>
      <c r="G31" s="387" t="s">
        <v>3248</v>
      </c>
      <c r="H31" s="388" t="s">
        <v>3249</v>
      </c>
      <c r="I31" s="385" t="s">
        <v>3192</v>
      </c>
    </row>
    <row r="32" spans="2:9" ht="30" customHeight="1" x14ac:dyDescent="0.35">
      <c r="B32" s="385" t="s">
        <v>340</v>
      </c>
      <c r="C32" s="385" t="s">
        <v>19</v>
      </c>
      <c r="D32" s="56" t="s">
        <v>3209</v>
      </c>
      <c r="E32" s="56" t="s">
        <v>3241</v>
      </c>
      <c r="F32" s="57" t="s">
        <v>3236</v>
      </c>
      <c r="G32" s="57" t="s">
        <v>3240</v>
      </c>
      <c r="H32" s="305" t="s">
        <v>3250</v>
      </c>
      <c r="I32" s="385" t="s">
        <v>3200</v>
      </c>
    </row>
    <row r="33" spans="2:9" ht="30" customHeight="1" x14ac:dyDescent="0.35">
      <c r="B33" s="56" t="s">
        <v>21</v>
      </c>
      <c r="C33" s="56" t="s">
        <v>22</v>
      </c>
      <c r="D33" s="56" t="s">
        <v>3251</v>
      </c>
      <c r="E33" s="56" t="s">
        <v>3252</v>
      </c>
      <c r="F33" s="56" t="s">
        <v>3251</v>
      </c>
      <c r="G33" s="56" t="s">
        <v>3253</v>
      </c>
      <c r="H33" s="57" t="s">
        <v>3254</v>
      </c>
      <c r="I33" s="55" t="s">
        <v>3192</v>
      </c>
    </row>
    <row r="34" spans="2:9" ht="30" customHeight="1" x14ac:dyDescent="0.35">
      <c r="B34" s="56" t="s">
        <v>21</v>
      </c>
      <c r="C34" s="56" t="s">
        <v>22</v>
      </c>
      <c r="D34" s="56" t="s">
        <v>3251</v>
      </c>
      <c r="E34" s="56" t="s">
        <v>3252</v>
      </c>
      <c r="F34" s="56" t="s">
        <v>3251</v>
      </c>
      <c r="G34" s="56" t="s">
        <v>3255</v>
      </c>
      <c r="H34" s="57" t="s">
        <v>3256</v>
      </c>
      <c r="I34" s="55" t="s">
        <v>3192</v>
      </c>
    </row>
    <row r="35" spans="2:9" ht="30" customHeight="1" x14ac:dyDescent="0.35">
      <c r="B35" s="56" t="s">
        <v>21</v>
      </c>
      <c r="C35" s="56" t="s">
        <v>22</v>
      </c>
      <c r="D35" s="56" t="s">
        <v>3251</v>
      </c>
      <c r="E35" s="56" t="s">
        <v>3252</v>
      </c>
      <c r="F35" s="56" t="s">
        <v>3219</v>
      </c>
      <c r="G35" s="56" t="s">
        <v>3257</v>
      </c>
      <c r="H35" s="57" t="s">
        <v>3258</v>
      </c>
      <c r="I35" s="55" t="s">
        <v>3192</v>
      </c>
    </row>
    <row r="36" spans="2:9" ht="30" customHeight="1" x14ac:dyDescent="0.35">
      <c r="B36" s="56" t="s">
        <v>21</v>
      </c>
      <c r="C36" s="56" t="s">
        <v>22</v>
      </c>
      <c r="D36" s="56" t="s">
        <v>3251</v>
      </c>
      <c r="E36" s="56" t="s">
        <v>3252</v>
      </c>
      <c r="F36" s="56" t="s">
        <v>3251</v>
      </c>
      <c r="G36" s="387" t="s">
        <v>3259</v>
      </c>
      <c r="H36" s="388" t="s">
        <v>3260</v>
      </c>
      <c r="I36" s="387" t="s">
        <v>3192</v>
      </c>
    </row>
    <row r="37" spans="2:9" ht="30" customHeight="1" x14ac:dyDescent="0.35">
      <c r="B37" s="56" t="s">
        <v>21</v>
      </c>
      <c r="C37" s="56" t="s">
        <v>22</v>
      </c>
      <c r="D37" s="56" t="s">
        <v>3251</v>
      </c>
      <c r="E37" s="56" t="s">
        <v>3253</v>
      </c>
      <c r="F37" s="51" t="s">
        <v>3219</v>
      </c>
      <c r="G37" s="51" t="s">
        <v>3257</v>
      </c>
      <c r="H37" s="57" t="s">
        <v>3261</v>
      </c>
      <c r="I37" s="55" t="s">
        <v>3192</v>
      </c>
    </row>
    <row r="38" spans="2:9" ht="30" customHeight="1" x14ac:dyDescent="0.35">
      <c r="B38" s="56" t="s">
        <v>21</v>
      </c>
      <c r="C38" s="56" t="s">
        <v>22</v>
      </c>
      <c r="D38" s="51" t="s">
        <v>3251</v>
      </c>
      <c r="E38" s="51" t="s">
        <v>3253</v>
      </c>
      <c r="F38" s="51" t="s">
        <v>3262</v>
      </c>
      <c r="G38" s="51" t="s">
        <v>3263</v>
      </c>
      <c r="H38" s="57" t="s">
        <v>3264</v>
      </c>
      <c r="I38" s="55" t="s">
        <v>3192</v>
      </c>
    </row>
    <row r="39" spans="2:9" ht="30" customHeight="1" x14ac:dyDescent="0.35">
      <c r="B39" s="56" t="s">
        <v>21</v>
      </c>
      <c r="C39" s="56" t="s">
        <v>22</v>
      </c>
      <c r="D39" s="56" t="s">
        <v>3209</v>
      </c>
      <c r="E39" s="56" t="s">
        <v>3210</v>
      </c>
      <c r="F39" s="56" t="s">
        <v>3209</v>
      </c>
      <c r="G39" s="56" t="s">
        <v>3211</v>
      </c>
      <c r="H39" s="57" t="s">
        <v>3212</v>
      </c>
      <c r="I39" s="55" t="s">
        <v>3192</v>
      </c>
    </row>
    <row r="40" spans="2:9" ht="30" customHeight="1" x14ac:dyDescent="0.35">
      <c r="B40" s="56" t="s">
        <v>21</v>
      </c>
      <c r="C40" s="56" t="s">
        <v>22</v>
      </c>
      <c r="D40" s="56" t="s">
        <v>3209</v>
      </c>
      <c r="E40" s="56" t="s">
        <v>3210</v>
      </c>
      <c r="F40" s="56" t="s">
        <v>3197</v>
      </c>
      <c r="G40" s="56" t="s">
        <v>3213</v>
      </c>
      <c r="H40" s="57" t="s">
        <v>3214</v>
      </c>
      <c r="I40" s="51" t="s">
        <v>3192</v>
      </c>
    </row>
    <row r="41" spans="2:9" ht="30" customHeight="1" x14ac:dyDescent="0.35">
      <c r="B41" s="385" t="s">
        <v>21</v>
      </c>
      <c r="C41" s="385" t="s">
        <v>22</v>
      </c>
      <c r="D41" s="385" t="s">
        <v>3209</v>
      </c>
      <c r="E41" s="56" t="s">
        <v>3241</v>
      </c>
      <c r="F41" s="385" t="s">
        <v>340</v>
      </c>
      <c r="G41" s="385" t="s">
        <v>26</v>
      </c>
      <c r="H41" s="386" t="s">
        <v>3265</v>
      </c>
      <c r="I41" s="387" t="s">
        <v>3200</v>
      </c>
    </row>
    <row r="42" spans="2:9" ht="30" customHeight="1" x14ac:dyDescent="0.35">
      <c r="B42" s="385" t="s">
        <v>21</v>
      </c>
      <c r="C42" s="385" t="s">
        <v>22</v>
      </c>
      <c r="D42" s="385" t="s">
        <v>3219</v>
      </c>
      <c r="E42" s="385" t="s">
        <v>3220</v>
      </c>
      <c r="F42" s="385" t="s">
        <v>340</v>
      </c>
      <c r="G42" s="385" t="s">
        <v>26</v>
      </c>
      <c r="H42" s="386" t="s">
        <v>3266</v>
      </c>
      <c r="I42" s="387" t="s">
        <v>3200</v>
      </c>
    </row>
    <row r="43" spans="2:9" ht="30" customHeight="1" x14ac:dyDescent="0.35">
      <c r="B43" s="385" t="s">
        <v>21</v>
      </c>
      <c r="C43" s="385" t="s">
        <v>22</v>
      </c>
      <c r="D43" s="385" t="s">
        <v>3251</v>
      </c>
      <c r="E43" s="385" t="s">
        <v>3253</v>
      </c>
      <c r="F43" s="385" t="s">
        <v>340</v>
      </c>
      <c r="G43" s="385" t="s">
        <v>26</v>
      </c>
      <c r="H43" s="386" t="s">
        <v>3267</v>
      </c>
      <c r="I43" s="387" t="s">
        <v>3200</v>
      </c>
    </row>
    <row r="44" spans="2:9" ht="30" customHeight="1" x14ac:dyDescent="0.35">
      <c r="B44" s="385" t="s">
        <v>21</v>
      </c>
      <c r="C44" s="385" t="s">
        <v>22</v>
      </c>
      <c r="D44" s="385" t="s">
        <v>3251</v>
      </c>
      <c r="E44" s="385" t="s">
        <v>3252</v>
      </c>
      <c r="F44" s="387" t="s">
        <v>340</v>
      </c>
      <c r="G44" s="387" t="s">
        <v>26</v>
      </c>
      <c r="H44" s="388" t="s">
        <v>3268</v>
      </c>
      <c r="I44" s="387" t="s">
        <v>3200</v>
      </c>
    </row>
    <row r="45" spans="2:9" ht="30" customHeight="1" x14ac:dyDescent="0.35">
      <c r="B45" s="51" t="s">
        <v>21</v>
      </c>
      <c r="C45" s="51" t="s">
        <v>24</v>
      </c>
      <c r="D45" s="51" t="s">
        <v>3251</v>
      </c>
      <c r="E45" s="51" t="s">
        <v>3253</v>
      </c>
      <c r="F45" s="51" t="s">
        <v>3219</v>
      </c>
      <c r="G45" s="51" t="s">
        <v>3257</v>
      </c>
      <c r="H45" s="55" t="s">
        <v>3261</v>
      </c>
      <c r="I45" s="55" t="s">
        <v>3192</v>
      </c>
    </row>
    <row r="46" spans="2:9" ht="30" customHeight="1" x14ac:dyDescent="0.35">
      <c r="B46" s="387" t="s">
        <v>340</v>
      </c>
      <c r="C46" s="387" t="s">
        <v>26</v>
      </c>
      <c r="D46" s="387" t="s">
        <v>3219</v>
      </c>
      <c r="E46" s="387" t="s">
        <v>3220</v>
      </c>
      <c r="F46" s="387" t="s">
        <v>340</v>
      </c>
      <c r="G46" s="387" t="s">
        <v>3269</v>
      </c>
      <c r="H46" s="388" t="s">
        <v>3270</v>
      </c>
      <c r="I46" s="387" t="s">
        <v>3200</v>
      </c>
    </row>
    <row r="47" spans="2:9" ht="30" customHeight="1" x14ac:dyDescent="0.35">
      <c r="B47" s="387" t="s">
        <v>340</v>
      </c>
      <c r="C47" s="387" t="s">
        <v>26</v>
      </c>
      <c r="D47" s="387" t="s">
        <v>3209</v>
      </c>
      <c r="E47" s="51" t="s">
        <v>3241</v>
      </c>
      <c r="F47" s="387" t="s">
        <v>340</v>
      </c>
      <c r="G47" s="387" t="s">
        <v>3269</v>
      </c>
      <c r="H47" s="388" t="s">
        <v>3271</v>
      </c>
      <c r="I47" s="387" t="s">
        <v>3200</v>
      </c>
    </row>
    <row r="48" spans="2:9" ht="30" customHeight="1" x14ac:dyDescent="0.35">
      <c r="B48" s="51" t="s">
        <v>28</v>
      </c>
      <c r="C48" s="51" t="s">
        <v>3272</v>
      </c>
      <c r="D48" s="56" t="s">
        <v>3273</v>
      </c>
      <c r="E48" s="56" t="s">
        <v>3274</v>
      </c>
      <c r="F48" s="56" t="s">
        <v>372</v>
      </c>
      <c r="G48" s="56" t="s">
        <v>372</v>
      </c>
      <c r="H48" s="56" t="s">
        <v>372</v>
      </c>
      <c r="I48" s="56" t="s">
        <v>372</v>
      </c>
    </row>
    <row r="49" spans="2:9" ht="30" customHeight="1" x14ac:dyDescent="0.35">
      <c r="B49" s="51" t="s">
        <v>33</v>
      </c>
      <c r="C49" s="51" t="s">
        <v>34</v>
      </c>
      <c r="D49" s="51" t="s">
        <v>3275</v>
      </c>
      <c r="E49" s="51" t="s">
        <v>3276</v>
      </c>
      <c r="F49" s="51" t="s">
        <v>3275</v>
      </c>
      <c r="G49" s="51" t="s">
        <v>3277</v>
      </c>
      <c r="H49" s="55" t="s">
        <v>3278</v>
      </c>
      <c r="I49" s="55" t="s">
        <v>3200</v>
      </c>
    </row>
    <row r="50" spans="2:9" ht="30" customHeight="1" x14ac:dyDescent="0.35">
      <c r="B50" s="51" t="s">
        <v>33</v>
      </c>
      <c r="C50" s="51" t="s">
        <v>34</v>
      </c>
      <c r="D50" s="51" t="s">
        <v>3275</v>
      </c>
      <c r="E50" s="51" t="s">
        <v>3276</v>
      </c>
      <c r="F50" s="51" t="s">
        <v>3275</v>
      </c>
      <c r="G50" s="51" t="s">
        <v>3279</v>
      </c>
      <c r="H50" s="55" t="s">
        <v>3280</v>
      </c>
      <c r="I50" s="55" t="s">
        <v>3192</v>
      </c>
    </row>
    <row r="51" spans="2:9" ht="30" customHeight="1" x14ac:dyDescent="0.35">
      <c r="B51" s="51" t="s">
        <v>33</v>
      </c>
      <c r="C51" s="51" t="s">
        <v>34</v>
      </c>
      <c r="D51" s="51" t="s">
        <v>3275</v>
      </c>
      <c r="E51" s="51" t="s">
        <v>3279</v>
      </c>
      <c r="F51" s="387" t="s">
        <v>3197</v>
      </c>
      <c r="G51" s="51" t="s">
        <v>3213</v>
      </c>
      <c r="H51" s="55" t="s">
        <v>3281</v>
      </c>
      <c r="I51" s="55" t="s">
        <v>3200</v>
      </c>
    </row>
    <row r="52" spans="2:9" ht="30" customHeight="1" x14ac:dyDescent="0.35">
      <c r="B52" s="51" t="s">
        <v>33</v>
      </c>
      <c r="C52" s="51" t="s">
        <v>34</v>
      </c>
      <c r="D52" s="51" t="s">
        <v>3275</v>
      </c>
      <c r="E52" s="51" t="s">
        <v>3279</v>
      </c>
      <c r="F52" s="51" t="s">
        <v>3282</v>
      </c>
      <c r="G52" s="51" t="s">
        <v>3283</v>
      </c>
      <c r="H52" s="388" t="s">
        <v>3284</v>
      </c>
      <c r="I52" s="51" t="s">
        <v>3192</v>
      </c>
    </row>
    <row r="53" spans="2:9" ht="30" customHeight="1" x14ac:dyDescent="0.35">
      <c r="B53" s="51" t="s">
        <v>33</v>
      </c>
      <c r="C53" s="51" t="s">
        <v>36</v>
      </c>
      <c r="D53" s="56" t="s">
        <v>3275</v>
      </c>
      <c r="E53" s="56" t="s">
        <v>3279</v>
      </c>
      <c r="F53" s="56" t="s">
        <v>3197</v>
      </c>
      <c r="G53" s="56" t="s">
        <v>3213</v>
      </c>
      <c r="H53" s="57" t="s">
        <v>3281</v>
      </c>
      <c r="I53" s="56" t="s">
        <v>3200</v>
      </c>
    </row>
    <row r="54" spans="2:9" ht="30" customHeight="1" x14ac:dyDescent="0.35">
      <c r="B54" s="56" t="s">
        <v>33</v>
      </c>
      <c r="C54" s="56" t="s">
        <v>36</v>
      </c>
      <c r="D54" s="56" t="s">
        <v>3275</v>
      </c>
      <c r="E54" s="56" t="s">
        <v>3279</v>
      </c>
      <c r="F54" s="56" t="s">
        <v>3275</v>
      </c>
      <c r="G54" s="56" t="s">
        <v>3285</v>
      </c>
      <c r="H54" s="57" t="s">
        <v>3286</v>
      </c>
      <c r="I54" s="56" t="s">
        <v>3192</v>
      </c>
    </row>
    <row r="55" spans="2:9" ht="30" customHeight="1" x14ac:dyDescent="0.35">
      <c r="B55" s="56" t="s">
        <v>33</v>
      </c>
      <c r="C55" s="56" t="s">
        <v>36</v>
      </c>
      <c r="D55" s="56" t="s">
        <v>3275</v>
      </c>
      <c r="E55" s="56" t="s">
        <v>3279</v>
      </c>
      <c r="F55" s="385" t="s">
        <v>3275</v>
      </c>
      <c r="G55" s="56" t="s">
        <v>3287</v>
      </c>
      <c r="H55" s="57" t="s">
        <v>3288</v>
      </c>
      <c r="I55" s="51" t="s">
        <v>3192</v>
      </c>
    </row>
    <row r="56" spans="2:9" ht="30" customHeight="1" x14ac:dyDescent="0.35">
      <c r="B56" s="56" t="s">
        <v>33</v>
      </c>
      <c r="C56" s="56" t="s">
        <v>38</v>
      </c>
      <c r="D56" s="56" t="s">
        <v>3275</v>
      </c>
      <c r="E56" s="56" t="s">
        <v>3279</v>
      </c>
      <c r="F56" s="56" t="s">
        <v>3262</v>
      </c>
      <c r="G56" s="56" t="s">
        <v>3263</v>
      </c>
      <c r="H56" s="57" t="s">
        <v>3289</v>
      </c>
      <c r="I56" s="51" t="s">
        <v>3192</v>
      </c>
    </row>
    <row r="57" spans="2:9" ht="30" customHeight="1" x14ac:dyDescent="0.35">
      <c r="B57" s="56" t="s">
        <v>33</v>
      </c>
      <c r="C57" s="51" t="s">
        <v>38</v>
      </c>
      <c r="D57" s="56" t="s">
        <v>3275</v>
      </c>
      <c r="E57" s="56" t="s">
        <v>3279</v>
      </c>
      <c r="F57" s="56" t="s">
        <v>3275</v>
      </c>
      <c r="G57" s="56" t="s">
        <v>3290</v>
      </c>
      <c r="H57" s="57" t="s">
        <v>3291</v>
      </c>
      <c r="I57" s="56" t="s">
        <v>3192</v>
      </c>
    </row>
    <row r="58" spans="2:9" ht="30" customHeight="1" x14ac:dyDescent="0.35">
      <c r="B58" s="56" t="s">
        <v>33</v>
      </c>
      <c r="C58" s="56" t="s">
        <v>38</v>
      </c>
      <c r="D58" s="56" t="s">
        <v>3275</v>
      </c>
      <c r="E58" s="56" t="s">
        <v>3279</v>
      </c>
      <c r="F58" s="56" t="s">
        <v>3275</v>
      </c>
      <c r="G58" s="56" t="s">
        <v>3292</v>
      </c>
      <c r="H58" s="57" t="s">
        <v>3293</v>
      </c>
      <c r="I58" s="51" t="s">
        <v>3192</v>
      </c>
    </row>
    <row r="59" spans="2:9" ht="30" customHeight="1" x14ac:dyDescent="0.35">
      <c r="B59" s="56" t="s">
        <v>33</v>
      </c>
      <c r="C59" s="56" t="s">
        <v>38</v>
      </c>
      <c r="D59" s="56" t="s">
        <v>3275</v>
      </c>
      <c r="E59" s="56" t="s">
        <v>3279</v>
      </c>
      <c r="F59" s="56" t="s">
        <v>3275</v>
      </c>
      <c r="G59" s="56" t="s">
        <v>3294</v>
      </c>
      <c r="H59" s="57" t="s">
        <v>3295</v>
      </c>
      <c r="I59" s="56" t="s">
        <v>3192</v>
      </c>
    </row>
    <row r="60" spans="2:9" ht="30" customHeight="1" x14ac:dyDescent="0.35">
      <c r="B60" s="56" t="s">
        <v>33</v>
      </c>
      <c r="C60" s="56" t="s">
        <v>38</v>
      </c>
      <c r="D60" s="56" t="s">
        <v>3275</v>
      </c>
      <c r="E60" s="56" t="s">
        <v>3279</v>
      </c>
      <c r="F60" s="56" t="s">
        <v>3275</v>
      </c>
      <c r="G60" s="56" t="s">
        <v>3287</v>
      </c>
      <c r="H60" s="57" t="s">
        <v>3296</v>
      </c>
      <c r="I60" s="56" t="s">
        <v>3192</v>
      </c>
    </row>
    <row r="61" spans="2:9" ht="30" customHeight="1" x14ac:dyDescent="0.35">
      <c r="B61" s="56" t="s">
        <v>33</v>
      </c>
      <c r="C61" s="56" t="s">
        <v>38</v>
      </c>
      <c r="D61" s="56" t="s">
        <v>3275</v>
      </c>
      <c r="E61" s="56" t="s">
        <v>3279</v>
      </c>
      <c r="F61" s="56" t="s">
        <v>3275</v>
      </c>
      <c r="G61" s="56" t="s">
        <v>3297</v>
      </c>
      <c r="H61" s="57" t="s">
        <v>3298</v>
      </c>
      <c r="I61" s="56" t="s">
        <v>3192</v>
      </c>
    </row>
    <row r="62" spans="2:9" ht="30" customHeight="1" x14ac:dyDescent="0.35">
      <c r="B62" s="56" t="s">
        <v>33</v>
      </c>
      <c r="C62" s="56" t="s">
        <v>38</v>
      </c>
      <c r="D62" s="56" t="s">
        <v>3275</v>
      </c>
      <c r="E62" s="56" t="s">
        <v>3279</v>
      </c>
      <c r="F62" s="56" t="s">
        <v>3275</v>
      </c>
      <c r="G62" s="56" t="s">
        <v>3285</v>
      </c>
      <c r="H62" s="55" t="s">
        <v>3299</v>
      </c>
      <c r="I62" s="56" t="s">
        <v>3192</v>
      </c>
    </row>
    <row r="63" spans="2:9" ht="30" customHeight="1" x14ac:dyDescent="0.35">
      <c r="B63" s="51" t="s">
        <v>33</v>
      </c>
      <c r="C63" s="51" t="s">
        <v>38</v>
      </c>
      <c r="D63" s="56" t="s">
        <v>3275</v>
      </c>
      <c r="E63" s="56" t="s">
        <v>3279</v>
      </c>
      <c r="F63" s="56" t="s">
        <v>3197</v>
      </c>
      <c r="G63" s="56" t="s">
        <v>3213</v>
      </c>
      <c r="H63" s="57" t="s">
        <v>3300</v>
      </c>
      <c r="I63" s="385" t="s">
        <v>3200</v>
      </c>
    </row>
    <row r="64" spans="2:9" ht="30" customHeight="1" x14ac:dyDescent="0.35">
      <c r="B64" s="51" t="s">
        <v>33</v>
      </c>
      <c r="C64" s="51" t="s">
        <v>38</v>
      </c>
      <c r="D64" s="51" t="s">
        <v>3275</v>
      </c>
      <c r="E64" s="51" t="s">
        <v>3279</v>
      </c>
      <c r="F64" s="51" t="s">
        <v>3209</v>
      </c>
      <c r="G64" s="51" t="s">
        <v>3241</v>
      </c>
      <c r="H64" s="55" t="s">
        <v>3301</v>
      </c>
      <c r="I64" s="51" t="s">
        <v>3192</v>
      </c>
    </row>
    <row r="65" spans="2:9" ht="30" customHeight="1" x14ac:dyDescent="0.35">
      <c r="B65" s="51" t="s">
        <v>33</v>
      </c>
      <c r="C65" s="51" t="s">
        <v>38</v>
      </c>
      <c r="D65" s="51" t="s">
        <v>3275</v>
      </c>
      <c r="E65" s="51" t="s">
        <v>3292</v>
      </c>
      <c r="F65" s="51" t="s">
        <v>3275</v>
      </c>
      <c r="G65" s="387" t="s">
        <v>3302</v>
      </c>
      <c r="H65" s="388" t="s">
        <v>3303</v>
      </c>
      <c r="I65" s="56" t="s">
        <v>3192</v>
      </c>
    </row>
    <row r="66" spans="2:9" ht="30" customHeight="1" x14ac:dyDescent="0.35">
      <c r="B66" s="51" t="s">
        <v>33</v>
      </c>
      <c r="C66" s="51" t="s">
        <v>38</v>
      </c>
      <c r="D66" s="51" t="s">
        <v>3275</v>
      </c>
      <c r="E66" s="51" t="s">
        <v>3304</v>
      </c>
      <c r="F66" s="51" t="s">
        <v>3275</v>
      </c>
      <c r="G66" s="51" t="s">
        <v>3279</v>
      </c>
      <c r="H66" s="55" t="s">
        <v>3305</v>
      </c>
      <c r="I66" s="56" t="s">
        <v>3200</v>
      </c>
    </row>
    <row r="67" spans="2:9" ht="30" customHeight="1" x14ac:dyDescent="0.35">
      <c r="B67" s="51" t="s">
        <v>33</v>
      </c>
      <c r="C67" s="51" t="s">
        <v>38</v>
      </c>
      <c r="D67" s="56" t="s">
        <v>3275</v>
      </c>
      <c r="E67" s="56" t="s">
        <v>3304</v>
      </c>
      <c r="F67" s="56" t="s">
        <v>3275</v>
      </c>
      <c r="G67" s="56" t="s">
        <v>3306</v>
      </c>
      <c r="H67" s="57" t="s">
        <v>3307</v>
      </c>
      <c r="I67" s="56" t="s">
        <v>3192</v>
      </c>
    </row>
    <row r="68" spans="2:9" ht="30" customHeight="1" x14ac:dyDescent="0.35">
      <c r="B68" s="51" t="s">
        <v>33</v>
      </c>
      <c r="C68" s="51" t="s">
        <v>38</v>
      </c>
      <c r="D68" s="385" t="s">
        <v>3308</v>
      </c>
      <c r="E68" s="385" t="s">
        <v>3309</v>
      </c>
      <c r="F68" s="56" t="s">
        <v>3275</v>
      </c>
      <c r="G68" s="56" t="s">
        <v>3279</v>
      </c>
      <c r="H68" s="386" t="s">
        <v>3310</v>
      </c>
      <c r="I68" s="385" t="s">
        <v>3192</v>
      </c>
    </row>
    <row r="69" spans="2:9" ht="30" customHeight="1" x14ac:dyDescent="0.35">
      <c r="B69" s="56" t="s">
        <v>33</v>
      </c>
      <c r="C69" s="56" t="s">
        <v>38</v>
      </c>
      <c r="D69" s="385" t="s">
        <v>3308</v>
      </c>
      <c r="E69" s="385" t="s">
        <v>3311</v>
      </c>
      <c r="F69" s="385" t="s">
        <v>3308</v>
      </c>
      <c r="G69" s="385" t="s">
        <v>3309</v>
      </c>
      <c r="H69" s="386" t="s">
        <v>3312</v>
      </c>
      <c r="I69" s="387" t="s">
        <v>3192</v>
      </c>
    </row>
    <row r="70" spans="2:9" ht="30" customHeight="1" x14ac:dyDescent="0.35">
      <c r="B70" s="56" t="s">
        <v>33</v>
      </c>
      <c r="C70" s="56" t="s">
        <v>38</v>
      </c>
      <c r="D70" s="385" t="s">
        <v>3308</v>
      </c>
      <c r="E70" s="385" t="s">
        <v>3313</v>
      </c>
      <c r="F70" s="56" t="s">
        <v>3275</v>
      </c>
      <c r="G70" s="56" t="s">
        <v>3279</v>
      </c>
      <c r="H70" s="386" t="s">
        <v>3314</v>
      </c>
      <c r="I70" s="387" t="s">
        <v>3192</v>
      </c>
    </row>
    <row r="71" spans="2:9" ht="30" customHeight="1" x14ac:dyDescent="0.35">
      <c r="B71" s="56" t="s">
        <v>33</v>
      </c>
      <c r="C71" s="56" t="s">
        <v>38</v>
      </c>
      <c r="D71" s="385" t="s">
        <v>3308</v>
      </c>
      <c r="E71" s="385" t="s">
        <v>3313</v>
      </c>
      <c r="F71" s="385" t="s">
        <v>3308</v>
      </c>
      <c r="G71" s="385" t="s">
        <v>3311</v>
      </c>
      <c r="H71" s="386" t="s">
        <v>3315</v>
      </c>
      <c r="I71" s="387" t="s">
        <v>3192</v>
      </c>
    </row>
    <row r="72" spans="2:9" ht="30" customHeight="1" x14ac:dyDescent="0.35">
      <c r="B72" s="56" t="s">
        <v>33</v>
      </c>
      <c r="C72" s="56" t="s">
        <v>38</v>
      </c>
      <c r="D72" s="56" t="s">
        <v>3209</v>
      </c>
      <c r="E72" s="56" t="s">
        <v>3241</v>
      </c>
      <c r="F72" s="56" t="s">
        <v>3197</v>
      </c>
      <c r="G72" s="56" t="s">
        <v>3213</v>
      </c>
      <c r="H72" s="57" t="s">
        <v>3316</v>
      </c>
      <c r="I72" s="51" t="s">
        <v>3192</v>
      </c>
    </row>
    <row r="73" spans="2:9" ht="30" customHeight="1" x14ac:dyDescent="0.35">
      <c r="B73" s="56" t="s">
        <v>33</v>
      </c>
      <c r="C73" s="56" t="s">
        <v>38</v>
      </c>
      <c r="D73" s="56" t="s">
        <v>3209</v>
      </c>
      <c r="E73" s="56" t="s">
        <v>3241</v>
      </c>
      <c r="F73" s="56" t="s">
        <v>3209</v>
      </c>
      <c r="G73" s="56" t="s">
        <v>3211</v>
      </c>
      <c r="H73" s="57" t="s">
        <v>3317</v>
      </c>
      <c r="I73" s="51" t="s">
        <v>3192</v>
      </c>
    </row>
    <row r="74" spans="2:9" ht="30" customHeight="1" x14ac:dyDescent="0.35">
      <c r="B74" s="56" t="s">
        <v>40</v>
      </c>
      <c r="C74" s="56" t="s">
        <v>41</v>
      </c>
      <c r="D74" s="56" t="s">
        <v>3219</v>
      </c>
      <c r="E74" s="56" t="s">
        <v>3220</v>
      </c>
      <c r="F74" s="56" t="s">
        <v>3318</v>
      </c>
      <c r="G74" s="56" t="s">
        <v>3319</v>
      </c>
      <c r="H74" s="57" t="s">
        <v>3320</v>
      </c>
      <c r="I74" s="55" t="s">
        <v>3192</v>
      </c>
    </row>
    <row r="75" spans="2:9" ht="30" customHeight="1" x14ac:dyDescent="0.35">
      <c r="B75" s="56" t="s">
        <v>40</v>
      </c>
      <c r="C75" s="56" t="s">
        <v>41</v>
      </c>
      <c r="D75" s="56" t="s">
        <v>3219</v>
      </c>
      <c r="E75" s="56" t="s">
        <v>3220</v>
      </c>
      <c r="F75" s="56" t="s">
        <v>3209</v>
      </c>
      <c r="G75" s="56" t="s">
        <v>3210</v>
      </c>
      <c r="H75" s="57" t="s">
        <v>3321</v>
      </c>
      <c r="I75" s="55" t="s">
        <v>3192</v>
      </c>
    </row>
    <row r="76" spans="2:9" ht="30" customHeight="1" x14ac:dyDescent="0.35">
      <c r="B76" s="56" t="s">
        <v>40</v>
      </c>
      <c r="C76" s="56" t="s">
        <v>41</v>
      </c>
      <c r="D76" s="56" t="s">
        <v>3209</v>
      </c>
      <c r="E76" s="56" t="s">
        <v>3210</v>
      </c>
      <c r="F76" s="56" t="s">
        <v>3209</v>
      </c>
      <c r="G76" s="56" t="s">
        <v>3211</v>
      </c>
      <c r="H76" s="57" t="s">
        <v>3212</v>
      </c>
      <c r="I76" s="55" t="s">
        <v>3192</v>
      </c>
    </row>
    <row r="77" spans="2:9" ht="30" customHeight="1" x14ac:dyDescent="0.35">
      <c r="B77" s="56" t="s">
        <v>43</v>
      </c>
      <c r="C77" s="56" t="s">
        <v>44</v>
      </c>
      <c r="D77" s="56" t="s">
        <v>3275</v>
      </c>
      <c r="E77" s="56" t="s">
        <v>3276</v>
      </c>
      <c r="F77" s="56" t="s">
        <v>3275</v>
      </c>
      <c r="G77" s="56" t="s">
        <v>3279</v>
      </c>
      <c r="H77" s="57" t="s">
        <v>3280</v>
      </c>
      <c r="I77" s="51" t="s">
        <v>3200</v>
      </c>
    </row>
    <row r="78" spans="2:9" ht="30" customHeight="1" x14ac:dyDescent="0.35">
      <c r="B78" s="56" t="s">
        <v>43</v>
      </c>
      <c r="C78" s="56" t="s">
        <v>44</v>
      </c>
      <c r="D78" s="56" t="s">
        <v>3275</v>
      </c>
      <c r="E78" s="56" t="s">
        <v>3276</v>
      </c>
      <c r="F78" s="56" t="s">
        <v>3275</v>
      </c>
      <c r="G78" s="56" t="s">
        <v>3277</v>
      </c>
      <c r="H78" s="57" t="s">
        <v>3322</v>
      </c>
      <c r="I78" s="51" t="s">
        <v>3192</v>
      </c>
    </row>
    <row r="79" spans="2:9" ht="30" customHeight="1" x14ac:dyDescent="0.35">
      <c r="B79" s="56" t="s">
        <v>43</v>
      </c>
      <c r="C79" s="56" t="s">
        <v>44</v>
      </c>
      <c r="D79" s="56" t="s">
        <v>3275</v>
      </c>
      <c r="E79" s="56" t="s">
        <v>3279</v>
      </c>
      <c r="F79" s="56" t="s">
        <v>3282</v>
      </c>
      <c r="G79" s="51" t="s">
        <v>3283</v>
      </c>
      <c r="H79" s="388" t="s">
        <v>3284</v>
      </c>
      <c r="I79" s="51" t="s">
        <v>3192</v>
      </c>
    </row>
    <row r="80" spans="2:9" ht="30" customHeight="1" x14ac:dyDescent="0.35">
      <c r="B80" s="56" t="s">
        <v>43</v>
      </c>
      <c r="C80" s="56" t="s">
        <v>44</v>
      </c>
      <c r="D80" s="56" t="s">
        <v>3275</v>
      </c>
      <c r="E80" s="56" t="s">
        <v>3279</v>
      </c>
      <c r="F80" s="56" t="s">
        <v>3197</v>
      </c>
      <c r="G80" s="56" t="s">
        <v>3213</v>
      </c>
      <c r="H80" s="57" t="s">
        <v>3281</v>
      </c>
      <c r="I80" s="51" t="s">
        <v>3200</v>
      </c>
    </row>
    <row r="81" spans="2:9" ht="30" customHeight="1" x14ac:dyDescent="0.35">
      <c r="B81" s="56" t="s">
        <v>43</v>
      </c>
      <c r="C81" s="56" t="s">
        <v>46</v>
      </c>
      <c r="D81" s="56" t="s">
        <v>3275</v>
      </c>
      <c r="E81" s="56" t="s">
        <v>3279</v>
      </c>
      <c r="F81" s="56" t="s">
        <v>3197</v>
      </c>
      <c r="G81" s="56" t="s">
        <v>3213</v>
      </c>
      <c r="H81" s="57" t="s">
        <v>3281</v>
      </c>
      <c r="I81" s="51" t="s">
        <v>3200</v>
      </c>
    </row>
    <row r="82" spans="2:9" ht="30" customHeight="1" x14ac:dyDescent="0.35">
      <c r="B82" s="56" t="s">
        <v>43</v>
      </c>
      <c r="C82" s="56" t="s">
        <v>46</v>
      </c>
      <c r="D82" s="51" t="s">
        <v>3275</v>
      </c>
      <c r="E82" s="51" t="s">
        <v>3279</v>
      </c>
      <c r="F82" s="51" t="s">
        <v>3275</v>
      </c>
      <c r="G82" s="51" t="s">
        <v>3285</v>
      </c>
      <c r="H82" s="55" t="s">
        <v>3286</v>
      </c>
      <c r="I82" s="51" t="s">
        <v>3192</v>
      </c>
    </row>
    <row r="83" spans="2:9" ht="30" customHeight="1" x14ac:dyDescent="0.35">
      <c r="B83" s="56" t="s">
        <v>43</v>
      </c>
      <c r="C83" s="56" t="s">
        <v>46</v>
      </c>
      <c r="D83" s="51" t="s">
        <v>3275</v>
      </c>
      <c r="E83" s="51" t="s">
        <v>3279</v>
      </c>
      <c r="F83" s="56" t="s">
        <v>3275</v>
      </c>
      <c r="G83" s="56" t="s">
        <v>3287</v>
      </c>
      <c r="H83" s="55" t="s">
        <v>3288</v>
      </c>
      <c r="I83" s="51" t="s">
        <v>3192</v>
      </c>
    </row>
    <row r="84" spans="2:9" ht="30" customHeight="1" x14ac:dyDescent="0.35">
      <c r="B84" s="56" t="s">
        <v>43</v>
      </c>
      <c r="C84" s="56" t="s">
        <v>46</v>
      </c>
      <c r="D84" s="51" t="s">
        <v>3275</v>
      </c>
      <c r="E84" s="51" t="s">
        <v>3279</v>
      </c>
      <c r="F84" s="51" t="s">
        <v>3275</v>
      </c>
      <c r="G84" s="51" t="s">
        <v>3323</v>
      </c>
      <c r="H84" s="55" t="s">
        <v>3324</v>
      </c>
      <c r="I84" s="51" t="s">
        <v>3192</v>
      </c>
    </row>
    <row r="85" spans="2:9" ht="30" customHeight="1" x14ac:dyDescent="0.35">
      <c r="B85" s="56" t="s">
        <v>43</v>
      </c>
      <c r="C85" s="56" t="s">
        <v>46</v>
      </c>
      <c r="D85" s="51" t="s">
        <v>3275</v>
      </c>
      <c r="E85" s="51" t="s">
        <v>3323</v>
      </c>
      <c r="F85" s="56" t="s">
        <v>3325</v>
      </c>
      <c r="G85" s="56" t="s">
        <v>3326</v>
      </c>
      <c r="H85" s="55" t="s">
        <v>3327</v>
      </c>
      <c r="I85" s="51" t="s">
        <v>3192</v>
      </c>
    </row>
    <row r="86" spans="2:9" ht="30" customHeight="1" x14ac:dyDescent="0.35">
      <c r="B86" s="56" t="s">
        <v>43</v>
      </c>
      <c r="C86" s="56" t="s">
        <v>46</v>
      </c>
      <c r="D86" s="56" t="s">
        <v>3325</v>
      </c>
      <c r="E86" s="56" t="s">
        <v>3326</v>
      </c>
      <c r="F86" s="56" t="s">
        <v>3197</v>
      </c>
      <c r="G86" s="56" t="s">
        <v>3213</v>
      </c>
      <c r="H86" s="57" t="s">
        <v>3328</v>
      </c>
      <c r="I86" s="51" t="s">
        <v>3192</v>
      </c>
    </row>
    <row r="87" spans="2:9" ht="30" customHeight="1" x14ac:dyDescent="0.35">
      <c r="B87" s="56" t="s">
        <v>48</v>
      </c>
      <c r="C87" s="51" t="s">
        <v>51</v>
      </c>
      <c r="D87" s="56" t="s">
        <v>3329</v>
      </c>
      <c r="E87" s="56" t="s">
        <v>3330</v>
      </c>
      <c r="F87" s="56" t="s">
        <v>3329</v>
      </c>
      <c r="G87" s="56" t="s">
        <v>3331</v>
      </c>
      <c r="H87" s="57" t="s">
        <v>3332</v>
      </c>
      <c r="I87" s="55" t="s">
        <v>3192</v>
      </c>
    </row>
    <row r="88" spans="2:9" ht="30" customHeight="1" x14ac:dyDescent="0.35">
      <c r="B88" s="56" t="s">
        <v>48</v>
      </c>
      <c r="C88" s="56" t="s">
        <v>51</v>
      </c>
      <c r="D88" s="56" t="s">
        <v>3329</v>
      </c>
      <c r="E88" s="56" t="s">
        <v>3330</v>
      </c>
      <c r="F88" s="56" t="s">
        <v>3329</v>
      </c>
      <c r="G88" s="56" t="s">
        <v>3333</v>
      </c>
      <c r="H88" s="57" t="s">
        <v>3334</v>
      </c>
      <c r="I88" s="55" t="s">
        <v>3192</v>
      </c>
    </row>
    <row r="89" spans="2:9" ht="30" customHeight="1" x14ac:dyDescent="0.35">
      <c r="B89" s="56" t="s">
        <v>48</v>
      </c>
      <c r="C89" s="56" t="s">
        <v>49</v>
      </c>
      <c r="D89" s="387" t="s">
        <v>3329</v>
      </c>
      <c r="E89" s="387" t="s">
        <v>3335</v>
      </c>
      <c r="F89" s="387" t="s">
        <v>3329</v>
      </c>
      <c r="G89" s="387" t="s">
        <v>3336</v>
      </c>
      <c r="H89" s="388" t="s">
        <v>3337</v>
      </c>
      <c r="I89" s="387" t="s">
        <v>3192</v>
      </c>
    </row>
    <row r="90" spans="2:9" ht="30" customHeight="1" x14ac:dyDescent="0.35">
      <c r="B90" s="56" t="s">
        <v>48</v>
      </c>
      <c r="C90" s="56" t="s">
        <v>49</v>
      </c>
      <c r="D90" s="51" t="s">
        <v>3329</v>
      </c>
      <c r="E90" s="387" t="s">
        <v>3333</v>
      </c>
      <c r="F90" s="51" t="s">
        <v>3329</v>
      </c>
      <c r="G90" s="387" t="s">
        <v>3338</v>
      </c>
      <c r="H90" s="388" t="s">
        <v>3339</v>
      </c>
      <c r="I90" s="387" t="s">
        <v>3192</v>
      </c>
    </row>
    <row r="91" spans="2:9" ht="30" customHeight="1" x14ac:dyDescent="0.35">
      <c r="B91" s="56" t="s">
        <v>48</v>
      </c>
      <c r="C91" s="56" t="s">
        <v>49</v>
      </c>
      <c r="D91" s="387" t="s">
        <v>3329</v>
      </c>
      <c r="E91" s="387" t="s">
        <v>3333</v>
      </c>
      <c r="F91" s="387" t="s">
        <v>3329</v>
      </c>
      <c r="G91" s="387" t="s">
        <v>3335</v>
      </c>
      <c r="H91" s="388" t="s">
        <v>3340</v>
      </c>
      <c r="I91" s="387" t="s">
        <v>3192</v>
      </c>
    </row>
    <row r="92" spans="2:9" ht="30" customHeight="1" x14ac:dyDescent="0.35">
      <c r="B92" s="56" t="s">
        <v>48</v>
      </c>
      <c r="C92" s="56" t="s">
        <v>49</v>
      </c>
      <c r="D92" s="387" t="s">
        <v>3329</v>
      </c>
      <c r="E92" s="387" t="s">
        <v>3338</v>
      </c>
      <c r="F92" s="387" t="s">
        <v>3329</v>
      </c>
      <c r="G92" s="387" t="s">
        <v>3331</v>
      </c>
      <c r="H92" s="388" t="s">
        <v>3341</v>
      </c>
      <c r="I92" s="387" t="s">
        <v>3192</v>
      </c>
    </row>
    <row r="93" spans="2:9" ht="30" customHeight="1" x14ac:dyDescent="0.35">
      <c r="B93" s="56" t="s">
        <v>48</v>
      </c>
      <c r="C93" s="56" t="s">
        <v>49</v>
      </c>
      <c r="D93" s="387" t="s">
        <v>3329</v>
      </c>
      <c r="E93" s="387" t="s">
        <v>3331</v>
      </c>
      <c r="F93" s="387" t="s">
        <v>3329</v>
      </c>
      <c r="G93" s="387" t="s">
        <v>3342</v>
      </c>
      <c r="H93" s="388" t="s">
        <v>3343</v>
      </c>
      <c r="I93" s="387" t="s">
        <v>3192</v>
      </c>
    </row>
    <row r="94" spans="2:9" ht="30" customHeight="1" x14ac:dyDescent="0.35">
      <c r="B94" s="56" t="s">
        <v>48</v>
      </c>
      <c r="C94" s="56" t="s">
        <v>49</v>
      </c>
      <c r="D94" s="387" t="s">
        <v>3329</v>
      </c>
      <c r="E94" s="387" t="s">
        <v>3331</v>
      </c>
      <c r="F94" s="387" t="s">
        <v>3329</v>
      </c>
      <c r="G94" s="387" t="s">
        <v>3344</v>
      </c>
      <c r="H94" s="388" t="s">
        <v>3345</v>
      </c>
      <c r="I94" s="387" t="s">
        <v>3192</v>
      </c>
    </row>
    <row r="95" spans="2:9" ht="30" customHeight="1" x14ac:dyDescent="0.35">
      <c r="B95" s="56" t="s">
        <v>48</v>
      </c>
      <c r="C95" s="56" t="s">
        <v>49</v>
      </c>
      <c r="D95" s="387" t="s">
        <v>3329</v>
      </c>
      <c r="E95" s="387" t="s">
        <v>3346</v>
      </c>
      <c r="F95" s="390" t="s">
        <v>3329</v>
      </c>
      <c r="G95" s="387" t="s">
        <v>3347</v>
      </c>
      <c r="H95" s="388" t="s">
        <v>3348</v>
      </c>
      <c r="I95" s="387" t="s">
        <v>3192</v>
      </c>
    </row>
    <row r="96" spans="2:9" ht="30" customHeight="1" x14ac:dyDescent="0.35">
      <c r="B96" s="387" t="s">
        <v>48</v>
      </c>
      <c r="C96" s="387" t="s">
        <v>49</v>
      </c>
      <c r="D96" s="387" t="s">
        <v>3329</v>
      </c>
      <c r="E96" s="387" t="s">
        <v>3338</v>
      </c>
      <c r="F96" s="390" t="s">
        <v>3329</v>
      </c>
      <c r="G96" s="387" t="s">
        <v>3349</v>
      </c>
      <c r="H96" s="388" t="s">
        <v>3350</v>
      </c>
      <c r="I96" s="387" t="s">
        <v>3192</v>
      </c>
    </row>
    <row r="97" spans="2:9" ht="30" customHeight="1" x14ac:dyDescent="0.35">
      <c r="B97" s="387" t="s">
        <v>48</v>
      </c>
      <c r="C97" s="387" t="s">
        <v>49</v>
      </c>
      <c r="D97" s="387" t="s">
        <v>3329</v>
      </c>
      <c r="E97" s="387" t="s">
        <v>3338</v>
      </c>
      <c r="F97" s="390" t="s">
        <v>3329</v>
      </c>
      <c r="G97" s="387" t="s">
        <v>3346</v>
      </c>
      <c r="H97" s="388" t="s">
        <v>3351</v>
      </c>
      <c r="I97" s="387" t="s">
        <v>3192</v>
      </c>
    </row>
    <row r="98" spans="2:9" ht="30" customHeight="1" x14ac:dyDescent="0.35">
      <c r="B98" s="56" t="s">
        <v>48</v>
      </c>
      <c r="C98" s="56" t="s">
        <v>49</v>
      </c>
      <c r="D98" s="387" t="s">
        <v>3329</v>
      </c>
      <c r="E98" s="387" t="s">
        <v>3338</v>
      </c>
      <c r="F98" s="387" t="s">
        <v>340</v>
      </c>
      <c r="G98" s="387" t="s">
        <v>2124</v>
      </c>
      <c r="H98" s="388" t="s">
        <v>3352</v>
      </c>
      <c r="I98" s="387" t="s">
        <v>3200</v>
      </c>
    </row>
    <row r="99" spans="2:9" ht="30" customHeight="1" x14ac:dyDescent="0.35">
      <c r="B99" s="387" t="s">
        <v>48</v>
      </c>
      <c r="C99" s="387" t="s">
        <v>49</v>
      </c>
      <c r="D99" s="387" t="s">
        <v>3329</v>
      </c>
      <c r="E99" s="387" t="s">
        <v>3331</v>
      </c>
      <c r="F99" s="387" t="s">
        <v>3329</v>
      </c>
      <c r="G99" s="387" t="s">
        <v>3330</v>
      </c>
      <c r="H99" s="388" t="s">
        <v>3353</v>
      </c>
      <c r="I99" s="387" t="s">
        <v>3192</v>
      </c>
    </row>
    <row r="100" spans="2:9" ht="30" customHeight="1" x14ac:dyDescent="0.35">
      <c r="B100" s="387" t="s">
        <v>48</v>
      </c>
      <c r="C100" s="387" t="s">
        <v>49</v>
      </c>
      <c r="D100" s="387" t="s">
        <v>3329</v>
      </c>
      <c r="E100" s="387" t="s">
        <v>3338</v>
      </c>
      <c r="F100" s="387" t="s">
        <v>3329</v>
      </c>
      <c r="G100" s="387" t="s">
        <v>3330</v>
      </c>
      <c r="H100" s="388" t="s">
        <v>3354</v>
      </c>
      <c r="I100" s="387" t="s">
        <v>3192</v>
      </c>
    </row>
    <row r="101" spans="2:9" ht="30" customHeight="1" x14ac:dyDescent="0.35">
      <c r="B101" s="387" t="s">
        <v>48</v>
      </c>
      <c r="C101" s="387" t="s">
        <v>49</v>
      </c>
      <c r="D101" s="387" t="s">
        <v>3329</v>
      </c>
      <c r="E101" s="387" t="s">
        <v>3338</v>
      </c>
      <c r="F101" s="387" t="s">
        <v>3197</v>
      </c>
      <c r="G101" s="387" t="s">
        <v>3355</v>
      </c>
      <c r="H101" s="388" t="s">
        <v>3356</v>
      </c>
      <c r="I101" s="387" t="s">
        <v>3192</v>
      </c>
    </row>
    <row r="102" spans="2:9" ht="30" customHeight="1" x14ac:dyDescent="0.35">
      <c r="B102" s="387" t="s">
        <v>48</v>
      </c>
      <c r="C102" s="387" t="s">
        <v>49</v>
      </c>
      <c r="D102" s="387" t="s">
        <v>3329</v>
      </c>
      <c r="E102" s="387" t="s">
        <v>3331</v>
      </c>
      <c r="F102" s="387" t="s">
        <v>3197</v>
      </c>
      <c r="G102" s="387" t="s">
        <v>3355</v>
      </c>
      <c r="H102" s="388" t="s">
        <v>3357</v>
      </c>
      <c r="I102" s="387" t="s">
        <v>3192</v>
      </c>
    </row>
    <row r="103" spans="2:9" ht="30" customHeight="1" x14ac:dyDescent="0.35">
      <c r="B103" s="387" t="s">
        <v>48</v>
      </c>
      <c r="C103" s="387" t="s">
        <v>49</v>
      </c>
      <c r="D103" s="387" t="s">
        <v>3329</v>
      </c>
      <c r="E103" s="387" t="s">
        <v>3331</v>
      </c>
      <c r="F103" s="387" t="s">
        <v>3329</v>
      </c>
      <c r="G103" s="387" t="s">
        <v>3358</v>
      </c>
      <c r="H103" s="388" t="s">
        <v>3359</v>
      </c>
      <c r="I103" s="387" t="s">
        <v>3192</v>
      </c>
    </row>
    <row r="104" spans="2:9" ht="30" customHeight="1" x14ac:dyDescent="0.35">
      <c r="B104" s="56" t="s">
        <v>48</v>
      </c>
      <c r="C104" s="56" t="s">
        <v>49</v>
      </c>
      <c r="D104" s="387" t="s">
        <v>3329</v>
      </c>
      <c r="E104" s="387" t="s">
        <v>3331</v>
      </c>
      <c r="F104" s="387" t="s">
        <v>340</v>
      </c>
      <c r="G104" s="387" t="s">
        <v>3360</v>
      </c>
      <c r="H104" s="388" t="s">
        <v>3361</v>
      </c>
      <c r="I104" s="387" t="s">
        <v>3200</v>
      </c>
    </row>
    <row r="105" spans="2:9" ht="30" customHeight="1" x14ac:dyDescent="0.35">
      <c r="B105" s="56" t="s">
        <v>48</v>
      </c>
      <c r="C105" s="56" t="s">
        <v>49</v>
      </c>
      <c r="D105" s="387" t="s">
        <v>3329</v>
      </c>
      <c r="E105" s="387" t="s">
        <v>3331</v>
      </c>
      <c r="F105" s="387" t="s">
        <v>340</v>
      </c>
      <c r="G105" s="387" t="s">
        <v>3362</v>
      </c>
      <c r="H105" s="388" t="s">
        <v>3363</v>
      </c>
      <c r="I105" s="387"/>
    </row>
    <row r="106" spans="2:9" ht="30" customHeight="1" x14ac:dyDescent="0.35">
      <c r="B106" s="56" t="s">
        <v>48</v>
      </c>
      <c r="C106" s="56" t="s">
        <v>49</v>
      </c>
      <c r="D106" s="387" t="s">
        <v>3219</v>
      </c>
      <c r="E106" s="387" t="s">
        <v>3220</v>
      </c>
      <c r="F106" s="387" t="s">
        <v>340</v>
      </c>
      <c r="G106" s="387" t="s">
        <v>2124</v>
      </c>
      <c r="H106" s="388" t="s">
        <v>3364</v>
      </c>
      <c r="I106" s="387" t="s">
        <v>3200</v>
      </c>
    </row>
    <row r="107" spans="2:9" ht="30" customHeight="1" x14ac:dyDescent="0.35">
      <c r="B107" s="56" t="s">
        <v>48</v>
      </c>
      <c r="C107" s="56" t="s">
        <v>49</v>
      </c>
      <c r="D107" s="387" t="s">
        <v>3209</v>
      </c>
      <c r="E107" s="387" t="s">
        <v>3241</v>
      </c>
      <c r="F107" s="387" t="s">
        <v>340</v>
      </c>
      <c r="G107" s="387" t="s">
        <v>2124</v>
      </c>
      <c r="H107" s="388" t="s">
        <v>3365</v>
      </c>
      <c r="I107" s="387" t="s">
        <v>3200</v>
      </c>
    </row>
    <row r="108" spans="2:9" ht="30" customHeight="1" x14ac:dyDescent="0.35">
      <c r="B108" s="56" t="s">
        <v>48</v>
      </c>
      <c r="C108" s="56" t="s">
        <v>49</v>
      </c>
      <c r="D108" s="387" t="s">
        <v>3209</v>
      </c>
      <c r="E108" s="387" t="s">
        <v>3241</v>
      </c>
      <c r="F108" s="387" t="s">
        <v>3209</v>
      </c>
      <c r="G108" s="387" t="s">
        <v>3211</v>
      </c>
      <c r="H108" s="388" t="s">
        <v>3366</v>
      </c>
      <c r="I108" s="387" t="s">
        <v>3192</v>
      </c>
    </row>
    <row r="109" spans="2:9" ht="30" customHeight="1" x14ac:dyDescent="0.35">
      <c r="B109" s="56" t="s">
        <v>48</v>
      </c>
      <c r="C109" s="56" t="s">
        <v>49</v>
      </c>
      <c r="D109" s="387" t="s">
        <v>3209</v>
      </c>
      <c r="E109" s="387" t="s">
        <v>3241</v>
      </c>
      <c r="F109" s="387" t="s">
        <v>3197</v>
      </c>
      <c r="G109" s="387" t="s">
        <v>3355</v>
      </c>
      <c r="H109" s="388" t="s">
        <v>3367</v>
      </c>
      <c r="I109" s="387" t="s">
        <v>3192</v>
      </c>
    </row>
    <row r="110" spans="2:9" ht="30" customHeight="1" x14ac:dyDescent="0.35">
      <c r="B110" s="387" t="s">
        <v>48</v>
      </c>
      <c r="C110" s="387" t="s">
        <v>2124</v>
      </c>
      <c r="D110" s="387" t="s">
        <v>3329</v>
      </c>
      <c r="E110" s="387" t="s">
        <v>3331</v>
      </c>
      <c r="F110" s="387" t="s">
        <v>3329</v>
      </c>
      <c r="G110" s="387" t="s">
        <v>3330</v>
      </c>
      <c r="H110" s="388" t="s">
        <v>3353</v>
      </c>
      <c r="I110" s="387" t="s">
        <v>3192</v>
      </c>
    </row>
    <row r="111" spans="2:9" ht="30" customHeight="1" x14ac:dyDescent="0.35">
      <c r="B111" s="328" t="s">
        <v>53</v>
      </c>
      <c r="C111" s="56" t="s">
        <v>54</v>
      </c>
      <c r="D111" s="56" t="s">
        <v>3219</v>
      </c>
      <c r="E111" s="56" t="s">
        <v>3220</v>
      </c>
      <c r="F111" s="56" t="s">
        <v>3197</v>
      </c>
      <c r="G111" s="56" t="s">
        <v>3207</v>
      </c>
      <c r="H111" s="57" t="s">
        <v>3368</v>
      </c>
      <c r="I111" s="55" t="s">
        <v>3192</v>
      </c>
    </row>
    <row r="112" spans="2:9" ht="30" customHeight="1" x14ac:dyDescent="0.35">
      <c r="B112" s="328" t="s">
        <v>53</v>
      </c>
      <c r="C112" s="56" t="s">
        <v>54</v>
      </c>
      <c r="D112" s="56" t="s">
        <v>3197</v>
      </c>
      <c r="E112" s="56" t="s">
        <v>3207</v>
      </c>
      <c r="F112" s="56" t="s">
        <v>3197</v>
      </c>
      <c r="G112" s="56" t="s">
        <v>3198</v>
      </c>
      <c r="H112" s="57" t="s">
        <v>3369</v>
      </c>
      <c r="I112" s="55" t="s">
        <v>3192</v>
      </c>
    </row>
    <row r="113" spans="2:9" ht="30" customHeight="1" x14ac:dyDescent="0.35">
      <c r="B113" s="56" t="s">
        <v>59</v>
      </c>
      <c r="C113" s="56" t="s">
        <v>60</v>
      </c>
      <c r="D113" s="56" t="s">
        <v>3370</v>
      </c>
      <c r="E113" s="56" t="s">
        <v>3371</v>
      </c>
      <c r="F113" s="56" t="s">
        <v>340</v>
      </c>
      <c r="G113" s="56" t="s">
        <v>62</v>
      </c>
      <c r="H113" s="386" t="s">
        <v>3372</v>
      </c>
      <c r="I113" s="387" t="s">
        <v>3200</v>
      </c>
    </row>
    <row r="114" spans="2:9" ht="30" customHeight="1" x14ac:dyDescent="0.35">
      <c r="B114" s="56" t="s">
        <v>59</v>
      </c>
      <c r="C114" s="56" t="s">
        <v>60</v>
      </c>
      <c r="D114" s="56" t="s">
        <v>3370</v>
      </c>
      <c r="E114" s="56" t="s">
        <v>3371</v>
      </c>
      <c r="F114" s="56" t="s">
        <v>3308</v>
      </c>
      <c r="G114" s="56" t="s">
        <v>3311</v>
      </c>
      <c r="H114" s="57" t="s">
        <v>3373</v>
      </c>
      <c r="I114" s="51" t="s">
        <v>3192</v>
      </c>
    </row>
    <row r="115" spans="2:9" ht="30" customHeight="1" x14ac:dyDescent="0.35">
      <c r="B115" s="56" t="s">
        <v>64</v>
      </c>
      <c r="C115" s="56" t="s">
        <v>65</v>
      </c>
      <c r="D115" s="56" t="s">
        <v>3197</v>
      </c>
      <c r="E115" s="56" t="s">
        <v>3198</v>
      </c>
      <c r="F115" s="56" t="s">
        <v>3374</v>
      </c>
      <c r="G115" s="51" t="s">
        <v>3375</v>
      </c>
      <c r="H115" s="55" t="s">
        <v>3376</v>
      </c>
      <c r="I115" s="51" t="s">
        <v>3192</v>
      </c>
    </row>
    <row r="116" spans="2:9" ht="30" customHeight="1" x14ac:dyDescent="0.35">
      <c r="B116" s="56" t="s">
        <v>64</v>
      </c>
      <c r="C116" s="56" t="s">
        <v>65</v>
      </c>
      <c r="D116" s="56" t="s">
        <v>3197</v>
      </c>
      <c r="E116" s="56" t="s">
        <v>3198</v>
      </c>
      <c r="F116" s="56" t="s">
        <v>3308</v>
      </c>
      <c r="G116" s="56" t="s">
        <v>3377</v>
      </c>
      <c r="H116" s="57" t="s">
        <v>3378</v>
      </c>
      <c r="I116" s="51" t="s">
        <v>3192</v>
      </c>
    </row>
    <row r="117" spans="2:9" ht="30" customHeight="1" x14ac:dyDescent="0.35">
      <c r="B117" s="56" t="s">
        <v>64</v>
      </c>
      <c r="C117" s="56" t="s">
        <v>65</v>
      </c>
      <c r="D117" s="56" t="s">
        <v>3197</v>
      </c>
      <c r="E117" s="56" t="s">
        <v>3198</v>
      </c>
      <c r="F117" s="56" t="s">
        <v>3209</v>
      </c>
      <c r="G117" s="56" t="s">
        <v>3241</v>
      </c>
      <c r="H117" s="57" t="s">
        <v>3379</v>
      </c>
      <c r="I117" s="51" t="s">
        <v>3192</v>
      </c>
    </row>
    <row r="118" spans="2:9" ht="30" customHeight="1" x14ac:dyDescent="0.35">
      <c r="B118" s="56" t="s">
        <v>64</v>
      </c>
      <c r="C118" s="56" t="s">
        <v>65</v>
      </c>
      <c r="D118" s="56" t="s">
        <v>3374</v>
      </c>
      <c r="E118" s="56" t="s">
        <v>3380</v>
      </c>
      <c r="F118" s="56" t="s">
        <v>3197</v>
      </c>
      <c r="G118" s="56" t="s">
        <v>3198</v>
      </c>
      <c r="H118" s="57" t="s">
        <v>3381</v>
      </c>
      <c r="I118" s="51" t="s">
        <v>3192</v>
      </c>
    </row>
    <row r="119" spans="2:9" ht="30" customHeight="1" x14ac:dyDescent="0.35">
      <c r="B119" s="56" t="s">
        <v>64</v>
      </c>
      <c r="C119" s="56" t="s">
        <v>65</v>
      </c>
      <c r="D119" s="56" t="s">
        <v>3374</v>
      </c>
      <c r="E119" s="56" t="s">
        <v>3380</v>
      </c>
      <c r="F119" s="56" t="s">
        <v>3374</v>
      </c>
      <c r="G119" s="56" t="s">
        <v>3382</v>
      </c>
      <c r="H119" s="57" t="s">
        <v>3383</v>
      </c>
      <c r="I119" s="51" t="s">
        <v>3192</v>
      </c>
    </row>
    <row r="120" spans="2:9" ht="30" customHeight="1" x14ac:dyDescent="0.35">
      <c r="B120" s="56" t="s">
        <v>64</v>
      </c>
      <c r="C120" s="56" t="s">
        <v>65</v>
      </c>
      <c r="D120" s="56" t="s">
        <v>3374</v>
      </c>
      <c r="E120" s="56" t="s">
        <v>3380</v>
      </c>
      <c r="F120" s="56" t="s">
        <v>3374</v>
      </c>
      <c r="G120" s="56" t="s">
        <v>3384</v>
      </c>
      <c r="H120" s="57" t="s">
        <v>3385</v>
      </c>
      <c r="I120" s="51" t="s">
        <v>3192</v>
      </c>
    </row>
    <row r="121" spans="2:9" ht="30" customHeight="1" x14ac:dyDescent="0.35">
      <c r="B121" s="56" t="s">
        <v>64</v>
      </c>
      <c r="C121" s="56" t="s">
        <v>65</v>
      </c>
      <c r="D121" s="56" t="s">
        <v>3374</v>
      </c>
      <c r="E121" s="56" t="s">
        <v>3380</v>
      </c>
      <c r="F121" s="56" t="s">
        <v>3374</v>
      </c>
      <c r="G121" s="56" t="s">
        <v>3386</v>
      </c>
      <c r="H121" s="57" t="s">
        <v>3387</v>
      </c>
      <c r="I121" s="51" t="s">
        <v>3192</v>
      </c>
    </row>
    <row r="122" spans="2:9" ht="30" customHeight="1" x14ac:dyDescent="0.35">
      <c r="B122" s="56" t="s">
        <v>64</v>
      </c>
      <c r="C122" s="56" t="s">
        <v>65</v>
      </c>
      <c r="D122" s="56" t="s">
        <v>3374</v>
      </c>
      <c r="E122" s="56" t="s">
        <v>3380</v>
      </c>
      <c r="F122" s="56" t="s">
        <v>3374</v>
      </c>
      <c r="G122" s="56" t="s">
        <v>3388</v>
      </c>
      <c r="H122" s="57" t="s">
        <v>3389</v>
      </c>
      <c r="I122" s="51" t="s">
        <v>3192</v>
      </c>
    </row>
    <row r="123" spans="2:9" ht="30" customHeight="1" x14ac:dyDescent="0.35">
      <c r="B123" s="56" t="s">
        <v>64</v>
      </c>
      <c r="C123" s="56" t="s">
        <v>65</v>
      </c>
      <c r="D123" s="56" t="s">
        <v>3374</v>
      </c>
      <c r="E123" s="56" t="s">
        <v>3380</v>
      </c>
      <c r="F123" s="56" t="s">
        <v>3374</v>
      </c>
      <c r="G123" s="56" t="s">
        <v>3390</v>
      </c>
      <c r="H123" s="57" t="s">
        <v>3391</v>
      </c>
      <c r="I123" s="51" t="s">
        <v>3192</v>
      </c>
    </row>
    <row r="124" spans="2:9" ht="30" customHeight="1" x14ac:dyDescent="0.35">
      <c r="B124" s="56" t="s">
        <v>64</v>
      </c>
      <c r="C124" s="56" t="s">
        <v>65</v>
      </c>
      <c r="D124" s="56" t="s">
        <v>3374</v>
      </c>
      <c r="E124" s="56" t="s">
        <v>3380</v>
      </c>
      <c r="F124" s="56" t="s">
        <v>3197</v>
      </c>
      <c r="G124" s="56" t="s">
        <v>3207</v>
      </c>
      <c r="H124" s="57" t="s">
        <v>3392</v>
      </c>
      <c r="I124" s="51" t="s">
        <v>3192</v>
      </c>
    </row>
    <row r="125" spans="2:9" ht="30" customHeight="1" x14ac:dyDescent="0.35">
      <c r="B125" s="56" t="s">
        <v>64</v>
      </c>
      <c r="C125" s="56" t="s">
        <v>65</v>
      </c>
      <c r="D125" s="56" t="s">
        <v>3374</v>
      </c>
      <c r="E125" s="56" t="s">
        <v>3380</v>
      </c>
      <c r="F125" s="56" t="s">
        <v>3197</v>
      </c>
      <c r="G125" s="56" t="s">
        <v>3203</v>
      </c>
      <c r="H125" s="57" t="s">
        <v>3393</v>
      </c>
      <c r="I125" s="51" t="s">
        <v>3192</v>
      </c>
    </row>
    <row r="126" spans="2:9" ht="30" customHeight="1" x14ac:dyDescent="0.35">
      <c r="B126" s="56" t="s">
        <v>64</v>
      </c>
      <c r="C126" s="56" t="s">
        <v>65</v>
      </c>
      <c r="D126" s="56" t="s">
        <v>3374</v>
      </c>
      <c r="E126" s="56" t="s">
        <v>3380</v>
      </c>
      <c r="F126" s="56" t="s">
        <v>3197</v>
      </c>
      <c r="G126" s="56" t="s">
        <v>3201</v>
      </c>
      <c r="H126" s="57" t="s">
        <v>3394</v>
      </c>
      <c r="I126" s="51" t="s">
        <v>3192</v>
      </c>
    </row>
    <row r="127" spans="2:9" ht="30" customHeight="1" x14ac:dyDescent="0.35">
      <c r="B127" s="56" t="s">
        <v>64</v>
      </c>
      <c r="C127" s="56" t="s">
        <v>65</v>
      </c>
      <c r="D127" s="56" t="s">
        <v>3374</v>
      </c>
      <c r="E127" s="56" t="s">
        <v>3388</v>
      </c>
      <c r="F127" s="56" t="s">
        <v>3374</v>
      </c>
      <c r="G127" s="56" t="s">
        <v>3395</v>
      </c>
      <c r="H127" s="57" t="s">
        <v>3396</v>
      </c>
      <c r="I127" s="51" t="s">
        <v>3192</v>
      </c>
    </row>
    <row r="128" spans="2:9" ht="30" customHeight="1" x14ac:dyDescent="0.35">
      <c r="B128" s="56" t="s">
        <v>64</v>
      </c>
      <c r="C128" s="56" t="s">
        <v>65</v>
      </c>
      <c r="D128" s="56" t="s">
        <v>3374</v>
      </c>
      <c r="E128" s="56" t="s">
        <v>3397</v>
      </c>
      <c r="F128" s="56" t="s">
        <v>3374</v>
      </c>
      <c r="G128" s="56" t="s">
        <v>3398</v>
      </c>
      <c r="H128" s="57" t="s">
        <v>3399</v>
      </c>
      <c r="I128" s="51" t="s">
        <v>3192</v>
      </c>
    </row>
    <row r="129" spans="2:9" ht="30" customHeight="1" x14ac:dyDescent="0.35">
      <c r="B129" s="56" t="s">
        <v>64</v>
      </c>
      <c r="C129" s="56" t="s">
        <v>65</v>
      </c>
      <c r="D129" s="56" t="s">
        <v>3374</v>
      </c>
      <c r="E129" s="56" t="s">
        <v>3397</v>
      </c>
      <c r="F129" s="56" t="s">
        <v>3374</v>
      </c>
      <c r="G129" s="56" t="s">
        <v>3400</v>
      </c>
      <c r="H129" s="57" t="s">
        <v>3401</v>
      </c>
      <c r="I129" s="51" t="s">
        <v>3192</v>
      </c>
    </row>
    <row r="130" spans="2:9" ht="30" customHeight="1" x14ac:dyDescent="0.35">
      <c r="B130" s="56" t="s">
        <v>64</v>
      </c>
      <c r="C130" s="56" t="s">
        <v>65</v>
      </c>
      <c r="D130" s="56" t="s">
        <v>3374</v>
      </c>
      <c r="E130" s="56" t="s">
        <v>3397</v>
      </c>
      <c r="F130" s="56" t="s">
        <v>3374</v>
      </c>
      <c r="G130" s="56" t="s">
        <v>3402</v>
      </c>
      <c r="H130" s="57" t="s">
        <v>3403</v>
      </c>
      <c r="I130" s="51" t="s">
        <v>3192</v>
      </c>
    </row>
    <row r="131" spans="2:9" ht="30" customHeight="1" x14ac:dyDescent="0.35">
      <c r="B131" s="56" t="s">
        <v>64</v>
      </c>
      <c r="C131" s="56" t="s">
        <v>65</v>
      </c>
      <c r="D131" s="56" t="s">
        <v>3374</v>
      </c>
      <c r="E131" s="56" t="s">
        <v>3397</v>
      </c>
      <c r="F131" s="56" t="s">
        <v>3374</v>
      </c>
      <c r="G131" s="56" t="s">
        <v>3404</v>
      </c>
      <c r="H131" s="57" t="s">
        <v>3405</v>
      </c>
      <c r="I131" s="51" t="s">
        <v>3192</v>
      </c>
    </row>
    <row r="132" spans="2:9" ht="30" customHeight="1" x14ac:dyDescent="0.35">
      <c r="B132" s="56" t="s">
        <v>64</v>
      </c>
      <c r="C132" s="56" t="s">
        <v>65</v>
      </c>
      <c r="D132" s="56" t="s">
        <v>3374</v>
      </c>
      <c r="E132" s="56" t="s">
        <v>3397</v>
      </c>
      <c r="F132" s="56" t="s">
        <v>3374</v>
      </c>
      <c r="G132" s="56" t="s">
        <v>3406</v>
      </c>
      <c r="H132" s="57" t="s">
        <v>3407</v>
      </c>
      <c r="I132" s="51" t="s">
        <v>3192</v>
      </c>
    </row>
    <row r="133" spans="2:9" ht="30" customHeight="1" x14ac:dyDescent="0.35">
      <c r="B133" s="56" t="s">
        <v>64</v>
      </c>
      <c r="C133" s="56" t="s">
        <v>65</v>
      </c>
      <c r="D133" s="56" t="s">
        <v>3374</v>
      </c>
      <c r="E133" s="56" t="s">
        <v>3397</v>
      </c>
      <c r="F133" s="56" t="s">
        <v>3374</v>
      </c>
      <c r="G133" s="56" t="s">
        <v>3408</v>
      </c>
      <c r="H133" s="57" t="s">
        <v>3409</v>
      </c>
      <c r="I133" s="51" t="s">
        <v>3192</v>
      </c>
    </row>
    <row r="134" spans="2:9" ht="30" customHeight="1" x14ac:dyDescent="0.35">
      <c r="B134" s="56" t="s">
        <v>64</v>
      </c>
      <c r="C134" s="56" t="s">
        <v>65</v>
      </c>
      <c r="D134" s="56" t="s">
        <v>3374</v>
      </c>
      <c r="E134" s="56" t="s">
        <v>3397</v>
      </c>
      <c r="F134" s="56" t="s">
        <v>3308</v>
      </c>
      <c r="G134" s="56" t="s">
        <v>3377</v>
      </c>
      <c r="H134" s="57" t="s">
        <v>3410</v>
      </c>
      <c r="I134" s="51" t="s">
        <v>3192</v>
      </c>
    </row>
    <row r="135" spans="2:9" ht="30" customHeight="1" x14ac:dyDescent="0.35">
      <c r="B135" s="56" t="s">
        <v>64</v>
      </c>
      <c r="C135" s="56" t="s">
        <v>65</v>
      </c>
      <c r="D135" s="56" t="s">
        <v>3374</v>
      </c>
      <c r="E135" s="56" t="s">
        <v>3397</v>
      </c>
      <c r="F135" s="56" t="s">
        <v>3209</v>
      </c>
      <c r="G135" s="56" t="s">
        <v>3241</v>
      </c>
      <c r="H135" s="57" t="s">
        <v>3411</v>
      </c>
      <c r="I135" s="51" t="s">
        <v>3192</v>
      </c>
    </row>
    <row r="136" spans="2:9" ht="30" customHeight="1" x14ac:dyDescent="0.35">
      <c r="B136" s="56" t="s">
        <v>64</v>
      </c>
      <c r="C136" s="56" t="s">
        <v>65</v>
      </c>
      <c r="D136" s="56" t="s">
        <v>3374</v>
      </c>
      <c r="E136" s="56" t="s">
        <v>3390</v>
      </c>
      <c r="F136" s="56" t="s">
        <v>3197</v>
      </c>
      <c r="G136" s="56" t="s">
        <v>3412</v>
      </c>
      <c r="H136" s="55" t="s">
        <v>3413</v>
      </c>
      <c r="I136" s="51" t="s">
        <v>3192</v>
      </c>
    </row>
    <row r="137" spans="2:9" ht="30" customHeight="1" x14ac:dyDescent="0.35">
      <c r="B137" s="56" t="s">
        <v>64</v>
      </c>
      <c r="C137" s="56" t="s">
        <v>65</v>
      </c>
      <c r="D137" s="56" t="s">
        <v>3308</v>
      </c>
      <c r="E137" s="56" t="s">
        <v>3377</v>
      </c>
      <c r="F137" s="56" t="s">
        <v>3308</v>
      </c>
      <c r="G137" s="56" t="s">
        <v>3311</v>
      </c>
      <c r="H137" s="57" t="s">
        <v>3414</v>
      </c>
      <c r="I137" s="51" t="s">
        <v>3192</v>
      </c>
    </row>
    <row r="138" spans="2:9" ht="30" customHeight="1" x14ac:dyDescent="0.35">
      <c r="B138" s="56" t="s">
        <v>64</v>
      </c>
      <c r="C138" s="56" t="s">
        <v>65</v>
      </c>
      <c r="D138" s="56" t="s">
        <v>3374</v>
      </c>
      <c r="E138" s="56" t="s">
        <v>3386</v>
      </c>
      <c r="F138" s="56" t="s">
        <v>3374</v>
      </c>
      <c r="G138" s="56" t="s">
        <v>3415</v>
      </c>
      <c r="H138" s="386" t="s">
        <v>3416</v>
      </c>
      <c r="I138" s="51" t="s">
        <v>3192</v>
      </c>
    </row>
    <row r="139" spans="2:9" ht="30" customHeight="1" x14ac:dyDescent="0.35">
      <c r="B139" s="56" t="s">
        <v>64</v>
      </c>
      <c r="C139" s="56" t="s">
        <v>65</v>
      </c>
      <c r="D139" s="56" t="s">
        <v>3197</v>
      </c>
      <c r="E139" s="56" t="s">
        <v>3207</v>
      </c>
      <c r="F139" s="51" t="s">
        <v>3197</v>
      </c>
      <c r="G139" s="56" t="s">
        <v>3198</v>
      </c>
      <c r="H139" s="57" t="s">
        <v>3417</v>
      </c>
      <c r="I139" s="51" t="s">
        <v>3192</v>
      </c>
    </row>
    <row r="140" spans="2:9" ht="30" customHeight="1" x14ac:dyDescent="0.35">
      <c r="B140" s="56" t="s">
        <v>64</v>
      </c>
      <c r="C140" s="56" t="s">
        <v>65</v>
      </c>
      <c r="D140" s="56" t="s">
        <v>3209</v>
      </c>
      <c r="E140" s="56" t="s">
        <v>3241</v>
      </c>
      <c r="F140" s="56" t="s">
        <v>3209</v>
      </c>
      <c r="G140" s="56" t="s">
        <v>3211</v>
      </c>
      <c r="H140" s="57" t="s">
        <v>3418</v>
      </c>
      <c r="I140" s="56" t="s">
        <v>3192</v>
      </c>
    </row>
    <row r="141" spans="2:9" ht="30" customHeight="1" x14ac:dyDescent="0.35">
      <c r="B141" s="56" t="s">
        <v>67</v>
      </c>
      <c r="C141" s="51" t="s">
        <v>68</v>
      </c>
      <c r="D141" s="56" t="s">
        <v>3219</v>
      </c>
      <c r="E141" s="56" t="s">
        <v>3220</v>
      </c>
      <c r="F141" s="51" t="s">
        <v>3209</v>
      </c>
      <c r="G141" s="51" t="s">
        <v>3210</v>
      </c>
      <c r="H141" s="57" t="s">
        <v>3321</v>
      </c>
      <c r="I141" s="55" t="s">
        <v>3192</v>
      </c>
    </row>
    <row r="142" spans="2:9" ht="30" customHeight="1" x14ac:dyDescent="0.35">
      <c r="B142" s="56" t="s">
        <v>67</v>
      </c>
      <c r="C142" s="56" t="s">
        <v>68</v>
      </c>
      <c r="D142" s="56" t="s">
        <v>3197</v>
      </c>
      <c r="E142" s="56" t="s">
        <v>3419</v>
      </c>
      <c r="F142" s="56" t="s">
        <v>3219</v>
      </c>
      <c r="G142" s="56" t="s">
        <v>3220</v>
      </c>
      <c r="H142" s="57" t="s">
        <v>3420</v>
      </c>
      <c r="I142" s="55" t="s">
        <v>3192</v>
      </c>
    </row>
    <row r="143" spans="2:9" ht="30" customHeight="1" x14ac:dyDescent="0.35">
      <c r="B143" s="56" t="s">
        <v>67</v>
      </c>
      <c r="C143" s="56" t="s">
        <v>68</v>
      </c>
      <c r="D143" s="56" t="s">
        <v>3197</v>
      </c>
      <c r="E143" s="56" t="s">
        <v>3207</v>
      </c>
      <c r="F143" s="56" t="s">
        <v>3197</v>
      </c>
      <c r="G143" s="56" t="s">
        <v>3419</v>
      </c>
      <c r="H143" s="57" t="s">
        <v>3421</v>
      </c>
      <c r="I143" s="55" t="s">
        <v>3192</v>
      </c>
    </row>
    <row r="144" spans="2:9" ht="30" customHeight="1" x14ac:dyDescent="0.35">
      <c r="B144" s="56" t="s">
        <v>67</v>
      </c>
      <c r="C144" s="56" t="s">
        <v>68</v>
      </c>
      <c r="D144" s="56" t="s">
        <v>3209</v>
      </c>
      <c r="E144" s="56" t="s">
        <v>3210</v>
      </c>
      <c r="F144" s="56" t="s">
        <v>3209</v>
      </c>
      <c r="G144" s="56" t="s">
        <v>3211</v>
      </c>
      <c r="H144" s="57" t="s">
        <v>3212</v>
      </c>
      <c r="I144" s="55" t="s">
        <v>3192</v>
      </c>
    </row>
    <row r="145" spans="2:9" ht="30" customHeight="1" x14ac:dyDescent="0.35">
      <c r="B145" s="56" t="s">
        <v>70</v>
      </c>
      <c r="C145" s="51" t="s">
        <v>71</v>
      </c>
      <c r="D145" s="56" t="s">
        <v>3219</v>
      </c>
      <c r="E145" s="56" t="s">
        <v>3220</v>
      </c>
      <c r="F145" s="51" t="s">
        <v>3209</v>
      </c>
      <c r="G145" s="51" t="s">
        <v>3210</v>
      </c>
      <c r="H145" s="57" t="s">
        <v>3321</v>
      </c>
      <c r="I145" s="57" t="s">
        <v>3192</v>
      </c>
    </row>
    <row r="146" spans="2:9" ht="30" customHeight="1" x14ac:dyDescent="0.35">
      <c r="B146" s="56" t="s">
        <v>70</v>
      </c>
      <c r="C146" s="51" t="s">
        <v>71</v>
      </c>
      <c r="D146" s="56" t="s">
        <v>3209</v>
      </c>
      <c r="E146" s="56" t="s">
        <v>3210</v>
      </c>
      <c r="F146" s="56" t="s">
        <v>3209</v>
      </c>
      <c r="G146" s="56" t="s">
        <v>3211</v>
      </c>
      <c r="H146" s="216" t="s">
        <v>3212</v>
      </c>
      <c r="I146" s="51" t="s">
        <v>3192</v>
      </c>
    </row>
    <row r="147" spans="2:9" ht="30" customHeight="1" x14ac:dyDescent="0.35">
      <c r="B147" s="56" t="s">
        <v>73</v>
      </c>
      <c r="C147" s="51" t="s">
        <v>74</v>
      </c>
      <c r="D147" s="56" t="s">
        <v>3275</v>
      </c>
      <c r="E147" s="56" t="s">
        <v>3279</v>
      </c>
      <c r="F147" s="56" t="s">
        <v>3282</v>
      </c>
      <c r="G147" s="56" t="s">
        <v>3283</v>
      </c>
      <c r="H147" s="391" t="s">
        <v>3284</v>
      </c>
      <c r="I147" s="51" t="s">
        <v>3192</v>
      </c>
    </row>
    <row r="148" spans="2:9" ht="30" customHeight="1" x14ac:dyDescent="0.35">
      <c r="B148" s="56" t="s">
        <v>73</v>
      </c>
      <c r="C148" s="51" t="s">
        <v>74</v>
      </c>
      <c r="D148" s="56" t="s">
        <v>3275</v>
      </c>
      <c r="E148" s="56" t="s">
        <v>3276</v>
      </c>
      <c r="F148" s="56" t="s">
        <v>3275</v>
      </c>
      <c r="G148" s="56" t="s">
        <v>3277</v>
      </c>
      <c r="H148" s="216" t="s">
        <v>3278</v>
      </c>
      <c r="I148" s="51" t="s">
        <v>3200</v>
      </c>
    </row>
    <row r="149" spans="2:9" ht="30" customHeight="1" x14ac:dyDescent="0.35">
      <c r="B149" s="56" t="s">
        <v>73</v>
      </c>
      <c r="C149" s="56" t="s">
        <v>74</v>
      </c>
      <c r="D149" s="51" t="s">
        <v>3275</v>
      </c>
      <c r="E149" s="51" t="s">
        <v>3276</v>
      </c>
      <c r="F149" s="56" t="s">
        <v>3275</v>
      </c>
      <c r="G149" s="56" t="s">
        <v>3279</v>
      </c>
      <c r="H149" s="57" t="s">
        <v>3280</v>
      </c>
      <c r="I149" s="220" t="s">
        <v>3192</v>
      </c>
    </row>
    <row r="150" spans="2:9" ht="30" customHeight="1" x14ac:dyDescent="0.35">
      <c r="B150" s="56" t="s">
        <v>73</v>
      </c>
      <c r="C150" s="56" t="s">
        <v>74</v>
      </c>
      <c r="D150" s="56" t="s">
        <v>3275</v>
      </c>
      <c r="E150" s="56" t="s">
        <v>3276</v>
      </c>
      <c r="F150" s="56" t="s">
        <v>3275</v>
      </c>
      <c r="G150" s="56" t="s">
        <v>3277</v>
      </c>
      <c r="H150" s="57" t="s">
        <v>3322</v>
      </c>
      <c r="I150" s="51" t="s">
        <v>3192</v>
      </c>
    </row>
    <row r="151" spans="2:9" ht="30" customHeight="1" x14ac:dyDescent="0.35">
      <c r="B151" s="56" t="s">
        <v>73</v>
      </c>
      <c r="C151" s="56" t="s">
        <v>74</v>
      </c>
      <c r="D151" s="51" t="s">
        <v>3275</v>
      </c>
      <c r="E151" s="51" t="s">
        <v>3279</v>
      </c>
      <c r="F151" s="51" t="s">
        <v>3197</v>
      </c>
      <c r="G151" s="51" t="s">
        <v>3213</v>
      </c>
      <c r="H151" s="55" t="s">
        <v>3281</v>
      </c>
      <c r="I151" s="51" t="s">
        <v>3200</v>
      </c>
    </row>
    <row r="152" spans="2:9" ht="30" customHeight="1" x14ac:dyDescent="0.35">
      <c r="B152" s="56" t="s">
        <v>73</v>
      </c>
      <c r="C152" s="56" t="s">
        <v>76</v>
      </c>
      <c r="D152" s="51" t="s">
        <v>3275</v>
      </c>
      <c r="E152" s="51" t="s">
        <v>3279</v>
      </c>
      <c r="F152" s="51" t="s">
        <v>3197</v>
      </c>
      <c r="G152" s="51" t="s">
        <v>3213</v>
      </c>
      <c r="H152" s="55" t="s">
        <v>3281</v>
      </c>
      <c r="I152" s="51" t="s">
        <v>3200</v>
      </c>
    </row>
    <row r="153" spans="2:9" ht="30" customHeight="1" x14ac:dyDescent="0.35">
      <c r="B153" s="56" t="s">
        <v>73</v>
      </c>
      <c r="C153" s="56" t="s">
        <v>76</v>
      </c>
      <c r="D153" s="51" t="s">
        <v>3275</v>
      </c>
      <c r="E153" s="51" t="s">
        <v>3279</v>
      </c>
      <c r="F153" s="51" t="s">
        <v>3275</v>
      </c>
      <c r="G153" s="51" t="s">
        <v>3285</v>
      </c>
      <c r="H153" s="55" t="s">
        <v>3286</v>
      </c>
      <c r="I153" s="51" t="s">
        <v>3192</v>
      </c>
    </row>
    <row r="154" spans="2:9" ht="30" customHeight="1" x14ac:dyDescent="0.35">
      <c r="B154" s="56" t="s">
        <v>73</v>
      </c>
      <c r="C154" s="51" t="s">
        <v>76</v>
      </c>
      <c r="D154" s="56" t="s">
        <v>3275</v>
      </c>
      <c r="E154" s="56" t="s">
        <v>3279</v>
      </c>
      <c r="F154" s="56" t="s">
        <v>3275</v>
      </c>
      <c r="G154" s="56" t="s">
        <v>3287</v>
      </c>
      <c r="H154" s="57" t="s">
        <v>3288</v>
      </c>
      <c r="I154" s="51" t="s">
        <v>3192</v>
      </c>
    </row>
    <row r="155" spans="2:9" ht="30" customHeight="1" x14ac:dyDescent="0.35">
      <c r="B155" s="56" t="s">
        <v>73</v>
      </c>
      <c r="C155" s="51" t="s">
        <v>76</v>
      </c>
      <c r="D155" s="56" t="s">
        <v>3275</v>
      </c>
      <c r="E155" s="56" t="s">
        <v>3279</v>
      </c>
      <c r="F155" s="56" t="s">
        <v>3275</v>
      </c>
      <c r="G155" s="56" t="s">
        <v>3323</v>
      </c>
      <c r="H155" s="57" t="s">
        <v>3324</v>
      </c>
      <c r="I155" s="51" t="s">
        <v>3192</v>
      </c>
    </row>
    <row r="156" spans="2:9" ht="30" customHeight="1" x14ac:dyDescent="0.35">
      <c r="B156" s="56" t="s">
        <v>73</v>
      </c>
      <c r="C156" s="56" t="s">
        <v>76</v>
      </c>
      <c r="D156" s="56" t="s">
        <v>3275</v>
      </c>
      <c r="E156" s="56" t="s">
        <v>3323</v>
      </c>
      <c r="F156" s="56" t="s">
        <v>3325</v>
      </c>
      <c r="G156" s="56" t="s">
        <v>3326</v>
      </c>
      <c r="H156" s="57" t="s">
        <v>3327</v>
      </c>
      <c r="I156" s="51" t="s">
        <v>3192</v>
      </c>
    </row>
    <row r="157" spans="2:9" ht="30" customHeight="1" x14ac:dyDescent="0.35">
      <c r="B157" s="56" t="s">
        <v>73</v>
      </c>
      <c r="C157" s="56" t="s">
        <v>76</v>
      </c>
      <c r="D157" s="56" t="s">
        <v>3325</v>
      </c>
      <c r="E157" s="56" t="s">
        <v>3326</v>
      </c>
      <c r="F157" s="56" t="s">
        <v>3197</v>
      </c>
      <c r="G157" s="56" t="s">
        <v>3213</v>
      </c>
      <c r="H157" s="57" t="s">
        <v>3328</v>
      </c>
      <c r="I157" s="51" t="s">
        <v>3192</v>
      </c>
    </row>
    <row r="158" spans="2:9" ht="51.75" customHeight="1" x14ac:dyDescent="0.35">
      <c r="B158" s="56" t="s">
        <v>78</v>
      </c>
      <c r="C158" s="56" t="s">
        <v>79</v>
      </c>
      <c r="D158" s="56" t="s">
        <v>3422</v>
      </c>
      <c r="E158" s="56" t="s">
        <v>3423</v>
      </c>
      <c r="F158" s="56" t="s">
        <v>3422</v>
      </c>
      <c r="G158" s="56" t="s">
        <v>3424</v>
      </c>
      <c r="H158" s="57" t="s">
        <v>3425</v>
      </c>
      <c r="I158" s="51" t="s">
        <v>3192</v>
      </c>
    </row>
    <row r="159" spans="2:9" ht="30" customHeight="1" x14ac:dyDescent="0.35">
      <c r="B159" s="56" t="s">
        <v>78</v>
      </c>
      <c r="C159" s="56" t="s">
        <v>79</v>
      </c>
      <c r="D159" s="56" t="s">
        <v>3422</v>
      </c>
      <c r="E159" s="56" t="s">
        <v>3423</v>
      </c>
      <c r="F159" s="56" t="s">
        <v>3197</v>
      </c>
      <c r="G159" s="56" t="s">
        <v>3198</v>
      </c>
      <c r="H159" s="57" t="s">
        <v>3426</v>
      </c>
      <c r="I159" s="51" t="s">
        <v>3192</v>
      </c>
    </row>
    <row r="160" spans="2:9" ht="30" customHeight="1" x14ac:dyDescent="0.35">
      <c r="B160" s="56" t="s">
        <v>78</v>
      </c>
      <c r="C160" s="56" t="s">
        <v>79</v>
      </c>
      <c r="D160" s="56" t="s">
        <v>3197</v>
      </c>
      <c r="E160" s="56" t="s">
        <v>3198</v>
      </c>
      <c r="F160" s="56" t="s">
        <v>3197</v>
      </c>
      <c r="G160" s="56" t="s">
        <v>3207</v>
      </c>
      <c r="H160" s="57" t="s">
        <v>3208</v>
      </c>
      <c r="I160" s="51" t="s">
        <v>3192</v>
      </c>
    </row>
    <row r="161" spans="2:9" ht="30" customHeight="1" x14ac:dyDescent="0.35">
      <c r="B161" s="56" t="s">
        <v>78</v>
      </c>
      <c r="C161" s="56" t="s">
        <v>79</v>
      </c>
      <c r="D161" s="56" t="s">
        <v>3197</v>
      </c>
      <c r="E161" s="56" t="s">
        <v>3207</v>
      </c>
      <c r="F161" s="56" t="s">
        <v>3197</v>
      </c>
      <c r="G161" s="56" t="s">
        <v>3198</v>
      </c>
      <c r="H161" s="57" t="s">
        <v>3208</v>
      </c>
      <c r="I161" s="51" t="s">
        <v>3192</v>
      </c>
    </row>
    <row r="162" spans="2:9" ht="30" customHeight="1" x14ac:dyDescent="0.35">
      <c r="B162" s="56" t="s">
        <v>78</v>
      </c>
      <c r="C162" s="56" t="s">
        <v>79</v>
      </c>
      <c r="D162" s="56" t="s">
        <v>3422</v>
      </c>
      <c r="E162" s="56" t="s">
        <v>3423</v>
      </c>
      <c r="F162" s="56" t="s">
        <v>3422</v>
      </c>
      <c r="G162" s="56" t="s">
        <v>3427</v>
      </c>
      <c r="H162" s="57" t="s">
        <v>3428</v>
      </c>
      <c r="I162" s="51" t="s">
        <v>3192</v>
      </c>
    </row>
    <row r="163" spans="2:9" ht="30" customHeight="1" x14ac:dyDescent="0.35">
      <c r="B163" s="56" t="s">
        <v>78</v>
      </c>
      <c r="C163" s="56" t="s">
        <v>79</v>
      </c>
      <c r="D163" s="56" t="s">
        <v>3422</v>
      </c>
      <c r="E163" s="56" t="s">
        <v>3427</v>
      </c>
      <c r="F163" s="56" t="s">
        <v>3197</v>
      </c>
      <c r="G163" s="56" t="s">
        <v>3215</v>
      </c>
      <c r="H163" s="57" t="s">
        <v>3429</v>
      </c>
      <c r="I163" s="57" t="s">
        <v>3192</v>
      </c>
    </row>
    <row r="164" spans="2:9" ht="30" customHeight="1" x14ac:dyDescent="0.35">
      <c r="B164" s="387" t="s">
        <v>81</v>
      </c>
      <c r="C164" s="387" t="s">
        <v>82</v>
      </c>
      <c r="D164" s="51" t="s">
        <v>3430</v>
      </c>
      <c r="E164" s="387" t="s">
        <v>3431</v>
      </c>
      <c r="F164" s="56" t="s">
        <v>3197</v>
      </c>
      <c r="G164" s="387" t="s">
        <v>3432</v>
      </c>
      <c r="H164" s="388" t="s">
        <v>3433</v>
      </c>
      <c r="I164" s="385" t="s">
        <v>3192</v>
      </c>
    </row>
    <row r="165" spans="2:9" ht="30" customHeight="1" x14ac:dyDescent="0.35">
      <c r="B165" s="387" t="s">
        <v>81</v>
      </c>
      <c r="C165" s="387" t="s">
        <v>82</v>
      </c>
      <c r="D165" s="387" t="s">
        <v>3430</v>
      </c>
      <c r="E165" s="387" t="s">
        <v>3431</v>
      </c>
      <c r="F165" s="387" t="s">
        <v>3430</v>
      </c>
      <c r="G165" s="387" t="s">
        <v>3434</v>
      </c>
      <c r="H165" s="388" t="s">
        <v>3435</v>
      </c>
      <c r="I165" s="385" t="s">
        <v>3192</v>
      </c>
    </row>
    <row r="166" spans="2:9" ht="30" customHeight="1" x14ac:dyDescent="0.35">
      <c r="B166" s="387" t="s">
        <v>81</v>
      </c>
      <c r="C166" s="387" t="s">
        <v>82</v>
      </c>
      <c r="D166" s="387" t="s">
        <v>3430</v>
      </c>
      <c r="E166" s="387" t="s">
        <v>3431</v>
      </c>
      <c r="F166" s="56" t="s">
        <v>3197</v>
      </c>
      <c r="G166" s="387" t="s">
        <v>3436</v>
      </c>
      <c r="H166" s="388" t="s">
        <v>3437</v>
      </c>
      <c r="I166" s="385" t="s">
        <v>3192</v>
      </c>
    </row>
    <row r="167" spans="2:9" ht="30" customHeight="1" x14ac:dyDescent="0.35">
      <c r="B167" s="387" t="s">
        <v>81</v>
      </c>
      <c r="C167" s="387" t="s">
        <v>82</v>
      </c>
      <c r="D167" s="387" t="s">
        <v>3430</v>
      </c>
      <c r="E167" s="387" t="s">
        <v>3431</v>
      </c>
      <c r="F167" s="56" t="s">
        <v>340</v>
      </c>
      <c r="G167" s="387" t="s">
        <v>82</v>
      </c>
      <c r="H167" s="392" t="s">
        <v>3438</v>
      </c>
      <c r="I167" s="385" t="s">
        <v>3200</v>
      </c>
    </row>
    <row r="168" spans="2:9" ht="30" customHeight="1" x14ac:dyDescent="0.35">
      <c r="B168" s="387" t="s">
        <v>81</v>
      </c>
      <c r="C168" s="387" t="s">
        <v>82</v>
      </c>
      <c r="D168" s="387" t="s">
        <v>3430</v>
      </c>
      <c r="E168" s="387" t="s">
        <v>3439</v>
      </c>
      <c r="F168" s="387" t="s">
        <v>3430</v>
      </c>
      <c r="G168" s="387" t="s">
        <v>3440</v>
      </c>
      <c r="H168" s="388" t="s">
        <v>3441</v>
      </c>
      <c r="I168" s="385" t="s">
        <v>3192</v>
      </c>
    </row>
    <row r="169" spans="2:9" ht="30" customHeight="1" x14ac:dyDescent="0.35">
      <c r="B169" s="387" t="s">
        <v>81</v>
      </c>
      <c r="C169" s="387" t="s">
        <v>82</v>
      </c>
      <c r="D169" s="51" t="s">
        <v>3430</v>
      </c>
      <c r="E169" s="387" t="s">
        <v>3439</v>
      </c>
      <c r="F169" s="56" t="s">
        <v>3197</v>
      </c>
      <c r="G169" s="387" t="s">
        <v>3432</v>
      </c>
      <c r="H169" s="388" t="s">
        <v>3442</v>
      </c>
      <c r="I169" s="385" t="s">
        <v>3192</v>
      </c>
    </row>
    <row r="170" spans="2:9" ht="30" customHeight="1" x14ac:dyDescent="0.35">
      <c r="B170" s="387" t="s">
        <v>81</v>
      </c>
      <c r="C170" s="387" t="s">
        <v>82</v>
      </c>
      <c r="D170" s="387" t="s">
        <v>3430</v>
      </c>
      <c r="E170" s="387" t="s">
        <v>3439</v>
      </c>
      <c r="F170" s="56" t="s">
        <v>3197</v>
      </c>
      <c r="G170" s="387" t="s">
        <v>3436</v>
      </c>
      <c r="H170" s="388" t="s">
        <v>3443</v>
      </c>
      <c r="I170" s="385" t="s">
        <v>3192</v>
      </c>
    </row>
    <row r="171" spans="2:9" ht="30" customHeight="1" x14ac:dyDescent="0.35">
      <c r="B171" s="387" t="s">
        <v>81</v>
      </c>
      <c r="C171" s="387" t="s">
        <v>82</v>
      </c>
      <c r="D171" s="387" t="s">
        <v>3430</v>
      </c>
      <c r="E171" s="387" t="s">
        <v>3439</v>
      </c>
      <c r="F171" s="387" t="s">
        <v>3430</v>
      </c>
      <c r="G171" s="387" t="s">
        <v>3434</v>
      </c>
      <c r="H171" s="388" t="s">
        <v>3444</v>
      </c>
      <c r="I171" s="385" t="s">
        <v>3192</v>
      </c>
    </row>
    <row r="172" spans="2:9" ht="30" customHeight="1" x14ac:dyDescent="0.35">
      <c r="B172" s="387" t="s">
        <v>81</v>
      </c>
      <c r="C172" s="387" t="s">
        <v>82</v>
      </c>
      <c r="D172" s="387" t="s">
        <v>3430</v>
      </c>
      <c r="E172" s="387" t="s">
        <v>3439</v>
      </c>
      <c r="F172" s="56" t="s">
        <v>340</v>
      </c>
      <c r="G172" s="387" t="s">
        <v>82</v>
      </c>
      <c r="H172" s="392" t="s">
        <v>3445</v>
      </c>
      <c r="I172" s="385" t="s">
        <v>3200</v>
      </c>
    </row>
    <row r="173" spans="2:9" ht="30" customHeight="1" x14ac:dyDescent="0.35">
      <c r="B173" s="387" t="s">
        <v>81</v>
      </c>
      <c r="C173" s="387" t="s">
        <v>82</v>
      </c>
      <c r="D173" s="387" t="s">
        <v>3430</v>
      </c>
      <c r="E173" s="387" t="s">
        <v>3446</v>
      </c>
      <c r="F173" s="387" t="s">
        <v>3430</v>
      </c>
      <c r="G173" s="387" t="s">
        <v>3447</v>
      </c>
      <c r="H173" s="388" t="s">
        <v>3448</v>
      </c>
      <c r="I173" s="385" t="s">
        <v>3192</v>
      </c>
    </row>
    <row r="174" spans="2:9" ht="30" customHeight="1" x14ac:dyDescent="0.35">
      <c r="B174" s="387" t="s">
        <v>81</v>
      </c>
      <c r="C174" s="387" t="s">
        <v>82</v>
      </c>
      <c r="D174" s="51" t="s">
        <v>3430</v>
      </c>
      <c r="E174" s="387" t="s">
        <v>3446</v>
      </c>
      <c r="F174" s="56" t="s">
        <v>3197</v>
      </c>
      <c r="G174" s="387" t="s">
        <v>3432</v>
      </c>
      <c r="H174" s="388" t="s">
        <v>3449</v>
      </c>
      <c r="I174" s="385" t="s">
        <v>3192</v>
      </c>
    </row>
    <row r="175" spans="2:9" ht="30" customHeight="1" x14ac:dyDescent="0.35">
      <c r="B175" s="387" t="s">
        <v>81</v>
      </c>
      <c r="C175" s="387" t="s">
        <v>82</v>
      </c>
      <c r="D175" s="387" t="s">
        <v>3430</v>
      </c>
      <c r="E175" s="387" t="s">
        <v>3446</v>
      </c>
      <c r="F175" s="56" t="s">
        <v>3197</v>
      </c>
      <c r="G175" s="387" t="s">
        <v>3436</v>
      </c>
      <c r="H175" s="388" t="s">
        <v>3450</v>
      </c>
      <c r="I175" s="385" t="s">
        <v>3192</v>
      </c>
    </row>
    <row r="176" spans="2:9" ht="30" customHeight="1" x14ac:dyDescent="0.35">
      <c r="B176" s="387" t="s">
        <v>81</v>
      </c>
      <c r="C176" s="387" t="s">
        <v>82</v>
      </c>
      <c r="D176" s="387" t="s">
        <v>3430</v>
      </c>
      <c r="E176" s="387" t="s">
        <v>3446</v>
      </c>
      <c r="F176" s="387" t="s">
        <v>3430</v>
      </c>
      <c r="G176" s="387" t="s">
        <v>3451</v>
      </c>
      <c r="H176" s="388" t="s">
        <v>3452</v>
      </c>
      <c r="I176" s="385" t="s">
        <v>3192</v>
      </c>
    </row>
    <row r="177" spans="2:9" ht="30" customHeight="1" x14ac:dyDescent="0.35">
      <c r="B177" s="387" t="s">
        <v>81</v>
      </c>
      <c r="C177" s="387" t="s">
        <v>82</v>
      </c>
      <c r="D177" s="387" t="s">
        <v>3430</v>
      </c>
      <c r="E177" s="387" t="s">
        <v>3446</v>
      </c>
      <c r="F177" s="56" t="s">
        <v>340</v>
      </c>
      <c r="G177" s="387" t="s">
        <v>82</v>
      </c>
      <c r="H177" s="392" t="s">
        <v>3453</v>
      </c>
      <c r="I177" s="385" t="s">
        <v>3200</v>
      </c>
    </row>
    <row r="178" spans="2:9" ht="30" customHeight="1" x14ac:dyDescent="0.35">
      <c r="B178" s="387" t="s">
        <v>81</v>
      </c>
      <c r="C178" s="387" t="s">
        <v>82</v>
      </c>
      <c r="D178" s="387" t="s">
        <v>3430</v>
      </c>
      <c r="E178" s="387" t="s">
        <v>3454</v>
      </c>
      <c r="F178" s="387" t="s">
        <v>3430</v>
      </c>
      <c r="G178" s="387" t="s">
        <v>3455</v>
      </c>
      <c r="H178" s="388" t="s">
        <v>3456</v>
      </c>
      <c r="I178" s="385" t="s">
        <v>3192</v>
      </c>
    </row>
    <row r="179" spans="2:9" ht="30" customHeight="1" x14ac:dyDescent="0.35">
      <c r="B179" s="387" t="s">
        <v>81</v>
      </c>
      <c r="C179" s="387" t="s">
        <v>82</v>
      </c>
      <c r="D179" s="51" t="s">
        <v>3430</v>
      </c>
      <c r="E179" s="387" t="s">
        <v>3454</v>
      </c>
      <c r="F179" s="56" t="s">
        <v>3197</v>
      </c>
      <c r="G179" s="387" t="s">
        <v>3432</v>
      </c>
      <c r="H179" s="388" t="s">
        <v>3457</v>
      </c>
      <c r="I179" s="385" t="s">
        <v>3192</v>
      </c>
    </row>
    <row r="180" spans="2:9" ht="30" customHeight="1" x14ac:dyDescent="0.35">
      <c r="B180" s="387" t="s">
        <v>81</v>
      </c>
      <c r="C180" s="387" t="s">
        <v>82</v>
      </c>
      <c r="D180" s="387" t="s">
        <v>3430</v>
      </c>
      <c r="E180" s="387" t="s">
        <v>3454</v>
      </c>
      <c r="F180" s="56" t="s">
        <v>3197</v>
      </c>
      <c r="G180" s="387" t="s">
        <v>3436</v>
      </c>
      <c r="H180" s="388" t="s">
        <v>3458</v>
      </c>
      <c r="I180" s="385" t="s">
        <v>3192</v>
      </c>
    </row>
    <row r="181" spans="2:9" ht="30" customHeight="1" x14ac:dyDescent="0.35">
      <c r="B181" s="387" t="s">
        <v>81</v>
      </c>
      <c r="C181" s="387" t="s">
        <v>82</v>
      </c>
      <c r="D181" s="387" t="s">
        <v>3430</v>
      </c>
      <c r="E181" s="387" t="s">
        <v>3454</v>
      </c>
      <c r="F181" s="387" t="s">
        <v>3430</v>
      </c>
      <c r="G181" s="387" t="s">
        <v>3451</v>
      </c>
      <c r="H181" s="388" t="s">
        <v>3459</v>
      </c>
      <c r="I181" s="385" t="s">
        <v>3192</v>
      </c>
    </row>
    <row r="182" spans="2:9" ht="30" customHeight="1" x14ac:dyDescent="0.35">
      <c r="B182" s="387" t="s">
        <v>81</v>
      </c>
      <c r="C182" s="387" t="s">
        <v>82</v>
      </c>
      <c r="D182" s="387" t="s">
        <v>3430</v>
      </c>
      <c r="E182" s="387" t="s">
        <v>3454</v>
      </c>
      <c r="F182" s="56" t="s">
        <v>340</v>
      </c>
      <c r="G182" s="387" t="s">
        <v>82</v>
      </c>
      <c r="H182" s="392" t="s">
        <v>3460</v>
      </c>
      <c r="I182" s="385" t="s">
        <v>3200</v>
      </c>
    </row>
    <row r="183" spans="2:9" ht="30" customHeight="1" x14ac:dyDescent="0.35">
      <c r="B183" s="387" t="s">
        <v>81</v>
      </c>
      <c r="C183" s="387" t="s">
        <v>82</v>
      </c>
      <c r="D183" s="51" t="s">
        <v>3219</v>
      </c>
      <c r="E183" s="51" t="s">
        <v>3220</v>
      </c>
      <c r="F183" s="56" t="s">
        <v>340</v>
      </c>
      <c r="G183" s="387" t="s">
        <v>82</v>
      </c>
      <c r="H183" s="392" t="s">
        <v>3461</v>
      </c>
      <c r="I183" s="55" t="s">
        <v>3200</v>
      </c>
    </row>
    <row r="184" spans="2:9" ht="30" customHeight="1" x14ac:dyDescent="0.35">
      <c r="B184" s="387" t="s">
        <v>81</v>
      </c>
      <c r="C184" s="387" t="s">
        <v>82</v>
      </c>
      <c r="D184" s="51" t="s">
        <v>3209</v>
      </c>
      <c r="E184" s="51" t="s">
        <v>3210</v>
      </c>
      <c r="F184" s="56" t="s">
        <v>340</v>
      </c>
      <c r="G184" s="387" t="s">
        <v>82</v>
      </c>
      <c r="H184" s="392" t="s">
        <v>3462</v>
      </c>
      <c r="I184" s="55" t="s">
        <v>3200</v>
      </c>
    </row>
    <row r="185" spans="2:9" ht="30" customHeight="1" x14ac:dyDescent="0.35">
      <c r="B185" s="387" t="s">
        <v>81</v>
      </c>
      <c r="C185" s="387" t="s">
        <v>82</v>
      </c>
      <c r="D185" s="51" t="s">
        <v>3209</v>
      </c>
      <c r="E185" s="51" t="s">
        <v>3463</v>
      </c>
      <c r="F185" s="51" t="s">
        <v>3209</v>
      </c>
      <c r="G185" s="387" t="s">
        <v>3464</v>
      </c>
      <c r="H185" s="392" t="s">
        <v>3465</v>
      </c>
      <c r="I185" s="387"/>
    </row>
    <row r="186" spans="2:9" ht="30" customHeight="1" x14ac:dyDescent="0.35">
      <c r="B186" s="385" t="s">
        <v>81</v>
      </c>
      <c r="C186" s="385" t="s">
        <v>82</v>
      </c>
      <c r="D186" s="385" t="s">
        <v>3209</v>
      </c>
      <c r="E186" s="385" t="s">
        <v>3210</v>
      </c>
      <c r="F186" s="385" t="s">
        <v>3209</v>
      </c>
      <c r="G186" s="385" t="s">
        <v>3211</v>
      </c>
      <c r="H186" s="57" t="s">
        <v>3212</v>
      </c>
      <c r="I186" s="55" t="s">
        <v>3192</v>
      </c>
    </row>
    <row r="187" spans="2:9" ht="30" customHeight="1" x14ac:dyDescent="0.35">
      <c r="B187" s="385" t="s">
        <v>81</v>
      </c>
      <c r="C187" s="385" t="s">
        <v>82</v>
      </c>
      <c r="D187" s="385" t="s">
        <v>3209</v>
      </c>
      <c r="E187" s="385" t="s">
        <v>3210</v>
      </c>
      <c r="F187" s="56" t="s">
        <v>3197</v>
      </c>
      <c r="G187" s="387" t="s">
        <v>3355</v>
      </c>
      <c r="H187" s="388" t="s">
        <v>3466</v>
      </c>
      <c r="I187" s="387"/>
    </row>
    <row r="188" spans="2:9" ht="30" customHeight="1" x14ac:dyDescent="0.35">
      <c r="B188" s="385" t="s">
        <v>81</v>
      </c>
      <c r="C188" s="385" t="s">
        <v>82</v>
      </c>
      <c r="D188" s="387" t="s">
        <v>3430</v>
      </c>
      <c r="E188" s="387" t="s">
        <v>3431</v>
      </c>
      <c r="F188" s="387" t="s">
        <v>340</v>
      </c>
      <c r="G188" s="387" t="s">
        <v>3167</v>
      </c>
      <c r="H188" s="392" t="s">
        <v>3467</v>
      </c>
      <c r="I188" s="55" t="s">
        <v>3200</v>
      </c>
    </row>
    <row r="189" spans="2:9" ht="30" customHeight="1" x14ac:dyDescent="0.35">
      <c r="B189" s="385" t="s">
        <v>81</v>
      </c>
      <c r="C189" s="385" t="s">
        <v>82</v>
      </c>
      <c r="D189" s="387" t="s">
        <v>3430</v>
      </c>
      <c r="E189" s="387" t="s">
        <v>3439</v>
      </c>
      <c r="F189" s="387" t="s">
        <v>340</v>
      </c>
      <c r="G189" s="387" t="s">
        <v>3167</v>
      </c>
      <c r="H189" s="392" t="s">
        <v>3468</v>
      </c>
      <c r="I189" s="55" t="s">
        <v>3200</v>
      </c>
    </row>
    <row r="190" spans="2:9" ht="30" customHeight="1" x14ac:dyDescent="0.35">
      <c r="B190" s="385" t="s">
        <v>81</v>
      </c>
      <c r="C190" s="385" t="s">
        <v>82</v>
      </c>
      <c r="D190" s="387" t="s">
        <v>3430</v>
      </c>
      <c r="E190" s="387" t="s">
        <v>3469</v>
      </c>
      <c r="F190" s="387" t="s">
        <v>340</v>
      </c>
      <c r="G190" s="387" t="s">
        <v>3167</v>
      </c>
      <c r="H190" s="392" t="s">
        <v>3453</v>
      </c>
      <c r="I190" s="55" t="s">
        <v>3200</v>
      </c>
    </row>
    <row r="191" spans="2:9" ht="30" customHeight="1" x14ac:dyDescent="0.35">
      <c r="B191" s="385" t="s">
        <v>81</v>
      </c>
      <c r="C191" s="385" t="s">
        <v>82</v>
      </c>
      <c r="D191" s="387" t="s">
        <v>3430</v>
      </c>
      <c r="E191" s="387" t="s">
        <v>3470</v>
      </c>
      <c r="F191" s="387" t="s">
        <v>340</v>
      </c>
      <c r="G191" s="387" t="s">
        <v>3167</v>
      </c>
      <c r="H191" s="392" t="s">
        <v>3471</v>
      </c>
      <c r="I191" s="55" t="s">
        <v>3200</v>
      </c>
    </row>
    <row r="192" spans="2:9" ht="30" customHeight="1" x14ac:dyDescent="0.35">
      <c r="B192" s="385" t="s">
        <v>81</v>
      </c>
      <c r="C192" s="385" t="s">
        <v>82</v>
      </c>
      <c r="D192" s="387" t="s">
        <v>3430</v>
      </c>
      <c r="E192" s="387" t="s">
        <v>3472</v>
      </c>
      <c r="F192" s="387" t="s">
        <v>340</v>
      </c>
      <c r="G192" s="387" t="s">
        <v>3167</v>
      </c>
      <c r="H192" s="392" t="s">
        <v>3473</v>
      </c>
      <c r="I192" s="55" t="s">
        <v>3200</v>
      </c>
    </row>
    <row r="193" spans="2:9" ht="30" customHeight="1" x14ac:dyDescent="0.35">
      <c r="B193" s="385" t="s">
        <v>81</v>
      </c>
      <c r="C193" s="385" t="s">
        <v>82</v>
      </c>
      <c r="D193" s="387" t="s">
        <v>3430</v>
      </c>
      <c r="E193" s="387" t="s">
        <v>3454</v>
      </c>
      <c r="F193" s="387" t="s">
        <v>340</v>
      </c>
      <c r="G193" s="387" t="s">
        <v>3167</v>
      </c>
      <c r="H193" s="392" t="s">
        <v>3474</v>
      </c>
      <c r="I193" s="55" t="s">
        <v>3200</v>
      </c>
    </row>
    <row r="194" spans="2:9" ht="30" customHeight="1" x14ac:dyDescent="0.35">
      <c r="B194" s="385" t="s">
        <v>81</v>
      </c>
      <c r="C194" s="385" t="s">
        <v>82</v>
      </c>
      <c r="D194" s="387" t="s">
        <v>3219</v>
      </c>
      <c r="E194" s="387" t="s">
        <v>3220</v>
      </c>
      <c r="F194" s="387" t="s">
        <v>340</v>
      </c>
      <c r="G194" s="387" t="s">
        <v>3167</v>
      </c>
      <c r="H194" s="392" t="s">
        <v>3475</v>
      </c>
      <c r="I194" s="55" t="s">
        <v>3200</v>
      </c>
    </row>
    <row r="195" spans="2:9" ht="30" customHeight="1" x14ac:dyDescent="0.35">
      <c r="B195" s="385" t="s">
        <v>81</v>
      </c>
      <c r="C195" s="385" t="s">
        <v>82</v>
      </c>
      <c r="D195" s="387" t="s">
        <v>3209</v>
      </c>
      <c r="E195" s="387" t="s">
        <v>3241</v>
      </c>
      <c r="F195" s="387" t="s">
        <v>340</v>
      </c>
      <c r="G195" s="387" t="s">
        <v>3167</v>
      </c>
      <c r="H195" s="392" t="s">
        <v>3476</v>
      </c>
      <c r="I195" s="55" t="s">
        <v>3200</v>
      </c>
    </row>
    <row r="196" spans="2:9" ht="30" customHeight="1" x14ac:dyDescent="0.35">
      <c r="B196" s="385" t="s">
        <v>81</v>
      </c>
      <c r="C196" s="385" t="s">
        <v>82</v>
      </c>
      <c r="D196" s="385" t="s">
        <v>3430</v>
      </c>
      <c r="E196" s="385" t="s">
        <v>3446</v>
      </c>
      <c r="F196" s="385" t="s">
        <v>3430</v>
      </c>
      <c r="G196" s="385" t="s">
        <v>3477</v>
      </c>
      <c r="H196" s="386" t="s">
        <v>3478</v>
      </c>
      <c r="I196" s="55" t="s">
        <v>3192</v>
      </c>
    </row>
    <row r="197" spans="2:9" x14ac:dyDescent="0.35">
      <c r="B197" s="385" t="s">
        <v>340</v>
      </c>
      <c r="C197" s="385" t="s">
        <v>3167</v>
      </c>
      <c r="D197" s="385" t="s">
        <v>3430</v>
      </c>
      <c r="E197" s="385" t="s">
        <v>3446</v>
      </c>
      <c r="F197" s="385" t="s">
        <v>3430</v>
      </c>
      <c r="G197" s="385" t="s">
        <v>3477</v>
      </c>
      <c r="H197" s="386" t="s">
        <v>3478</v>
      </c>
      <c r="I197" s="55" t="s">
        <v>3192</v>
      </c>
    </row>
    <row r="198" spans="2:9" x14ac:dyDescent="0.35">
      <c r="B198"/>
      <c r="C198"/>
      <c r="D198"/>
      <c r="E198"/>
      <c r="F198"/>
    </row>
    <row r="199" spans="2:9" x14ac:dyDescent="0.35">
      <c r="B199"/>
      <c r="C199"/>
      <c r="D199"/>
      <c r="E199"/>
      <c r="F199"/>
    </row>
    <row r="200" spans="2:9" x14ac:dyDescent="0.35">
      <c r="B200"/>
      <c r="C200"/>
      <c r="D200"/>
      <c r="E200"/>
      <c r="F200"/>
    </row>
    <row r="201" spans="2:9" x14ac:dyDescent="0.35">
      <c r="B201"/>
      <c r="C201"/>
      <c r="D201"/>
      <c r="E201"/>
      <c r="F201"/>
    </row>
    <row r="202" spans="2:9" x14ac:dyDescent="0.35">
      <c r="B202"/>
      <c r="C202"/>
      <c r="D202"/>
      <c r="E202"/>
      <c r="F202"/>
    </row>
    <row r="203" spans="2:9" x14ac:dyDescent="0.35">
      <c r="B203"/>
      <c r="C203"/>
      <c r="D203"/>
      <c r="E203"/>
      <c r="F203"/>
    </row>
    <row r="204" spans="2:9" x14ac:dyDescent="0.35">
      <c r="B204"/>
      <c r="C204"/>
      <c r="D204"/>
      <c r="E204"/>
      <c r="F204"/>
    </row>
    <row r="205" spans="2:9" x14ac:dyDescent="0.35">
      <c r="B205"/>
      <c r="C205"/>
      <c r="D205"/>
      <c r="E205"/>
      <c r="F205"/>
    </row>
    <row r="206" spans="2:9" x14ac:dyDescent="0.35">
      <c r="B206"/>
      <c r="C206"/>
      <c r="D206"/>
      <c r="E206"/>
      <c r="F206"/>
    </row>
    <row r="207" spans="2:9" x14ac:dyDescent="0.35">
      <c r="B207"/>
      <c r="C207"/>
      <c r="D207"/>
      <c r="E207"/>
      <c r="F207"/>
    </row>
    <row r="208" spans="2:9" x14ac:dyDescent="0.35">
      <c r="B208"/>
      <c r="C208"/>
      <c r="D208"/>
      <c r="E208"/>
      <c r="F208"/>
    </row>
    <row r="209" spans="2:6" x14ac:dyDescent="0.35">
      <c r="B209"/>
      <c r="C209"/>
      <c r="D209"/>
      <c r="E209"/>
      <c r="F209"/>
    </row>
    <row r="210" spans="2:6" x14ac:dyDescent="0.35">
      <c r="B210"/>
      <c r="C210"/>
      <c r="D210"/>
      <c r="E210"/>
      <c r="F210"/>
    </row>
    <row r="211" spans="2:6" x14ac:dyDescent="0.35">
      <c r="B211"/>
      <c r="C211"/>
      <c r="D211"/>
      <c r="E211"/>
      <c r="F211"/>
    </row>
    <row r="212" spans="2:6" x14ac:dyDescent="0.35">
      <c r="B212"/>
      <c r="C212"/>
      <c r="D212"/>
      <c r="E212"/>
      <c r="F212"/>
    </row>
    <row r="213" spans="2:6" x14ac:dyDescent="0.35">
      <c r="B213"/>
      <c r="C213"/>
      <c r="D213"/>
      <c r="E213"/>
      <c r="F213"/>
    </row>
    <row r="214" spans="2:6" x14ac:dyDescent="0.35">
      <c r="B214"/>
      <c r="C214"/>
      <c r="D214"/>
      <c r="E214"/>
      <c r="F214"/>
    </row>
    <row r="215" spans="2:6" x14ac:dyDescent="0.35">
      <c r="B215"/>
      <c r="C215"/>
      <c r="D215"/>
      <c r="E215"/>
      <c r="F215"/>
    </row>
    <row r="216" spans="2:6" x14ac:dyDescent="0.35">
      <c r="B216"/>
      <c r="C216"/>
      <c r="D216"/>
      <c r="E216"/>
      <c r="F216"/>
    </row>
    <row r="217" spans="2:6" x14ac:dyDescent="0.35">
      <c r="B217"/>
      <c r="C217"/>
      <c r="D217"/>
      <c r="E217"/>
      <c r="F217"/>
    </row>
    <row r="218" spans="2:6" x14ac:dyDescent="0.35">
      <c r="B218"/>
      <c r="C218"/>
      <c r="D218"/>
      <c r="E218"/>
      <c r="F218"/>
    </row>
    <row r="219" spans="2:6" x14ac:dyDescent="0.35">
      <c r="B219"/>
      <c r="C219"/>
      <c r="D219"/>
      <c r="E219"/>
      <c r="F219"/>
    </row>
    <row r="220" spans="2:6" x14ac:dyDescent="0.35">
      <c r="B220"/>
      <c r="C220"/>
      <c r="D220"/>
      <c r="E220"/>
      <c r="F220"/>
    </row>
    <row r="221" spans="2:6" x14ac:dyDescent="0.35">
      <c r="B221"/>
      <c r="C221"/>
      <c r="D221"/>
      <c r="E221"/>
      <c r="F221"/>
    </row>
    <row r="222" spans="2:6" x14ac:dyDescent="0.35">
      <c r="B222"/>
      <c r="C222"/>
      <c r="D222"/>
      <c r="E222"/>
      <c r="F222"/>
    </row>
    <row r="223" spans="2:6" x14ac:dyDescent="0.35">
      <c r="B223"/>
      <c r="C223"/>
      <c r="D223"/>
      <c r="E223"/>
      <c r="F223"/>
    </row>
    <row r="224" spans="2:6" x14ac:dyDescent="0.35">
      <c r="B224"/>
      <c r="C224"/>
      <c r="D224"/>
      <c r="E224"/>
      <c r="F224"/>
    </row>
    <row r="225" spans="2:6" x14ac:dyDescent="0.35">
      <c r="B225"/>
      <c r="C225"/>
      <c r="D225"/>
      <c r="E225"/>
      <c r="F225"/>
    </row>
    <row r="226" spans="2:6" x14ac:dyDescent="0.35">
      <c r="B226"/>
      <c r="C226"/>
      <c r="D226"/>
      <c r="E226"/>
      <c r="F226"/>
    </row>
    <row r="227" spans="2:6" x14ac:dyDescent="0.35">
      <c r="B227"/>
      <c r="C227"/>
      <c r="D227"/>
      <c r="E227"/>
      <c r="F227"/>
    </row>
    <row r="228" spans="2:6" x14ac:dyDescent="0.35">
      <c r="B228"/>
      <c r="C228"/>
      <c r="D228"/>
      <c r="E228"/>
      <c r="F228"/>
    </row>
    <row r="229" spans="2:6" x14ac:dyDescent="0.35">
      <c r="B229"/>
      <c r="C229"/>
      <c r="D229"/>
      <c r="E229"/>
      <c r="F229"/>
    </row>
    <row r="230" spans="2:6" x14ac:dyDescent="0.35">
      <c r="B230"/>
      <c r="C230"/>
      <c r="D230"/>
      <c r="E230"/>
      <c r="F230"/>
    </row>
    <row r="231" spans="2:6" x14ac:dyDescent="0.35">
      <c r="B231"/>
      <c r="C231"/>
      <c r="D231"/>
      <c r="E231"/>
      <c r="F231"/>
    </row>
    <row r="232" spans="2:6" x14ac:dyDescent="0.35">
      <c r="B232"/>
      <c r="C232"/>
      <c r="D232"/>
      <c r="E232"/>
      <c r="F232"/>
    </row>
    <row r="233" spans="2:6" x14ac:dyDescent="0.35">
      <c r="B233"/>
      <c r="C233"/>
      <c r="D233"/>
      <c r="E233"/>
      <c r="F233"/>
    </row>
    <row r="234" spans="2:6" x14ac:dyDescent="0.35">
      <c r="B234"/>
      <c r="C234"/>
      <c r="D234"/>
      <c r="E234"/>
      <c r="F234"/>
    </row>
    <row r="235" spans="2:6" x14ac:dyDescent="0.35">
      <c r="B235"/>
      <c r="C235"/>
      <c r="D235"/>
      <c r="E235"/>
      <c r="F235"/>
    </row>
    <row r="236" spans="2:6" x14ac:dyDescent="0.35">
      <c r="B236"/>
      <c r="C236"/>
      <c r="D236"/>
      <c r="E236"/>
      <c r="F236"/>
    </row>
    <row r="237" spans="2:6" x14ac:dyDescent="0.35">
      <c r="B237"/>
      <c r="C237"/>
      <c r="D237"/>
      <c r="E237"/>
      <c r="F237"/>
    </row>
    <row r="238" spans="2:6" x14ac:dyDescent="0.35">
      <c r="B238"/>
      <c r="C238"/>
      <c r="D238"/>
      <c r="E238"/>
      <c r="F238"/>
    </row>
    <row r="239" spans="2:6" x14ac:dyDescent="0.35">
      <c r="B239"/>
      <c r="C239"/>
      <c r="D239"/>
      <c r="E239"/>
      <c r="F239"/>
    </row>
    <row r="240" spans="2:6" x14ac:dyDescent="0.35">
      <c r="B240"/>
      <c r="C240"/>
      <c r="D240"/>
      <c r="E240"/>
      <c r="F240"/>
    </row>
    <row r="241" spans="2:6" x14ac:dyDescent="0.35">
      <c r="B241"/>
      <c r="C241"/>
      <c r="D241"/>
      <c r="E241"/>
      <c r="F241"/>
    </row>
    <row r="242" spans="2:6" x14ac:dyDescent="0.35">
      <c r="B242"/>
      <c r="C242"/>
      <c r="D242"/>
      <c r="E242"/>
      <c r="F242"/>
    </row>
    <row r="243" spans="2:6" x14ac:dyDescent="0.35">
      <c r="B243"/>
      <c r="C243"/>
      <c r="D243"/>
      <c r="E243"/>
      <c r="F243"/>
    </row>
    <row r="244" spans="2:6" x14ac:dyDescent="0.35">
      <c r="B244"/>
      <c r="C244"/>
      <c r="D244"/>
      <c r="E244"/>
      <c r="F244"/>
    </row>
    <row r="245" spans="2:6" x14ac:dyDescent="0.35">
      <c r="B245"/>
      <c r="C245"/>
      <c r="D245"/>
      <c r="E245"/>
      <c r="F245"/>
    </row>
    <row r="246" spans="2:6" x14ac:dyDescent="0.35">
      <c r="B246"/>
      <c r="C246"/>
      <c r="D246"/>
      <c r="E246"/>
      <c r="F246"/>
    </row>
    <row r="247" spans="2:6" x14ac:dyDescent="0.35">
      <c r="B247"/>
      <c r="C247"/>
      <c r="D247"/>
      <c r="E247"/>
      <c r="F247"/>
    </row>
    <row r="248" spans="2:6" x14ac:dyDescent="0.35">
      <c r="B248"/>
      <c r="C248"/>
      <c r="D248"/>
      <c r="E248"/>
      <c r="F248"/>
    </row>
    <row r="249" spans="2:6" x14ac:dyDescent="0.35">
      <c r="B249"/>
      <c r="C249"/>
      <c r="D249"/>
      <c r="E249"/>
      <c r="F249"/>
    </row>
    <row r="250" spans="2:6" x14ac:dyDescent="0.35">
      <c r="B250"/>
      <c r="C250"/>
      <c r="D250"/>
      <c r="E250"/>
      <c r="F250"/>
    </row>
    <row r="251" spans="2:6" x14ac:dyDescent="0.35">
      <c r="B251"/>
      <c r="C251"/>
      <c r="D251"/>
      <c r="E251"/>
      <c r="F251"/>
    </row>
    <row r="252" spans="2:6" x14ac:dyDescent="0.35">
      <c r="B252"/>
      <c r="C252"/>
      <c r="D252"/>
      <c r="E252"/>
      <c r="F252"/>
    </row>
    <row r="253" spans="2:6" x14ac:dyDescent="0.35">
      <c r="B253"/>
      <c r="C253"/>
      <c r="D253"/>
      <c r="E253"/>
      <c r="F253"/>
    </row>
    <row r="254" spans="2:6" x14ac:dyDescent="0.35">
      <c r="B254"/>
      <c r="C254"/>
      <c r="D254"/>
      <c r="E254"/>
      <c r="F254"/>
    </row>
    <row r="255" spans="2:6" x14ac:dyDescent="0.35">
      <c r="B255"/>
      <c r="C255"/>
      <c r="D255"/>
      <c r="E255"/>
      <c r="F255"/>
    </row>
    <row r="256" spans="2:6" x14ac:dyDescent="0.35">
      <c r="B256"/>
      <c r="C256"/>
      <c r="D256"/>
      <c r="E256"/>
      <c r="F256"/>
    </row>
    <row r="257" spans="2:6" x14ac:dyDescent="0.35">
      <c r="B257"/>
      <c r="C257"/>
      <c r="D257"/>
      <c r="E257"/>
      <c r="F257"/>
    </row>
    <row r="258" spans="2:6" x14ac:dyDescent="0.35">
      <c r="B258"/>
      <c r="C258"/>
      <c r="D258"/>
      <c r="E258"/>
      <c r="F258"/>
    </row>
    <row r="259" spans="2:6" x14ac:dyDescent="0.35">
      <c r="B259"/>
      <c r="C259"/>
      <c r="D259"/>
      <c r="E259"/>
      <c r="F259"/>
    </row>
    <row r="260" spans="2:6" x14ac:dyDescent="0.35">
      <c r="B260"/>
      <c r="C260"/>
      <c r="D260"/>
      <c r="E260"/>
      <c r="F260"/>
    </row>
    <row r="261" spans="2:6" x14ac:dyDescent="0.35">
      <c r="B261"/>
      <c r="C261"/>
      <c r="D261"/>
      <c r="E261"/>
      <c r="F261"/>
    </row>
    <row r="262" spans="2:6" x14ac:dyDescent="0.35">
      <c r="B262"/>
      <c r="C262"/>
      <c r="D262"/>
      <c r="E262"/>
      <c r="F262"/>
    </row>
    <row r="263" spans="2:6" x14ac:dyDescent="0.35">
      <c r="B263"/>
      <c r="C263"/>
      <c r="D263"/>
      <c r="E263"/>
      <c r="F263"/>
    </row>
    <row r="264" spans="2:6" x14ac:dyDescent="0.35">
      <c r="B264"/>
      <c r="C264"/>
      <c r="D264"/>
      <c r="E264"/>
      <c r="F264"/>
    </row>
    <row r="265" spans="2:6" x14ac:dyDescent="0.35">
      <c r="B265"/>
      <c r="C265"/>
      <c r="D265"/>
      <c r="E265"/>
      <c r="F265"/>
    </row>
    <row r="266" spans="2:6" x14ac:dyDescent="0.35">
      <c r="B266"/>
      <c r="C266"/>
      <c r="D266"/>
      <c r="E266"/>
      <c r="F266"/>
    </row>
    <row r="267" spans="2:6" x14ac:dyDescent="0.35">
      <c r="B267"/>
      <c r="C267"/>
      <c r="D267"/>
      <c r="E267"/>
      <c r="F267"/>
    </row>
    <row r="268" spans="2:6" x14ac:dyDescent="0.35">
      <c r="B268"/>
      <c r="C268"/>
      <c r="D268"/>
      <c r="E268"/>
      <c r="F268"/>
    </row>
    <row r="269" spans="2:6" x14ac:dyDescent="0.35">
      <c r="B269"/>
      <c r="C269"/>
      <c r="D269"/>
      <c r="E269"/>
      <c r="F269"/>
    </row>
    <row r="270" spans="2:6" x14ac:dyDescent="0.35">
      <c r="B270"/>
      <c r="C270"/>
      <c r="D270"/>
      <c r="E270"/>
      <c r="F270"/>
    </row>
    <row r="271" spans="2:6" x14ac:dyDescent="0.35">
      <c r="B271"/>
      <c r="C271"/>
      <c r="D271"/>
      <c r="E271"/>
      <c r="F271"/>
    </row>
    <row r="272" spans="2:6" x14ac:dyDescent="0.35">
      <c r="B272"/>
      <c r="C272"/>
      <c r="D272"/>
      <c r="E272"/>
      <c r="F272"/>
    </row>
    <row r="273" spans="2:6" x14ac:dyDescent="0.35">
      <c r="B273"/>
      <c r="C273"/>
      <c r="D273"/>
      <c r="E273"/>
      <c r="F273"/>
    </row>
    <row r="274" spans="2:6" x14ac:dyDescent="0.35">
      <c r="B274"/>
      <c r="C274"/>
      <c r="D274"/>
      <c r="E274"/>
      <c r="F274"/>
    </row>
    <row r="275" spans="2:6" x14ac:dyDescent="0.35">
      <c r="B275"/>
      <c r="C275"/>
      <c r="D275"/>
      <c r="E275"/>
      <c r="F275"/>
    </row>
    <row r="276" spans="2:6" x14ac:dyDescent="0.35">
      <c r="B276"/>
      <c r="C276"/>
      <c r="D276"/>
      <c r="E276"/>
      <c r="F276"/>
    </row>
    <row r="277" spans="2:6" x14ac:dyDescent="0.35">
      <c r="B277"/>
      <c r="C277"/>
      <c r="D277"/>
      <c r="E277"/>
      <c r="F277"/>
    </row>
    <row r="278" spans="2:6" x14ac:dyDescent="0.35">
      <c r="B278"/>
      <c r="C278"/>
      <c r="D278"/>
      <c r="E278"/>
      <c r="F278"/>
    </row>
    <row r="279" spans="2:6" x14ac:dyDescent="0.35">
      <c r="B279"/>
      <c r="C279"/>
      <c r="D279"/>
      <c r="E279"/>
      <c r="F279"/>
    </row>
    <row r="280" spans="2:6" x14ac:dyDescent="0.35">
      <c r="B280"/>
      <c r="C280"/>
      <c r="D280"/>
      <c r="E280"/>
      <c r="F280"/>
    </row>
    <row r="281" spans="2:6" x14ac:dyDescent="0.35">
      <c r="B281"/>
      <c r="C281"/>
      <c r="D281"/>
      <c r="E281"/>
      <c r="F281"/>
    </row>
    <row r="282" spans="2:6" x14ac:dyDescent="0.35">
      <c r="B282"/>
      <c r="C282"/>
      <c r="D282"/>
      <c r="E282"/>
      <c r="F282"/>
    </row>
    <row r="283" spans="2:6" x14ac:dyDescent="0.35">
      <c r="B283"/>
      <c r="C283"/>
      <c r="D283"/>
      <c r="E283"/>
      <c r="F283"/>
    </row>
    <row r="284" spans="2:6" x14ac:dyDescent="0.35">
      <c r="B284"/>
      <c r="C284"/>
      <c r="D284"/>
      <c r="E284"/>
      <c r="F284"/>
    </row>
    <row r="285" spans="2:6" x14ac:dyDescent="0.35">
      <c r="B285"/>
      <c r="C285"/>
      <c r="D285"/>
      <c r="E285"/>
      <c r="F285"/>
    </row>
    <row r="286" spans="2:6" x14ac:dyDescent="0.35">
      <c r="B286"/>
      <c r="C286"/>
      <c r="D286"/>
      <c r="E286"/>
      <c r="F286"/>
    </row>
    <row r="287" spans="2:6" x14ac:dyDescent="0.35">
      <c r="B287"/>
      <c r="C287"/>
      <c r="D287"/>
      <c r="E287"/>
      <c r="F287"/>
    </row>
    <row r="288" spans="2:6" x14ac:dyDescent="0.35">
      <c r="B288"/>
      <c r="C288"/>
      <c r="D288"/>
      <c r="E288"/>
      <c r="F288"/>
    </row>
    <row r="289" spans="2:6" x14ac:dyDescent="0.35">
      <c r="B289"/>
      <c r="C289"/>
      <c r="D289"/>
      <c r="E289"/>
      <c r="F289"/>
    </row>
    <row r="290" spans="2:6" x14ac:dyDescent="0.35">
      <c r="B290"/>
      <c r="C290"/>
      <c r="D290"/>
      <c r="E290"/>
      <c r="F290"/>
    </row>
    <row r="291" spans="2:6" x14ac:dyDescent="0.35">
      <c r="B291"/>
      <c r="C291"/>
      <c r="D291"/>
      <c r="E291"/>
      <c r="F291"/>
    </row>
    <row r="292" spans="2:6" x14ac:dyDescent="0.35">
      <c r="B292"/>
      <c r="C292"/>
      <c r="D292"/>
      <c r="E292"/>
      <c r="F292"/>
    </row>
    <row r="293" spans="2:6" x14ac:dyDescent="0.35">
      <c r="B293"/>
      <c r="C293"/>
      <c r="D293"/>
      <c r="E293"/>
      <c r="F293"/>
    </row>
    <row r="294" spans="2:6" x14ac:dyDescent="0.35">
      <c r="B294"/>
      <c r="C294"/>
      <c r="D294"/>
      <c r="E294"/>
      <c r="F294"/>
    </row>
    <row r="295" spans="2:6" x14ac:dyDescent="0.35">
      <c r="B295"/>
      <c r="C295"/>
      <c r="D295"/>
      <c r="E295"/>
      <c r="F295"/>
    </row>
    <row r="296" spans="2:6" x14ac:dyDescent="0.35">
      <c r="B296"/>
      <c r="C296"/>
      <c r="D296"/>
      <c r="E296"/>
      <c r="F296"/>
    </row>
    <row r="297" spans="2:6" x14ac:dyDescent="0.35">
      <c r="B297"/>
      <c r="C297"/>
      <c r="D297"/>
      <c r="E297"/>
      <c r="F297"/>
    </row>
    <row r="298" spans="2:6" x14ac:dyDescent="0.35">
      <c r="B298"/>
      <c r="C298"/>
      <c r="D298"/>
      <c r="E298"/>
      <c r="F298"/>
    </row>
    <row r="299" spans="2:6" x14ac:dyDescent="0.35">
      <c r="B299"/>
      <c r="C299"/>
      <c r="D299"/>
      <c r="E299"/>
      <c r="F299"/>
    </row>
    <row r="300" spans="2:6" x14ac:dyDescent="0.35">
      <c r="B300"/>
      <c r="C300"/>
      <c r="D300"/>
      <c r="E300"/>
      <c r="F300"/>
    </row>
    <row r="301" spans="2:6" x14ac:dyDescent="0.35">
      <c r="B301"/>
      <c r="C301"/>
      <c r="D301"/>
      <c r="E301"/>
      <c r="F301"/>
    </row>
    <row r="302" spans="2:6" x14ac:dyDescent="0.35">
      <c r="B302"/>
      <c r="C302"/>
      <c r="D302"/>
      <c r="E302"/>
      <c r="F302"/>
    </row>
    <row r="303" spans="2:6" x14ac:dyDescent="0.35">
      <c r="B303"/>
      <c r="C303"/>
      <c r="D303"/>
      <c r="E303"/>
      <c r="F303"/>
    </row>
    <row r="304" spans="2:6" x14ac:dyDescent="0.35">
      <c r="B304"/>
      <c r="C304"/>
      <c r="D304"/>
      <c r="E304"/>
      <c r="F304"/>
    </row>
    <row r="305" spans="2:6" x14ac:dyDescent="0.35">
      <c r="B305"/>
      <c r="C305"/>
      <c r="D305"/>
      <c r="E305"/>
      <c r="F305"/>
    </row>
    <row r="306" spans="2:6" x14ac:dyDescent="0.35">
      <c r="B306"/>
      <c r="C306"/>
      <c r="D306"/>
      <c r="E306"/>
      <c r="F306"/>
    </row>
    <row r="307" spans="2:6" x14ac:dyDescent="0.35">
      <c r="B307"/>
      <c r="C307"/>
      <c r="D307"/>
      <c r="E307"/>
      <c r="F307"/>
    </row>
    <row r="308" spans="2:6" x14ac:dyDescent="0.35">
      <c r="B308"/>
      <c r="C308"/>
      <c r="D308"/>
      <c r="E308"/>
      <c r="F308"/>
    </row>
    <row r="309" spans="2:6" x14ac:dyDescent="0.35">
      <c r="B309"/>
      <c r="C309"/>
      <c r="D309"/>
      <c r="E309"/>
      <c r="F309"/>
    </row>
    <row r="310" spans="2:6" x14ac:dyDescent="0.35">
      <c r="B310"/>
      <c r="C310"/>
      <c r="D310"/>
      <c r="E310"/>
      <c r="F310"/>
    </row>
    <row r="311" spans="2:6" x14ac:dyDescent="0.35">
      <c r="B311"/>
      <c r="C311"/>
      <c r="D311"/>
      <c r="E311"/>
      <c r="F311"/>
    </row>
    <row r="312" spans="2:6" x14ac:dyDescent="0.35">
      <c r="B312"/>
      <c r="C312"/>
      <c r="D312"/>
      <c r="E312"/>
      <c r="F312"/>
    </row>
    <row r="313" spans="2:6" x14ac:dyDescent="0.35">
      <c r="B313"/>
      <c r="C313"/>
      <c r="D313"/>
      <c r="E313"/>
      <c r="F313"/>
    </row>
    <row r="314" spans="2:6" x14ac:dyDescent="0.35">
      <c r="B314"/>
      <c r="C314"/>
      <c r="D314"/>
      <c r="E314"/>
      <c r="F314"/>
    </row>
    <row r="315" spans="2:6" x14ac:dyDescent="0.35">
      <c r="B315"/>
      <c r="C315"/>
      <c r="D315"/>
      <c r="E315"/>
      <c r="F315"/>
    </row>
    <row r="316" spans="2:6" x14ac:dyDescent="0.35">
      <c r="B316"/>
      <c r="C316"/>
      <c r="D316"/>
      <c r="E316"/>
      <c r="F316"/>
    </row>
    <row r="317" spans="2:6" x14ac:dyDescent="0.35">
      <c r="B317"/>
      <c r="C317"/>
      <c r="D317"/>
      <c r="E317"/>
      <c r="F317"/>
    </row>
    <row r="318" spans="2:6" x14ac:dyDescent="0.35">
      <c r="B318"/>
      <c r="C318"/>
      <c r="D318"/>
      <c r="E318"/>
      <c r="F318"/>
    </row>
    <row r="319" spans="2:6" x14ac:dyDescent="0.35">
      <c r="B319"/>
      <c r="C319"/>
      <c r="D319"/>
      <c r="E319"/>
      <c r="F319"/>
    </row>
    <row r="320" spans="2:6" x14ac:dyDescent="0.35">
      <c r="B320"/>
      <c r="C320"/>
      <c r="D320"/>
      <c r="E320"/>
      <c r="F320"/>
    </row>
    <row r="321" spans="2:6" x14ac:dyDescent="0.35">
      <c r="B321"/>
      <c r="C321"/>
      <c r="D321"/>
      <c r="E321"/>
      <c r="F321"/>
    </row>
    <row r="322" spans="2:6" x14ac:dyDescent="0.35">
      <c r="B322"/>
      <c r="C322"/>
      <c r="D322"/>
      <c r="E322"/>
      <c r="F322"/>
    </row>
    <row r="323" spans="2:6" x14ac:dyDescent="0.35">
      <c r="B323"/>
      <c r="C323"/>
      <c r="D323"/>
      <c r="E323"/>
      <c r="F323"/>
    </row>
    <row r="324" spans="2:6" x14ac:dyDescent="0.35">
      <c r="B324"/>
      <c r="C324"/>
      <c r="D324"/>
      <c r="E324"/>
      <c r="F324"/>
    </row>
    <row r="325" spans="2:6" x14ac:dyDescent="0.35">
      <c r="B325"/>
      <c r="C325"/>
      <c r="D325"/>
      <c r="E325"/>
      <c r="F325"/>
    </row>
    <row r="326" spans="2:6" x14ac:dyDescent="0.35">
      <c r="B326"/>
      <c r="C326"/>
      <c r="D326"/>
      <c r="E326"/>
      <c r="F326"/>
    </row>
    <row r="327" spans="2:6" x14ac:dyDescent="0.35">
      <c r="B327"/>
      <c r="C327"/>
      <c r="D327"/>
      <c r="E327"/>
      <c r="F327"/>
    </row>
    <row r="328" spans="2:6" x14ac:dyDescent="0.35">
      <c r="B328"/>
      <c r="C328"/>
      <c r="D328"/>
      <c r="E328"/>
      <c r="F328"/>
    </row>
    <row r="329" spans="2:6" x14ac:dyDescent="0.35">
      <c r="B329"/>
      <c r="C329"/>
      <c r="D329"/>
      <c r="E329"/>
      <c r="F329"/>
    </row>
    <row r="330" spans="2:6" x14ac:dyDescent="0.35">
      <c r="B330"/>
      <c r="C330"/>
      <c r="D330"/>
      <c r="E330"/>
      <c r="F330"/>
    </row>
    <row r="331" spans="2:6" x14ac:dyDescent="0.35">
      <c r="B331"/>
      <c r="C331"/>
      <c r="D331"/>
      <c r="E331"/>
      <c r="F331"/>
    </row>
    <row r="332" spans="2:6" x14ac:dyDescent="0.35">
      <c r="B332"/>
      <c r="C332"/>
      <c r="D332"/>
      <c r="E332"/>
      <c r="F332"/>
    </row>
    <row r="333" spans="2:6" x14ac:dyDescent="0.35">
      <c r="B333"/>
      <c r="C333"/>
      <c r="D333"/>
      <c r="E333"/>
      <c r="F333"/>
    </row>
    <row r="334" spans="2:6" x14ac:dyDescent="0.35">
      <c r="B334"/>
      <c r="C334"/>
      <c r="D334"/>
      <c r="E334"/>
      <c r="F334"/>
    </row>
    <row r="335" spans="2:6" x14ac:dyDescent="0.35">
      <c r="B335"/>
      <c r="C335"/>
      <c r="D335"/>
      <c r="E335"/>
      <c r="F335"/>
    </row>
    <row r="336" spans="2:6" x14ac:dyDescent="0.35">
      <c r="B336"/>
      <c r="C336"/>
      <c r="D336"/>
      <c r="E336"/>
      <c r="F336"/>
    </row>
    <row r="337" spans="2:6" x14ac:dyDescent="0.35">
      <c r="B337"/>
      <c r="C337"/>
      <c r="D337"/>
      <c r="E337"/>
      <c r="F337"/>
    </row>
    <row r="338" spans="2:6" x14ac:dyDescent="0.35">
      <c r="B338"/>
      <c r="C338"/>
      <c r="D338"/>
      <c r="E338"/>
      <c r="F338"/>
    </row>
    <row r="339" spans="2:6" x14ac:dyDescent="0.35">
      <c r="B339"/>
      <c r="C339"/>
      <c r="D339"/>
      <c r="E339"/>
      <c r="F339"/>
    </row>
    <row r="340" spans="2:6" x14ac:dyDescent="0.35">
      <c r="B340"/>
      <c r="C340"/>
      <c r="D340"/>
      <c r="E340"/>
      <c r="F340"/>
    </row>
    <row r="341" spans="2:6" x14ac:dyDescent="0.35">
      <c r="B341"/>
      <c r="C341"/>
      <c r="D341"/>
      <c r="E341"/>
      <c r="F341"/>
    </row>
    <row r="342" spans="2:6" x14ac:dyDescent="0.35">
      <c r="B342"/>
      <c r="C342"/>
      <c r="D342"/>
      <c r="E342"/>
      <c r="F342"/>
    </row>
    <row r="343" spans="2:6" x14ac:dyDescent="0.35">
      <c r="B343"/>
      <c r="C343"/>
      <c r="D343"/>
      <c r="E343"/>
      <c r="F343"/>
    </row>
    <row r="344" spans="2:6" x14ac:dyDescent="0.35">
      <c r="B344"/>
      <c r="C344"/>
      <c r="D344"/>
      <c r="E344"/>
      <c r="F344"/>
    </row>
    <row r="345" spans="2:6" x14ac:dyDescent="0.35">
      <c r="B345"/>
      <c r="C345"/>
      <c r="D345"/>
      <c r="E345"/>
      <c r="F345"/>
    </row>
    <row r="346" spans="2:6" x14ac:dyDescent="0.35">
      <c r="B346"/>
      <c r="C346"/>
      <c r="D346"/>
      <c r="E346"/>
      <c r="F346"/>
    </row>
    <row r="347" spans="2:6" x14ac:dyDescent="0.35">
      <c r="B347"/>
      <c r="C347"/>
      <c r="D347"/>
      <c r="E347"/>
      <c r="F347"/>
    </row>
    <row r="348" spans="2:6" x14ac:dyDescent="0.35">
      <c r="B348"/>
      <c r="C348"/>
      <c r="D348"/>
      <c r="E348"/>
      <c r="F348"/>
    </row>
    <row r="349" spans="2:6" x14ac:dyDescent="0.35">
      <c r="B349"/>
      <c r="C349"/>
      <c r="D349"/>
      <c r="E349"/>
      <c r="F349"/>
    </row>
    <row r="350" spans="2:6" x14ac:dyDescent="0.35">
      <c r="B350"/>
      <c r="C350"/>
      <c r="D350"/>
      <c r="E350"/>
      <c r="F350"/>
    </row>
    <row r="351" spans="2:6" x14ac:dyDescent="0.35">
      <c r="B351"/>
      <c r="C351"/>
      <c r="D351"/>
      <c r="E351"/>
      <c r="F351"/>
    </row>
    <row r="352" spans="2:6" x14ac:dyDescent="0.35">
      <c r="B352"/>
      <c r="C352"/>
      <c r="D352"/>
      <c r="E352"/>
      <c r="F352"/>
    </row>
    <row r="353" spans="2:6" x14ac:dyDescent="0.35">
      <c r="B353"/>
      <c r="C353"/>
      <c r="D353"/>
      <c r="E353"/>
      <c r="F353"/>
    </row>
    <row r="354" spans="2:6" x14ac:dyDescent="0.35">
      <c r="B354"/>
      <c r="C354"/>
      <c r="D354"/>
      <c r="E354"/>
      <c r="F354"/>
    </row>
    <row r="355" spans="2:6" x14ac:dyDescent="0.35">
      <c r="B355"/>
      <c r="C355"/>
      <c r="D355"/>
      <c r="E355"/>
      <c r="F355"/>
    </row>
    <row r="356" spans="2:6" x14ac:dyDescent="0.35">
      <c r="B356"/>
      <c r="C356"/>
      <c r="D356"/>
      <c r="E356"/>
      <c r="F356"/>
    </row>
    <row r="357" spans="2:6" x14ac:dyDescent="0.35">
      <c r="B357"/>
      <c r="C357"/>
      <c r="D357"/>
      <c r="E357"/>
      <c r="F357"/>
    </row>
    <row r="358" spans="2:6" x14ac:dyDescent="0.35">
      <c r="B358"/>
      <c r="C358"/>
      <c r="D358"/>
      <c r="E358"/>
      <c r="F358"/>
    </row>
    <row r="359" spans="2:6" x14ac:dyDescent="0.35">
      <c r="B359"/>
      <c r="C359"/>
      <c r="D359"/>
      <c r="E359"/>
      <c r="F359"/>
    </row>
    <row r="360" spans="2:6" x14ac:dyDescent="0.35">
      <c r="B360"/>
      <c r="C360"/>
      <c r="D360"/>
      <c r="E360"/>
      <c r="F360"/>
    </row>
    <row r="361" spans="2:6" x14ac:dyDescent="0.35">
      <c r="B361"/>
      <c r="C361"/>
      <c r="D361"/>
      <c r="E361"/>
      <c r="F361"/>
    </row>
    <row r="362" spans="2:6" x14ac:dyDescent="0.35">
      <c r="B362"/>
      <c r="C362"/>
      <c r="D362"/>
      <c r="E362"/>
      <c r="F362"/>
    </row>
    <row r="363" spans="2:6" x14ac:dyDescent="0.35">
      <c r="B363"/>
      <c r="C363"/>
      <c r="D363"/>
      <c r="E363"/>
      <c r="F363"/>
    </row>
    <row r="364" spans="2:6" x14ac:dyDescent="0.35">
      <c r="B364"/>
      <c r="C364"/>
      <c r="D364"/>
      <c r="E364"/>
      <c r="F364"/>
    </row>
    <row r="365" spans="2:6" x14ac:dyDescent="0.35">
      <c r="B365"/>
      <c r="C365"/>
      <c r="D365"/>
      <c r="E365"/>
      <c r="F365"/>
    </row>
    <row r="366" spans="2:6" x14ac:dyDescent="0.35">
      <c r="B366"/>
      <c r="C366"/>
      <c r="D366"/>
      <c r="E366"/>
      <c r="F366"/>
    </row>
    <row r="367" spans="2:6" x14ac:dyDescent="0.35">
      <c r="B367"/>
      <c r="C367"/>
      <c r="D367"/>
      <c r="E367"/>
      <c r="F367"/>
    </row>
    <row r="368" spans="2:6" x14ac:dyDescent="0.35">
      <c r="B368"/>
      <c r="C368"/>
      <c r="D368"/>
      <c r="E368"/>
      <c r="F368"/>
    </row>
    <row r="369" spans="2:6" x14ac:dyDescent="0.35">
      <c r="B369"/>
      <c r="C369"/>
      <c r="D369"/>
      <c r="E369"/>
      <c r="F369"/>
    </row>
    <row r="370" spans="2:6" x14ac:dyDescent="0.35">
      <c r="B370"/>
      <c r="C370"/>
      <c r="D370"/>
      <c r="E370"/>
      <c r="F370"/>
    </row>
    <row r="371" spans="2:6" x14ac:dyDescent="0.35">
      <c r="B371"/>
      <c r="C371"/>
      <c r="D371"/>
      <c r="E371"/>
      <c r="F371"/>
    </row>
    <row r="372" spans="2:6" x14ac:dyDescent="0.35">
      <c r="B372"/>
      <c r="C372"/>
      <c r="D372"/>
      <c r="E372"/>
      <c r="F372"/>
    </row>
    <row r="373" spans="2:6" x14ac:dyDescent="0.35">
      <c r="B373"/>
      <c r="C373"/>
      <c r="D373"/>
      <c r="E373"/>
      <c r="F373"/>
    </row>
    <row r="374" spans="2:6" x14ac:dyDescent="0.35">
      <c r="B374"/>
      <c r="C374"/>
      <c r="D374"/>
      <c r="E374"/>
      <c r="F374"/>
    </row>
    <row r="375" spans="2:6" x14ac:dyDescent="0.35">
      <c r="B375"/>
      <c r="C375"/>
      <c r="D375"/>
      <c r="E375"/>
      <c r="F375"/>
    </row>
    <row r="376" spans="2:6" x14ac:dyDescent="0.35">
      <c r="B376"/>
      <c r="C376"/>
      <c r="D376"/>
      <c r="E376"/>
      <c r="F376"/>
    </row>
    <row r="377" spans="2:6" x14ac:dyDescent="0.35">
      <c r="B377"/>
      <c r="C377"/>
      <c r="D377"/>
      <c r="E377"/>
      <c r="F377"/>
    </row>
    <row r="378" spans="2:6" x14ac:dyDescent="0.35">
      <c r="B378"/>
      <c r="C378"/>
      <c r="D378"/>
      <c r="E378"/>
      <c r="F378"/>
    </row>
    <row r="379" spans="2:6" x14ac:dyDescent="0.35">
      <c r="B379"/>
      <c r="C379"/>
      <c r="D379"/>
      <c r="E379"/>
      <c r="F379"/>
    </row>
    <row r="380" spans="2:6" x14ac:dyDescent="0.35">
      <c r="B380"/>
      <c r="C380"/>
      <c r="D380"/>
      <c r="E380"/>
      <c r="F380"/>
    </row>
    <row r="381" spans="2:6" x14ac:dyDescent="0.35">
      <c r="B381"/>
      <c r="C381"/>
      <c r="D381"/>
      <c r="E381"/>
      <c r="F381"/>
    </row>
    <row r="382" spans="2:6" x14ac:dyDescent="0.35">
      <c r="B382"/>
      <c r="C382"/>
      <c r="D382"/>
      <c r="E382"/>
      <c r="F382"/>
    </row>
    <row r="383" spans="2:6" x14ac:dyDescent="0.35">
      <c r="B383"/>
      <c r="C383"/>
      <c r="D383"/>
      <c r="E383"/>
      <c r="F383"/>
    </row>
    <row r="384" spans="2:6" x14ac:dyDescent="0.35">
      <c r="B384"/>
      <c r="C384"/>
      <c r="D384"/>
      <c r="E384"/>
      <c r="F384"/>
    </row>
    <row r="385" spans="2:6" x14ac:dyDescent="0.35">
      <c r="B385"/>
      <c r="C385"/>
      <c r="D385"/>
      <c r="E385"/>
      <c r="F385"/>
    </row>
    <row r="386" spans="2:6" x14ac:dyDescent="0.35">
      <c r="B386"/>
      <c r="C386"/>
      <c r="D386"/>
      <c r="E386"/>
      <c r="F386"/>
    </row>
    <row r="387" spans="2:6" x14ac:dyDescent="0.35">
      <c r="B387"/>
      <c r="C387"/>
      <c r="D387"/>
      <c r="E387"/>
      <c r="F387"/>
    </row>
    <row r="388" spans="2:6" x14ac:dyDescent="0.35">
      <c r="B388"/>
      <c r="C388"/>
      <c r="D388"/>
      <c r="E388"/>
      <c r="F388"/>
    </row>
    <row r="389" spans="2:6" x14ac:dyDescent="0.35">
      <c r="B389"/>
      <c r="C389"/>
      <c r="D389"/>
      <c r="E389"/>
      <c r="F389"/>
    </row>
    <row r="390" spans="2:6" x14ac:dyDescent="0.35">
      <c r="B390"/>
      <c r="C390"/>
      <c r="D390"/>
      <c r="E390"/>
      <c r="F390"/>
    </row>
    <row r="391" spans="2:6" x14ac:dyDescent="0.35">
      <c r="B391"/>
      <c r="C391"/>
      <c r="D391"/>
      <c r="E391"/>
      <c r="F391"/>
    </row>
    <row r="392" spans="2:6" x14ac:dyDescent="0.35">
      <c r="B392"/>
      <c r="C392"/>
      <c r="D392"/>
      <c r="E392"/>
      <c r="F392"/>
    </row>
    <row r="393" spans="2:6" x14ac:dyDescent="0.35">
      <c r="B393"/>
      <c r="C393"/>
      <c r="D393"/>
      <c r="E393"/>
      <c r="F393"/>
    </row>
    <row r="394" spans="2:6" x14ac:dyDescent="0.35">
      <c r="B394"/>
      <c r="C394"/>
      <c r="D394"/>
      <c r="E394"/>
      <c r="F394"/>
    </row>
    <row r="395" spans="2:6" x14ac:dyDescent="0.35">
      <c r="B395"/>
      <c r="C395"/>
      <c r="D395"/>
      <c r="E395"/>
      <c r="F395"/>
    </row>
    <row r="396" spans="2:6" x14ac:dyDescent="0.35">
      <c r="B396"/>
      <c r="C396"/>
      <c r="D396"/>
      <c r="E396"/>
      <c r="F396"/>
    </row>
    <row r="397" spans="2:6" x14ac:dyDescent="0.35">
      <c r="B397"/>
      <c r="C397"/>
      <c r="D397"/>
      <c r="E397"/>
      <c r="F397"/>
    </row>
    <row r="398" spans="2:6" x14ac:dyDescent="0.35">
      <c r="B398"/>
      <c r="C398"/>
      <c r="D398"/>
      <c r="E398"/>
      <c r="F398"/>
    </row>
    <row r="399" spans="2:6" x14ac:dyDescent="0.35">
      <c r="B399"/>
      <c r="C399"/>
      <c r="D399"/>
      <c r="E399"/>
      <c r="F399"/>
    </row>
    <row r="400" spans="2:6" x14ac:dyDescent="0.35">
      <c r="B400"/>
      <c r="C400"/>
      <c r="D400"/>
      <c r="E400"/>
      <c r="F400"/>
    </row>
    <row r="401" spans="2:6" x14ac:dyDescent="0.35">
      <c r="B401"/>
      <c r="C401"/>
      <c r="D401"/>
      <c r="E401"/>
      <c r="F401"/>
    </row>
    <row r="402" spans="2:6" x14ac:dyDescent="0.35">
      <c r="B402"/>
      <c r="C402"/>
      <c r="D402"/>
      <c r="E402"/>
      <c r="F402"/>
    </row>
    <row r="403" spans="2:6" x14ac:dyDescent="0.35">
      <c r="B403"/>
      <c r="C403"/>
      <c r="D403"/>
      <c r="E403"/>
      <c r="F403"/>
    </row>
    <row r="404" spans="2:6" x14ac:dyDescent="0.35">
      <c r="B404"/>
      <c r="C404"/>
      <c r="D404"/>
      <c r="E404"/>
      <c r="F404"/>
    </row>
    <row r="405" spans="2:6" x14ac:dyDescent="0.35">
      <c r="B405"/>
      <c r="C405"/>
      <c r="D405"/>
      <c r="E405"/>
      <c r="F405"/>
    </row>
    <row r="406" spans="2:6" x14ac:dyDescent="0.35">
      <c r="B406"/>
      <c r="C406"/>
      <c r="D406"/>
      <c r="E406"/>
      <c r="F406"/>
    </row>
    <row r="407" spans="2:6" x14ac:dyDescent="0.35">
      <c r="B407"/>
      <c r="C407"/>
      <c r="D407"/>
      <c r="E407"/>
      <c r="F407"/>
    </row>
    <row r="408" spans="2:6" x14ac:dyDescent="0.35">
      <c r="B408"/>
      <c r="C408"/>
      <c r="D408"/>
      <c r="E408"/>
      <c r="F408"/>
    </row>
    <row r="409" spans="2:6" x14ac:dyDescent="0.35">
      <c r="B409"/>
      <c r="C409"/>
      <c r="D409"/>
      <c r="E409"/>
      <c r="F409"/>
    </row>
    <row r="410" spans="2:6" x14ac:dyDescent="0.35">
      <c r="B410"/>
      <c r="C410"/>
      <c r="D410"/>
      <c r="E410"/>
      <c r="F410"/>
    </row>
    <row r="411" spans="2:6" x14ac:dyDescent="0.35">
      <c r="B411"/>
      <c r="C411"/>
      <c r="D411"/>
      <c r="E411"/>
      <c r="F411"/>
    </row>
    <row r="412" spans="2:6" x14ac:dyDescent="0.35">
      <c r="B412"/>
      <c r="C412"/>
      <c r="D412"/>
      <c r="E412"/>
      <c r="F412"/>
    </row>
    <row r="413" spans="2:6" x14ac:dyDescent="0.35">
      <c r="B413"/>
      <c r="C413"/>
      <c r="D413"/>
      <c r="E413"/>
      <c r="F413"/>
    </row>
    <row r="414" spans="2:6" x14ac:dyDescent="0.35">
      <c r="B414"/>
      <c r="C414"/>
      <c r="D414"/>
      <c r="E414"/>
      <c r="F414"/>
    </row>
    <row r="415" spans="2:6" x14ac:dyDescent="0.35">
      <c r="B415"/>
      <c r="C415"/>
      <c r="D415"/>
      <c r="E415"/>
      <c r="F415"/>
    </row>
    <row r="416" spans="2:6" x14ac:dyDescent="0.35">
      <c r="B416"/>
      <c r="C416"/>
      <c r="D416"/>
      <c r="E416"/>
      <c r="F416"/>
    </row>
    <row r="417" spans="2:6" x14ac:dyDescent="0.35">
      <c r="B417"/>
      <c r="C417"/>
      <c r="D417"/>
      <c r="E417"/>
      <c r="F417"/>
    </row>
    <row r="418" spans="2:6" x14ac:dyDescent="0.35">
      <c r="B418"/>
      <c r="C418"/>
      <c r="D418"/>
      <c r="E418"/>
      <c r="F418"/>
    </row>
    <row r="419" spans="2:6" x14ac:dyDescent="0.35">
      <c r="B419"/>
      <c r="C419"/>
      <c r="D419"/>
      <c r="E419"/>
      <c r="F419"/>
    </row>
    <row r="420" spans="2:6" x14ac:dyDescent="0.35">
      <c r="B420"/>
      <c r="C420"/>
      <c r="D420"/>
      <c r="E420"/>
      <c r="F420"/>
    </row>
    <row r="421" spans="2:6" x14ac:dyDescent="0.35">
      <c r="B421"/>
      <c r="C421"/>
      <c r="D421"/>
      <c r="E421"/>
      <c r="F421"/>
    </row>
    <row r="422" spans="2:6" x14ac:dyDescent="0.35">
      <c r="B422"/>
      <c r="C422"/>
      <c r="D422"/>
      <c r="E422"/>
      <c r="F422"/>
    </row>
    <row r="423" spans="2:6" x14ac:dyDescent="0.35">
      <c r="B423"/>
      <c r="C423"/>
      <c r="D423"/>
      <c r="E423"/>
      <c r="F423"/>
    </row>
    <row r="424" spans="2:6" x14ac:dyDescent="0.35">
      <c r="B424"/>
      <c r="C424"/>
      <c r="D424"/>
      <c r="E424"/>
      <c r="F424"/>
    </row>
    <row r="425" spans="2:6" x14ac:dyDescent="0.35">
      <c r="B425"/>
      <c r="C425"/>
      <c r="D425"/>
      <c r="E425"/>
      <c r="F425"/>
    </row>
    <row r="426" spans="2:6" x14ac:dyDescent="0.35">
      <c r="B426"/>
      <c r="C426"/>
      <c r="D426"/>
      <c r="E426"/>
      <c r="F426"/>
    </row>
    <row r="427" spans="2:6" x14ac:dyDescent="0.35">
      <c r="B427"/>
      <c r="C427"/>
      <c r="D427"/>
      <c r="E427"/>
      <c r="F427"/>
    </row>
    <row r="428" spans="2:6" x14ac:dyDescent="0.35">
      <c r="B428"/>
      <c r="C428"/>
      <c r="D428"/>
      <c r="E428"/>
      <c r="F428"/>
    </row>
    <row r="429" spans="2:6" x14ac:dyDescent="0.35">
      <c r="B429"/>
      <c r="C429"/>
      <c r="D429"/>
      <c r="E429"/>
      <c r="F429"/>
    </row>
    <row r="430" spans="2:6" x14ac:dyDescent="0.35">
      <c r="B430"/>
      <c r="C430"/>
      <c r="D430"/>
      <c r="E430"/>
      <c r="F430"/>
    </row>
    <row r="431" spans="2:6" x14ac:dyDescent="0.35">
      <c r="B431"/>
      <c r="C431"/>
      <c r="D431"/>
      <c r="E431"/>
      <c r="F431"/>
    </row>
    <row r="432" spans="2:6" x14ac:dyDescent="0.35">
      <c r="B432"/>
      <c r="C432"/>
      <c r="D432"/>
      <c r="E432"/>
      <c r="F432"/>
    </row>
    <row r="433" spans="2:6" x14ac:dyDescent="0.35">
      <c r="B433"/>
      <c r="C433"/>
      <c r="D433"/>
      <c r="E433"/>
      <c r="F433"/>
    </row>
    <row r="434" spans="2:6" x14ac:dyDescent="0.35">
      <c r="B434"/>
      <c r="C434"/>
      <c r="D434"/>
      <c r="E434"/>
      <c r="F434"/>
    </row>
    <row r="435" spans="2:6" x14ac:dyDescent="0.35">
      <c r="B435"/>
      <c r="C435"/>
      <c r="D435"/>
      <c r="E435"/>
      <c r="F435"/>
    </row>
    <row r="436" spans="2:6" x14ac:dyDescent="0.35">
      <c r="B436"/>
      <c r="C436"/>
      <c r="D436"/>
      <c r="E436"/>
      <c r="F436"/>
    </row>
    <row r="437" spans="2:6" x14ac:dyDescent="0.35">
      <c r="B437"/>
      <c r="C437"/>
      <c r="D437"/>
      <c r="E437"/>
      <c r="F437"/>
    </row>
    <row r="438" spans="2:6" x14ac:dyDescent="0.35">
      <c r="B438"/>
      <c r="C438"/>
      <c r="D438"/>
      <c r="E438"/>
      <c r="F438"/>
    </row>
    <row r="439" spans="2:6" x14ac:dyDescent="0.35">
      <c r="B439"/>
      <c r="C439"/>
      <c r="D439"/>
      <c r="E439"/>
      <c r="F439"/>
    </row>
    <row r="440" spans="2:6" x14ac:dyDescent="0.35">
      <c r="B440"/>
      <c r="C440"/>
      <c r="D440"/>
      <c r="E440"/>
      <c r="F440"/>
    </row>
    <row r="441" spans="2:6" x14ac:dyDescent="0.35">
      <c r="B441"/>
      <c r="C441"/>
      <c r="D441"/>
      <c r="E441"/>
      <c r="F441"/>
    </row>
    <row r="442" spans="2:6" x14ac:dyDescent="0.35">
      <c r="B442"/>
      <c r="C442"/>
      <c r="D442"/>
      <c r="E442"/>
      <c r="F442"/>
    </row>
    <row r="443" spans="2:6" x14ac:dyDescent="0.35">
      <c r="B443"/>
      <c r="C443"/>
      <c r="D443"/>
      <c r="E443"/>
      <c r="F443"/>
    </row>
    <row r="444" spans="2:6" x14ac:dyDescent="0.35">
      <c r="B444"/>
      <c r="C444"/>
      <c r="D444"/>
      <c r="E444"/>
      <c r="F444"/>
    </row>
    <row r="445" spans="2:6" x14ac:dyDescent="0.35">
      <c r="B445"/>
      <c r="C445"/>
      <c r="D445"/>
      <c r="E445"/>
      <c r="F445"/>
    </row>
    <row r="446" spans="2:6" x14ac:dyDescent="0.35">
      <c r="B446"/>
      <c r="C446"/>
      <c r="D446"/>
      <c r="E446"/>
      <c r="F446"/>
    </row>
    <row r="447" spans="2:6" x14ac:dyDescent="0.35">
      <c r="B447"/>
      <c r="C447"/>
      <c r="D447"/>
      <c r="E447"/>
      <c r="F447"/>
    </row>
    <row r="448" spans="2:6" x14ac:dyDescent="0.35">
      <c r="B448"/>
      <c r="C448"/>
      <c r="D448"/>
      <c r="E448"/>
      <c r="F448"/>
    </row>
    <row r="449" spans="2:6" x14ac:dyDescent="0.35">
      <c r="B449"/>
      <c r="C449"/>
      <c r="D449"/>
      <c r="E449"/>
      <c r="F449"/>
    </row>
    <row r="450" spans="2:6" x14ac:dyDescent="0.35">
      <c r="B450"/>
      <c r="C450"/>
      <c r="D450"/>
      <c r="E450"/>
      <c r="F450"/>
    </row>
    <row r="451" spans="2:6" x14ac:dyDescent="0.35">
      <c r="B451"/>
      <c r="C451"/>
      <c r="D451"/>
      <c r="E451"/>
      <c r="F451"/>
    </row>
    <row r="452" spans="2:6" x14ac:dyDescent="0.35">
      <c r="B452"/>
      <c r="C452"/>
      <c r="D452"/>
      <c r="E452"/>
      <c r="F452"/>
    </row>
    <row r="453" spans="2:6" x14ac:dyDescent="0.35">
      <c r="B453"/>
      <c r="C453"/>
      <c r="D453"/>
      <c r="E453"/>
      <c r="F453"/>
    </row>
    <row r="454" spans="2:6" x14ac:dyDescent="0.35">
      <c r="B454"/>
      <c r="C454"/>
      <c r="D454"/>
      <c r="E454"/>
      <c r="F454"/>
    </row>
    <row r="455" spans="2:6" x14ac:dyDescent="0.35">
      <c r="B455"/>
      <c r="C455"/>
      <c r="D455"/>
      <c r="E455"/>
      <c r="F455"/>
    </row>
    <row r="456" spans="2:6" x14ac:dyDescent="0.35">
      <c r="B456"/>
      <c r="C456"/>
      <c r="D456"/>
      <c r="E456"/>
      <c r="F456"/>
    </row>
    <row r="457" spans="2:6" x14ac:dyDescent="0.35">
      <c r="B457"/>
      <c r="C457"/>
      <c r="D457"/>
      <c r="E457"/>
      <c r="F457"/>
    </row>
    <row r="458" spans="2:6" x14ac:dyDescent="0.35">
      <c r="B458"/>
      <c r="C458"/>
      <c r="D458"/>
      <c r="E458"/>
      <c r="F458"/>
    </row>
    <row r="459" spans="2:6" x14ac:dyDescent="0.35">
      <c r="B459"/>
      <c r="C459"/>
      <c r="D459"/>
      <c r="E459"/>
      <c r="F459"/>
    </row>
    <row r="460" spans="2:6" x14ac:dyDescent="0.35">
      <c r="B460"/>
      <c r="C460"/>
      <c r="D460"/>
      <c r="E460"/>
      <c r="F460"/>
    </row>
    <row r="461" spans="2:6" x14ac:dyDescent="0.35">
      <c r="B461"/>
      <c r="C461"/>
      <c r="D461"/>
      <c r="E461"/>
      <c r="F461"/>
    </row>
    <row r="462" spans="2:6" x14ac:dyDescent="0.35">
      <c r="B462"/>
      <c r="C462"/>
      <c r="D462"/>
      <c r="E462"/>
      <c r="F462"/>
    </row>
    <row r="463" spans="2:6" x14ac:dyDescent="0.35">
      <c r="B463"/>
      <c r="C463"/>
      <c r="D463"/>
      <c r="E463"/>
      <c r="F463"/>
    </row>
    <row r="464" spans="2:6" x14ac:dyDescent="0.35">
      <c r="B464"/>
      <c r="C464"/>
      <c r="D464"/>
      <c r="E464"/>
      <c r="F464"/>
    </row>
    <row r="465" spans="2:6" x14ac:dyDescent="0.35">
      <c r="B465"/>
      <c r="C465"/>
      <c r="D465"/>
      <c r="E465"/>
      <c r="F465"/>
    </row>
    <row r="466" spans="2:6" x14ac:dyDescent="0.35">
      <c r="B466"/>
      <c r="C466"/>
      <c r="D466"/>
      <c r="E466"/>
      <c r="F466"/>
    </row>
    <row r="467" spans="2:6" x14ac:dyDescent="0.35">
      <c r="B467"/>
      <c r="C467"/>
      <c r="D467"/>
      <c r="E467"/>
      <c r="F467"/>
    </row>
    <row r="468" spans="2:6" x14ac:dyDescent="0.35">
      <c r="B468"/>
      <c r="C468"/>
      <c r="D468"/>
      <c r="E468"/>
      <c r="F468"/>
    </row>
    <row r="469" spans="2:6" x14ac:dyDescent="0.35">
      <c r="B469"/>
      <c r="C469"/>
      <c r="D469"/>
      <c r="E469"/>
      <c r="F469"/>
    </row>
    <row r="470" spans="2:6" x14ac:dyDescent="0.35">
      <c r="B470"/>
      <c r="C470"/>
      <c r="D470"/>
      <c r="E470"/>
      <c r="F470"/>
    </row>
    <row r="471" spans="2:6" x14ac:dyDescent="0.35">
      <c r="B471"/>
      <c r="C471"/>
      <c r="D471"/>
      <c r="E471"/>
      <c r="F471"/>
    </row>
    <row r="472" spans="2:6" x14ac:dyDescent="0.35">
      <c r="B472"/>
      <c r="C472"/>
      <c r="D472"/>
      <c r="E472"/>
      <c r="F472"/>
    </row>
    <row r="473" spans="2:6" x14ac:dyDescent="0.35">
      <c r="B473"/>
      <c r="C473"/>
      <c r="D473"/>
      <c r="E473"/>
      <c r="F473"/>
    </row>
    <row r="474" spans="2:6" x14ac:dyDescent="0.35">
      <c r="B474"/>
      <c r="C474"/>
      <c r="D474"/>
      <c r="E474"/>
      <c r="F474"/>
    </row>
    <row r="475" spans="2:6" x14ac:dyDescent="0.35">
      <c r="B475"/>
      <c r="C475"/>
      <c r="D475"/>
      <c r="E475"/>
      <c r="F475"/>
    </row>
    <row r="476" spans="2:6" x14ac:dyDescent="0.35">
      <c r="B476"/>
      <c r="C476"/>
      <c r="D476"/>
      <c r="E476"/>
      <c r="F476"/>
    </row>
    <row r="477" spans="2:6" x14ac:dyDescent="0.35">
      <c r="B477"/>
      <c r="C477"/>
      <c r="D477"/>
      <c r="E477"/>
      <c r="F477"/>
    </row>
    <row r="478" spans="2:6" x14ac:dyDescent="0.35">
      <c r="B478"/>
      <c r="C478"/>
      <c r="D478"/>
      <c r="E478"/>
      <c r="F478"/>
    </row>
    <row r="479" spans="2:6" x14ac:dyDescent="0.35">
      <c r="B479"/>
      <c r="C479"/>
      <c r="D479"/>
      <c r="E479"/>
      <c r="F479"/>
    </row>
    <row r="480" spans="2:6" x14ac:dyDescent="0.35">
      <c r="B480"/>
      <c r="C480"/>
      <c r="D480"/>
      <c r="E480"/>
      <c r="F480"/>
    </row>
    <row r="481" spans="2:6" x14ac:dyDescent="0.35">
      <c r="B481"/>
      <c r="C481"/>
      <c r="D481"/>
      <c r="E481"/>
      <c r="F481"/>
    </row>
    <row r="482" spans="2:6" x14ac:dyDescent="0.35">
      <c r="B482"/>
      <c r="C482"/>
      <c r="D482"/>
      <c r="E482"/>
      <c r="F482"/>
    </row>
    <row r="483" spans="2:6" x14ac:dyDescent="0.35">
      <c r="B483"/>
      <c r="C483"/>
      <c r="D483"/>
      <c r="E483"/>
      <c r="F483"/>
    </row>
    <row r="484" spans="2:6" x14ac:dyDescent="0.35">
      <c r="B484"/>
      <c r="C484"/>
      <c r="D484"/>
      <c r="E484"/>
      <c r="F484"/>
    </row>
    <row r="485" spans="2:6" x14ac:dyDescent="0.35">
      <c r="B485"/>
      <c r="C485"/>
      <c r="D485"/>
      <c r="E485"/>
      <c r="F485"/>
    </row>
    <row r="486" spans="2:6" x14ac:dyDescent="0.35">
      <c r="B486"/>
      <c r="C486"/>
      <c r="D486"/>
      <c r="E486"/>
      <c r="F486"/>
    </row>
    <row r="487" spans="2:6" x14ac:dyDescent="0.35">
      <c r="B487"/>
      <c r="C487"/>
      <c r="D487"/>
      <c r="E487"/>
      <c r="F487"/>
    </row>
    <row r="488" spans="2:6" x14ac:dyDescent="0.35">
      <c r="B488"/>
      <c r="C488"/>
      <c r="D488"/>
      <c r="E488"/>
      <c r="F488"/>
    </row>
    <row r="489" spans="2:6" x14ac:dyDescent="0.35">
      <c r="B489"/>
      <c r="C489"/>
      <c r="D489"/>
      <c r="E489"/>
      <c r="F489"/>
    </row>
    <row r="490" spans="2:6" x14ac:dyDescent="0.35">
      <c r="B490"/>
      <c r="C490"/>
      <c r="D490"/>
      <c r="E490"/>
      <c r="F490"/>
    </row>
    <row r="491" spans="2:6" x14ac:dyDescent="0.35">
      <c r="B491"/>
      <c r="C491"/>
      <c r="D491"/>
      <c r="E491"/>
      <c r="F491"/>
    </row>
    <row r="492" spans="2:6" x14ac:dyDescent="0.35">
      <c r="B492"/>
      <c r="C492"/>
      <c r="D492"/>
      <c r="E492"/>
      <c r="F492"/>
    </row>
    <row r="493" spans="2:6" x14ac:dyDescent="0.35">
      <c r="B493"/>
      <c r="C493"/>
      <c r="D493"/>
      <c r="E493"/>
      <c r="F493"/>
    </row>
    <row r="494" spans="2:6" x14ac:dyDescent="0.35">
      <c r="B494"/>
      <c r="C494"/>
      <c r="D494"/>
      <c r="E494"/>
      <c r="F494"/>
    </row>
    <row r="495" spans="2:6" x14ac:dyDescent="0.35">
      <c r="B495"/>
      <c r="C495"/>
      <c r="D495"/>
      <c r="E495"/>
      <c r="F495"/>
    </row>
    <row r="496" spans="2:6" x14ac:dyDescent="0.35">
      <c r="B496"/>
      <c r="C496"/>
      <c r="D496"/>
      <c r="E496"/>
      <c r="F496"/>
    </row>
    <row r="497" spans="2:6" x14ac:dyDescent="0.35">
      <c r="B497"/>
      <c r="C497"/>
      <c r="D497"/>
      <c r="E497"/>
      <c r="F497"/>
    </row>
    <row r="498" spans="2:6" x14ac:dyDescent="0.35">
      <c r="B498"/>
      <c r="C498"/>
      <c r="D498"/>
      <c r="E498"/>
      <c r="F498"/>
    </row>
    <row r="499" spans="2:6" x14ac:dyDescent="0.35">
      <c r="B499"/>
      <c r="C499"/>
      <c r="D499"/>
      <c r="E499"/>
      <c r="F499"/>
    </row>
    <row r="500" spans="2:6" x14ac:dyDescent="0.35">
      <c r="B500"/>
      <c r="C500"/>
      <c r="D500"/>
      <c r="E500"/>
      <c r="F500"/>
    </row>
    <row r="501" spans="2:6" x14ac:dyDescent="0.35">
      <c r="B501"/>
      <c r="C501"/>
      <c r="D501"/>
      <c r="E501"/>
      <c r="F501"/>
    </row>
    <row r="502" spans="2:6" x14ac:dyDescent="0.35">
      <c r="B502"/>
      <c r="C502"/>
      <c r="D502"/>
      <c r="E502"/>
      <c r="F502"/>
    </row>
    <row r="503" spans="2:6" x14ac:dyDescent="0.35">
      <c r="B503"/>
      <c r="C503"/>
      <c r="D503"/>
      <c r="E503"/>
      <c r="F503"/>
    </row>
    <row r="504" spans="2:6" x14ac:dyDescent="0.35">
      <c r="B504"/>
      <c r="C504"/>
      <c r="D504"/>
      <c r="E504"/>
      <c r="F504"/>
    </row>
    <row r="505" spans="2:6" x14ac:dyDescent="0.35">
      <c r="B505"/>
      <c r="C505"/>
      <c r="D505"/>
      <c r="E505"/>
      <c r="F505"/>
    </row>
    <row r="506" spans="2:6" x14ac:dyDescent="0.35">
      <c r="B506"/>
      <c r="C506"/>
      <c r="D506"/>
      <c r="E506"/>
      <c r="F506"/>
    </row>
    <row r="507" spans="2:6" x14ac:dyDescent="0.35">
      <c r="B507"/>
      <c r="C507"/>
      <c r="D507"/>
      <c r="E507"/>
      <c r="F507"/>
    </row>
    <row r="508" spans="2:6" x14ac:dyDescent="0.35">
      <c r="B508"/>
      <c r="C508"/>
      <c r="D508"/>
      <c r="E508"/>
      <c r="F508"/>
    </row>
    <row r="509" spans="2:6" x14ac:dyDescent="0.35">
      <c r="B509"/>
      <c r="C509"/>
      <c r="D509"/>
      <c r="E509"/>
      <c r="F509"/>
    </row>
    <row r="510" spans="2:6" x14ac:dyDescent="0.35">
      <c r="B510"/>
      <c r="C510"/>
      <c r="D510"/>
      <c r="E510"/>
      <c r="F510"/>
    </row>
    <row r="511" spans="2:6" x14ac:dyDescent="0.35">
      <c r="B511"/>
      <c r="C511"/>
      <c r="D511"/>
      <c r="E511"/>
      <c r="F511"/>
    </row>
    <row r="512" spans="2:6" x14ac:dyDescent="0.35">
      <c r="B512"/>
      <c r="C512"/>
      <c r="D512"/>
      <c r="E512"/>
      <c r="F512"/>
    </row>
    <row r="513" spans="2:6" x14ac:dyDescent="0.35">
      <c r="B513"/>
      <c r="C513"/>
      <c r="D513"/>
      <c r="E513"/>
      <c r="F513"/>
    </row>
    <row r="514" spans="2:6" x14ac:dyDescent="0.35">
      <c r="B514"/>
      <c r="C514"/>
      <c r="D514"/>
      <c r="E514"/>
      <c r="F514"/>
    </row>
    <row r="515" spans="2:6" x14ac:dyDescent="0.35">
      <c r="B515"/>
      <c r="C515"/>
      <c r="D515"/>
      <c r="E515"/>
      <c r="F515"/>
    </row>
    <row r="516" spans="2:6" x14ac:dyDescent="0.35">
      <c r="B516"/>
      <c r="C516"/>
      <c r="D516"/>
      <c r="E516"/>
      <c r="F516"/>
    </row>
    <row r="517" spans="2:6" x14ac:dyDescent="0.35">
      <c r="B517"/>
      <c r="C517"/>
      <c r="D517"/>
      <c r="E517"/>
      <c r="F517"/>
    </row>
    <row r="518" spans="2:6" x14ac:dyDescent="0.35">
      <c r="B518"/>
      <c r="C518"/>
      <c r="D518"/>
      <c r="E518"/>
      <c r="F518"/>
    </row>
    <row r="519" spans="2:6" x14ac:dyDescent="0.35">
      <c r="B519"/>
      <c r="C519"/>
      <c r="D519"/>
      <c r="E519"/>
      <c r="F519"/>
    </row>
    <row r="520" spans="2:6" x14ac:dyDescent="0.35">
      <c r="B520"/>
      <c r="C520"/>
      <c r="D520"/>
      <c r="E520"/>
      <c r="F520"/>
    </row>
    <row r="521" spans="2:6" x14ac:dyDescent="0.35">
      <c r="B521"/>
      <c r="C521"/>
      <c r="D521"/>
      <c r="E521"/>
      <c r="F521"/>
    </row>
    <row r="522" spans="2:6" x14ac:dyDescent="0.35">
      <c r="B522"/>
      <c r="C522"/>
      <c r="D522"/>
      <c r="E522"/>
      <c r="F522"/>
    </row>
    <row r="523" spans="2:6" x14ac:dyDescent="0.35">
      <c r="B523"/>
      <c r="C523"/>
      <c r="D523"/>
      <c r="E523"/>
      <c r="F523"/>
    </row>
    <row r="524" spans="2:6" x14ac:dyDescent="0.35">
      <c r="B524"/>
      <c r="C524"/>
      <c r="D524"/>
      <c r="E524"/>
      <c r="F524"/>
    </row>
    <row r="525" spans="2:6" x14ac:dyDescent="0.35">
      <c r="B525"/>
      <c r="C525"/>
      <c r="D525"/>
      <c r="E525"/>
      <c r="F525"/>
    </row>
    <row r="526" spans="2:6" x14ac:dyDescent="0.35">
      <c r="B526"/>
      <c r="C526"/>
      <c r="D526"/>
      <c r="E526"/>
      <c r="F526"/>
    </row>
    <row r="527" spans="2:6" x14ac:dyDescent="0.35">
      <c r="B527"/>
      <c r="C527"/>
      <c r="D527"/>
      <c r="E527"/>
      <c r="F527"/>
    </row>
    <row r="528" spans="2:6" x14ac:dyDescent="0.35">
      <c r="B528"/>
      <c r="C528"/>
      <c r="D528"/>
      <c r="E528"/>
      <c r="F528"/>
    </row>
    <row r="529" spans="2:6" x14ac:dyDescent="0.35">
      <c r="B529"/>
      <c r="C529"/>
      <c r="D529"/>
      <c r="E529"/>
      <c r="F529"/>
    </row>
    <row r="530" spans="2:6" x14ac:dyDescent="0.35">
      <c r="B530"/>
      <c r="C530"/>
      <c r="D530"/>
      <c r="E530"/>
      <c r="F530"/>
    </row>
    <row r="531" spans="2:6" x14ac:dyDescent="0.35">
      <c r="B531"/>
      <c r="C531"/>
      <c r="D531"/>
      <c r="E531"/>
      <c r="F531"/>
    </row>
    <row r="532" spans="2:6" x14ac:dyDescent="0.35">
      <c r="B532"/>
      <c r="C532"/>
      <c r="D532"/>
      <c r="E532"/>
      <c r="F532"/>
    </row>
    <row r="533" spans="2:6" x14ac:dyDescent="0.35">
      <c r="B533"/>
      <c r="C533"/>
      <c r="D533"/>
      <c r="E533"/>
      <c r="F533"/>
    </row>
    <row r="534" spans="2:6" x14ac:dyDescent="0.35">
      <c r="B534"/>
      <c r="C534"/>
      <c r="D534"/>
      <c r="E534"/>
      <c r="F534"/>
    </row>
    <row r="535" spans="2:6" x14ac:dyDescent="0.35">
      <c r="B535"/>
      <c r="C535"/>
      <c r="D535"/>
      <c r="E535"/>
      <c r="F535"/>
    </row>
    <row r="536" spans="2:6" x14ac:dyDescent="0.35">
      <c r="B536"/>
      <c r="C536"/>
      <c r="D536"/>
      <c r="E536"/>
      <c r="F536"/>
    </row>
    <row r="537" spans="2:6" x14ac:dyDescent="0.35">
      <c r="B537"/>
      <c r="C537"/>
      <c r="D537"/>
      <c r="E537"/>
      <c r="F537"/>
    </row>
    <row r="538" spans="2:6" x14ac:dyDescent="0.35">
      <c r="B538"/>
      <c r="C538"/>
      <c r="D538"/>
      <c r="E538"/>
      <c r="F538"/>
    </row>
    <row r="539" spans="2:6" x14ac:dyDescent="0.35">
      <c r="B539"/>
      <c r="C539"/>
      <c r="D539"/>
      <c r="E539"/>
      <c r="F539"/>
    </row>
    <row r="540" spans="2:6" x14ac:dyDescent="0.35">
      <c r="B540"/>
      <c r="C540"/>
      <c r="D540"/>
      <c r="E540"/>
      <c r="F540"/>
    </row>
    <row r="541" spans="2:6" x14ac:dyDescent="0.35">
      <c r="B541"/>
      <c r="C541"/>
      <c r="D541"/>
      <c r="E541"/>
      <c r="F541"/>
    </row>
    <row r="542" spans="2:6" x14ac:dyDescent="0.35">
      <c r="B542"/>
      <c r="C542"/>
      <c r="D542"/>
      <c r="E542"/>
      <c r="F542"/>
    </row>
    <row r="543" spans="2:6" x14ac:dyDescent="0.35">
      <c r="B543"/>
      <c r="C543"/>
      <c r="D543"/>
      <c r="E543"/>
      <c r="F543"/>
    </row>
    <row r="544" spans="2:6" x14ac:dyDescent="0.35">
      <c r="B544"/>
      <c r="C544"/>
      <c r="D544"/>
      <c r="E544"/>
      <c r="F544"/>
    </row>
    <row r="545" spans="2:6" x14ac:dyDescent="0.35">
      <c r="B545"/>
      <c r="C545"/>
      <c r="D545"/>
      <c r="E545"/>
      <c r="F545"/>
    </row>
    <row r="546" spans="2:6" x14ac:dyDescent="0.35">
      <c r="B546"/>
      <c r="C546"/>
      <c r="D546"/>
      <c r="E546"/>
      <c r="F546"/>
    </row>
    <row r="547" spans="2:6" x14ac:dyDescent="0.35">
      <c r="B547"/>
      <c r="C547"/>
      <c r="D547"/>
      <c r="E547"/>
      <c r="F547"/>
    </row>
    <row r="548" spans="2:6" x14ac:dyDescent="0.35">
      <c r="B548"/>
      <c r="C548"/>
      <c r="D548"/>
      <c r="E548"/>
      <c r="F548"/>
    </row>
    <row r="549" spans="2:6" x14ac:dyDescent="0.35">
      <c r="B549"/>
      <c r="C549"/>
      <c r="D549"/>
      <c r="E549"/>
      <c r="F549"/>
    </row>
    <row r="550" spans="2:6" x14ac:dyDescent="0.35">
      <c r="B550"/>
      <c r="C550"/>
      <c r="D550"/>
      <c r="E550"/>
      <c r="F550"/>
    </row>
    <row r="551" spans="2:6" x14ac:dyDescent="0.35">
      <c r="B551"/>
      <c r="C551"/>
      <c r="D551"/>
      <c r="E551"/>
      <c r="F551"/>
    </row>
    <row r="552" spans="2:6" x14ac:dyDescent="0.35">
      <c r="B552"/>
      <c r="C552"/>
      <c r="D552"/>
      <c r="E552"/>
      <c r="F552"/>
    </row>
    <row r="553" spans="2:6" x14ac:dyDescent="0.35">
      <c r="B553"/>
      <c r="C553"/>
      <c r="D553"/>
      <c r="E553"/>
      <c r="F553"/>
    </row>
    <row r="554" spans="2:6" x14ac:dyDescent="0.35">
      <c r="B554"/>
      <c r="C554"/>
      <c r="D554"/>
      <c r="E554"/>
      <c r="F554"/>
    </row>
    <row r="555" spans="2:6" x14ac:dyDescent="0.35">
      <c r="B555"/>
      <c r="C555"/>
      <c r="D555"/>
      <c r="E555"/>
      <c r="F555"/>
    </row>
    <row r="556" spans="2:6" x14ac:dyDescent="0.35">
      <c r="B556"/>
      <c r="C556"/>
      <c r="D556"/>
      <c r="E556"/>
      <c r="F556"/>
    </row>
    <row r="557" spans="2:6" x14ac:dyDescent="0.35">
      <c r="B557"/>
      <c r="C557"/>
      <c r="D557"/>
      <c r="E557"/>
      <c r="F557"/>
    </row>
    <row r="558" spans="2:6" x14ac:dyDescent="0.35">
      <c r="B558"/>
      <c r="C558"/>
      <c r="D558"/>
      <c r="E558"/>
      <c r="F558"/>
    </row>
    <row r="559" spans="2:6" x14ac:dyDescent="0.35">
      <c r="B559"/>
      <c r="C559"/>
      <c r="D559"/>
      <c r="E559"/>
      <c r="F559"/>
    </row>
    <row r="560" spans="2:6" x14ac:dyDescent="0.35">
      <c r="B560"/>
      <c r="C560"/>
      <c r="D560"/>
      <c r="E560"/>
      <c r="F560"/>
    </row>
    <row r="561" spans="2:6" x14ac:dyDescent="0.35">
      <c r="B561"/>
      <c r="C561"/>
      <c r="D561"/>
      <c r="E561"/>
      <c r="F561"/>
    </row>
    <row r="562" spans="2:6" x14ac:dyDescent="0.35">
      <c r="B562"/>
      <c r="C562"/>
      <c r="D562"/>
      <c r="E562"/>
      <c r="F562"/>
    </row>
    <row r="563" spans="2:6" x14ac:dyDescent="0.35">
      <c r="B563"/>
      <c r="C563"/>
      <c r="D563"/>
      <c r="E563"/>
      <c r="F563"/>
    </row>
    <row r="564" spans="2:6" x14ac:dyDescent="0.35">
      <c r="B564"/>
      <c r="C564"/>
      <c r="D564"/>
      <c r="E564"/>
      <c r="F564"/>
    </row>
    <row r="565" spans="2:6" x14ac:dyDescent="0.35">
      <c r="B565"/>
      <c r="C565"/>
      <c r="D565"/>
      <c r="E565"/>
      <c r="F565"/>
    </row>
    <row r="566" spans="2:6" x14ac:dyDescent="0.35">
      <c r="B566"/>
      <c r="C566"/>
      <c r="D566"/>
      <c r="E566"/>
      <c r="F566"/>
    </row>
    <row r="567" spans="2:6" x14ac:dyDescent="0.35">
      <c r="B567"/>
      <c r="C567"/>
      <c r="D567"/>
      <c r="E567"/>
      <c r="F567"/>
    </row>
    <row r="568" spans="2:6" x14ac:dyDescent="0.35">
      <c r="B568"/>
      <c r="C568"/>
      <c r="D568"/>
      <c r="E568"/>
      <c r="F568"/>
    </row>
    <row r="569" spans="2:6" x14ac:dyDescent="0.35">
      <c r="B569"/>
      <c r="C569"/>
      <c r="D569"/>
      <c r="E569"/>
      <c r="F569"/>
    </row>
    <row r="570" spans="2:6" x14ac:dyDescent="0.35">
      <c r="B570"/>
      <c r="C570"/>
      <c r="D570"/>
      <c r="E570"/>
      <c r="F570"/>
    </row>
    <row r="571" spans="2:6" x14ac:dyDescent="0.35">
      <c r="B571"/>
      <c r="C571"/>
      <c r="D571"/>
      <c r="E571"/>
      <c r="F571"/>
    </row>
    <row r="572" spans="2:6" x14ac:dyDescent="0.35">
      <c r="B572"/>
      <c r="C572"/>
      <c r="D572"/>
      <c r="E572"/>
      <c r="F572"/>
    </row>
    <row r="573" spans="2:6" x14ac:dyDescent="0.35">
      <c r="B573"/>
      <c r="C573"/>
      <c r="D573"/>
      <c r="E573"/>
      <c r="F573"/>
    </row>
    <row r="574" spans="2:6" x14ac:dyDescent="0.35">
      <c r="B574"/>
      <c r="C574"/>
      <c r="D574"/>
      <c r="E574"/>
      <c r="F574"/>
    </row>
    <row r="575" spans="2:6" x14ac:dyDescent="0.35">
      <c r="B575"/>
      <c r="C575"/>
      <c r="D575"/>
      <c r="E575"/>
      <c r="F575"/>
    </row>
    <row r="576" spans="2:6" x14ac:dyDescent="0.35">
      <c r="B576"/>
      <c r="C576"/>
      <c r="D576"/>
      <c r="E576"/>
      <c r="F576"/>
    </row>
    <row r="577" spans="2:6" x14ac:dyDescent="0.35">
      <c r="B577"/>
      <c r="C577"/>
      <c r="D577"/>
      <c r="E577"/>
      <c r="F577"/>
    </row>
    <row r="578" spans="2:6" x14ac:dyDescent="0.35">
      <c r="B578"/>
      <c r="C578"/>
      <c r="D578"/>
      <c r="E578"/>
      <c r="F578"/>
    </row>
    <row r="579" spans="2:6" x14ac:dyDescent="0.35">
      <c r="B579"/>
      <c r="C579"/>
      <c r="D579"/>
      <c r="E579"/>
      <c r="F579"/>
    </row>
    <row r="580" spans="2:6" x14ac:dyDescent="0.35">
      <c r="B580"/>
      <c r="C580"/>
      <c r="D580"/>
      <c r="E580"/>
      <c r="F580"/>
    </row>
    <row r="581" spans="2:6" x14ac:dyDescent="0.35">
      <c r="B581"/>
      <c r="C581"/>
      <c r="D581"/>
      <c r="E581"/>
      <c r="F581"/>
    </row>
    <row r="582" spans="2:6" x14ac:dyDescent="0.35">
      <c r="B582"/>
      <c r="C582"/>
      <c r="D582"/>
      <c r="E582"/>
      <c r="F582"/>
    </row>
    <row r="583" spans="2:6" x14ac:dyDescent="0.35">
      <c r="B583"/>
      <c r="C583"/>
      <c r="D583"/>
      <c r="E583"/>
      <c r="F583"/>
    </row>
    <row r="584" spans="2:6" x14ac:dyDescent="0.35">
      <c r="B584"/>
      <c r="C584"/>
      <c r="D584"/>
      <c r="E584"/>
      <c r="F584"/>
    </row>
    <row r="585" spans="2:6" x14ac:dyDescent="0.35">
      <c r="B585"/>
      <c r="C585"/>
      <c r="D585"/>
      <c r="E585"/>
      <c r="F585"/>
    </row>
    <row r="586" spans="2:6" x14ac:dyDescent="0.35">
      <c r="B586"/>
      <c r="C586"/>
      <c r="D586"/>
      <c r="E586"/>
      <c r="F586"/>
    </row>
    <row r="587" spans="2:6" x14ac:dyDescent="0.35">
      <c r="B587"/>
      <c r="C587"/>
      <c r="D587"/>
      <c r="E587"/>
      <c r="F587"/>
    </row>
    <row r="588" spans="2:6" x14ac:dyDescent="0.35">
      <c r="B588"/>
      <c r="C588"/>
      <c r="D588"/>
      <c r="E588"/>
      <c r="F588"/>
    </row>
    <row r="589" spans="2:6" x14ac:dyDescent="0.35">
      <c r="B589"/>
      <c r="C589"/>
      <c r="D589"/>
      <c r="E589"/>
      <c r="F589"/>
    </row>
    <row r="590" spans="2:6" x14ac:dyDescent="0.35">
      <c r="B590"/>
      <c r="C590"/>
      <c r="D590"/>
      <c r="E590"/>
      <c r="F590"/>
    </row>
    <row r="591" spans="2:6" x14ac:dyDescent="0.35">
      <c r="B591"/>
      <c r="C591"/>
      <c r="D591"/>
      <c r="E591"/>
      <c r="F591"/>
    </row>
    <row r="592" spans="2:6" x14ac:dyDescent="0.35">
      <c r="B592"/>
      <c r="C592"/>
      <c r="D592"/>
      <c r="E592"/>
      <c r="F592"/>
    </row>
    <row r="593" spans="2:6" x14ac:dyDescent="0.35">
      <c r="B593"/>
      <c r="C593"/>
      <c r="D593"/>
      <c r="E593"/>
      <c r="F593"/>
    </row>
    <row r="594" spans="2:6" x14ac:dyDescent="0.35">
      <c r="B594"/>
      <c r="C594"/>
      <c r="D594"/>
      <c r="E594"/>
      <c r="F594"/>
    </row>
    <row r="595" spans="2:6" x14ac:dyDescent="0.35">
      <c r="B595"/>
      <c r="C595"/>
      <c r="D595"/>
      <c r="E595"/>
      <c r="F595"/>
    </row>
    <row r="596" spans="2:6" x14ac:dyDescent="0.35">
      <c r="B596"/>
      <c r="C596"/>
      <c r="D596"/>
      <c r="E596"/>
      <c r="F596"/>
    </row>
    <row r="597" spans="2:6" x14ac:dyDescent="0.35">
      <c r="B597"/>
      <c r="C597"/>
      <c r="D597"/>
      <c r="E597"/>
      <c r="F597"/>
    </row>
    <row r="598" spans="2:6" x14ac:dyDescent="0.35">
      <c r="B598"/>
      <c r="C598"/>
      <c r="D598"/>
      <c r="E598"/>
      <c r="F598"/>
    </row>
    <row r="599" spans="2:6" x14ac:dyDescent="0.35">
      <c r="B599"/>
      <c r="C599"/>
      <c r="D599"/>
      <c r="E599"/>
      <c r="F599"/>
    </row>
    <row r="600" spans="2:6" x14ac:dyDescent="0.35">
      <c r="B600"/>
      <c r="C600"/>
      <c r="D600"/>
      <c r="E600"/>
      <c r="F600"/>
    </row>
    <row r="601" spans="2:6" x14ac:dyDescent="0.35">
      <c r="B601"/>
      <c r="C601"/>
      <c r="D601"/>
      <c r="E601"/>
      <c r="F601"/>
    </row>
    <row r="602" spans="2:6" x14ac:dyDescent="0.35">
      <c r="B602"/>
      <c r="C602"/>
      <c r="D602"/>
      <c r="E602"/>
      <c r="F602"/>
    </row>
    <row r="603" spans="2:6" x14ac:dyDescent="0.35">
      <c r="B603"/>
      <c r="C603"/>
      <c r="D603"/>
      <c r="E603"/>
      <c r="F603"/>
    </row>
    <row r="604" spans="2:6" x14ac:dyDescent="0.35">
      <c r="B604"/>
      <c r="C604"/>
      <c r="D604"/>
      <c r="E604"/>
      <c r="F604"/>
    </row>
    <row r="605" spans="2:6" x14ac:dyDescent="0.35">
      <c r="B605"/>
      <c r="C605"/>
      <c r="D605"/>
      <c r="E605"/>
      <c r="F605"/>
    </row>
    <row r="606" spans="2:6" x14ac:dyDescent="0.35">
      <c r="B606"/>
      <c r="C606"/>
      <c r="D606"/>
      <c r="E606"/>
      <c r="F606"/>
    </row>
    <row r="607" spans="2:6" x14ac:dyDescent="0.35">
      <c r="B607"/>
      <c r="C607"/>
      <c r="D607"/>
      <c r="E607"/>
      <c r="F607"/>
    </row>
    <row r="608" spans="2:6" x14ac:dyDescent="0.35">
      <c r="B608"/>
      <c r="C608"/>
      <c r="D608"/>
      <c r="E608"/>
      <c r="F608"/>
    </row>
    <row r="609" spans="2:6" x14ac:dyDescent="0.35">
      <c r="B609"/>
      <c r="C609"/>
      <c r="D609"/>
      <c r="E609"/>
      <c r="F609"/>
    </row>
    <row r="610" spans="2:6" x14ac:dyDescent="0.35">
      <c r="B610"/>
      <c r="C610"/>
      <c r="D610"/>
      <c r="E610"/>
      <c r="F610"/>
    </row>
    <row r="611" spans="2:6" x14ac:dyDescent="0.35">
      <c r="B611"/>
      <c r="C611"/>
      <c r="D611"/>
      <c r="E611"/>
      <c r="F611"/>
    </row>
    <row r="612" spans="2:6" x14ac:dyDescent="0.35">
      <c r="B612"/>
      <c r="C612"/>
      <c r="D612"/>
      <c r="E612"/>
      <c r="F612"/>
    </row>
    <row r="613" spans="2:6" x14ac:dyDescent="0.35">
      <c r="B613"/>
      <c r="C613"/>
      <c r="D613"/>
      <c r="E613"/>
      <c r="F613"/>
    </row>
    <row r="614" spans="2:6" x14ac:dyDescent="0.35">
      <c r="B614"/>
      <c r="C614"/>
      <c r="D614"/>
      <c r="E614"/>
      <c r="F614"/>
    </row>
    <row r="615" spans="2:6" x14ac:dyDescent="0.35">
      <c r="B615"/>
      <c r="C615"/>
      <c r="D615"/>
      <c r="E615"/>
      <c r="F615"/>
    </row>
    <row r="616" spans="2:6" x14ac:dyDescent="0.35">
      <c r="B616"/>
      <c r="C616"/>
      <c r="D616"/>
      <c r="E616"/>
      <c r="F616"/>
    </row>
    <row r="617" spans="2:6" x14ac:dyDescent="0.35">
      <c r="B617"/>
      <c r="C617"/>
      <c r="D617"/>
      <c r="E617"/>
      <c r="F617"/>
    </row>
    <row r="618" spans="2:6" x14ac:dyDescent="0.35">
      <c r="B618"/>
      <c r="C618"/>
      <c r="D618"/>
      <c r="E618"/>
      <c r="F618"/>
    </row>
    <row r="619" spans="2:6" x14ac:dyDescent="0.35">
      <c r="B619"/>
      <c r="C619"/>
      <c r="D619"/>
      <c r="E619"/>
      <c r="F619"/>
    </row>
    <row r="620" spans="2:6" x14ac:dyDescent="0.35">
      <c r="B620"/>
      <c r="C620"/>
      <c r="D620"/>
      <c r="E620"/>
      <c r="F620"/>
    </row>
    <row r="621" spans="2:6" x14ac:dyDescent="0.35">
      <c r="B621"/>
      <c r="C621"/>
      <c r="D621"/>
      <c r="E621"/>
      <c r="F621"/>
    </row>
    <row r="622" spans="2:6" x14ac:dyDescent="0.35">
      <c r="B622"/>
      <c r="C622"/>
      <c r="D622"/>
      <c r="E622"/>
      <c r="F622"/>
    </row>
    <row r="623" spans="2:6" x14ac:dyDescent="0.35">
      <c r="B623"/>
      <c r="C623"/>
      <c r="D623"/>
      <c r="E623"/>
      <c r="F623"/>
    </row>
    <row r="624" spans="2:6" x14ac:dyDescent="0.35">
      <c r="B624"/>
      <c r="C624"/>
      <c r="D624"/>
      <c r="E624"/>
      <c r="F624"/>
    </row>
    <row r="625" spans="2:6" x14ac:dyDescent="0.35">
      <c r="B625"/>
      <c r="C625"/>
      <c r="D625"/>
      <c r="E625"/>
      <c r="F625"/>
    </row>
    <row r="626" spans="2:6" x14ac:dyDescent="0.35">
      <c r="B626"/>
      <c r="C626"/>
      <c r="D626"/>
      <c r="E626"/>
      <c r="F626"/>
    </row>
    <row r="627" spans="2:6" x14ac:dyDescent="0.35">
      <c r="B627"/>
      <c r="C627"/>
      <c r="D627"/>
      <c r="E627"/>
      <c r="F627"/>
    </row>
    <row r="628" spans="2:6" x14ac:dyDescent="0.35">
      <c r="B628"/>
      <c r="C628"/>
      <c r="D628"/>
      <c r="E628"/>
      <c r="F628"/>
    </row>
    <row r="629" spans="2:6" x14ac:dyDescent="0.35">
      <c r="B629"/>
      <c r="C629"/>
      <c r="D629"/>
      <c r="E629"/>
      <c r="F629"/>
    </row>
    <row r="630" spans="2:6" x14ac:dyDescent="0.35">
      <c r="B630"/>
      <c r="C630"/>
      <c r="D630"/>
      <c r="E630"/>
      <c r="F630"/>
    </row>
    <row r="631" spans="2:6" x14ac:dyDescent="0.35">
      <c r="B631"/>
      <c r="C631"/>
      <c r="D631"/>
      <c r="E631"/>
      <c r="F631"/>
    </row>
    <row r="632" spans="2:6" x14ac:dyDescent="0.35">
      <c r="B632"/>
      <c r="C632"/>
      <c r="D632"/>
      <c r="E632"/>
      <c r="F632"/>
    </row>
    <row r="633" spans="2:6" x14ac:dyDescent="0.35">
      <c r="B633"/>
      <c r="C633"/>
      <c r="D633"/>
      <c r="E633"/>
      <c r="F633"/>
    </row>
    <row r="634" spans="2:6" x14ac:dyDescent="0.35">
      <c r="B634"/>
      <c r="C634"/>
      <c r="D634"/>
      <c r="E634"/>
      <c r="F634"/>
    </row>
    <row r="635" spans="2:6" x14ac:dyDescent="0.35">
      <c r="B635"/>
      <c r="C635"/>
      <c r="D635"/>
      <c r="E635"/>
      <c r="F635"/>
    </row>
    <row r="636" spans="2:6" x14ac:dyDescent="0.35">
      <c r="C636"/>
      <c r="D636"/>
      <c r="E636"/>
      <c r="F636"/>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5"/>
  <sheetViews>
    <sheetView showGridLines="0" topLeftCell="A13" workbookViewId="0">
      <selection activeCell="G19" sqref="G19"/>
    </sheetView>
  </sheetViews>
  <sheetFormatPr defaultRowHeight="14.5" x14ac:dyDescent="0.35"/>
  <cols>
    <col min="2" max="2" width="39.26953125" style="30" bestFit="1" customWidth="1"/>
    <col min="3" max="3" width="43.7265625" style="29" customWidth="1"/>
    <col min="4" max="4" width="38.1796875" customWidth="1"/>
    <col min="5" max="5" width="47" customWidth="1"/>
    <col min="6" max="6" width="122.54296875" customWidth="1"/>
    <col min="7" max="7" width="42.81640625" customWidth="1"/>
    <col min="8" max="8" width="77.26953125" customWidth="1"/>
  </cols>
  <sheetData>
    <row r="1" spans="2:8" ht="42.75" customHeight="1" x14ac:dyDescent="0.35"/>
    <row r="2" spans="2:8" x14ac:dyDescent="0.35">
      <c r="B2" s="58" t="s">
        <v>93</v>
      </c>
      <c r="C2" s="58" t="s">
        <v>95</v>
      </c>
      <c r="D2" s="58" t="s">
        <v>3479</v>
      </c>
      <c r="E2" s="58" t="s">
        <v>3480</v>
      </c>
      <c r="F2" s="58" t="s">
        <v>3481</v>
      </c>
      <c r="G2" s="58" t="s">
        <v>3482</v>
      </c>
      <c r="H2" s="58" t="s">
        <v>3483</v>
      </c>
    </row>
    <row r="3" spans="2:8" ht="30" hidden="1" customHeight="1" x14ac:dyDescent="0.35">
      <c r="B3" s="51" t="s">
        <v>4</v>
      </c>
      <c r="C3" s="51" t="s">
        <v>5</v>
      </c>
      <c r="D3" s="51" t="s">
        <v>3188</v>
      </c>
      <c r="E3" s="51" t="s">
        <v>3189</v>
      </c>
      <c r="F3" s="51" t="s">
        <v>3484</v>
      </c>
      <c r="G3" s="51" t="s">
        <v>3485</v>
      </c>
      <c r="H3" s="89" t="s">
        <v>3486</v>
      </c>
    </row>
    <row r="4" spans="2:8" ht="30" customHeight="1" x14ac:dyDescent="0.35">
      <c r="B4" s="51" t="s">
        <v>4</v>
      </c>
      <c r="C4" s="51" t="s">
        <v>5</v>
      </c>
      <c r="D4" s="51" t="s">
        <v>3209</v>
      </c>
      <c r="E4" s="56" t="s">
        <v>3210</v>
      </c>
      <c r="F4" s="51" t="s">
        <v>3487</v>
      </c>
      <c r="G4" s="51" t="s">
        <v>3488</v>
      </c>
      <c r="H4" s="55" t="s">
        <v>3489</v>
      </c>
    </row>
    <row r="5" spans="2:8" ht="30" hidden="1" customHeight="1" x14ac:dyDescent="0.35">
      <c r="B5" s="51" t="s">
        <v>4</v>
      </c>
      <c r="C5" s="51" t="s">
        <v>5</v>
      </c>
      <c r="D5" s="51" t="s">
        <v>3219</v>
      </c>
      <c r="E5" s="51" t="s">
        <v>3220</v>
      </c>
      <c r="F5" s="55" t="s">
        <v>3490</v>
      </c>
      <c r="G5" s="55" t="s">
        <v>3491</v>
      </c>
      <c r="H5" s="55" t="s">
        <v>3492</v>
      </c>
    </row>
    <row r="6" spans="2:8" ht="30" hidden="1" customHeight="1" x14ac:dyDescent="0.35">
      <c r="B6" s="51" t="s">
        <v>9</v>
      </c>
      <c r="C6" s="51" t="s">
        <v>10</v>
      </c>
      <c r="D6" s="51" t="s">
        <v>3223</v>
      </c>
      <c r="E6" s="51" t="s">
        <v>3224</v>
      </c>
      <c r="F6" s="51" t="s">
        <v>3493</v>
      </c>
      <c r="G6" s="55" t="s">
        <v>3494</v>
      </c>
      <c r="H6" s="55" t="s">
        <v>3495</v>
      </c>
    </row>
    <row r="7" spans="2:8" ht="30" hidden="1" customHeight="1" x14ac:dyDescent="0.35">
      <c r="B7" s="51" t="s">
        <v>14</v>
      </c>
      <c r="C7" s="51" t="s">
        <v>3496</v>
      </c>
      <c r="D7" s="55" t="s">
        <v>3236</v>
      </c>
      <c r="E7" s="55" t="s">
        <v>3240</v>
      </c>
      <c r="F7" s="55" t="s">
        <v>3497</v>
      </c>
      <c r="G7" s="55" t="s">
        <v>3498</v>
      </c>
      <c r="H7" s="55" t="s">
        <v>3499</v>
      </c>
    </row>
    <row r="8" spans="2:8" ht="30" customHeight="1" x14ac:dyDescent="0.35">
      <c r="B8" s="51" t="s">
        <v>14</v>
      </c>
      <c r="C8" s="51" t="s">
        <v>3496</v>
      </c>
      <c r="D8" s="51" t="s">
        <v>3209</v>
      </c>
      <c r="E8" s="56" t="s">
        <v>3210</v>
      </c>
      <c r="F8" s="51" t="s">
        <v>3500</v>
      </c>
      <c r="G8" s="51" t="s">
        <v>3488</v>
      </c>
      <c r="H8" s="55" t="s">
        <v>3489</v>
      </c>
    </row>
    <row r="9" spans="2:8" ht="30" hidden="1" customHeight="1" x14ac:dyDescent="0.35">
      <c r="B9" s="51" t="s">
        <v>14</v>
      </c>
      <c r="C9" s="51" t="s">
        <v>3496</v>
      </c>
      <c r="D9" s="55" t="s">
        <v>3236</v>
      </c>
      <c r="E9" s="56" t="s">
        <v>3237</v>
      </c>
      <c r="F9" s="51" t="s">
        <v>3501</v>
      </c>
      <c r="G9" s="51" t="s">
        <v>3502</v>
      </c>
      <c r="H9" s="55" t="s">
        <v>3503</v>
      </c>
    </row>
    <row r="10" spans="2:8" ht="30" hidden="1" customHeight="1" x14ac:dyDescent="0.35">
      <c r="B10" s="51" t="s">
        <v>14</v>
      </c>
      <c r="C10" s="387" t="s">
        <v>3504</v>
      </c>
      <c r="D10" s="55" t="s">
        <v>3236</v>
      </c>
      <c r="E10" s="51" t="s">
        <v>3237</v>
      </c>
      <c r="F10" s="51" t="s">
        <v>3501</v>
      </c>
      <c r="G10" s="51" t="s">
        <v>3502</v>
      </c>
      <c r="H10" s="55" t="s">
        <v>3503</v>
      </c>
    </row>
    <row r="11" spans="2:8" ht="30" hidden="1" customHeight="1" x14ac:dyDescent="0.35">
      <c r="B11" s="51" t="s">
        <v>21</v>
      </c>
      <c r="C11" s="51" t="s">
        <v>22</v>
      </c>
      <c r="D11" s="51" t="s">
        <v>3251</v>
      </c>
      <c r="E11" s="51" t="s">
        <v>3252</v>
      </c>
      <c r="F11" s="51" t="s">
        <v>3505</v>
      </c>
      <c r="G11" s="55" t="s">
        <v>3506</v>
      </c>
      <c r="H11" s="55" t="s">
        <v>3507</v>
      </c>
    </row>
    <row r="12" spans="2:8" ht="30" hidden="1" customHeight="1" x14ac:dyDescent="0.35">
      <c r="B12" s="51" t="s">
        <v>21</v>
      </c>
      <c r="C12" s="51" t="s">
        <v>22</v>
      </c>
      <c r="D12" s="51" t="s">
        <v>3251</v>
      </c>
      <c r="E12" s="51" t="s">
        <v>3253</v>
      </c>
      <c r="F12" s="51" t="s">
        <v>3508</v>
      </c>
      <c r="G12" s="51" t="s">
        <v>3502</v>
      </c>
      <c r="H12" s="55" t="s">
        <v>3509</v>
      </c>
    </row>
    <row r="13" spans="2:8" ht="30" customHeight="1" x14ac:dyDescent="0.35">
      <c r="B13" s="51" t="s">
        <v>21</v>
      </c>
      <c r="C13" s="51" t="s">
        <v>22</v>
      </c>
      <c r="D13" s="51" t="s">
        <v>3209</v>
      </c>
      <c r="E13" s="56" t="s">
        <v>3210</v>
      </c>
      <c r="F13" s="51" t="s">
        <v>3510</v>
      </c>
      <c r="G13" s="51" t="s">
        <v>3488</v>
      </c>
      <c r="H13" s="55" t="s">
        <v>3489</v>
      </c>
    </row>
    <row r="14" spans="2:8" ht="30" hidden="1" customHeight="1" x14ac:dyDescent="0.35">
      <c r="B14" s="51" t="s">
        <v>21</v>
      </c>
      <c r="C14" s="51" t="s">
        <v>22</v>
      </c>
      <c r="D14" s="51" t="s">
        <v>3209</v>
      </c>
      <c r="E14" s="56" t="s">
        <v>3211</v>
      </c>
      <c r="F14" s="51" t="s">
        <v>3511</v>
      </c>
      <c r="G14" s="56" t="s">
        <v>372</v>
      </c>
      <c r="H14" s="56" t="s">
        <v>372</v>
      </c>
    </row>
    <row r="15" spans="2:8" ht="30" hidden="1" customHeight="1" x14ac:dyDescent="0.35">
      <c r="B15" s="51" t="s">
        <v>21</v>
      </c>
      <c r="C15" s="51" t="s">
        <v>22</v>
      </c>
      <c r="D15" s="51" t="s">
        <v>3219</v>
      </c>
      <c r="E15" s="51" t="s">
        <v>3220</v>
      </c>
      <c r="F15" s="55" t="s">
        <v>3512</v>
      </c>
      <c r="G15" s="55" t="s">
        <v>3491</v>
      </c>
      <c r="H15" s="55" t="s">
        <v>3492</v>
      </c>
    </row>
    <row r="16" spans="2:8" ht="30" hidden="1" customHeight="1" x14ac:dyDescent="0.35">
      <c r="B16" s="51" t="s">
        <v>21</v>
      </c>
      <c r="C16" s="51" t="s">
        <v>24</v>
      </c>
      <c r="D16" s="51" t="s">
        <v>3251</v>
      </c>
      <c r="E16" s="51" t="s">
        <v>3253</v>
      </c>
      <c r="F16" s="51" t="s">
        <v>3508</v>
      </c>
      <c r="G16" s="51" t="s">
        <v>3502</v>
      </c>
      <c r="H16" s="55" t="s">
        <v>3509</v>
      </c>
    </row>
    <row r="17" spans="2:8" ht="30" hidden="1" customHeight="1" x14ac:dyDescent="0.35">
      <c r="B17" s="51" t="s">
        <v>28</v>
      </c>
      <c r="C17" s="51" t="s">
        <v>3272</v>
      </c>
      <c r="D17" s="51" t="s">
        <v>3273</v>
      </c>
      <c r="E17" s="51" t="s">
        <v>3274</v>
      </c>
      <c r="F17" s="51" t="s">
        <v>3513</v>
      </c>
      <c r="G17" s="51" t="s">
        <v>372</v>
      </c>
      <c r="H17" s="51" t="s">
        <v>372</v>
      </c>
    </row>
    <row r="18" spans="2:8" ht="30" hidden="1" customHeight="1" x14ac:dyDescent="0.35">
      <c r="B18" s="56" t="s">
        <v>33</v>
      </c>
      <c r="C18" s="56" t="s">
        <v>34</v>
      </c>
      <c r="D18" s="51" t="s">
        <v>3275</v>
      </c>
      <c r="E18" s="51" t="s">
        <v>3276</v>
      </c>
      <c r="F18" s="55" t="s">
        <v>3514</v>
      </c>
      <c r="G18" s="55" t="s">
        <v>3515</v>
      </c>
      <c r="H18" s="55" t="s">
        <v>3516</v>
      </c>
    </row>
    <row r="19" spans="2:8" ht="30" hidden="1" customHeight="1" x14ac:dyDescent="0.35">
      <c r="B19" s="56" t="s">
        <v>33</v>
      </c>
      <c r="C19" s="56" t="s">
        <v>36</v>
      </c>
      <c r="D19" s="51" t="s">
        <v>3275</v>
      </c>
      <c r="E19" s="51" t="s">
        <v>3279</v>
      </c>
      <c r="F19" s="55" t="s">
        <v>3517</v>
      </c>
      <c r="G19" s="55" t="s">
        <v>3518</v>
      </c>
      <c r="H19" s="51" t="s">
        <v>372</v>
      </c>
    </row>
    <row r="20" spans="2:8" ht="30" customHeight="1" x14ac:dyDescent="0.35">
      <c r="B20" s="56" t="s">
        <v>33</v>
      </c>
      <c r="C20" s="56" t="s">
        <v>38</v>
      </c>
      <c r="D20" s="51" t="s">
        <v>3209</v>
      </c>
      <c r="E20" s="56" t="s">
        <v>3210</v>
      </c>
      <c r="F20" s="51" t="s">
        <v>3500</v>
      </c>
      <c r="G20" s="51" t="s">
        <v>3488</v>
      </c>
      <c r="H20" s="55" t="s">
        <v>3489</v>
      </c>
    </row>
    <row r="21" spans="2:8" ht="30" hidden="1" customHeight="1" x14ac:dyDescent="0.35">
      <c r="B21" s="56" t="s">
        <v>33</v>
      </c>
      <c r="C21" s="56" t="s">
        <v>38</v>
      </c>
      <c r="D21" s="56" t="s">
        <v>3275</v>
      </c>
      <c r="E21" s="56" t="s">
        <v>3279</v>
      </c>
      <c r="F21" s="57" t="s">
        <v>3519</v>
      </c>
      <c r="G21" s="57" t="s">
        <v>3518</v>
      </c>
      <c r="H21" s="56" t="s">
        <v>372</v>
      </c>
    </row>
    <row r="22" spans="2:8" ht="30" hidden="1" customHeight="1" x14ac:dyDescent="0.35">
      <c r="B22" s="56" t="s">
        <v>33</v>
      </c>
      <c r="C22" s="56" t="s">
        <v>38</v>
      </c>
      <c r="D22" s="56" t="s">
        <v>3275</v>
      </c>
      <c r="E22" s="56" t="s">
        <v>3304</v>
      </c>
      <c r="F22" s="56" t="s">
        <v>3520</v>
      </c>
      <c r="G22" s="57" t="s">
        <v>3521</v>
      </c>
      <c r="H22" s="57" t="s">
        <v>3522</v>
      </c>
    </row>
    <row r="23" spans="2:8" ht="30" customHeight="1" x14ac:dyDescent="0.35">
      <c r="B23" s="56" t="s">
        <v>33</v>
      </c>
      <c r="C23" s="56" t="s">
        <v>38</v>
      </c>
      <c r="D23" s="56" t="s">
        <v>3209</v>
      </c>
      <c r="E23" s="56" t="s">
        <v>3210</v>
      </c>
      <c r="F23" s="51" t="s">
        <v>3523</v>
      </c>
      <c r="G23" s="51" t="s">
        <v>3488</v>
      </c>
      <c r="H23" s="55" t="s">
        <v>3489</v>
      </c>
    </row>
    <row r="24" spans="2:8" ht="30" hidden="1" customHeight="1" x14ac:dyDescent="0.35">
      <c r="B24" s="56" t="s">
        <v>33</v>
      </c>
      <c r="C24" s="56" t="s">
        <v>38</v>
      </c>
      <c r="D24" s="56" t="s">
        <v>3219</v>
      </c>
      <c r="E24" s="56" t="s">
        <v>3220</v>
      </c>
      <c r="F24" s="57" t="s">
        <v>3524</v>
      </c>
      <c r="G24" s="57" t="s">
        <v>3491</v>
      </c>
      <c r="H24" s="57" t="s">
        <v>3492</v>
      </c>
    </row>
    <row r="25" spans="2:8" ht="30" hidden="1" customHeight="1" x14ac:dyDescent="0.35">
      <c r="B25" s="56" t="s">
        <v>40</v>
      </c>
      <c r="C25" s="56" t="s">
        <v>41</v>
      </c>
      <c r="D25" s="56" t="s">
        <v>3219</v>
      </c>
      <c r="E25" s="56" t="s">
        <v>3220</v>
      </c>
      <c r="F25" s="56" t="s">
        <v>3525</v>
      </c>
      <c r="G25" s="57" t="s">
        <v>3526</v>
      </c>
      <c r="H25" s="305" t="s">
        <v>3527</v>
      </c>
    </row>
    <row r="26" spans="2:8" ht="30" customHeight="1" x14ac:dyDescent="0.35">
      <c r="B26" s="56" t="s">
        <v>40</v>
      </c>
      <c r="C26" s="56" t="s">
        <v>41</v>
      </c>
      <c r="D26" s="56" t="s">
        <v>3209</v>
      </c>
      <c r="E26" s="56" t="s">
        <v>3210</v>
      </c>
      <c r="F26" s="56" t="s">
        <v>3500</v>
      </c>
      <c r="G26" s="56" t="s">
        <v>3488</v>
      </c>
      <c r="H26" s="57" t="s">
        <v>3489</v>
      </c>
    </row>
    <row r="27" spans="2:8" ht="30" hidden="1" customHeight="1" x14ac:dyDescent="0.35">
      <c r="B27" s="56" t="s">
        <v>43</v>
      </c>
      <c r="C27" s="56" t="s">
        <v>44</v>
      </c>
      <c r="D27" s="56" t="s">
        <v>3275</v>
      </c>
      <c r="E27" s="56" t="s">
        <v>3279</v>
      </c>
      <c r="F27" s="387" t="s">
        <v>3528</v>
      </c>
      <c r="G27" s="387" t="s">
        <v>3529</v>
      </c>
      <c r="H27" s="387" t="s">
        <v>3529</v>
      </c>
    </row>
    <row r="28" spans="2:8" ht="30" hidden="1" customHeight="1" x14ac:dyDescent="0.35">
      <c r="B28" s="56" t="s">
        <v>43</v>
      </c>
      <c r="C28" s="56" t="s">
        <v>44</v>
      </c>
      <c r="D28" s="56" t="s">
        <v>3275</v>
      </c>
      <c r="E28" s="56" t="s">
        <v>3276</v>
      </c>
      <c r="F28" s="57" t="s">
        <v>3530</v>
      </c>
      <c r="G28" s="57" t="s">
        <v>3515</v>
      </c>
      <c r="H28" s="57" t="s">
        <v>3516</v>
      </c>
    </row>
    <row r="29" spans="2:8" ht="30" hidden="1" customHeight="1" x14ac:dyDescent="0.35">
      <c r="B29" s="56" t="s">
        <v>43</v>
      </c>
      <c r="C29" s="56" t="s">
        <v>46</v>
      </c>
      <c r="D29" s="56" t="s">
        <v>3275</v>
      </c>
      <c r="E29" s="56" t="s">
        <v>3279</v>
      </c>
      <c r="F29" s="57" t="s">
        <v>3531</v>
      </c>
      <c r="G29" s="57" t="s">
        <v>3518</v>
      </c>
      <c r="H29" s="56" t="s">
        <v>372</v>
      </c>
    </row>
    <row r="30" spans="2:8" ht="30" hidden="1" customHeight="1" x14ac:dyDescent="0.35">
      <c r="B30" s="56" t="s">
        <v>48</v>
      </c>
      <c r="C30" s="56" t="s">
        <v>51</v>
      </c>
      <c r="D30" s="56" t="s">
        <v>3329</v>
      </c>
      <c r="E30" s="56" t="s">
        <v>3330</v>
      </c>
      <c r="F30" s="56" t="s">
        <v>3532</v>
      </c>
      <c r="G30" s="56" t="s">
        <v>3533</v>
      </c>
      <c r="H30" s="57" t="s">
        <v>3534</v>
      </c>
    </row>
    <row r="31" spans="2:8" ht="30" hidden="1" customHeight="1" x14ac:dyDescent="0.35">
      <c r="B31" s="56" t="s">
        <v>3535</v>
      </c>
      <c r="C31" s="56" t="s">
        <v>54</v>
      </c>
      <c r="D31" s="56" t="s">
        <v>3219</v>
      </c>
      <c r="E31" s="56" t="s">
        <v>3220</v>
      </c>
      <c r="F31" s="56" t="s">
        <v>3536</v>
      </c>
      <c r="G31" s="57" t="s">
        <v>3537</v>
      </c>
      <c r="H31" s="57" t="s">
        <v>3538</v>
      </c>
    </row>
    <row r="32" spans="2:8" ht="30" hidden="1" customHeight="1" x14ac:dyDescent="0.35">
      <c r="B32" s="56" t="s">
        <v>59</v>
      </c>
      <c r="C32" s="56" t="s">
        <v>60</v>
      </c>
      <c r="D32" s="51" t="s">
        <v>3370</v>
      </c>
      <c r="E32" s="56" t="s">
        <v>3371</v>
      </c>
      <c r="F32" s="55" t="s">
        <v>3539</v>
      </c>
      <c r="G32" s="55" t="s">
        <v>3540</v>
      </c>
      <c r="H32" s="55" t="s">
        <v>3541</v>
      </c>
    </row>
    <row r="33" spans="2:8" ht="30" hidden="1" customHeight="1" x14ac:dyDescent="0.35">
      <c r="B33" s="56" t="s">
        <v>64</v>
      </c>
      <c r="C33" s="56" t="s">
        <v>65</v>
      </c>
      <c r="D33" s="56" t="s">
        <v>3374</v>
      </c>
      <c r="E33" s="56" t="s">
        <v>3397</v>
      </c>
      <c r="F33" s="51" t="s">
        <v>3542</v>
      </c>
      <c r="G33" s="82" t="s">
        <v>3543</v>
      </c>
      <c r="H33" s="55" t="s">
        <v>3544</v>
      </c>
    </row>
    <row r="34" spans="2:8" ht="30" customHeight="1" x14ac:dyDescent="0.35">
      <c r="B34" s="56" t="s">
        <v>64</v>
      </c>
      <c r="C34" s="56" t="s">
        <v>65</v>
      </c>
      <c r="D34" s="56" t="s">
        <v>3209</v>
      </c>
      <c r="E34" s="56" t="s">
        <v>3210</v>
      </c>
      <c r="F34" s="56" t="s">
        <v>3500</v>
      </c>
      <c r="G34" s="51" t="s">
        <v>3488</v>
      </c>
      <c r="H34" s="55" t="s">
        <v>3489</v>
      </c>
    </row>
    <row r="35" spans="2:8" ht="30" hidden="1" customHeight="1" x14ac:dyDescent="0.35">
      <c r="B35" s="56" t="s">
        <v>64</v>
      </c>
      <c r="C35" s="56" t="s">
        <v>65</v>
      </c>
      <c r="D35" s="56" t="s">
        <v>3374</v>
      </c>
      <c r="E35" s="56" t="s">
        <v>3380</v>
      </c>
      <c r="F35" s="56" t="s">
        <v>3545</v>
      </c>
      <c r="G35" s="56" t="s">
        <v>3546</v>
      </c>
      <c r="H35" s="57" t="s">
        <v>3547</v>
      </c>
    </row>
    <row r="36" spans="2:8" ht="30" hidden="1" customHeight="1" x14ac:dyDescent="0.35">
      <c r="B36" s="56" t="s">
        <v>67</v>
      </c>
      <c r="C36" s="56" t="s">
        <v>68</v>
      </c>
      <c r="D36" s="56" t="s">
        <v>3219</v>
      </c>
      <c r="E36" s="56" t="s">
        <v>3220</v>
      </c>
      <c r="F36" s="56" t="s">
        <v>3548</v>
      </c>
      <c r="G36" s="57" t="s">
        <v>3549</v>
      </c>
      <c r="H36" s="305" t="s">
        <v>3550</v>
      </c>
    </row>
    <row r="37" spans="2:8" ht="30" customHeight="1" x14ac:dyDescent="0.35">
      <c r="B37" s="56" t="s">
        <v>67</v>
      </c>
      <c r="C37" s="56" t="s">
        <v>68</v>
      </c>
      <c r="D37" s="56" t="s">
        <v>3209</v>
      </c>
      <c r="E37" s="56" t="s">
        <v>3210</v>
      </c>
      <c r="F37" s="51" t="s">
        <v>3500</v>
      </c>
      <c r="G37" s="51" t="s">
        <v>3488</v>
      </c>
      <c r="H37" s="51" t="s">
        <v>3489</v>
      </c>
    </row>
    <row r="38" spans="2:8" ht="30" hidden="1" customHeight="1" x14ac:dyDescent="0.35">
      <c r="B38" s="56" t="s">
        <v>70</v>
      </c>
      <c r="C38" s="56" t="s">
        <v>71</v>
      </c>
      <c r="D38" s="56" t="s">
        <v>3219</v>
      </c>
      <c r="E38" s="56" t="s">
        <v>3220</v>
      </c>
      <c r="F38" s="56" t="s">
        <v>3551</v>
      </c>
      <c r="G38" s="305" t="s">
        <v>3552</v>
      </c>
      <c r="H38" s="305" t="s">
        <v>3553</v>
      </c>
    </row>
    <row r="39" spans="2:8" ht="30" customHeight="1" x14ac:dyDescent="0.35">
      <c r="B39" s="56" t="s">
        <v>70</v>
      </c>
      <c r="C39" s="56" t="s">
        <v>71</v>
      </c>
      <c r="D39" s="56" t="s">
        <v>3209</v>
      </c>
      <c r="E39" s="56" t="s">
        <v>3210</v>
      </c>
      <c r="F39" s="51" t="s">
        <v>3500</v>
      </c>
      <c r="G39" s="51"/>
      <c r="H39" s="55" t="s">
        <v>3489</v>
      </c>
    </row>
    <row r="40" spans="2:8" ht="30" hidden="1" customHeight="1" x14ac:dyDescent="0.35">
      <c r="B40" s="56" t="s">
        <v>73</v>
      </c>
      <c r="C40" s="56" t="s">
        <v>74</v>
      </c>
      <c r="D40" s="56" t="s">
        <v>3275</v>
      </c>
      <c r="E40" s="56" t="s">
        <v>3279</v>
      </c>
      <c r="F40" s="385" t="s">
        <v>3528</v>
      </c>
      <c r="G40" s="385" t="s">
        <v>3529</v>
      </c>
      <c r="H40" s="385" t="s">
        <v>3529</v>
      </c>
    </row>
    <row r="41" spans="2:8" ht="30" hidden="1" customHeight="1" x14ac:dyDescent="0.35">
      <c r="B41" s="56" t="s">
        <v>73</v>
      </c>
      <c r="C41" s="56" t="s">
        <v>74</v>
      </c>
      <c r="D41" s="51" t="s">
        <v>3275</v>
      </c>
      <c r="E41" s="51" t="s">
        <v>3276</v>
      </c>
      <c r="F41" s="55" t="s">
        <v>3554</v>
      </c>
      <c r="G41" s="55" t="s">
        <v>3515</v>
      </c>
      <c r="H41" s="55" t="s">
        <v>3516</v>
      </c>
    </row>
    <row r="42" spans="2:8" ht="30" hidden="1" customHeight="1" x14ac:dyDescent="0.35">
      <c r="B42" s="56" t="s">
        <v>73</v>
      </c>
      <c r="C42" s="56" t="s">
        <v>76</v>
      </c>
      <c r="D42" s="51" t="s">
        <v>3275</v>
      </c>
      <c r="E42" s="51" t="s">
        <v>3279</v>
      </c>
      <c r="F42" s="55" t="s">
        <v>3555</v>
      </c>
      <c r="G42" s="55" t="s">
        <v>3518</v>
      </c>
      <c r="H42" s="51" t="s">
        <v>372</v>
      </c>
    </row>
    <row r="43" spans="2:8" ht="30" hidden="1" customHeight="1" x14ac:dyDescent="0.35">
      <c r="B43" s="56" t="s">
        <v>78</v>
      </c>
      <c r="C43" s="56" t="s">
        <v>79</v>
      </c>
      <c r="D43" s="56" t="s">
        <v>3422</v>
      </c>
      <c r="E43" s="56" t="s">
        <v>3423</v>
      </c>
      <c r="F43" s="56" t="s">
        <v>3556</v>
      </c>
      <c r="G43" s="56" t="s">
        <v>3485</v>
      </c>
      <c r="H43" s="57" t="s">
        <v>3557</v>
      </c>
    </row>
    <row r="44" spans="2:8" ht="30" hidden="1" customHeight="1" x14ac:dyDescent="0.35">
      <c r="B44" s="56" t="s">
        <v>81</v>
      </c>
      <c r="C44" s="56" t="s">
        <v>82</v>
      </c>
      <c r="D44" s="56" t="s">
        <v>3430</v>
      </c>
      <c r="E44" s="56" t="s">
        <v>3431</v>
      </c>
      <c r="F44" s="56" t="s">
        <v>3558</v>
      </c>
      <c r="G44" s="56" t="s">
        <v>372</v>
      </c>
      <c r="H44" s="56" t="s">
        <v>372</v>
      </c>
    </row>
    <row r="45" spans="2:8" ht="30" hidden="1" customHeight="1" x14ac:dyDescent="0.35">
      <c r="B45" s="56" t="s">
        <v>81</v>
      </c>
      <c r="C45" s="56" t="s">
        <v>82</v>
      </c>
      <c r="D45" s="56" t="s">
        <v>3430</v>
      </c>
      <c r="E45" s="56" t="s">
        <v>3439</v>
      </c>
      <c r="F45" s="56" t="s">
        <v>3559</v>
      </c>
      <c r="G45" s="56" t="s">
        <v>372</v>
      </c>
      <c r="H45" s="56" t="s">
        <v>372</v>
      </c>
    </row>
    <row r="46" spans="2:8" ht="30" hidden="1" customHeight="1" x14ac:dyDescent="0.35">
      <c r="B46" s="56" t="s">
        <v>81</v>
      </c>
      <c r="C46" s="56" t="s">
        <v>82</v>
      </c>
      <c r="D46" s="56" t="s">
        <v>3430</v>
      </c>
      <c r="E46" s="56" t="s">
        <v>3446</v>
      </c>
      <c r="F46" s="56" t="s">
        <v>3560</v>
      </c>
      <c r="G46" s="56" t="s">
        <v>372</v>
      </c>
      <c r="H46" s="56" t="s">
        <v>372</v>
      </c>
    </row>
    <row r="47" spans="2:8" ht="30" hidden="1" customHeight="1" x14ac:dyDescent="0.35">
      <c r="B47" s="56" t="s">
        <v>81</v>
      </c>
      <c r="C47" s="56" t="s">
        <v>82</v>
      </c>
      <c r="D47" s="56" t="s">
        <v>3430</v>
      </c>
      <c r="E47" s="56" t="s">
        <v>3454</v>
      </c>
      <c r="F47" s="56" t="s">
        <v>3561</v>
      </c>
      <c r="G47" s="56" t="s">
        <v>372</v>
      </c>
      <c r="H47" s="56" t="s">
        <v>372</v>
      </c>
    </row>
    <row r="48" spans="2:8" ht="30" customHeight="1" x14ac:dyDescent="0.35">
      <c r="B48" s="56" t="s">
        <v>56</v>
      </c>
      <c r="C48" s="56" t="s">
        <v>57</v>
      </c>
      <c r="D48" s="56" t="s">
        <v>3219</v>
      </c>
      <c r="E48" s="56" t="s">
        <v>3220</v>
      </c>
      <c r="F48" s="56" t="s">
        <v>3562</v>
      </c>
      <c r="G48" s="57" t="s">
        <v>3563</v>
      </c>
      <c r="H48" s="57" t="s">
        <v>3564</v>
      </c>
    </row>
    <row r="49" spans="2:3" x14ac:dyDescent="0.35">
      <c r="B49"/>
      <c r="C49"/>
    </row>
    <row r="50" spans="2:3" x14ac:dyDescent="0.35">
      <c r="B50"/>
      <c r="C50"/>
    </row>
    <row r="51" spans="2:3" x14ac:dyDescent="0.35">
      <c r="B51"/>
      <c r="C51"/>
    </row>
    <row r="52" spans="2:3" x14ac:dyDescent="0.35">
      <c r="B52"/>
      <c r="C52"/>
    </row>
    <row r="53" spans="2:3" x14ac:dyDescent="0.35">
      <c r="B53"/>
      <c r="C53"/>
    </row>
    <row r="54" spans="2:3" x14ac:dyDescent="0.35">
      <c r="B54"/>
      <c r="C54"/>
    </row>
    <row r="55" spans="2:3" x14ac:dyDescent="0.35">
      <c r="B55"/>
      <c r="C55"/>
    </row>
    <row r="56" spans="2:3" x14ac:dyDescent="0.35">
      <c r="B56"/>
      <c r="C56"/>
    </row>
    <row r="57" spans="2:3" x14ac:dyDescent="0.35">
      <c r="B57"/>
      <c r="C57"/>
    </row>
    <row r="58" spans="2:3" x14ac:dyDescent="0.35">
      <c r="B58"/>
      <c r="C58"/>
    </row>
    <row r="59" spans="2:3" x14ac:dyDescent="0.35">
      <c r="B59"/>
      <c r="C59"/>
    </row>
    <row r="60" spans="2:3" x14ac:dyDescent="0.35">
      <c r="B60"/>
      <c r="C60"/>
    </row>
    <row r="61" spans="2:3" x14ac:dyDescent="0.35">
      <c r="B61"/>
      <c r="C61"/>
    </row>
    <row r="62" spans="2:3" x14ac:dyDescent="0.35">
      <c r="B62"/>
      <c r="C62"/>
    </row>
    <row r="63" spans="2:3" x14ac:dyDescent="0.35">
      <c r="B63"/>
      <c r="C63"/>
    </row>
    <row r="64" spans="2:3" x14ac:dyDescent="0.35">
      <c r="B64"/>
      <c r="C64"/>
    </row>
    <row r="65" spans="2:3" x14ac:dyDescent="0.35">
      <c r="B65"/>
      <c r="C65"/>
    </row>
    <row r="66" spans="2:3" x14ac:dyDescent="0.35">
      <c r="B66"/>
      <c r="C66"/>
    </row>
    <row r="67" spans="2:3" x14ac:dyDescent="0.35">
      <c r="B67"/>
      <c r="C67"/>
    </row>
    <row r="68" spans="2:3" x14ac:dyDescent="0.35">
      <c r="B68"/>
      <c r="C68"/>
    </row>
    <row r="69" spans="2:3" x14ac:dyDescent="0.35">
      <c r="B69"/>
      <c r="C69"/>
    </row>
    <row r="70" spans="2:3" x14ac:dyDescent="0.35">
      <c r="B70"/>
      <c r="C70"/>
    </row>
    <row r="71" spans="2:3" x14ac:dyDescent="0.35">
      <c r="B71"/>
      <c r="C71"/>
    </row>
    <row r="72" spans="2:3" x14ac:dyDescent="0.35">
      <c r="B72"/>
      <c r="C72"/>
    </row>
    <row r="73" spans="2:3" x14ac:dyDescent="0.35">
      <c r="B73"/>
      <c r="C73"/>
    </row>
    <row r="74" spans="2:3" x14ac:dyDescent="0.35">
      <c r="B74"/>
      <c r="C74"/>
    </row>
    <row r="75" spans="2:3" x14ac:dyDescent="0.35">
      <c r="B75"/>
      <c r="C75"/>
    </row>
    <row r="76" spans="2:3" x14ac:dyDescent="0.35">
      <c r="B76"/>
      <c r="C76"/>
    </row>
    <row r="77" spans="2:3" x14ac:dyDescent="0.35">
      <c r="B77"/>
      <c r="C77"/>
    </row>
    <row r="78" spans="2:3" x14ac:dyDescent="0.35">
      <c r="B78"/>
      <c r="C78"/>
    </row>
    <row r="79" spans="2:3" x14ac:dyDescent="0.35">
      <c r="B79"/>
      <c r="C79"/>
    </row>
    <row r="80" spans="2:3" x14ac:dyDescent="0.35">
      <c r="B80"/>
      <c r="C80"/>
    </row>
    <row r="81" spans="2:3" x14ac:dyDescent="0.35">
      <c r="B81"/>
      <c r="C81"/>
    </row>
    <row r="82" spans="2:3" x14ac:dyDescent="0.35">
      <c r="B82"/>
      <c r="C82"/>
    </row>
    <row r="83" spans="2:3" x14ac:dyDescent="0.35">
      <c r="B83"/>
      <c r="C83"/>
    </row>
    <row r="84" spans="2:3" x14ac:dyDescent="0.35">
      <c r="B84"/>
      <c r="C84"/>
    </row>
    <row r="85" spans="2:3" x14ac:dyDescent="0.35">
      <c r="B85"/>
      <c r="C85"/>
    </row>
    <row r="86" spans="2:3" x14ac:dyDescent="0.35">
      <c r="B86"/>
      <c r="C86"/>
    </row>
    <row r="87" spans="2:3" x14ac:dyDescent="0.35">
      <c r="B87"/>
      <c r="C87"/>
    </row>
    <row r="88" spans="2:3" x14ac:dyDescent="0.35">
      <c r="B88"/>
      <c r="C88"/>
    </row>
    <row r="89" spans="2:3" x14ac:dyDescent="0.35">
      <c r="B89"/>
      <c r="C89"/>
    </row>
    <row r="90" spans="2:3" x14ac:dyDescent="0.35">
      <c r="B90"/>
      <c r="C90"/>
    </row>
    <row r="91" spans="2:3" x14ac:dyDescent="0.35">
      <c r="B91"/>
      <c r="C91"/>
    </row>
    <row r="92" spans="2:3" x14ac:dyDescent="0.35">
      <c r="B92"/>
      <c r="C92"/>
    </row>
    <row r="93" spans="2:3" x14ac:dyDescent="0.35">
      <c r="B93"/>
      <c r="C93"/>
    </row>
    <row r="94" spans="2:3" x14ac:dyDescent="0.35">
      <c r="B94"/>
      <c r="C94"/>
    </row>
    <row r="95" spans="2:3" x14ac:dyDescent="0.35">
      <c r="B95"/>
      <c r="C95"/>
    </row>
    <row r="96" spans="2:3" x14ac:dyDescent="0.35">
      <c r="B96"/>
      <c r="C96"/>
    </row>
    <row r="97" spans="2:3" x14ac:dyDescent="0.35">
      <c r="B97"/>
      <c r="C97"/>
    </row>
    <row r="98" spans="2:3" x14ac:dyDescent="0.35">
      <c r="B98"/>
      <c r="C98"/>
    </row>
    <row r="99" spans="2:3" x14ac:dyDescent="0.35">
      <c r="B99"/>
      <c r="C99"/>
    </row>
    <row r="100" spans="2:3" x14ac:dyDescent="0.35">
      <c r="B100"/>
      <c r="C100"/>
    </row>
    <row r="101" spans="2:3" x14ac:dyDescent="0.35">
      <c r="B101"/>
      <c r="C101"/>
    </row>
    <row r="102" spans="2:3" x14ac:dyDescent="0.35">
      <c r="B102"/>
      <c r="C102"/>
    </row>
    <row r="103" spans="2:3" x14ac:dyDescent="0.35">
      <c r="B103"/>
      <c r="C103"/>
    </row>
    <row r="104" spans="2:3" x14ac:dyDescent="0.35">
      <c r="B104"/>
      <c r="C104"/>
    </row>
    <row r="105" spans="2:3" x14ac:dyDescent="0.35">
      <c r="B105"/>
      <c r="C105"/>
    </row>
    <row r="106" spans="2:3" x14ac:dyDescent="0.35">
      <c r="B106"/>
      <c r="C106"/>
    </row>
    <row r="107" spans="2:3" x14ac:dyDescent="0.35">
      <c r="B107"/>
      <c r="C107"/>
    </row>
    <row r="108" spans="2:3" x14ac:dyDescent="0.35">
      <c r="B108"/>
      <c r="C108"/>
    </row>
    <row r="109" spans="2:3" x14ac:dyDescent="0.35">
      <c r="B109"/>
      <c r="C109"/>
    </row>
    <row r="110" spans="2:3" x14ac:dyDescent="0.35">
      <c r="B110"/>
      <c r="C110"/>
    </row>
    <row r="111" spans="2:3" x14ac:dyDescent="0.35">
      <c r="B111"/>
      <c r="C111"/>
    </row>
    <row r="112" spans="2:3" x14ac:dyDescent="0.35">
      <c r="B112"/>
      <c r="C112"/>
    </row>
    <row r="113" spans="2:3" x14ac:dyDescent="0.35">
      <c r="B113"/>
      <c r="C113"/>
    </row>
    <row r="114" spans="2:3" x14ac:dyDescent="0.35">
      <c r="B114"/>
      <c r="C114"/>
    </row>
    <row r="115" spans="2:3" x14ac:dyDescent="0.35">
      <c r="B115"/>
      <c r="C115"/>
    </row>
    <row r="116" spans="2:3" x14ac:dyDescent="0.35">
      <c r="B116"/>
      <c r="C116"/>
    </row>
    <row r="117" spans="2:3" x14ac:dyDescent="0.35">
      <c r="B117"/>
      <c r="C117"/>
    </row>
    <row r="118" spans="2:3" x14ac:dyDescent="0.35">
      <c r="B118"/>
      <c r="C118"/>
    </row>
    <row r="119" spans="2:3" x14ac:dyDescent="0.35">
      <c r="B119"/>
      <c r="C119"/>
    </row>
    <row r="120" spans="2:3" x14ac:dyDescent="0.35">
      <c r="B120"/>
      <c r="C120"/>
    </row>
    <row r="121" spans="2:3" x14ac:dyDescent="0.35">
      <c r="B121"/>
      <c r="C121"/>
    </row>
    <row r="122" spans="2:3" x14ac:dyDescent="0.35">
      <c r="B122"/>
      <c r="C122"/>
    </row>
    <row r="123" spans="2:3" x14ac:dyDescent="0.35">
      <c r="B123"/>
      <c r="C123"/>
    </row>
    <row r="124" spans="2:3" x14ac:dyDescent="0.35">
      <c r="B124"/>
      <c r="C124"/>
    </row>
    <row r="125" spans="2:3" x14ac:dyDescent="0.35">
      <c r="B125"/>
      <c r="C125"/>
    </row>
    <row r="126" spans="2:3" x14ac:dyDescent="0.35">
      <c r="B126"/>
      <c r="C126"/>
    </row>
    <row r="127" spans="2:3" x14ac:dyDescent="0.35">
      <c r="B127"/>
      <c r="C127"/>
    </row>
    <row r="128" spans="2:3" x14ac:dyDescent="0.35">
      <c r="B128"/>
      <c r="C128"/>
    </row>
    <row r="129" spans="2:3" x14ac:dyDescent="0.35">
      <c r="B129"/>
      <c r="C129"/>
    </row>
    <row r="130" spans="2:3" x14ac:dyDescent="0.35">
      <c r="B130"/>
      <c r="C130"/>
    </row>
    <row r="131" spans="2:3" x14ac:dyDescent="0.35">
      <c r="B131"/>
      <c r="C131"/>
    </row>
    <row r="132" spans="2:3" x14ac:dyDescent="0.35">
      <c r="B132"/>
      <c r="C132"/>
    </row>
    <row r="133" spans="2:3" x14ac:dyDescent="0.35">
      <c r="B133"/>
      <c r="C133"/>
    </row>
    <row r="134" spans="2:3" x14ac:dyDescent="0.35">
      <c r="B134"/>
      <c r="C134"/>
    </row>
    <row r="135" spans="2:3" x14ac:dyDescent="0.35">
      <c r="B135"/>
      <c r="C135"/>
    </row>
    <row r="136" spans="2:3" x14ac:dyDescent="0.35">
      <c r="B136"/>
      <c r="C136"/>
    </row>
    <row r="137" spans="2:3" x14ac:dyDescent="0.35">
      <c r="B137"/>
      <c r="C137"/>
    </row>
    <row r="138" spans="2:3" x14ac:dyDescent="0.35">
      <c r="B138"/>
      <c r="C138"/>
    </row>
    <row r="139" spans="2:3" x14ac:dyDescent="0.35">
      <c r="B139"/>
      <c r="C139"/>
    </row>
    <row r="140" spans="2:3" x14ac:dyDescent="0.35">
      <c r="B140"/>
      <c r="C140"/>
    </row>
    <row r="141" spans="2:3" x14ac:dyDescent="0.35">
      <c r="B141"/>
      <c r="C141"/>
    </row>
    <row r="142" spans="2:3" x14ac:dyDescent="0.35">
      <c r="B142"/>
      <c r="C142"/>
    </row>
    <row r="143" spans="2:3" x14ac:dyDescent="0.35">
      <c r="B143"/>
      <c r="C143"/>
    </row>
    <row r="144" spans="2:3" x14ac:dyDescent="0.35">
      <c r="B144"/>
      <c r="C144"/>
    </row>
    <row r="145" spans="2:3" x14ac:dyDescent="0.35">
      <c r="B145"/>
      <c r="C145"/>
    </row>
    <row r="146" spans="2:3" x14ac:dyDescent="0.35">
      <c r="B146"/>
      <c r="C146"/>
    </row>
    <row r="147" spans="2:3" x14ac:dyDescent="0.35">
      <c r="B147"/>
      <c r="C147"/>
    </row>
    <row r="148" spans="2:3" x14ac:dyDescent="0.35">
      <c r="B148"/>
      <c r="C148"/>
    </row>
    <row r="149" spans="2:3" x14ac:dyDescent="0.35">
      <c r="B149"/>
      <c r="C149"/>
    </row>
    <row r="150" spans="2:3" x14ac:dyDescent="0.35">
      <c r="B150"/>
      <c r="C150"/>
    </row>
    <row r="151" spans="2:3" x14ac:dyDescent="0.35">
      <c r="B151"/>
      <c r="C151"/>
    </row>
    <row r="152" spans="2:3" x14ac:dyDescent="0.35">
      <c r="B152"/>
      <c r="C152"/>
    </row>
    <row r="153" spans="2:3" x14ac:dyDescent="0.35">
      <c r="B153"/>
      <c r="C153"/>
    </row>
    <row r="154" spans="2:3" x14ac:dyDescent="0.35">
      <c r="B154"/>
      <c r="C154"/>
    </row>
    <row r="155" spans="2:3" x14ac:dyDescent="0.35">
      <c r="B155"/>
      <c r="C155"/>
    </row>
    <row r="156" spans="2:3" x14ac:dyDescent="0.35">
      <c r="B156"/>
      <c r="C156"/>
    </row>
    <row r="157" spans="2:3" x14ac:dyDescent="0.35">
      <c r="B157"/>
      <c r="C157"/>
    </row>
    <row r="158" spans="2:3" x14ac:dyDescent="0.35">
      <c r="B158"/>
      <c r="C158"/>
    </row>
    <row r="159" spans="2:3" x14ac:dyDescent="0.35">
      <c r="B159"/>
      <c r="C159"/>
    </row>
    <row r="160" spans="2:3" x14ac:dyDescent="0.35">
      <c r="B160"/>
      <c r="C160"/>
    </row>
    <row r="161" spans="2:3" x14ac:dyDescent="0.35">
      <c r="B161"/>
      <c r="C161"/>
    </row>
    <row r="162" spans="2:3" x14ac:dyDescent="0.35">
      <c r="B162"/>
      <c r="C162"/>
    </row>
    <row r="163" spans="2:3" x14ac:dyDescent="0.35">
      <c r="B163"/>
      <c r="C163"/>
    </row>
    <row r="164" spans="2:3" x14ac:dyDescent="0.35">
      <c r="B164"/>
      <c r="C164"/>
    </row>
    <row r="165" spans="2:3" x14ac:dyDescent="0.35">
      <c r="B165"/>
      <c r="C165"/>
    </row>
    <row r="166" spans="2:3" x14ac:dyDescent="0.35">
      <c r="B166"/>
      <c r="C166"/>
    </row>
    <row r="167" spans="2:3" x14ac:dyDescent="0.35">
      <c r="B167"/>
      <c r="C167"/>
    </row>
    <row r="168" spans="2:3" x14ac:dyDescent="0.35">
      <c r="B168"/>
      <c r="C168"/>
    </row>
    <row r="169" spans="2:3" x14ac:dyDescent="0.35">
      <c r="B169"/>
      <c r="C169"/>
    </row>
    <row r="170" spans="2:3" x14ac:dyDescent="0.35">
      <c r="B170"/>
      <c r="C170"/>
    </row>
    <row r="171" spans="2:3" x14ac:dyDescent="0.35">
      <c r="B171"/>
      <c r="C171"/>
    </row>
    <row r="172" spans="2:3" x14ac:dyDescent="0.35">
      <c r="B172"/>
      <c r="C172"/>
    </row>
    <row r="173" spans="2:3" x14ac:dyDescent="0.35">
      <c r="B173"/>
      <c r="C173"/>
    </row>
    <row r="174" spans="2:3" x14ac:dyDescent="0.35">
      <c r="B174"/>
      <c r="C174"/>
    </row>
    <row r="175" spans="2:3" x14ac:dyDescent="0.35">
      <c r="B175"/>
      <c r="C175"/>
    </row>
    <row r="176" spans="2:3" x14ac:dyDescent="0.35">
      <c r="B176"/>
      <c r="C176"/>
    </row>
    <row r="177" spans="2:3" x14ac:dyDescent="0.35">
      <c r="B177"/>
      <c r="C177"/>
    </row>
    <row r="178" spans="2:3" x14ac:dyDescent="0.35">
      <c r="B178"/>
      <c r="C178"/>
    </row>
    <row r="179" spans="2:3" x14ac:dyDescent="0.35">
      <c r="B179"/>
      <c r="C179"/>
    </row>
    <row r="180" spans="2:3" x14ac:dyDescent="0.35">
      <c r="B180"/>
      <c r="C180"/>
    </row>
    <row r="181" spans="2:3" x14ac:dyDescent="0.35">
      <c r="B181"/>
      <c r="C181"/>
    </row>
    <row r="182" spans="2:3" x14ac:dyDescent="0.35">
      <c r="B182"/>
      <c r="C182"/>
    </row>
    <row r="183" spans="2:3" x14ac:dyDescent="0.35">
      <c r="B183"/>
      <c r="C183"/>
    </row>
    <row r="184" spans="2:3" x14ac:dyDescent="0.35">
      <c r="B184"/>
      <c r="C184"/>
    </row>
    <row r="185" spans="2:3" x14ac:dyDescent="0.35">
      <c r="B185"/>
      <c r="C185"/>
    </row>
    <row r="186" spans="2:3" x14ac:dyDescent="0.35">
      <c r="B186"/>
      <c r="C186"/>
    </row>
    <row r="187" spans="2:3" x14ac:dyDescent="0.35">
      <c r="B187"/>
      <c r="C187"/>
    </row>
    <row r="188" spans="2:3" x14ac:dyDescent="0.35">
      <c r="B188"/>
      <c r="C188"/>
    </row>
    <row r="189" spans="2:3" x14ac:dyDescent="0.35">
      <c r="B189"/>
      <c r="C189"/>
    </row>
    <row r="190" spans="2:3" x14ac:dyDescent="0.35">
      <c r="B190"/>
      <c r="C190"/>
    </row>
    <row r="191" spans="2:3" x14ac:dyDescent="0.35">
      <c r="B191"/>
      <c r="C191"/>
    </row>
    <row r="192" spans="2:3" x14ac:dyDescent="0.35">
      <c r="B192"/>
      <c r="C192"/>
    </row>
    <row r="193" spans="2:3" x14ac:dyDescent="0.35">
      <c r="B193"/>
      <c r="C193"/>
    </row>
    <row r="194" spans="2:3" x14ac:dyDescent="0.35">
      <c r="B194"/>
      <c r="C194"/>
    </row>
    <row r="195" spans="2:3" x14ac:dyDescent="0.35">
      <c r="B195"/>
      <c r="C195"/>
    </row>
    <row r="196" spans="2:3" x14ac:dyDescent="0.35">
      <c r="B196"/>
      <c r="C196"/>
    </row>
    <row r="197" spans="2:3" x14ac:dyDescent="0.35">
      <c r="B197"/>
      <c r="C197"/>
    </row>
    <row r="198" spans="2:3" x14ac:dyDescent="0.35">
      <c r="B198"/>
      <c r="C198"/>
    </row>
    <row r="199" spans="2:3" x14ac:dyDescent="0.35">
      <c r="B199"/>
      <c r="C199"/>
    </row>
    <row r="200" spans="2:3" x14ac:dyDescent="0.35">
      <c r="B200"/>
      <c r="C200"/>
    </row>
    <row r="201" spans="2:3" x14ac:dyDescent="0.35">
      <c r="B201"/>
      <c r="C201"/>
    </row>
    <row r="202" spans="2:3" x14ac:dyDescent="0.35">
      <c r="B202"/>
      <c r="C202"/>
    </row>
    <row r="203" spans="2:3" x14ac:dyDescent="0.35">
      <c r="B203"/>
      <c r="C203"/>
    </row>
    <row r="204" spans="2:3" x14ac:dyDescent="0.35">
      <c r="B204"/>
      <c r="C204"/>
    </row>
    <row r="205" spans="2:3" x14ac:dyDescent="0.35">
      <c r="B205"/>
      <c r="C205"/>
    </row>
    <row r="206" spans="2:3" x14ac:dyDescent="0.35">
      <c r="B206"/>
      <c r="C206"/>
    </row>
    <row r="207" spans="2:3" x14ac:dyDescent="0.35">
      <c r="B207"/>
      <c r="C207"/>
    </row>
    <row r="208" spans="2:3" x14ac:dyDescent="0.35">
      <c r="B208"/>
      <c r="C208"/>
    </row>
    <row r="209" spans="2:3" x14ac:dyDescent="0.35">
      <c r="B209"/>
      <c r="C209"/>
    </row>
    <row r="210" spans="2:3" x14ac:dyDescent="0.35">
      <c r="B210"/>
      <c r="C210"/>
    </row>
    <row r="211" spans="2:3" x14ac:dyDescent="0.35">
      <c r="B211"/>
      <c r="C211"/>
    </row>
    <row r="212" spans="2:3" x14ac:dyDescent="0.35">
      <c r="B212"/>
      <c r="C212"/>
    </row>
    <row r="213" spans="2:3" x14ac:dyDescent="0.35">
      <c r="B213"/>
      <c r="C213"/>
    </row>
    <row r="214" spans="2:3" x14ac:dyDescent="0.35">
      <c r="B214"/>
      <c r="C214"/>
    </row>
    <row r="215" spans="2:3" x14ac:dyDescent="0.35">
      <c r="B215"/>
      <c r="C215"/>
    </row>
    <row r="216" spans="2:3" x14ac:dyDescent="0.35">
      <c r="B216"/>
      <c r="C216"/>
    </row>
    <row r="217" spans="2:3" x14ac:dyDescent="0.35">
      <c r="B217"/>
      <c r="C217"/>
    </row>
    <row r="218" spans="2:3" x14ac:dyDescent="0.35">
      <c r="B218"/>
      <c r="C218"/>
    </row>
    <row r="219" spans="2:3" x14ac:dyDescent="0.35">
      <c r="B219"/>
      <c r="C219"/>
    </row>
    <row r="220" spans="2:3" x14ac:dyDescent="0.35">
      <c r="B220"/>
      <c r="C220"/>
    </row>
    <row r="221" spans="2:3" x14ac:dyDescent="0.35">
      <c r="B221"/>
      <c r="C221"/>
    </row>
    <row r="222" spans="2:3" x14ac:dyDescent="0.35">
      <c r="B222"/>
      <c r="C222"/>
    </row>
    <row r="223" spans="2:3" x14ac:dyDescent="0.35">
      <c r="B223"/>
      <c r="C223"/>
    </row>
    <row r="224" spans="2:3" x14ac:dyDescent="0.35">
      <c r="B224"/>
      <c r="C224"/>
    </row>
    <row r="225" spans="2:3" x14ac:dyDescent="0.35">
      <c r="B225"/>
      <c r="C225"/>
    </row>
    <row r="226" spans="2:3" x14ac:dyDescent="0.35">
      <c r="B226"/>
      <c r="C226"/>
    </row>
    <row r="227" spans="2:3" x14ac:dyDescent="0.35">
      <c r="B227"/>
      <c r="C227"/>
    </row>
    <row r="228" spans="2:3" x14ac:dyDescent="0.35">
      <c r="B228"/>
      <c r="C228"/>
    </row>
    <row r="229" spans="2:3" x14ac:dyDescent="0.35">
      <c r="B229"/>
      <c r="C229"/>
    </row>
    <row r="230" spans="2:3" x14ac:dyDescent="0.35">
      <c r="B230"/>
      <c r="C230"/>
    </row>
    <row r="231" spans="2:3" x14ac:dyDescent="0.35">
      <c r="B231"/>
      <c r="C231"/>
    </row>
    <row r="232" spans="2:3" x14ac:dyDescent="0.35">
      <c r="B232"/>
      <c r="C232"/>
    </row>
    <row r="233" spans="2:3" x14ac:dyDescent="0.35">
      <c r="B233"/>
      <c r="C233"/>
    </row>
    <row r="234" spans="2:3" x14ac:dyDescent="0.35">
      <c r="B234"/>
      <c r="C234"/>
    </row>
    <row r="235" spans="2:3" x14ac:dyDescent="0.35">
      <c r="B235"/>
      <c r="C235"/>
    </row>
    <row r="236" spans="2:3" x14ac:dyDescent="0.35">
      <c r="B236"/>
      <c r="C236"/>
    </row>
    <row r="237" spans="2:3" x14ac:dyDescent="0.35">
      <c r="B237"/>
      <c r="C237"/>
    </row>
    <row r="238" spans="2:3" x14ac:dyDescent="0.35">
      <c r="B238"/>
      <c r="C238"/>
    </row>
    <row r="239" spans="2:3" x14ac:dyDescent="0.35">
      <c r="B239"/>
      <c r="C239"/>
    </row>
    <row r="240" spans="2:3" x14ac:dyDescent="0.35">
      <c r="B240"/>
      <c r="C240"/>
    </row>
    <row r="241" spans="2:3" x14ac:dyDescent="0.35">
      <c r="B241"/>
      <c r="C241"/>
    </row>
    <row r="242" spans="2:3" x14ac:dyDescent="0.35">
      <c r="B242"/>
      <c r="C242"/>
    </row>
    <row r="243" spans="2:3" x14ac:dyDescent="0.35">
      <c r="B243"/>
      <c r="C243"/>
    </row>
    <row r="244" spans="2:3" x14ac:dyDescent="0.35">
      <c r="B244"/>
      <c r="C244"/>
    </row>
    <row r="245" spans="2:3" x14ac:dyDescent="0.35">
      <c r="B245"/>
      <c r="C245"/>
    </row>
    <row r="246" spans="2:3" x14ac:dyDescent="0.35">
      <c r="B246"/>
      <c r="C246"/>
    </row>
    <row r="247" spans="2:3" x14ac:dyDescent="0.35">
      <c r="B247"/>
      <c r="C247"/>
    </row>
    <row r="248" spans="2:3" x14ac:dyDescent="0.35">
      <c r="B248"/>
      <c r="C248"/>
    </row>
    <row r="249" spans="2:3" x14ac:dyDescent="0.35">
      <c r="B249"/>
      <c r="C249"/>
    </row>
    <row r="250" spans="2:3" x14ac:dyDescent="0.35">
      <c r="B250"/>
      <c r="C250"/>
    </row>
    <row r="251" spans="2:3" x14ac:dyDescent="0.35">
      <c r="B251"/>
      <c r="C251"/>
    </row>
    <row r="252" spans="2:3" x14ac:dyDescent="0.35">
      <c r="B252"/>
      <c r="C252"/>
    </row>
    <row r="253" spans="2:3" x14ac:dyDescent="0.35">
      <c r="B253"/>
      <c r="C253"/>
    </row>
    <row r="254" spans="2:3" x14ac:dyDescent="0.35">
      <c r="B254"/>
      <c r="C254"/>
    </row>
    <row r="255" spans="2:3" x14ac:dyDescent="0.35">
      <c r="B255"/>
      <c r="C255"/>
    </row>
    <row r="256" spans="2:3" x14ac:dyDescent="0.35">
      <c r="B256"/>
      <c r="C256"/>
    </row>
    <row r="257" spans="2:3" x14ac:dyDescent="0.35">
      <c r="B257"/>
      <c r="C257"/>
    </row>
    <row r="258" spans="2:3" x14ac:dyDescent="0.35">
      <c r="B258"/>
      <c r="C258"/>
    </row>
    <row r="259" spans="2:3" x14ac:dyDescent="0.35">
      <c r="B259"/>
      <c r="C259"/>
    </row>
    <row r="260" spans="2:3" x14ac:dyDescent="0.35">
      <c r="B260"/>
      <c r="C260"/>
    </row>
    <row r="261" spans="2:3" x14ac:dyDescent="0.35">
      <c r="B261"/>
      <c r="C261"/>
    </row>
    <row r="262" spans="2:3" x14ac:dyDescent="0.35">
      <c r="B262"/>
      <c r="C262"/>
    </row>
    <row r="263" spans="2:3" x14ac:dyDescent="0.35">
      <c r="B263"/>
      <c r="C263"/>
    </row>
    <row r="264" spans="2:3" x14ac:dyDescent="0.35">
      <c r="B264"/>
      <c r="C264"/>
    </row>
    <row r="265" spans="2:3" x14ac:dyDescent="0.35">
      <c r="B265"/>
      <c r="C265"/>
    </row>
    <row r="266" spans="2:3" x14ac:dyDescent="0.35">
      <c r="B266"/>
      <c r="C266"/>
    </row>
    <row r="267" spans="2:3" x14ac:dyDescent="0.35">
      <c r="B267"/>
      <c r="C267"/>
    </row>
    <row r="268" spans="2:3" x14ac:dyDescent="0.35">
      <c r="B268"/>
      <c r="C268"/>
    </row>
    <row r="269" spans="2:3" x14ac:dyDescent="0.35">
      <c r="B269"/>
      <c r="C269"/>
    </row>
    <row r="270" spans="2:3" x14ac:dyDescent="0.35">
      <c r="B270"/>
      <c r="C270"/>
    </row>
    <row r="271" spans="2:3" x14ac:dyDescent="0.35">
      <c r="B271"/>
      <c r="C271"/>
    </row>
    <row r="272" spans="2:3" x14ac:dyDescent="0.35">
      <c r="B272"/>
      <c r="C272"/>
    </row>
    <row r="273" spans="2:3" x14ac:dyDescent="0.35">
      <c r="B273"/>
      <c r="C273"/>
    </row>
    <row r="274" spans="2:3" x14ac:dyDescent="0.35">
      <c r="B274"/>
      <c r="C274"/>
    </row>
    <row r="275" spans="2:3" x14ac:dyDescent="0.35">
      <c r="B275"/>
      <c r="C275"/>
    </row>
    <row r="276" spans="2:3" x14ac:dyDescent="0.35">
      <c r="B276"/>
      <c r="C276"/>
    </row>
    <row r="277" spans="2:3" x14ac:dyDescent="0.35">
      <c r="B277"/>
      <c r="C277"/>
    </row>
    <row r="278" spans="2:3" x14ac:dyDescent="0.35">
      <c r="B278"/>
      <c r="C278"/>
    </row>
    <row r="279" spans="2:3" x14ac:dyDescent="0.35">
      <c r="B279"/>
      <c r="C279"/>
    </row>
    <row r="280" spans="2:3" x14ac:dyDescent="0.35">
      <c r="B280"/>
      <c r="C280"/>
    </row>
    <row r="281" spans="2:3" x14ac:dyDescent="0.35">
      <c r="B281"/>
      <c r="C281"/>
    </row>
    <row r="282" spans="2:3" x14ac:dyDescent="0.35">
      <c r="B282"/>
      <c r="C282"/>
    </row>
    <row r="283" spans="2:3" x14ac:dyDescent="0.35">
      <c r="B283"/>
      <c r="C283"/>
    </row>
    <row r="284" spans="2:3" x14ac:dyDescent="0.35">
      <c r="B284"/>
      <c r="C284"/>
    </row>
    <row r="285" spans="2:3" x14ac:dyDescent="0.35">
      <c r="B285"/>
      <c r="C285"/>
    </row>
    <row r="286" spans="2:3" x14ac:dyDescent="0.35">
      <c r="B286"/>
      <c r="C286"/>
    </row>
    <row r="287" spans="2:3" x14ac:dyDescent="0.35">
      <c r="B287"/>
      <c r="C287"/>
    </row>
    <row r="288" spans="2:3" x14ac:dyDescent="0.35">
      <c r="B288"/>
      <c r="C288"/>
    </row>
    <row r="289" spans="2:3" x14ac:dyDescent="0.35">
      <c r="B289"/>
      <c r="C289"/>
    </row>
    <row r="290" spans="2:3" x14ac:dyDescent="0.35">
      <c r="B290"/>
      <c r="C290"/>
    </row>
    <row r="291" spans="2:3" x14ac:dyDescent="0.35">
      <c r="B291"/>
      <c r="C291"/>
    </row>
    <row r="292" spans="2:3" x14ac:dyDescent="0.35">
      <c r="B292"/>
      <c r="C292"/>
    </row>
    <row r="293" spans="2:3" x14ac:dyDescent="0.35">
      <c r="B293"/>
      <c r="C293"/>
    </row>
    <row r="294" spans="2:3" x14ac:dyDescent="0.35">
      <c r="B294"/>
      <c r="C294"/>
    </row>
    <row r="295" spans="2:3" x14ac:dyDescent="0.35">
      <c r="B295"/>
      <c r="C295"/>
    </row>
    <row r="296" spans="2:3" x14ac:dyDescent="0.35">
      <c r="B296"/>
      <c r="C296"/>
    </row>
    <row r="297" spans="2:3" x14ac:dyDescent="0.35">
      <c r="B297"/>
      <c r="C297"/>
    </row>
    <row r="298" spans="2:3" x14ac:dyDescent="0.35">
      <c r="B298"/>
      <c r="C298"/>
    </row>
    <row r="299" spans="2:3" x14ac:dyDescent="0.35">
      <c r="B299"/>
      <c r="C299"/>
    </row>
    <row r="300" spans="2:3" x14ac:dyDescent="0.35">
      <c r="B300"/>
      <c r="C300"/>
    </row>
    <row r="301" spans="2:3" x14ac:dyDescent="0.35">
      <c r="B301"/>
      <c r="C301"/>
    </row>
    <row r="302" spans="2:3" x14ac:dyDescent="0.35">
      <c r="B302"/>
      <c r="C302"/>
    </row>
    <row r="303" spans="2:3" x14ac:dyDescent="0.35">
      <c r="B303"/>
      <c r="C303"/>
    </row>
    <row r="304" spans="2:3" x14ac:dyDescent="0.35">
      <c r="B304"/>
      <c r="C304"/>
    </row>
    <row r="305" spans="2:3" x14ac:dyDescent="0.35">
      <c r="B305"/>
      <c r="C305"/>
    </row>
    <row r="306" spans="2:3" x14ac:dyDescent="0.35">
      <c r="B306"/>
      <c r="C306"/>
    </row>
    <row r="307" spans="2:3" x14ac:dyDescent="0.35">
      <c r="B307"/>
      <c r="C307"/>
    </row>
    <row r="308" spans="2:3" x14ac:dyDescent="0.35">
      <c r="B308"/>
      <c r="C308"/>
    </row>
    <row r="309" spans="2:3" x14ac:dyDescent="0.35">
      <c r="B309"/>
      <c r="C309"/>
    </row>
    <row r="310" spans="2:3" x14ac:dyDescent="0.35">
      <c r="B310"/>
      <c r="C310"/>
    </row>
    <row r="311" spans="2:3" x14ac:dyDescent="0.35">
      <c r="B311"/>
      <c r="C311"/>
    </row>
    <row r="312" spans="2:3" x14ac:dyDescent="0.35">
      <c r="B312"/>
      <c r="C312"/>
    </row>
    <row r="313" spans="2:3" x14ac:dyDescent="0.35">
      <c r="B313"/>
      <c r="C313"/>
    </row>
    <row r="314" spans="2:3" x14ac:dyDescent="0.35">
      <c r="B314"/>
      <c r="C314"/>
    </row>
    <row r="315" spans="2:3" x14ac:dyDescent="0.35">
      <c r="B315"/>
      <c r="C315"/>
    </row>
    <row r="316" spans="2:3" x14ac:dyDescent="0.35">
      <c r="B316"/>
      <c r="C316"/>
    </row>
    <row r="317" spans="2:3" x14ac:dyDescent="0.35">
      <c r="B317"/>
      <c r="C317"/>
    </row>
    <row r="318" spans="2:3" x14ac:dyDescent="0.35">
      <c r="B318"/>
      <c r="C318"/>
    </row>
    <row r="319" spans="2:3" x14ac:dyDescent="0.35">
      <c r="B319"/>
      <c r="C319"/>
    </row>
    <row r="320" spans="2:3" x14ac:dyDescent="0.35">
      <c r="B320"/>
      <c r="C320"/>
    </row>
    <row r="321" spans="2:3" x14ac:dyDescent="0.35">
      <c r="B321"/>
      <c r="C321"/>
    </row>
    <row r="322" spans="2:3" x14ac:dyDescent="0.35">
      <c r="B322"/>
      <c r="C322"/>
    </row>
    <row r="323" spans="2:3" x14ac:dyDescent="0.35">
      <c r="B323"/>
      <c r="C323"/>
    </row>
    <row r="324" spans="2:3" x14ac:dyDescent="0.35">
      <c r="B324"/>
      <c r="C324"/>
    </row>
    <row r="325" spans="2:3" x14ac:dyDescent="0.35">
      <c r="B325"/>
      <c r="C325"/>
    </row>
    <row r="326" spans="2:3" x14ac:dyDescent="0.35">
      <c r="B326"/>
      <c r="C326"/>
    </row>
    <row r="327" spans="2:3" x14ac:dyDescent="0.35">
      <c r="B327"/>
      <c r="C327"/>
    </row>
    <row r="328" spans="2:3" x14ac:dyDescent="0.35">
      <c r="B328"/>
      <c r="C328"/>
    </row>
    <row r="329" spans="2:3" x14ac:dyDescent="0.35">
      <c r="B329"/>
      <c r="C329"/>
    </row>
    <row r="330" spans="2:3" x14ac:dyDescent="0.35">
      <c r="B330"/>
      <c r="C330"/>
    </row>
    <row r="331" spans="2:3" x14ac:dyDescent="0.35">
      <c r="B331"/>
      <c r="C331"/>
    </row>
    <row r="332" spans="2:3" x14ac:dyDescent="0.35">
      <c r="B332"/>
      <c r="C332"/>
    </row>
    <row r="333" spans="2:3" x14ac:dyDescent="0.35">
      <c r="B333"/>
      <c r="C333"/>
    </row>
    <row r="334" spans="2:3" x14ac:dyDescent="0.35">
      <c r="B334"/>
      <c r="C334"/>
    </row>
    <row r="335" spans="2:3" x14ac:dyDescent="0.35">
      <c r="B335"/>
      <c r="C335"/>
    </row>
    <row r="336" spans="2:3" x14ac:dyDescent="0.35">
      <c r="B336"/>
      <c r="C336"/>
    </row>
    <row r="337" spans="2:3" x14ac:dyDescent="0.35">
      <c r="B337"/>
      <c r="C337"/>
    </row>
    <row r="338" spans="2:3" x14ac:dyDescent="0.35">
      <c r="B338"/>
      <c r="C338"/>
    </row>
    <row r="339" spans="2:3" x14ac:dyDescent="0.35">
      <c r="B339"/>
      <c r="C339"/>
    </row>
    <row r="340" spans="2:3" x14ac:dyDescent="0.35">
      <c r="B340"/>
      <c r="C340"/>
    </row>
    <row r="341" spans="2:3" x14ac:dyDescent="0.35">
      <c r="B341"/>
      <c r="C341"/>
    </row>
    <row r="342" spans="2:3" x14ac:dyDescent="0.35">
      <c r="B342"/>
      <c r="C342"/>
    </row>
    <row r="343" spans="2:3" x14ac:dyDescent="0.35">
      <c r="B343"/>
      <c r="C343"/>
    </row>
    <row r="344" spans="2:3" x14ac:dyDescent="0.35">
      <c r="B344"/>
      <c r="C344"/>
    </row>
    <row r="345" spans="2:3" x14ac:dyDescent="0.35">
      <c r="B345"/>
      <c r="C345"/>
    </row>
    <row r="346" spans="2:3" x14ac:dyDescent="0.35">
      <c r="B346"/>
      <c r="C346"/>
    </row>
    <row r="347" spans="2:3" x14ac:dyDescent="0.35">
      <c r="B347"/>
      <c r="C347"/>
    </row>
    <row r="348" spans="2:3" x14ac:dyDescent="0.35">
      <c r="B348"/>
      <c r="C348"/>
    </row>
    <row r="349" spans="2:3" x14ac:dyDescent="0.35">
      <c r="B349"/>
      <c r="C349"/>
    </row>
    <row r="350" spans="2:3" x14ac:dyDescent="0.35">
      <c r="B350"/>
      <c r="C350"/>
    </row>
    <row r="351" spans="2:3" x14ac:dyDescent="0.35">
      <c r="B351"/>
      <c r="C351"/>
    </row>
    <row r="352" spans="2:3" x14ac:dyDescent="0.35">
      <c r="B352"/>
      <c r="C352"/>
    </row>
    <row r="353" spans="2:3" x14ac:dyDescent="0.35">
      <c r="B353"/>
      <c r="C353"/>
    </row>
    <row r="354" spans="2:3" x14ac:dyDescent="0.35">
      <c r="B354"/>
      <c r="C354"/>
    </row>
    <row r="355" spans="2:3" x14ac:dyDescent="0.35">
      <c r="B355"/>
      <c r="C355"/>
    </row>
    <row r="356" spans="2:3" x14ac:dyDescent="0.35">
      <c r="B356"/>
      <c r="C356"/>
    </row>
    <row r="357" spans="2:3" x14ac:dyDescent="0.35">
      <c r="B357"/>
      <c r="C357"/>
    </row>
    <row r="358" spans="2:3" x14ac:dyDescent="0.35">
      <c r="B358"/>
      <c r="C358"/>
    </row>
    <row r="359" spans="2:3" x14ac:dyDescent="0.35">
      <c r="B359"/>
      <c r="C359"/>
    </row>
    <row r="360" spans="2:3" x14ac:dyDescent="0.35">
      <c r="B360"/>
      <c r="C360"/>
    </row>
    <row r="361" spans="2:3" x14ac:dyDescent="0.35">
      <c r="B361"/>
      <c r="C361"/>
    </row>
    <row r="362" spans="2:3" x14ac:dyDescent="0.35">
      <c r="B362"/>
      <c r="C362"/>
    </row>
    <row r="363" spans="2:3" x14ac:dyDescent="0.35">
      <c r="B363"/>
      <c r="C363"/>
    </row>
    <row r="364" spans="2:3" x14ac:dyDescent="0.35">
      <c r="B364"/>
      <c r="C364"/>
    </row>
    <row r="365" spans="2:3" x14ac:dyDescent="0.35">
      <c r="B365"/>
      <c r="C365"/>
    </row>
    <row r="366" spans="2:3" x14ac:dyDescent="0.35">
      <c r="B366"/>
      <c r="C366"/>
    </row>
    <row r="367" spans="2:3" x14ac:dyDescent="0.35">
      <c r="B367"/>
      <c r="C367"/>
    </row>
    <row r="368" spans="2:3" x14ac:dyDescent="0.35">
      <c r="B368"/>
      <c r="C368"/>
    </row>
    <row r="369" spans="2:3" x14ac:dyDescent="0.35">
      <c r="B369"/>
      <c r="C369"/>
    </row>
    <row r="370" spans="2:3" x14ac:dyDescent="0.35">
      <c r="B370"/>
      <c r="C370"/>
    </row>
    <row r="371" spans="2:3" x14ac:dyDescent="0.35">
      <c r="B371"/>
      <c r="C371"/>
    </row>
    <row r="372" spans="2:3" x14ac:dyDescent="0.35">
      <c r="B372"/>
      <c r="C372"/>
    </row>
    <row r="373" spans="2:3" x14ac:dyDescent="0.35">
      <c r="B373"/>
      <c r="C373"/>
    </row>
    <row r="374" spans="2:3" x14ac:dyDescent="0.35">
      <c r="B374"/>
      <c r="C374"/>
    </row>
    <row r="375" spans="2:3" x14ac:dyDescent="0.35">
      <c r="B375"/>
      <c r="C375"/>
    </row>
    <row r="376" spans="2:3" x14ac:dyDescent="0.35">
      <c r="B376"/>
      <c r="C376"/>
    </row>
    <row r="377" spans="2:3" x14ac:dyDescent="0.35">
      <c r="B377"/>
      <c r="C377"/>
    </row>
    <row r="378" spans="2:3" x14ac:dyDescent="0.35">
      <c r="B378"/>
      <c r="C378"/>
    </row>
    <row r="379" spans="2:3" x14ac:dyDescent="0.35">
      <c r="B379"/>
      <c r="C379"/>
    </row>
    <row r="380" spans="2:3" x14ac:dyDescent="0.35">
      <c r="B380"/>
      <c r="C380"/>
    </row>
    <row r="381" spans="2:3" x14ac:dyDescent="0.35">
      <c r="B381"/>
      <c r="C381"/>
    </row>
    <row r="382" spans="2:3" x14ac:dyDescent="0.35">
      <c r="B382"/>
      <c r="C382"/>
    </row>
    <row r="383" spans="2:3" x14ac:dyDescent="0.35">
      <c r="B383"/>
      <c r="C383"/>
    </row>
    <row r="384" spans="2:3" x14ac:dyDescent="0.35">
      <c r="B384"/>
      <c r="C384"/>
    </row>
    <row r="385" spans="2:3" x14ac:dyDescent="0.35">
      <c r="B385"/>
      <c r="C385"/>
    </row>
    <row r="386" spans="2:3" x14ac:dyDescent="0.35">
      <c r="B386"/>
      <c r="C386"/>
    </row>
    <row r="387" spans="2:3" x14ac:dyDescent="0.35">
      <c r="B387"/>
      <c r="C387"/>
    </row>
    <row r="388" spans="2:3" x14ac:dyDescent="0.35">
      <c r="B388"/>
      <c r="C388"/>
    </row>
    <row r="389" spans="2:3" x14ac:dyDescent="0.35">
      <c r="B389"/>
      <c r="C389"/>
    </row>
    <row r="390" spans="2:3" x14ac:dyDescent="0.35">
      <c r="B390"/>
      <c r="C390"/>
    </row>
    <row r="391" spans="2:3" x14ac:dyDescent="0.35">
      <c r="B391"/>
      <c r="C391"/>
    </row>
    <row r="392" spans="2:3" x14ac:dyDescent="0.35">
      <c r="B392"/>
      <c r="C392"/>
    </row>
    <row r="393" spans="2:3" x14ac:dyDescent="0.35">
      <c r="B393"/>
      <c r="C393"/>
    </row>
    <row r="394" spans="2:3" x14ac:dyDescent="0.35">
      <c r="B394"/>
      <c r="C394"/>
    </row>
    <row r="395" spans="2:3" x14ac:dyDescent="0.35">
      <c r="B395"/>
      <c r="C395"/>
    </row>
    <row r="396" spans="2:3" x14ac:dyDescent="0.35">
      <c r="B396"/>
      <c r="C396"/>
    </row>
    <row r="397" spans="2:3" x14ac:dyDescent="0.35">
      <c r="B397"/>
      <c r="C397"/>
    </row>
    <row r="398" spans="2:3" x14ac:dyDescent="0.35">
      <c r="B398"/>
      <c r="C398"/>
    </row>
    <row r="399" spans="2:3" x14ac:dyDescent="0.35">
      <c r="B399"/>
      <c r="C399"/>
    </row>
    <row r="400" spans="2:3" x14ac:dyDescent="0.35">
      <c r="B400"/>
      <c r="C400"/>
    </row>
    <row r="401" spans="2:3" x14ac:dyDescent="0.35">
      <c r="B401"/>
      <c r="C401"/>
    </row>
    <row r="402" spans="2:3" x14ac:dyDescent="0.35">
      <c r="B402"/>
      <c r="C402"/>
    </row>
    <row r="403" spans="2:3" x14ac:dyDescent="0.35">
      <c r="B403"/>
      <c r="C403"/>
    </row>
    <row r="404" spans="2:3" x14ac:dyDescent="0.35">
      <c r="B404"/>
      <c r="C404"/>
    </row>
    <row r="405" spans="2:3" x14ac:dyDescent="0.35">
      <c r="B405"/>
      <c r="C405"/>
    </row>
    <row r="406" spans="2:3" x14ac:dyDescent="0.35">
      <c r="B406"/>
      <c r="C406"/>
    </row>
    <row r="407" spans="2:3" x14ac:dyDescent="0.35">
      <c r="B407"/>
      <c r="C407"/>
    </row>
    <row r="408" spans="2:3" x14ac:dyDescent="0.35">
      <c r="B408"/>
      <c r="C408"/>
    </row>
    <row r="409" spans="2:3" x14ac:dyDescent="0.35">
      <c r="B409"/>
      <c r="C409"/>
    </row>
    <row r="410" spans="2:3" x14ac:dyDescent="0.35">
      <c r="B410"/>
      <c r="C410"/>
    </row>
    <row r="411" spans="2:3" x14ac:dyDescent="0.35">
      <c r="B411"/>
      <c r="C411"/>
    </row>
    <row r="412" spans="2:3" x14ac:dyDescent="0.35">
      <c r="B412"/>
      <c r="C412"/>
    </row>
    <row r="413" spans="2:3" x14ac:dyDescent="0.35">
      <c r="B413"/>
      <c r="C413"/>
    </row>
    <row r="414" spans="2:3" x14ac:dyDescent="0.35">
      <c r="B414"/>
      <c r="C414"/>
    </row>
    <row r="415" spans="2:3" x14ac:dyDescent="0.35">
      <c r="B415"/>
      <c r="C415"/>
    </row>
    <row r="416" spans="2:3" x14ac:dyDescent="0.35">
      <c r="B416"/>
      <c r="C416"/>
    </row>
    <row r="417" spans="2:3" x14ac:dyDescent="0.35">
      <c r="B417"/>
      <c r="C417"/>
    </row>
    <row r="418" spans="2:3" x14ac:dyDescent="0.35">
      <c r="B418"/>
      <c r="C418"/>
    </row>
    <row r="419" spans="2:3" x14ac:dyDescent="0.35">
      <c r="B419"/>
      <c r="C419"/>
    </row>
    <row r="420" spans="2:3" x14ac:dyDescent="0.35">
      <c r="B420"/>
      <c r="C420"/>
    </row>
    <row r="421" spans="2:3" x14ac:dyDescent="0.35">
      <c r="B421"/>
      <c r="C421"/>
    </row>
    <row r="422" spans="2:3" x14ac:dyDescent="0.35">
      <c r="B422"/>
      <c r="C422"/>
    </row>
    <row r="423" spans="2:3" x14ac:dyDescent="0.35">
      <c r="B423"/>
      <c r="C423"/>
    </row>
    <row r="424" spans="2:3" x14ac:dyDescent="0.35">
      <c r="B424"/>
      <c r="C424"/>
    </row>
    <row r="425" spans="2:3" x14ac:dyDescent="0.35">
      <c r="B425"/>
      <c r="C425"/>
    </row>
    <row r="426" spans="2:3" x14ac:dyDescent="0.35">
      <c r="B426"/>
      <c r="C426"/>
    </row>
    <row r="427" spans="2:3" x14ac:dyDescent="0.35">
      <c r="B427"/>
      <c r="C427"/>
    </row>
    <row r="428" spans="2:3" x14ac:dyDescent="0.35">
      <c r="B428"/>
      <c r="C428"/>
    </row>
    <row r="429" spans="2:3" x14ac:dyDescent="0.35">
      <c r="B429"/>
      <c r="C429"/>
    </row>
    <row r="430" spans="2:3" x14ac:dyDescent="0.35">
      <c r="B430"/>
      <c r="C430"/>
    </row>
    <row r="431" spans="2:3" x14ac:dyDescent="0.35">
      <c r="B431"/>
      <c r="C431"/>
    </row>
    <row r="432" spans="2:3" x14ac:dyDescent="0.35">
      <c r="B432"/>
      <c r="C432"/>
    </row>
    <row r="433" spans="2:3" x14ac:dyDescent="0.35">
      <c r="B433"/>
      <c r="C433"/>
    </row>
    <row r="434" spans="2:3" x14ac:dyDescent="0.35">
      <c r="B434"/>
      <c r="C434"/>
    </row>
    <row r="435" spans="2:3" x14ac:dyDescent="0.35">
      <c r="B435"/>
      <c r="C435"/>
    </row>
    <row r="436" spans="2:3" x14ac:dyDescent="0.35">
      <c r="B436"/>
      <c r="C436"/>
    </row>
    <row r="437" spans="2:3" x14ac:dyDescent="0.35">
      <c r="B437"/>
      <c r="C437"/>
    </row>
    <row r="438" spans="2:3" x14ac:dyDescent="0.35">
      <c r="B438"/>
      <c r="C438"/>
    </row>
    <row r="439" spans="2:3" x14ac:dyDescent="0.35">
      <c r="B439"/>
      <c r="C439"/>
    </row>
    <row r="440" spans="2:3" x14ac:dyDescent="0.35">
      <c r="B440"/>
      <c r="C440"/>
    </row>
    <row r="441" spans="2:3" x14ac:dyDescent="0.35">
      <c r="B441"/>
      <c r="C441"/>
    </row>
    <row r="442" spans="2:3" x14ac:dyDescent="0.35">
      <c r="B442"/>
      <c r="C442"/>
    </row>
    <row r="443" spans="2:3" x14ac:dyDescent="0.35">
      <c r="B443"/>
      <c r="C443"/>
    </row>
    <row r="444" spans="2:3" x14ac:dyDescent="0.35">
      <c r="B444"/>
      <c r="C444"/>
    </row>
    <row r="445" spans="2:3" x14ac:dyDescent="0.35">
      <c r="B445"/>
      <c r="C445"/>
    </row>
    <row r="446" spans="2:3" x14ac:dyDescent="0.35">
      <c r="B446"/>
      <c r="C446"/>
    </row>
    <row r="447" spans="2:3" x14ac:dyDescent="0.35">
      <c r="B447"/>
      <c r="C447"/>
    </row>
    <row r="448" spans="2:3" x14ac:dyDescent="0.35">
      <c r="B448"/>
      <c r="C448"/>
    </row>
    <row r="449" spans="2:3" x14ac:dyDescent="0.35">
      <c r="B449"/>
      <c r="C449"/>
    </row>
    <row r="450" spans="2:3" x14ac:dyDescent="0.35">
      <c r="B450"/>
      <c r="C450"/>
    </row>
    <row r="451" spans="2:3" x14ac:dyDescent="0.35">
      <c r="B451"/>
      <c r="C451"/>
    </row>
    <row r="452" spans="2:3" x14ac:dyDescent="0.35">
      <c r="B452"/>
      <c r="C452"/>
    </row>
    <row r="453" spans="2:3" x14ac:dyDescent="0.35">
      <c r="B453"/>
      <c r="C453"/>
    </row>
    <row r="454" spans="2:3" x14ac:dyDescent="0.35">
      <c r="B454"/>
      <c r="C454"/>
    </row>
    <row r="455" spans="2:3" x14ac:dyDescent="0.35">
      <c r="B455"/>
      <c r="C455"/>
    </row>
    <row r="456" spans="2:3" x14ac:dyDescent="0.35">
      <c r="B456"/>
      <c r="C456"/>
    </row>
    <row r="457" spans="2:3" x14ac:dyDescent="0.35">
      <c r="B457"/>
      <c r="C457"/>
    </row>
    <row r="458" spans="2:3" x14ac:dyDescent="0.35">
      <c r="B458"/>
      <c r="C458"/>
    </row>
    <row r="459" spans="2:3" x14ac:dyDescent="0.35">
      <c r="B459"/>
      <c r="C459"/>
    </row>
    <row r="460" spans="2:3" x14ac:dyDescent="0.35">
      <c r="B460"/>
      <c r="C460"/>
    </row>
    <row r="461" spans="2:3" x14ac:dyDescent="0.35">
      <c r="B461"/>
      <c r="C461"/>
    </row>
    <row r="462" spans="2:3" x14ac:dyDescent="0.35">
      <c r="B462"/>
      <c r="C462"/>
    </row>
    <row r="463" spans="2:3" x14ac:dyDescent="0.35">
      <c r="B463"/>
      <c r="C463"/>
    </row>
    <row r="464" spans="2:3" x14ac:dyDescent="0.35">
      <c r="B464"/>
      <c r="C464"/>
    </row>
    <row r="465" spans="2:3" x14ac:dyDescent="0.35">
      <c r="B465"/>
      <c r="C465"/>
    </row>
    <row r="466" spans="2:3" x14ac:dyDescent="0.35">
      <c r="B466"/>
      <c r="C466"/>
    </row>
    <row r="467" spans="2:3" x14ac:dyDescent="0.35">
      <c r="B467"/>
      <c r="C467"/>
    </row>
    <row r="468" spans="2:3" x14ac:dyDescent="0.35">
      <c r="B468"/>
      <c r="C468"/>
    </row>
    <row r="469" spans="2:3" x14ac:dyDescent="0.35">
      <c r="B469"/>
      <c r="C469"/>
    </row>
    <row r="470" spans="2:3" x14ac:dyDescent="0.35">
      <c r="B470"/>
      <c r="C470"/>
    </row>
    <row r="471" spans="2:3" x14ac:dyDescent="0.35">
      <c r="B471"/>
      <c r="C471"/>
    </row>
    <row r="472" spans="2:3" x14ac:dyDescent="0.35">
      <c r="B472"/>
      <c r="C472"/>
    </row>
    <row r="473" spans="2:3" x14ac:dyDescent="0.35">
      <c r="B473"/>
      <c r="C473"/>
    </row>
    <row r="474" spans="2:3" x14ac:dyDescent="0.35">
      <c r="B474"/>
      <c r="C474"/>
    </row>
    <row r="475" spans="2:3" x14ac:dyDescent="0.35">
      <c r="B475"/>
      <c r="C475"/>
    </row>
    <row r="476" spans="2:3" x14ac:dyDescent="0.35">
      <c r="B476"/>
      <c r="C476"/>
    </row>
    <row r="477" spans="2:3" x14ac:dyDescent="0.35">
      <c r="B477"/>
      <c r="C477"/>
    </row>
    <row r="478" spans="2:3" x14ac:dyDescent="0.35">
      <c r="B478"/>
      <c r="C478"/>
    </row>
    <row r="479" spans="2:3" x14ac:dyDescent="0.35">
      <c r="B479"/>
      <c r="C479"/>
    </row>
    <row r="480" spans="2:3" x14ac:dyDescent="0.35">
      <c r="B480"/>
      <c r="C480"/>
    </row>
    <row r="481" spans="2:3" x14ac:dyDescent="0.35">
      <c r="B481"/>
      <c r="C481"/>
    </row>
    <row r="482" spans="2:3" x14ac:dyDescent="0.35">
      <c r="B482"/>
      <c r="C482"/>
    </row>
    <row r="483" spans="2:3" x14ac:dyDescent="0.35">
      <c r="B483"/>
      <c r="C483"/>
    </row>
    <row r="484" spans="2:3" x14ac:dyDescent="0.35">
      <c r="B484"/>
      <c r="C484"/>
    </row>
    <row r="485" spans="2:3" x14ac:dyDescent="0.35">
      <c r="B485"/>
      <c r="C485"/>
    </row>
    <row r="486" spans="2:3" x14ac:dyDescent="0.35">
      <c r="B486"/>
      <c r="C486"/>
    </row>
    <row r="487" spans="2:3" x14ac:dyDescent="0.35">
      <c r="B487"/>
      <c r="C487"/>
    </row>
    <row r="488" spans="2:3" x14ac:dyDescent="0.35">
      <c r="B488"/>
      <c r="C488"/>
    </row>
    <row r="489" spans="2:3" x14ac:dyDescent="0.35">
      <c r="B489"/>
      <c r="C489"/>
    </row>
    <row r="490" spans="2:3" x14ac:dyDescent="0.35">
      <c r="B490"/>
      <c r="C490"/>
    </row>
    <row r="491" spans="2:3" x14ac:dyDescent="0.35">
      <c r="B491"/>
      <c r="C491"/>
    </row>
    <row r="492" spans="2:3" x14ac:dyDescent="0.35">
      <c r="B492"/>
      <c r="C492"/>
    </row>
    <row r="493" spans="2:3" x14ac:dyDescent="0.35">
      <c r="B493"/>
      <c r="C493"/>
    </row>
    <row r="494" spans="2:3" x14ac:dyDescent="0.35">
      <c r="B494"/>
      <c r="C494"/>
    </row>
    <row r="495" spans="2:3" x14ac:dyDescent="0.35">
      <c r="B495"/>
      <c r="C495"/>
    </row>
    <row r="496" spans="2:3" x14ac:dyDescent="0.35">
      <c r="B496"/>
      <c r="C496"/>
    </row>
    <row r="497" spans="2:3" x14ac:dyDescent="0.35">
      <c r="B497"/>
      <c r="C497"/>
    </row>
    <row r="498" spans="2:3" x14ac:dyDescent="0.35">
      <c r="B498"/>
      <c r="C498"/>
    </row>
    <row r="499" spans="2:3" x14ac:dyDescent="0.35">
      <c r="B499"/>
      <c r="C499"/>
    </row>
    <row r="500" spans="2:3" x14ac:dyDescent="0.35">
      <c r="B500"/>
      <c r="C500"/>
    </row>
    <row r="501" spans="2:3" x14ac:dyDescent="0.35">
      <c r="B501"/>
      <c r="C501"/>
    </row>
    <row r="502" spans="2:3" x14ac:dyDescent="0.35">
      <c r="B502"/>
      <c r="C502"/>
    </row>
    <row r="503" spans="2:3" x14ac:dyDescent="0.35">
      <c r="B503"/>
      <c r="C503"/>
    </row>
    <row r="504" spans="2:3" x14ac:dyDescent="0.35">
      <c r="B504"/>
      <c r="C504"/>
    </row>
    <row r="505" spans="2:3" x14ac:dyDescent="0.35">
      <c r="B505"/>
      <c r="C505"/>
    </row>
    <row r="506" spans="2:3" x14ac:dyDescent="0.35">
      <c r="B506"/>
      <c r="C506"/>
    </row>
    <row r="507" spans="2:3" x14ac:dyDescent="0.35">
      <c r="B507"/>
      <c r="C507"/>
    </row>
    <row r="508" spans="2:3" x14ac:dyDescent="0.35">
      <c r="B508"/>
      <c r="C508"/>
    </row>
    <row r="509" spans="2:3" x14ac:dyDescent="0.35">
      <c r="B509"/>
      <c r="C509"/>
    </row>
    <row r="510" spans="2:3" x14ac:dyDescent="0.35">
      <c r="B510"/>
      <c r="C510"/>
    </row>
    <row r="511" spans="2:3" x14ac:dyDescent="0.35">
      <c r="B511"/>
      <c r="C511"/>
    </row>
    <row r="512" spans="2:3" x14ac:dyDescent="0.35">
      <c r="B512"/>
      <c r="C512"/>
    </row>
    <row r="513" spans="2:3" x14ac:dyDescent="0.35">
      <c r="B513"/>
      <c r="C513"/>
    </row>
    <row r="514" spans="2:3" x14ac:dyDescent="0.35">
      <c r="B514"/>
      <c r="C514"/>
    </row>
    <row r="515" spans="2:3" x14ac:dyDescent="0.35">
      <c r="B515"/>
      <c r="C515"/>
    </row>
    <row r="516" spans="2:3" x14ac:dyDescent="0.35">
      <c r="B516"/>
      <c r="C516"/>
    </row>
    <row r="517" spans="2:3" x14ac:dyDescent="0.35">
      <c r="B517"/>
      <c r="C517"/>
    </row>
    <row r="518" spans="2:3" x14ac:dyDescent="0.35">
      <c r="B518"/>
      <c r="C518"/>
    </row>
    <row r="519" spans="2:3" x14ac:dyDescent="0.35">
      <c r="B519"/>
      <c r="C519"/>
    </row>
    <row r="520" spans="2:3" x14ac:dyDescent="0.35">
      <c r="B520"/>
      <c r="C520"/>
    </row>
    <row r="521" spans="2:3" x14ac:dyDescent="0.35">
      <c r="B521"/>
      <c r="C521"/>
    </row>
    <row r="522" spans="2:3" x14ac:dyDescent="0.35">
      <c r="B522"/>
      <c r="C522"/>
    </row>
    <row r="523" spans="2:3" x14ac:dyDescent="0.35">
      <c r="B523"/>
      <c r="C523"/>
    </row>
    <row r="524" spans="2:3" x14ac:dyDescent="0.35">
      <c r="B524"/>
      <c r="C524"/>
    </row>
    <row r="525" spans="2:3" x14ac:dyDescent="0.35">
      <c r="B525"/>
      <c r="C525"/>
    </row>
    <row r="526" spans="2:3" x14ac:dyDescent="0.35">
      <c r="B526"/>
      <c r="C526"/>
    </row>
    <row r="527" spans="2:3" x14ac:dyDescent="0.35">
      <c r="B527"/>
      <c r="C527"/>
    </row>
    <row r="528" spans="2:3" x14ac:dyDescent="0.35">
      <c r="B528"/>
      <c r="C528"/>
    </row>
    <row r="529" spans="2:3" x14ac:dyDescent="0.35">
      <c r="B529"/>
      <c r="C529"/>
    </row>
    <row r="530" spans="2:3" x14ac:dyDescent="0.35">
      <c r="B530"/>
      <c r="C530"/>
    </row>
    <row r="531" spans="2:3" x14ac:dyDescent="0.35">
      <c r="B531"/>
      <c r="C531"/>
    </row>
    <row r="532" spans="2:3" x14ac:dyDescent="0.35">
      <c r="B532"/>
      <c r="C532"/>
    </row>
    <row r="533" spans="2:3" x14ac:dyDescent="0.35">
      <c r="B533"/>
      <c r="C533"/>
    </row>
    <row r="534" spans="2:3" x14ac:dyDescent="0.35">
      <c r="B534"/>
      <c r="C534"/>
    </row>
    <row r="535" spans="2:3" x14ac:dyDescent="0.35">
      <c r="B535"/>
      <c r="C535"/>
    </row>
    <row r="536" spans="2:3" x14ac:dyDescent="0.35">
      <c r="B536"/>
      <c r="C536"/>
    </row>
    <row r="537" spans="2:3" x14ac:dyDescent="0.35">
      <c r="B537"/>
      <c r="C537"/>
    </row>
    <row r="538" spans="2:3" x14ac:dyDescent="0.35">
      <c r="B538"/>
      <c r="C538"/>
    </row>
    <row r="539" spans="2:3" x14ac:dyDescent="0.35">
      <c r="B539"/>
      <c r="C539"/>
    </row>
    <row r="540" spans="2:3" x14ac:dyDescent="0.35">
      <c r="B540"/>
      <c r="C540"/>
    </row>
    <row r="541" spans="2:3" x14ac:dyDescent="0.35">
      <c r="B541"/>
      <c r="C541"/>
    </row>
    <row r="542" spans="2:3" x14ac:dyDescent="0.35">
      <c r="B542"/>
      <c r="C542"/>
    </row>
    <row r="543" spans="2:3" x14ac:dyDescent="0.35">
      <c r="B543"/>
      <c r="C543"/>
    </row>
    <row r="544" spans="2:3" x14ac:dyDescent="0.35">
      <c r="B544"/>
      <c r="C544"/>
    </row>
    <row r="545" spans="2:3" x14ac:dyDescent="0.35">
      <c r="B545"/>
      <c r="C545"/>
    </row>
    <row r="546" spans="2:3" x14ac:dyDescent="0.35">
      <c r="B546"/>
      <c r="C546"/>
    </row>
    <row r="547" spans="2:3" x14ac:dyDescent="0.35">
      <c r="B547"/>
      <c r="C547"/>
    </row>
    <row r="548" spans="2:3" x14ac:dyDescent="0.35">
      <c r="B548"/>
      <c r="C548"/>
    </row>
    <row r="549" spans="2:3" x14ac:dyDescent="0.35">
      <c r="B549"/>
      <c r="C549"/>
    </row>
    <row r="550" spans="2:3" x14ac:dyDescent="0.35">
      <c r="B550"/>
      <c r="C550"/>
    </row>
    <row r="551" spans="2:3" x14ac:dyDescent="0.35">
      <c r="B551"/>
      <c r="C551"/>
    </row>
    <row r="552" spans="2:3" x14ac:dyDescent="0.35">
      <c r="B552"/>
      <c r="C552"/>
    </row>
    <row r="553" spans="2:3" x14ac:dyDescent="0.35">
      <c r="B553"/>
      <c r="C553"/>
    </row>
    <row r="554" spans="2:3" x14ac:dyDescent="0.35">
      <c r="B554"/>
      <c r="C554"/>
    </row>
    <row r="555" spans="2:3" x14ac:dyDescent="0.35">
      <c r="B555"/>
      <c r="C555"/>
    </row>
    <row r="556" spans="2:3" x14ac:dyDescent="0.35">
      <c r="B556"/>
      <c r="C556"/>
    </row>
    <row r="557" spans="2:3" x14ac:dyDescent="0.35">
      <c r="B557"/>
      <c r="C557"/>
    </row>
    <row r="558" spans="2:3" x14ac:dyDescent="0.35">
      <c r="B558"/>
      <c r="C558"/>
    </row>
    <row r="559" spans="2:3" x14ac:dyDescent="0.35">
      <c r="B559"/>
      <c r="C559"/>
    </row>
    <row r="560" spans="2:3" x14ac:dyDescent="0.35">
      <c r="B560"/>
      <c r="C560"/>
    </row>
    <row r="561" spans="2:3" x14ac:dyDescent="0.35">
      <c r="B561"/>
      <c r="C561"/>
    </row>
    <row r="562" spans="2:3" x14ac:dyDescent="0.35">
      <c r="B562"/>
      <c r="C562"/>
    </row>
    <row r="563" spans="2:3" x14ac:dyDescent="0.35">
      <c r="B563"/>
      <c r="C563"/>
    </row>
    <row r="564" spans="2:3" x14ac:dyDescent="0.35">
      <c r="B564"/>
      <c r="C564"/>
    </row>
    <row r="565" spans="2:3" x14ac:dyDescent="0.35">
      <c r="B565"/>
      <c r="C565"/>
    </row>
    <row r="566" spans="2:3" x14ac:dyDescent="0.35">
      <c r="B566"/>
      <c r="C566"/>
    </row>
    <row r="567" spans="2:3" x14ac:dyDescent="0.35">
      <c r="B567"/>
      <c r="C567"/>
    </row>
    <row r="568" spans="2:3" x14ac:dyDescent="0.35">
      <c r="B568"/>
      <c r="C568"/>
    </row>
    <row r="569" spans="2:3" x14ac:dyDescent="0.35">
      <c r="B569"/>
      <c r="C569"/>
    </row>
    <row r="570" spans="2:3" x14ac:dyDescent="0.35">
      <c r="B570"/>
      <c r="C570"/>
    </row>
    <row r="571" spans="2:3" x14ac:dyDescent="0.35">
      <c r="B571"/>
      <c r="C571"/>
    </row>
    <row r="572" spans="2:3" x14ac:dyDescent="0.35">
      <c r="B572"/>
      <c r="C572"/>
    </row>
    <row r="573" spans="2:3" x14ac:dyDescent="0.35">
      <c r="B573"/>
      <c r="C573"/>
    </row>
    <row r="574" spans="2:3" x14ac:dyDescent="0.35">
      <c r="B574"/>
      <c r="C574"/>
    </row>
    <row r="575" spans="2:3" x14ac:dyDescent="0.35">
      <c r="B575"/>
      <c r="C575"/>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7" workbookViewId="0">
      <selection activeCell="D19" sqref="D19"/>
    </sheetView>
  </sheetViews>
  <sheetFormatPr defaultRowHeight="14.5" x14ac:dyDescent="0.35"/>
  <cols>
    <col min="2" max="2" width="14" style="91" customWidth="1"/>
    <col min="3" max="3" width="35.453125" customWidth="1"/>
    <col min="4" max="4" width="40.1796875" style="49" customWidth="1"/>
    <col min="5" max="5" width="42.7265625" customWidth="1"/>
  </cols>
  <sheetData>
    <row r="1" spans="2:5" ht="45.75" customHeight="1" x14ac:dyDescent="0.35"/>
    <row r="2" spans="2:5" ht="39.75" customHeight="1" x14ac:dyDescent="0.35">
      <c r="B2" s="97" t="s">
        <v>478</v>
      </c>
      <c r="C2" s="96" t="s">
        <v>3565</v>
      </c>
      <c r="D2" s="96" t="s">
        <v>3566</v>
      </c>
      <c r="E2" s="101" t="s">
        <v>531</v>
      </c>
    </row>
    <row r="3" spans="2:5" ht="39.75" customHeight="1" x14ac:dyDescent="0.35">
      <c r="B3" s="98">
        <v>1</v>
      </c>
      <c r="C3" s="92" t="s">
        <v>3567</v>
      </c>
      <c r="D3" s="94" t="s">
        <v>3568</v>
      </c>
      <c r="E3" s="102"/>
    </row>
    <row r="4" spans="2:5" ht="39.75" customHeight="1" x14ac:dyDescent="0.35">
      <c r="B4" s="98">
        <v>2</v>
      </c>
      <c r="C4" s="92" t="s">
        <v>3569</v>
      </c>
      <c r="D4" s="94" t="s">
        <v>3570</v>
      </c>
      <c r="E4" s="102"/>
    </row>
    <row r="5" spans="2:5" ht="39.75" customHeight="1" x14ac:dyDescent="0.35">
      <c r="B5" s="98">
        <v>3</v>
      </c>
      <c r="C5" s="92" t="s">
        <v>3571</v>
      </c>
      <c r="D5" s="94" t="s">
        <v>3572</v>
      </c>
      <c r="E5" s="102"/>
    </row>
    <row r="6" spans="2:5" ht="39.75" customHeight="1" x14ac:dyDescent="0.35">
      <c r="B6" s="98">
        <v>4</v>
      </c>
      <c r="C6" s="94" t="s">
        <v>3573</v>
      </c>
      <c r="D6" s="94" t="s">
        <v>3574</v>
      </c>
      <c r="E6" s="102"/>
    </row>
    <row r="7" spans="2:5" ht="39.75" customHeight="1" x14ac:dyDescent="0.35">
      <c r="B7" s="99">
        <v>5</v>
      </c>
      <c r="C7" s="94" t="s">
        <v>3575</v>
      </c>
      <c r="D7" s="94" t="s">
        <v>3574</v>
      </c>
      <c r="E7" s="102"/>
    </row>
    <row r="8" spans="2:5" ht="39.75" customHeight="1" x14ac:dyDescent="0.35">
      <c r="B8" s="99">
        <v>6</v>
      </c>
      <c r="C8" s="94" t="s">
        <v>3576</v>
      </c>
      <c r="D8" s="94" t="s">
        <v>3577</v>
      </c>
      <c r="E8" s="210" t="s">
        <v>3578</v>
      </c>
    </row>
    <row r="9" spans="2:5" ht="39.75" customHeight="1" x14ac:dyDescent="0.35">
      <c r="B9" s="99">
        <v>7</v>
      </c>
      <c r="C9" s="92" t="s">
        <v>3579</v>
      </c>
      <c r="D9" s="94" t="s">
        <v>3580</v>
      </c>
      <c r="E9" s="102" t="s">
        <v>3581</v>
      </c>
    </row>
    <row r="10" spans="2:5" ht="39.75" customHeight="1" x14ac:dyDescent="0.35">
      <c r="B10" s="98">
        <v>8</v>
      </c>
      <c r="C10" s="92" t="s">
        <v>3582</v>
      </c>
      <c r="D10" s="94" t="s">
        <v>3583</v>
      </c>
      <c r="E10" s="102"/>
    </row>
    <row r="11" spans="2:5" ht="39.75" customHeight="1" x14ac:dyDescent="0.35">
      <c r="B11" s="99">
        <v>9</v>
      </c>
      <c r="C11" s="92" t="s">
        <v>3584</v>
      </c>
      <c r="D11" s="94" t="s">
        <v>3585</v>
      </c>
      <c r="E11" s="102"/>
    </row>
    <row r="12" spans="2:5" ht="39.75" customHeight="1" x14ac:dyDescent="0.35">
      <c r="B12" s="98">
        <v>10</v>
      </c>
      <c r="C12" s="94" t="s">
        <v>3586</v>
      </c>
      <c r="D12" s="94" t="s">
        <v>3587</v>
      </c>
      <c r="E12" s="102"/>
    </row>
    <row r="13" spans="2:5" ht="39.75" customHeight="1" x14ac:dyDescent="0.35">
      <c r="B13" s="99">
        <v>11</v>
      </c>
      <c r="C13" s="92" t="s">
        <v>3588</v>
      </c>
      <c r="D13" s="94" t="s">
        <v>3589</v>
      </c>
      <c r="E13" s="102"/>
    </row>
    <row r="14" spans="2:5" ht="39.75" customHeight="1" x14ac:dyDescent="0.35">
      <c r="B14" s="99">
        <v>12</v>
      </c>
      <c r="C14" s="92" t="s">
        <v>3590</v>
      </c>
      <c r="D14" s="94" t="s">
        <v>3591</v>
      </c>
      <c r="E14" s="102"/>
    </row>
    <row r="15" spans="2:5" ht="39.75" customHeight="1" x14ac:dyDescent="0.35">
      <c r="B15" s="99">
        <v>13</v>
      </c>
      <c r="C15" s="92" t="s">
        <v>3592</v>
      </c>
      <c r="D15" s="94" t="s">
        <v>3593</v>
      </c>
      <c r="E15" s="102"/>
    </row>
    <row r="16" spans="2:5" ht="39.75" customHeight="1" x14ac:dyDescent="0.35">
      <c r="B16" s="100">
        <v>14</v>
      </c>
      <c r="C16" s="95" t="s">
        <v>3594</v>
      </c>
      <c r="D16" s="94" t="s">
        <v>3595</v>
      </c>
      <c r="E16" s="102"/>
    </row>
    <row r="17" spans="2:5" ht="39.75" customHeight="1" x14ac:dyDescent="0.35">
      <c r="B17" s="99">
        <v>15</v>
      </c>
      <c r="C17" s="92" t="s">
        <v>3596</v>
      </c>
      <c r="D17" s="94" t="s">
        <v>3597</v>
      </c>
      <c r="E17" s="102"/>
    </row>
    <row r="18" spans="2:5" ht="39.75" customHeight="1" x14ac:dyDescent="0.35">
      <c r="B18" s="99">
        <v>16</v>
      </c>
      <c r="C18" s="92" t="s">
        <v>3598</v>
      </c>
      <c r="D18" s="94" t="s">
        <v>3599</v>
      </c>
      <c r="E18" s="102"/>
    </row>
    <row r="19" spans="2:5" ht="39.75" customHeight="1" x14ac:dyDescent="0.35">
      <c r="B19" s="99">
        <v>17</v>
      </c>
      <c r="C19" s="92" t="s">
        <v>3600</v>
      </c>
      <c r="D19" s="94" t="s">
        <v>3601</v>
      </c>
      <c r="E19" s="102"/>
    </row>
    <row r="20" spans="2:5" ht="39.75" customHeight="1" x14ac:dyDescent="0.35">
      <c r="B20" s="100">
        <v>18</v>
      </c>
      <c r="C20" s="95" t="s">
        <v>3602</v>
      </c>
      <c r="D20" s="93" t="s">
        <v>3603</v>
      </c>
      <c r="E20" s="103"/>
    </row>
    <row r="21" spans="2:5" ht="39.75" customHeight="1" x14ac:dyDescent="0.35">
      <c r="B21" s="100">
        <v>19</v>
      </c>
      <c r="C21" s="95" t="s">
        <v>3604</v>
      </c>
      <c r="D21" s="93" t="s">
        <v>3605</v>
      </c>
      <c r="E21" s="103" t="s">
        <v>3606</v>
      </c>
    </row>
    <row r="22" spans="2:5" ht="39.75" customHeight="1" x14ac:dyDescent="0.35">
      <c r="B22" s="99">
        <v>20</v>
      </c>
      <c r="C22" s="92" t="s">
        <v>3607</v>
      </c>
      <c r="D22" s="94" t="s">
        <v>3608</v>
      </c>
      <c r="E22" s="102" t="s">
        <v>3609</v>
      </c>
    </row>
    <row r="23" spans="2:5" ht="39.75" customHeight="1" x14ac:dyDescent="0.35">
      <c r="B23" s="100">
        <v>21</v>
      </c>
      <c r="C23" s="95" t="s">
        <v>3610</v>
      </c>
      <c r="D23" s="93" t="s">
        <v>3611</v>
      </c>
      <c r="E23" s="103" t="s">
        <v>3612</v>
      </c>
    </row>
  </sheetData>
  <conditionalFormatting sqref="D3:D23">
    <cfRule type="cellIs" dxfId="0"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B1:AD36"/>
  <sheetViews>
    <sheetView showGridLines="0" topLeftCell="D1" workbookViewId="0">
      <selection activeCell="I26" sqref="I26"/>
    </sheetView>
  </sheetViews>
  <sheetFormatPr defaultRowHeight="14.5" x14ac:dyDescent="0.35"/>
  <cols>
    <col min="2" max="2" width="30.7265625" bestFit="1" customWidth="1"/>
    <col min="3" max="3" width="32.7265625" bestFit="1" customWidth="1"/>
    <col min="4" max="4" width="98.81640625" customWidth="1"/>
    <col min="5" max="5" width="30.453125" bestFit="1" customWidth="1"/>
    <col min="6" max="6" width="25.26953125" customWidth="1"/>
    <col min="7" max="7" width="16.453125" customWidth="1"/>
    <col min="8" max="8" width="16.453125" bestFit="1" customWidth="1"/>
    <col min="9" max="9" width="11.81640625" bestFit="1" customWidth="1"/>
    <col min="10" max="10" width="30.7265625" bestFit="1" customWidth="1"/>
    <col min="11" max="11" width="23.81640625" bestFit="1" customWidth="1"/>
    <col min="12" max="12" width="22.7265625" bestFit="1" customWidth="1"/>
    <col min="13" max="13" width="30" bestFit="1" customWidth="1"/>
    <col min="14" max="14" width="30.7265625" bestFit="1" customWidth="1"/>
    <col min="15" max="15" width="39.54296875" customWidth="1"/>
    <col min="16" max="17" width="30.7265625" bestFit="1" customWidth="1"/>
    <col min="18" max="18" width="19.453125" bestFit="1" customWidth="1"/>
    <col min="19" max="19" width="26.81640625" bestFit="1" customWidth="1"/>
    <col min="20" max="20" width="30.7265625" bestFit="1" customWidth="1"/>
    <col min="21" max="21" width="43.26953125" customWidth="1"/>
    <col min="22" max="25" width="30.7265625" bestFit="1" customWidth="1"/>
    <col min="26" max="26" width="24.54296875" bestFit="1" customWidth="1"/>
    <col min="27" max="27" width="30.7265625" bestFit="1" customWidth="1"/>
    <col min="28" max="28" width="16.453125" bestFit="1" customWidth="1"/>
    <col min="29" max="29" width="30.7265625" bestFit="1" customWidth="1"/>
    <col min="30" max="30" width="35.7265625" customWidth="1"/>
  </cols>
  <sheetData>
    <row r="1" spans="2:28" ht="27.75" customHeight="1" x14ac:dyDescent="0.35"/>
    <row r="2" spans="2:28" x14ac:dyDescent="0.35">
      <c r="B2" s="91" t="s">
        <v>3613</v>
      </c>
      <c r="C2" s="91" t="s">
        <v>3614</v>
      </c>
      <c r="D2" s="91" t="s">
        <v>3615</v>
      </c>
      <c r="E2" s="91" t="s">
        <v>3616</v>
      </c>
      <c r="F2" s="91" t="s">
        <v>3617</v>
      </c>
      <c r="G2" s="91" t="s">
        <v>3618</v>
      </c>
      <c r="H2" s="91" t="s">
        <v>3619</v>
      </c>
      <c r="I2" s="91" t="s">
        <v>121</v>
      </c>
      <c r="J2" s="91" t="s">
        <v>137</v>
      </c>
      <c r="K2" s="91" t="s">
        <v>149</v>
      </c>
      <c r="L2" s="91" t="s">
        <v>156</v>
      </c>
      <c r="M2" s="91" t="s">
        <v>168</v>
      </c>
      <c r="N2" s="91" t="s">
        <v>177</v>
      </c>
      <c r="O2" s="91" t="s">
        <v>188</v>
      </c>
      <c r="P2" s="91" t="s">
        <v>199</v>
      </c>
      <c r="Q2" s="91" t="s">
        <v>211</v>
      </c>
      <c r="R2" s="91" t="s">
        <v>223</v>
      </c>
      <c r="S2" s="91" t="s">
        <v>239</v>
      </c>
      <c r="T2" s="91" t="s">
        <v>248</v>
      </c>
      <c r="U2" s="91" t="s">
        <v>261</v>
      </c>
      <c r="V2" s="91" t="s">
        <v>272</v>
      </c>
      <c r="W2" s="91" t="s">
        <v>283</v>
      </c>
      <c r="X2" s="91" t="s">
        <v>294</v>
      </c>
      <c r="Y2" s="91" t="s">
        <v>305</v>
      </c>
      <c r="Z2" s="91" t="s">
        <v>318</v>
      </c>
      <c r="AA2" s="91" t="s">
        <v>327</v>
      </c>
      <c r="AB2" s="91" t="s">
        <v>334</v>
      </c>
    </row>
    <row r="3" spans="2:28" x14ac:dyDescent="0.35">
      <c r="B3" s="50" t="s">
        <v>3567</v>
      </c>
      <c r="C3" s="50">
        <v>1</v>
      </c>
      <c r="D3" s="50" t="s">
        <v>3620</v>
      </c>
      <c r="E3" s="111">
        <v>45439</v>
      </c>
      <c r="F3" s="50">
        <v>2</v>
      </c>
      <c r="G3" s="225">
        <v>1</v>
      </c>
      <c r="H3" s="50">
        <v>21676</v>
      </c>
      <c r="I3" s="50" t="s">
        <v>3621</v>
      </c>
      <c r="J3" s="50" t="s">
        <v>3621</v>
      </c>
      <c r="K3" s="50" t="s">
        <v>3621</v>
      </c>
      <c r="L3" s="50" t="s">
        <v>3621</v>
      </c>
      <c r="M3" s="50" t="s">
        <v>3621</v>
      </c>
      <c r="N3" s="50" t="s">
        <v>3621</v>
      </c>
      <c r="O3" s="50" t="s">
        <v>3621</v>
      </c>
      <c r="P3" s="50" t="s">
        <v>3621</v>
      </c>
      <c r="Q3" s="50" t="s">
        <v>3621</v>
      </c>
      <c r="R3" s="50" t="s">
        <v>3621</v>
      </c>
      <c r="S3" s="50" t="s">
        <v>3621</v>
      </c>
      <c r="T3" s="50" t="s">
        <v>3621</v>
      </c>
      <c r="U3" s="50" t="s">
        <v>3621</v>
      </c>
      <c r="V3" s="50" t="s">
        <v>3621</v>
      </c>
      <c r="W3" s="50" t="s">
        <v>3621</v>
      </c>
      <c r="X3" s="50" t="s">
        <v>3621</v>
      </c>
      <c r="Y3" s="50" t="s">
        <v>3621</v>
      </c>
      <c r="Z3" s="50" t="s">
        <v>3621</v>
      </c>
      <c r="AA3" s="50" t="s">
        <v>3621</v>
      </c>
      <c r="AB3" s="50" t="s">
        <v>3621</v>
      </c>
    </row>
    <row r="4" spans="2:28" x14ac:dyDescent="0.35">
      <c r="B4" s="50" t="s">
        <v>3569</v>
      </c>
      <c r="C4" s="50">
        <v>2</v>
      </c>
      <c r="D4" s="50" t="s">
        <v>3622</v>
      </c>
      <c r="E4" s="111">
        <v>45439</v>
      </c>
      <c r="F4" s="50">
        <v>2</v>
      </c>
      <c r="G4" s="225">
        <v>1</v>
      </c>
      <c r="H4" s="50">
        <v>0</v>
      </c>
      <c r="I4" s="50" t="s">
        <v>3621</v>
      </c>
      <c r="J4" s="50" t="s">
        <v>3621</v>
      </c>
      <c r="K4" s="50" t="s">
        <v>3621</v>
      </c>
      <c r="L4" s="50" t="s">
        <v>3621</v>
      </c>
      <c r="M4" s="50" t="s">
        <v>3621</v>
      </c>
      <c r="N4" s="50" t="s">
        <v>3621</v>
      </c>
      <c r="O4" s="50" t="s">
        <v>3621</v>
      </c>
      <c r="P4" s="50" t="s">
        <v>3621</v>
      </c>
      <c r="Q4" s="50" t="s">
        <v>3621</v>
      </c>
      <c r="R4" s="50" t="s">
        <v>3621</v>
      </c>
      <c r="S4" s="50" t="s">
        <v>3621</v>
      </c>
      <c r="T4" s="50" t="s">
        <v>3621</v>
      </c>
      <c r="U4" s="50" t="s">
        <v>3621</v>
      </c>
      <c r="V4" s="50" t="s">
        <v>3621</v>
      </c>
      <c r="W4" s="50" t="s">
        <v>3621</v>
      </c>
      <c r="X4" s="50" t="s">
        <v>3621</v>
      </c>
      <c r="Y4" s="50" t="s">
        <v>3621</v>
      </c>
      <c r="Z4" s="50" t="s">
        <v>3621</v>
      </c>
      <c r="AA4" s="50" t="s">
        <v>3621</v>
      </c>
      <c r="AB4" s="50" t="s">
        <v>3621</v>
      </c>
    </row>
    <row r="5" spans="2:28" x14ac:dyDescent="0.35">
      <c r="B5" s="50" t="s">
        <v>3571</v>
      </c>
      <c r="C5" s="50">
        <v>3</v>
      </c>
      <c r="D5" s="50" t="s">
        <v>3623</v>
      </c>
      <c r="E5" s="111">
        <v>45439</v>
      </c>
      <c r="F5" s="50">
        <v>2</v>
      </c>
      <c r="G5" s="225">
        <v>1</v>
      </c>
      <c r="H5" s="50">
        <v>0</v>
      </c>
      <c r="I5" s="50">
        <v>0</v>
      </c>
      <c r="J5" s="50">
        <v>0</v>
      </c>
      <c r="K5" s="50" t="s">
        <v>3621</v>
      </c>
      <c r="L5" s="50" t="s">
        <v>3621</v>
      </c>
      <c r="M5" s="50" t="s">
        <v>3621</v>
      </c>
      <c r="N5" s="50" t="s">
        <v>3621</v>
      </c>
      <c r="O5" s="50" t="s">
        <v>3621</v>
      </c>
      <c r="P5" s="50" t="s">
        <v>3621</v>
      </c>
      <c r="Q5" s="50" t="s">
        <v>3621</v>
      </c>
      <c r="R5" s="50" t="s">
        <v>3621</v>
      </c>
      <c r="S5" s="50" t="s">
        <v>3621</v>
      </c>
      <c r="T5" s="50" t="s">
        <v>3621</v>
      </c>
      <c r="U5" s="50" t="s">
        <v>3621</v>
      </c>
      <c r="V5" s="50" t="s">
        <v>3621</v>
      </c>
      <c r="W5" s="50" t="s">
        <v>3621</v>
      </c>
      <c r="X5" s="50" t="s">
        <v>3621</v>
      </c>
      <c r="Y5" s="50" t="s">
        <v>3621</v>
      </c>
      <c r="Z5" s="50" t="s">
        <v>3621</v>
      </c>
      <c r="AA5" s="50">
        <v>0</v>
      </c>
      <c r="AB5" s="50" t="s">
        <v>3621</v>
      </c>
    </row>
    <row r="6" spans="2:28" x14ac:dyDescent="0.35">
      <c r="B6" s="113" t="s">
        <v>3573</v>
      </c>
      <c r="C6" s="50">
        <v>4</v>
      </c>
      <c r="D6" s="50" t="s">
        <v>3624</v>
      </c>
      <c r="E6" s="111" t="s">
        <v>3621</v>
      </c>
      <c r="F6" s="50">
        <v>2</v>
      </c>
      <c r="G6" s="225" t="s">
        <v>3621</v>
      </c>
      <c r="H6" s="50" t="s">
        <v>3621</v>
      </c>
      <c r="I6" s="50" t="s">
        <v>3621</v>
      </c>
      <c r="J6" s="50" t="s">
        <v>3621</v>
      </c>
      <c r="K6" s="50" t="s">
        <v>3621</v>
      </c>
      <c r="L6" s="50" t="s">
        <v>3621</v>
      </c>
      <c r="M6" s="50" t="s">
        <v>3621</v>
      </c>
      <c r="N6" s="50" t="s">
        <v>3621</v>
      </c>
      <c r="O6" s="50" t="s">
        <v>3621</v>
      </c>
      <c r="P6" s="50" t="s">
        <v>3621</v>
      </c>
      <c r="Q6" s="50" t="s">
        <v>3621</v>
      </c>
      <c r="R6" s="50" t="s">
        <v>3621</v>
      </c>
      <c r="S6" s="50" t="s">
        <v>3621</v>
      </c>
      <c r="T6" s="50" t="s">
        <v>3621</v>
      </c>
      <c r="U6" s="50" t="s">
        <v>3621</v>
      </c>
      <c r="V6" s="50" t="s">
        <v>3621</v>
      </c>
      <c r="W6" s="50" t="s">
        <v>3621</v>
      </c>
      <c r="X6" s="50" t="s">
        <v>3621</v>
      </c>
      <c r="Y6" s="50" t="s">
        <v>3621</v>
      </c>
      <c r="Z6" s="50" t="s">
        <v>3621</v>
      </c>
      <c r="AA6" s="50" t="s">
        <v>3621</v>
      </c>
      <c r="AB6" s="50" t="s">
        <v>3621</v>
      </c>
    </row>
    <row r="7" spans="2:28" x14ac:dyDescent="0.35">
      <c r="B7" s="50" t="s">
        <v>3575</v>
      </c>
      <c r="C7" s="50">
        <v>5</v>
      </c>
      <c r="D7" s="50" t="s">
        <v>3624</v>
      </c>
      <c r="E7" s="111" t="s">
        <v>3621</v>
      </c>
      <c r="F7" s="50">
        <v>2</v>
      </c>
      <c r="G7" s="225" t="s">
        <v>3621</v>
      </c>
      <c r="H7" s="50" t="s">
        <v>3621</v>
      </c>
      <c r="I7" s="50" t="s">
        <v>3621</v>
      </c>
      <c r="J7" s="50" t="s">
        <v>3621</v>
      </c>
      <c r="K7" s="50" t="s">
        <v>3621</v>
      </c>
      <c r="L7" s="50" t="s">
        <v>3621</v>
      </c>
      <c r="M7" s="50" t="s">
        <v>3621</v>
      </c>
      <c r="N7" s="50" t="s">
        <v>3621</v>
      </c>
      <c r="O7" s="50" t="s">
        <v>3621</v>
      </c>
      <c r="P7" s="50" t="s">
        <v>3621</v>
      </c>
      <c r="Q7" s="50" t="s">
        <v>3621</v>
      </c>
      <c r="R7" s="50" t="s">
        <v>3621</v>
      </c>
      <c r="S7" s="50" t="s">
        <v>3621</v>
      </c>
      <c r="T7" s="50" t="s">
        <v>3621</v>
      </c>
      <c r="U7" s="50" t="s">
        <v>3621</v>
      </c>
      <c r="V7" s="50" t="s">
        <v>3621</v>
      </c>
      <c r="W7" s="50" t="s">
        <v>3621</v>
      </c>
      <c r="X7" s="50" t="s">
        <v>3621</v>
      </c>
      <c r="Y7" s="50" t="s">
        <v>3621</v>
      </c>
      <c r="Z7" s="50" t="s">
        <v>3621</v>
      </c>
      <c r="AA7" s="50" t="s">
        <v>3621</v>
      </c>
      <c r="AB7" s="50" t="s">
        <v>3621</v>
      </c>
    </row>
    <row r="8" spans="2:28" x14ac:dyDescent="0.35">
      <c r="B8" s="50" t="s">
        <v>3576</v>
      </c>
      <c r="C8" s="50">
        <v>6</v>
      </c>
      <c r="D8" s="50" t="s">
        <v>3625</v>
      </c>
      <c r="E8" s="111">
        <v>45439</v>
      </c>
      <c r="F8" s="50">
        <v>2</v>
      </c>
      <c r="G8" s="225" cm="1">
        <f t="array" ref="G8">SUMPRODUCT(--(I8:AC8&gt;0))/COUNTA(I8:AC8)</f>
        <v>1</v>
      </c>
      <c r="H8" s="50">
        <v>0</v>
      </c>
      <c r="I8" s="50">
        <v>2</v>
      </c>
      <c r="J8" s="50">
        <v>15</v>
      </c>
      <c r="K8" s="50">
        <v>3</v>
      </c>
      <c r="L8" s="50">
        <v>3</v>
      </c>
      <c r="M8" s="50">
        <v>3</v>
      </c>
      <c r="N8" s="50">
        <v>2</v>
      </c>
      <c r="O8" s="50">
        <v>30</v>
      </c>
      <c r="P8" s="50">
        <v>10</v>
      </c>
      <c r="Q8" s="50">
        <v>10</v>
      </c>
      <c r="R8" s="50">
        <v>3</v>
      </c>
      <c r="S8" s="50">
        <v>1</v>
      </c>
      <c r="T8" s="50">
        <v>8</v>
      </c>
      <c r="U8" s="50">
        <v>8</v>
      </c>
      <c r="V8" s="50">
        <v>8</v>
      </c>
      <c r="W8" s="50">
        <v>8</v>
      </c>
      <c r="X8" s="50">
        <v>3</v>
      </c>
      <c r="Y8" s="50">
        <v>3</v>
      </c>
      <c r="Z8" s="50">
        <v>2</v>
      </c>
      <c r="AA8" s="50">
        <v>10</v>
      </c>
      <c r="AB8" s="50">
        <v>23</v>
      </c>
    </row>
    <row r="9" spans="2:28" x14ac:dyDescent="0.35">
      <c r="B9" s="50" t="s">
        <v>3579</v>
      </c>
      <c r="C9" s="50">
        <v>7</v>
      </c>
      <c r="D9" s="50" t="s">
        <v>3626</v>
      </c>
      <c r="E9" s="111">
        <v>45439</v>
      </c>
      <c r="F9" s="50">
        <v>2</v>
      </c>
      <c r="G9" s="225" cm="1">
        <f t="array" ref="G9">SUMPRODUCT(--(I9:AB9 &lt;= I27:AB27))/COUNTA(I27:AB27)</f>
        <v>1</v>
      </c>
      <c r="H9" s="50">
        <v>0</v>
      </c>
      <c r="I9" s="50">
        <v>2</v>
      </c>
      <c r="J9" s="50">
        <v>30</v>
      </c>
      <c r="K9" s="50">
        <v>3</v>
      </c>
      <c r="L9" s="50">
        <v>3</v>
      </c>
      <c r="M9" s="50">
        <v>3</v>
      </c>
      <c r="N9" s="50">
        <v>2</v>
      </c>
      <c r="O9" s="50">
        <v>30</v>
      </c>
      <c r="P9" s="50">
        <v>10</v>
      </c>
      <c r="Q9" s="50">
        <v>10</v>
      </c>
      <c r="R9" s="50">
        <v>3</v>
      </c>
      <c r="S9" s="50">
        <v>1</v>
      </c>
      <c r="T9" s="50">
        <v>15</v>
      </c>
      <c r="U9" s="50">
        <v>15</v>
      </c>
      <c r="V9" s="50">
        <v>13</v>
      </c>
      <c r="W9" s="50">
        <v>13</v>
      </c>
      <c r="X9" s="50">
        <v>3</v>
      </c>
      <c r="Y9" s="50">
        <v>3</v>
      </c>
      <c r="Z9" s="50">
        <v>2</v>
      </c>
      <c r="AA9" s="50">
        <v>10</v>
      </c>
      <c r="AB9" s="50">
        <v>23</v>
      </c>
    </row>
    <row r="10" spans="2:28" x14ac:dyDescent="0.35">
      <c r="B10" s="113" t="s">
        <v>3582</v>
      </c>
      <c r="C10" s="50">
        <v>8</v>
      </c>
      <c r="D10" s="50" t="s">
        <v>3627</v>
      </c>
      <c r="E10" s="111">
        <v>45439</v>
      </c>
      <c r="F10" s="50">
        <v>2</v>
      </c>
      <c r="G10" s="225" t="s">
        <v>3621</v>
      </c>
      <c r="H10" s="50">
        <v>0</v>
      </c>
      <c r="I10" s="50">
        <v>31</v>
      </c>
      <c r="J10" s="50">
        <v>3.11009553029E+26</v>
      </c>
      <c r="K10" s="50" t="s">
        <v>3628</v>
      </c>
      <c r="L10" s="50">
        <v>29</v>
      </c>
      <c r="M10" s="50">
        <v>2</v>
      </c>
      <c r="N10" s="50">
        <v>31</v>
      </c>
      <c r="O10" s="111">
        <v>2.4340000999999999E+22</v>
      </c>
      <c r="P10" s="111">
        <v>21939</v>
      </c>
      <c r="Q10" s="114" t="s">
        <v>3629</v>
      </c>
      <c r="R10" s="50">
        <v>978</v>
      </c>
      <c r="S10" s="111">
        <v>0</v>
      </c>
      <c r="T10" s="111" t="s">
        <v>3630</v>
      </c>
      <c r="U10" s="50" t="s">
        <v>3630</v>
      </c>
      <c r="V10" s="114">
        <v>-754910000</v>
      </c>
      <c r="W10" s="114" t="s">
        <v>3630</v>
      </c>
      <c r="X10" s="50" t="s">
        <v>3631</v>
      </c>
      <c r="Y10" s="50" t="s">
        <v>3632</v>
      </c>
      <c r="Z10" s="114" t="s">
        <v>3633</v>
      </c>
      <c r="AA10" s="111">
        <v>45438</v>
      </c>
      <c r="AB10" s="111" t="s">
        <v>3634</v>
      </c>
    </row>
    <row r="11" spans="2:28" x14ac:dyDescent="0.35">
      <c r="B11" s="50" t="s">
        <v>3584</v>
      </c>
      <c r="C11" s="50">
        <v>9</v>
      </c>
      <c r="D11" s="50" t="s">
        <v>3635</v>
      </c>
      <c r="E11" s="111">
        <v>45439</v>
      </c>
      <c r="F11" s="50">
        <v>2</v>
      </c>
      <c r="G11" s="225" t="s">
        <v>3621</v>
      </c>
      <c r="H11" s="50">
        <v>0</v>
      </c>
      <c r="I11" s="50">
        <v>31</v>
      </c>
      <c r="J11" s="50">
        <v>2.6552000000265499E+19</v>
      </c>
      <c r="K11" s="50"/>
      <c r="L11" s="50">
        <v>0</v>
      </c>
      <c r="M11" s="50">
        <v>0</v>
      </c>
      <c r="N11" s="50"/>
      <c r="O11" s="111" t="e">
        <v>#N/A</v>
      </c>
      <c r="P11" s="111" t="s">
        <v>3629</v>
      </c>
      <c r="Q11" s="50" t="s">
        <v>3629</v>
      </c>
      <c r="R11" s="50">
        <v>36</v>
      </c>
      <c r="S11" s="111">
        <v>0</v>
      </c>
      <c r="T11" s="111" t="s">
        <v>3630</v>
      </c>
      <c r="U11" s="50" t="s">
        <v>3630</v>
      </c>
      <c r="V11" s="114">
        <v>-509358085210000</v>
      </c>
      <c r="W11" s="114" t="s">
        <v>3630</v>
      </c>
      <c r="X11" s="50">
        <v>0</v>
      </c>
      <c r="Y11" s="50" t="s">
        <v>3636</v>
      </c>
      <c r="Z11" s="114" t="s">
        <v>3633</v>
      </c>
      <c r="AA11" s="111">
        <v>44135</v>
      </c>
      <c r="AB11" s="111" t="s">
        <v>3637</v>
      </c>
    </row>
    <row r="12" spans="2:28" x14ac:dyDescent="0.35">
      <c r="B12" s="50" t="s">
        <v>3586</v>
      </c>
      <c r="C12" s="50">
        <v>10</v>
      </c>
      <c r="D12" s="50" t="s">
        <v>3638</v>
      </c>
      <c r="E12" s="111">
        <v>45439</v>
      </c>
      <c r="F12" s="50">
        <v>2</v>
      </c>
      <c r="G12" s="225" t="s">
        <v>3621</v>
      </c>
      <c r="H12" s="50">
        <v>0</v>
      </c>
      <c r="I12" s="50">
        <v>31</v>
      </c>
      <c r="J12" s="50">
        <v>962304890438110</v>
      </c>
      <c r="K12" s="50" t="s">
        <v>3628</v>
      </c>
      <c r="L12" s="50">
        <v>48</v>
      </c>
      <c r="M12" s="50">
        <v>213</v>
      </c>
      <c r="N12" s="50">
        <v>31</v>
      </c>
      <c r="O12" s="209">
        <v>2.3960180788801999E+29</v>
      </c>
      <c r="P12" s="111">
        <v>45447</v>
      </c>
      <c r="Q12" s="111">
        <v>2958465</v>
      </c>
      <c r="R12" s="50" t="s">
        <v>3639</v>
      </c>
      <c r="S12" s="111">
        <v>1</v>
      </c>
      <c r="T12" s="209">
        <v>58769262340000</v>
      </c>
      <c r="U12" s="114">
        <v>58769262340000</v>
      </c>
      <c r="V12" s="114">
        <v>774352080000</v>
      </c>
      <c r="W12" s="114">
        <v>325186000000</v>
      </c>
      <c r="X12" s="114" t="s">
        <v>3640</v>
      </c>
      <c r="Y12" s="114" t="s">
        <v>3632</v>
      </c>
      <c r="Z12" s="114" t="s">
        <v>3641</v>
      </c>
      <c r="AA12" s="111">
        <v>45450</v>
      </c>
      <c r="AB12" s="111" t="s">
        <v>3634</v>
      </c>
    </row>
    <row r="13" spans="2:28" x14ac:dyDescent="0.35">
      <c r="B13" s="50" t="s">
        <v>3588</v>
      </c>
      <c r="C13" s="50">
        <v>11</v>
      </c>
      <c r="D13" s="50" t="s">
        <v>3642</v>
      </c>
      <c r="E13" s="111">
        <v>45439</v>
      </c>
      <c r="F13" s="50">
        <v>2</v>
      </c>
      <c r="G13" s="225" t="s">
        <v>3621</v>
      </c>
      <c r="H13" s="50">
        <v>0</v>
      </c>
      <c r="I13" s="50">
        <v>31</v>
      </c>
      <c r="J13" s="50">
        <v>962304890438110</v>
      </c>
      <c r="K13" s="50"/>
      <c r="L13" s="50" t="s">
        <v>3643</v>
      </c>
      <c r="M13" s="50" t="s">
        <v>3644</v>
      </c>
      <c r="N13" s="50" t="e">
        <v>#N/A</v>
      </c>
      <c r="O13" s="209">
        <v>2.3970105815901999E+29</v>
      </c>
      <c r="P13" s="111">
        <v>2958465</v>
      </c>
      <c r="Q13" s="111">
        <v>2958465</v>
      </c>
      <c r="R13" s="50" t="s">
        <v>3645</v>
      </c>
      <c r="S13" s="111">
        <v>1</v>
      </c>
      <c r="T13" s="209">
        <v>58769262340000</v>
      </c>
      <c r="U13" s="114">
        <v>58769262340000</v>
      </c>
      <c r="V13" s="114">
        <v>2072551670000000</v>
      </c>
      <c r="W13" s="114">
        <v>14286165090000</v>
      </c>
      <c r="X13" s="114" t="s">
        <v>3646</v>
      </c>
      <c r="Y13" s="114" t="s">
        <v>3647</v>
      </c>
      <c r="Z13" s="114" t="s">
        <v>3641</v>
      </c>
      <c r="AA13" s="111">
        <v>45520</v>
      </c>
      <c r="AB13" s="111" t="s">
        <v>3648</v>
      </c>
    </row>
    <row r="14" spans="2:28" x14ac:dyDescent="0.35">
      <c r="B14" s="50" t="s">
        <v>3590</v>
      </c>
      <c r="C14" s="50">
        <v>12</v>
      </c>
      <c r="D14" s="50" t="s">
        <v>3649</v>
      </c>
      <c r="E14" s="111">
        <v>45439</v>
      </c>
      <c r="F14" s="50">
        <v>2</v>
      </c>
      <c r="G14" s="225">
        <v>0.85</v>
      </c>
      <c r="H14" s="50">
        <v>0</v>
      </c>
      <c r="I14" s="50">
        <v>0</v>
      </c>
      <c r="J14" s="50">
        <v>0</v>
      </c>
      <c r="K14" s="50">
        <v>0</v>
      </c>
      <c r="L14" s="50">
        <v>0</v>
      </c>
      <c r="M14" s="50">
        <v>0</v>
      </c>
      <c r="N14" s="50">
        <v>279</v>
      </c>
      <c r="O14" s="50">
        <v>498</v>
      </c>
      <c r="P14" s="50">
        <v>0</v>
      </c>
      <c r="Q14" s="50">
        <v>0</v>
      </c>
      <c r="R14" s="50">
        <v>0</v>
      </c>
      <c r="S14" s="50">
        <v>0</v>
      </c>
      <c r="T14" s="50">
        <v>0</v>
      </c>
      <c r="U14" s="50">
        <v>0</v>
      </c>
      <c r="V14" s="50">
        <v>0</v>
      </c>
      <c r="W14" s="50">
        <v>0</v>
      </c>
      <c r="X14" s="50">
        <v>0</v>
      </c>
      <c r="Y14" s="50">
        <v>21257</v>
      </c>
      <c r="Z14" s="50">
        <v>0</v>
      </c>
      <c r="AA14" s="50">
        <v>0</v>
      </c>
      <c r="AB14" s="50">
        <v>0</v>
      </c>
    </row>
    <row r="15" spans="2:28" x14ac:dyDescent="0.35">
      <c r="B15" s="50" t="s">
        <v>3592</v>
      </c>
      <c r="C15" s="50">
        <v>13</v>
      </c>
      <c r="D15" s="50" t="s">
        <v>3650</v>
      </c>
      <c r="E15" s="111">
        <v>45439</v>
      </c>
      <c r="F15" s="50">
        <v>2</v>
      </c>
      <c r="G15" s="225">
        <v>1</v>
      </c>
      <c r="H15" s="50">
        <v>0</v>
      </c>
      <c r="I15" s="50" t="s">
        <v>3621</v>
      </c>
      <c r="J15" s="50" t="s">
        <v>3621</v>
      </c>
      <c r="K15" s="50" t="s">
        <v>3621</v>
      </c>
      <c r="L15" s="50" t="s">
        <v>3621</v>
      </c>
      <c r="M15" s="50" t="s">
        <v>3621</v>
      </c>
      <c r="N15" s="50" t="s">
        <v>3621</v>
      </c>
      <c r="O15" s="113" t="s">
        <v>3621</v>
      </c>
      <c r="P15" s="113">
        <v>0</v>
      </c>
      <c r="Q15" s="113">
        <v>0</v>
      </c>
      <c r="R15" s="50" t="s">
        <v>3621</v>
      </c>
      <c r="S15" s="50" t="s">
        <v>3621</v>
      </c>
      <c r="T15" s="113" t="s">
        <v>3621</v>
      </c>
      <c r="U15" s="50" t="s">
        <v>3621</v>
      </c>
      <c r="V15" s="50" t="s">
        <v>3621</v>
      </c>
      <c r="W15" s="50" t="s">
        <v>3621</v>
      </c>
      <c r="X15" s="50" t="s">
        <v>3621</v>
      </c>
      <c r="Y15" s="50" t="s">
        <v>3621</v>
      </c>
      <c r="Z15" s="50" t="s">
        <v>3621</v>
      </c>
      <c r="AA15" s="50" t="s">
        <v>3621</v>
      </c>
      <c r="AB15" s="50" t="s">
        <v>3621</v>
      </c>
    </row>
    <row r="16" spans="2:28" x14ac:dyDescent="0.35">
      <c r="B16" s="50" t="s">
        <v>3594</v>
      </c>
      <c r="C16" s="50">
        <v>14</v>
      </c>
      <c r="D16" s="50" t="s">
        <v>3651</v>
      </c>
      <c r="E16" s="111">
        <v>45439</v>
      </c>
      <c r="F16" s="50">
        <v>2</v>
      </c>
      <c r="G16" s="225">
        <v>1</v>
      </c>
      <c r="H16" s="50">
        <v>0</v>
      </c>
      <c r="I16" s="50">
        <v>0</v>
      </c>
      <c r="J16" s="50">
        <v>0</v>
      </c>
      <c r="K16" s="50">
        <v>0</v>
      </c>
      <c r="L16" s="50">
        <v>0</v>
      </c>
      <c r="M16" s="50">
        <v>0</v>
      </c>
      <c r="N16" s="50" t="s">
        <v>3621</v>
      </c>
      <c r="O16" s="50" t="s">
        <v>3621</v>
      </c>
      <c r="P16" s="50" t="s">
        <v>3621</v>
      </c>
      <c r="Q16" s="50" t="s">
        <v>3621</v>
      </c>
      <c r="R16" s="50">
        <v>0</v>
      </c>
      <c r="S16" s="113" t="s">
        <v>3621</v>
      </c>
      <c r="T16" s="50" t="s">
        <v>3621</v>
      </c>
      <c r="U16" s="50" t="s">
        <v>3621</v>
      </c>
      <c r="V16" s="50" t="s">
        <v>3621</v>
      </c>
      <c r="W16" s="50" t="s">
        <v>3621</v>
      </c>
      <c r="X16" s="50">
        <v>0</v>
      </c>
      <c r="Y16" s="50">
        <v>0</v>
      </c>
      <c r="Z16" s="50">
        <v>0</v>
      </c>
      <c r="AA16" s="50" t="s">
        <v>3621</v>
      </c>
      <c r="AB16" s="50" t="s">
        <v>3621</v>
      </c>
    </row>
    <row r="17" spans="2:30" x14ac:dyDescent="0.35">
      <c r="B17" s="50" t="s">
        <v>3596</v>
      </c>
      <c r="C17" s="50">
        <v>15</v>
      </c>
      <c r="D17" s="50" t="s">
        <v>3652</v>
      </c>
      <c r="E17" s="111">
        <v>45439</v>
      </c>
      <c r="F17" s="50">
        <v>2</v>
      </c>
      <c r="G17" s="225">
        <v>1</v>
      </c>
      <c r="H17" s="50">
        <v>0</v>
      </c>
      <c r="I17" s="50" t="s">
        <v>3621</v>
      </c>
      <c r="J17" s="50" t="s">
        <v>3621</v>
      </c>
      <c r="K17" s="50" t="s">
        <v>3621</v>
      </c>
      <c r="L17" s="50" t="s">
        <v>3621</v>
      </c>
      <c r="M17" s="50" t="s">
        <v>3621</v>
      </c>
      <c r="N17" s="50" t="s">
        <v>3621</v>
      </c>
      <c r="O17" s="50" t="s">
        <v>3621</v>
      </c>
      <c r="P17" s="50" t="s">
        <v>3621</v>
      </c>
      <c r="Q17" s="50" t="s">
        <v>3621</v>
      </c>
      <c r="R17" s="50" t="s">
        <v>3621</v>
      </c>
      <c r="S17" s="113" t="s">
        <v>3621</v>
      </c>
      <c r="T17" s="50" t="s">
        <v>3621</v>
      </c>
      <c r="U17" s="50" t="s">
        <v>3621</v>
      </c>
      <c r="V17" s="50" t="s">
        <v>3621</v>
      </c>
      <c r="W17" s="50" t="s">
        <v>3621</v>
      </c>
      <c r="X17" s="50" t="s">
        <v>3621</v>
      </c>
      <c r="Y17" s="50" t="s">
        <v>3621</v>
      </c>
      <c r="Z17" s="50" t="s">
        <v>3621</v>
      </c>
      <c r="AA17" s="50" t="s">
        <v>3621</v>
      </c>
      <c r="AB17" s="50" t="s">
        <v>3621</v>
      </c>
    </row>
    <row r="18" spans="2:30" x14ac:dyDescent="0.35">
      <c r="B18" s="50" t="s">
        <v>3598</v>
      </c>
      <c r="C18" s="50">
        <v>16</v>
      </c>
      <c r="D18" s="50" t="s">
        <v>3652</v>
      </c>
      <c r="E18" s="111">
        <v>45439</v>
      </c>
      <c r="F18" s="50">
        <v>2</v>
      </c>
      <c r="G18" s="225">
        <v>1</v>
      </c>
      <c r="H18" s="229">
        <v>0</v>
      </c>
      <c r="I18" s="50" t="s">
        <v>3621</v>
      </c>
      <c r="J18" s="50" t="s">
        <v>3621</v>
      </c>
      <c r="K18" s="50" t="s">
        <v>3621</v>
      </c>
      <c r="L18" s="50" t="s">
        <v>3621</v>
      </c>
      <c r="M18" s="50" t="s">
        <v>3621</v>
      </c>
      <c r="N18" s="50" t="s">
        <v>3621</v>
      </c>
      <c r="O18" s="50" t="s">
        <v>3621</v>
      </c>
      <c r="P18" s="50" t="s">
        <v>3621</v>
      </c>
      <c r="Q18" s="50" t="s">
        <v>3621</v>
      </c>
      <c r="R18" s="50" t="s">
        <v>3621</v>
      </c>
      <c r="S18" s="50" t="s">
        <v>3621</v>
      </c>
      <c r="T18" s="50" t="s">
        <v>3621</v>
      </c>
      <c r="U18" s="50" t="s">
        <v>3621</v>
      </c>
      <c r="V18" s="50" t="s">
        <v>3621</v>
      </c>
      <c r="W18" s="50" t="s">
        <v>3621</v>
      </c>
      <c r="X18" s="50" t="s">
        <v>3621</v>
      </c>
      <c r="Y18" s="50" t="s">
        <v>3621</v>
      </c>
      <c r="Z18" s="50" t="s">
        <v>3621</v>
      </c>
      <c r="AA18" s="50" t="s">
        <v>3621</v>
      </c>
      <c r="AB18" s="50" t="s">
        <v>3621</v>
      </c>
    </row>
    <row r="19" spans="2:30" x14ac:dyDescent="0.35">
      <c r="B19" s="50" t="s">
        <v>3600</v>
      </c>
      <c r="C19" s="50">
        <v>17</v>
      </c>
      <c r="D19" s="50" t="s">
        <v>3653</v>
      </c>
      <c r="E19" s="111">
        <v>45439</v>
      </c>
      <c r="F19" s="50">
        <v>2</v>
      </c>
      <c r="G19" s="225">
        <v>0.99</v>
      </c>
      <c r="H19" s="50">
        <v>215</v>
      </c>
      <c r="I19" s="50" t="s">
        <v>3621</v>
      </c>
      <c r="J19" s="50" t="s">
        <v>3621</v>
      </c>
      <c r="K19" s="50" t="s">
        <v>3621</v>
      </c>
      <c r="L19" s="50" t="s">
        <v>3621</v>
      </c>
      <c r="M19" s="50" t="s">
        <v>3621</v>
      </c>
      <c r="N19" s="50" t="s">
        <v>3621</v>
      </c>
      <c r="O19" s="50" t="s">
        <v>3621</v>
      </c>
      <c r="P19" s="50" t="s">
        <v>3621</v>
      </c>
      <c r="Q19" s="50" t="s">
        <v>3621</v>
      </c>
      <c r="R19" s="50" t="s">
        <v>3621</v>
      </c>
      <c r="S19" s="50" t="s">
        <v>3621</v>
      </c>
      <c r="T19" s="50" t="s">
        <v>3621</v>
      </c>
      <c r="U19" s="50" t="s">
        <v>3621</v>
      </c>
      <c r="V19" s="50" t="s">
        <v>3621</v>
      </c>
      <c r="W19" s="50" t="s">
        <v>3621</v>
      </c>
      <c r="X19" s="50" t="s">
        <v>3621</v>
      </c>
      <c r="Y19" s="50" t="s">
        <v>3621</v>
      </c>
      <c r="Z19" s="50" t="s">
        <v>3621</v>
      </c>
      <c r="AA19" s="50" t="s">
        <v>3621</v>
      </c>
      <c r="AB19" s="50" t="s">
        <v>3621</v>
      </c>
    </row>
    <row r="20" spans="2:30" x14ac:dyDescent="0.35">
      <c r="B20" s="50" t="s">
        <v>3602</v>
      </c>
      <c r="C20" s="50">
        <v>18</v>
      </c>
      <c r="D20" s="50" t="s">
        <v>3653</v>
      </c>
      <c r="E20" s="111">
        <v>45439</v>
      </c>
      <c r="F20" s="50">
        <v>2</v>
      </c>
      <c r="G20" s="225">
        <v>1</v>
      </c>
      <c r="H20" s="50">
        <v>3</v>
      </c>
      <c r="I20" s="50" t="s">
        <v>3621</v>
      </c>
      <c r="J20" s="50" t="s">
        <v>3621</v>
      </c>
      <c r="K20" s="50" t="s">
        <v>3621</v>
      </c>
      <c r="L20" s="50" t="s">
        <v>3621</v>
      </c>
      <c r="M20" s="50" t="s">
        <v>3621</v>
      </c>
      <c r="N20" s="50" t="s">
        <v>3621</v>
      </c>
      <c r="O20" s="50" t="s">
        <v>3621</v>
      </c>
      <c r="P20" s="50" t="s">
        <v>3621</v>
      </c>
      <c r="Q20" s="50" t="s">
        <v>3621</v>
      </c>
      <c r="R20" s="50" t="s">
        <v>3621</v>
      </c>
      <c r="S20" s="50" t="s">
        <v>3621</v>
      </c>
      <c r="T20" s="50" t="s">
        <v>3621</v>
      </c>
      <c r="U20" s="50" t="s">
        <v>3621</v>
      </c>
      <c r="V20" s="50" t="s">
        <v>3621</v>
      </c>
      <c r="W20" s="50" t="s">
        <v>3621</v>
      </c>
      <c r="X20" s="50" t="s">
        <v>3621</v>
      </c>
      <c r="Y20" s="50" t="s">
        <v>3621</v>
      </c>
      <c r="Z20" s="50" t="s">
        <v>3621</v>
      </c>
      <c r="AA20" s="50" t="s">
        <v>3621</v>
      </c>
      <c r="AB20" s="50" t="s">
        <v>3621</v>
      </c>
    </row>
    <row r="21" spans="2:30" x14ac:dyDescent="0.35">
      <c r="B21" s="50" t="s">
        <v>3604</v>
      </c>
      <c r="C21" s="50">
        <v>19</v>
      </c>
      <c r="D21" s="50" t="s">
        <v>3654</v>
      </c>
      <c r="E21" s="111">
        <v>45439</v>
      </c>
      <c r="F21" s="50">
        <v>2</v>
      </c>
      <c r="G21" s="225" cm="1">
        <f t="array" ref="G21">SUMPRODUCT(--(ISNUMBER((SEARCH(I26:AB26,I21:AB21)))))/COUNTA(I21:AB21)</f>
        <v>1</v>
      </c>
      <c r="H21" s="50">
        <v>0</v>
      </c>
      <c r="I21" s="50" t="s">
        <v>3655</v>
      </c>
      <c r="J21" s="50" t="s">
        <v>3655</v>
      </c>
      <c r="K21" s="50" t="s">
        <v>3655</v>
      </c>
      <c r="L21" s="50" t="s">
        <v>3655</v>
      </c>
      <c r="M21" s="50" t="s">
        <v>3655</v>
      </c>
      <c r="N21" s="50" t="s">
        <v>3655</v>
      </c>
      <c r="O21" s="50" t="s">
        <v>3655</v>
      </c>
      <c r="P21" s="50" t="s">
        <v>3655</v>
      </c>
      <c r="Q21" s="50" t="s">
        <v>3655</v>
      </c>
      <c r="R21" s="50" t="s">
        <v>3655</v>
      </c>
      <c r="S21" s="50" t="s">
        <v>3655</v>
      </c>
      <c r="T21" s="50" t="s">
        <v>3656</v>
      </c>
      <c r="U21" s="50" t="s">
        <v>3656</v>
      </c>
      <c r="V21" s="50" t="s">
        <v>3656</v>
      </c>
      <c r="W21" s="50" t="s">
        <v>3656</v>
      </c>
      <c r="X21" s="50" t="s">
        <v>3655</v>
      </c>
      <c r="Y21" s="50" t="s">
        <v>3655</v>
      </c>
      <c r="Z21" s="50" t="s">
        <v>3655</v>
      </c>
      <c r="AA21" s="50" t="s">
        <v>3655</v>
      </c>
      <c r="AB21" s="50" t="s">
        <v>3657</v>
      </c>
    </row>
    <row r="22" spans="2:30" x14ac:dyDescent="0.35">
      <c r="B22" s="113" t="s">
        <v>3607</v>
      </c>
      <c r="C22" s="50">
        <v>20</v>
      </c>
      <c r="D22" s="50" t="s">
        <v>3654</v>
      </c>
      <c r="E22" s="111">
        <v>45439</v>
      </c>
      <c r="F22" s="50">
        <v>2</v>
      </c>
      <c r="G22" s="225" cm="1">
        <f t="array" ref="G22">SUM(IF(I2:AB2 = I25:AB25, 1, 0))/ COUNTA(I2:AB2)</f>
        <v>1</v>
      </c>
      <c r="H22" s="50" t="s">
        <v>3621</v>
      </c>
      <c r="I22" s="50" t="s">
        <v>3621</v>
      </c>
      <c r="J22" s="50" t="s">
        <v>3621</v>
      </c>
      <c r="K22" s="50" t="s">
        <v>3621</v>
      </c>
      <c r="L22" s="50" t="s">
        <v>3621</v>
      </c>
      <c r="M22" s="50" t="s">
        <v>3621</v>
      </c>
      <c r="N22" s="50" t="s">
        <v>3621</v>
      </c>
      <c r="O22" s="50" t="s">
        <v>3621</v>
      </c>
      <c r="P22" s="50" t="s">
        <v>3621</v>
      </c>
      <c r="Q22" s="50" t="s">
        <v>3621</v>
      </c>
      <c r="R22" s="50" t="s">
        <v>3621</v>
      </c>
      <c r="S22" s="50" t="s">
        <v>3621</v>
      </c>
      <c r="T22" s="50" t="s">
        <v>3621</v>
      </c>
      <c r="U22" s="50" t="s">
        <v>3621</v>
      </c>
      <c r="V22" s="50" t="s">
        <v>3621</v>
      </c>
      <c r="W22" s="50" t="s">
        <v>3621</v>
      </c>
      <c r="X22" s="50" t="s">
        <v>3621</v>
      </c>
      <c r="Y22" s="50" t="s">
        <v>3621</v>
      </c>
      <c r="Z22" s="50" t="s">
        <v>3621</v>
      </c>
      <c r="AA22" s="50" t="s">
        <v>3621</v>
      </c>
      <c r="AB22" s="50" t="s">
        <v>3621</v>
      </c>
    </row>
    <row r="23" spans="2:30" x14ac:dyDescent="0.35">
      <c r="B23" s="50" t="s">
        <v>3610</v>
      </c>
      <c r="C23" s="50">
        <v>21</v>
      </c>
      <c r="D23" s="50" t="s">
        <v>3654</v>
      </c>
      <c r="E23" s="111">
        <v>45439</v>
      </c>
      <c r="F23" s="50">
        <v>2</v>
      </c>
      <c r="G23" s="225" cm="1">
        <f t="array" ref="G23">SUM(IF(IF(G3:G22="null",1,G3:G22)=1,1,0))/COUNT(IF(G3:G22="null",1,1))</f>
        <v>0.9</v>
      </c>
      <c r="H23" s="50" t="s">
        <v>3621</v>
      </c>
      <c r="I23" s="50" t="s">
        <v>3621</v>
      </c>
      <c r="J23" s="50" t="s">
        <v>3621</v>
      </c>
      <c r="K23" s="50" t="s">
        <v>3621</v>
      </c>
      <c r="L23" s="50" t="s">
        <v>3621</v>
      </c>
      <c r="M23" s="50" t="s">
        <v>3621</v>
      </c>
      <c r="N23" s="50" t="s">
        <v>3621</v>
      </c>
      <c r="O23" s="50" t="s">
        <v>3621</v>
      </c>
      <c r="P23" s="50" t="s">
        <v>3621</v>
      </c>
      <c r="Q23" s="50" t="s">
        <v>3621</v>
      </c>
      <c r="R23" s="50" t="s">
        <v>3621</v>
      </c>
      <c r="S23" s="50" t="s">
        <v>3621</v>
      </c>
      <c r="T23" s="50" t="s">
        <v>3621</v>
      </c>
      <c r="U23" s="50" t="s">
        <v>3621</v>
      </c>
      <c r="V23" s="50" t="s">
        <v>3621</v>
      </c>
      <c r="W23" s="50" t="s">
        <v>3621</v>
      </c>
      <c r="X23" s="50" t="s">
        <v>3621</v>
      </c>
      <c r="Y23" s="50" t="s">
        <v>3621</v>
      </c>
      <c r="Z23" s="50" t="s">
        <v>3621</v>
      </c>
      <c r="AA23" s="50" t="s">
        <v>3621</v>
      </c>
      <c r="AB23" s="50" t="s">
        <v>3621</v>
      </c>
    </row>
    <row r="24" spans="2:30" x14ac:dyDescent="0.35">
      <c r="B24" s="50"/>
      <c r="C24" s="50"/>
      <c r="D24" s="50"/>
      <c r="E24" s="111"/>
      <c r="F24" s="50"/>
      <c r="G24" s="50"/>
      <c r="H24" s="50"/>
      <c r="I24" s="50"/>
      <c r="J24" s="50"/>
      <c r="K24" s="50"/>
      <c r="L24" s="50"/>
      <c r="M24" s="50"/>
      <c r="N24" s="50"/>
      <c r="O24" s="50"/>
      <c r="P24" s="50"/>
      <c r="Q24" s="50"/>
      <c r="R24" s="50"/>
      <c r="S24" s="50"/>
      <c r="T24" s="50"/>
      <c r="U24" s="50"/>
      <c r="V24" s="50"/>
      <c r="W24" s="50"/>
      <c r="X24" s="50"/>
      <c r="Y24" s="50"/>
      <c r="Z24" s="50"/>
      <c r="AA24" s="50"/>
      <c r="AB24" s="50"/>
      <c r="AC24" s="50"/>
    </row>
    <row r="25" spans="2:30" x14ac:dyDescent="0.35">
      <c r="B25" s="149" t="s">
        <v>3613</v>
      </c>
      <c r="C25" s="145" t="s">
        <v>3614</v>
      </c>
      <c r="D25" s="145" t="s">
        <v>3615</v>
      </c>
      <c r="E25" s="145" t="s">
        <v>3616</v>
      </c>
      <c r="F25" s="145" t="s">
        <v>3617</v>
      </c>
      <c r="G25" s="145" t="s">
        <v>3618</v>
      </c>
      <c r="H25" s="145" t="s">
        <v>3619</v>
      </c>
      <c r="I25" s="145" t="str" cm="1">
        <f t="array" ref="I25:AB25">TRANSPOSE(_xlfn.SORTBY(_xlfn._xlws.FILTER(Table3[NOME FÍSICO CAMPO],Table3[NOME FÍSICO TABELA]="bank_guarantee"), _xlfn._xlws.FILTER(Table3[ORDEM], Table3[NOME FÍSICO TABELA]="bank_guarantee"), 1))</f>
        <v>bank_id</v>
      </c>
      <c r="J25" s="145" t="str">
        <v>contract_id</v>
      </c>
      <c r="K25" s="145" t="str">
        <v>product_family_id</v>
      </c>
      <c r="L25" s="145" t="str">
        <v>product_id</v>
      </c>
      <c r="M25" s="145" t="str">
        <v>subproduct_id</v>
      </c>
      <c r="N25" s="145" t="str">
        <v>main_current_account_bank_id</v>
      </c>
      <c r="O25" s="145" t="str">
        <v>main_current_account_contract_id</v>
      </c>
      <c r="P25" s="145" t="str">
        <v>opening_date</v>
      </c>
      <c r="Q25" s="145" t="str">
        <v>current_maturity_date</v>
      </c>
      <c r="R25" s="145" t="str">
        <v>currency_code</v>
      </c>
      <c r="S25" s="145" t="str">
        <v>litigation_indicator</v>
      </c>
      <c r="T25" s="145" t="str">
        <v>initial_authorized_amount</v>
      </c>
      <c r="U25" s="145" t="str">
        <v>current_authorized_amount</v>
      </c>
      <c r="V25" s="145" t="str">
        <v>current_overdue_principal_bal</v>
      </c>
      <c r="W25" s="145" t="str">
        <v>cur_debt_litigation_princip_bal</v>
      </c>
      <c r="X25" s="145" t="str">
        <v>contract_status_code</v>
      </c>
      <c r="Y25" s="145" t="str">
        <v>contract_opening_channel_code</v>
      </c>
      <c r="Z25" s="145" t="str">
        <v>source_code</v>
      </c>
      <c r="AA25" s="145" t="str">
        <v>data_date_part</v>
      </c>
      <c r="AB25" s="145" t="str">
        <v>data_timestamp_part</v>
      </c>
      <c r="AC25" s="222"/>
      <c r="AD25" s="233"/>
    </row>
    <row r="26" spans="2:30" x14ac:dyDescent="0.35">
      <c r="B26" s="123" t="s">
        <v>3658</v>
      </c>
      <c r="C26" s="126">
        <v>21</v>
      </c>
      <c r="D26" s="120" t="s">
        <v>3659</v>
      </c>
      <c r="E26" s="119" t="s">
        <v>3660</v>
      </c>
      <c r="F26" s="119" t="s">
        <v>372</v>
      </c>
      <c r="G26" s="119" t="s">
        <v>372</v>
      </c>
      <c r="H26" s="119" t="s">
        <v>372</v>
      </c>
      <c r="I26" s="119" t="str" cm="1">
        <f t="array" ref="I26:AB27">TRANSPOSE(_xlfn.SORTBY(_xlfn._xlws.FILTER(IF(Table3[FORMATO]:Table3[COMP_ CAMPO]&lt;&gt;"",Table3[FORMATO]:Table3[COMP_ CAMPO],9999999),Table3[NOME FÍSICO TABELA]="bank_guarantee"), _xlfn._xlws.FILTER(Table3[ORDEM], Table3[NOME FÍSICO TABELA]="bank_guarantee"), 1))</f>
        <v>STRING</v>
      </c>
      <c r="J26" s="119" t="str">
        <v>STRING</v>
      </c>
      <c r="K26" s="119" t="str">
        <v>STRING</v>
      </c>
      <c r="L26" s="119" t="str">
        <v>STRING</v>
      </c>
      <c r="M26" s="119" t="str">
        <v>STRING</v>
      </c>
      <c r="N26" s="119" t="str">
        <v>STRING</v>
      </c>
      <c r="O26" s="119" t="str">
        <v>STRING</v>
      </c>
      <c r="P26" s="119" t="str">
        <v>STRING</v>
      </c>
      <c r="Q26" s="119" t="str">
        <v>STRING</v>
      </c>
      <c r="R26" s="119" t="str">
        <v>STRING</v>
      </c>
      <c r="S26" s="119" t="str">
        <v>STRING</v>
      </c>
      <c r="T26" s="119" t="str">
        <v>DECIMAL</v>
      </c>
      <c r="U26" s="119" t="str">
        <v>DECIMAL</v>
      </c>
      <c r="V26" s="119" t="str">
        <v>DECIMAL</v>
      </c>
      <c r="W26" s="119" t="str">
        <v>DECIMAL</v>
      </c>
      <c r="X26" s="119" t="str">
        <v>STRING</v>
      </c>
      <c r="Y26" s="119" t="str">
        <v>STRING</v>
      </c>
      <c r="Z26" s="119" t="str">
        <v>STRING</v>
      </c>
      <c r="AA26" s="119" t="str">
        <v>STRING</v>
      </c>
      <c r="AB26" s="119" t="str">
        <v>TIMESTAMP</v>
      </c>
      <c r="AC26" s="223"/>
    </row>
    <row r="27" spans="2:30" x14ac:dyDescent="0.35">
      <c r="B27" s="123" t="s">
        <v>3661</v>
      </c>
      <c r="C27" s="126">
        <v>7</v>
      </c>
      <c r="D27" s="120" t="s">
        <v>3659</v>
      </c>
      <c r="E27" s="119" t="s">
        <v>3660</v>
      </c>
      <c r="F27" s="121" t="s">
        <v>372</v>
      </c>
      <c r="G27" s="121" t="s">
        <v>372</v>
      </c>
      <c r="H27" s="121" t="s">
        <v>372</v>
      </c>
      <c r="I27" s="167">
        <v>4</v>
      </c>
      <c r="J27" s="167">
        <v>30</v>
      </c>
      <c r="K27" s="167">
        <v>4</v>
      </c>
      <c r="L27" s="167">
        <v>4</v>
      </c>
      <c r="M27" s="167">
        <v>4</v>
      </c>
      <c r="N27" s="167">
        <v>4</v>
      </c>
      <c r="O27" s="167">
        <v>30</v>
      </c>
      <c r="P27" s="167">
        <v>10</v>
      </c>
      <c r="Q27" s="167">
        <v>10</v>
      </c>
      <c r="R27" s="167">
        <v>4</v>
      </c>
      <c r="S27" s="167">
        <v>4</v>
      </c>
      <c r="T27" s="167">
        <v>23</v>
      </c>
      <c r="U27" s="167">
        <v>23</v>
      </c>
      <c r="V27" s="167">
        <v>23</v>
      </c>
      <c r="W27" s="167">
        <v>23</v>
      </c>
      <c r="X27" s="167">
        <v>4</v>
      </c>
      <c r="Y27" s="167">
        <v>4</v>
      </c>
      <c r="Z27" s="167">
        <v>2</v>
      </c>
      <c r="AA27" s="167">
        <v>10</v>
      </c>
      <c r="AB27" s="167">
        <v>23</v>
      </c>
      <c r="AC27" s="224"/>
      <c r="AD27" s="109"/>
    </row>
    <row r="29" spans="2:30" x14ac:dyDescent="0.35">
      <c r="B29" s="156" t="s">
        <v>3662</v>
      </c>
    </row>
    <row r="30" spans="2:30" x14ac:dyDescent="0.35">
      <c r="B30" s="150" t="s">
        <v>3663</v>
      </c>
      <c r="C30" s="150" t="s">
        <v>3664</v>
      </c>
      <c r="D30" s="151" t="s">
        <v>3665</v>
      </c>
      <c r="E30" s="150" t="s">
        <v>3666</v>
      </c>
      <c r="F30" s="150" t="s">
        <v>3667</v>
      </c>
    </row>
    <row r="31" spans="2:30" ht="87" x14ac:dyDescent="0.35">
      <c r="B31" s="153" t="s">
        <v>3668</v>
      </c>
      <c r="C31" s="154" t="s">
        <v>188</v>
      </c>
      <c r="D31" s="155" t="s">
        <v>3669</v>
      </c>
      <c r="E31" s="113" t="s">
        <v>3670</v>
      </c>
      <c r="F31" s="205" t="s">
        <v>3671</v>
      </c>
    </row>
    <row r="32" spans="2:30" ht="29" x14ac:dyDescent="0.35">
      <c r="B32" s="127" t="s">
        <v>3668</v>
      </c>
      <c r="C32" s="131" t="s">
        <v>177</v>
      </c>
      <c r="D32" s="281" t="s">
        <v>3672</v>
      </c>
      <c r="E32" s="169" t="s">
        <v>3673</v>
      </c>
      <c r="F32" s="152" t="s">
        <v>3674</v>
      </c>
    </row>
    <row r="33" spans="2:6" ht="29" x14ac:dyDescent="0.35">
      <c r="B33" s="127" t="s">
        <v>3668</v>
      </c>
      <c r="C33" s="131" t="s">
        <v>305</v>
      </c>
      <c r="D33" s="281" t="s">
        <v>3675</v>
      </c>
      <c r="E33" s="169" t="s">
        <v>3676</v>
      </c>
      <c r="F33" s="152" t="s">
        <v>3677</v>
      </c>
    </row>
    <row r="34" spans="2:6" ht="29" x14ac:dyDescent="0.35">
      <c r="B34" s="153" t="s">
        <v>3678</v>
      </c>
      <c r="C34" s="154" t="s">
        <v>3679</v>
      </c>
      <c r="D34" s="155" t="s">
        <v>3680</v>
      </c>
      <c r="E34" s="113" t="s">
        <v>3681</v>
      </c>
      <c r="F34" s="214" t="s">
        <v>3677</v>
      </c>
    </row>
    <row r="35" spans="2:6" ht="29" x14ac:dyDescent="0.35">
      <c r="B35" s="153" t="s">
        <v>3678</v>
      </c>
      <c r="C35" s="154" t="s">
        <v>3679</v>
      </c>
      <c r="D35" s="155" t="s">
        <v>3680</v>
      </c>
      <c r="E35" s="169" t="s">
        <v>3682</v>
      </c>
      <c r="F35" s="214" t="s">
        <v>3677</v>
      </c>
    </row>
    <row r="36" spans="2:6" ht="29" x14ac:dyDescent="0.35">
      <c r="B36" s="194" t="s">
        <v>3683</v>
      </c>
      <c r="C36" s="195" t="s">
        <v>3679</v>
      </c>
      <c r="D36" s="57" t="s">
        <v>3684</v>
      </c>
      <c r="E36" s="113" t="s">
        <v>3685</v>
      </c>
      <c r="F36" s="214" t="s">
        <v>3677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1:AP37"/>
  <sheetViews>
    <sheetView showGridLines="0" topLeftCell="A7" workbookViewId="0">
      <selection activeCell="I26" sqref="I26"/>
    </sheetView>
  </sheetViews>
  <sheetFormatPr defaultRowHeight="14.5" x14ac:dyDescent="0.35"/>
  <cols>
    <col min="2" max="3" width="30.7265625" bestFit="1" customWidth="1"/>
    <col min="4" max="4" width="97.26953125" customWidth="1"/>
    <col min="5" max="5" width="45.453125" customWidth="1"/>
    <col min="6" max="6" width="30.453125" bestFit="1" customWidth="1"/>
    <col min="7" max="7" width="15" bestFit="1" customWidth="1"/>
    <col min="8" max="8" width="16.453125" bestFit="1" customWidth="1"/>
    <col min="9" max="9" width="18.453125" bestFit="1" customWidth="1"/>
    <col min="10" max="12" width="30.7265625" bestFit="1" customWidth="1"/>
    <col min="13" max="13" width="27.7265625" bestFit="1" customWidth="1"/>
    <col min="14" max="37" width="30.7265625" bestFit="1" customWidth="1"/>
    <col min="38" max="38" width="40.453125" customWidth="1"/>
    <col min="39" max="39" width="49.54296875" customWidth="1"/>
    <col min="40" max="40" width="30.7265625" bestFit="1" customWidth="1"/>
    <col min="41" max="41" width="107" customWidth="1"/>
    <col min="42" max="42" width="109" customWidth="1"/>
  </cols>
  <sheetData>
    <row r="1" spans="2:40" ht="33" customHeight="1" x14ac:dyDescent="0.35"/>
    <row r="2" spans="2:40" x14ac:dyDescent="0.35">
      <c r="B2" s="91" t="s">
        <v>3686</v>
      </c>
      <c r="C2" s="91" t="s">
        <v>3614</v>
      </c>
      <c r="D2" s="91" t="s">
        <v>3615</v>
      </c>
      <c r="E2" s="91" t="s">
        <v>3616</v>
      </c>
      <c r="F2" s="91" t="s">
        <v>3617</v>
      </c>
      <c r="G2" s="91" t="s">
        <v>3618</v>
      </c>
      <c r="H2" s="91" t="s">
        <v>3619</v>
      </c>
      <c r="I2" s="91" t="s">
        <v>121</v>
      </c>
      <c r="J2" s="91" t="s">
        <v>137</v>
      </c>
      <c r="K2" s="91" t="s">
        <v>149</v>
      </c>
      <c r="L2" s="91" t="s">
        <v>156</v>
      </c>
      <c r="M2" s="91" t="s">
        <v>168</v>
      </c>
      <c r="N2" s="91" t="s">
        <v>177</v>
      </c>
      <c r="O2" s="91" t="s">
        <v>188</v>
      </c>
      <c r="P2" s="91" t="s">
        <v>625</v>
      </c>
      <c r="Q2" s="91" t="s">
        <v>575</v>
      </c>
      <c r="R2" s="91" t="s">
        <v>199</v>
      </c>
      <c r="S2" s="91" t="s">
        <v>211</v>
      </c>
      <c r="T2" s="91" t="s">
        <v>223</v>
      </c>
      <c r="U2" s="91" t="s">
        <v>239</v>
      </c>
      <c r="V2" s="91" t="s">
        <v>3687</v>
      </c>
      <c r="W2" s="91" t="s">
        <v>3688</v>
      </c>
      <c r="X2" s="91" t="s">
        <v>649</v>
      </c>
      <c r="Y2" s="91" t="s">
        <v>272</v>
      </c>
      <c r="Z2" s="91" t="s">
        <v>283</v>
      </c>
      <c r="AA2" s="91" t="s">
        <v>3689</v>
      </c>
      <c r="AB2" s="91" t="s">
        <v>3690</v>
      </c>
      <c r="AC2" s="91" t="s">
        <v>3691</v>
      </c>
      <c r="AD2" s="91" t="s">
        <v>3692</v>
      </c>
      <c r="AE2" s="91" t="s">
        <v>745</v>
      </c>
      <c r="AF2" s="91" t="s">
        <v>756</v>
      </c>
      <c r="AG2" s="91" t="s">
        <v>766</v>
      </c>
      <c r="AH2" s="91" t="s">
        <v>776</v>
      </c>
      <c r="AI2" s="91" t="s">
        <v>785</v>
      </c>
      <c r="AJ2" s="91" t="s">
        <v>294</v>
      </c>
      <c r="AK2" s="91" t="s">
        <v>305</v>
      </c>
      <c r="AL2" s="91" t="s">
        <v>318</v>
      </c>
      <c r="AM2" s="91" t="s">
        <v>327</v>
      </c>
      <c r="AN2" s="91" t="s">
        <v>334</v>
      </c>
    </row>
    <row r="3" spans="2:40" s="109" customFormat="1" x14ac:dyDescent="0.35">
      <c r="B3" s="50" t="s">
        <v>3567</v>
      </c>
      <c r="C3" s="50">
        <v>1</v>
      </c>
      <c r="D3" s="50" t="s">
        <v>3693</v>
      </c>
      <c r="E3" s="111">
        <v>45422</v>
      </c>
      <c r="F3" s="50">
        <v>1</v>
      </c>
      <c r="G3" s="114">
        <v>1</v>
      </c>
      <c r="H3" s="114">
        <v>3529</v>
      </c>
      <c r="I3" s="50" t="s">
        <v>3621</v>
      </c>
      <c r="J3" s="50" t="s">
        <v>3621</v>
      </c>
      <c r="K3" s="50" t="s">
        <v>3621</v>
      </c>
      <c r="L3" s="50" t="s">
        <v>3621</v>
      </c>
      <c r="M3" s="50" t="s">
        <v>3621</v>
      </c>
      <c r="N3" s="50" t="s">
        <v>3621</v>
      </c>
      <c r="O3" s="50" t="s">
        <v>3621</v>
      </c>
      <c r="P3" s="50" t="s">
        <v>3621</v>
      </c>
      <c r="Q3" s="50" t="s">
        <v>3621</v>
      </c>
      <c r="R3" s="50" t="s">
        <v>3621</v>
      </c>
      <c r="S3" s="50" t="s">
        <v>3621</v>
      </c>
      <c r="T3" s="50" t="s">
        <v>3621</v>
      </c>
      <c r="U3" s="50" t="s">
        <v>3621</v>
      </c>
      <c r="V3" s="50" t="s">
        <v>3621</v>
      </c>
      <c r="W3" s="50" t="s">
        <v>3621</v>
      </c>
      <c r="X3" s="50" t="s">
        <v>3621</v>
      </c>
      <c r="Y3" s="50" t="s">
        <v>3621</v>
      </c>
      <c r="Z3" s="50" t="s">
        <v>3621</v>
      </c>
      <c r="AA3" s="50" t="s">
        <v>3621</v>
      </c>
      <c r="AB3" s="50" t="s">
        <v>3621</v>
      </c>
      <c r="AC3" s="50" t="s">
        <v>3621</v>
      </c>
      <c r="AD3" s="50" t="s">
        <v>3621</v>
      </c>
      <c r="AE3" s="50" t="s">
        <v>3621</v>
      </c>
      <c r="AF3" s="50" t="s">
        <v>3621</v>
      </c>
      <c r="AG3" s="50" t="s">
        <v>3621</v>
      </c>
      <c r="AH3" s="50" t="s">
        <v>3621</v>
      </c>
      <c r="AI3" s="50" t="s">
        <v>3621</v>
      </c>
      <c r="AJ3" s="50" t="s">
        <v>3621</v>
      </c>
      <c r="AK3" s="50" t="s">
        <v>3621</v>
      </c>
      <c r="AL3" s="50" t="s">
        <v>3621</v>
      </c>
      <c r="AM3" s="50" t="s">
        <v>3621</v>
      </c>
      <c r="AN3" s="50" t="s">
        <v>3621</v>
      </c>
    </row>
    <row r="4" spans="2:40" s="109" customFormat="1" x14ac:dyDescent="0.35">
      <c r="B4" s="50" t="s">
        <v>3569</v>
      </c>
      <c r="C4" s="50">
        <v>2</v>
      </c>
      <c r="D4" s="50" t="s">
        <v>3694</v>
      </c>
      <c r="E4" s="111">
        <v>45422</v>
      </c>
      <c r="F4" s="50">
        <v>1</v>
      </c>
      <c r="G4" s="114">
        <v>1</v>
      </c>
      <c r="H4" s="50" t="s">
        <v>3630</v>
      </c>
      <c r="I4" s="50" t="s">
        <v>3621</v>
      </c>
      <c r="J4" s="50" t="s">
        <v>3621</v>
      </c>
      <c r="K4" s="50" t="s">
        <v>3621</v>
      </c>
      <c r="L4" s="50" t="s">
        <v>3621</v>
      </c>
      <c r="M4" s="50" t="s">
        <v>3621</v>
      </c>
      <c r="N4" s="50" t="s">
        <v>3621</v>
      </c>
      <c r="O4" s="50" t="s">
        <v>3621</v>
      </c>
      <c r="P4" s="50" t="s">
        <v>3621</v>
      </c>
      <c r="Q4" s="50" t="s">
        <v>3621</v>
      </c>
      <c r="R4" s="50" t="s">
        <v>3621</v>
      </c>
      <c r="S4" s="50" t="s">
        <v>3621</v>
      </c>
      <c r="T4" s="50" t="s">
        <v>3621</v>
      </c>
      <c r="U4" s="50" t="s">
        <v>3621</v>
      </c>
      <c r="V4" s="50" t="s">
        <v>3621</v>
      </c>
      <c r="W4" s="50" t="s">
        <v>3621</v>
      </c>
      <c r="X4" s="50" t="s">
        <v>3621</v>
      </c>
      <c r="Y4" s="50" t="s">
        <v>3621</v>
      </c>
      <c r="Z4" s="50" t="s">
        <v>3621</v>
      </c>
      <c r="AA4" s="50" t="s">
        <v>3621</v>
      </c>
      <c r="AB4" s="50" t="s">
        <v>3621</v>
      </c>
      <c r="AC4" s="50" t="s">
        <v>3621</v>
      </c>
      <c r="AD4" s="50" t="s">
        <v>3621</v>
      </c>
      <c r="AE4" s="50" t="s">
        <v>3621</v>
      </c>
      <c r="AF4" s="50" t="s">
        <v>3621</v>
      </c>
      <c r="AG4" s="50" t="s">
        <v>3621</v>
      </c>
      <c r="AH4" s="50" t="s">
        <v>3621</v>
      </c>
      <c r="AI4" s="50" t="s">
        <v>3621</v>
      </c>
      <c r="AJ4" s="50" t="s">
        <v>3621</v>
      </c>
      <c r="AK4" s="50" t="s">
        <v>3621</v>
      </c>
      <c r="AL4" s="50" t="s">
        <v>3621</v>
      </c>
      <c r="AM4" s="50" t="s">
        <v>3621</v>
      </c>
      <c r="AN4" s="50" t="s">
        <v>3621</v>
      </c>
    </row>
    <row r="5" spans="2:40" s="109" customFormat="1" x14ac:dyDescent="0.35">
      <c r="B5" s="50" t="s">
        <v>3571</v>
      </c>
      <c r="C5" s="50">
        <v>3</v>
      </c>
      <c r="D5" s="50" t="s">
        <v>3695</v>
      </c>
      <c r="E5" s="111">
        <v>45422</v>
      </c>
      <c r="F5" s="50">
        <v>1</v>
      </c>
      <c r="G5" s="114">
        <v>1</v>
      </c>
      <c r="H5" s="50" t="s">
        <v>3630</v>
      </c>
      <c r="I5" s="50">
        <v>0</v>
      </c>
      <c r="J5" s="50">
        <v>0</v>
      </c>
      <c r="K5" s="50" t="s">
        <v>3621</v>
      </c>
      <c r="L5" s="50" t="s">
        <v>3621</v>
      </c>
      <c r="M5" s="50" t="s">
        <v>3621</v>
      </c>
      <c r="N5" s="50" t="s">
        <v>3621</v>
      </c>
      <c r="O5" s="50" t="s">
        <v>3621</v>
      </c>
      <c r="P5" s="50" t="s">
        <v>3621</v>
      </c>
      <c r="Q5" s="50" t="s">
        <v>3621</v>
      </c>
      <c r="R5" s="50" t="s">
        <v>3621</v>
      </c>
      <c r="S5" s="50" t="s">
        <v>3621</v>
      </c>
      <c r="T5" s="50" t="s">
        <v>3621</v>
      </c>
      <c r="U5" s="50" t="s">
        <v>3621</v>
      </c>
      <c r="V5" s="50" t="s">
        <v>3621</v>
      </c>
      <c r="W5" s="50" t="s">
        <v>3621</v>
      </c>
      <c r="X5" s="50" t="s">
        <v>3621</v>
      </c>
      <c r="Y5" s="50" t="s">
        <v>3621</v>
      </c>
      <c r="Z5" s="50" t="s">
        <v>3621</v>
      </c>
      <c r="AA5" s="50" t="s">
        <v>3621</v>
      </c>
      <c r="AB5" s="50" t="s">
        <v>3621</v>
      </c>
      <c r="AC5" s="50" t="s">
        <v>3621</v>
      </c>
      <c r="AD5" s="50" t="s">
        <v>3621</v>
      </c>
      <c r="AE5" s="50" t="s">
        <v>3621</v>
      </c>
      <c r="AF5" s="50" t="s">
        <v>3621</v>
      </c>
      <c r="AG5" s="50" t="s">
        <v>3621</v>
      </c>
      <c r="AH5" s="50" t="s">
        <v>3621</v>
      </c>
      <c r="AI5" s="50" t="s">
        <v>3621</v>
      </c>
      <c r="AJ5" s="50" t="s">
        <v>3621</v>
      </c>
      <c r="AK5" s="50" t="s">
        <v>3621</v>
      </c>
      <c r="AL5" s="50" t="s">
        <v>3621</v>
      </c>
      <c r="AM5" s="50">
        <v>0</v>
      </c>
      <c r="AN5" s="50" t="s">
        <v>3621</v>
      </c>
    </row>
    <row r="6" spans="2:40" s="109" customFormat="1" x14ac:dyDescent="0.35">
      <c r="B6" s="113" t="s">
        <v>3573</v>
      </c>
      <c r="C6" s="50">
        <v>4</v>
      </c>
      <c r="D6" s="50" t="s">
        <v>3624</v>
      </c>
      <c r="E6" s="111" t="s">
        <v>3621</v>
      </c>
      <c r="F6" s="50">
        <v>1</v>
      </c>
      <c r="G6" s="111" t="s">
        <v>3621</v>
      </c>
      <c r="H6" s="50" t="s">
        <v>3630</v>
      </c>
      <c r="I6" s="50" t="s">
        <v>3621</v>
      </c>
      <c r="J6" s="50" t="s">
        <v>3621</v>
      </c>
      <c r="K6" s="50" t="s">
        <v>3621</v>
      </c>
      <c r="L6" s="50" t="s">
        <v>3621</v>
      </c>
      <c r="M6" s="50" t="s">
        <v>3621</v>
      </c>
      <c r="N6" s="50" t="s">
        <v>3621</v>
      </c>
      <c r="O6" s="50" t="s">
        <v>3621</v>
      </c>
      <c r="P6" s="50" t="s">
        <v>3621</v>
      </c>
      <c r="Q6" s="50" t="s">
        <v>3621</v>
      </c>
      <c r="R6" s="50" t="s">
        <v>3621</v>
      </c>
      <c r="S6" s="50" t="s">
        <v>3621</v>
      </c>
      <c r="T6" s="50" t="s">
        <v>3621</v>
      </c>
      <c r="U6" s="50" t="s">
        <v>3621</v>
      </c>
      <c r="V6" s="50" t="s">
        <v>3621</v>
      </c>
      <c r="W6" s="50" t="s">
        <v>3621</v>
      </c>
      <c r="X6" s="50" t="s">
        <v>3621</v>
      </c>
      <c r="Y6" s="50" t="s">
        <v>3621</v>
      </c>
      <c r="Z6" s="50" t="s">
        <v>3621</v>
      </c>
      <c r="AA6" s="50" t="s">
        <v>3621</v>
      </c>
      <c r="AB6" s="50" t="s">
        <v>3621</v>
      </c>
      <c r="AC6" s="50" t="s">
        <v>3621</v>
      </c>
      <c r="AD6" s="50" t="s">
        <v>3621</v>
      </c>
      <c r="AE6" s="50" t="s">
        <v>3621</v>
      </c>
      <c r="AF6" s="50" t="s">
        <v>3621</v>
      </c>
      <c r="AG6" s="50" t="s">
        <v>3621</v>
      </c>
      <c r="AH6" s="50" t="s">
        <v>3621</v>
      </c>
      <c r="AI6" s="50" t="s">
        <v>3621</v>
      </c>
      <c r="AJ6" s="50" t="s">
        <v>3621</v>
      </c>
      <c r="AK6" s="50" t="s">
        <v>3621</v>
      </c>
      <c r="AL6" s="50" t="s">
        <v>3621</v>
      </c>
      <c r="AM6" s="50" t="s">
        <v>3621</v>
      </c>
      <c r="AN6" s="50" t="s">
        <v>3621</v>
      </c>
    </row>
    <row r="7" spans="2:40" s="109" customFormat="1" x14ac:dyDescent="0.35">
      <c r="B7" s="50" t="s">
        <v>3575</v>
      </c>
      <c r="C7" s="50">
        <v>5</v>
      </c>
      <c r="D7" s="50" t="s">
        <v>3624</v>
      </c>
      <c r="E7" s="111" t="s">
        <v>3621</v>
      </c>
      <c r="F7" s="50">
        <v>1</v>
      </c>
      <c r="G7" s="111" t="s">
        <v>3621</v>
      </c>
      <c r="H7" s="50" t="s">
        <v>3630</v>
      </c>
      <c r="I7" s="50" t="s">
        <v>3621</v>
      </c>
      <c r="J7" s="50" t="s">
        <v>3621</v>
      </c>
      <c r="K7" s="50" t="s">
        <v>3621</v>
      </c>
      <c r="L7" s="50" t="s">
        <v>3621</v>
      </c>
      <c r="M7" s="50" t="s">
        <v>3621</v>
      </c>
      <c r="N7" s="50" t="s">
        <v>3621</v>
      </c>
      <c r="O7" s="50" t="s">
        <v>3621</v>
      </c>
      <c r="P7" s="50" t="s">
        <v>3621</v>
      </c>
      <c r="Q7" s="50" t="s">
        <v>3621</v>
      </c>
      <c r="R7" s="50" t="s">
        <v>3621</v>
      </c>
      <c r="S7" s="50" t="s">
        <v>3621</v>
      </c>
      <c r="T7" s="50" t="s">
        <v>3621</v>
      </c>
      <c r="U7" s="50" t="s">
        <v>3621</v>
      </c>
      <c r="V7" s="50" t="s">
        <v>3621</v>
      </c>
      <c r="W7" s="50" t="s">
        <v>3621</v>
      </c>
      <c r="X7" s="50" t="s">
        <v>3621</v>
      </c>
      <c r="Y7" s="50" t="s">
        <v>3621</v>
      </c>
      <c r="Z7" s="50" t="s">
        <v>3621</v>
      </c>
      <c r="AA7" s="50" t="s">
        <v>3621</v>
      </c>
      <c r="AB7" s="50" t="s">
        <v>3621</v>
      </c>
      <c r="AC7" s="50" t="s">
        <v>3621</v>
      </c>
      <c r="AD7" s="50" t="s">
        <v>3621</v>
      </c>
      <c r="AE7" s="50" t="s">
        <v>3621</v>
      </c>
      <c r="AF7" s="50" t="s">
        <v>3621</v>
      </c>
      <c r="AG7" s="50" t="s">
        <v>3621</v>
      </c>
      <c r="AH7" s="50" t="s">
        <v>3621</v>
      </c>
      <c r="AI7" s="50" t="s">
        <v>3621</v>
      </c>
      <c r="AJ7" s="50" t="s">
        <v>3621</v>
      </c>
      <c r="AK7" s="50" t="s">
        <v>3621</v>
      </c>
      <c r="AL7" s="50" t="s">
        <v>3621</v>
      </c>
      <c r="AM7" s="50" t="s">
        <v>3621</v>
      </c>
      <c r="AN7" s="50" t="s">
        <v>3621</v>
      </c>
    </row>
    <row r="8" spans="2:40" s="109" customFormat="1" x14ac:dyDescent="0.35">
      <c r="B8" s="50" t="s">
        <v>3576</v>
      </c>
      <c r="C8" s="50">
        <v>6</v>
      </c>
      <c r="D8" s="50" t="s">
        <v>3696</v>
      </c>
      <c r="E8" s="111">
        <v>45422</v>
      </c>
      <c r="F8" s="50">
        <v>1</v>
      </c>
      <c r="G8" s="50" cm="1">
        <f t="array" ref="G8">SUMPRODUCT(--(I8:AN8&gt;0))/COUNTA(I8:AN8)</f>
        <v>1</v>
      </c>
      <c r="H8" s="50" t="s">
        <v>3630</v>
      </c>
      <c r="I8" s="50">
        <v>2</v>
      </c>
      <c r="J8" s="50">
        <v>30</v>
      </c>
      <c r="K8" s="50">
        <v>3</v>
      </c>
      <c r="L8" s="50">
        <v>3</v>
      </c>
      <c r="M8" s="50">
        <v>3</v>
      </c>
      <c r="N8" s="50">
        <v>2</v>
      </c>
      <c r="O8" s="50">
        <v>30</v>
      </c>
      <c r="P8" s="50">
        <v>2</v>
      </c>
      <c r="Q8" s="50">
        <v>15</v>
      </c>
      <c r="R8" s="50">
        <v>10</v>
      </c>
      <c r="S8" s="50">
        <v>10</v>
      </c>
      <c r="T8" s="50">
        <v>3</v>
      </c>
      <c r="U8" s="50">
        <v>1</v>
      </c>
      <c r="V8" s="50">
        <v>9</v>
      </c>
      <c r="W8" s="50">
        <v>9</v>
      </c>
      <c r="X8" s="50">
        <v>8</v>
      </c>
      <c r="Y8" s="50">
        <v>8</v>
      </c>
      <c r="Z8" s="50">
        <v>8</v>
      </c>
      <c r="AA8" s="50">
        <v>10</v>
      </c>
      <c r="AB8" s="50">
        <v>10</v>
      </c>
      <c r="AC8" s="50">
        <v>8</v>
      </c>
      <c r="AD8" s="50">
        <v>8</v>
      </c>
      <c r="AE8" s="50">
        <v>3</v>
      </c>
      <c r="AF8" s="50">
        <v>3</v>
      </c>
      <c r="AG8" s="50">
        <v>8</v>
      </c>
      <c r="AH8" s="50">
        <v>8</v>
      </c>
      <c r="AI8" s="50">
        <v>8</v>
      </c>
      <c r="AJ8" s="50">
        <v>3</v>
      </c>
      <c r="AK8" s="50">
        <v>3</v>
      </c>
      <c r="AL8" s="50">
        <v>2</v>
      </c>
      <c r="AM8" s="50">
        <v>10</v>
      </c>
      <c r="AN8" s="50">
        <v>22</v>
      </c>
    </row>
    <row r="9" spans="2:40" s="109" customFormat="1" x14ac:dyDescent="0.35">
      <c r="B9" s="50" t="s">
        <v>3579</v>
      </c>
      <c r="C9" s="50">
        <v>7</v>
      </c>
      <c r="D9" s="50" t="s">
        <v>3697</v>
      </c>
      <c r="E9" s="111">
        <v>45422</v>
      </c>
      <c r="F9" s="50">
        <v>1</v>
      </c>
      <c r="G9" s="50" cm="1">
        <f t="array" ref="G9">SUMPRODUCT(--(H9:AN9 &lt;= H28:AN28))/COUNTA(H28:AN28)</f>
        <v>0.81818181818181823</v>
      </c>
      <c r="H9" s="50" t="s">
        <v>3630</v>
      </c>
      <c r="I9" s="50">
        <v>2</v>
      </c>
      <c r="J9" s="50">
        <v>30</v>
      </c>
      <c r="K9" s="50">
        <v>3</v>
      </c>
      <c r="L9" s="50">
        <v>3</v>
      </c>
      <c r="M9" s="50">
        <v>3</v>
      </c>
      <c r="N9" s="50">
        <v>2</v>
      </c>
      <c r="O9" s="50">
        <v>30</v>
      </c>
      <c r="P9" s="50">
        <v>2</v>
      </c>
      <c r="Q9" s="50">
        <v>15</v>
      </c>
      <c r="R9" s="50">
        <v>10</v>
      </c>
      <c r="S9" s="50">
        <v>10</v>
      </c>
      <c r="T9" s="50">
        <v>3</v>
      </c>
      <c r="U9" s="50">
        <v>1</v>
      </c>
      <c r="V9" s="50">
        <v>14</v>
      </c>
      <c r="W9" s="50">
        <v>14</v>
      </c>
      <c r="X9" s="50">
        <v>14</v>
      </c>
      <c r="Y9" s="50">
        <v>13</v>
      </c>
      <c r="Z9" s="50">
        <v>13</v>
      </c>
      <c r="AA9" s="50">
        <v>10</v>
      </c>
      <c r="AB9" s="50">
        <v>10</v>
      </c>
      <c r="AC9" s="50">
        <v>13</v>
      </c>
      <c r="AD9" s="50">
        <v>13</v>
      </c>
      <c r="AE9" s="50">
        <v>3</v>
      </c>
      <c r="AF9" s="50">
        <v>3</v>
      </c>
      <c r="AG9" s="50">
        <v>8</v>
      </c>
      <c r="AH9" s="50">
        <v>8</v>
      </c>
      <c r="AI9" s="50">
        <v>9</v>
      </c>
      <c r="AJ9" s="50">
        <v>3</v>
      </c>
      <c r="AK9" s="50">
        <v>3</v>
      </c>
      <c r="AL9" s="50">
        <v>2</v>
      </c>
      <c r="AM9" s="50">
        <v>10</v>
      </c>
      <c r="AN9" s="50">
        <v>22</v>
      </c>
    </row>
    <row r="10" spans="2:40" s="109" customFormat="1" x14ac:dyDescent="0.35">
      <c r="B10" s="113" t="s">
        <v>3582</v>
      </c>
      <c r="C10" s="50">
        <v>8</v>
      </c>
      <c r="D10" s="50" t="s">
        <v>3698</v>
      </c>
      <c r="E10" s="111">
        <v>45422</v>
      </c>
      <c r="F10" s="50">
        <v>1</v>
      </c>
      <c r="G10" s="111" t="s">
        <v>3621</v>
      </c>
      <c r="H10" s="50" t="s">
        <v>3630</v>
      </c>
      <c r="I10" s="50">
        <v>31</v>
      </c>
      <c r="J10" s="50">
        <v>3.1000473009206903E+26</v>
      </c>
      <c r="K10" s="50" t="s">
        <v>3699</v>
      </c>
      <c r="L10" s="50">
        <v>90</v>
      </c>
      <c r="M10" s="50">
        <v>1</v>
      </c>
      <c r="N10" s="50">
        <v>31</v>
      </c>
      <c r="O10" s="50">
        <v>3.7234600100000003E+23</v>
      </c>
      <c r="P10" s="50">
        <v>31</v>
      </c>
      <c r="Q10" s="50">
        <v>310004730092</v>
      </c>
      <c r="R10" s="111" t="s">
        <v>3629</v>
      </c>
      <c r="S10" s="111">
        <v>33584</v>
      </c>
      <c r="T10" s="111">
        <v>978</v>
      </c>
      <c r="U10" s="111">
        <v>0</v>
      </c>
      <c r="V10" s="111">
        <v>22860000</v>
      </c>
      <c r="W10" s="111">
        <v>22860000</v>
      </c>
      <c r="X10" s="50" t="s">
        <v>3630</v>
      </c>
      <c r="Y10" s="111" t="s">
        <v>3630</v>
      </c>
      <c r="Z10" s="111" t="s">
        <v>3630</v>
      </c>
      <c r="AA10" s="111">
        <v>33588</v>
      </c>
      <c r="AB10" s="114" t="s">
        <v>3629</v>
      </c>
      <c r="AC10" s="114" t="s">
        <v>3630</v>
      </c>
      <c r="AD10" s="114" t="s">
        <v>3630</v>
      </c>
      <c r="AE10" s="50" t="s">
        <v>3700</v>
      </c>
      <c r="AF10" s="50" t="s">
        <v>3701</v>
      </c>
      <c r="AG10" s="114">
        <v>1900000</v>
      </c>
      <c r="AH10" s="114">
        <v>1900000</v>
      </c>
      <c r="AI10" s="114" t="s">
        <v>3630</v>
      </c>
      <c r="AJ10" s="114" t="s">
        <v>3699</v>
      </c>
      <c r="AK10" s="50" t="s">
        <v>3632</v>
      </c>
      <c r="AL10" s="50" t="s">
        <v>3702</v>
      </c>
      <c r="AM10" s="111">
        <v>45422</v>
      </c>
      <c r="AN10" s="111" t="s">
        <v>3703</v>
      </c>
    </row>
    <row r="11" spans="2:40" s="109" customFormat="1" x14ac:dyDescent="0.35">
      <c r="B11" s="50" t="s">
        <v>3584</v>
      </c>
      <c r="C11" s="50">
        <v>9</v>
      </c>
      <c r="D11" s="50" t="s">
        <v>3704</v>
      </c>
      <c r="E11" s="111">
        <v>45422</v>
      </c>
      <c r="F11" s="50">
        <v>1</v>
      </c>
      <c r="G11" s="111" t="s">
        <v>3621</v>
      </c>
      <c r="H11" s="50" t="s">
        <v>3630</v>
      </c>
      <c r="I11" s="50">
        <v>31</v>
      </c>
      <c r="J11" s="50">
        <v>3.1000473009206903E+26</v>
      </c>
      <c r="K11" s="50">
        <v>31</v>
      </c>
      <c r="L11" s="50">
        <v>90</v>
      </c>
      <c r="M11" s="50">
        <v>1</v>
      </c>
      <c r="N11" s="50">
        <v>31</v>
      </c>
      <c r="O11" s="50">
        <v>3.7234600100000003E+23</v>
      </c>
      <c r="P11" s="50">
        <v>31</v>
      </c>
      <c r="Q11" s="50">
        <v>310004730092</v>
      </c>
      <c r="R11" s="50" t="s">
        <v>3629</v>
      </c>
      <c r="S11" s="111">
        <v>33584</v>
      </c>
      <c r="T11" s="111">
        <v>978</v>
      </c>
      <c r="U11" s="111">
        <v>0</v>
      </c>
      <c r="V11" s="111" t="s">
        <v>3705</v>
      </c>
      <c r="W11" s="111" t="s">
        <v>3705</v>
      </c>
      <c r="X11" s="50" t="s">
        <v>3706</v>
      </c>
      <c r="Y11" s="111" t="s">
        <v>3706</v>
      </c>
      <c r="Z11" s="111" t="s">
        <v>3706</v>
      </c>
      <c r="AA11" s="111">
        <v>33588</v>
      </c>
      <c r="AB11" s="50" t="s">
        <v>3629</v>
      </c>
      <c r="AC11" s="50" t="s">
        <v>3706</v>
      </c>
      <c r="AD11" s="50" t="s">
        <v>3706</v>
      </c>
      <c r="AE11" s="50" t="s">
        <v>3700</v>
      </c>
      <c r="AF11" s="50" t="s">
        <v>3701</v>
      </c>
      <c r="AG11" s="114">
        <v>19000000000</v>
      </c>
      <c r="AH11" s="114">
        <v>190000</v>
      </c>
      <c r="AI11" s="114" t="s">
        <v>3707</v>
      </c>
      <c r="AJ11" s="114" t="s">
        <v>3708</v>
      </c>
      <c r="AK11" s="50" t="s">
        <v>3636</v>
      </c>
      <c r="AL11" s="50" t="s">
        <v>3702</v>
      </c>
      <c r="AM11" s="111">
        <v>45422</v>
      </c>
      <c r="AN11" s="111" t="s">
        <v>3709</v>
      </c>
    </row>
    <row r="12" spans="2:40" s="109" customFormat="1" x14ac:dyDescent="0.35">
      <c r="B12" s="50" t="s">
        <v>3586</v>
      </c>
      <c r="C12" s="50">
        <v>10</v>
      </c>
      <c r="D12" s="50" t="s">
        <v>3710</v>
      </c>
      <c r="E12" s="111">
        <v>45422</v>
      </c>
      <c r="F12" s="50">
        <v>1</v>
      </c>
      <c r="G12" s="111" t="s">
        <v>3621</v>
      </c>
      <c r="H12" s="50" t="s">
        <v>3630</v>
      </c>
      <c r="I12" s="50">
        <v>31</v>
      </c>
      <c r="J12" s="50">
        <v>5.4260000009409003E+29</v>
      </c>
      <c r="K12" s="115" t="s">
        <v>3699</v>
      </c>
      <c r="L12" s="50">
        <v>92</v>
      </c>
      <c r="M12" s="50" t="s">
        <v>3711</v>
      </c>
      <c r="N12" s="50">
        <v>31</v>
      </c>
      <c r="O12" s="50">
        <v>2.3850155708002E+29</v>
      </c>
      <c r="P12" s="50">
        <v>31</v>
      </c>
      <c r="Q12" s="50">
        <v>542600000094090</v>
      </c>
      <c r="R12" s="111">
        <v>45422</v>
      </c>
      <c r="S12" s="111">
        <v>45802</v>
      </c>
      <c r="T12" s="111">
        <v>978</v>
      </c>
      <c r="U12" s="111">
        <v>1</v>
      </c>
      <c r="V12" s="111">
        <v>6500000000000</v>
      </c>
      <c r="W12" s="111">
        <v>1000000000000</v>
      </c>
      <c r="X12" s="114">
        <v>1000000000000</v>
      </c>
      <c r="Y12" s="111">
        <v>320000000000</v>
      </c>
      <c r="Z12" s="111">
        <v>168000000000</v>
      </c>
      <c r="AA12" s="114">
        <v>45805</v>
      </c>
      <c r="AB12" s="114">
        <v>43962</v>
      </c>
      <c r="AC12" s="114">
        <v>149639370000</v>
      </c>
      <c r="AD12" s="114">
        <v>663500000000</v>
      </c>
      <c r="AE12" s="114" t="s">
        <v>3700</v>
      </c>
      <c r="AF12" s="114" t="s">
        <v>3701</v>
      </c>
      <c r="AG12" s="114">
        <v>1900000</v>
      </c>
      <c r="AH12" s="114">
        <v>1900000</v>
      </c>
      <c r="AI12" s="114">
        <v>32000000</v>
      </c>
      <c r="AJ12" s="114" t="s">
        <v>3699</v>
      </c>
      <c r="AK12" s="114" t="s">
        <v>3632</v>
      </c>
      <c r="AL12" s="50" t="s">
        <v>3641</v>
      </c>
      <c r="AM12" s="111">
        <v>45422</v>
      </c>
      <c r="AN12" s="111" t="s">
        <v>3703</v>
      </c>
    </row>
    <row r="13" spans="2:40" s="109" customFormat="1" x14ac:dyDescent="0.35">
      <c r="B13" s="50" t="s">
        <v>3588</v>
      </c>
      <c r="C13" s="50">
        <v>11</v>
      </c>
      <c r="D13" s="50" t="s">
        <v>3712</v>
      </c>
      <c r="E13" s="111">
        <v>45422</v>
      </c>
      <c r="F13" s="50">
        <v>1</v>
      </c>
      <c r="G13" s="111" t="s">
        <v>3621</v>
      </c>
      <c r="H13" s="50" t="s">
        <v>3630</v>
      </c>
      <c r="I13" s="50">
        <v>31</v>
      </c>
      <c r="J13" s="50">
        <v>5.4260000009409003E+29</v>
      </c>
      <c r="K13" s="50">
        <v>31</v>
      </c>
      <c r="L13" s="50">
        <v>92</v>
      </c>
      <c r="M13" s="50" t="s">
        <v>3711</v>
      </c>
      <c r="N13" s="50">
        <v>31</v>
      </c>
      <c r="O13" s="50">
        <v>2.3850155708002E+29</v>
      </c>
      <c r="P13" s="50">
        <v>31</v>
      </c>
      <c r="Q13" s="50">
        <v>542600000094090</v>
      </c>
      <c r="R13" s="111">
        <v>45422</v>
      </c>
      <c r="S13" s="111">
        <v>45802</v>
      </c>
      <c r="T13" s="111">
        <v>978</v>
      </c>
      <c r="U13" s="111">
        <v>1</v>
      </c>
      <c r="V13" s="111" t="s">
        <v>3713</v>
      </c>
      <c r="W13" s="111" t="s">
        <v>3714</v>
      </c>
      <c r="X13" s="50" t="s">
        <v>3714</v>
      </c>
      <c r="Y13" s="111" t="s">
        <v>3715</v>
      </c>
      <c r="Z13" s="111" t="s">
        <v>3716</v>
      </c>
      <c r="AA13" s="111">
        <v>45805</v>
      </c>
      <c r="AB13" s="111">
        <v>43962</v>
      </c>
      <c r="AC13" s="50" t="s">
        <v>3717</v>
      </c>
      <c r="AD13" s="114" t="s">
        <v>3718</v>
      </c>
      <c r="AE13" s="114" t="s">
        <v>3700</v>
      </c>
      <c r="AF13" s="114" t="s">
        <v>3701</v>
      </c>
      <c r="AG13" s="114">
        <v>19000000000</v>
      </c>
      <c r="AH13" s="114">
        <v>190000</v>
      </c>
      <c r="AI13" s="114">
        <v>3200000</v>
      </c>
      <c r="AJ13" s="114" t="s">
        <v>3719</v>
      </c>
      <c r="AK13" s="114" t="s">
        <v>3636</v>
      </c>
      <c r="AL13" s="50" t="s">
        <v>3641</v>
      </c>
      <c r="AM13" s="111">
        <v>45422</v>
      </c>
      <c r="AN13" s="111" t="s">
        <v>3720</v>
      </c>
    </row>
    <row r="14" spans="2:40" s="231" customFormat="1" x14ac:dyDescent="0.35">
      <c r="B14" s="229" t="s">
        <v>3590</v>
      </c>
      <c r="C14" s="229">
        <v>12</v>
      </c>
      <c r="D14" s="229" t="s">
        <v>3721</v>
      </c>
      <c r="E14" s="230">
        <v>45422</v>
      </c>
      <c r="F14" s="229">
        <v>1</v>
      </c>
      <c r="G14" s="229">
        <v>0.875</v>
      </c>
      <c r="H14" s="229" t="s">
        <v>3630</v>
      </c>
      <c r="I14" s="229">
        <v>0</v>
      </c>
      <c r="J14" s="229">
        <v>0</v>
      </c>
      <c r="K14" s="229">
        <v>0</v>
      </c>
      <c r="L14" s="229">
        <v>0</v>
      </c>
      <c r="M14" s="229">
        <v>0</v>
      </c>
      <c r="N14" s="229">
        <v>0</v>
      </c>
      <c r="O14" s="229">
        <v>0</v>
      </c>
      <c r="P14" s="229">
        <v>0</v>
      </c>
      <c r="Q14" s="229">
        <v>0</v>
      </c>
      <c r="R14" s="229">
        <v>0</v>
      </c>
      <c r="S14" s="229">
        <v>0</v>
      </c>
      <c r="T14" s="229">
        <v>0</v>
      </c>
      <c r="U14" s="229">
        <v>0</v>
      </c>
      <c r="V14" s="229">
        <v>644</v>
      </c>
      <c r="W14" s="229">
        <v>0</v>
      </c>
      <c r="X14" s="229">
        <v>0</v>
      </c>
      <c r="Y14" s="229">
        <v>0</v>
      </c>
      <c r="Z14" s="229">
        <v>0</v>
      </c>
      <c r="AA14" s="229">
        <v>0</v>
      </c>
      <c r="AB14" s="229">
        <v>0</v>
      </c>
      <c r="AC14" s="229">
        <v>0</v>
      </c>
      <c r="AD14" s="229">
        <v>0</v>
      </c>
      <c r="AE14" s="229">
        <v>0</v>
      </c>
      <c r="AF14" s="229">
        <v>3528</v>
      </c>
      <c r="AG14" s="229">
        <v>3528</v>
      </c>
      <c r="AH14" s="229">
        <v>3528</v>
      </c>
      <c r="AI14" s="229">
        <v>0</v>
      </c>
      <c r="AJ14" s="229">
        <v>0</v>
      </c>
      <c r="AK14" s="229">
        <v>0</v>
      </c>
      <c r="AL14" s="229">
        <v>0</v>
      </c>
      <c r="AM14" s="229">
        <v>0</v>
      </c>
      <c r="AN14" s="229">
        <v>0</v>
      </c>
    </row>
    <row r="15" spans="2:40" s="109" customFormat="1" x14ac:dyDescent="0.35">
      <c r="B15" s="50" t="s">
        <v>3592</v>
      </c>
      <c r="C15" s="50">
        <v>13</v>
      </c>
      <c r="D15" s="50" t="s">
        <v>3722</v>
      </c>
      <c r="E15" s="111">
        <v>45422</v>
      </c>
      <c r="F15" s="50">
        <v>1</v>
      </c>
      <c r="G15" s="114">
        <v>1</v>
      </c>
      <c r="H15" s="50" t="s">
        <v>3630</v>
      </c>
      <c r="I15" s="50" t="s">
        <v>3621</v>
      </c>
      <c r="J15" s="50" t="s">
        <v>3621</v>
      </c>
      <c r="K15" s="50" t="s">
        <v>3621</v>
      </c>
      <c r="L15" s="50" t="s">
        <v>3621</v>
      </c>
      <c r="M15" s="50" t="s">
        <v>3621</v>
      </c>
      <c r="N15" s="50" t="s">
        <v>3621</v>
      </c>
      <c r="O15" s="50" t="s">
        <v>3621</v>
      </c>
      <c r="P15" s="50" t="s">
        <v>3621</v>
      </c>
      <c r="Q15" s="50" t="s">
        <v>3621</v>
      </c>
      <c r="R15" s="113">
        <v>0</v>
      </c>
      <c r="S15" s="113">
        <v>0</v>
      </c>
      <c r="T15" s="113" t="s">
        <v>3621</v>
      </c>
      <c r="U15" s="113" t="s">
        <v>3621</v>
      </c>
      <c r="V15" s="113" t="s">
        <v>3621</v>
      </c>
      <c r="W15" s="113" t="s">
        <v>3621</v>
      </c>
      <c r="X15" s="50" t="s">
        <v>3621</v>
      </c>
      <c r="Y15" s="113" t="s">
        <v>3621</v>
      </c>
      <c r="Z15" s="113" t="s">
        <v>3621</v>
      </c>
      <c r="AA15" s="50">
        <v>0</v>
      </c>
      <c r="AB15" s="50">
        <v>0</v>
      </c>
      <c r="AC15" s="50" t="s">
        <v>3621</v>
      </c>
      <c r="AD15" s="50" t="s">
        <v>3621</v>
      </c>
      <c r="AE15" s="50" t="s">
        <v>3621</v>
      </c>
      <c r="AF15" s="50" t="s">
        <v>3621</v>
      </c>
      <c r="AG15" s="50" t="s">
        <v>3621</v>
      </c>
      <c r="AH15" s="50" t="s">
        <v>3621</v>
      </c>
      <c r="AI15" s="50" t="s">
        <v>3621</v>
      </c>
      <c r="AJ15" s="50" t="s">
        <v>3621</v>
      </c>
      <c r="AK15" s="50" t="s">
        <v>3621</v>
      </c>
      <c r="AL15" s="50" t="s">
        <v>3621</v>
      </c>
      <c r="AM15" s="50" t="s">
        <v>3621</v>
      </c>
      <c r="AN15" s="50" t="s">
        <v>3621</v>
      </c>
    </row>
    <row r="16" spans="2:40" s="109" customFormat="1" x14ac:dyDescent="0.35">
      <c r="B16" s="50" t="s">
        <v>3594</v>
      </c>
      <c r="C16" s="50">
        <v>14</v>
      </c>
      <c r="D16" s="50" t="s">
        <v>3723</v>
      </c>
      <c r="E16" s="111">
        <v>45422</v>
      </c>
      <c r="F16" s="50">
        <v>1</v>
      </c>
      <c r="G16" s="114">
        <v>1</v>
      </c>
      <c r="H16" s="50" t="s">
        <v>3630</v>
      </c>
      <c r="I16" s="50">
        <v>0</v>
      </c>
      <c r="J16" s="50">
        <v>0</v>
      </c>
      <c r="K16" s="50">
        <v>0</v>
      </c>
      <c r="L16" s="50">
        <v>0</v>
      </c>
      <c r="M16" s="50">
        <v>0</v>
      </c>
      <c r="N16" s="50">
        <v>0</v>
      </c>
      <c r="O16" s="50">
        <v>0</v>
      </c>
      <c r="P16" s="50">
        <v>0</v>
      </c>
      <c r="Q16" s="50">
        <v>0</v>
      </c>
      <c r="R16" s="50" t="s">
        <v>3621</v>
      </c>
      <c r="S16" s="50" t="s">
        <v>3621</v>
      </c>
      <c r="T16" s="50">
        <v>0</v>
      </c>
      <c r="U16" s="50" t="s">
        <v>3621</v>
      </c>
      <c r="V16" s="50" t="s">
        <v>3621</v>
      </c>
      <c r="W16" s="50" t="s">
        <v>3621</v>
      </c>
      <c r="X16" s="113" t="s">
        <v>3621</v>
      </c>
      <c r="Y16" s="113" t="s">
        <v>3621</v>
      </c>
      <c r="Z16" s="50" t="s">
        <v>3621</v>
      </c>
      <c r="AA16" s="50" t="s">
        <v>3621</v>
      </c>
      <c r="AB16" s="50" t="s">
        <v>3621</v>
      </c>
      <c r="AC16" s="50" t="s">
        <v>3621</v>
      </c>
      <c r="AD16" s="50" t="s">
        <v>3621</v>
      </c>
      <c r="AE16" s="50">
        <v>0</v>
      </c>
      <c r="AF16" s="50">
        <v>0</v>
      </c>
      <c r="AG16" s="50" t="s">
        <v>3621</v>
      </c>
      <c r="AH16" s="50" t="s">
        <v>3621</v>
      </c>
      <c r="AI16" s="50" t="s">
        <v>3621</v>
      </c>
      <c r="AJ16" s="50">
        <v>0</v>
      </c>
      <c r="AK16" s="50">
        <v>0</v>
      </c>
      <c r="AL16" s="50" t="s">
        <v>3621</v>
      </c>
      <c r="AM16" s="50" t="s">
        <v>3621</v>
      </c>
      <c r="AN16" s="50" t="s">
        <v>3621</v>
      </c>
    </row>
    <row r="17" spans="2:42" s="109" customFormat="1" x14ac:dyDescent="0.35">
      <c r="B17" s="50" t="s">
        <v>3596</v>
      </c>
      <c r="C17" s="50">
        <v>15</v>
      </c>
      <c r="D17" s="50" t="s">
        <v>3724</v>
      </c>
      <c r="E17" s="111">
        <v>45422</v>
      </c>
      <c r="F17" s="50">
        <v>1</v>
      </c>
      <c r="G17" s="114">
        <v>1</v>
      </c>
      <c r="H17" s="50" t="s">
        <v>3630</v>
      </c>
      <c r="I17" s="50" t="s">
        <v>3621</v>
      </c>
      <c r="J17" s="50" t="s">
        <v>3621</v>
      </c>
      <c r="K17" s="50" t="s">
        <v>3621</v>
      </c>
      <c r="L17" s="50" t="s">
        <v>3621</v>
      </c>
      <c r="M17" s="50" t="s">
        <v>3621</v>
      </c>
      <c r="N17" s="50" t="s">
        <v>3621</v>
      </c>
      <c r="O17" s="50" t="s">
        <v>3621</v>
      </c>
      <c r="P17" s="50" t="s">
        <v>3621</v>
      </c>
      <c r="Q17" s="50" t="s">
        <v>3621</v>
      </c>
      <c r="R17" s="50" t="s">
        <v>3621</v>
      </c>
      <c r="S17" s="50" t="s">
        <v>3621</v>
      </c>
      <c r="T17" s="50" t="s">
        <v>3621</v>
      </c>
      <c r="U17" s="50" t="s">
        <v>3621</v>
      </c>
      <c r="V17" s="50" t="s">
        <v>3621</v>
      </c>
      <c r="W17" s="50" t="s">
        <v>3621</v>
      </c>
      <c r="X17" s="113" t="s">
        <v>3621</v>
      </c>
      <c r="Y17" s="50" t="s">
        <v>3621</v>
      </c>
      <c r="Z17" s="50" t="s">
        <v>3621</v>
      </c>
      <c r="AA17" s="50" t="s">
        <v>3621</v>
      </c>
      <c r="AB17" s="50" t="s">
        <v>3621</v>
      </c>
      <c r="AC17" s="50" t="s">
        <v>3621</v>
      </c>
      <c r="AD17" s="50" t="s">
        <v>3621</v>
      </c>
      <c r="AE17" s="50" t="s">
        <v>3621</v>
      </c>
      <c r="AF17" s="50" t="s">
        <v>3621</v>
      </c>
      <c r="AG17" s="50" t="s">
        <v>3621</v>
      </c>
      <c r="AH17" s="50" t="s">
        <v>3621</v>
      </c>
      <c r="AI17" s="50" t="s">
        <v>3621</v>
      </c>
      <c r="AJ17" s="50" t="s">
        <v>3621</v>
      </c>
      <c r="AK17" s="50" t="s">
        <v>3621</v>
      </c>
      <c r="AL17" s="50" t="s">
        <v>3621</v>
      </c>
      <c r="AM17" s="50" t="s">
        <v>3621</v>
      </c>
      <c r="AN17" s="50" t="s">
        <v>3621</v>
      </c>
    </row>
    <row r="18" spans="2:42" s="109" customFormat="1" x14ac:dyDescent="0.35">
      <c r="B18" s="50" t="s">
        <v>3598</v>
      </c>
      <c r="C18" s="50">
        <v>16</v>
      </c>
      <c r="D18" s="50" t="s">
        <v>3724</v>
      </c>
      <c r="E18" s="111">
        <v>45422</v>
      </c>
      <c r="F18" s="50">
        <v>1</v>
      </c>
      <c r="G18" s="114">
        <v>1</v>
      </c>
      <c r="H18" s="50" t="s">
        <v>3630</v>
      </c>
      <c r="I18" s="50" t="s">
        <v>3621</v>
      </c>
      <c r="J18" s="50" t="s">
        <v>3621</v>
      </c>
      <c r="K18" s="50" t="s">
        <v>3621</v>
      </c>
      <c r="L18" s="50" t="s">
        <v>3621</v>
      </c>
      <c r="M18" s="50" t="s">
        <v>3621</v>
      </c>
      <c r="N18" s="50" t="s">
        <v>3621</v>
      </c>
      <c r="O18" s="50" t="s">
        <v>3621</v>
      </c>
      <c r="P18" s="50" t="s">
        <v>3621</v>
      </c>
      <c r="Q18" s="50" t="s">
        <v>3621</v>
      </c>
      <c r="R18" s="50" t="s">
        <v>3621</v>
      </c>
      <c r="S18" s="50" t="s">
        <v>3621</v>
      </c>
      <c r="T18" s="50" t="s">
        <v>3621</v>
      </c>
      <c r="U18" s="50" t="s">
        <v>3621</v>
      </c>
      <c r="V18" s="50" t="s">
        <v>3621</v>
      </c>
      <c r="W18" s="50" t="s">
        <v>3621</v>
      </c>
      <c r="X18" s="50" t="s">
        <v>3621</v>
      </c>
      <c r="Y18" s="50" t="s">
        <v>3621</v>
      </c>
      <c r="Z18" s="50" t="s">
        <v>3621</v>
      </c>
      <c r="AA18" s="50" t="s">
        <v>3621</v>
      </c>
      <c r="AB18" s="50" t="s">
        <v>3621</v>
      </c>
      <c r="AC18" s="50" t="s">
        <v>3621</v>
      </c>
      <c r="AD18" s="50" t="s">
        <v>3621</v>
      </c>
      <c r="AE18" s="50" t="s">
        <v>3621</v>
      </c>
      <c r="AF18" s="50" t="s">
        <v>3621</v>
      </c>
      <c r="AG18" s="50" t="s">
        <v>3621</v>
      </c>
      <c r="AH18" s="50" t="s">
        <v>3621</v>
      </c>
      <c r="AI18" s="50" t="s">
        <v>3621</v>
      </c>
      <c r="AJ18" s="50" t="s">
        <v>3621</v>
      </c>
      <c r="AK18" s="50" t="s">
        <v>3621</v>
      </c>
      <c r="AL18" s="50" t="s">
        <v>3621</v>
      </c>
      <c r="AM18" s="50" t="s">
        <v>3621</v>
      </c>
      <c r="AN18" s="50" t="s">
        <v>3621</v>
      </c>
    </row>
    <row r="19" spans="2:42" s="109" customFormat="1" x14ac:dyDescent="0.35">
      <c r="B19" s="50" t="s">
        <v>3600</v>
      </c>
      <c r="C19" s="50">
        <v>17</v>
      </c>
      <c r="D19" s="50" t="s">
        <v>3725</v>
      </c>
      <c r="E19" s="111">
        <v>45422</v>
      </c>
      <c r="F19" s="50">
        <v>1</v>
      </c>
      <c r="G19" s="227">
        <v>0.91980700000000004</v>
      </c>
      <c r="H19" s="114">
        <v>283</v>
      </c>
      <c r="I19" s="50" t="s">
        <v>3621</v>
      </c>
      <c r="J19" s="50" t="s">
        <v>3621</v>
      </c>
      <c r="K19" s="50" t="s">
        <v>3621</v>
      </c>
      <c r="L19" s="50" t="s">
        <v>3621</v>
      </c>
      <c r="M19" s="50" t="s">
        <v>3621</v>
      </c>
      <c r="N19" s="50" t="s">
        <v>3621</v>
      </c>
      <c r="O19" s="50" t="s">
        <v>3621</v>
      </c>
      <c r="P19" s="50" t="s">
        <v>3621</v>
      </c>
      <c r="Q19" s="50" t="s">
        <v>3621</v>
      </c>
      <c r="R19" s="50" t="s">
        <v>3621</v>
      </c>
      <c r="S19" s="50" t="s">
        <v>3621</v>
      </c>
      <c r="T19" s="50" t="s">
        <v>3621</v>
      </c>
      <c r="U19" s="50" t="s">
        <v>3621</v>
      </c>
      <c r="V19" s="50" t="s">
        <v>3621</v>
      </c>
      <c r="W19" s="50" t="s">
        <v>3621</v>
      </c>
      <c r="X19" s="50" t="s">
        <v>3621</v>
      </c>
      <c r="Y19" s="50" t="s">
        <v>3621</v>
      </c>
      <c r="Z19" s="50" t="s">
        <v>3621</v>
      </c>
      <c r="AA19" s="50" t="s">
        <v>3621</v>
      </c>
      <c r="AB19" s="50" t="s">
        <v>3621</v>
      </c>
      <c r="AC19" s="50" t="s">
        <v>3621</v>
      </c>
      <c r="AD19" s="50" t="s">
        <v>3621</v>
      </c>
      <c r="AE19" s="50" t="s">
        <v>3621</v>
      </c>
      <c r="AF19" s="50" t="s">
        <v>3621</v>
      </c>
      <c r="AG19" s="50" t="s">
        <v>3621</v>
      </c>
      <c r="AH19" s="50" t="s">
        <v>3621</v>
      </c>
      <c r="AI19" s="50" t="s">
        <v>3621</v>
      </c>
      <c r="AJ19" s="50" t="s">
        <v>3621</v>
      </c>
      <c r="AK19" s="50" t="s">
        <v>3621</v>
      </c>
      <c r="AL19" s="50" t="s">
        <v>3621</v>
      </c>
      <c r="AM19" s="50" t="s">
        <v>3621</v>
      </c>
      <c r="AN19" s="50" t="s">
        <v>3621</v>
      </c>
    </row>
    <row r="20" spans="2:42" s="109" customFormat="1" x14ac:dyDescent="0.35">
      <c r="B20" s="50" t="s">
        <v>3602</v>
      </c>
      <c r="C20" s="50">
        <v>18</v>
      </c>
      <c r="D20" s="50" t="s">
        <v>3725</v>
      </c>
      <c r="E20" s="111">
        <v>45422</v>
      </c>
      <c r="F20" s="50">
        <v>1</v>
      </c>
      <c r="G20" s="226">
        <v>0.99997199999999997</v>
      </c>
      <c r="H20" s="114">
        <v>2</v>
      </c>
      <c r="I20" s="50" t="s">
        <v>3621</v>
      </c>
      <c r="J20" s="50" t="s">
        <v>3621</v>
      </c>
      <c r="K20" s="50" t="s">
        <v>3621</v>
      </c>
      <c r="L20" s="50" t="s">
        <v>3621</v>
      </c>
      <c r="M20" s="50" t="s">
        <v>3621</v>
      </c>
      <c r="N20" s="50" t="s">
        <v>3621</v>
      </c>
      <c r="O20" s="50" t="s">
        <v>3621</v>
      </c>
      <c r="P20" s="50" t="s">
        <v>3621</v>
      </c>
      <c r="Q20" s="50" t="s">
        <v>3621</v>
      </c>
      <c r="R20" s="50" t="s">
        <v>3621</v>
      </c>
      <c r="S20" s="50" t="s">
        <v>3621</v>
      </c>
      <c r="T20" s="50" t="s">
        <v>3621</v>
      </c>
      <c r="U20" s="50" t="s">
        <v>3621</v>
      </c>
      <c r="V20" s="50" t="s">
        <v>3621</v>
      </c>
      <c r="W20" s="50" t="s">
        <v>3621</v>
      </c>
      <c r="X20" s="50" t="s">
        <v>3621</v>
      </c>
      <c r="Y20" s="50" t="s">
        <v>3621</v>
      </c>
      <c r="Z20" s="50" t="s">
        <v>3621</v>
      </c>
      <c r="AA20" s="50" t="s">
        <v>3621</v>
      </c>
      <c r="AB20" s="50" t="s">
        <v>3621</v>
      </c>
      <c r="AC20" s="50" t="s">
        <v>3621</v>
      </c>
      <c r="AD20" s="50" t="s">
        <v>3621</v>
      </c>
      <c r="AE20" s="50" t="s">
        <v>3621</v>
      </c>
      <c r="AF20" s="50" t="s">
        <v>3621</v>
      </c>
      <c r="AG20" s="50" t="s">
        <v>3621</v>
      </c>
      <c r="AH20" s="50" t="s">
        <v>3621</v>
      </c>
      <c r="AI20" s="50" t="s">
        <v>3621</v>
      </c>
      <c r="AJ20" s="50" t="s">
        <v>3621</v>
      </c>
      <c r="AK20" s="50" t="s">
        <v>3621</v>
      </c>
      <c r="AL20" s="50" t="s">
        <v>3621</v>
      </c>
      <c r="AM20" s="50" t="s">
        <v>3621</v>
      </c>
      <c r="AN20" s="50" t="s">
        <v>3621</v>
      </c>
    </row>
    <row r="21" spans="2:42" s="109" customFormat="1" x14ac:dyDescent="0.35">
      <c r="B21" s="50" t="s">
        <v>3604</v>
      </c>
      <c r="C21" s="50">
        <v>19</v>
      </c>
      <c r="D21" s="50" t="s">
        <v>3726</v>
      </c>
      <c r="E21" s="111">
        <v>45422</v>
      </c>
      <c r="F21" s="50">
        <v>1</v>
      </c>
      <c r="G21" s="209" cm="1">
        <f t="array" ref="G21">SUMPRODUCT(--(ISNUMBER((SEARCH(I27:AN27,I21:AN21)))))/COUNTA(I21:AN21)</f>
        <v>0.65625</v>
      </c>
      <c r="H21" s="50" t="s">
        <v>3630</v>
      </c>
      <c r="I21" s="50" t="s">
        <v>3655</v>
      </c>
      <c r="J21" s="50" t="s">
        <v>3655</v>
      </c>
      <c r="K21" s="50" t="s">
        <v>3655</v>
      </c>
      <c r="L21" s="50" t="s">
        <v>3655</v>
      </c>
      <c r="M21" s="50" t="s">
        <v>3655</v>
      </c>
      <c r="N21" s="50" t="s">
        <v>3655</v>
      </c>
      <c r="O21" s="50" t="s">
        <v>3655</v>
      </c>
      <c r="P21" s="50" t="s">
        <v>3655</v>
      </c>
      <c r="Q21" s="50" t="s">
        <v>3655</v>
      </c>
      <c r="R21" s="50" t="s">
        <v>3655</v>
      </c>
      <c r="S21" s="50" t="s">
        <v>3655</v>
      </c>
      <c r="T21" s="50" t="s">
        <v>3655</v>
      </c>
      <c r="U21" s="50" t="s">
        <v>3655</v>
      </c>
      <c r="V21" s="50" t="s">
        <v>3656</v>
      </c>
      <c r="W21" s="50" t="s">
        <v>3656</v>
      </c>
      <c r="X21" s="50" t="s">
        <v>3656</v>
      </c>
      <c r="Y21" s="50" t="s">
        <v>3656</v>
      </c>
      <c r="Z21" s="50" t="s">
        <v>3656</v>
      </c>
      <c r="AA21" s="50" t="s">
        <v>3655</v>
      </c>
      <c r="AB21" s="50" t="s">
        <v>3655</v>
      </c>
      <c r="AC21" s="50" t="s">
        <v>3656</v>
      </c>
      <c r="AD21" s="50" t="s">
        <v>3656</v>
      </c>
      <c r="AE21" s="50" t="s">
        <v>3655</v>
      </c>
      <c r="AF21" s="50" t="s">
        <v>3655</v>
      </c>
      <c r="AG21" s="50" t="s">
        <v>3656</v>
      </c>
      <c r="AH21" s="50" t="s">
        <v>3656</v>
      </c>
      <c r="AI21" s="50" t="s">
        <v>3656</v>
      </c>
      <c r="AJ21" s="50" t="s">
        <v>3655</v>
      </c>
      <c r="AK21" s="50" t="s">
        <v>3655</v>
      </c>
      <c r="AL21" s="50" t="s">
        <v>3655</v>
      </c>
      <c r="AM21" s="50" t="s">
        <v>3655</v>
      </c>
      <c r="AN21" s="50" t="s">
        <v>3657</v>
      </c>
    </row>
    <row r="22" spans="2:42" s="109" customFormat="1" x14ac:dyDescent="0.35">
      <c r="B22" s="113" t="s">
        <v>3607</v>
      </c>
      <c r="C22" s="50">
        <v>20</v>
      </c>
      <c r="D22" s="50"/>
      <c r="E22" s="111"/>
      <c r="F22" s="111"/>
      <c r="G22" s="209" cm="1">
        <f t="array" ref="G22">SUM(IF(I2:AN2 = I26:AN26, 1, 0))/ COUNTA(I2:AN2)</f>
        <v>0.5</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2" s="109" customFormat="1" x14ac:dyDescent="0.35">
      <c r="B23" s="50" t="s">
        <v>3610</v>
      </c>
      <c r="C23" s="50">
        <v>21</v>
      </c>
      <c r="D23" s="50"/>
      <c r="E23" s="111"/>
      <c r="F23" s="111"/>
      <c r="G23" s="50" cm="1">
        <f t="array" ref="G23">SUM(IF(IF(G3:G22="null",1,G3:G22)=1,1,0))/COUNT(IF(G3:G22="null",1,0))</f>
        <v>0.7</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2" x14ac:dyDescent="0.35">
      <c r="B24" s="50"/>
      <c r="C24" s="50"/>
      <c r="D24" s="50"/>
      <c r="E24" s="111"/>
      <c r="F24" s="111"/>
      <c r="G24" s="50"/>
      <c r="H24" s="50"/>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row>
    <row r="25" spans="2:42" x14ac:dyDescent="0.35">
      <c r="B25" s="156" t="s">
        <v>3727</v>
      </c>
      <c r="C25" s="158"/>
      <c r="D25" s="158"/>
      <c r="E25" s="158"/>
      <c r="F25" s="158"/>
      <c r="G25" s="158"/>
      <c r="H25" s="158"/>
    </row>
    <row r="26" spans="2:42" x14ac:dyDescent="0.35">
      <c r="B26" s="149" t="s">
        <v>3613</v>
      </c>
      <c r="C26" s="145" t="s">
        <v>3614</v>
      </c>
      <c r="D26" s="145" t="s">
        <v>3615</v>
      </c>
      <c r="E26" s="145" t="s">
        <v>3616</v>
      </c>
      <c r="F26" s="145" t="s">
        <v>3617</v>
      </c>
      <c r="G26" s="145" t="s">
        <v>3618</v>
      </c>
      <c r="H26" s="145" t="s">
        <v>3619</v>
      </c>
      <c r="I26" s="164" t="str" cm="1">
        <f t="array" ref="I26:AP26">TRANSPOSE(_xlfn.SORTBY(_xlfn._xlws.FILTER(Table3[NOME FÍSICO CAMPO],Table3[NOME FÍSICO TABELA]="bills_promissory_notes_contract"), _xlfn._xlws.FILTER(Table3[ORDEM], Table3[NOME FÍSICO TABELA]="bills_promissory_notes_contract"), 1))</f>
        <v>bank_id</v>
      </c>
      <c r="J26" s="164" t="str">
        <v>contract_id</v>
      </c>
      <c r="K26" s="164" t="str">
        <v>product_family_id</v>
      </c>
      <c r="L26" s="164" t="str">
        <v>product_id</v>
      </c>
      <c r="M26" s="164" t="str">
        <v>subproduct_id</v>
      </c>
      <c r="N26" s="164" t="str">
        <v>main_current_account_bank_id</v>
      </c>
      <c r="O26" s="164" t="str">
        <v>main_current_account_contract_id</v>
      </c>
      <c r="P26" s="164" t="str">
        <v>process_bank_id</v>
      </c>
      <c r="Q26" s="164" t="str">
        <v>process_id</v>
      </c>
      <c r="R26" s="164" t="str">
        <v>opening_date</v>
      </c>
      <c r="S26" s="164" t="str">
        <v>current_maturity_date</v>
      </c>
      <c r="T26" s="164" t="str">
        <v>currency_code</v>
      </c>
      <c r="U26" s="164" t="str">
        <v>litigation_indicator</v>
      </c>
      <c r="V26" s="164" t="str">
        <v>initial_authorized_amount</v>
      </c>
      <c r="W26" s="164" t="str">
        <v>current_authorized_amount</v>
      </c>
      <c r="X26" s="164" t="str">
        <v>cur_outsng_principal_balance</v>
      </c>
      <c r="Y26" s="164" t="str">
        <v>current_overdue_principal_bal</v>
      </c>
      <c r="Z26" s="164" t="str">
        <v>cur_debt_litigation_princip_bal</v>
      </c>
      <c r="AA26" s="164" t="str">
        <v>service_amount</v>
      </c>
      <c r="AB26" s="164" t="str">
        <v>service_amount_lcl_currcy</v>
      </c>
      <c r="AC26" s="164" t="str">
        <v>next_regular_amort_due_date</v>
      </c>
      <c r="AD26" s="164" t="str">
        <v>last_regular_amort_pay_date</v>
      </c>
      <c r="AE26" s="164" t="str">
        <v>current_bill_princip_amount</v>
      </c>
      <c r="AF26" s="164" t="str">
        <v>cur_bill_litig_princip_amt</v>
      </c>
      <c r="AG26" s="164" t="str">
        <v>current_active_rate_type_code</v>
      </c>
      <c r="AH26" s="164" t="str">
        <v>current_active_indexing</v>
      </c>
      <c r="AI26" s="164" t="str">
        <v>current_active_index_rate</v>
      </c>
      <c r="AJ26" s="164" t="str">
        <v>current_active_spread</v>
      </c>
      <c r="AK26" s="164" t="str">
        <v>current_active_interest_rate</v>
      </c>
      <c r="AL26" s="164" t="str">
        <v>contract_status_code</v>
      </c>
      <c r="AM26" s="164" t="str">
        <v>contract_opening_channel_code</v>
      </c>
      <c r="AN26" s="164" t="str">
        <v>source_code</v>
      </c>
      <c r="AO26" t="str">
        <v>data_date_part</v>
      </c>
      <c r="AP26" t="str">
        <v>data_timestamp_part</v>
      </c>
    </row>
    <row r="27" spans="2:42" x14ac:dyDescent="0.35">
      <c r="B27" s="133" t="s">
        <v>3658</v>
      </c>
      <c r="C27" s="129">
        <v>21</v>
      </c>
      <c r="D27" s="135" t="s">
        <v>3659</v>
      </c>
      <c r="E27" s="134" t="s">
        <v>3660</v>
      </c>
      <c r="F27" s="134" t="s">
        <v>372</v>
      </c>
      <c r="G27" s="134" t="s">
        <v>372</v>
      </c>
      <c r="H27" s="134" t="s">
        <v>372</v>
      </c>
      <c r="I27" s="134" t="str" cm="1">
        <f t="array" ref="I27:AP28">TRANSPOSE(_xlfn.SORTBY(_xlfn._xlws.FILTER(IF(Table3[FORMATO]:Table3[COMP_ CAMPO]&lt;&gt;"",Table3[FORMATO]:Table3[COMP_ CAMPO],9999999),Table3[NOME FÍSICO TABELA]="bills_promissory_notes_contract"), _xlfn._xlws.FILTER(Table3[ORDEM], Table3[NOME FÍSICO TABELA]="bills_promissory_notes_contract"), 1))</f>
        <v>STRING</v>
      </c>
      <c r="J27" s="134" t="str">
        <v>STRING</v>
      </c>
      <c r="K27" s="134" t="str">
        <v>STRING</v>
      </c>
      <c r="L27" s="134" t="str">
        <v>STRING</v>
      </c>
      <c r="M27" s="134" t="str">
        <v>STRING</v>
      </c>
      <c r="N27" s="134" t="str">
        <v>STRING</v>
      </c>
      <c r="O27" s="134" t="str">
        <v>STRING</v>
      </c>
      <c r="P27" s="134" t="str">
        <v>STRING</v>
      </c>
      <c r="Q27" s="134" t="str">
        <v>STRING</v>
      </c>
      <c r="R27" s="134" t="str">
        <v>STRING</v>
      </c>
      <c r="S27" s="134" t="str">
        <v>STRING</v>
      </c>
      <c r="T27" s="134" t="str">
        <v>STRING</v>
      </c>
      <c r="U27" s="134" t="str">
        <v>STRING</v>
      </c>
      <c r="V27" s="134" t="str">
        <v>DECIMAL</v>
      </c>
      <c r="W27" s="134" t="str">
        <v>DECIMAL</v>
      </c>
      <c r="X27" s="134" t="str">
        <v>DECIMAL</v>
      </c>
      <c r="Y27" s="134" t="str">
        <v>DECIMAL</v>
      </c>
      <c r="Z27" s="134" t="str">
        <v>DECIMAL</v>
      </c>
      <c r="AA27" s="134" t="str">
        <v>DECIMAL</v>
      </c>
      <c r="AB27" s="134" t="str">
        <v>DECIMAL</v>
      </c>
      <c r="AC27" s="134" t="str">
        <v>STRING</v>
      </c>
      <c r="AD27" s="134" t="str">
        <v>STRING</v>
      </c>
      <c r="AE27" s="134" t="str">
        <v>DECIMAL</v>
      </c>
      <c r="AF27" s="134" t="str">
        <v>DECIMAL</v>
      </c>
      <c r="AG27" s="134" t="str">
        <v>STRING</v>
      </c>
      <c r="AH27" s="134" t="str">
        <v>STRING</v>
      </c>
      <c r="AI27" s="134" t="str">
        <v>DECIMAL</v>
      </c>
      <c r="AJ27" s="134" t="str">
        <v>DECIMAL</v>
      </c>
      <c r="AK27" s="134" t="str">
        <v>DECIMAL</v>
      </c>
      <c r="AL27" s="134" t="str">
        <v>STRING</v>
      </c>
      <c r="AM27" s="134" t="str">
        <v>STRING</v>
      </c>
      <c r="AN27" s="134" t="str">
        <v>STRING</v>
      </c>
      <c r="AO27" t="str">
        <v>STRING</v>
      </c>
      <c r="AP27" t="str">
        <v>TIMESTAMP</v>
      </c>
    </row>
    <row r="28" spans="2:42" x14ac:dyDescent="0.35">
      <c r="B28" s="137" t="s">
        <v>3661</v>
      </c>
      <c r="C28" s="129">
        <v>7</v>
      </c>
      <c r="D28" s="130" t="s">
        <v>3659</v>
      </c>
      <c r="E28" s="129" t="s">
        <v>3660</v>
      </c>
      <c r="F28" s="159" t="s">
        <v>372</v>
      </c>
      <c r="G28" s="159" t="s">
        <v>372</v>
      </c>
      <c r="H28" s="159" t="s">
        <v>372</v>
      </c>
      <c r="I28" s="159">
        <v>4</v>
      </c>
      <c r="J28" s="159">
        <v>30</v>
      </c>
      <c r="K28" s="159">
        <v>4</v>
      </c>
      <c r="L28" s="159">
        <v>4</v>
      </c>
      <c r="M28" s="159">
        <v>4</v>
      </c>
      <c r="N28" s="159">
        <v>4</v>
      </c>
      <c r="O28" s="159">
        <v>30</v>
      </c>
      <c r="P28" s="159">
        <v>4</v>
      </c>
      <c r="Q28" s="159">
        <v>15</v>
      </c>
      <c r="R28" s="159">
        <v>10</v>
      </c>
      <c r="S28" s="159">
        <v>10</v>
      </c>
      <c r="T28" s="159">
        <v>4</v>
      </c>
      <c r="U28" s="159">
        <v>4</v>
      </c>
      <c r="V28" s="159">
        <v>23</v>
      </c>
      <c r="W28" s="159">
        <v>23</v>
      </c>
      <c r="X28" s="159">
        <v>23</v>
      </c>
      <c r="Y28" s="159">
        <v>23</v>
      </c>
      <c r="Z28" s="159">
        <v>23</v>
      </c>
      <c r="AA28" s="159">
        <v>23</v>
      </c>
      <c r="AB28" s="159">
        <v>23</v>
      </c>
      <c r="AC28" s="159">
        <v>10</v>
      </c>
      <c r="AD28" s="159">
        <v>10</v>
      </c>
      <c r="AE28" s="159">
        <v>23</v>
      </c>
      <c r="AF28" s="159">
        <v>23</v>
      </c>
      <c r="AG28" s="159">
        <v>3</v>
      </c>
      <c r="AH28" s="159">
        <v>3</v>
      </c>
      <c r="AI28" s="159">
        <v>23</v>
      </c>
      <c r="AJ28" s="159">
        <v>23</v>
      </c>
      <c r="AK28" s="159">
        <v>23</v>
      </c>
      <c r="AL28" s="159">
        <v>4</v>
      </c>
      <c r="AM28" s="159">
        <v>4</v>
      </c>
      <c r="AN28" s="159">
        <v>2</v>
      </c>
      <c r="AO28" s="50">
        <v>10</v>
      </c>
      <c r="AP28">
        <v>23</v>
      </c>
    </row>
    <row r="29" spans="2:42" x14ac:dyDescent="0.35">
      <c r="B29" s="50"/>
      <c r="C29" s="50"/>
      <c r="D29" s="112"/>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row>
    <row r="30" spans="2:42" x14ac:dyDescent="0.35">
      <c r="B30" s="156" t="s">
        <v>3662</v>
      </c>
    </row>
    <row r="31" spans="2:42" x14ac:dyDescent="0.35">
      <c r="B31" s="150" t="s">
        <v>3663</v>
      </c>
      <c r="C31" s="150" t="s">
        <v>3664</v>
      </c>
      <c r="D31" s="151" t="s">
        <v>3665</v>
      </c>
      <c r="E31" s="150" t="s">
        <v>3666</v>
      </c>
      <c r="F31" s="150" t="s">
        <v>3667</v>
      </c>
    </row>
    <row r="32" spans="2:42" ht="29" x14ac:dyDescent="0.35">
      <c r="B32" s="127" t="s">
        <v>3728</v>
      </c>
      <c r="C32" s="131" t="s">
        <v>756</v>
      </c>
      <c r="D32" s="53" t="s">
        <v>3729</v>
      </c>
      <c r="E32" s="162" t="s">
        <v>3730</v>
      </c>
      <c r="F32" s="152" t="s">
        <v>3674</v>
      </c>
    </row>
    <row r="33" spans="2:6" ht="29" x14ac:dyDescent="0.35">
      <c r="B33" s="127" t="s">
        <v>3728</v>
      </c>
      <c r="C33" s="131" t="s">
        <v>766</v>
      </c>
      <c r="D33" s="53" t="s">
        <v>3731</v>
      </c>
      <c r="E33" s="162" t="s">
        <v>3730</v>
      </c>
      <c r="F33" s="152" t="s">
        <v>3674</v>
      </c>
    </row>
    <row r="34" spans="2:6" ht="29" x14ac:dyDescent="0.35">
      <c r="B34" s="127" t="s">
        <v>3728</v>
      </c>
      <c r="C34" s="131" t="s">
        <v>776</v>
      </c>
      <c r="D34" s="53" t="s">
        <v>3731</v>
      </c>
      <c r="E34" s="162" t="s">
        <v>3730</v>
      </c>
      <c r="F34" s="152" t="s">
        <v>3674</v>
      </c>
    </row>
    <row r="35" spans="2:6" ht="72.5" x14ac:dyDescent="0.35">
      <c r="B35" s="127" t="s">
        <v>3728</v>
      </c>
      <c r="C35" s="131" t="s">
        <v>3687</v>
      </c>
      <c r="D35" s="53" t="s">
        <v>3732</v>
      </c>
      <c r="E35" s="162" t="s">
        <v>3733</v>
      </c>
      <c r="F35" s="152" t="s">
        <v>3671</v>
      </c>
    </row>
    <row r="36" spans="2:6" ht="29" x14ac:dyDescent="0.35">
      <c r="B36" s="127" t="s">
        <v>3678</v>
      </c>
      <c r="C36" s="131" t="s">
        <v>3679</v>
      </c>
      <c r="D36" s="53" t="s">
        <v>3734</v>
      </c>
      <c r="E36" s="162" t="s">
        <v>3735</v>
      </c>
      <c r="F36" s="152" t="s">
        <v>3674</v>
      </c>
    </row>
    <row r="37" spans="2:6" ht="29" x14ac:dyDescent="0.35">
      <c r="B37" s="153" t="s">
        <v>3736</v>
      </c>
      <c r="C37" s="154" t="s">
        <v>3679</v>
      </c>
      <c r="D37" s="155" t="s">
        <v>3737</v>
      </c>
      <c r="E37" s="163" t="s">
        <v>3685</v>
      </c>
      <c r="F37" s="152" t="s">
        <v>3674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B1:AJ51"/>
  <sheetViews>
    <sheetView showGridLines="0" topLeftCell="C40" workbookViewId="0">
      <selection activeCell="D46" sqref="D46"/>
    </sheetView>
  </sheetViews>
  <sheetFormatPr defaultRowHeight="14.5" x14ac:dyDescent="0.35"/>
  <cols>
    <col min="2" max="2" width="30.7265625" bestFit="1" customWidth="1"/>
    <col min="3" max="3" width="32.7265625" bestFit="1" customWidth="1"/>
    <col min="4" max="4" width="98.81640625" customWidth="1"/>
    <col min="5" max="5" width="30.453125" bestFit="1" customWidth="1"/>
    <col min="6" max="6" width="25.26953125" customWidth="1"/>
    <col min="7" max="7" width="9.81640625" bestFit="1" customWidth="1"/>
    <col min="8" max="8" width="17.7265625" bestFit="1" customWidth="1"/>
    <col min="9" max="9" width="11.81640625" bestFit="1" customWidth="1"/>
    <col min="10" max="10" width="30.7265625" bestFit="1" customWidth="1"/>
    <col min="11" max="11" width="23.81640625" bestFit="1" customWidth="1"/>
    <col min="12" max="12" width="22.7265625" bestFit="1" customWidth="1"/>
    <col min="13" max="13" width="30" bestFit="1" customWidth="1"/>
    <col min="14" max="14" width="30.7265625" bestFit="1" customWidth="1"/>
    <col min="15" max="15" width="35.54296875" bestFit="1" customWidth="1"/>
    <col min="16" max="17" width="30.7265625" bestFit="1" customWidth="1"/>
    <col min="18" max="18" width="19.453125" bestFit="1" customWidth="1"/>
    <col min="19" max="19" width="26.81640625" bestFit="1" customWidth="1"/>
    <col min="20" max="20" width="30.7265625" bestFit="1" customWidth="1"/>
    <col min="21" max="21" width="43.26953125" customWidth="1"/>
    <col min="22" max="25" width="30.7265625" bestFit="1" customWidth="1"/>
    <col min="26" max="26" width="24.54296875" bestFit="1" customWidth="1"/>
    <col min="27" max="27" width="30.7265625" bestFit="1" customWidth="1"/>
    <col min="28" max="28" width="28.81640625" bestFit="1" customWidth="1"/>
    <col min="29" max="29" width="26.81640625" bestFit="1" customWidth="1"/>
    <col min="30" max="30" width="30.7265625" bestFit="1" customWidth="1"/>
    <col min="31" max="31" width="25.1796875" bestFit="1" customWidth="1"/>
    <col min="32" max="32" width="45.7265625" bestFit="1" customWidth="1"/>
    <col min="33" max="33" width="33.54296875" customWidth="1"/>
    <col min="34" max="34" width="38.26953125" bestFit="1" customWidth="1"/>
    <col min="35" max="35" width="75.453125" bestFit="1" customWidth="1"/>
    <col min="36" max="36" width="26.81640625" bestFit="1" customWidth="1"/>
  </cols>
  <sheetData>
    <row r="1" spans="2:36" ht="27.75" customHeight="1" x14ac:dyDescent="0.35"/>
    <row r="2" spans="2:36" x14ac:dyDescent="0.35">
      <c r="B2" s="91" t="s">
        <v>3738</v>
      </c>
      <c r="C2" s="91" t="s">
        <v>3614</v>
      </c>
      <c r="D2" s="91" t="s">
        <v>3615</v>
      </c>
      <c r="E2" s="91" t="s">
        <v>3616</v>
      </c>
      <c r="F2" s="91" t="s">
        <v>3617</v>
      </c>
      <c r="G2" s="91" t="s">
        <v>3618</v>
      </c>
      <c r="H2" s="91" t="s">
        <v>3619</v>
      </c>
      <c r="I2" s="91" t="s">
        <v>121</v>
      </c>
      <c r="J2" s="91" t="s">
        <v>137</v>
      </c>
      <c r="K2" s="91" t="s">
        <v>149</v>
      </c>
      <c r="L2" s="91" t="s">
        <v>156</v>
      </c>
      <c r="M2" s="91" t="s">
        <v>168</v>
      </c>
      <c r="N2" s="91" t="s">
        <v>177</v>
      </c>
      <c r="O2" s="91" t="s">
        <v>188</v>
      </c>
      <c r="P2" s="91" t="s">
        <v>199</v>
      </c>
      <c r="Q2" s="91" t="s">
        <v>211</v>
      </c>
      <c r="R2" s="91" t="s">
        <v>223</v>
      </c>
      <c r="S2" s="91" t="s">
        <v>1605</v>
      </c>
      <c r="T2" s="91" t="s">
        <v>1611</v>
      </c>
      <c r="U2" s="91" t="s">
        <v>1618</v>
      </c>
      <c r="V2" s="91" t="s">
        <v>2172</v>
      </c>
      <c r="W2" s="91" t="s">
        <v>2176</v>
      </c>
      <c r="X2" s="91" t="s">
        <v>2179</v>
      </c>
      <c r="Y2" s="91" t="s">
        <v>2183</v>
      </c>
      <c r="Z2" s="91" t="s">
        <v>2186</v>
      </c>
      <c r="AA2" s="91" t="s">
        <v>2190</v>
      </c>
      <c r="AB2" s="91" t="s">
        <v>2194</v>
      </c>
      <c r="AC2" s="91" t="s">
        <v>2197</v>
      </c>
      <c r="AD2" s="91" t="s">
        <v>2201</v>
      </c>
      <c r="AE2" s="91" t="s">
        <v>2204</v>
      </c>
      <c r="AF2" s="91" t="s">
        <v>294</v>
      </c>
      <c r="AG2" s="91" t="s">
        <v>305</v>
      </c>
      <c r="AH2" s="91" t="s">
        <v>318</v>
      </c>
      <c r="AI2" s="91" t="s">
        <v>327</v>
      </c>
      <c r="AJ2" s="91" t="s">
        <v>334</v>
      </c>
    </row>
    <row r="3" spans="2:36" x14ac:dyDescent="0.35">
      <c r="B3" s="50" t="s">
        <v>3567</v>
      </c>
      <c r="C3" s="50">
        <v>1</v>
      </c>
      <c r="D3" s="50" t="s">
        <v>3739</v>
      </c>
      <c r="E3" s="111">
        <v>45457</v>
      </c>
      <c r="F3" s="50">
        <v>1</v>
      </c>
      <c r="G3" s="50">
        <v>1</v>
      </c>
      <c r="H3" s="207" t="s">
        <v>3740</v>
      </c>
      <c r="I3" s="50" t="s">
        <v>3621</v>
      </c>
      <c r="J3" s="50" t="s">
        <v>3621</v>
      </c>
      <c r="K3" s="50" t="s">
        <v>3621</v>
      </c>
      <c r="L3" s="50" t="s">
        <v>3621</v>
      </c>
      <c r="M3" s="50" t="s">
        <v>3621</v>
      </c>
      <c r="N3" s="50" t="s">
        <v>3621</v>
      </c>
      <c r="O3" s="50" t="s">
        <v>3621</v>
      </c>
      <c r="P3" s="50" t="s">
        <v>3621</v>
      </c>
      <c r="Q3" s="50" t="s">
        <v>3621</v>
      </c>
      <c r="R3" s="50" t="s">
        <v>3621</v>
      </c>
      <c r="S3" s="50" t="s">
        <v>3621</v>
      </c>
      <c r="T3" s="50" t="s">
        <v>3621</v>
      </c>
      <c r="U3" s="50" t="s">
        <v>3621</v>
      </c>
      <c r="V3" s="50" t="s">
        <v>3621</v>
      </c>
      <c r="W3" s="50" t="s">
        <v>3621</v>
      </c>
      <c r="X3" s="50" t="s">
        <v>3621</v>
      </c>
      <c r="Y3" s="50" t="s">
        <v>3621</v>
      </c>
      <c r="Z3" s="50" t="s">
        <v>3621</v>
      </c>
      <c r="AA3" s="50" t="s">
        <v>3621</v>
      </c>
      <c r="AB3" s="50" t="s">
        <v>3621</v>
      </c>
      <c r="AC3" s="50" t="s">
        <v>3621</v>
      </c>
      <c r="AD3" s="50" t="s">
        <v>3621</v>
      </c>
      <c r="AE3" s="50" t="s">
        <v>3621</v>
      </c>
      <c r="AF3" s="50" t="s">
        <v>3621</v>
      </c>
      <c r="AG3" s="50" t="s">
        <v>3621</v>
      </c>
      <c r="AH3" s="50" t="s">
        <v>3621</v>
      </c>
      <c r="AI3" s="50" t="s">
        <v>3621</v>
      </c>
      <c r="AJ3" s="50" t="s">
        <v>3621</v>
      </c>
    </row>
    <row r="4" spans="2:36" x14ac:dyDescent="0.35">
      <c r="B4" s="50" t="s">
        <v>3569</v>
      </c>
      <c r="C4" s="50">
        <v>2</v>
      </c>
      <c r="D4" s="50" t="s">
        <v>3741</v>
      </c>
      <c r="E4" s="111">
        <v>45457</v>
      </c>
      <c r="F4" s="50">
        <v>1</v>
      </c>
      <c r="G4" s="50">
        <v>1</v>
      </c>
      <c r="H4" s="50" t="s">
        <v>3706</v>
      </c>
      <c r="I4" s="50" t="s">
        <v>3621</v>
      </c>
      <c r="J4" s="50" t="s">
        <v>3621</v>
      </c>
      <c r="K4" s="50" t="s">
        <v>3621</v>
      </c>
      <c r="L4" s="50" t="s">
        <v>3621</v>
      </c>
      <c r="M4" s="50" t="s">
        <v>3621</v>
      </c>
      <c r="N4" s="50" t="s">
        <v>3621</v>
      </c>
      <c r="O4" s="50" t="s">
        <v>3621</v>
      </c>
      <c r="P4" s="50" t="s">
        <v>3621</v>
      </c>
      <c r="Q4" s="50" t="s">
        <v>3621</v>
      </c>
      <c r="R4" s="50" t="s">
        <v>3621</v>
      </c>
      <c r="S4" s="50" t="s">
        <v>3621</v>
      </c>
      <c r="T4" s="50" t="s">
        <v>3621</v>
      </c>
      <c r="U4" s="50" t="s">
        <v>3621</v>
      </c>
      <c r="V4" s="50" t="s">
        <v>3621</v>
      </c>
      <c r="W4" s="50" t="s">
        <v>3621</v>
      </c>
      <c r="X4" s="50" t="s">
        <v>3621</v>
      </c>
      <c r="Y4" s="50" t="s">
        <v>3621</v>
      </c>
      <c r="Z4" s="50" t="s">
        <v>3621</v>
      </c>
      <c r="AA4" s="50" t="s">
        <v>3621</v>
      </c>
      <c r="AB4" s="50" t="s">
        <v>3621</v>
      </c>
      <c r="AC4" s="50" t="s">
        <v>3621</v>
      </c>
      <c r="AD4" s="50" t="s">
        <v>3621</v>
      </c>
      <c r="AE4" s="50" t="s">
        <v>3621</v>
      </c>
      <c r="AF4" s="50" t="s">
        <v>3621</v>
      </c>
      <c r="AG4" s="50" t="s">
        <v>3621</v>
      </c>
      <c r="AH4" s="50" t="s">
        <v>3621</v>
      </c>
      <c r="AI4" s="50" t="s">
        <v>3621</v>
      </c>
      <c r="AJ4" s="50" t="s">
        <v>3621</v>
      </c>
    </row>
    <row r="5" spans="2:36" x14ac:dyDescent="0.35">
      <c r="B5" s="50" t="s">
        <v>3571</v>
      </c>
      <c r="C5" s="50">
        <v>3</v>
      </c>
      <c r="D5" s="50" t="s">
        <v>3742</v>
      </c>
      <c r="E5" s="111">
        <v>45457</v>
      </c>
      <c r="F5" s="50">
        <v>1</v>
      </c>
      <c r="G5" s="50">
        <v>1</v>
      </c>
      <c r="H5" s="50" t="s">
        <v>3706</v>
      </c>
      <c r="I5" s="50">
        <v>0</v>
      </c>
      <c r="J5" s="50">
        <v>0</v>
      </c>
      <c r="K5" s="50" t="s">
        <v>3621</v>
      </c>
      <c r="L5" s="50" t="s">
        <v>3621</v>
      </c>
      <c r="M5" s="50" t="s">
        <v>3621</v>
      </c>
      <c r="N5" s="50" t="s">
        <v>3621</v>
      </c>
      <c r="O5" s="50" t="s">
        <v>3621</v>
      </c>
      <c r="P5" s="50" t="s">
        <v>3621</v>
      </c>
      <c r="Q5" s="50" t="s">
        <v>3621</v>
      </c>
      <c r="R5" s="50" t="s">
        <v>3621</v>
      </c>
      <c r="S5" s="50" t="s">
        <v>3621</v>
      </c>
      <c r="T5" s="50" t="s">
        <v>3621</v>
      </c>
      <c r="U5" s="50" t="s">
        <v>3621</v>
      </c>
      <c r="V5" s="50" t="s">
        <v>3621</v>
      </c>
      <c r="W5" s="50" t="s">
        <v>3621</v>
      </c>
      <c r="X5" s="50" t="s">
        <v>3621</v>
      </c>
      <c r="Y5" s="50" t="s">
        <v>3621</v>
      </c>
      <c r="Z5" s="50" t="s">
        <v>3621</v>
      </c>
      <c r="AA5" s="50" t="s">
        <v>3621</v>
      </c>
      <c r="AB5" s="50" t="s">
        <v>3621</v>
      </c>
      <c r="AC5" s="50" t="s">
        <v>3621</v>
      </c>
      <c r="AD5" s="50" t="s">
        <v>3621</v>
      </c>
      <c r="AE5" s="50" t="s">
        <v>3621</v>
      </c>
      <c r="AF5" s="50" t="s">
        <v>3621</v>
      </c>
      <c r="AG5" s="50" t="s">
        <v>3621</v>
      </c>
      <c r="AH5" s="50" t="s">
        <v>3621</v>
      </c>
      <c r="AI5" s="50">
        <v>0</v>
      </c>
      <c r="AJ5" s="50" t="s">
        <v>3621</v>
      </c>
    </row>
    <row r="6" spans="2:36" x14ac:dyDescent="0.35">
      <c r="B6" s="113" t="s">
        <v>3573</v>
      </c>
      <c r="C6" s="50">
        <v>4</v>
      </c>
      <c r="D6" s="50" t="s">
        <v>3624</v>
      </c>
      <c r="E6" s="111" t="s">
        <v>3621</v>
      </c>
      <c r="F6" s="50">
        <v>1</v>
      </c>
      <c r="G6" s="111" t="s">
        <v>3621</v>
      </c>
      <c r="H6" s="50"/>
      <c r="I6" s="50" t="s">
        <v>3621</v>
      </c>
      <c r="J6" s="50" t="s">
        <v>3621</v>
      </c>
      <c r="K6" s="50" t="s">
        <v>3621</v>
      </c>
      <c r="L6" s="50" t="s">
        <v>3621</v>
      </c>
      <c r="M6" s="50" t="s">
        <v>3621</v>
      </c>
      <c r="N6" s="50" t="s">
        <v>3621</v>
      </c>
      <c r="O6" s="50" t="s">
        <v>3621</v>
      </c>
      <c r="P6" s="204" t="s">
        <v>3621</v>
      </c>
      <c r="Q6" s="204" t="s">
        <v>3621</v>
      </c>
      <c r="R6" s="50" t="s">
        <v>3621</v>
      </c>
      <c r="S6" s="114" t="s">
        <v>3621</v>
      </c>
      <c r="T6" s="114" t="s">
        <v>3621</v>
      </c>
      <c r="U6" s="50" t="s">
        <v>3621</v>
      </c>
      <c r="V6" s="50" t="s">
        <v>3621</v>
      </c>
      <c r="W6" s="50" t="s">
        <v>3621</v>
      </c>
      <c r="X6" s="50" t="s">
        <v>3621</v>
      </c>
      <c r="Y6" s="50" t="s">
        <v>3621</v>
      </c>
      <c r="Z6" s="50" t="s">
        <v>3621</v>
      </c>
      <c r="AA6" s="50" t="s">
        <v>3621</v>
      </c>
      <c r="AB6" s="50" t="s">
        <v>3621</v>
      </c>
      <c r="AC6" s="50" t="s">
        <v>3621</v>
      </c>
      <c r="AD6" s="50" t="s">
        <v>3621</v>
      </c>
      <c r="AE6" s="50" t="s">
        <v>3621</v>
      </c>
      <c r="AF6" s="50" t="s">
        <v>3621</v>
      </c>
      <c r="AG6" s="50" t="s">
        <v>3621</v>
      </c>
      <c r="AH6" s="208" t="s">
        <v>3621</v>
      </c>
      <c r="AI6" s="50" t="s">
        <v>3621</v>
      </c>
      <c r="AJ6" s="50" t="s">
        <v>3621</v>
      </c>
    </row>
    <row r="7" spans="2:36" x14ac:dyDescent="0.35">
      <c r="B7" s="50" t="s">
        <v>3575</v>
      </c>
      <c r="C7" s="50">
        <v>5</v>
      </c>
      <c r="D7" s="50" t="s">
        <v>3624</v>
      </c>
      <c r="E7" s="111" t="s">
        <v>3621</v>
      </c>
      <c r="F7" s="50">
        <v>1</v>
      </c>
      <c r="G7" s="111" t="s">
        <v>3621</v>
      </c>
      <c r="H7" s="50"/>
      <c r="I7" s="50" t="s">
        <v>3621</v>
      </c>
      <c r="J7" s="50" t="s">
        <v>3621</v>
      </c>
      <c r="K7" s="50" t="s">
        <v>3621</v>
      </c>
      <c r="L7" s="50" t="s">
        <v>3621</v>
      </c>
      <c r="M7" s="50" t="s">
        <v>3621</v>
      </c>
      <c r="N7" s="50" t="s">
        <v>3621</v>
      </c>
      <c r="O7" s="50" t="s">
        <v>3621</v>
      </c>
      <c r="P7" s="204" t="s">
        <v>3621</v>
      </c>
      <c r="Q7" s="204" t="s">
        <v>3621</v>
      </c>
      <c r="R7" s="50" t="s">
        <v>3621</v>
      </c>
      <c r="S7" s="50" t="s">
        <v>3621</v>
      </c>
      <c r="T7" s="50" t="s">
        <v>3621</v>
      </c>
      <c r="U7" s="50" t="s">
        <v>3621</v>
      </c>
      <c r="V7" s="50" t="s">
        <v>3621</v>
      </c>
      <c r="W7" s="50" t="s">
        <v>3621</v>
      </c>
      <c r="X7" s="50" t="s">
        <v>3621</v>
      </c>
      <c r="Y7" s="50" t="s">
        <v>3621</v>
      </c>
      <c r="Z7" s="50" t="s">
        <v>3621</v>
      </c>
      <c r="AA7" s="50" t="s">
        <v>3621</v>
      </c>
      <c r="AB7" s="50" t="s">
        <v>3621</v>
      </c>
      <c r="AC7" s="50" t="s">
        <v>3621</v>
      </c>
      <c r="AD7" s="50" t="s">
        <v>3621</v>
      </c>
      <c r="AE7" s="50" t="s">
        <v>3621</v>
      </c>
      <c r="AF7" s="50" t="s">
        <v>3621</v>
      </c>
      <c r="AG7" s="50" t="s">
        <v>3621</v>
      </c>
      <c r="AH7" s="208" t="s">
        <v>3621</v>
      </c>
      <c r="AI7" s="50" t="s">
        <v>3621</v>
      </c>
      <c r="AJ7" s="50" t="s">
        <v>3621</v>
      </c>
    </row>
    <row r="8" spans="2:36" x14ac:dyDescent="0.35">
      <c r="B8" s="50" t="s">
        <v>3576</v>
      </c>
      <c r="C8" s="50">
        <v>6</v>
      </c>
      <c r="D8" s="50" t="s">
        <v>3743</v>
      </c>
      <c r="E8" s="111">
        <v>45457</v>
      </c>
      <c r="F8" s="50">
        <v>1</v>
      </c>
      <c r="G8" s="50" cm="1">
        <f t="array" ref="G8">SUMPRODUCT(--(I8:AJ8&gt;0))/COUNTA(I8:AJ8)</f>
        <v>1</v>
      </c>
      <c r="H8" s="50" t="s">
        <v>3706</v>
      </c>
      <c r="I8" s="50">
        <v>2</v>
      </c>
      <c r="J8" s="50">
        <v>30</v>
      </c>
      <c r="K8" s="50">
        <v>3</v>
      </c>
      <c r="L8" s="50">
        <v>3</v>
      </c>
      <c r="M8" s="50">
        <v>3</v>
      </c>
      <c r="N8" s="50">
        <v>2</v>
      </c>
      <c r="O8" s="50">
        <v>30</v>
      </c>
      <c r="P8" s="111">
        <v>10</v>
      </c>
      <c r="Q8" s="111">
        <v>10</v>
      </c>
      <c r="R8" s="50">
        <v>3</v>
      </c>
      <c r="S8" s="114">
        <v>8</v>
      </c>
      <c r="T8" s="50">
        <v>8</v>
      </c>
      <c r="U8" s="50">
        <v>8</v>
      </c>
      <c r="V8" s="50">
        <v>27</v>
      </c>
      <c r="W8" s="50">
        <v>24</v>
      </c>
      <c r="X8" s="50">
        <v>26</v>
      </c>
      <c r="Y8" s="50">
        <v>22</v>
      </c>
      <c r="Z8" s="50">
        <v>29</v>
      </c>
      <c r="AA8" s="50">
        <v>26</v>
      </c>
      <c r="AB8" s="50">
        <v>24</v>
      </c>
      <c r="AC8" s="50">
        <v>26</v>
      </c>
      <c r="AD8" s="50">
        <v>22</v>
      </c>
      <c r="AE8" s="50">
        <v>29</v>
      </c>
      <c r="AF8" s="50">
        <v>3</v>
      </c>
      <c r="AG8" s="50" t="s">
        <v>3744</v>
      </c>
      <c r="AH8" s="50">
        <v>2</v>
      </c>
      <c r="AI8" s="50">
        <v>10</v>
      </c>
      <c r="AJ8" s="50">
        <v>23</v>
      </c>
    </row>
    <row r="9" spans="2:36" x14ac:dyDescent="0.35">
      <c r="B9" s="50" t="s">
        <v>3579</v>
      </c>
      <c r="C9" s="50">
        <v>7</v>
      </c>
      <c r="D9" s="50" t="s">
        <v>3745</v>
      </c>
      <c r="E9" s="111">
        <v>45457</v>
      </c>
      <c r="F9" s="50">
        <v>1</v>
      </c>
      <c r="G9" s="50" cm="1">
        <f t="array" ref="G9">SUMPRODUCT(--(I9:AJ9&lt;=I29:AJ29))/COUNTA(I29:AJ29)</f>
        <v>0.6785714285714286</v>
      </c>
      <c r="H9" s="50" t="s">
        <v>3706</v>
      </c>
      <c r="I9" s="50">
        <v>2</v>
      </c>
      <c r="J9" s="50">
        <v>30</v>
      </c>
      <c r="K9" s="50">
        <v>3</v>
      </c>
      <c r="L9" s="50">
        <v>3</v>
      </c>
      <c r="M9" s="50">
        <v>3</v>
      </c>
      <c r="N9" s="50">
        <v>2</v>
      </c>
      <c r="O9" s="50">
        <v>30</v>
      </c>
      <c r="P9" s="50">
        <v>10</v>
      </c>
      <c r="Q9" s="50">
        <v>10</v>
      </c>
      <c r="R9" s="50">
        <v>3</v>
      </c>
      <c r="S9" s="50">
        <v>16</v>
      </c>
      <c r="T9" s="50">
        <v>14</v>
      </c>
      <c r="U9" s="50">
        <v>16</v>
      </c>
      <c r="V9" s="50">
        <v>27</v>
      </c>
      <c r="W9" s="50">
        <v>24</v>
      </c>
      <c r="X9" s="50">
        <v>26</v>
      </c>
      <c r="Y9" s="50">
        <v>22</v>
      </c>
      <c r="Z9" s="50">
        <v>29</v>
      </c>
      <c r="AA9" s="50">
        <v>26</v>
      </c>
      <c r="AB9" s="50">
        <v>24</v>
      </c>
      <c r="AC9" s="50">
        <v>26</v>
      </c>
      <c r="AD9" s="50">
        <v>22</v>
      </c>
      <c r="AE9" s="50">
        <v>29</v>
      </c>
      <c r="AF9" s="50">
        <v>3</v>
      </c>
      <c r="AG9" s="50" t="s">
        <v>3744</v>
      </c>
      <c r="AH9" s="50">
        <v>2</v>
      </c>
      <c r="AI9" s="50">
        <v>10</v>
      </c>
      <c r="AJ9" s="50">
        <v>23</v>
      </c>
    </row>
    <row r="10" spans="2:36" x14ac:dyDescent="0.35">
      <c r="B10" s="113" t="s">
        <v>3582</v>
      </c>
      <c r="C10" s="50">
        <v>8</v>
      </c>
      <c r="D10" s="50" t="s">
        <v>3746</v>
      </c>
      <c r="E10" s="111">
        <v>45457</v>
      </c>
      <c r="F10" s="50">
        <v>1</v>
      </c>
      <c r="G10" s="111" t="s">
        <v>3621</v>
      </c>
      <c r="H10" s="50" t="s">
        <v>3706</v>
      </c>
      <c r="I10" s="50">
        <v>31</v>
      </c>
      <c r="J10" s="50">
        <v>2.0734299999999999E+22</v>
      </c>
      <c r="K10" s="50" t="s">
        <v>3747</v>
      </c>
      <c r="L10" s="50">
        <v>20</v>
      </c>
      <c r="M10" s="50">
        <v>100</v>
      </c>
      <c r="N10" s="50">
        <v>31</v>
      </c>
      <c r="O10" s="111">
        <v>2.0734001E+22</v>
      </c>
      <c r="P10" s="111">
        <v>30288</v>
      </c>
      <c r="Q10" s="114" t="s">
        <v>3629</v>
      </c>
      <c r="R10" s="50">
        <v>124</v>
      </c>
      <c r="S10" s="111" t="s">
        <v>3748</v>
      </c>
      <c r="T10" s="111" t="s">
        <v>3630</v>
      </c>
      <c r="U10" s="114">
        <v>-998680190000</v>
      </c>
      <c r="V10" s="50" t="s">
        <v>2172</v>
      </c>
      <c r="W10" s="114" t="s">
        <v>2176</v>
      </c>
      <c r="X10" s="50" t="s">
        <v>2179</v>
      </c>
      <c r="Y10" s="50" t="s">
        <v>2183</v>
      </c>
      <c r="Z10" s="50" t="s">
        <v>2186</v>
      </c>
      <c r="AA10" s="50" t="s">
        <v>2190</v>
      </c>
      <c r="AB10" s="50" t="s">
        <v>2194</v>
      </c>
      <c r="AC10" s="111" t="s">
        <v>2197</v>
      </c>
      <c r="AD10" s="50" t="s">
        <v>2201</v>
      </c>
      <c r="AE10" s="50" t="s">
        <v>2204</v>
      </c>
      <c r="AF10" s="50" t="s">
        <v>3631</v>
      </c>
      <c r="AG10" s="50" t="s">
        <v>3744</v>
      </c>
      <c r="AH10" s="111" t="s">
        <v>3749</v>
      </c>
      <c r="AI10" s="111">
        <v>45457</v>
      </c>
      <c r="AJ10" s="50" t="s">
        <v>3750</v>
      </c>
    </row>
    <row r="11" spans="2:36" x14ac:dyDescent="0.35">
      <c r="B11" s="50" t="s">
        <v>3584</v>
      </c>
      <c r="C11" s="50">
        <v>9</v>
      </c>
      <c r="D11" s="50" t="s">
        <v>3751</v>
      </c>
      <c r="E11" s="111">
        <v>45457</v>
      </c>
      <c r="F11" s="50">
        <v>1</v>
      </c>
      <c r="G11" s="111" t="s">
        <v>3621</v>
      </c>
      <c r="H11" s="50" t="s">
        <v>3706</v>
      </c>
      <c r="I11" s="50">
        <v>31</v>
      </c>
      <c r="J11" s="50">
        <v>2.0734299999999999E+22</v>
      </c>
      <c r="K11" s="50" t="s">
        <v>3752</v>
      </c>
      <c r="L11" s="50">
        <v>20</v>
      </c>
      <c r="M11" s="50">
        <v>100</v>
      </c>
      <c r="N11" s="50">
        <v>31</v>
      </c>
      <c r="O11" s="111">
        <v>2.0734001E+22</v>
      </c>
      <c r="P11" s="111">
        <v>30288</v>
      </c>
      <c r="Q11" s="111" t="s">
        <v>3629</v>
      </c>
      <c r="R11" s="50">
        <v>124</v>
      </c>
      <c r="S11" s="111" t="s">
        <v>3753</v>
      </c>
      <c r="T11" s="111" t="s">
        <v>3706</v>
      </c>
      <c r="U11" s="50" t="s">
        <v>3754</v>
      </c>
      <c r="V11" s="50" t="s">
        <v>2172</v>
      </c>
      <c r="W11" s="50" t="s">
        <v>2176</v>
      </c>
      <c r="X11" s="50" t="s">
        <v>2179</v>
      </c>
      <c r="Y11" s="50" t="s">
        <v>2183</v>
      </c>
      <c r="Z11" s="50" t="s">
        <v>2186</v>
      </c>
      <c r="AA11" s="50" t="s">
        <v>2190</v>
      </c>
      <c r="AB11" s="50" t="s">
        <v>2194</v>
      </c>
      <c r="AC11" s="111" t="s">
        <v>2197</v>
      </c>
      <c r="AD11" s="50" t="s">
        <v>2201</v>
      </c>
      <c r="AE11" s="50" t="s">
        <v>2204</v>
      </c>
      <c r="AF11" s="50">
        <v>0</v>
      </c>
      <c r="AG11" s="50" t="s">
        <v>305</v>
      </c>
      <c r="AH11" s="111" t="s">
        <v>3749</v>
      </c>
      <c r="AI11" s="111">
        <v>45457</v>
      </c>
      <c r="AJ11" s="50" t="s">
        <v>3755</v>
      </c>
    </row>
    <row r="12" spans="2:36" x14ac:dyDescent="0.35">
      <c r="B12" s="50" t="s">
        <v>3586</v>
      </c>
      <c r="C12" s="50">
        <v>10</v>
      </c>
      <c r="D12" s="50" t="s">
        <v>3756</v>
      </c>
      <c r="E12" s="111">
        <v>45457</v>
      </c>
      <c r="F12" s="50">
        <v>1</v>
      </c>
      <c r="G12" s="111" t="s">
        <v>3621</v>
      </c>
      <c r="H12" s="50" t="s">
        <v>3706</v>
      </c>
      <c r="I12" s="50">
        <v>31</v>
      </c>
      <c r="J12" s="50">
        <v>2.3370179682002001E+29</v>
      </c>
      <c r="K12" s="50" t="s">
        <v>3747</v>
      </c>
      <c r="L12" s="50">
        <v>224</v>
      </c>
      <c r="M12" s="50" t="s">
        <v>3757</v>
      </c>
      <c r="N12" s="50">
        <v>31</v>
      </c>
      <c r="O12" s="204">
        <v>2.3950569509102E+29</v>
      </c>
      <c r="P12" s="204">
        <v>45457</v>
      </c>
      <c r="Q12" s="204" t="s">
        <v>3629</v>
      </c>
      <c r="R12" s="50">
        <v>978</v>
      </c>
      <c r="S12" s="204">
        <v>100424890300000</v>
      </c>
      <c r="T12" s="204">
        <v>3415494900000</v>
      </c>
      <c r="U12" s="114">
        <v>100424890300000</v>
      </c>
      <c r="V12" s="114" t="s">
        <v>2172</v>
      </c>
      <c r="W12" s="114" t="s">
        <v>2176</v>
      </c>
      <c r="X12" s="114" t="s">
        <v>2179</v>
      </c>
      <c r="Y12" s="114" t="s">
        <v>2183</v>
      </c>
      <c r="Z12" s="50" t="s">
        <v>2186</v>
      </c>
      <c r="AA12" s="50" t="s">
        <v>2190</v>
      </c>
      <c r="AB12" s="50" t="s">
        <v>2194</v>
      </c>
      <c r="AC12" s="204" t="s">
        <v>2197</v>
      </c>
      <c r="AD12" s="50" t="s">
        <v>2201</v>
      </c>
      <c r="AE12" s="50" t="s">
        <v>2204</v>
      </c>
      <c r="AF12" s="50" t="s">
        <v>3758</v>
      </c>
      <c r="AG12" s="50" t="s">
        <v>3744</v>
      </c>
      <c r="AH12" s="204" t="s">
        <v>3749</v>
      </c>
      <c r="AI12" s="111">
        <v>45457</v>
      </c>
      <c r="AJ12" s="50" t="s">
        <v>3750</v>
      </c>
    </row>
    <row r="13" spans="2:36" x14ac:dyDescent="0.35">
      <c r="B13" s="50" t="s">
        <v>3588</v>
      </c>
      <c r="C13" s="50">
        <v>11</v>
      </c>
      <c r="D13" s="50" t="s">
        <v>3759</v>
      </c>
      <c r="E13" s="111">
        <v>45457</v>
      </c>
      <c r="F13" s="50">
        <v>1</v>
      </c>
      <c r="G13" s="111" t="s">
        <v>3621</v>
      </c>
      <c r="H13" s="50" t="s">
        <v>3706</v>
      </c>
      <c r="I13" s="50">
        <v>31</v>
      </c>
      <c r="J13" s="50">
        <v>2.3370179682002001E+29</v>
      </c>
      <c r="K13" s="50" t="s">
        <v>3752</v>
      </c>
      <c r="L13" s="50">
        <v>224</v>
      </c>
      <c r="M13" s="50" t="s">
        <v>3757</v>
      </c>
      <c r="N13" s="50">
        <v>31</v>
      </c>
      <c r="O13" s="111">
        <v>2.3950569509102E+29</v>
      </c>
      <c r="P13" s="204">
        <v>45457</v>
      </c>
      <c r="Q13" s="204" t="s">
        <v>3629</v>
      </c>
      <c r="R13" s="50">
        <v>978</v>
      </c>
      <c r="S13" s="111" t="s">
        <v>3760</v>
      </c>
      <c r="T13" s="111" t="s">
        <v>3761</v>
      </c>
      <c r="U13" s="50" t="s">
        <v>3760</v>
      </c>
      <c r="V13" s="50" t="s">
        <v>2172</v>
      </c>
      <c r="W13" s="50" t="s">
        <v>2176</v>
      </c>
      <c r="X13" s="50" t="s">
        <v>2179</v>
      </c>
      <c r="Y13" s="50" t="s">
        <v>2183</v>
      </c>
      <c r="Z13" s="50" t="s">
        <v>2186</v>
      </c>
      <c r="AA13" s="50" t="s">
        <v>2190</v>
      </c>
      <c r="AB13" s="50" t="s">
        <v>2194</v>
      </c>
      <c r="AC13" s="111" t="s">
        <v>2197</v>
      </c>
      <c r="AD13" s="50" t="s">
        <v>2201</v>
      </c>
      <c r="AE13" s="50" t="s">
        <v>2204</v>
      </c>
      <c r="AF13" s="50">
        <v>5</v>
      </c>
      <c r="AG13" s="50" t="s">
        <v>305</v>
      </c>
      <c r="AH13" s="111" t="s">
        <v>3749</v>
      </c>
      <c r="AI13" s="111">
        <v>45457</v>
      </c>
      <c r="AJ13" s="50" t="s">
        <v>3762</v>
      </c>
    </row>
    <row r="14" spans="2:36" x14ac:dyDescent="0.35">
      <c r="B14" s="50" t="s">
        <v>3590</v>
      </c>
      <c r="C14" s="50">
        <v>12</v>
      </c>
      <c r="D14" s="50" t="s">
        <v>3763</v>
      </c>
      <c r="E14" s="111">
        <v>45457</v>
      </c>
      <c r="F14" s="50">
        <v>1</v>
      </c>
      <c r="G14" s="50">
        <v>0.93</v>
      </c>
      <c r="H14" s="50" t="s">
        <v>3706</v>
      </c>
      <c r="I14" s="50">
        <v>0</v>
      </c>
      <c r="J14" s="50">
        <v>0</v>
      </c>
      <c r="K14" s="50">
        <v>0</v>
      </c>
      <c r="L14" s="50">
        <v>0</v>
      </c>
      <c r="M14" s="50">
        <v>0</v>
      </c>
      <c r="N14" s="50">
        <v>0</v>
      </c>
      <c r="O14" s="50">
        <v>840046</v>
      </c>
      <c r="P14" s="50">
        <v>0</v>
      </c>
      <c r="Q14" s="50">
        <v>0</v>
      </c>
      <c r="R14" s="50">
        <v>0</v>
      </c>
      <c r="S14" s="50">
        <v>0</v>
      </c>
      <c r="T14" s="50">
        <v>0</v>
      </c>
      <c r="U14" s="50">
        <v>0</v>
      </c>
      <c r="V14" s="50">
        <v>0</v>
      </c>
      <c r="W14" s="50">
        <v>0</v>
      </c>
      <c r="X14" s="50">
        <v>0</v>
      </c>
      <c r="Y14" s="50">
        <v>0</v>
      </c>
      <c r="Z14" s="50">
        <v>0</v>
      </c>
      <c r="AA14" s="50">
        <v>0</v>
      </c>
      <c r="AB14" s="50">
        <v>0</v>
      </c>
      <c r="AC14" s="50">
        <v>0</v>
      </c>
      <c r="AD14" s="50">
        <v>0</v>
      </c>
      <c r="AE14" s="50">
        <v>0</v>
      </c>
      <c r="AF14" s="50">
        <v>0</v>
      </c>
      <c r="AG14" s="50">
        <v>1057898</v>
      </c>
      <c r="AH14" s="50">
        <v>0</v>
      </c>
      <c r="AI14" s="50">
        <v>0</v>
      </c>
      <c r="AJ14" s="50">
        <v>0</v>
      </c>
    </row>
    <row r="15" spans="2:36" x14ac:dyDescent="0.35">
      <c r="B15" s="50" t="s">
        <v>3592</v>
      </c>
      <c r="C15" s="50">
        <v>13</v>
      </c>
      <c r="D15" s="50" t="s">
        <v>3764</v>
      </c>
      <c r="E15" s="111">
        <v>45457</v>
      </c>
      <c r="F15" s="50">
        <v>1</v>
      </c>
      <c r="G15" s="50">
        <v>1</v>
      </c>
      <c r="H15" s="50" t="s">
        <v>3706</v>
      </c>
      <c r="I15" s="50" t="s">
        <v>3621</v>
      </c>
      <c r="J15" s="50" t="s">
        <v>3621</v>
      </c>
      <c r="K15" s="50" t="s">
        <v>3621</v>
      </c>
      <c r="L15" s="50" t="s">
        <v>3621</v>
      </c>
      <c r="M15" s="50" t="s">
        <v>3621</v>
      </c>
      <c r="N15" s="50" t="s">
        <v>3621</v>
      </c>
      <c r="O15" s="113" t="s">
        <v>3621</v>
      </c>
      <c r="P15" s="113">
        <v>0</v>
      </c>
      <c r="Q15" s="113">
        <v>0</v>
      </c>
      <c r="R15" s="50" t="s">
        <v>3621</v>
      </c>
      <c r="S15" s="50" t="s">
        <v>3621</v>
      </c>
      <c r="T15" s="113" t="s">
        <v>3621</v>
      </c>
      <c r="U15" s="50" t="s">
        <v>3621</v>
      </c>
      <c r="V15" s="50" t="s">
        <v>3621</v>
      </c>
      <c r="W15" s="50" t="s">
        <v>3621</v>
      </c>
      <c r="X15" s="50" t="s">
        <v>3621</v>
      </c>
      <c r="Y15" s="50" t="s">
        <v>3621</v>
      </c>
      <c r="Z15" s="50" t="s">
        <v>3621</v>
      </c>
      <c r="AA15" s="50" t="s">
        <v>3621</v>
      </c>
      <c r="AB15" s="50" t="s">
        <v>3621</v>
      </c>
      <c r="AC15" s="50" t="s">
        <v>3621</v>
      </c>
      <c r="AD15" s="50" t="s">
        <v>3621</v>
      </c>
      <c r="AE15" s="50" t="s">
        <v>3621</v>
      </c>
      <c r="AF15" s="50" t="s">
        <v>3621</v>
      </c>
      <c r="AG15" s="50" t="s">
        <v>3621</v>
      </c>
      <c r="AH15" s="50" t="s">
        <v>3621</v>
      </c>
      <c r="AI15" s="50" t="s">
        <v>3621</v>
      </c>
      <c r="AJ15" s="50" t="s">
        <v>3621</v>
      </c>
    </row>
    <row r="16" spans="2:36" x14ac:dyDescent="0.35">
      <c r="B16" s="50" t="s">
        <v>3594</v>
      </c>
      <c r="C16" s="50">
        <v>14</v>
      </c>
      <c r="D16" s="50" t="s">
        <v>3765</v>
      </c>
      <c r="E16" s="111">
        <v>45457</v>
      </c>
      <c r="F16" s="50">
        <v>1</v>
      </c>
      <c r="G16" s="50">
        <v>1</v>
      </c>
      <c r="H16" s="50" t="s">
        <v>3706</v>
      </c>
      <c r="I16" s="50" t="s">
        <v>3621</v>
      </c>
      <c r="J16" s="50" t="s">
        <v>3621</v>
      </c>
      <c r="K16" s="50" t="s">
        <v>3621</v>
      </c>
      <c r="L16" s="50" t="s">
        <v>3621</v>
      </c>
      <c r="M16" s="50" t="s">
        <v>3621</v>
      </c>
      <c r="N16" s="50" t="s">
        <v>3621</v>
      </c>
      <c r="O16" s="50" t="s">
        <v>3621</v>
      </c>
      <c r="P16" s="50" t="s">
        <v>3621</v>
      </c>
      <c r="Q16" s="50" t="s">
        <v>3621</v>
      </c>
      <c r="R16" s="50">
        <v>0</v>
      </c>
      <c r="S16" s="113" t="s">
        <v>3621</v>
      </c>
      <c r="T16" s="50" t="s">
        <v>3621</v>
      </c>
      <c r="U16" s="50" t="s">
        <v>3621</v>
      </c>
      <c r="V16" s="50">
        <v>0</v>
      </c>
      <c r="W16" s="50" t="s">
        <v>3621</v>
      </c>
      <c r="X16" s="50" t="s">
        <v>3621</v>
      </c>
      <c r="Y16" s="50" t="s">
        <v>3621</v>
      </c>
      <c r="Z16" s="50" t="s">
        <v>3621</v>
      </c>
      <c r="AA16" s="50">
        <v>0</v>
      </c>
      <c r="AB16" s="50" t="s">
        <v>3621</v>
      </c>
      <c r="AC16" s="50" t="s">
        <v>3621</v>
      </c>
      <c r="AD16" s="50" t="s">
        <v>3621</v>
      </c>
      <c r="AE16" s="50" t="s">
        <v>3621</v>
      </c>
      <c r="AF16" s="50">
        <v>0</v>
      </c>
      <c r="AG16" s="50">
        <v>0</v>
      </c>
      <c r="AH16" s="50">
        <v>0</v>
      </c>
      <c r="AI16" s="50" t="s">
        <v>3621</v>
      </c>
      <c r="AJ16" s="50" t="s">
        <v>3621</v>
      </c>
    </row>
    <row r="17" spans="2:36" x14ac:dyDescent="0.35">
      <c r="B17" s="50" t="s">
        <v>3596</v>
      </c>
      <c r="C17" s="50">
        <v>15</v>
      </c>
      <c r="D17" s="50" t="s">
        <v>3766</v>
      </c>
      <c r="E17" s="111">
        <v>45457</v>
      </c>
      <c r="F17" s="50">
        <v>1</v>
      </c>
      <c r="G17" s="50">
        <v>1</v>
      </c>
      <c r="H17" s="198" t="s">
        <v>3706</v>
      </c>
      <c r="I17" s="50" t="s">
        <v>3621</v>
      </c>
      <c r="J17" s="50" t="s">
        <v>3621</v>
      </c>
      <c r="K17" s="50" t="s">
        <v>3621</v>
      </c>
      <c r="L17" s="50" t="s">
        <v>3621</v>
      </c>
      <c r="M17" s="50" t="s">
        <v>3621</v>
      </c>
      <c r="N17" s="50" t="s">
        <v>3621</v>
      </c>
      <c r="O17" s="50" t="s">
        <v>3621</v>
      </c>
      <c r="P17" s="50" t="s">
        <v>3621</v>
      </c>
      <c r="Q17" s="50" t="s">
        <v>3621</v>
      </c>
      <c r="R17" s="50" t="s">
        <v>3621</v>
      </c>
      <c r="S17" s="50" t="s">
        <v>3621</v>
      </c>
      <c r="T17" s="50" t="s">
        <v>3621</v>
      </c>
      <c r="U17" s="50" t="s">
        <v>3621</v>
      </c>
      <c r="V17" s="50" t="s">
        <v>3621</v>
      </c>
      <c r="W17" s="50" t="s">
        <v>3621</v>
      </c>
      <c r="X17" s="50" t="s">
        <v>3621</v>
      </c>
      <c r="Y17" s="50" t="s">
        <v>3621</v>
      </c>
      <c r="Z17" s="50" t="s">
        <v>3621</v>
      </c>
      <c r="AA17" s="50" t="s">
        <v>3621</v>
      </c>
      <c r="AB17" s="50" t="s">
        <v>3621</v>
      </c>
      <c r="AC17" s="50" t="s">
        <v>3621</v>
      </c>
      <c r="AD17" s="50" t="s">
        <v>3621</v>
      </c>
      <c r="AE17" s="50" t="s">
        <v>3621</v>
      </c>
      <c r="AF17" s="50" t="s">
        <v>3621</v>
      </c>
      <c r="AG17" s="50" t="s">
        <v>3621</v>
      </c>
      <c r="AH17" s="50" t="s">
        <v>3621</v>
      </c>
      <c r="AI17" s="50" t="s">
        <v>3621</v>
      </c>
      <c r="AJ17" s="50" t="s">
        <v>3621</v>
      </c>
    </row>
    <row r="18" spans="2:36" x14ac:dyDescent="0.35">
      <c r="B18" s="50" t="s">
        <v>3598</v>
      </c>
      <c r="C18" s="50">
        <v>16</v>
      </c>
      <c r="D18" s="50" t="s">
        <v>3766</v>
      </c>
      <c r="E18" s="111">
        <v>45457</v>
      </c>
      <c r="F18" s="50">
        <v>1</v>
      </c>
      <c r="G18" s="50">
        <v>1</v>
      </c>
      <c r="H18" s="198" t="s">
        <v>3706</v>
      </c>
      <c r="I18" s="50" t="s">
        <v>3621</v>
      </c>
      <c r="J18" s="50" t="s">
        <v>3621</v>
      </c>
      <c r="K18" s="50" t="s">
        <v>3621</v>
      </c>
      <c r="L18" s="50" t="s">
        <v>3621</v>
      </c>
      <c r="M18" s="50" t="s">
        <v>3621</v>
      </c>
      <c r="N18" s="50" t="s">
        <v>3621</v>
      </c>
      <c r="O18" s="50" t="s">
        <v>3621</v>
      </c>
      <c r="P18" s="50" t="s">
        <v>3621</v>
      </c>
      <c r="Q18" s="50" t="s">
        <v>3621</v>
      </c>
      <c r="R18" s="50" t="s">
        <v>3621</v>
      </c>
      <c r="S18" s="50" t="s">
        <v>3621</v>
      </c>
      <c r="T18" s="50" t="s">
        <v>3621</v>
      </c>
      <c r="U18" s="50" t="s">
        <v>3621</v>
      </c>
      <c r="V18" s="50" t="s">
        <v>3621</v>
      </c>
      <c r="W18" s="50" t="s">
        <v>3621</v>
      </c>
      <c r="X18" s="50" t="s">
        <v>3621</v>
      </c>
      <c r="Y18" s="50" t="s">
        <v>3621</v>
      </c>
      <c r="Z18" s="50" t="s">
        <v>3621</v>
      </c>
      <c r="AA18" s="50" t="s">
        <v>3621</v>
      </c>
      <c r="AB18" s="50" t="s">
        <v>3621</v>
      </c>
      <c r="AC18" s="50" t="s">
        <v>3621</v>
      </c>
      <c r="AD18" s="50" t="s">
        <v>3621</v>
      </c>
      <c r="AE18" s="50" t="s">
        <v>3621</v>
      </c>
      <c r="AF18" s="50" t="s">
        <v>3621</v>
      </c>
      <c r="AG18" s="50" t="s">
        <v>3621</v>
      </c>
      <c r="AH18" s="50" t="s">
        <v>3621</v>
      </c>
      <c r="AI18" s="50" t="s">
        <v>3621</v>
      </c>
      <c r="AJ18" s="50" t="s">
        <v>3621</v>
      </c>
    </row>
    <row r="19" spans="2:36" x14ac:dyDescent="0.35">
      <c r="B19" s="50" t="s">
        <v>3600</v>
      </c>
      <c r="C19" s="50">
        <v>17</v>
      </c>
      <c r="D19" s="50" t="s">
        <v>3767</v>
      </c>
      <c r="E19" s="111">
        <v>45457</v>
      </c>
      <c r="F19" s="50">
        <v>1</v>
      </c>
      <c r="G19" s="50" t="s">
        <v>3768</v>
      </c>
      <c r="H19" s="50">
        <v>229642</v>
      </c>
      <c r="I19" s="50" t="s">
        <v>3621</v>
      </c>
      <c r="J19" s="50" t="s">
        <v>3621</v>
      </c>
      <c r="K19" s="50" t="s">
        <v>3621</v>
      </c>
      <c r="L19" s="50" t="s">
        <v>3621</v>
      </c>
      <c r="M19" s="50" t="s">
        <v>3621</v>
      </c>
      <c r="N19" s="50" t="s">
        <v>3621</v>
      </c>
      <c r="O19" s="50" t="s">
        <v>3621</v>
      </c>
      <c r="P19" s="113" t="s">
        <v>3621</v>
      </c>
      <c r="Q19" s="113" t="s">
        <v>3621</v>
      </c>
      <c r="R19" s="50" t="s">
        <v>3621</v>
      </c>
      <c r="S19" s="50" t="s">
        <v>3621</v>
      </c>
      <c r="T19" s="50" t="s">
        <v>3621</v>
      </c>
      <c r="U19" s="50" t="s">
        <v>3621</v>
      </c>
      <c r="V19" s="50" t="s">
        <v>3621</v>
      </c>
      <c r="W19" s="50" t="s">
        <v>3621</v>
      </c>
      <c r="X19" s="50" t="s">
        <v>3621</v>
      </c>
      <c r="Y19" s="50" t="s">
        <v>3621</v>
      </c>
      <c r="Z19" s="50" t="s">
        <v>3621</v>
      </c>
      <c r="AA19" s="50" t="s">
        <v>3621</v>
      </c>
      <c r="AB19" s="50" t="s">
        <v>3621</v>
      </c>
      <c r="AC19" s="50" t="s">
        <v>3621</v>
      </c>
      <c r="AD19" s="50" t="s">
        <v>3621</v>
      </c>
      <c r="AE19" s="50" t="s">
        <v>3621</v>
      </c>
      <c r="AF19" s="50" t="s">
        <v>3621</v>
      </c>
      <c r="AG19" s="50" t="s">
        <v>3621</v>
      </c>
      <c r="AH19" s="50" t="s">
        <v>3621</v>
      </c>
      <c r="AI19" s="50" t="s">
        <v>3621</v>
      </c>
      <c r="AJ19" s="50" t="s">
        <v>3621</v>
      </c>
    </row>
    <row r="20" spans="2:36" x14ac:dyDescent="0.35">
      <c r="B20" s="50" t="s">
        <v>3602</v>
      </c>
      <c r="C20" s="50">
        <v>18</v>
      </c>
      <c r="D20" s="50" t="s">
        <v>3767</v>
      </c>
      <c r="E20" s="111">
        <v>45457</v>
      </c>
      <c r="F20" s="50">
        <v>1</v>
      </c>
      <c r="G20" s="50" t="s">
        <v>3769</v>
      </c>
      <c r="H20" s="50">
        <v>1188</v>
      </c>
      <c r="I20" s="50" t="s">
        <v>3621</v>
      </c>
      <c r="J20" s="50" t="s">
        <v>3621</v>
      </c>
      <c r="K20" s="50" t="s">
        <v>3621</v>
      </c>
      <c r="L20" s="50" t="s">
        <v>3621</v>
      </c>
      <c r="M20" s="50" t="s">
        <v>3621</v>
      </c>
      <c r="N20" s="50" t="s">
        <v>3621</v>
      </c>
      <c r="O20" s="50" t="s">
        <v>3621</v>
      </c>
      <c r="P20" s="50" t="s">
        <v>3621</v>
      </c>
      <c r="Q20" s="50" t="s">
        <v>3621</v>
      </c>
      <c r="R20" s="50" t="s">
        <v>3621</v>
      </c>
      <c r="S20" s="50" t="s">
        <v>3621</v>
      </c>
      <c r="T20" s="50" t="s">
        <v>3621</v>
      </c>
      <c r="U20" s="50" t="s">
        <v>3621</v>
      </c>
      <c r="V20" s="50" t="s">
        <v>3621</v>
      </c>
      <c r="W20" s="50" t="s">
        <v>3621</v>
      </c>
      <c r="X20" s="50" t="s">
        <v>3621</v>
      </c>
      <c r="Y20" s="50" t="s">
        <v>3621</v>
      </c>
      <c r="Z20" s="50" t="s">
        <v>3621</v>
      </c>
      <c r="AA20" s="50" t="s">
        <v>3621</v>
      </c>
      <c r="AB20" s="50" t="s">
        <v>3621</v>
      </c>
      <c r="AC20" s="50" t="s">
        <v>3621</v>
      </c>
      <c r="AD20" s="50" t="s">
        <v>3621</v>
      </c>
      <c r="AE20" s="50" t="s">
        <v>3621</v>
      </c>
      <c r="AF20" s="50" t="s">
        <v>3621</v>
      </c>
      <c r="AG20" s="50" t="s">
        <v>3621</v>
      </c>
      <c r="AH20" s="50" t="s">
        <v>3621</v>
      </c>
      <c r="AI20" s="50" t="s">
        <v>3621</v>
      </c>
      <c r="AJ20" s="50" t="s">
        <v>3621</v>
      </c>
    </row>
    <row r="21" spans="2:36" x14ac:dyDescent="0.35">
      <c r="B21" s="50" t="s">
        <v>3604</v>
      </c>
      <c r="C21" s="50">
        <v>19</v>
      </c>
      <c r="D21" s="50" t="s">
        <v>3770</v>
      </c>
      <c r="E21" s="111">
        <v>45457</v>
      </c>
      <c r="F21" s="50">
        <v>1</v>
      </c>
      <c r="G21" s="50" cm="1">
        <f t="array" ref="G21">SUMPRODUCT(--(ISNUMBER((SEARCH(I28:AJ28,I21:AJ21)))))/COUNTA(I21:AJ21)</f>
        <v>0.7857142857142857</v>
      </c>
      <c r="H21" s="50" t="s">
        <v>3706</v>
      </c>
      <c r="I21" s="50" t="s">
        <v>3655</v>
      </c>
      <c r="J21" s="50" t="s">
        <v>3655</v>
      </c>
      <c r="K21" s="50" t="s">
        <v>3655</v>
      </c>
      <c r="L21" s="50" t="s">
        <v>3655</v>
      </c>
      <c r="M21" s="50" t="s">
        <v>3655</v>
      </c>
      <c r="N21" s="50" t="s">
        <v>3655</v>
      </c>
      <c r="O21" s="50" t="s">
        <v>3655</v>
      </c>
      <c r="P21" s="50" t="s">
        <v>3655</v>
      </c>
      <c r="Q21" s="50" t="s">
        <v>3655</v>
      </c>
      <c r="R21" s="50" t="s">
        <v>3655</v>
      </c>
      <c r="S21" s="50" t="s">
        <v>3656</v>
      </c>
      <c r="T21" s="50" t="s">
        <v>3656</v>
      </c>
      <c r="U21" s="50" t="s">
        <v>3656</v>
      </c>
      <c r="V21" s="50" t="s">
        <v>3655</v>
      </c>
      <c r="W21" s="50" t="s">
        <v>3655</v>
      </c>
      <c r="X21" s="50" t="s">
        <v>3655</v>
      </c>
      <c r="Y21" s="50" t="s">
        <v>3655</v>
      </c>
      <c r="Z21" s="50" t="s">
        <v>3655</v>
      </c>
      <c r="AA21" s="50" t="s">
        <v>3655</v>
      </c>
      <c r="AB21" s="50" t="s">
        <v>3655</v>
      </c>
      <c r="AC21" s="50" t="s">
        <v>3655</v>
      </c>
      <c r="AD21" s="50" t="s">
        <v>3655</v>
      </c>
      <c r="AE21" s="50" t="s">
        <v>3655</v>
      </c>
      <c r="AF21" s="50" t="s">
        <v>3655</v>
      </c>
      <c r="AG21" s="50" t="s">
        <v>3655</v>
      </c>
      <c r="AH21" s="50" t="s">
        <v>3655</v>
      </c>
      <c r="AI21" s="50" t="s">
        <v>3655</v>
      </c>
      <c r="AJ21" s="50" t="s">
        <v>3657</v>
      </c>
    </row>
    <row r="22" spans="2:36" x14ac:dyDescent="0.35">
      <c r="B22" s="113" t="s">
        <v>3607</v>
      </c>
      <c r="C22" s="50">
        <v>20</v>
      </c>
      <c r="D22" s="50" t="s">
        <v>3767</v>
      </c>
      <c r="E22" s="111">
        <v>45457</v>
      </c>
      <c r="F22" s="50">
        <v>1</v>
      </c>
      <c r="G22" s="50" cm="1">
        <f t="array" ref="G22">SUM(IF(I2:AJ2 = I27:AJ27, 1, 0))/ COUNTA(I2:AJ2)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row>
    <row r="23" spans="2:36" x14ac:dyDescent="0.35">
      <c r="B23" s="50" t="s">
        <v>3610</v>
      </c>
      <c r="C23" s="50">
        <v>21</v>
      </c>
      <c r="D23" s="50" t="s">
        <v>3770</v>
      </c>
      <c r="E23" s="111">
        <v>45457</v>
      </c>
      <c r="F23" s="50">
        <v>1</v>
      </c>
      <c r="G23" s="50" cm="1">
        <f t="array" ref="G23">SUM(IF(IF(G3:G18="null",1,G3:G18)=1,1,0))/COUNT(IF(G3:G18="null",1,1))</f>
        <v>0.875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row>
    <row r="26" spans="2:36" x14ac:dyDescent="0.35">
      <c r="B26" s="143" t="s">
        <v>3727</v>
      </c>
    </row>
    <row r="27" spans="2:36" x14ac:dyDescent="0.35">
      <c r="B27" s="149" t="s">
        <v>3613</v>
      </c>
      <c r="C27" s="145" t="s">
        <v>3614</v>
      </c>
      <c r="D27" s="145" t="s">
        <v>3615</v>
      </c>
      <c r="E27" s="145" t="s">
        <v>3616</v>
      </c>
      <c r="F27" s="145" t="s">
        <v>3617</v>
      </c>
      <c r="G27" s="145" t="s">
        <v>3618</v>
      </c>
      <c r="H27" s="145" t="s">
        <v>3619</v>
      </c>
      <c r="I27" s="145" t="str" cm="1">
        <f t="array" ref="I27:AJ27">TRANSPOSE(_xlfn.SORTBY(_xlfn._xlws.FILTER(Table3[NOME FÍSICO CAMPO],Table3[NOME FÍSICO TABELA]="incomesaving_account"), _xlfn._xlws.FILTER(Table3[ORDEM], Table3[NOME FÍSICO TABELA]="incomesaving_account"), 1))</f>
        <v>bank_id</v>
      </c>
      <c r="J27" s="145" t="str">
        <v>contract_id</v>
      </c>
      <c r="K27" s="145" t="str">
        <v>product_family_id</v>
      </c>
      <c r="L27" s="145" t="str">
        <v>product_id</v>
      </c>
      <c r="M27" s="145" t="str">
        <v>subproduct_id</v>
      </c>
      <c r="N27" s="145" t="str">
        <v>main_current_account_bank_id</v>
      </c>
      <c r="O27" s="145" t="str">
        <v>main_current_account_contract_id</v>
      </c>
      <c r="P27" s="145" t="str">
        <v>opening_date</v>
      </c>
      <c r="Q27" s="145" t="str">
        <v>current_maturity_date</v>
      </c>
      <c r="R27" s="145" t="str">
        <v>currency_code</v>
      </c>
      <c r="S27" s="145" t="str">
        <v>current_ledger_balance</v>
      </c>
      <c r="T27" s="145" t="str">
        <v>current_reserved_balance</v>
      </c>
      <c r="U27" s="145" t="str">
        <v>current_available_balance</v>
      </c>
      <c r="V27" s="145" t="str">
        <v>init_passive_rate_type_code</v>
      </c>
      <c r="W27" s="145" t="str">
        <v>initial_passive_indexing</v>
      </c>
      <c r="X27" s="145" t="str">
        <v>initial_passive_index_rate</v>
      </c>
      <c r="Y27" s="145" t="str">
        <v>initial_passive_spread</v>
      </c>
      <c r="Z27" s="145" t="str">
        <v>initial_passive_interest_rate</v>
      </c>
      <c r="AA27" s="145" t="str">
        <v>cur_passive_rate_type_code</v>
      </c>
      <c r="AB27" s="145" t="str">
        <v>current_passive_indexing</v>
      </c>
      <c r="AC27" s="145" t="str">
        <v>current_passive_index_rate</v>
      </c>
      <c r="AD27" s="145" t="str">
        <v>current_passive_spread</v>
      </c>
      <c r="AE27" s="145" t="str">
        <v>current_passive_interest_rate</v>
      </c>
      <c r="AF27" s="145" t="str">
        <v>contract_status_code</v>
      </c>
      <c r="AG27" s="145" t="str">
        <v>contract_opening_channel_code</v>
      </c>
      <c r="AH27" s="145" t="str">
        <v>source_code</v>
      </c>
      <c r="AI27" s="145" t="str">
        <v>data_date_part</v>
      </c>
      <c r="AJ27" s="232" t="str">
        <v>data_timestamp_part</v>
      </c>
    </row>
    <row r="28" spans="2:36" x14ac:dyDescent="0.35">
      <c r="B28" s="123" t="s">
        <v>3658</v>
      </c>
      <c r="C28" s="126">
        <v>21</v>
      </c>
      <c r="D28" s="120" t="s">
        <v>3659</v>
      </c>
      <c r="E28" s="119" t="s">
        <v>3660</v>
      </c>
      <c r="F28" s="119" t="s">
        <v>372</v>
      </c>
      <c r="G28" s="119" t="s">
        <v>372</v>
      </c>
      <c r="H28" s="119" t="s">
        <v>372</v>
      </c>
      <c r="I28" s="119" t="str" cm="1">
        <f t="array" ref="I28:AJ29">TRANSPOSE(_xlfn.SORTBY(_xlfn._xlws.FILTER(IF(Table3[FORMATO]:Table3[COMP_ CAMPO]&lt;&gt;"",Table3[FORMATO]:Table3[COMP_ CAMPO],9999999),Table3[NOME FÍSICO TABELA]="incomesaving_account"), _xlfn._xlws.FILTER(Table3[ORDEM], Table3[NOME FÍSICO TABELA]="incomesaving_account"), 1))</f>
        <v>STRING</v>
      </c>
      <c r="J28" s="119" t="str">
        <v>STRING</v>
      </c>
      <c r="K28" s="119" t="str">
        <v>STRING</v>
      </c>
      <c r="L28" s="119" t="str">
        <v>STRING</v>
      </c>
      <c r="M28" s="119" t="str">
        <v>STRING</v>
      </c>
      <c r="N28" s="119" t="str">
        <v>STRING</v>
      </c>
      <c r="O28" s="119" t="str">
        <v>STRING</v>
      </c>
      <c r="P28" s="119" t="str">
        <v>STRING</v>
      </c>
      <c r="Q28" s="119" t="str">
        <v>STRING</v>
      </c>
      <c r="R28" s="119" t="str">
        <v>STRING</v>
      </c>
      <c r="S28" s="119" t="str">
        <v>DECIMAL</v>
      </c>
      <c r="T28" s="119" t="str">
        <v>DECIMAL</v>
      </c>
      <c r="U28" s="119" t="str">
        <v>DECIMAL</v>
      </c>
      <c r="V28" s="119" t="str">
        <v>STRING</v>
      </c>
      <c r="W28" s="119" t="str">
        <v>STRING</v>
      </c>
      <c r="X28" s="119" t="str">
        <v>DECIMAL</v>
      </c>
      <c r="Y28" s="119" t="str">
        <v>DECIMAL</v>
      </c>
      <c r="Z28" s="119" t="str">
        <v>DECIMAL</v>
      </c>
      <c r="AA28" s="119" t="str">
        <v>STRING</v>
      </c>
      <c r="AB28" s="119" t="str">
        <v>STRING</v>
      </c>
      <c r="AC28" s="119" t="str">
        <v>DECIMAL</v>
      </c>
      <c r="AD28" s="125" t="str">
        <v>DECIMAL</v>
      </c>
      <c r="AE28" s="125" t="str">
        <v>DECIMAL</v>
      </c>
      <c r="AF28" s="125" t="str">
        <v>STRING</v>
      </c>
      <c r="AG28" s="125" t="str">
        <v>STRING</v>
      </c>
      <c r="AH28" s="125" t="str">
        <v>STRING</v>
      </c>
      <c r="AI28" s="119" t="str">
        <v>STRING</v>
      </c>
      <c r="AJ28" s="124" t="str">
        <v>TIMESTAMP</v>
      </c>
    </row>
    <row r="29" spans="2:36" x14ac:dyDescent="0.35">
      <c r="B29" s="123" t="s">
        <v>3661</v>
      </c>
      <c r="C29" s="126">
        <v>7</v>
      </c>
      <c r="D29" s="120" t="s">
        <v>3659</v>
      </c>
      <c r="E29" s="119" t="s">
        <v>3660</v>
      </c>
      <c r="F29" s="121" t="s">
        <v>372</v>
      </c>
      <c r="G29" s="121" t="s">
        <v>372</v>
      </c>
      <c r="H29" s="121" t="s">
        <v>372</v>
      </c>
      <c r="I29" s="167">
        <v>4</v>
      </c>
      <c r="J29" s="167">
        <v>30</v>
      </c>
      <c r="K29" s="167">
        <v>4</v>
      </c>
      <c r="L29" s="167">
        <v>4</v>
      </c>
      <c r="M29" s="167">
        <v>4</v>
      </c>
      <c r="N29" s="167">
        <v>4</v>
      </c>
      <c r="O29" s="167">
        <v>30</v>
      </c>
      <c r="P29" s="167">
        <v>10</v>
      </c>
      <c r="Q29" s="167">
        <v>10</v>
      </c>
      <c r="R29" s="167">
        <v>4</v>
      </c>
      <c r="S29" s="167">
        <v>23</v>
      </c>
      <c r="T29" s="167">
        <v>23</v>
      </c>
      <c r="U29" s="167">
        <v>23</v>
      </c>
      <c r="V29" s="167">
        <v>4</v>
      </c>
      <c r="W29" s="167">
        <v>3</v>
      </c>
      <c r="X29" s="167">
        <v>23</v>
      </c>
      <c r="Y29" s="167">
        <v>23</v>
      </c>
      <c r="Z29" s="167">
        <v>23</v>
      </c>
      <c r="AA29" s="167">
        <v>4</v>
      </c>
      <c r="AB29" s="167">
        <v>3</v>
      </c>
      <c r="AC29" s="167">
        <v>23</v>
      </c>
      <c r="AD29" s="168">
        <v>23</v>
      </c>
      <c r="AE29" s="168">
        <v>23</v>
      </c>
      <c r="AF29" s="168">
        <v>4</v>
      </c>
      <c r="AG29" s="168">
        <v>4</v>
      </c>
      <c r="AH29" s="168">
        <v>2</v>
      </c>
      <c r="AI29" s="167">
        <v>10</v>
      </c>
      <c r="AJ29" s="124">
        <v>23</v>
      </c>
    </row>
    <row r="31" spans="2:36" x14ac:dyDescent="0.35">
      <c r="B31" s="156" t="s">
        <v>3662</v>
      </c>
    </row>
    <row r="32" spans="2:36" x14ac:dyDescent="0.35">
      <c r="B32" s="150" t="s">
        <v>3663</v>
      </c>
      <c r="C32" s="150" t="s">
        <v>3664</v>
      </c>
      <c r="D32" s="151" t="s">
        <v>3665</v>
      </c>
      <c r="E32" s="150" t="s">
        <v>3666</v>
      </c>
      <c r="F32" s="150" t="s">
        <v>3667</v>
      </c>
    </row>
    <row r="33" spans="2:16" ht="29" x14ac:dyDescent="0.35">
      <c r="B33" s="134" t="s">
        <v>3771</v>
      </c>
      <c r="C33" s="137" t="s">
        <v>2172</v>
      </c>
      <c r="D33" s="53" t="s">
        <v>3772</v>
      </c>
      <c r="E33" s="169" t="s">
        <v>3773</v>
      </c>
      <c r="F33" s="152" t="s">
        <v>3674</v>
      </c>
    </row>
    <row r="34" spans="2:16" ht="29" x14ac:dyDescent="0.35">
      <c r="B34" s="134" t="s">
        <v>3771</v>
      </c>
      <c r="C34" s="137" t="s">
        <v>2176</v>
      </c>
      <c r="D34" s="53" t="s">
        <v>3772</v>
      </c>
      <c r="E34" s="169" t="s">
        <v>3773</v>
      </c>
      <c r="F34" s="152" t="s">
        <v>3674</v>
      </c>
    </row>
    <row r="35" spans="2:16" ht="29" x14ac:dyDescent="0.35">
      <c r="B35" s="134" t="s">
        <v>3771</v>
      </c>
      <c r="C35" s="137" t="s">
        <v>2179</v>
      </c>
      <c r="D35" s="53" t="s">
        <v>3772</v>
      </c>
      <c r="E35" s="169" t="s">
        <v>3773</v>
      </c>
      <c r="F35" s="152" t="s">
        <v>3674</v>
      </c>
    </row>
    <row r="36" spans="2:16" ht="29" x14ac:dyDescent="0.35">
      <c r="B36" s="134" t="s">
        <v>3771</v>
      </c>
      <c r="C36" s="137" t="s">
        <v>2186</v>
      </c>
      <c r="D36" s="53" t="s">
        <v>3772</v>
      </c>
      <c r="E36" s="169" t="s">
        <v>3773</v>
      </c>
      <c r="F36" s="152" t="s">
        <v>3674</v>
      </c>
    </row>
    <row r="37" spans="2:16" ht="29" x14ac:dyDescent="0.35">
      <c r="B37" s="134" t="s">
        <v>3771</v>
      </c>
      <c r="C37" s="137" t="s">
        <v>2190</v>
      </c>
      <c r="D37" s="53" t="s">
        <v>3772</v>
      </c>
      <c r="E37" s="169" t="s">
        <v>3773</v>
      </c>
      <c r="F37" s="152" t="s">
        <v>3674</v>
      </c>
    </row>
    <row r="38" spans="2:16" ht="29" x14ac:dyDescent="0.35">
      <c r="B38" s="134" t="s">
        <v>3771</v>
      </c>
      <c r="C38" s="137" t="s">
        <v>2194</v>
      </c>
      <c r="D38" s="53" t="s">
        <v>3772</v>
      </c>
      <c r="E38" s="169" t="s">
        <v>3773</v>
      </c>
      <c r="F38" s="152" t="s">
        <v>3674</v>
      </c>
    </row>
    <row r="39" spans="2:16" ht="29" x14ac:dyDescent="0.35">
      <c r="B39" s="134" t="s">
        <v>3771</v>
      </c>
      <c r="C39" s="137" t="s">
        <v>2197</v>
      </c>
      <c r="D39" s="53" t="s">
        <v>3772</v>
      </c>
      <c r="E39" s="169" t="s">
        <v>3773</v>
      </c>
      <c r="F39" s="152" t="s">
        <v>3674</v>
      </c>
    </row>
    <row r="40" spans="2:16" ht="29" x14ac:dyDescent="0.35">
      <c r="B40" s="134" t="s">
        <v>3771</v>
      </c>
      <c r="C40" s="137" t="s">
        <v>2204</v>
      </c>
      <c r="D40" s="53" t="s">
        <v>3772</v>
      </c>
      <c r="E40" s="169" t="s">
        <v>3773</v>
      </c>
      <c r="F40" s="152" t="s">
        <v>3674</v>
      </c>
    </row>
    <row r="41" spans="2:16" ht="29" x14ac:dyDescent="0.35">
      <c r="B41" s="134" t="s">
        <v>3771</v>
      </c>
      <c r="C41" s="131" t="s">
        <v>305</v>
      </c>
      <c r="D41" s="53" t="s">
        <v>3774</v>
      </c>
      <c r="E41" s="169" t="s">
        <v>3773</v>
      </c>
      <c r="F41" s="152" t="s">
        <v>3674</v>
      </c>
      <c r="I41" s="174"/>
      <c r="J41" s="174"/>
      <c r="K41" s="174"/>
      <c r="L41" s="174"/>
      <c r="M41" s="174"/>
      <c r="N41" s="174"/>
      <c r="O41" s="174"/>
      <c r="P41" s="174"/>
    </row>
    <row r="42" spans="2:16" ht="29" x14ac:dyDescent="0.35">
      <c r="B42" s="189" t="s">
        <v>3728</v>
      </c>
      <c r="C42" s="190" t="s">
        <v>188</v>
      </c>
      <c r="D42" s="191" t="s">
        <v>3775</v>
      </c>
      <c r="E42" s="192" t="s">
        <v>3776</v>
      </c>
      <c r="F42" s="193" t="s">
        <v>3677</v>
      </c>
      <c r="L42" s="174"/>
    </row>
    <row r="43" spans="2:16" ht="29" x14ac:dyDescent="0.35">
      <c r="B43" s="127" t="s">
        <v>3678</v>
      </c>
      <c r="C43" s="131" t="s">
        <v>3679</v>
      </c>
      <c r="D43" s="53" t="s">
        <v>3777</v>
      </c>
      <c r="E43" s="171" t="s">
        <v>3778</v>
      </c>
      <c r="F43" s="152" t="s">
        <v>3674</v>
      </c>
      <c r="L43" s="174"/>
    </row>
    <row r="44" spans="2:16" ht="29" x14ac:dyDescent="0.35">
      <c r="B44" s="127" t="s">
        <v>3736</v>
      </c>
      <c r="C44" s="137" t="s">
        <v>3679</v>
      </c>
      <c r="D44" s="53" t="s">
        <v>3779</v>
      </c>
      <c r="E44" s="171" t="s">
        <v>3780</v>
      </c>
      <c r="F44" s="152" t="s">
        <v>3677</v>
      </c>
      <c r="I44" s="174"/>
      <c r="J44" s="174"/>
      <c r="K44" s="174"/>
      <c r="L44" s="174"/>
    </row>
    <row r="45" spans="2:16" ht="29" x14ac:dyDescent="0.35">
      <c r="B45" s="127" t="s">
        <v>3781</v>
      </c>
      <c r="C45" s="133" t="s">
        <v>2179</v>
      </c>
      <c r="D45" s="53" t="s">
        <v>3782</v>
      </c>
      <c r="E45" s="169" t="s">
        <v>3773</v>
      </c>
      <c r="F45" s="152" t="s">
        <v>3674</v>
      </c>
      <c r="I45" s="174"/>
      <c r="J45" s="174"/>
      <c r="K45" s="174"/>
      <c r="L45" s="174"/>
    </row>
    <row r="46" spans="2:16" ht="29" x14ac:dyDescent="0.35">
      <c r="B46" s="127" t="s">
        <v>3781</v>
      </c>
      <c r="C46" s="137" t="s">
        <v>2183</v>
      </c>
      <c r="D46" s="53" t="s">
        <v>3782</v>
      </c>
      <c r="E46" s="169" t="s">
        <v>3773</v>
      </c>
      <c r="F46" s="152" t="s">
        <v>3674</v>
      </c>
      <c r="I46" s="174"/>
      <c r="J46" s="174"/>
      <c r="K46" s="174"/>
      <c r="L46" s="174"/>
    </row>
    <row r="47" spans="2:16" ht="29" x14ac:dyDescent="0.35">
      <c r="B47" s="127" t="s">
        <v>3781</v>
      </c>
      <c r="C47" s="133" t="s">
        <v>2186</v>
      </c>
      <c r="D47" s="53" t="s">
        <v>3782</v>
      </c>
      <c r="E47" s="169" t="s">
        <v>3773</v>
      </c>
      <c r="F47" s="152" t="s">
        <v>3674</v>
      </c>
      <c r="I47" s="174"/>
      <c r="J47" s="174"/>
      <c r="K47" s="174"/>
      <c r="L47" s="174"/>
    </row>
    <row r="48" spans="2:16" ht="29" x14ac:dyDescent="0.35">
      <c r="B48" s="127" t="s">
        <v>3781</v>
      </c>
      <c r="C48" s="133" t="s">
        <v>2197</v>
      </c>
      <c r="D48" s="53" t="s">
        <v>3782</v>
      </c>
      <c r="E48" s="169" t="s">
        <v>3773</v>
      </c>
      <c r="F48" s="152" t="s">
        <v>3674</v>
      </c>
      <c r="I48" s="174"/>
      <c r="J48" s="174"/>
      <c r="K48" s="174"/>
      <c r="L48" s="174"/>
    </row>
    <row r="49" spans="2:6" ht="29" x14ac:dyDescent="0.35">
      <c r="B49" s="127" t="s">
        <v>3781</v>
      </c>
      <c r="C49" s="137" t="s">
        <v>2201</v>
      </c>
      <c r="D49" s="53" t="s">
        <v>3782</v>
      </c>
      <c r="E49" s="169" t="s">
        <v>3773</v>
      </c>
      <c r="F49" s="152" t="s">
        <v>3674</v>
      </c>
    </row>
    <row r="50" spans="2:6" ht="29" x14ac:dyDescent="0.35">
      <c r="B50" s="127" t="s">
        <v>3781</v>
      </c>
      <c r="C50" s="188" t="s">
        <v>2204</v>
      </c>
      <c r="D50" s="53" t="s">
        <v>3782</v>
      </c>
      <c r="E50" s="169" t="s">
        <v>3773</v>
      </c>
      <c r="F50" s="152" t="s">
        <v>3674</v>
      </c>
    </row>
    <row r="51" spans="2:6" x14ac:dyDescent="0.35">
      <c r="C51" s="5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B1:AO53"/>
  <sheetViews>
    <sheetView showGridLines="0" topLeftCell="A35" workbookViewId="0">
      <selection activeCell="A9" sqref="A9"/>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9.81640625" bestFit="1" customWidth="1"/>
    <col min="8" max="8" width="17.7265625" bestFit="1" customWidth="1"/>
    <col min="9" max="9" width="11.8164062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1.26953125" customWidth="1"/>
    <col min="19" max="19" width="26.81640625" bestFit="1" customWidth="1"/>
    <col min="20" max="20" width="37.7265625" customWidth="1"/>
    <col min="21" max="21" width="43.26953125" customWidth="1"/>
    <col min="22" max="23" width="30.7265625" bestFit="1" customWidth="1"/>
    <col min="24" max="24" width="40.1796875" customWidth="1"/>
    <col min="25" max="25" width="36.26953125" customWidth="1"/>
    <col min="26" max="26" width="42.1796875" customWidth="1"/>
    <col min="27" max="27" width="30.7265625" bestFit="1" customWidth="1"/>
    <col min="28" max="28" width="34.81640625" customWidth="1"/>
    <col min="29" max="29" width="26.81640625" bestFit="1" customWidth="1"/>
    <col min="30" max="30" width="31.7265625" bestFit="1" customWidth="1"/>
    <col min="31" max="31" width="33.1796875" bestFit="1" customWidth="1"/>
    <col min="32" max="32" width="45.7265625" bestFit="1" customWidth="1"/>
    <col min="33" max="33" width="31.26953125" bestFit="1" customWidth="1"/>
    <col min="34" max="34" width="33.453125" bestFit="1" customWidth="1"/>
    <col min="35" max="35" width="29.7265625" bestFit="1" customWidth="1"/>
    <col min="36" max="36" width="29.453125" customWidth="1"/>
    <col min="37" max="37" width="32.26953125" customWidth="1"/>
    <col min="38" max="38" width="41.1796875" customWidth="1"/>
    <col min="39" max="39" width="21.54296875" customWidth="1"/>
    <col min="40" max="40" width="27.7265625" customWidth="1"/>
    <col min="41" max="41" width="46.453125" customWidth="1"/>
  </cols>
  <sheetData>
    <row r="1" spans="2:40" ht="27.75" customHeight="1" x14ac:dyDescent="0.35"/>
    <row r="2" spans="2:40" x14ac:dyDescent="0.35">
      <c r="B2" s="91" t="s">
        <v>3738</v>
      </c>
      <c r="C2" s="91" t="s">
        <v>3614</v>
      </c>
      <c r="D2" s="91" t="s">
        <v>3615</v>
      </c>
      <c r="E2" s="91" t="s">
        <v>3616</v>
      </c>
      <c r="F2" s="91" t="s">
        <v>3617</v>
      </c>
      <c r="G2" s="91" t="s">
        <v>3618</v>
      </c>
      <c r="H2" s="91" t="s">
        <v>3619</v>
      </c>
      <c r="I2" s="91" t="s">
        <v>121</v>
      </c>
      <c r="J2" s="91" t="s">
        <v>137</v>
      </c>
      <c r="K2" s="91" t="s">
        <v>149</v>
      </c>
      <c r="L2" s="91" t="s">
        <v>156</v>
      </c>
      <c r="M2" s="91" t="s">
        <v>168</v>
      </c>
      <c r="N2" s="91" t="s">
        <v>199</v>
      </c>
      <c r="O2" s="91" t="s">
        <v>211</v>
      </c>
      <c r="P2" s="91" t="s">
        <v>223</v>
      </c>
      <c r="Q2" s="91" t="s">
        <v>239</v>
      </c>
      <c r="R2" s="91" t="s">
        <v>1605</v>
      </c>
      <c r="S2" s="91" t="s">
        <v>1611</v>
      </c>
      <c r="T2" s="91" t="s">
        <v>1618</v>
      </c>
      <c r="U2" s="91" t="s">
        <v>3783</v>
      </c>
      <c r="V2" s="91" t="s">
        <v>3784</v>
      </c>
      <c r="W2" s="91" t="s">
        <v>1644</v>
      </c>
      <c r="X2" s="91" t="s">
        <v>1653</v>
      </c>
      <c r="Y2" s="91" t="s">
        <v>1659</v>
      </c>
      <c r="Z2" s="91" t="s">
        <v>1670</v>
      </c>
      <c r="AA2" s="91" t="s">
        <v>1676</v>
      </c>
      <c r="AB2" s="91" t="s">
        <v>1681</v>
      </c>
      <c r="AC2" s="91" t="s">
        <v>1685</v>
      </c>
      <c r="AD2" s="91" t="s">
        <v>1689</v>
      </c>
      <c r="AE2" s="91" t="s">
        <v>1693</v>
      </c>
      <c r="AF2" s="91" t="s">
        <v>1697</v>
      </c>
      <c r="AG2" s="91" t="s">
        <v>1702</v>
      </c>
      <c r="AH2" s="91" t="s">
        <v>1706</v>
      </c>
      <c r="AI2" s="91" t="s">
        <v>1709</v>
      </c>
      <c r="AJ2" s="91" t="s">
        <v>294</v>
      </c>
      <c r="AK2" s="91" t="s">
        <v>305</v>
      </c>
      <c r="AL2" s="91" t="s">
        <v>318</v>
      </c>
      <c r="AM2" s="91" t="s">
        <v>327</v>
      </c>
      <c r="AN2" s="91" t="s">
        <v>334</v>
      </c>
    </row>
    <row r="3" spans="2:40" x14ac:dyDescent="0.35">
      <c r="B3" s="50" t="s">
        <v>3567</v>
      </c>
      <c r="C3" s="50">
        <v>1</v>
      </c>
      <c r="D3" s="111" t="s">
        <v>3785</v>
      </c>
      <c r="E3" s="111">
        <v>45448</v>
      </c>
      <c r="F3" s="50">
        <v>2</v>
      </c>
      <c r="G3" s="114">
        <v>1</v>
      </c>
      <c r="H3" s="198" t="s">
        <v>3786</v>
      </c>
      <c r="I3" s="50" t="s">
        <v>3621</v>
      </c>
      <c r="J3" s="50" t="s">
        <v>3621</v>
      </c>
      <c r="K3" s="50" t="s">
        <v>3621</v>
      </c>
      <c r="L3" s="50" t="s">
        <v>3621</v>
      </c>
      <c r="M3" s="50" t="s">
        <v>3621</v>
      </c>
      <c r="N3" s="50" t="s">
        <v>3621</v>
      </c>
      <c r="O3" s="50" t="s">
        <v>3621</v>
      </c>
      <c r="P3" s="50" t="s">
        <v>3621</v>
      </c>
      <c r="Q3" s="50" t="s">
        <v>3621</v>
      </c>
      <c r="R3" s="50" t="s">
        <v>3621</v>
      </c>
      <c r="S3" s="50" t="s">
        <v>3621</v>
      </c>
      <c r="T3" s="50" t="s">
        <v>3621</v>
      </c>
      <c r="U3" s="50" t="s">
        <v>3621</v>
      </c>
      <c r="V3" s="50" t="s">
        <v>3621</v>
      </c>
      <c r="W3" s="50" t="s">
        <v>3621</v>
      </c>
      <c r="X3" s="50" t="s">
        <v>3621</v>
      </c>
      <c r="Y3" s="50" t="s">
        <v>3621</v>
      </c>
      <c r="Z3" s="50" t="s">
        <v>3621</v>
      </c>
      <c r="AA3" s="50" t="s">
        <v>3621</v>
      </c>
      <c r="AB3" s="50" t="s">
        <v>3621</v>
      </c>
      <c r="AC3" s="50" t="s">
        <v>3621</v>
      </c>
      <c r="AD3" s="50" t="s">
        <v>3621</v>
      </c>
      <c r="AE3" s="50" t="s">
        <v>3621</v>
      </c>
      <c r="AF3" s="50" t="s">
        <v>3621</v>
      </c>
      <c r="AG3" s="50" t="s">
        <v>3621</v>
      </c>
      <c r="AH3" s="50" t="s">
        <v>3621</v>
      </c>
      <c r="AI3" s="50" t="s">
        <v>3621</v>
      </c>
      <c r="AJ3" s="50" t="s">
        <v>3621</v>
      </c>
      <c r="AK3" s="50" t="s">
        <v>3621</v>
      </c>
      <c r="AL3" s="50" t="s">
        <v>3621</v>
      </c>
      <c r="AM3" s="50" t="s">
        <v>3621</v>
      </c>
      <c r="AN3" s="50" t="s">
        <v>3621</v>
      </c>
    </row>
    <row r="4" spans="2:40" x14ac:dyDescent="0.35">
      <c r="B4" s="50" t="s">
        <v>3569</v>
      </c>
      <c r="C4" s="50">
        <v>2</v>
      </c>
      <c r="D4" s="111" t="s">
        <v>3787</v>
      </c>
      <c r="E4" s="111">
        <v>45448</v>
      </c>
      <c r="F4" s="50">
        <v>2</v>
      </c>
      <c r="G4" s="114">
        <v>1</v>
      </c>
      <c r="H4" s="50" t="s">
        <v>3706</v>
      </c>
      <c r="I4" s="50" t="s">
        <v>3621</v>
      </c>
      <c r="J4" s="50" t="s">
        <v>3621</v>
      </c>
      <c r="K4" s="50" t="s">
        <v>3621</v>
      </c>
      <c r="L4" s="50" t="s">
        <v>3621</v>
      </c>
      <c r="M4" s="50" t="s">
        <v>3621</v>
      </c>
      <c r="N4" s="50" t="s">
        <v>3621</v>
      </c>
      <c r="O4" s="50" t="s">
        <v>3621</v>
      </c>
      <c r="P4" s="50" t="s">
        <v>3621</v>
      </c>
      <c r="Q4" s="50" t="s">
        <v>3621</v>
      </c>
      <c r="R4" s="50" t="s">
        <v>3621</v>
      </c>
      <c r="S4" s="50" t="s">
        <v>3621</v>
      </c>
      <c r="T4" s="50" t="s">
        <v>3621</v>
      </c>
      <c r="U4" s="50" t="s">
        <v>3621</v>
      </c>
      <c r="V4" s="50" t="s">
        <v>3621</v>
      </c>
      <c r="W4" s="50" t="s">
        <v>3621</v>
      </c>
      <c r="X4" s="50" t="s">
        <v>3621</v>
      </c>
      <c r="Y4" s="50" t="s">
        <v>3621</v>
      </c>
      <c r="Z4" s="50" t="s">
        <v>3621</v>
      </c>
      <c r="AA4" s="50" t="s">
        <v>3621</v>
      </c>
      <c r="AB4" s="50" t="s">
        <v>3621</v>
      </c>
      <c r="AC4" s="50" t="s">
        <v>3621</v>
      </c>
      <c r="AD4" s="50" t="s">
        <v>3621</v>
      </c>
      <c r="AE4" s="50" t="s">
        <v>3621</v>
      </c>
      <c r="AF4" s="50" t="s">
        <v>3621</v>
      </c>
      <c r="AG4" s="50" t="s">
        <v>3621</v>
      </c>
      <c r="AH4" s="50" t="s">
        <v>3621</v>
      </c>
      <c r="AI4" s="50" t="s">
        <v>3621</v>
      </c>
      <c r="AJ4" s="50" t="s">
        <v>3621</v>
      </c>
      <c r="AK4" s="50" t="s">
        <v>3621</v>
      </c>
      <c r="AL4" s="50" t="s">
        <v>3621</v>
      </c>
      <c r="AM4" s="50" t="s">
        <v>3621</v>
      </c>
      <c r="AN4" s="50" t="s">
        <v>3621</v>
      </c>
    </row>
    <row r="5" spans="2:40" x14ac:dyDescent="0.35">
      <c r="B5" s="50" t="s">
        <v>3571</v>
      </c>
      <c r="C5" s="50">
        <v>3</v>
      </c>
      <c r="D5" s="111" t="s">
        <v>3788</v>
      </c>
      <c r="E5" s="111">
        <v>45448</v>
      </c>
      <c r="F5" s="50">
        <v>2</v>
      </c>
      <c r="G5" s="114">
        <v>1</v>
      </c>
      <c r="H5" s="50" t="s">
        <v>3706</v>
      </c>
      <c r="I5" s="50">
        <v>0</v>
      </c>
      <c r="J5" s="50">
        <v>0</v>
      </c>
      <c r="K5" s="50" t="s">
        <v>3621</v>
      </c>
      <c r="L5" s="50" t="s">
        <v>3621</v>
      </c>
      <c r="M5" s="50" t="s">
        <v>3621</v>
      </c>
      <c r="N5" s="50" t="s">
        <v>3621</v>
      </c>
      <c r="O5" s="50" t="s">
        <v>3621</v>
      </c>
      <c r="P5" s="50" t="s">
        <v>3621</v>
      </c>
      <c r="Q5" s="50" t="s">
        <v>3621</v>
      </c>
      <c r="R5" s="50" t="s">
        <v>3621</v>
      </c>
      <c r="S5" s="50" t="s">
        <v>3621</v>
      </c>
      <c r="T5" s="50" t="s">
        <v>3621</v>
      </c>
      <c r="U5" s="50" t="s">
        <v>3621</v>
      </c>
      <c r="V5" s="50" t="s">
        <v>3621</v>
      </c>
      <c r="W5" s="50" t="s">
        <v>3621</v>
      </c>
      <c r="X5" s="50" t="s">
        <v>3621</v>
      </c>
      <c r="Y5" s="50" t="s">
        <v>3621</v>
      </c>
      <c r="Z5" s="50" t="s">
        <v>3621</v>
      </c>
      <c r="AA5" s="50" t="s">
        <v>3621</v>
      </c>
      <c r="AB5" s="50" t="s">
        <v>3621</v>
      </c>
      <c r="AC5" s="50" t="s">
        <v>3621</v>
      </c>
      <c r="AD5" s="50" t="s">
        <v>3621</v>
      </c>
      <c r="AE5" s="50" t="s">
        <v>3621</v>
      </c>
      <c r="AF5" s="50" t="s">
        <v>3621</v>
      </c>
      <c r="AG5" s="50" t="s">
        <v>3621</v>
      </c>
      <c r="AH5" s="50" t="s">
        <v>3621</v>
      </c>
      <c r="AI5" s="50" t="s">
        <v>3621</v>
      </c>
      <c r="AJ5" s="50" t="s">
        <v>3621</v>
      </c>
      <c r="AK5" s="50" t="s">
        <v>3621</v>
      </c>
      <c r="AL5" s="50" t="s">
        <v>3621</v>
      </c>
      <c r="AM5" s="50">
        <v>0</v>
      </c>
      <c r="AN5" s="50" t="s">
        <v>3621</v>
      </c>
    </row>
    <row r="6" spans="2:40" x14ac:dyDescent="0.35">
      <c r="B6" s="113" t="s">
        <v>3573</v>
      </c>
      <c r="C6" s="50">
        <v>4</v>
      </c>
      <c r="D6" s="50" t="s">
        <v>3624</v>
      </c>
      <c r="E6" s="111" t="s">
        <v>3621</v>
      </c>
      <c r="F6" s="50">
        <v>2</v>
      </c>
      <c r="G6" s="111" t="s">
        <v>3621</v>
      </c>
      <c r="H6" s="50"/>
      <c r="I6" s="50" t="s">
        <v>3621</v>
      </c>
      <c r="J6" s="50" t="s">
        <v>3621</v>
      </c>
      <c r="K6" s="50" t="s">
        <v>3621</v>
      </c>
      <c r="L6" s="50" t="s">
        <v>3621</v>
      </c>
      <c r="M6" s="50" t="s">
        <v>3621</v>
      </c>
      <c r="N6" s="50" t="s">
        <v>3621</v>
      </c>
      <c r="O6" s="50" t="s">
        <v>3621</v>
      </c>
      <c r="P6" s="50" t="s">
        <v>3621</v>
      </c>
      <c r="Q6" s="50" t="s">
        <v>3621</v>
      </c>
      <c r="R6" s="50" t="s">
        <v>3621</v>
      </c>
      <c r="S6" s="114" t="s">
        <v>3621</v>
      </c>
      <c r="T6" s="114" t="s">
        <v>3621</v>
      </c>
      <c r="U6" s="50" t="s">
        <v>3621</v>
      </c>
      <c r="V6" s="50" t="s">
        <v>3621</v>
      </c>
      <c r="W6" s="50" t="s">
        <v>3621</v>
      </c>
      <c r="X6" s="50" t="s">
        <v>3621</v>
      </c>
      <c r="Y6" s="50" t="s">
        <v>3621</v>
      </c>
      <c r="Z6" s="50" t="s">
        <v>3621</v>
      </c>
      <c r="AA6" s="50" t="s">
        <v>3621</v>
      </c>
      <c r="AB6" s="50" t="s">
        <v>3621</v>
      </c>
      <c r="AC6" s="50" t="s">
        <v>3621</v>
      </c>
      <c r="AD6" s="50" t="s">
        <v>3621</v>
      </c>
      <c r="AE6" s="50" t="s">
        <v>3621</v>
      </c>
      <c r="AF6" s="50" t="s">
        <v>3621</v>
      </c>
      <c r="AG6" s="50" t="s">
        <v>3621</v>
      </c>
      <c r="AH6" s="50" t="s">
        <v>3621</v>
      </c>
      <c r="AI6" s="50" t="s">
        <v>3621</v>
      </c>
      <c r="AJ6" s="50" t="s">
        <v>3621</v>
      </c>
      <c r="AK6" s="50" t="s">
        <v>3621</v>
      </c>
      <c r="AL6" s="50" t="s">
        <v>3621</v>
      </c>
      <c r="AM6" s="50" t="s">
        <v>3621</v>
      </c>
      <c r="AN6" s="50" t="s">
        <v>3621</v>
      </c>
    </row>
    <row r="7" spans="2:40" x14ac:dyDescent="0.35">
      <c r="B7" s="113" t="s">
        <v>3575</v>
      </c>
      <c r="C7" s="50">
        <v>5</v>
      </c>
      <c r="D7" s="50" t="s">
        <v>3624</v>
      </c>
      <c r="E7" s="111" t="s">
        <v>3621</v>
      </c>
      <c r="F7" s="50">
        <v>2</v>
      </c>
      <c r="G7" s="111" t="s">
        <v>3621</v>
      </c>
      <c r="H7" s="50"/>
      <c r="I7" s="50" t="s">
        <v>3621</v>
      </c>
      <c r="J7" s="50" t="s">
        <v>3621</v>
      </c>
      <c r="K7" s="50" t="s">
        <v>3621</v>
      </c>
      <c r="L7" s="50" t="s">
        <v>3621</v>
      </c>
      <c r="M7" s="50" t="s">
        <v>3621</v>
      </c>
      <c r="N7" s="50" t="s">
        <v>3621</v>
      </c>
      <c r="O7" s="50" t="s">
        <v>3621</v>
      </c>
      <c r="P7" s="50" t="s">
        <v>3621</v>
      </c>
      <c r="Q7" s="50" t="s">
        <v>3621</v>
      </c>
      <c r="R7" s="50" t="s">
        <v>3621</v>
      </c>
      <c r="S7" s="50" t="s">
        <v>3621</v>
      </c>
      <c r="T7" s="50" t="s">
        <v>3621</v>
      </c>
      <c r="U7" s="50" t="s">
        <v>3621</v>
      </c>
      <c r="V7" s="50" t="s">
        <v>3621</v>
      </c>
      <c r="W7" s="50" t="s">
        <v>3621</v>
      </c>
      <c r="X7" s="50" t="s">
        <v>3621</v>
      </c>
      <c r="Y7" s="50" t="s">
        <v>3621</v>
      </c>
      <c r="Z7" s="50" t="s">
        <v>3621</v>
      </c>
      <c r="AA7" s="50" t="s">
        <v>3621</v>
      </c>
      <c r="AB7" s="50" t="s">
        <v>3621</v>
      </c>
      <c r="AC7" s="50" t="s">
        <v>3621</v>
      </c>
      <c r="AD7" s="50" t="s">
        <v>3621</v>
      </c>
      <c r="AE7" s="50" t="s">
        <v>3621</v>
      </c>
      <c r="AF7" s="50" t="s">
        <v>3621</v>
      </c>
      <c r="AG7" s="50" t="s">
        <v>3621</v>
      </c>
      <c r="AH7" s="50" t="s">
        <v>3621</v>
      </c>
      <c r="AI7" s="50" t="s">
        <v>3621</v>
      </c>
      <c r="AJ7" s="50" t="s">
        <v>3621</v>
      </c>
      <c r="AK7" s="50" t="s">
        <v>3621</v>
      </c>
      <c r="AL7" s="50" t="s">
        <v>3621</v>
      </c>
      <c r="AM7" s="50" t="s">
        <v>3621</v>
      </c>
      <c r="AN7" s="50" t="s">
        <v>3621</v>
      </c>
    </row>
    <row r="8" spans="2:40" x14ac:dyDescent="0.35">
      <c r="B8" s="113" t="s">
        <v>3576</v>
      </c>
      <c r="C8" s="50">
        <v>6</v>
      </c>
      <c r="D8" s="111" t="s">
        <v>3789</v>
      </c>
      <c r="E8" s="111">
        <v>45448</v>
      </c>
      <c r="F8" s="50">
        <v>2</v>
      </c>
      <c r="G8" s="50" cm="1">
        <f t="array" ref="G8">SUMPRODUCT(--(I8:AN8&gt;0))/COUNTA(I8:AN8)</f>
        <v>1</v>
      </c>
      <c r="H8" s="50" t="s">
        <v>3706</v>
      </c>
      <c r="I8" s="50">
        <v>2</v>
      </c>
      <c r="J8" s="50">
        <v>30</v>
      </c>
      <c r="K8" s="50">
        <v>3</v>
      </c>
      <c r="L8" s="50">
        <v>3</v>
      </c>
      <c r="M8" s="50">
        <v>3</v>
      </c>
      <c r="N8" s="111">
        <v>10</v>
      </c>
      <c r="O8" s="111">
        <v>10</v>
      </c>
      <c r="P8" s="50">
        <v>3</v>
      </c>
      <c r="Q8" s="50">
        <v>1</v>
      </c>
      <c r="R8" s="114">
        <v>8</v>
      </c>
      <c r="S8" s="114">
        <v>8</v>
      </c>
      <c r="T8" s="114">
        <v>8</v>
      </c>
      <c r="U8" s="114">
        <v>8</v>
      </c>
      <c r="V8" s="114">
        <v>8</v>
      </c>
      <c r="W8" s="50">
        <v>8</v>
      </c>
      <c r="X8" s="114">
        <v>8</v>
      </c>
      <c r="Y8" s="114">
        <v>8</v>
      </c>
      <c r="Z8" s="50">
        <v>31</v>
      </c>
      <c r="AA8" s="50">
        <v>30</v>
      </c>
      <c r="AB8" s="50">
        <v>32</v>
      </c>
      <c r="AC8" s="50">
        <v>31</v>
      </c>
      <c r="AD8" s="50">
        <v>31</v>
      </c>
      <c r="AE8" s="50">
        <v>30</v>
      </c>
      <c r="AF8" s="50">
        <v>29</v>
      </c>
      <c r="AG8" s="50">
        <v>31</v>
      </c>
      <c r="AH8" s="50">
        <v>27</v>
      </c>
      <c r="AI8" s="50">
        <v>32</v>
      </c>
      <c r="AJ8" s="50">
        <v>3</v>
      </c>
      <c r="AK8" s="50">
        <v>3</v>
      </c>
      <c r="AL8" s="50">
        <v>2</v>
      </c>
      <c r="AM8" s="111">
        <v>10</v>
      </c>
      <c r="AN8" s="111">
        <v>23</v>
      </c>
    </row>
    <row r="9" spans="2:40" x14ac:dyDescent="0.35">
      <c r="B9" s="50" t="s">
        <v>3579</v>
      </c>
      <c r="C9" s="50">
        <v>7</v>
      </c>
      <c r="D9" s="111" t="s">
        <v>3790</v>
      </c>
      <c r="E9" s="111">
        <v>45448</v>
      </c>
      <c r="F9" s="50">
        <v>2</v>
      </c>
      <c r="G9" s="50" cm="1">
        <f t="array" ref="G9">SUMPRODUCT(--(I9:AN9 &lt;= I28:AN28))/COUNTA(I28:AN28)</f>
        <v>0.6875</v>
      </c>
      <c r="H9" s="50" t="s">
        <v>3706</v>
      </c>
      <c r="I9" s="50">
        <v>2</v>
      </c>
      <c r="J9" s="50">
        <v>30</v>
      </c>
      <c r="K9" s="50">
        <v>3</v>
      </c>
      <c r="L9" s="50">
        <v>3</v>
      </c>
      <c r="M9" s="50">
        <v>3</v>
      </c>
      <c r="N9" s="111">
        <v>10</v>
      </c>
      <c r="O9" s="111">
        <v>10</v>
      </c>
      <c r="P9" s="50">
        <v>3</v>
      </c>
      <c r="Q9" s="50">
        <v>1</v>
      </c>
      <c r="R9" s="50">
        <v>18</v>
      </c>
      <c r="S9" s="50">
        <v>18</v>
      </c>
      <c r="T9" s="50">
        <v>20</v>
      </c>
      <c r="U9" s="50">
        <v>17</v>
      </c>
      <c r="V9" s="50">
        <v>17</v>
      </c>
      <c r="W9" s="50">
        <v>12</v>
      </c>
      <c r="X9" s="114">
        <v>19</v>
      </c>
      <c r="Y9" s="114">
        <v>13</v>
      </c>
      <c r="Z9" s="50">
        <v>31</v>
      </c>
      <c r="AA9" s="50">
        <v>30</v>
      </c>
      <c r="AB9" s="50">
        <v>32</v>
      </c>
      <c r="AC9" s="50">
        <v>31</v>
      </c>
      <c r="AD9" s="50">
        <v>31</v>
      </c>
      <c r="AE9" s="50">
        <v>30</v>
      </c>
      <c r="AF9" s="50">
        <v>29</v>
      </c>
      <c r="AG9" s="50">
        <v>31</v>
      </c>
      <c r="AH9" s="50">
        <v>27</v>
      </c>
      <c r="AI9" s="50">
        <v>32</v>
      </c>
      <c r="AJ9" s="50">
        <v>3</v>
      </c>
      <c r="AK9" s="50">
        <v>3</v>
      </c>
      <c r="AL9" s="50">
        <v>2</v>
      </c>
      <c r="AM9" s="111">
        <v>10</v>
      </c>
      <c r="AN9" s="111">
        <v>23</v>
      </c>
    </row>
    <row r="10" spans="2:40" x14ac:dyDescent="0.35">
      <c r="B10" s="50" t="s">
        <v>3582</v>
      </c>
      <c r="C10" s="50">
        <v>8</v>
      </c>
      <c r="D10" s="111" t="s">
        <v>3791</v>
      </c>
      <c r="E10" s="111">
        <v>45448</v>
      </c>
      <c r="F10" s="50">
        <v>2</v>
      </c>
      <c r="G10" s="111" t="s">
        <v>3621</v>
      </c>
      <c r="H10" s="50" t="s">
        <v>3706</v>
      </c>
      <c r="I10" s="50">
        <v>31</v>
      </c>
      <c r="J10" s="50">
        <v>8.9040009999999996E+21</v>
      </c>
      <c r="K10" s="50" t="s">
        <v>3792</v>
      </c>
      <c r="L10" s="50">
        <v>20</v>
      </c>
      <c r="M10" s="111">
        <v>0</v>
      </c>
      <c r="N10" s="111">
        <v>25601</v>
      </c>
      <c r="O10" s="111">
        <v>2958465</v>
      </c>
      <c r="P10" s="50">
        <v>0</v>
      </c>
      <c r="Q10" s="114">
        <v>0</v>
      </c>
      <c r="R10" s="209">
        <v>-1208895086580000</v>
      </c>
      <c r="S10" s="209" t="s">
        <v>3793</v>
      </c>
      <c r="T10" s="114">
        <v>-1.0000000001641E+17</v>
      </c>
      <c r="U10" s="114" t="s">
        <v>3630</v>
      </c>
      <c r="V10" s="114" t="s">
        <v>3630</v>
      </c>
      <c r="W10" s="114" t="s">
        <v>3630</v>
      </c>
      <c r="X10" s="114" t="s">
        <v>3630</v>
      </c>
      <c r="Y10" s="114" t="s">
        <v>3630</v>
      </c>
      <c r="Z10" s="114" t="s">
        <v>1670</v>
      </c>
      <c r="AA10" s="50" t="s">
        <v>1676</v>
      </c>
      <c r="AB10" s="50" t="s">
        <v>1681</v>
      </c>
      <c r="AC10" s="111" t="s">
        <v>1685</v>
      </c>
      <c r="AD10" s="50" t="s">
        <v>1689</v>
      </c>
      <c r="AE10" s="50" t="s">
        <v>1693</v>
      </c>
      <c r="AF10" s="50" t="s">
        <v>1697</v>
      </c>
      <c r="AG10" s="50" t="s">
        <v>1702</v>
      </c>
      <c r="AH10" s="111" t="s">
        <v>1706</v>
      </c>
      <c r="AI10" s="50" t="s">
        <v>1709</v>
      </c>
      <c r="AJ10" s="50" t="s">
        <v>3631</v>
      </c>
      <c r="AK10" s="50" t="s">
        <v>3632</v>
      </c>
      <c r="AL10" s="111" t="s">
        <v>3749</v>
      </c>
      <c r="AM10" s="111">
        <v>45448</v>
      </c>
      <c r="AN10" s="111" t="s">
        <v>3794</v>
      </c>
    </row>
    <row r="11" spans="2:40" x14ac:dyDescent="0.35">
      <c r="B11" s="50" t="s">
        <v>3584</v>
      </c>
      <c r="C11" s="50">
        <v>9</v>
      </c>
      <c r="D11" s="111" t="s">
        <v>3795</v>
      </c>
      <c r="E11" s="111">
        <v>45448</v>
      </c>
      <c r="F11" s="50">
        <v>2</v>
      </c>
      <c r="G11" s="111" t="s">
        <v>3621</v>
      </c>
      <c r="H11" s="50" t="s">
        <v>3706</v>
      </c>
      <c r="I11" s="50">
        <v>31</v>
      </c>
      <c r="J11" s="50">
        <v>8.9040009999999996E+21</v>
      </c>
      <c r="K11" s="50" t="s">
        <v>3796</v>
      </c>
      <c r="L11" s="50">
        <v>20</v>
      </c>
      <c r="M11" s="111">
        <v>0</v>
      </c>
      <c r="N11" s="111">
        <v>25601</v>
      </c>
      <c r="O11" s="111">
        <v>2958465</v>
      </c>
      <c r="P11" s="50">
        <v>36</v>
      </c>
      <c r="Q11" s="50">
        <v>0</v>
      </c>
      <c r="R11" s="111" t="s">
        <v>3797</v>
      </c>
      <c r="S11" s="111" t="s">
        <v>3798</v>
      </c>
      <c r="T11" s="111" t="s">
        <v>3799</v>
      </c>
      <c r="U11" s="50" t="s">
        <v>3706</v>
      </c>
      <c r="V11" s="50" t="s">
        <v>3706</v>
      </c>
      <c r="W11" s="50" t="s">
        <v>3706</v>
      </c>
      <c r="X11" s="114" t="s">
        <v>3706</v>
      </c>
      <c r="Y11" s="114" t="s">
        <v>3706</v>
      </c>
      <c r="Z11" s="114" t="s">
        <v>1670</v>
      </c>
      <c r="AA11" s="50" t="s">
        <v>1676</v>
      </c>
      <c r="AB11" s="50" t="s">
        <v>1681</v>
      </c>
      <c r="AC11" s="111" t="s">
        <v>1685</v>
      </c>
      <c r="AD11" s="50" t="s">
        <v>1689</v>
      </c>
      <c r="AE11" s="50" t="s">
        <v>1693</v>
      </c>
      <c r="AF11" s="50" t="s">
        <v>1697</v>
      </c>
      <c r="AG11" s="50" t="s">
        <v>1702</v>
      </c>
      <c r="AH11" s="111" t="s">
        <v>1706</v>
      </c>
      <c r="AI11" s="50" t="s">
        <v>1709</v>
      </c>
      <c r="AJ11" s="50">
        <v>0</v>
      </c>
      <c r="AK11" s="50" t="s">
        <v>3800</v>
      </c>
      <c r="AL11" s="111" t="s">
        <v>3749</v>
      </c>
      <c r="AM11" s="111">
        <v>45448</v>
      </c>
      <c r="AN11" s="111" t="s">
        <v>3801</v>
      </c>
    </row>
    <row r="12" spans="2:40" x14ac:dyDescent="0.35">
      <c r="B12" s="113" t="s">
        <v>3586</v>
      </c>
      <c r="C12" s="50">
        <v>10</v>
      </c>
      <c r="D12" s="111" t="s">
        <v>3802</v>
      </c>
      <c r="E12" s="111">
        <v>45448</v>
      </c>
      <c r="F12" s="50">
        <v>2</v>
      </c>
      <c r="G12" s="111" t="s">
        <v>3621</v>
      </c>
      <c r="H12" s="50" t="s">
        <v>3706</v>
      </c>
      <c r="I12" s="50">
        <v>31</v>
      </c>
      <c r="J12" s="50">
        <v>7.0060000328101998E+29</v>
      </c>
      <c r="K12" s="50" t="s">
        <v>3803</v>
      </c>
      <c r="L12" s="50">
        <v>931</v>
      </c>
      <c r="M12" s="111" t="s">
        <v>3804</v>
      </c>
      <c r="N12" s="111">
        <v>45448</v>
      </c>
      <c r="O12" s="111">
        <v>2958465</v>
      </c>
      <c r="P12" s="50">
        <v>985</v>
      </c>
      <c r="Q12" s="114">
        <v>1</v>
      </c>
      <c r="R12" s="114">
        <v>509360745520000</v>
      </c>
      <c r="S12" s="114">
        <v>9.999999999999E+16</v>
      </c>
      <c r="T12" s="114">
        <v>714240769230000</v>
      </c>
      <c r="U12" s="114">
        <v>1209000000000000</v>
      </c>
      <c r="V12" s="114">
        <v>1209000000000000</v>
      </c>
      <c r="W12" s="114">
        <v>82574000000</v>
      </c>
      <c r="X12" s="114">
        <v>1.0000000001641E+17</v>
      </c>
      <c r="Y12" s="114">
        <v>141710780000</v>
      </c>
      <c r="Z12" s="50" t="s">
        <v>1670</v>
      </c>
      <c r="AA12" s="50" t="s">
        <v>1676</v>
      </c>
      <c r="AB12" s="50" t="s">
        <v>1681</v>
      </c>
      <c r="AC12" s="50" t="s">
        <v>1685</v>
      </c>
      <c r="AD12" s="50" t="s">
        <v>1689</v>
      </c>
      <c r="AE12" s="50" t="s">
        <v>1693</v>
      </c>
      <c r="AF12" s="50" t="s">
        <v>1697</v>
      </c>
      <c r="AG12" s="50" t="s">
        <v>1702</v>
      </c>
      <c r="AH12" s="50" t="s">
        <v>1706</v>
      </c>
      <c r="AI12" s="50" t="s">
        <v>1709</v>
      </c>
      <c r="AJ12" s="50" t="s">
        <v>3805</v>
      </c>
      <c r="AK12" s="50" t="s">
        <v>3806</v>
      </c>
      <c r="AL12" s="111" t="s">
        <v>3641</v>
      </c>
      <c r="AM12" s="111">
        <v>45448</v>
      </c>
      <c r="AN12" s="50" t="s">
        <v>3794</v>
      </c>
    </row>
    <row r="13" spans="2:40" x14ac:dyDescent="0.35">
      <c r="B13" s="50" t="s">
        <v>3588</v>
      </c>
      <c r="C13" s="50">
        <v>11</v>
      </c>
      <c r="D13" s="111" t="s">
        <v>3807</v>
      </c>
      <c r="E13" s="111">
        <v>45448</v>
      </c>
      <c r="F13" s="50">
        <v>2</v>
      </c>
      <c r="G13" s="111" t="s">
        <v>3621</v>
      </c>
      <c r="H13" s="50" t="s">
        <v>3706</v>
      </c>
      <c r="I13" s="50">
        <v>31</v>
      </c>
      <c r="J13" s="50">
        <v>7.0060000328101998E+29</v>
      </c>
      <c r="K13" s="50" t="s">
        <v>3808</v>
      </c>
      <c r="L13" s="50">
        <v>931</v>
      </c>
      <c r="M13" s="111" t="s">
        <v>3804</v>
      </c>
      <c r="N13" s="111">
        <v>45448</v>
      </c>
      <c r="O13" s="111">
        <v>2958465</v>
      </c>
      <c r="P13" s="111">
        <v>985</v>
      </c>
      <c r="Q13" s="50">
        <v>1</v>
      </c>
      <c r="R13" s="50" t="s">
        <v>3809</v>
      </c>
      <c r="S13" s="111" t="s">
        <v>3810</v>
      </c>
      <c r="T13" s="111" t="s">
        <v>3811</v>
      </c>
      <c r="U13" s="50" t="s">
        <v>3812</v>
      </c>
      <c r="V13" s="50" t="s">
        <v>3812</v>
      </c>
      <c r="W13" s="50" t="s">
        <v>3813</v>
      </c>
      <c r="X13" s="50" t="s">
        <v>3814</v>
      </c>
      <c r="Y13" s="50" t="s">
        <v>3815</v>
      </c>
      <c r="Z13" s="50" t="s">
        <v>1670</v>
      </c>
      <c r="AA13" s="50" t="s">
        <v>1676</v>
      </c>
      <c r="AB13" s="50" t="s">
        <v>1681</v>
      </c>
      <c r="AC13" s="111" t="s">
        <v>1685</v>
      </c>
      <c r="AD13" s="50" t="s">
        <v>1689</v>
      </c>
      <c r="AE13" s="50" t="s">
        <v>1693</v>
      </c>
      <c r="AF13" s="50" t="s">
        <v>1697</v>
      </c>
      <c r="AG13" s="50" t="s">
        <v>1702</v>
      </c>
      <c r="AH13" s="111" t="s">
        <v>1706</v>
      </c>
      <c r="AI13" s="50" t="s">
        <v>1709</v>
      </c>
      <c r="AJ13" s="50">
        <v>8</v>
      </c>
      <c r="AK13" s="50" t="s">
        <v>3816</v>
      </c>
      <c r="AL13" s="111" t="s">
        <v>3749</v>
      </c>
      <c r="AM13" s="111">
        <v>45448</v>
      </c>
      <c r="AN13" s="111" t="s">
        <v>3817</v>
      </c>
    </row>
    <row r="14" spans="2:40" x14ac:dyDescent="0.35">
      <c r="B14" s="50" t="s">
        <v>3590</v>
      </c>
      <c r="C14" s="50">
        <v>12</v>
      </c>
      <c r="D14" s="111" t="s">
        <v>3818</v>
      </c>
      <c r="E14" s="111">
        <v>45448</v>
      </c>
      <c r="F14" s="50">
        <v>2</v>
      </c>
      <c r="G14" s="114" t="s">
        <v>3819</v>
      </c>
      <c r="H14" s="50" t="s">
        <v>3706</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1</v>
      </c>
      <c r="Z14" s="50">
        <v>0</v>
      </c>
      <c r="AA14" s="50">
        <v>0</v>
      </c>
      <c r="AB14" s="50">
        <v>0</v>
      </c>
      <c r="AC14" s="50">
        <v>0</v>
      </c>
      <c r="AD14" s="50">
        <v>0</v>
      </c>
      <c r="AE14" s="50">
        <v>0</v>
      </c>
      <c r="AF14" s="50">
        <v>0</v>
      </c>
      <c r="AG14" s="50">
        <v>0</v>
      </c>
      <c r="AH14" s="50">
        <v>0</v>
      </c>
      <c r="AI14" s="50">
        <v>0</v>
      </c>
      <c r="AJ14" s="50">
        <v>18</v>
      </c>
      <c r="AK14" s="50">
        <v>1140943</v>
      </c>
      <c r="AL14" s="50">
        <v>0</v>
      </c>
      <c r="AM14" s="50">
        <v>0</v>
      </c>
      <c r="AN14" s="50">
        <v>0</v>
      </c>
    </row>
    <row r="15" spans="2:40" x14ac:dyDescent="0.35">
      <c r="B15" s="50" t="s">
        <v>3592</v>
      </c>
      <c r="C15" s="50">
        <v>13</v>
      </c>
      <c r="D15" s="111" t="s">
        <v>3820</v>
      </c>
      <c r="E15" s="111">
        <v>45448</v>
      </c>
      <c r="F15" s="50">
        <v>2</v>
      </c>
      <c r="G15" s="114">
        <v>1</v>
      </c>
      <c r="H15" s="114" t="s">
        <v>3706</v>
      </c>
      <c r="I15" s="50" t="s">
        <v>3621</v>
      </c>
      <c r="J15" s="50" t="s">
        <v>3621</v>
      </c>
      <c r="K15" s="50" t="s">
        <v>3621</v>
      </c>
      <c r="L15" s="50" t="s">
        <v>3621</v>
      </c>
      <c r="M15" s="50" t="s">
        <v>3621</v>
      </c>
      <c r="N15" s="113">
        <v>0</v>
      </c>
      <c r="O15" s="113">
        <v>0</v>
      </c>
      <c r="P15" s="113" t="s">
        <v>3621</v>
      </c>
      <c r="Q15" s="113" t="s">
        <v>3621</v>
      </c>
      <c r="R15" s="113" t="s">
        <v>3621</v>
      </c>
      <c r="S15" s="50" t="s">
        <v>3621</v>
      </c>
      <c r="T15" s="113" t="s">
        <v>3621</v>
      </c>
      <c r="U15" s="50" t="s">
        <v>3621</v>
      </c>
      <c r="V15" s="50" t="s">
        <v>3621</v>
      </c>
      <c r="W15" s="50" t="s">
        <v>3621</v>
      </c>
      <c r="X15" s="50" t="s">
        <v>3621</v>
      </c>
      <c r="Y15" s="50" t="s">
        <v>3621</v>
      </c>
      <c r="Z15" s="50" t="s">
        <v>3621</v>
      </c>
      <c r="AA15" s="50" t="s">
        <v>3621</v>
      </c>
      <c r="AB15" s="50" t="s">
        <v>3621</v>
      </c>
      <c r="AC15" s="50" t="s">
        <v>3621</v>
      </c>
      <c r="AD15" s="50" t="s">
        <v>3621</v>
      </c>
      <c r="AE15" s="50" t="s">
        <v>3621</v>
      </c>
      <c r="AF15" s="50" t="s">
        <v>3621</v>
      </c>
      <c r="AG15" s="50" t="s">
        <v>3621</v>
      </c>
      <c r="AH15" s="50" t="s">
        <v>3621</v>
      </c>
      <c r="AI15" s="50" t="s">
        <v>3621</v>
      </c>
      <c r="AJ15" s="50" t="s">
        <v>3621</v>
      </c>
      <c r="AK15" s="50" t="s">
        <v>3621</v>
      </c>
      <c r="AL15" s="50" t="s">
        <v>3621</v>
      </c>
      <c r="AM15" s="50" t="s">
        <v>3621</v>
      </c>
      <c r="AN15" s="50" t="s">
        <v>3621</v>
      </c>
    </row>
    <row r="16" spans="2:40" x14ac:dyDescent="0.35">
      <c r="B16" s="50" t="s">
        <v>3594</v>
      </c>
      <c r="C16" s="50">
        <v>14</v>
      </c>
      <c r="D16" s="111" t="s">
        <v>3821</v>
      </c>
      <c r="E16" s="111">
        <v>45448</v>
      </c>
      <c r="F16" s="50">
        <v>2</v>
      </c>
      <c r="G16" s="114">
        <v>1</v>
      </c>
      <c r="H16" s="114" t="s">
        <v>3706</v>
      </c>
      <c r="I16" s="50">
        <v>0</v>
      </c>
      <c r="J16" s="50">
        <v>0</v>
      </c>
      <c r="K16" s="50">
        <v>0</v>
      </c>
      <c r="L16" s="50">
        <v>0</v>
      </c>
      <c r="M16" s="50">
        <v>0</v>
      </c>
      <c r="N16" s="113" t="s">
        <v>3621</v>
      </c>
      <c r="O16" s="113" t="s">
        <v>3621</v>
      </c>
      <c r="P16" s="50">
        <v>0</v>
      </c>
      <c r="Q16" s="50">
        <v>0</v>
      </c>
      <c r="R16" s="113" t="s">
        <v>3621</v>
      </c>
      <c r="S16" s="113" t="s">
        <v>3621</v>
      </c>
      <c r="T16" s="50" t="s">
        <v>3621</v>
      </c>
      <c r="U16" s="50" t="s">
        <v>3621</v>
      </c>
      <c r="V16" s="50" t="s">
        <v>3621</v>
      </c>
      <c r="W16" s="50" t="s">
        <v>3621</v>
      </c>
      <c r="X16" s="50" t="s">
        <v>3621</v>
      </c>
      <c r="Y16" s="50" t="s">
        <v>3621</v>
      </c>
      <c r="Z16" s="50" t="s">
        <v>3621</v>
      </c>
      <c r="AA16" s="50" t="s">
        <v>3621</v>
      </c>
      <c r="AB16" s="50" t="s">
        <v>3621</v>
      </c>
      <c r="AC16" s="50" t="s">
        <v>3621</v>
      </c>
      <c r="AD16" s="50" t="s">
        <v>3621</v>
      </c>
      <c r="AE16" s="50" t="s">
        <v>3621</v>
      </c>
      <c r="AF16" s="50" t="s">
        <v>3621</v>
      </c>
      <c r="AG16" s="50" t="s">
        <v>3621</v>
      </c>
      <c r="AH16" s="50" t="s">
        <v>3621</v>
      </c>
      <c r="AI16" s="50" t="s">
        <v>3621</v>
      </c>
      <c r="AJ16" s="50">
        <v>0</v>
      </c>
      <c r="AK16" s="50">
        <v>0</v>
      </c>
      <c r="AL16" s="50">
        <v>0</v>
      </c>
      <c r="AM16" s="50" t="s">
        <v>3621</v>
      </c>
      <c r="AN16" s="50" t="s">
        <v>3621</v>
      </c>
    </row>
    <row r="17" spans="2:41" x14ac:dyDescent="0.35">
      <c r="B17" s="50" t="s">
        <v>3596</v>
      </c>
      <c r="C17" s="50">
        <v>15</v>
      </c>
      <c r="D17" s="111" t="s">
        <v>3822</v>
      </c>
      <c r="E17" s="111">
        <v>45448</v>
      </c>
      <c r="F17" s="50">
        <v>2</v>
      </c>
      <c r="G17" s="114">
        <v>1</v>
      </c>
      <c r="H17" s="267" t="s">
        <v>3823</v>
      </c>
      <c r="I17" s="50" t="s">
        <v>3621</v>
      </c>
      <c r="J17" s="50" t="s">
        <v>3621</v>
      </c>
      <c r="K17" s="50" t="s">
        <v>3621</v>
      </c>
      <c r="L17" s="50" t="s">
        <v>3621</v>
      </c>
      <c r="M17" s="50" t="s">
        <v>3621</v>
      </c>
      <c r="N17" s="50" t="s">
        <v>3621</v>
      </c>
      <c r="O17" s="50" t="s">
        <v>3621</v>
      </c>
      <c r="P17" s="50" t="s">
        <v>3621</v>
      </c>
      <c r="Q17" s="113" t="s">
        <v>3621</v>
      </c>
      <c r="R17" s="50" t="s">
        <v>3621</v>
      </c>
      <c r="S17" s="50" t="s">
        <v>3621</v>
      </c>
      <c r="T17" s="50" t="s">
        <v>3621</v>
      </c>
      <c r="U17" s="50" t="s">
        <v>3621</v>
      </c>
      <c r="V17" s="50" t="s">
        <v>3621</v>
      </c>
      <c r="W17" s="50" t="s">
        <v>3621</v>
      </c>
      <c r="X17" s="50" t="s">
        <v>3621</v>
      </c>
      <c r="Y17" s="50" t="s">
        <v>3621</v>
      </c>
      <c r="Z17" s="50" t="s">
        <v>3621</v>
      </c>
      <c r="AA17" s="50" t="s">
        <v>3621</v>
      </c>
      <c r="AB17" s="50" t="s">
        <v>3621</v>
      </c>
      <c r="AC17" s="50" t="s">
        <v>3621</v>
      </c>
      <c r="AD17" s="50" t="s">
        <v>3621</v>
      </c>
      <c r="AE17" s="50" t="s">
        <v>3621</v>
      </c>
      <c r="AF17" s="50" t="s">
        <v>3621</v>
      </c>
      <c r="AG17" s="50" t="s">
        <v>3621</v>
      </c>
      <c r="AH17" s="50" t="s">
        <v>3621</v>
      </c>
      <c r="AI17" s="50" t="s">
        <v>3621</v>
      </c>
      <c r="AJ17" s="50" t="s">
        <v>3621</v>
      </c>
      <c r="AK17" s="50" t="s">
        <v>3621</v>
      </c>
      <c r="AL17" s="50" t="s">
        <v>3621</v>
      </c>
      <c r="AM17" s="50" t="s">
        <v>3621</v>
      </c>
      <c r="AN17" s="50" t="s">
        <v>3621</v>
      </c>
    </row>
    <row r="18" spans="2:41" x14ac:dyDescent="0.35">
      <c r="B18" s="50" t="s">
        <v>3598</v>
      </c>
      <c r="C18" s="50">
        <v>16</v>
      </c>
      <c r="D18" s="111" t="s">
        <v>3822</v>
      </c>
      <c r="E18" s="111">
        <v>45448</v>
      </c>
      <c r="F18" s="50">
        <v>2</v>
      </c>
      <c r="G18" s="114">
        <v>1</v>
      </c>
      <c r="H18" s="209" t="s">
        <v>3706</v>
      </c>
      <c r="I18" s="50" t="s">
        <v>3621</v>
      </c>
      <c r="J18" s="50" t="s">
        <v>3621</v>
      </c>
      <c r="K18" s="50" t="s">
        <v>3621</v>
      </c>
      <c r="L18" s="50" t="s">
        <v>3621</v>
      </c>
      <c r="M18" s="50" t="s">
        <v>3621</v>
      </c>
      <c r="N18" s="50" t="s">
        <v>3621</v>
      </c>
      <c r="O18" s="50" t="s">
        <v>3621</v>
      </c>
      <c r="P18" s="50" t="s">
        <v>3621</v>
      </c>
      <c r="Q18" s="50" t="s">
        <v>3621</v>
      </c>
      <c r="R18" s="50" t="s">
        <v>3621</v>
      </c>
      <c r="S18" s="50" t="s">
        <v>3621</v>
      </c>
      <c r="T18" s="50" t="s">
        <v>3621</v>
      </c>
      <c r="U18" s="50" t="s">
        <v>3621</v>
      </c>
      <c r="V18" s="50" t="s">
        <v>3621</v>
      </c>
      <c r="W18" s="50" t="s">
        <v>3621</v>
      </c>
      <c r="X18" s="50" t="s">
        <v>3621</v>
      </c>
      <c r="Y18" s="50" t="s">
        <v>3621</v>
      </c>
      <c r="Z18" s="50" t="s">
        <v>3621</v>
      </c>
      <c r="AA18" s="50" t="s">
        <v>3621</v>
      </c>
      <c r="AB18" s="50" t="s">
        <v>3621</v>
      </c>
      <c r="AC18" s="50" t="s">
        <v>3621</v>
      </c>
      <c r="AD18" s="50" t="s">
        <v>3621</v>
      </c>
      <c r="AE18" s="50" t="s">
        <v>3621</v>
      </c>
      <c r="AF18" s="50" t="s">
        <v>3621</v>
      </c>
      <c r="AG18" s="50" t="s">
        <v>3621</v>
      </c>
      <c r="AH18" s="50" t="s">
        <v>3621</v>
      </c>
      <c r="AI18" s="50" t="s">
        <v>3621</v>
      </c>
      <c r="AJ18" s="50" t="s">
        <v>3621</v>
      </c>
      <c r="AK18" s="50" t="s">
        <v>3621</v>
      </c>
      <c r="AL18" s="50" t="s">
        <v>3621</v>
      </c>
      <c r="AM18" s="50" t="s">
        <v>3621</v>
      </c>
      <c r="AN18" s="50" t="s">
        <v>3621</v>
      </c>
    </row>
    <row r="19" spans="2:41" x14ac:dyDescent="0.35">
      <c r="B19" s="50" t="s">
        <v>3600</v>
      </c>
      <c r="C19" s="50">
        <v>17</v>
      </c>
      <c r="D19" s="111" t="s">
        <v>3824</v>
      </c>
      <c r="E19" s="111">
        <v>45448</v>
      </c>
      <c r="F19" s="50">
        <v>2</v>
      </c>
      <c r="G19" s="50" t="s">
        <v>3825</v>
      </c>
      <c r="H19" s="207" t="s">
        <v>3826</v>
      </c>
      <c r="I19" s="50" t="s">
        <v>3621</v>
      </c>
      <c r="J19" s="50" t="s">
        <v>3621</v>
      </c>
      <c r="K19" s="50" t="s">
        <v>3621</v>
      </c>
      <c r="L19" s="50" t="s">
        <v>3621</v>
      </c>
      <c r="M19" s="50" t="s">
        <v>3621</v>
      </c>
      <c r="N19" s="50" t="s">
        <v>3621</v>
      </c>
      <c r="O19" s="50" t="s">
        <v>3621</v>
      </c>
      <c r="P19" s="113" t="s">
        <v>3621</v>
      </c>
      <c r="Q19" s="113" t="s">
        <v>3621</v>
      </c>
      <c r="R19" s="50" t="s">
        <v>3621</v>
      </c>
      <c r="S19" s="50" t="s">
        <v>3621</v>
      </c>
      <c r="T19" s="50" t="s">
        <v>3621</v>
      </c>
      <c r="U19" s="50" t="s">
        <v>3621</v>
      </c>
      <c r="V19" s="50" t="s">
        <v>3621</v>
      </c>
      <c r="W19" s="50" t="s">
        <v>3621</v>
      </c>
      <c r="X19" s="50" t="s">
        <v>3621</v>
      </c>
      <c r="Y19" s="50" t="s">
        <v>3621</v>
      </c>
      <c r="Z19" s="50" t="s">
        <v>3621</v>
      </c>
      <c r="AA19" s="50" t="s">
        <v>3621</v>
      </c>
      <c r="AB19" s="50" t="s">
        <v>3621</v>
      </c>
      <c r="AC19" s="50" t="s">
        <v>3621</v>
      </c>
      <c r="AD19" s="50" t="s">
        <v>3621</v>
      </c>
      <c r="AE19" s="50" t="s">
        <v>3621</v>
      </c>
      <c r="AF19" s="50" t="s">
        <v>3621</v>
      </c>
      <c r="AG19" s="50" t="s">
        <v>3621</v>
      </c>
      <c r="AH19" s="50" t="s">
        <v>3621</v>
      </c>
      <c r="AI19" s="50" t="s">
        <v>3621</v>
      </c>
      <c r="AJ19" s="50" t="s">
        <v>3621</v>
      </c>
      <c r="AK19" s="50" t="s">
        <v>3621</v>
      </c>
      <c r="AL19" s="50" t="s">
        <v>3621</v>
      </c>
      <c r="AM19" s="50" t="s">
        <v>3621</v>
      </c>
      <c r="AN19" s="50" t="s">
        <v>3621</v>
      </c>
    </row>
    <row r="20" spans="2:41" x14ac:dyDescent="0.35">
      <c r="B20" s="50" t="s">
        <v>3602</v>
      </c>
      <c r="C20" s="50">
        <v>18</v>
      </c>
      <c r="D20" s="111" t="s">
        <v>3824</v>
      </c>
      <c r="E20" s="111">
        <v>45448</v>
      </c>
      <c r="F20" s="50">
        <v>2</v>
      </c>
      <c r="G20" s="50" t="s">
        <v>3827</v>
      </c>
      <c r="H20" s="207" t="s">
        <v>3828</v>
      </c>
      <c r="I20" s="50" t="s">
        <v>3621</v>
      </c>
      <c r="J20" s="50" t="s">
        <v>3621</v>
      </c>
      <c r="K20" s="50" t="s">
        <v>3621</v>
      </c>
      <c r="L20" s="50" t="s">
        <v>3621</v>
      </c>
      <c r="M20" s="50" t="s">
        <v>3621</v>
      </c>
      <c r="N20" s="50" t="s">
        <v>3621</v>
      </c>
      <c r="O20" s="50" t="s">
        <v>3621</v>
      </c>
      <c r="P20" s="50" t="s">
        <v>3621</v>
      </c>
      <c r="Q20" s="50" t="s">
        <v>3621</v>
      </c>
      <c r="R20" s="50" t="s">
        <v>3621</v>
      </c>
      <c r="S20" s="50" t="s">
        <v>3621</v>
      </c>
      <c r="T20" s="50" t="s">
        <v>3621</v>
      </c>
      <c r="U20" s="50" t="s">
        <v>3621</v>
      </c>
      <c r="V20" s="50" t="s">
        <v>3621</v>
      </c>
      <c r="W20" s="50" t="s">
        <v>3621</v>
      </c>
      <c r="X20" s="50" t="s">
        <v>3621</v>
      </c>
      <c r="Y20" s="50" t="s">
        <v>3621</v>
      </c>
      <c r="Z20" s="50" t="s">
        <v>3621</v>
      </c>
      <c r="AA20" s="50" t="s">
        <v>3621</v>
      </c>
      <c r="AB20" s="50" t="s">
        <v>3621</v>
      </c>
      <c r="AC20" s="50" t="s">
        <v>3621</v>
      </c>
      <c r="AD20" s="50" t="s">
        <v>3621</v>
      </c>
      <c r="AE20" s="50" t="s">
        <v>3621</v>
      </c>
      <c r="AF20" s="50" t="s">
        <v>3621</v>
      </c>
      <c r="AG20" s="50" t="s">
        <v>3621</v>
      </c>
      <c r="AH20" s="50" t="s">
        <v>3621</v>
      </c>
      <c r="AI20" s="50" t="s">
        <v>3621</v>
      </c>
      <c r="AJ20" s="50" t="s">
        <v>3621</v>
      </c>
      <c r="AK20" s="50" t="s">
        <v>3621</v>
      </c>
      <c r="AL20" s="50" t="s">
        <v>3621</v>
      </c>
      <c r="AM20" s="50" t="s">
        <v>3621</v>
      </c>
      <c r="AN20" s="50" t="s">
        <v>3621</v>
      </c>
    </row>
    <row r="21" spans="2:41" x14ac:dyDescent="0.35">
      <c r="B21" s="50" t="s">
        <v>3604</v>
      </c>
      <c r="C21" s="50">
        <v>19</v>
      </c>
      <c r="D21" s="111" t="s">
        <v>3829</v>
      </c>
      <c r="E21" s="111">
        <v>45448</v>
      </c>
      <c r="F21" s="50">
        <v>2</v>
      </c>
      <c r="G21" s="212" cm="1">
        <f t="array" ref="G21">SUMPRODUCT(--(ISNUMBER((SEARCH(I27:AN27,I21:AN21)))))/COUNTA(I21:AN21)</f>
        <v>0.8125</v>
      </c>
      <c r="H21" s="50" t="s">
        <v>3706</v>
      </c>
      <c r="I21" s="50" t="s">
        <v>3655</v>
      </c>
      <c r="J21" s="50" t="s">
        <v>3655</v>
      </c>
      <c r="K21" s="50" t="s">
        <v>3655</v>
      </c>
      <c r="L21" s="50" t="s">
        <v>3655</v>
      </c>
      <c r="M21" s="50" t="s">
        <v>3655</v>
      </c>
      <c r="N21" s="50" t="s">
        <v>3655</v>
      </c>
      <c r="O21" s="50" t="s">
        <v>3655</v>
      </c>
      <c r="P21" s="50" t="s">
        <v>3655</v>
      </c>
      <c r="Q21" s="50" t="s">
        <v>3655</v>
      </c>
      <c r="R21" s="50" t="s">
        <v>3656</v>
      </c>
      <c r="S21" s="50" t="s">
        <v>3656</v>
      </c>
      <c r="T21" s="50" t="s">
        <v>3656</v>
      </c>
      <c r="U21" s="50" t="s">
        <v>3656</v>
      </c>
      <c r="V21" s="50" t="s">
        <v>3656</v>
      </c>
      <c r="W21" s="50" t="s">
        <v>3656</v>
      </c>
      <c r="X21" s="50" t="s">
        <v>3656</v>
      </c>
      <c r="Y21" s="50" t="s">
        <v>3656</v>
      </c>
      <c r="Z21" s="50" t="s">
        <v>3655</v>
      </c>
      <c r="AA21" s="50" t="s">
        <v>3655</v>
      </c>
      <c r="AB21" s="50" t="s">
        <v>3655</v>
      </c>
      <c r="AC21" s="50" t="s">
        <v>3655</v>
      </c>
      <c r="AD21" s="50" t="s">
        <v>3655</v>
      </c>
      <c r="AE21" s="50" t="s">
        <v>3655</v>
      </c>
      <c r="AF21" s="50" t="s">
        <v>3655</v>
      </c>
      <c r="AG21" s="50" t="s">
        <v>3655</v>
      </c>
      <c r="AH21" s="50" t="s">
        <v>3655</v>
      </c>
      <c r="AI21" s="50" t="s">
        <v>3655</v>
      </c>
      <c r="AJ21" s="50" t="s">
        <v>3655</v>
      </c>
      <c r="AK21" s="50" t="s">
        <v>3655</v>
      </c>
      <c r="AL21" s="50" t="s">
        <v>3655</v>
      </c>
      <c r="AM21" s="50" t="s">
        <v>3655</v>
      </c>
      <c r="AN21" s="50" t="s">
        <v>3657</v>
      </c>
    </row>
    <row r="22" spans="2:41" x14ac:dyDescent="0.35">
      <c r="B22" s="50" t="s">
        <v>3607</v>
      </c>
      <c r="C22" s="50">
        <v>20</v>
      </c>
      <c r="D22" s="111" t="s">
        <v>3829</v>
      </c>
      <c r="E22" s="111">
        <v>45448</v>
      </c>
      <c r="F22" s="50">
        <v>2</v>
      </c>
      <c r="G22" s="50" cm="1">
        <f t="array" ref="G22">SUM(IF(I2:AN2 = I26:AN26, 1, 0))/ COUNTA(I2:AN2)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1" x14ac:dyDescent="0.35">
      <c r="B23" s="50" t="s">
        <v>3610</v>
      </c>
      <c r="C23" s="50">
        <v>21</v>
      </c>
      <c r="D23" s="111" t="s">
        <v>3829</v>
      </c>
      <c r="E23" s="111">
        <v>45448</v>
      </c>
      <c r="F23" s="50">
        <v>2</v>
      </c>
      <c r="G23" s="50" cm="1">
        <f t="array" ref="G23">SUM(IF(IF(G3:G22="null",1,G3:G22)=1,1,0))/COUNT(IF(G3:G22="null",1,0))</f>
        <v>0.75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1" x14ac:dyDescent="0.35">
      <c r="AO24" s="222"/>
    </row>
    <row r="25" spans="2:41" x14ac:dyDescent="0.35">
      <c r="B25" s="143" t="s">
        <v>3727</v>
      </c>
      <c r="AO25" s="223"/>
    </row>
    <row r="26" spans="2:41" x14ac:dyDescent="0.35">
      <c r="B26" s="149" t="s">
        <v>3613</v>
      </c>
      <c r="C26" s="145" t="s">
        <v>3614</v>
      </c>
      <c r="D26" s="145" t="s">
        <v>3615</v>
      </c>
      <c r="E26" s="145" t="s">
        <v>3616</v>
      </c>
      <c r="F26" s="145" t="s">
        <v>3617</v>
      </c>
      <c r="G26" s="145" t="s">
        <v>3618</v>
      </c>
      <c r="H26" s="145" t="s">
        <v>3619</v>
      </c>
      <c r="I26" s="221" t="s">
        <v>121</v>
      </c>
      <c r="J26" s="221" t="s">
        <v>137</v>
      </c>
      <c r="K26" s="221" t="s">
        <v>149</v>
      </c>
      <c r="L26" s="221" t="s">
        <v>156</v>
      </c>
      <c r="M26" s="221" t="s">
        <v>168</v>
      </c>
      <c r="N26" s="221" t="s">
        <v>199</v>
      </c>
      <c r="O26" s="221" t="s">
        <v>211</v>
      </c>
      <c r="P26" s="221" t="s">
        <v>223</v>
      </c>
      <c r="Q26" s="221" t="s">
        <v>239</v>
      </c>
      <c r="R26" s="221" t="s">
        <v>1605</v>
      </c>
      <c r="S26" s="221" t="s">
        <v>1611</v>
      </c>
      <c r="T26" s="221" t="s">
        <v>1618</v>
      </c>
      <c r="U26" s="221" t="s">
        <v>3783</v>
      </c>
      <c r="V26" s="221" t="s">
        <v>3784</v>
      </c>
      <c r="W26" s="221" t="s">
        <v>1644</v>
      </c>
      <c r="X26" s="221" t="s">
        <v>1653</v>
      </c>
      <c r="Y26" s="221" t="s">
        <v>1659</v>
      </c>
      <c r="Z26" s="221" t="s">
        <v>1670</v>
      </c>
      <c r="AA26" s="221" t="s">
        <v>1676</v>
      </c>
      <c r="AB26" s="221" t="s">
        <v>1681</v>
      </c>
      <c r="AC26" s="221" t="s">
        <v>1685</v>
      </c>
      <c r="AD26" s="221" t="s">
        <v>1689</v>
      </c>
      <c r="AE26" s="221" t="s">
        <v>1693</v>
      </c>
      <c r="AF26" s="221" t="s">
        <v>1697</v>
      </c>
      <c r="AG26" s="221" t="s">
        <v>1702</v>
      </c>
      <c r="AH26" s="221" t="s">
        <v>1706</v>
      </c>
      <c r="AI26" s="221" t="s">
        <v>1709</v>
      </c>
      <c r="AJ26" s="221" t="s">
        <v>294</v>
      </c>
      <c r="AK26" s="221" t="s">
        <v>305</v>
      </c>
      <c r="AL26" s="221" t="s">
        <v>318</v>
      </c>
      <c r="AM26" s="221" t="s">
        <v>327</v>
      </c>
      <c r="AN26" s="221" t="s">
        <v>334</v>
      </c>
      <c r="AO26" s="224"/>
    </row>
    <row r="27" spans="2:41" x14ac:dyDescent="0.35">
      <c r="B27" s="123" t="s">
        <v>3658</v>
      </c>
      <c r="C27" s="126">
        <v>21</v>
      </c>
      <c r="D27" s="120" t="s">
        <v>3659</v>
      </c>
      <c r="E27" s="119" t="s">
        <v>3660</v>
      </c>
      <c r="F27" s="119" t="s">
        <v>372</v>
      </c>
      <c r="G27" s="119" t="s">
        <v>372</v>
      </c>
      <c r="H27" s="119" t="s">
        <v>372</v>
      </c>
      <c r="I27" s="119" t="str" cm="1">
        <f t="array" ref="I27:AN28">TRANSPOSE(_xlfn.SORTBY(_xlfn._xlws.FILTER(IF(Table3[FORMATO]:Table3[COMP_ CAMPO]&lt;&gt;"",Table3[FORMATO]:Table3[COMP_ CAMPO],9999999),Table3[NOME FÍSICO TABELA]="current_account"), _xlfn._xlws.FILTER(Table3[ORDEM], Table3[NOME FÍSICO TABELA]="current_account"), 1))</f>
        <v>STRING</v>
      </c>
      <c r="J27" s="119" t="str">
        <v>STRING</v>
      </c>
      <c r="K27" s="119" t="str">
        <v>STRING</v>
      </c>
      <c r="L27" s="119" t="str">
        <v>STRING</v>
      </c>
      <c r="M27" s="119" t="str">
        <v>STRING</v>
      </c>
      <c r="N27" s="119" t="str">
        <v>STRING</v>
      </c>
      <c r="O27" s="119" t="str">
        <v>STRING</v>
      </c>
      <c r="P27" s="119" t="str">
        <v>STRING</v>
      </c>
      <c r="Q27" s="119" t="str">
        <v>STRING</v>
      </c>
      <c r="R27" s="119" t="str">
        <v>DECIMAL</v>
      </c>
      <c r="S27" s="119" t="str">
        <v>DECIMAL</v>
      </c>
      <c r="T27" s="119" t="str">
        <v>DECIMAL</v>
      </c>
      <c r="U27" s="119" t="str">
        <v>DECIMAL</v>
      </c>
      <c r="V27" s="119" t="str">
        <v>DECIMAL</v>
      </c>
      <c r="W27" s="119" t="str">
        <v>DECIMAL</v>
      </c>
      <c r="X27" s="119" t="str">
        <v>DECIMAL</v>
      </c>
      <c r="Y27" s="119" t="str">
        <v>DECIMAL</v>
      </c>
      <c r="Z27" s="119" t="str">
        <v>STRING</v>
      </c>
      <c r="AA27" s="119" t="str">
        <v>STRING</v>
      </c>
      <c r="AB27" s="119" t="str">
        <v>DECIMAL</v>
      </c>
      <c r="AC27" s="119" t="str">
        <v>DECIMAL</v>
      </c>
      <c r="AD27" s="119" t="str">
        <v>DECIMAL</v>
      </c>
      <c r="AE27" s="119" t="str">
        <v>STRING</v>
      </c>
      <c r="AF27" s="119" t="str">
        <v>STRING</v>
      </c>
      <c r="AG27" s="119" t="str">
        <v>DECIMAL</v>
      </c>
      <c r="AH27" s="119" t="str">
        <v>DECIMAL</v>
      </c>
      <c r="AI27" s="119" t="str">
        <v>DECIMAL</v>
      </c>
      <c r="AJ27" s="119" t="str">
        <v>STRING</v>
      </c>
      <c r="AK27" s="119" t="str">
        <v>STRING</v>
      </c>
      <c r="AL27" s="119" t="str">
        <v>STRING</v>
      </c>
      <c r="AM27" s="119" t="str">
        <v>STRING</v>
      </c>
      <c r="AN27" s="119" t="str">
        <v>TIMESTAMP</v>
      </c>
    </row>
    <row r="28" spans="2:41" x14ac:dyDescent="0.35">
      <c r="B28" s="123" t="s">
        <v>3661</v>
      </c>
      <c r="C28" s="126">
        <v>7</v>
      </c>
      <c r="D28" s="120" t="s">
        <v>3659</v>
      </c>
      <c r="E28" s="119" t="s">
        <v>3660</v>
      </c>
      <c r="F28" s="121" t="s">
        <v>372</v>
      </c>
      <c r="G28" s="121" t="s">
        <v>372</v>
      </c>
      <c r="H28" s="121" t="s">
        <v>372</v>
      </c>
      <c r="I28" s="167">
        <v>4</v>
      </c>
      <c r="J28" s="167">
        <v>30</v>
      </c>
      <c r="K28" s="167">
        <v>4</v>
      </c>
      <c r="L28" s="167">
        <v>4</v>
      </c>
      <c r="M28" s="167">
        <v>4</v>
      </c>
      <c r="N28" s="167">
        <v>10</v>
      </c>
      <c r="O28" s="167">
        <v>10</v>
      </c>
      <c r="P28" s="167">
        <v>4</v>
      </c>
      <c r="Q28" s="167">
        <v>4</v>
      </c>
      <c r="R28" s="167">
        <v>23</v>
      </c>
      <c r="S28" s="167">
        <v>23</v>
      </c>
      <c r="T28" s="167">
        <v>23</v>
      </c>
      <c r="U28" s="167">
        <v>23</v>
      </c>
      <c r="V28" s="167">
        <v>23</v>
      </c>
      <c r="W28" s="167">
        <v>23</v>
      </c>
      <c r="X28" s="167">
        <v>23</v>
      </c>
      <c r="Y28" s="167">
        <v>23</v>
      </c>
      <c r="Z28" s="167">
        <v>4</v>
      </c>
      <c r="AA28" s="167">
        <v>4</v>
      </c>
      <c r="AB28" s="167">
        <v>23</v>
      </c>
      <c r="AC28" s="167">
        <v>23</v>
      </c>
      <c r="AD28" s="167">
        <v>23</v>
      </c>
      <c r="AE28" s="126">
        <v>4</v>
      </c>
      <c r="AF28" s="126">
        <v>4</v>
      </c>
      <c r="AG28" s="126">
        <v>23</v>
      </c>
      <c r="AH28" s="126">
        <v>23</v>
      </c>
      <c r="AI28" s="126">
        <v>23</v>
      </c>
      <c r="AJ28" s="126">
        <v>4</v>
      </c>
      <c r="AK28" s="126">
        <v>4</v>
      </c>
      <c r="AL28" s="126">
        <v>2</v>
      </c>
      <c r="AM28" s="126">
        <v>10</v>
      </c>
      <c r="AN28" s="126">
        <v>23</v>
      </c>
    </row>
    <row r="30" spans="2:41" x14ac:dyDescent="0.35">
      <c r="B30" s="156" t="s">
        <v>3662</v>
      </c>
    </row>
    <row r="31" spans="2:41" x14ac:dyDescent="0.35">
      <c r="B31" s="150" t="s">
        <v>3663</v>
      </c>
      <c r="C31" s="150" t="s">
        <v>3664</v>
      </c>
      <c r="D31" s="151" t="s">
        <v>3665</v>
      </c>
      <c r="E31" s="150" t="s">
        <v>3666</v>
      </c>
      <c r="F31" s="150" t="s">
        <v>3667</v>
      </c>
    </row>
    <row r="32" spans="2:41" ht="43.5" x14ac:dyDescent="0.35">
      <c r="B32" s="127" t="s">
        <v>3668</v>
      </c>
      <c r="C32" s="131" t="s">
        <v>283</v>
      </c>
      <c r="D32" s="53" t="s">
        <v>3830</v>
      </c>
      <c r="E32" s="169" t="s">
        <v>3831</v>
      </c>
      <c r="F32" s="152" t="s">
        <v>3674</v>
      </c>
    </row>
    <row r="33" spans="2:16" ht="29" x14ac:dyDescent="0.35">
      <c r="B33" s="127" t="s">
        <v>3832</v>
      </c>
      <c r="C33" s="131" t="s">
        <v>3833</v>
      </c>
      <c r="D33" s="53" t="s">
        <v>3834</v>
      </c>
      <c r="E33" s="169" t="s">
        <v>3835</v>
      </c>
      <c r="F33" s="152" t="s">
        <v>3677</v>
      </c>
    </row>
    <row r="34" spans="2:16" ht="87" x14ac:dyDescent="0.35">
      <c r="B34" s="127" t="s">
        <v>3678</v>
      </c>
      <c r="C34" s="131" t="s">
        <v>3679</v>
      </c>
      <c r="D34" s="53" t="s">
        <v>3836</v>
      </c>
      <c r="E34" s="169" t="s">
        <v>3837</v>
      </c>
      <c r="F34" s="152" t="s">
        <v>3838</v>
      </c>
    </row>
    <row r="35" spans="2:16" ht="58" x14ac:dyDescent="0.35">
      <c r="B35" s="127" t="s">
        <v>3736</v>
      </c>
      <c r="C35" s="131" t="s">
        <v>3679</v>
      </c>
      <c r="D35" s="53" t="s">
        <v>3839</v>
      </c>
      <c r="E35" s="169" t="s">
        <v>3840</v>
      </c>
      <c r="F35" s="152" t="s">
        <v>3841</v>
      </c>
    </row>
    <row r="36" spans="2:16" ht="29" x14ac:dyDescent="0.35">
      <c r="B36" s="127" t="s">
        <v>3771</v>
      </c>
      <c r="C36" s="131" t="s">
        <v>1681</v>
      </c>
      <c r="D36" s="53" t="s">
        <v>3842</v>
      </c>
      <c r="E36" s="169" t="s">
        <v>3843</v>
      </c>
      <c r="F36" s="152" t="s">
        <v>3674</v>
      </c>
    </row>
    <row r="37" spans="2:16" ht="29" x14ac:dyDescent="0.35">
      <c r="B37" s="127" t="s">
        <v>3771</v>
      </c>
      <c r="C37" s="131" t="s">
        <v>1685</v>
      </c>
      <c r="D37" s="53" t="s">
        <v>3842</v>
      </c>
      <c r="E37" s="169" t="s">
        <v>3843</v>
      </c>
      <c r="F37" s="152" t="s">
        <v>3674</v>
      </c>
    </row>
    <row r="38" spans="2:16" ht="29" x14ac:dyDescent="0.35">
      <c r="B38" s="127" t="s">
        <v>3771</v>
      </c>
      <c r="C38" s="131" t="s">
        <v>1689</v>
      </c>
      <c r="D38" s="53" t="s">
        <v>3842</v>
      </c>
      <c r="E38" s="169" t="s">
        <v>3843</v>
      </c>
      <c r="F38" s="152" t="s">
        <v>3674</v>
      </c>
      <c r="I38" s="174"/>
      <c r="J38" s="174"/>
      <c r="K38" s="174"/>
      <c r="L38" s="174"/>
      <c r="M38" s="174"/>
      <c r="N38" s="174"/>
      <c r="O38" s="174"/>
      <c r="P38" s="174"/>
    </row>
    <row r="39" spans="2:16" ht="29" x14ac:dyDescent="0.35">
      <c r="B39" s="127" t="s">
        <v>3771</v>
      </c>
      <c r="C39" s="131" t="s">
        <v>1702</v>
      </c>
      <c r="D39" s="53" t="s">
        <v>3842</v>
      </c>
      <c r="E39" s="169" t="s">
        <v>3843</v>
      </c>
      <c r="F39" s="152" t="s">
        <v>3674</v>
      </c>
      <c r="I39" s="174"/>
      <c r="J39" s="174"/>
      <c r="K39" s="174"/>
      <c r="L39" s="174"/>
      <c r="M39" s="174"/>
      <c r="N39" s="174"/>
      <c r="O39" s="174"/>
      <c r="P39" s="174"/>
    </row>
    <row r="40" spans="2:16" ht="29" x14ac:dyDescent="0.35">
      <c r="B40" s="127" t="s">
        <v>3771</v>
      </c>
      <c r="C40" s="131" t="s">
        <v>1706</v>
      </c>
      <c r="D40" s="53" t="s">
        <v>3842</v>
      </c>
      <c r="E40" s="169" t="s">
        <v>3843</v>
      </c>
      <c r="F40" s="152" t="s">
        <v>3674</v>
      </c>
    </row>
    <row r="41" spans="2:16" ht="29" x14ac:dyDescent="0.35">
      <c r="B41" s="127" t="s">
        <v>3771</v>
      </c>
      <c r="C41" s="131" t="s">
        <v>1709</v>
      </c>
      <c r="D41" s="53" t="s">
        <v>3842</v>
      </c>
      <c r="E41" s="169" t="s">
        <v>3843</v>
      </c>
      <c r="F41" s="152" t="s">
        <v>3674</v>
      </c>
    </row>
    <row r="52" spans="7:7" x14ac:dyDescent="0.35">
      <c r="G52" s="211"/>
    </row>
    <row r="53" spans="7:7" x14ac:dyDescent="0.35">
      <c r="G53" s="211"/>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B1:AS53"/>
  <sheetViews>
    <sheetView showGridLines="0" topLeftCell="A41" workbookViewId="0">
      <selection activeCell="D61" sqref="D61"/>
    </sheetView>
  </sheetViews>
  <sheetFormatPr defaultRowHeight="14.5" x14ac:dyDescent="0.35"/>
  <cols>
    <col min="2" max="2" width="43" customWidth="1"/>
    <col min="3" max="3" width="31.26953125" bestFit="1" customWidth="1"/>
    <col min="4" max="4" width="66.81640625" customWidth="1"/>
    <col min="5" max="5" width="30.453125" bestFit="1" customWidth="1"/>
    <col min="6" max="6" width="23.7265625" customWidth="1"/>
    <col min="7" max="7" width="16.453125"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9" width="30.7265625" bestFit="1" customWidth="1"/>
    <col min="20" max="20" width="28" bestFit="1" customWidth="1"/>
    <col min="21" max="25" width="30.7265625" bestFit="1" customWidth="1"/>
    <col min="26" max="26" width="30.7265625" customWidth="1"/>
    <col min="27" max="28" width="30.7265625" bestFit="1" customWidth="1"/>
    <col min="29" max="29" width="25" bestFit="1" customWidth="1"/>
    <col min="30" max="31" width="30.7265625" bestFit="1" customWidth="1"/>
    <col min="32" max="32" width="44.81640625" customWidth="1"/>
    <col min="33" max="42" width="30.7265625" bestFit="1" customWidth="1"/>
    <col min="43" max="43" width="27.81640625" bestFit="1" customWidth="1"/>
    <col min="44" max="44" width="30.7265625" bestFit="1" customWidth="1"/>
    <col min="45" max="45" width="22.54296875" bestFit="1" customWidth="1"/>
  </cols>
  <sheetData>
    <row r="1" spans="2:45" ht="31.5" customHeight="1" x14ac:dyDescent="0.35"/>
    <row r="2" spans="2:45" x14ac:dyDescent="0.35">
      <c r="B2" s="91" t="s">
        <v>3613</v>
      </c>
      <c r="C2" s="91" t="s">
        <v>3614</v>
      </c>
      <c r="D2" s="91" t="s">
        <v>3615</v>
      </c>
      <c r="E2" s="91" t="s">
        <v>3616</v>
      </c>
      <c r="F2" s="91" t="s">
        <v>3617</v>
      </c>
      <c r="G2" s="91" t="s">
        <v>3618</v>
      </c>
      <c r="H2" s="91" t="s">
        <v>3619</v>
      </c>
      <c r="I2" s="50" t="s">
        <v>121</v>
      </c>
      <c r="J2" s="91" t="s">
        <v>137</v>
      </c>
      <c r="K2" s="91" t="s">
        <v>149</v>
      </c>
      <c r="L2" s="91" t="s">
        <v>156</v>
      </c>
      <c r="M2" s="91" t="s">
        <v>168</v>
      </c>
      <c r="N2" s="91" t="s">
        <v>177</v>
      </c>
      <c r="O2" s="91" t="s">
        <v>188</v>
      </c>
      <c r="P2" s="91" t="s">
        <v>625</v>
      </c>
      <c r="Q2" s="91" t="s">
        <v>575</v>
      </c>
      <c r="R2" s="91" t="s">
        <v>199</v>
      </c>
      <c r="S2" s="91" t="s">
        <v>211</v>
      </c>
      <c r="T2" s="91" t="s">
        <v>223</v>
      </c>
      <c r="U2" s="91" t="s">
        <v>239</v>
      </c>
      <c r="V2" s="91" t="s">
        <v>261</v>
      </c>
      <c r="W2" s="91" t="s">
        <v>880</v>
      </c>
      <c r="X2" s="91" t="s">
        <v>649</v>
      </c>
      <c r="Y2" s="91" t="s">
        <v>272</v>
      </c>
      <c r="Z2" s="91" t="s">
        <v>283</v>
      </c>
      <c r="AA2" s="91" t="s">
        <v>715</v>
      </c>
      <c r="AB2" s="91" t="s">
        <v>429</v>
      </c>
      <c r="AC2" s="91" t="s">
        <v>728</v>
      </c>
      <c r="AD2" s="91" t="s">
        <v>736</v>
      </c>
      <c r="AE2" s="91" t="s">
        <v>934</v>
      </c>
      <c r="AF2" s="91" t="s">
        <v>944</v>
      </c>
      <c r="AG2" s="91" t="s">
        <v>951</v>
      </c>
      <c r="AH2" s="91" t="s">
        <v>958</v>
      </c>
      <c r="AI2" s="91" t="s">
        <v>965</v>
      </c>
      <c r="AJ2" s="91" t="s">
        <v>745</v>
      </c>
      <c r="AK2" s="91" t="s">
        <v>756</v>
      </c>
      <c r="AL2" s="91" t="s">
        <v>766</v>
      </c>
      <c r="AM2" s="91" t="s">
        <v>776</v>
      </c>
      <c r="AN2" s="91" t="s">
        <v>785</v>
      </c>
      <c r="AO2" s="91" t="s">
        <v>294</v>
      </c>
      <c r="AP2" s="91" t="s">
        <v>305</v>
      </c>
      <c r="AQ2" s="91" t="s">
        <v>318</v>
      </c>
      <c r="AR2" s="91" t="s">
        <v>327</v>
      </c>
      <c r="AS2" s="91" t="s">
        <v>334</v>
      </c>
    </row>
    <row r="3" spans="2:45" x14ac:dyDescent="0.35">
      <c r="B3" s="50" t="s">
        <v>3567</v>
      </c>
      <c r="C3" s="50">
        <v>1</v>
      </c>
      <c r="D3" s="50" t="s">
        <v>3844</v>
      </c>
      <c r="E3" s="111">
        <v>45433</v>
      </c>
      <c r="F3" s="50">
        <v>1</v>
      </c>
      <c r="G3" s="50">
        <v>1</v>
      </c>
      <c r="H3" s="207" t="s">
        <v>3845</v>
      </c>
      <c r="I3" s="50" t="s">
        <v>3621</v>
      </c>
      <c r="J3" s="50" t="s">
        <v>3621</v>
      </c>
      <c r="K3" s="50" t="s">
        <v>3621</v>
      </c>
      <c r="L3" s="50" t="s">
        <v>3621</v>
      </c>
      <c r="M3" s="50" t="s">
        <v>3621</v>
      </c>
      <c r="N3" s="50" t="s">
        <v>3621</v>
      </c>
      <c r="O3" s="50" t="s">
        <v>3621</v>
      </c>
      <c r="P3" s="50" t="s">
        <v>3621</v>
      </c>
      <c r="Q3" s="50" t="s">
        <v>3621</v>
      </c>
      <c r="R3" s="50" t="s">
        <v>3621</v>
      </c>
      <c r="S3" s="50" t="s">
        <v>3621</v>
      </c>
      <c r="T3" s="50" t="s">
        <v>3621</v>
      </c>
      <c r="U3" s="50" t="s">
        <v>3621</v>
      </c>
      <c r="V3" s="50" t="s">
        <v>3621</v>
      </c>
      <c r="W3" s="50" t="s">
        <v>3621</v>
      </c>
      <c r="X3" s="50" t="s">
        <v>3621</v>
      </c>
      <c r="Y3" s="50" t="s">
        <v>3621</v>
      </c>
      <c r="Z3" s="50" t="s">
        <v>3621</v>
      </c>
      <c r="AA3" s="50" t="s">
        <v>3621</v>
      </c>
      <c r="AB3" s="50" t="s">
        <v>3621</v>
      </c>
      <c r="AC3" s="50" t="s">
        <v>3621</v>
      </c>
      <c r="AD3" s="203" t="s">
        <v>3621</v>
      </c>
      <c r="AE3" s="203" t="s">
        <v>3621</v>
      </c>
      <c r="AF3" s="50" t="s">
        <v>3621</v>
      </c>
      <c r="AG3" s="50" t="s">
        <v>3621</v>
      </c>
      <c r="AH3" s="50" t="s">
        <v>3621</v>
      </c>
      <c r="AI3" s="50" t="s">
        <v>3621</v>
      </c>
      <c r="AJ3" s="50" t="s">
        <v>3621</v>
      </c>
      <c r="AK3" s="50" t="s">
        <v>3621</v>
      </c>
      <c r="AL3" s="50" t="s">
        <v>3621</v>
      </c>
      <c r="AM3" s="50" t="s">
        <v>3621</v>
      </c>
      <c r="AN3" s="50" t="s">
        <v>3621</v>
      </c>
      <c r="AO3" s="50" t="s">
        <v>3621</v>
      </c>
      <c r="AP3" s="50" t="s">
        <v>3621</v>
      </c>
      <c r="AQ3" s="50" t="s">
        <v>3621</v>
      </c>
      <c r="AR3" s="50" t="s">
        <v>3621</v>
      </c>
      <c r="AS3" s="50" t="s">
        <v>3621</v>
      </c>
    </row>
    <row r="4" spans="2:45" x14ac:dyDescent="0.35">
      <c r="B4" s="50" t="s">
        <v>3569</v>
      </c>
      <c r="C4" s="50">
        <v>2</v>
      </c>
      <c r="D4" s="50" t="s">
        <v>3846</v>
      </c>
      <c r="E4" s="111">
        <v>45433</v>
      </c>
      <c r="F4" s="50">
        <v>1</v>
      </c>
      <c r="G4" s="50">
        <v>1</v>
      </c>
      <c r="H4" s="50" t="s">
        <v>3706</v>
      </c>
      <c r="I4" s="50" t="s">
        <v>3621</v>
      </c>
      <c r="J4" s="50" t="s">
        <v>3621</v>
      </c>
      <c r="K4" s="50" t="s">
        <v>3621</v>
      </c>
      <c r="L4" s="50" t="s">
        <v>3621</v>
      </c>
      <c r="M4" s="50" t="s">
        <v>3621</v>
      </c>
      <c r="N4" s="50" t="s">
        <v>3621</v>
      </c>
      <c r="O4" s="50" t="s">
        <v>3621</v>
      </c>
      <c r="P4" s="50" t="s">
        <v>3621</v>
      </c>
      <c r="Q4" s="50" t="s">
        <v>3621</v>
      </c>
      <c r="R4" s="50" t="s">
        <v>3621</v>
      </c>
      <c r="S4" s="50" t="s">
        <v>3621</v>
      </c>
      <c r="T4" s="50" t="s">
        <v>3621</v>
      </c>
      <c r="U4" s="50" t="s">
        <v>3621</v>
      </c>
      <c r="V4" s="50" t="s">
        <v>3621</v>
      </c>
      <c r="W4" s="50" t="s">
        <v>3621</v>
      </c>
      <c r="X4" s="50" t="s">
        <v>3621</v>
      </c>
      <c r="Y4" s="50" t="s">
        <v>3621</v>
      </c>
      <c r="Z4" s="50" t="s">
        <v>3621</v>
      </c>
      <c r="AA4" s="50" t="s">
        <v>3621</v>
      </c>
      <c r="AB4" s="50" t="s">
        <v>3621</v>
      </c>
      <c r="AC4" s="50" t="s">
        <v>3621</v>
      </c>
      <c r="AD4" s="203" t="s">
        <v>3621</v>
      </c>
      <c r="AE4" s="203" t="s">
        <v>3621</v>
      </c>
      <c r="AF4" s="50" t="s">
        <v>3621</v>
      </c>
      <c r="AG4" s="50" t="s">
        <v>3621</v>
      </c>
      <c r="AH4" s="50" t="s">
        <v>3621</v>
      </c>
      <c r="AI4" s="50" t="s">
        <v>3621</v>
      </c>
      <c r="AJ4" s="50" t="s">
        <v>3621</v>
      </c>
      <c r="AK4" s="50" t="s">
        <v>3621</v>
      </c>
      <c r="AL4" s="50" t="s">
        <v>3621</v>
      </c>
      <c r="AM4" s="50" t="s">
        <v>3621</v>
      </c>
      <c r="AN4" s="50" t="s">
        <v>3621</v>
      </c>
      <c r="AO4" s="50" t="s">
        <v>3621</v>
      </c>
      <c r="AP4" s="50" t="s">
        <v>3621</v>
      </c>
      <c r="AQ4" s="50" t="s">
        <v>3621</v>
      </c>
      <c r="AR4" s="50" t="s">
        <v>3621</v>
      </c>
      <c r="AS4" s="50" t="s">
        <v>3621</v>
      </c>
    </row>
    <row r="5" spans="2:45" x14ac:dyDescent="0.35">
      <c r="B5" s="50" t="s">
        <v>3571</v>
      </c>
      <c r="C5" s="50">
        <v>3</v>
      </c>
      <c r="D5" s="50" t="s">
        <v>3847</v>
      </c>
      <c r="E5" s="111">
        <v>45433</v>
      </c>
      <c r="F5" s="50">
        <v>1</v>
      </c>
      <c r="G5" s="50">
        <v>1</v>
      </c>
      <c r="H5" s="50" t="s">
        <v>3706</v>
      </c>
      <c r="I5" s="50">
        <v>0</v>
      </c>
      <c r="J5" s="50">
        <v>0</v>
      </c>
      <c r="K5" s="50" t="s">
        <v>3621</v>
      </c>
      <c r="L5" s="50" t="s">
        <v>3621</v>
      </c>
      <c r="M5" s="50" t="s">
        <v>3621</v>
      </c>
      <c r="N5" s="50" t="s">
        <v>3621</v>
      </c>
      <c r="O5" s="50" t="s">
        <v>3621</v>
      </c>
      <c r="P5" s="50" t="s">
        <v>3621</v>
      </c>
      <c r="Q5" s="50" t="s">
        <v>3621</v>
      </c>
      <c r="R5" s="50" t="s">
        <v>3621</v>
      </c>
      <c r="S5" s="50" t="s">
        <v>3621</v>
      </c>
      <c r="T5" s="50" t="s">
        <v>3621</v>
      </c>
      <c r="U5" s="50" t="s">
        <v>3621</v>
      </c>
      <c r="V5" s="50" t="s">
        <v>3621</v>
      </c>
      <c r="W5" s="50" t="s">
        <v>3621</v>
      </c>
      <c r="X5" s="50" t="s">
        <v>3621</v>
      </c>
      <c r="Y5" s="50" t="s">
        <v>3621</v>
      </c>
      <c r="Z5" s="50" t="s">
        <v>3621</v>
      </c>
      <c r="AA5" s="50" t="s">
        <v>3621</v>
      </c>
      <c r="AB5" s="50" t="s">
        <v>3621</v>
      </c>
      <c r="AC5" s="50" t="s">
        <v>3621</v>
      </c>
      <c r="AD5" s="203" t="s">
        <v>3621</v>
      </c>
      <c r="AE5" s="203" t="s">
        <v>3621</v>
      </c>
      <c r="AF5" s="50" t="s">
        <v>3621</v>
      </c>
      <c r="AG5" s="50" t="s">
        <v>3621</v>
      </c>
      <c r="AH5" s="50" t="s">
        <v>3621</v>
      </c>
      <c r="AI5" s="50" t="s">
        <v>3621</v>
      </c>
      <c r="AJ5" s="50" t="s">
        <v>3621</v>
      </c>
      <c r="AK5" s="50" t="s">
        <v>3621</v>
      </c>
      <c r="AL5" s="50" t="s">
        <v>3621</v>
      </c>
      <c r="AM5" s="50" t="s">
        <v>3621</v>
      </c>
      <c r="AN5" s="50" t="s">
        <v>3621</v>
      </c>
      <c r="AO5" s="50" t="s">
        <v>3621</v>
      </c>
      <c r="AP5" s="50" t="s">
        <v>3621</v>
      </c>
      <c r="AQ5" s="50" t="s">
        <v>3621</v>
      </c>
      <c r="AR5" s="50">
        <v>0</v>
      </c>
      <c r="AS5" s="50" t="s">
        <v>3621</v>
      </c>
    </row>
    <row r="6" spans="2:45" x14ac:dyDescent="0.35">
      <c r="B6" s="113" t="s">
        <v>3573</v>
      </c>
      <c r="C6" s="50">
        <v>4</v>
      </c>
      <c r="D6" s="50" t="s">
        <v>3624</v>
      </c>
      <c r="E6" s="111" t="s">
        <v>3621</v>
      </c>
      <c r="F6" s="50">
        <v>1</v>
      </c>
      <c r="G6" s="111" t="s">
        <v>3621</v>
      </c>
      <c r="H6" s="50"/>
      <c r="I6" s="50" t="s">
        <v>3621</v>
      </c>
      <c r="J6" s="50" t="s">
        <v>3621</v>
      </c>
      <c r="K6" s="50" t="s">
        <v>3621</v>
      </c>
      <c r="L6" s="50" t="s">
        <v>3621</v>
      </c>
      <c r="M6" s="50" t="s">
        <v>3621</v>
      </c>
      <c r="N6" s="50" t="s">
        <v>3621</v>
      </c>
      <c r="O6" s="50" t="s">
        <v>3621</v>
      </c>
      <c r="P6" s="50" t="s">
        <v>3621</v>
      </c>
      <c r="Q6" s="50" t="s">
        <v>3621</v>
      </c>
      <c r="R6" s="50" t="s">
        <v>3621</v>
      </c>
      <c r="S6" s="50" t="s">
        <v>3621</v>
      </c>
      <c r="T6" s="50" t="s">
        <v>3621</v>
      </c>
      <c r="U6" s="50" t="s">
        <v>3621</v>
      </c>
      <c r="V6" s="50" t="s">
        <v>3621</v>
      </c>
      <c r="W6" s="50" t="s">
        <v>3621</v>
      </c>
      <c r="X6" s="50" t="s">
        <v>3621</v>
      </c>
      <c r="Y6" s="50" t="s">
        <v>3621</v>
      </c>
      <c r="Z6" s="50" t="s">
        <v>3621</v>
      </c>
      <c r="AA6" s="50" t="s">
        <v>3621</v>
      </c>
      <c r="AB6" s="50" t="s">
        <v>3621</v>
      </c>
      <c r="AC6" s="50" t="s">
        <v>3621</v>
      </c>
      <c r="AD6" s="203" t="s">
        <v>3621</v>
      </c>
      <c r="AE6" s="203" t="s">
        <v>3621</v>
      </c>
      <c r="AF6" s="50" t="s">
        <v>3621</v>
      </c>
      <c r="AG6" s="50" t="s">
        <v>3621</v>
      </c>
      <c r="AH6" s="50" t="s">
        <v>3621</v>
      </c>
      <c r="AI6" s="50" t="s">
        <v>3621</v>
      </c>
      <c r="AJ6" s="50" t="s">
        <v>3621</v>
      </c>
      <c r="AK6" s="50" t="s">
        <v>3621</v>
      </c>
      <c r="AL6" s="50" t="s">
        <v>3621</v>
      </c>
      <c r="AM6" s="50" t="s">
        <v>3621</v>
      </c>
      <c r="AN6" s="50" t="s">
        <v>3621</v>
      </c>
      <c r="AO6" s="50" t="s">
        <v>3621</v>
      </c>
      <c r="AP6" s="50" t="s">
        <v>3621</v>
      </c>
      <c r="AQ6" s="50" t="s">
        <v>3621</v>
      </c>
      <c r="AR6" s="50" t="s">
        <v>3621</v>
      </c>
      <c r="AS6" s="50" t="s">
        <v>3621</v>
      </c>
    </row>
    <row r="7" spans="2:45" x14ac:dyDescent="0.35">
      <c r="B7" s="50" t="s">
        <v>3575</v>
      </c>
      <c r="C7" s="50">
        <v>5</v>
      </c>
      <c r="D7" s="50" t="s">
        <v>3624</v>
      </c>
      <c r="E7" s="111" t="s">
        <v>3621</v>
      </c>
      <c r="F7" s="50">
        <v>1</v>
      </c>
      <c r="G7" s="111" t="s">
        <v>3621</v>
      </c>
      <c r="H7" s="50"/>
      <c r="I7" s="50" t="s">
        <v>3621</v>
      </c>
      <c r="J7" s="50" t="s">
        <v>3621</v>
      </c>
      <c r="K7" s="50" t="s">
        <v>3621</v>
      </c>
      <c r="L7" s="50" t="s">
        <v>3621</v>
      </c>
      <c r="M7" s="50" t="s">
        <v>3621</v>
      </c>
      <c r="N7" s="50" t="s">
        <v>3621</v>
      </c>
      <c r="O7" s="50" t="s">
        <v>3621</v>
      </c>
      <c r="P7" s="50" t="s">
        <v>3621</v>
      </c>
      <c r="Q7" s="50" t="s">
        <v>3621</v>
      </c>
      <c r="R7" s="50" t="s">
        <v>3621</v>
      </c>
      <c r="S7" s="50" t="s">
        <v>3621</v>
      </c>
      <c r="T7" s="50" t="s">
        <v>3621</v>
      </c>
      <c r="U7" s="50" t="s">
        <v>3621</v>
      </c>
      <c r="V7" s="50" t="s">
        <v>3621</v>
      </c>
      <c r="W7" s="50" t="s">
        <v>3621</v>
      </c>
      <c r="X7" s="50" t="s">
        <v>3621</v>
      </c>
      <c r="Y7" s="50" t="s">
        <v>3621</v>
      </c>
      <c r="Z7" s="50" t="s">
        <v>3621</v>
      </c>
      <c r="AA7" s="50" t="s">
        <v>3621</v>
      </c>
      <c r="AB7" s="50" t="s">
        <v>3621</v>
      </c>
      <c r="AC7" s="50" t="s">
        <v>3621</v>
      </c>
      <c r="AD7" s="203" t="s">
        <v>3621</v>
      </c>
      <c r="AE7" s="203" t="s">
        <v>3621</v>
      </c>
      <c r="AF7" s="50" t="s">
        <v>3621</v>
      </c>
      <c r="AG7" s="50" t="s">
        <v>3621</v>
      </c>
      <c r="AH7" s="50" t="s">
        <v>3621</v>
      </c>
      <c r="AI7" s="50" t="s">
        <v>3621</v>
      </c>
      <c r="AJ7" s="50" t="s">
        <v>3621</v>
      </c>
      <c r="AK7" s="50" t="s">
        <v>3621</v>
      </c>
      <c r="AL7" s="50" t="s">
        <v>3621</v>
      </c>
      <c r="AM7" s="50" t="s">
        <v>3621</v>
      </c>
      <c r="AN7" s="50" t="s">
        <v>3621</v>
      </c>
      <c r="AO7" s="50" t="s">
        <v>3621</v>
      </c>
      <c r="AP7" s="50" t="s">
        <v>3621</v>
      </c>
      <c r="AQ7" s="50" t="s">
        <v>3621</v>
      </c>
      <c r="AR7" s="50" t="s">
        <v>3621</v>
      </c>
      <c r="AS7" s="50" t="s">
        <v>3621</v>
      </c>
    </row>
    <row r="8" spans="2:45" x14ac:dyDescent="0.35">
      <c r="B8" s="50" t="s">
        <v>3576</v>
      </c>
      <c r="C8" s="50">
        <v>6</v>
      </c>
      <c r="D8" s="50" t="s">
        <v>3848</v>
      </c>
      <c r="E8" s="111">
        <v>45433</v>
      </c>
      <c r="F8" s="50">
        <v>1</v>
      </c>
      <c r="G8" s="50" cm="1">
        <f t="array" ref="G8">SUMPRODUCT(--(I8:AS8&gt;0))/COUNTA(I8:AS8)</f>
        <v>0.97297297297297303</v>
      </c>
      <c r="H8" s="50" t="s">
        <v>3706</v>
      </c>
      <c r="I8" s="50">
        <v>2</v>
      </c>
      <c r="J8" s="50">
        <v>30</v>
      </c>
      <c r="K8" s="50">
        <v>3</v>
      </c>
      <c r="L8" s="50">
        <v>3</v>
      </c>
      <c r="M8" s="50">
        <v>3</v>
      </c>
      <c r="N8" s="50">
        <v>2</v>
      </c>
      <c r="O8" s="50">
        <v>30</v>
      </c>
      <c r="P8" s="50">
        <v>2</v>
      </c>
      <c r="Q8" s="50">
        <v>15</v>
      </c>
      <c r="R8" s="50">
        <v>10</v>
      </c>
      <c r="S8" s="50">
        <v>10</v>
      </c>
      <c r="T8" s="50">
        <v>3</v>
      </c>
      <c r="U8" s="50">
        <v>1</v>
      </c>
      <c r="V8" s="50">
        <v>8</v>
      </c>
      <c r="W8" s="50">
        <v>8</v>
      </c>
      <c r="X8" s="50">
        <v>8</v>
      </c>
      <c r="Y8" s="50">
        <v>8</v>
      </c>
      <c r="Z8" s="50">
        <v>8</v>
      </c>
      <c r="AA8" s="50">
        <v>4</v>
      </c>
      <c r="AB8" s="50">
        <v>4</v>
      </c>
      <c r="AC8" s="50">
        <v>8</v>
      </c>
      <c r="AD8" s="203">
        <v>8</v>
      </c>
      <c r="AE8" s="203">
        <v>1</v>
      </c>
      <c r="AF8" s="50">
        <v>4</v>
      </c>
      <c r="AG8" s="50">
        <v>4</v>
      </c>
      <c r="AH8" s="114">
        <v>0</v>
      </c>
      <c r="AI8" s="50">
        <v>8</v>
      </c>
      <c r="AJ8" s="114">
        <v>3</v>
      </c>
      <c r="AK8" s="50">
        <v>3</v>
      </c>
      <c r="AL8" s="50">
        <v>8</v>
      </c>
      <c r="AM8" s="114">
        <v>8</v>
      </c>
      <c r="AN8" s="50">
        <v>8</v>
      </c>
      <c r="AO8" s="50">
        <v>3</v>
      </c>
      <c r="AP8" s="50">
        <v>3</v>
      </c>
      <c r="AQ8" s="50">
        <v>2</v>
      </c>
      <c r="AR8" s="50">
        <v>10</v>
      </c>
      <c r="AS8" s="50">
        <v>23</v>
      </c>
    </row>
    <row r="9" spans="2:45" x14ac:dyDescent="0.35">
      <c r="B9" s="50" t="s">
        <v>3579</v>
      </c>
      <c r="C9" s="50">
        <v>7</v>
      </c>
      <c r="D9" s="50" t="s">
        <v>3849</v>
      </c>
      <c r="E9" s="111">
        <v>45433</v>
      </c>
      <c r="F9" s="50">
        <v>1</v>
      </c>
      <c r="G9" s="50" cm="1">
        <f t="array" ref="G9">SUMPRODUCT(--(H9:AS9 &lt;= H27:AS27))/COUNTA(H27:AS27)</f>
        <v>1</v>
      </c>
      <c r="H9" s="50" t="s">
        <v>3706</v>
      </c>
      <c r="I9" s="50">
        <v>2</v>
      </c>
      <c r="J9" s="50">
        <v>30</v>
      </c>
      <c r="K9" s="50">
        <v>3</v>
      </c>
      <c r="L9" s="50">
        <v>3</v>
      </c>
      <c r="M9" s="50">
        <v>3</v>
      </c>
      <c r="N9" s="50">
        <v>2</v>
      </c>
      <c r="O9" s="50">
        <v>30</v>
      </c>
      <c r="P9" s="50">
        <v>2</v>
      </c>
      <c r="Q9" s="50">
        <v>15</v>
      </c>
      <c r="R9" s="50">
        <v>10</v>
      </c>
      <c r="S9" s="50">
        <v>10</v>
      </c>
      <c r="T9" s="50">
        <v>3</v>
      </c>
      <c r="U9" s="50">
        <v>1</v>
      </c>
      <c r="V9" s="50">
        <v>15</v>
      </c>
      <c r="W9" s="50">
        <v>14</v>
      </c>
      <c r="X9" s="50">
        <v>8</v>
      </c>
      <c r="Y9" s="50">
        <v>12</v>
      </c>
      <c r="Z9" s="50">
        <v>13</v>
      </c>
      <c r="AA9" s="50">
        <v>10</v>
      </c>
      <c r="AB9" s="50">
        <v>10</v>
      </c>
      <c r="AC9" s="50">
        <v>13</v>
      </c>
      <c r="AD9" s="203">
        <v>13</v>
      </c>
      <c r="AE9" s="203">
        <v>4</v>
      </c>
      <c r="AF9" s="50">
        <v>10</v>
      </c>
      <c r="AG9" s="50">
        <v>10</v>
      </c>
      <c r="AH9" s="50">
        <v>18</v>
      </c>
      <c r="AI9" s="50">
        <v>15</v>
      </c>
      <c r="AJ9" s="50">
        <v>4</v>
      </c>
      <c r="AK9" s="50">
        <v>4</v>
      </c>
      <c r="AL9" s="50">
        <v>9</v>
      </c>
      <c r="AM9" s="114">
        <v>8</v>
      </c>
      <c r="AN9" s="50">
        <v>9</v>
      </c>
      <c r="AO9" s="50">
        <v>3</v>
      </c>
      <c r="AP9" s="50">
        <v>3</v>
      </c>
      <c r="AQ9" s="50">
        <v>2</v>
      </c>
      <c r="AR9" s="50">
        <v>10</v>
      </c>
      <c r="AS9" s="50">
        <v>23</v>
      </c>
    </row>
    <row r="10" spans="2:45" x14ac:dyDescent="0.35">
      <c r="B10" s="113" t="s">
        <v>3582</v>
      </c>
      <c r="C10" s="50">
        <v>8</v>
      </c>
      <c r="D10" s="50" t="s">
        <v>3850</v>
      </c>
      <c r="E10" s="111">
        <v>45433</v>
      </c>
      <c r="F10" s="50">
        <v>1</v>
      </c>
      <c r="G10" s="111" t="s">
        <v>3621</v>
      </c>
      <c r="H10" s="50" t="s">
        <v>3706</v>
      </c>
      <c r="I10" s="50">
        <v>31</v>
      </c>
      <c r="J10" s="50">
        <v>5.0000028006999999E+25</v>
      </c>
      <c r="K10" s="50" t="s">
        <v>3851</v>
      </c>
      <c r="L10" s="50">
        <v>7</v>
      </c>
      <c r="M10" s="50">
        <v>101</v>
      </c>
      <c r="N10" s="50">
        <v>31</v>
      </c>
      <c r="O10" s="50">
        <v>2.2822000999999998E+22</v>
      </c>
      <c r="P10" s="50">
        <v>31</v>
      </c>
      <c r="Q10" s="50">
        <v>50000028007</v>
      </c>
      <c r="R10" s="111">
        <v>35300</v>
      </c>
      <c r="S10" s="111">
        <v>42025</v>
      </c>
      <c r="T10" s="50">
        <v>124</v>
      </c>
      <c r="U10" s="111">
        <v>0</v>
      </c>
      <c r="V10" s="111" t="s">
        <v>3630</v>
      </c>
      <c r="W10" s="114" t="s">
        <v>3630</v>
      </c>
      <c r="X10" s="50" t="s">
        <v>3630</v>
      </c>
      <c r="Y10" s="111" t="s">
        <v>3630</v>
      </c>
      <c r="Z10" s="111" t="s">
        <v>3630</v>
      </c>
      <c r="AA10" s="50" t="e">
        <v>#N/A</v>
      </c>
      <c r="AB10" s="114" t="e">
        <v>#N/A</v>
      </c>
      <c r="AC10" s="50" t="s">
        <v>3630</v>
      </c>
      <c r="AD10" s="217" t="s">
        <v>3630</v>
      </c>
      <c r="AE10" s="203" t="e">
        <v>#N/A</v>
      </c>
      <c r="AF10" s="114" t="e">
        <v>#N/A</v>
      </c>
      <c r="AG10" s="114" t="e">
        <v>#N/A</v>
      </c>
      <c r="AH10" s="114"/>
      <c r="AI10" s="50" t="s">
        <v>3630</v>
      </c>
      <c r="AJ10" s="114" t="e">
        <v>#N/A</v>
      </c>
      <c r="AK10" s="50" t="e">
        <v>#N/A</v>
      </c>
      <c r="AL10" s="114">
        <v>-2250000</v>
      </c>
      <c r="AM10" s="114" t="s">
        <v>3630</v>
      </c>
      <c r="AN10" s="114" t="s">
        <v>3630</v>
      </c>
      <c r="AO10" s="50" t="s">
        <v>3631</v>
      </c>
      <c r="AP10" s="50" t="s">
        <v>3632</v>
      </c>
      <c r="AQ10" s="111" t="s">
        <v>3749</v>
      </c>
      <c r="AR10" s="111">
        <v>45433</v>
      </c>
      <c r="AS10" s="111" t="s">
        <v>3852</v>
      </c>
    </row>
    <row r="11" spans="2:45" x14ac:dyDescent="0.35">
      <c r="B11" s="50" t="s">
        <v>3584</v>
      </c>
      <c r="C11" s="50">
        <v>9</v>
      </c>
      <c r="D11" s="50" t="s">
        <v>3853</v>
      </c>
      <c r="E11" s="111">
        <v>45433</v>
      </c>
      <c r="F11" s="50">
        <v>1</v>
      </c>
      <c r="G11" s="111" t="s">
        <v>3621</v>
      </c>
      <c r="H11" s="50" t="s">
        <v>3706</v>
      </c>
      <c r="I11" s="50">
        <v>31</v>
      </c>
      <c r="J11" s="50">
        <v>5.0000028006999999E+25</v>
      </c>
      <c r="K11" s="50"/>
      <c r="L11" s="50">
        <v>7</v>
      </c>
      <c r="M11" s="50">
        <v>101</v>
      </c>
      <c r="N11" s="50"/>
      <c r="O11" s="50" t="e">
        <v>#N/A</v>
      </c>
      <c r="P11" s="50"/>
      <c r="Q11" s="50" t="e">
        <v>#N/A</v>
      </c>
      <c r="R11" s="111">
        <v>35300</v>
      </c>
      <c r="S11" s="111">
        <v>42025</v>
      </c>
      <c r="T11" s="50">
        <v>124</v>
      </c>
      <c r="U11" s="111">
        <v>0</v>
      </c>
      <c r="V11" s="111" t="s">
        <v>3706</v>
      </c>
      <c r="W11" s="50" t="s">
        <v>3706</v>
      </c>
      <c r="X11" s="50" t="s">
        <v>3706</v>
      </c>
      <c r="Y11" s="111" t="s">
        <v>3706</v>
      </c>
      <c r="Z11" s="111" t="s">
        <v>3706</v>
      </c>
      <c r="AA11" s="50" t="e">
        <v>#N/A</v>
      </c>
      <c r="AB11" s="50" t="e">
        <v>#N/A</v>
      </c>
      <c r="AC11" s="50" t="s">
        <v>3706</v>
      </c>
      <c r="AD11" s="203" t="s">
        <v>3706</v>
      </c>
      <c r="AE11" s="203" t="e">
        <v>#N/A</v>
      </c>
      <c r="AF11" s="50" t="e">
        <v>#N/A</v>
      </c>
      <c r="AG11" s="50" t="e">
        <v>#N/A</v>
      </c>
      <c r="AH11" s="50"/>
      <c r="AI11" s="50" t="s">
        <v>3706</v>
      </c>
      <c r="AJ11" s="50" t="e">
        <v>#N/A</v>
      </c>
      <c r="AK11" s="50" t="e">
        <v>#N/A</v>
      </c>
      <c r="AL11" s="114">
        <v>-22500000</v>
      </c>
      <c r="AM11" s="114">
        <v>0</v>
      </c>
      <c r="AN11" s="114">
        <v>0</v>
      </c>
      <c r="AO11" s="50">
        <v>0</v>
      </c>
      <c r="AP11" s="50" t="s">
        <v>3854</v>
      </c>
      <c r="AQ11" s="111" t="s">
        <v>3749</v>
      </c>
      <c r="AR11" s="111">
        <v>45433</v>
      </c>
      <c r="AS11" s="111" t="s">
        <v>3855</v>
      </c>
    </row>
    <row r="12" spans="2:45" x14ac:dyDescent="0.35">
      <c r="B12" s="50" t="s">
        <v>3586</v>
      </c>
      <c r="C12" s="50">
        <v>10</v>
      </c>
      <c r="D12" s="50" t="s">
        <v>3856</v>
      </c>
      <c r="E12" s="111">
        <v>45433</v>
      </c>
      <c r="F12" s="50">
        <v>1</v>
      </c>
      <c r="G12" s="111" t="s">
        <v>3621</v>
      </c>
      <c r="H12" s="50" t="s">
        <v>3706</v>
      </c>
      <c r="I12" s="50">
        <v>31</v>
      </c>
      <c r="J12" s="50">
        <v>6.0750007000001898E+29</v>
      </c>
      <c r="K12" s="50" t="s">
        <v>3851</v>
      </c>
      <c r="L12" s="50">
        <v>29</v>
      </c>
      <c r="M12" s="50" t="s">
        <v>3857</v>
      </c>
      <c r="N12" s="50">
        <v>31</v>
      </c>
      <c r="O12" s="50">
        <v>2.3930258433501999E+29</v>
      </c>
      <c r="P12" s="50">
        <v>31</v>
      </c>
      <c r="Q12" s="50">
        <v>607500070000019</v>
      </c>
      <c r="R12" s="111">
        <v>45441</v>
      </c>
      <c r="S12" s="111">
        <v>2958465</v>
      </c>
      <c r="T12" s="50" t="s">
        <v>3639</v>
      </c>
      <c r="U12" s="111">
        <v>1</v>
      </c>
      <c r="V12" s="111">
        <v>70000000000000</v>
      </c>
      <c r="W12" s="114">
        <v>9500000000000</v>
      </c>
      <c r="X12" s="50" t="s">
        <v>3630</v>
      </c>
      <c r="Y12" s="111">
        <v>94818240000</v>
      </c>
      <c r="Z12" s="111">
        <v>328950890000</v>
      </c>
      <c r="AA12" s="111">
        <v>45787</v>
      </c>
      <c r="AB12" s="114">
        <v>2958465</v>
      </c>
      <c r="AC12" s="114">
        <v>403478750000</v>
      </c>
      <c r="AD12" s="218">
        <v>691581370000</v>
      </c>
      <c r="AE12" s="203">
        <v>0</v>
      </c>
      <c r="AF12" s="114">
        <v>2958465</v>
      </c>
      <c r="AG12" s="209">
        <v>2958465</v>
      </c>
      <c r="AH12" s="114" t="s">
        <v>3858</v>
      </c>
      <c r="AI12" s="114">
        <v>19152000000000</v>
      </c>
      <c r="AJ12" s="114" t="s">
        <v>3700</v>
      </c>
      <c r="AK12" s="50" t="s">
        <v>3859</v>
      </c>
      <c r="AL12" s="114">
        <v>5294660</v>
      </c>
      <c r="AM12" s="114">
        <v>9500000</v>
      </c>
      <c r="AN12" s="114">
        <v>10522000</v>
      </c>
      <c r="AO12" s="50" t="s">
        <v>3860</v>
      </c>
      <c r="AP12" s="50" t="s">
        <v>3632</v>
      </c>
      <c r="AQ12" s="111" t="s">
        <v>3641</v>
      </c>
      <c r="AR12" s="111">
        <v>45448</v>
      </c>
      <c r="AS12" s="111" t="s">
        <v>3852</v>
      </c>
    </row>
    <row r="13" spans="2:45" x14ac:dyDescent="0.35">
      <c r="B13" s="50" t="s">
        <v>3588</v>
      </c>
      <c r="C13" s="50">
        <v>11</v>
      </c>
      <c r="D13" s="50" t="s">
        <v>3861</v>
      </c>
      <c r="E13" s="111">
        <v>45433</v>
      </c>
      <c r="F13" s="50">
        <v>1</v>
      </c>
      <c r="G13" s="111" t="s">
        <v>3621</v>
      </c>
      <c r="H13" s="50" t="s">
        <v>3706</v>
      </c>
      <c r="I13" s="50">
        <v>31</v>
      </c>
      <c r="J13" s="50">
        <v>6.0750007000001898E+29</v>
      </c>
      <c r="K13" s="50">
        <v>31</v>
      </c>
      <c r="L13" s="50">
        <v>29</v>
      </c>
      <c r="M13" s="50" t="s">
        <v>3857</v>
      </c>
      <c r="N13" s="50" t="e">
        <v>#N/A</v>
      </c>
      <c r="O13" s="50">
        <v>2.3930258433501999E+29</v>
      </c>
      <c r="P13" s="50" t="e">
        <v>#N/A</v>
      </c>
      <c r="Q13" s="50">
        <v>607500070000019</v>
      </c>
      <c r="R13" s="111">
        <v>45441</v>
      </c>
      <c r="S13" s="111">
        <v>2958465</v>
      </c>
      <c r="T13" s="50" t="s">
        <v>3639</v>
      </c>
      <c r="U13" s="111">
        <v>1</v>
      </c>
      <c r="V13" s="111" t="s">
        <v>3862</v>
      </c>
      <c r="W13" s="50" t="s">
        <v>3863</v>
      </c>
      <c r="X13" s="50" t="s">
        <v>649</v>
      </c>
      <c r="Y13" s="111" t="s">
        <v>3864</v>
      </c>
      <c r="Z13" s="111" t="s">
        <v>3865</v>
      </c>
      <c r="AA13" s="111">
        <v>45787</v>
      </c>
      <c r="AB13" s="111">
        <v>2958465</v>
      </c>
      <c r="AC13" s="50" t="s">
        <v>3866</v>
      </c>
      <c r="AD13" s="203" t="s">
        <v>3867</v>
      </c>
      <c r="AE13" s="203">
        <v>0</v>
      </c>
      <c r="AF13" s="111">
        <v>2958465</v>
      </c>
      <c r="AG13" s="111">
        <v>2958465</v>
      </c>
      <c r="AH13" s="50" t="s">
        <v>3858</v>
      </c>
      <c r="AI13" s="50" t="s">
        <v>3868</v>
      </c>
      <c r="AJ13" s="50" t="s">
        <v>3700</v>
      </c>
      <c r="AK13" s="50" t="s">
        <v>3859</v>
      </c>
      <c r="AL13" s="114">
        <v>52946600</v>
      </c>
      <c r="AM13" s="114">
        <v>95000000</v>
      </c>
      <c r="AN13" s="114">
        <v>105220000</v>
      </c>
      <c r="AO13" s="50" t="s">
        <v>3869</v>
      </c>
      <c r="AP13" s="50" t="s">
        <v>3816</v>
      </c>
      <c r="AQ13" s="111" t="s">
        <v>3641</v>
      </c>
      <c r="AR13" s="111">
        <v>45448</v>
      </c>
      <c r="AS13" s="111" t="s">
        <v>3870</v>
      </c>
    </row>
    <row r="14" spans="2:45" x14ac:dyDescent="0.35">
      <c r="B14" s="50" t="s">
        <v>3590</v>
      </c>
      <c r="C14" s="50">
        <v>12</v>
      </c>
      <c r="D14" s="50" t="s">
        <v>3871</v>
      </c>
      <c r="E14" s="111">
        <v>45433</v>
      </c>
      <c r="F14" s="50">
        <v>1</v>
      </c>
      <c r="G14" s="50">
        <v>0.46</v>
      </c>
      <c r="H14" s="50" t="s">
        <v>3706</v>
      </c>
      <c r="I14" s="50">
        <v>0</v>
      </c>
      <c r="J14" s="50">
        <v>0</v>
      </c>
      <c r="K14" s="50">
        <v>0</v>
      </c>
      <c r="L14" s="50">
        <v>0</v>
      </c>
      <c r="M14" s="50">
        <v>0</v>
      </c>
      <c r="N14" s="50">
        <v>53</v>
      </c>
      <c r="O14" s="50">
        <v>53</v>
      </c>
      <c r="P14" s="50">
        <v>160</v>
      </c>
      <c r="Q14" s="50">
        <v>160</v>
      </c>
      <c r="R14" s="50">
        <v>0</v>
      </c>
      <c r="S14" s="50">
        <v>0</v>
      </c>
      <c r="T14" s="50">
        <v>0</v>
      </c>
      <c r="U14" s="50">
        <v>0</v>
      </c>
      <c r="V14" s="50">
        <v>160</v>
      </c>
      <c r="W14" s="50">
        <v>13764</v>
      </c>
      <c r="X14" s="50">
        <v>160536</v>
      </c>
      <c r="Y14" s="50">
        <v>0</v>
      </c>
      <c r="Z14" s="50">
        <v>0</v>
      </c>
      <c r="AA14" s="50">
        <v>160</v>
      </c>
      <c r="AB14" s="50">
        <v>160</v>
      </c>
      <c r="AC14" s="50">
        <v>160</v>
      </c>
      <c r="AD14" s="203">
        <v>0</v>
      </c>
      <c r="AE14" s="203">
        <v>160</v>
      </c>
      <c r="AF14" s="50">
        <v>160</v>
      </c>
      <c r="AG14" s="50">
        <v>160</v>
      </c>
      <c r="AH14" s="50">
        <v>160</v>
      </c>
      <c r="AI14" s="50">
        <v>160</v>
      </c>
      <c r="AJ14" s="50">
        <v>160</v>
      </c>
      <c r="AK14" s="50">
        <v>160</v>
      </c>
      <c r="AL14" s="50">
        <v>82815</v>
      </c>
      <c r="AM14" s="50">
        <v>160</v>
      </c>
      <c r="AN14" s="50">
        <v>82815</v>
      </c>
      <c r="AO14" s="50">
        <v>0</v>
      </c>
      <c r="AP14" s="50">
        <v>0</v>
      </c>
      <c r="AQ14" s="50">
        <v>0</v>
      </c>
      <c r="AR14" s="50">
        <v>0</v>
      </c>
      <c r="AS14" s="50">
        <v>0</v>
      </c>
    </row>
    <row r="15" spans="2:45" x14ac:dyDescent="0.35">
      <c r="B15" s="50" t="s">
        <v>3592</v>
      </c>
      <c r="C15" s="50">
        <v>13</v>
      </c>
      <c r="D15" s="50" t="s">
        <v>3872</v>
      </c>
      <c r="E15" s="111">
        <v>45433</v>
      </c>
      <c r="F15" s="50">
        <v>1</v>
      </c>
      <c r="G15" s="50">
        <v>1</v>
      </c>
      <c r="H15" s="50" t="s">
        <v>3706</v>
      </c>
      <c r="I15" s="50" t="s">
        <v>3621</v>
      </c>
      <c r="J15" s="50" t="s">
        <v>3621</v>
      </c>
      <c r="K15" s="50" t="s">
        <v>3621</v>
      </c>
      <c r="L15" s="50" t="s">
        <v>3621</v>
      </c>
      <c r="M15" s="50" t="s">
        <v>3621</v>
      </c>
      <c r="N15" s="50" t="s">
        <v>3621</v>
      </c>
      <c r="O15" s="50" t="s">
        <v>3621</v>
      </c>
      <c r="P15" s="50" t="s">
        <v>3621</v>
      </c>
      <c r="Q15" s="50" t="s">
        <v>3621</v>
      </c>
      <c r="R15" s="113">
        <v>0</v>
      </c>
      <c r="S15" s="113">
        <v>0</v>
      </c>
      <c r="T15" s="50" t="s">
        <v>3621</v>
      </c>
      <c r="U15" s="113" t="s">
        <v>3621</v>
      </c>
      <c r="V15" s="113" t="s">
        <v>3621</v>
      </c>
      <c r="W15" s="50" t="s">
        <v>3621</v>
      </c>
      <c r="X15" s="50" t="s">
        <v>3621</v>
      </c>
      <c r="Y15" s="113" t="s">
        <v>3621</v>
      </c>
      <c r="Z15" s="113" t="s">
        <v>3621</v>
      </c>
      <c r="AA15" s="50">
        <v>0</v>
      </c>
      <c r="AB15" s="50">
        <v>0</v>
      </c>
      <c r="AC15" s="50" t="s">
        <v>3621</v>
      </c>
      <c r="AD15" s="219" t="s">
        <v>3621</v>
      </c>
      <c r="AE15" s="203" t="s">
        <v>3621</v>
      </c>
      <c r="AF15" s="50">
        <v>0</v>
      </c>
      <c r="AG15" s="50">
        <v>0</v>
      </c>
      <c r="AH15" s="50" t="s">
        <v>3621</v>
      </c>
      <c r="AI15" s="50" t="s">
        <v>3621</v>
      </c>
      <c r="AJ15" s="50" t="s">
        <v>3621</v>
      </c>
      <c r="AK15" s="50" t="s">
        <v>3621</v>
      </c>
      <c r="AL15" s="50" t="s">
        <v>3621</v>
      </c>
      <c r="AM15" s="50" t="s">
        <v>3621</v>
      </c>
      <c r="AN15" s="50" t="s">
        <v>3621</v>
      </c>
      <c r="AO15" s="50" t="s">
        <v>3621</v>
      </c>
      <c r="AP15" s="50" t="s">
        <v>3621</v>
      </c>
      <c r="AQ15" s="50" t="s">
        <v>3621</v>
      </c>
      <c r="AR15" s="50" t="s">
        <v>3621</v>
      </c>
      <c r="AS15" s="50" t="s">
        <v>3621</v>
      </c>
    </row>
    <row r="16" spans="2:45" x14ac:dyDescent="0.35">
      <c r="B16" s="50" t="s">
        <v>3594</v>
      </c>
      <c r="C16" s="50">
        <v>14</v>
      </c>
      <c r="D16" s="50" t="s">
        <v>3873</v>
      </c>
      <c r="E16" s="111">
        <v>45433</v>
      </c>
      <c r="F16" s="50">
        <v>1</v>
      </c>
      <c r="G16" s="50">
        <v>1</v>
      </c>
      <c r="H16" s="50" t="s">
        <v>3706</v>
      </c>
      <c r="I16" s="50">
        <v>0</v>
      </c>
      <c r="J16" s="50">
        <v>0</v>
      </c>
      <c r="K16" s="50">
        <v>0</v>
      </c>
      <c r="L16" s="50">
        <v>0</v>
      </c>
      <c r="M16" s="50">
        <v>0</v>
      </c>
      <c r="N16" s="50">
        <v>0</v>
      </c>
      <c r="O16" s="50">
        <v>0</v>
      </c>
      <c r="P16" s="50">
        <v>0</v>
      </c>
      <c r="Q16" s="50">
        <v>0</v>
      </c>
      <c r="R16" s="50" t="s">
        <v>3621</v>
      </c>
      <c r="S16" s="50" t="s">
        <v>3621</v>
      </c>
      <c r="T16" s="50">
        <v>0</v>
      </c>
      <c r="U16" s="50" t="s">
        <v>3621</v>
      </c>
      <c r="V16" s="50" t="s">
        <v>3621</v>
      </c>
      <c r="W16" s="50" t="s">
        <v>3621</v>
      </c>
      <c r="X16" s="113" t="s">
        <v>3621</v>
      </c>
      <c r="Y16" s="50" t="s">
        <v>3621</v>
      </c>
      <c r="Z16" s="50" t="s">
        <v>3621</v>
      </c>
      <c r="AA16" s="50" t="s">
        <v>3621</v>
      </c>
      <c r="AB16" s="50" t="s">
        <v>3621</v>
      </c>
      <c r="AC16" s="113" t="s">
        <v>3621</v>
      </c>
      <c r="AD16" s="203" t="s">
        <v>3621</v>
      </c>
      <c r="AE16" s="203" t="s">
        <v>3621</v>
      </c>
      <c r="AF16" s="50" t="s">
        <v>3621</v>
      </c>
      <c r="AG16" s="50" t="s">
        <v>3621</v>
      </c>
      <c r="AH16" s="50" t="s">
        <v>3621</v>
      </c>
      <c r="AI16" s="50" t="s">
        <v>3621</v>
      </c>
      <c r="AJ16" s="50">
        <v>0</v>
      </c>
      <c r="AK16" s="50" t="s">
        <v>3621</v>
      </c>
      <c r="AL16" s="50" t="s">
        <v>3621</v>
      </c>
      <c r="AM16" s="50" t="s">
        <v>3621</v>
      </c>
      <c r="AN16" s="50" t="s">
        <v>3621</v>
      </c>
      <c r="AO16" s="113">
        <v>0</v>
      </c>
      <c r="AP16" s="50">
        <v>0</v>
      </c>
      <c r="AQ16" s="50">
        <v>0</v>
      </c>
      <c r="AR16" s="50" t="s">
        <v>3621</v>
      </c>
      <c r="AS16" s="50" t="s">
        <v>3621</v>
      </c>
    </row>
    <row r="17" spans="2:45" x14ac:dyDescent="0.35">
      <c r="B17" s="50" t="s">
        <v>3596</v>
      </c>
      <c r="C17" s="50">
        <v>15</v>
      </c>
      <c r="D17" s="50" t="s">
        <v>3874</v>
      </c>
      <c r="E17" s="111">
        <v>45433</v>
      </c>
      <c r="F17" s="50">
        <v>1</v>
      </c>
      <c r="G17" s="50">
        <v>1</v>
      </c>
      <c r="H17" s="207" t="s">
        <v>3706</v>
      </c>
      <c r="I17" s="50" t="s">
        <v>3621</v>
      </c>
      <c r="J17" s="50" t="s">
        <v>3621</v>
      </c>
      <c r="K17" s="50" t="s">
        <v>3621</v>
      </c>
      <c r="L17" s="50" t="s">
        <v>3621</v>
      </c>
      <c r="M17" s="50" t="s">
        <v>3621</v>
      </c>
      <c r="N17" s="50" t="s">
        <v>3621</v>
      </c>
      <c r="O17" s="50" t="s">
        <v>3621</v>
      </c>
      <c r="P17" s="50" t="s">
        <v>3621</v>
      </c>
      <c r="Q17" s="50" t="s">
        <v>3621</v>
      </c>
      <c r="R17" s="50" t="s">
        <v>3621</v>
      </c>
      <c r="S17" s="50" t="s">
        <v>3621</v>
      </c>
      <c r="T17" s="50" t="s">
        <v>3621</v>
      </c>
      <c r="U17" s="50" t="s">
        <v>3621</v>
      </c>
      <c r="V17" s="50" t="s">
        <v>3621</v>
      </c>
      <c r="W17" s="50" t="s">
        <v>3621</v>
      </c>
      <c r="X17" s="113" t="s">
        <v>3621</v>
      </c>
      <c r="Y17" s="50" t="s">
        <v>3621</v>
      </c>
      <c r="Z17" s="50" t="s">
        <v>3621</v>
      </c>
      <c r="AA17" s="50" t="s">
        <v>3621</v>
      </c>
      <c r="AB17" s="50" t="s">
        <v>3621</v>
      </c>
      <c r="AC17" s="113" t="s">
        <v>3621</v>
      </c>
      <c r="AD17" s="203" t="s">
        <v>3621</v>
      </c>
      <c r="AE17" s="203" t="s">
        <v>3621</v>
      </c>
      <c r="AF17" s="50" t="s">
        <v>3621</v>
      </c>
      <c r="AG17" s="50" t="s">
        <v>3621</v>
      </c>
      <c r="AH17" s="50" t="s">
        <v>3621</v>
      </c>
      <c r="AI17" s="50" t="s">
        <v>3621</v>
      </c>
      <c r="AJ17" s="50" t="s">
        <v>3621</v>
      </c>
      <c r="AK17" s="50" t="s">
        <v>3621</v>
      </c>
      <c r="AL17" s="50" t="s">
        <v>3621</v>
      </c>
      <c r="AM17" s="50" t="s">
        <v>3621</v>
      </c>
      <c r="AN17" s="50" t="s">
        <v>3621</v>
      </c>
      <c r="AO17" s="113" t="s">
        <v>3621</v>
      </c>
      <c r="AP17" s="50" t="s">
        <v>3621</v>
      </c>
      <c r="AQ17" s="50" t="s">
        <v>3621</v>
      </c>
      <c r="AR17" s="50" t="s">
        <v>3621</v>
      </c>
      <c r="AS17" s="50" t="s">
        <v>3621</v>
      </c>
    </row>
    <row r="18" spans="2:45" x14ac:dyDescent="0.35">
      <c r="B18" s="50" t="s">
        <v>3598</v>
      </c>
      <c r="C18" s="50">
        <v>16</v>
      </c>
      <c r="D18" s="50" t="s">
        <v>3874</v>
      </c>
      <c r="E18" s="111">
        <v>45433</v>
      </c>
      <c r="F18" s="50">
        <v>1</v>
      </c>
      <c r="G18" s="50">
        <v>1</v>
      </c>
      <c r="H18" s="50" t="s">
        <v>3706</v>
      </c>
      <c r="I18" s="50" t="s">
        <v>3621</v>
      </c>
      <c r="J18" s="50" t="s">
        <v>3621</v>
      </c>
      <c r="K18" s="50" t="s">
        <v>3621</v>
      </c>
      <c r="L18" s="50" t="s">
        <v>3621</v>
      </c>
      <c r="M18" s="50" t="s">
        <v>3621</v>
      </c>
      <c r="N18" s="50" t="s">
        <v>3621</v>
      </c>
      <c r="O18" s="50" t="s">
        <v>3621</v>
      </c>
      <c r="P18" s="50" t="s">
        <v>3621</v>
      </c>
      <c r="Q18" s="50" t="s">
        <v>3621</v>
      </c>
      <c r="R18" s="50" t="s">
        <v>3621</v>
      </c>
      <c r="S18" s="50" t="s">
        <v>3621</v>
      </c>
      <c r="T18" s="50" t="s">
        <v>3621</v>
      </c>
      <c r="U18" s="50" t="s">
        <v>3621</v>
      </c>
      <c r="V18" s="50" t="s">
        <v>3621</v>
      </c>
      <c r="W18" s="50" t="s">
        <v>3621</v>
      </c>
      <c r="X18" s="50" t="s">
        <v>3621</v>
      </c>
      <c r="Y18" s="50" t="s">
        <v>3621</v>
      </c>
      <c r="Z18" s="50" t="s">
        <v>3621</v>
      </c>
      <c r="AA18" s="50" t="s">
        <v>3621</v>
      </c>
      <c r="AB18" s="50" t="s">
        <v>3621</v>
      </c>
      <c r="AC18" s="50" t="s">
        <v>3621</v>
      </c>
      <c r="AD18" s="203" t="s">
        <v>3621</v>
      </c>
      <c r="AE18" s="203" t="s">
        <v>3621</v>
      </c>
      <c r="AF18" s="50" t="s">
        <v>3621</v>
      </c>
      <c r="AG18" s="50" t="s">
        <v>3621</v>
      </c>
      <c r="AH18" s="50" t="s">
        <v>3621</v>
      </c>
      <c r="AI18" s="50" t="s">
        <v>3621</v>
      </c>
      <c r="AJ18" s="50" t="s">
        <v>3621</v>
      </c>
      <c r="AK18" s="50" t="s">
        <v>3621</v>
      </c>
      <c r="AL18" s="50" t="s">
        <v>3621</v>
      </c>
      <c r="AM18" s="50" t="s">
        <v>3621</v>
      </c>
      <c r="AN18" s="50" t="s">
        <v>3621</v>
      </c>
      <c r="AO18" s="50" t="s">
        <v>3621</v>
      </c>
      <c r="AP18" s="50" t="s">
        <v>3621</v>
      </c>
      <c r="AQ18" s="50" t="s">
        <v>3621</v>
      </c>
      <c r="AR18" s="50" t="s">
        <v>3621</v>
      </c>
      <c r="AS18" s="50" t="s">
        <v>3621</v>
      </c>
    </row>
    <row r="19" spans="2:45" x14ac:dyDescent="0.35">
      <c r="B19" s="50" t="s">
        <v>3600</v>
      </c>
      <c r="C19" s="50">
        <v>17</v>
      </c>
      <c r="D19" s="50" t="s">
        <v>3875</v>
      </c>
      <c r="E19" s="111">
        <v>45433</v>
      </c>
      <c r="F19" s="50">
        <v>1</v>
      </c>
      <c r="G19" s="50">
        <v>0.98</v>
      </c>
      <c r="H19" s="207" t="s">
        <v>3876</v>
      </c>
      <c r="I19" s="50" t="s">
        <v>3621</v>
      </c>
      <c r="J19" s="50" t="s">
        <v>3621</v>
      </c>
      <c r="K19" s="50" t="s">
        <v>3621</v>
      </c>
      <c r="L19" s="50" t="s">
        <v>3621</v>
      </c>
      <c r="M19" s="50" t="s">
        <v>3621</v>
      </c>
      <c r="N19" s="50" t="s">
        <v>3621</v>
      </c>
      <c r="O19" s="50" t="s">
        <v>3621</v>
      </c>
      <c r="P19" s="50" t="s">
        <v>3621</v>
      </c>
      <c r="Q19" s="50" t="s">
        <v>3621</v>
      </c>
      <c r="R19" s="50" t="s">
        <v>3621</v>
      </c>
      <c r="S19" s="50" t="s">
        <v>3621</v>
      </c>
      <c r="T19" s="50" t="s">
        <v>3621</v>
      </c>
      <c r="U19" s="50" t="s">
        <v>3621</v>
      </c>
      <c r="V19" s="50" t="s">
        <v>3621</v>
      </c>
      <c r="W19" s="50" t="s">
        <v>3621</v>
      </c>
      <c r="X19" s="50" t="s">
        <v>3621</v>
      </c>
      <c r="Y19" s="50" t="s">
        <v>3621</v>
      </c>
      <c r="Z19" s="50" t="s">
        <v>3621</v>
      </c>
      <c r="AA19" s="50" t="s">
        <v>3621</v>
      </c>
      <c r="AB19" s="50" t="s">
        <v>3621</v>
      </c>
      <c r="AC19" s="50" t="s">
        <v>3621</v>
      </c>
      <c r="AD19" s="203" t="s">
        <v>3621</v>
      </c>
      <c r="AE19" s="203" t="s">
        <v>3621</v>
      </c>
      <c r="AF19" s="50" t="s">
        <v>3621</v>
      </c>
      <c r="AG19" s="50" t="s">
        <v>3621</v>
      </c>
      <c r="AH19" s="50" t="s">
        <v>3621</v>
      </c>
      <c r="AI19" s="50" t="s">
        <v>3621</v>
      </c>
      <c r="AJ19" s="50" t="s">
        <v>3621</v>
      </c>
      <c r="AK19" s="50" t="s">
        <v>3621</v>
      </c>
      <c r="AL19" s="50" t="s">
        <v>3621</v>
      </c>
      <c r="AM19" s="50" t="s">
        <v>3621</v>
      </c>
      <c r="AN19" s="50" t="s">
        <v>3621</v>
      </c>
      <c r="AO19" s="50" t="s">
        <v>3621</v>
      </c>
      <c r="AP19" s="50" t="s">
        <v>3621</v>
      </c>
      <c r="AQ19" s="50" t="s">
        <v>3621</v>
      </c>
      <c r="AR19" s="50" t="s">
        <v>3621</v>
      </c>
      <c r="AS19" s="50" t="s">
        <v>3621</v>
      </c>
    </row>
    <row r="20" spans="2:45" x14ac:dyDescent="0.35">
      <c r="B20" s="50" t="s">
        <v>3602</v>
      </c>
      <c r="C20" s="50">
        <v>18</v>
      </c>
      <c r="D20" s="50" t="s">
        <v>3875</v>
      </c>
      <c r="E20" s="111">
        <v>45433</v>
      </c>
      <c r="F20" s="50">
        <v>1</v>
      </c>
      <c r="G20" s="50">
        <v>1</v>
      </c>
      <c r="H20" s="50" t="s">
        <v>3706</v>
      </c>
      <c r="I20" s="50" t="s">
        <v>3621</v>
      </c>
      <c r="J20" s="50" t="s">
        <v>3621</v>
      </c>
      <c r="K20" s="50" t="s">
        <v>3621</v>
      </c>
      <c r="L20" s="50" t="s">
        <v>3621</v>
      </c>
      <c r="M20" s="50" t="s">
        <v>3621</v>
      </c>
      <c r="N20" s="50" t="s">
        <v>3621</v>
      </c>
      <c r="O20" s="50" t="s">
        <v>3621</v>
      </c>
      <c r="P20" s="50" t="s">
        <v>3621</v>
      </c>
      <c r="Q20" s="50" t="s">
        <v>3621</v>
      </c>
      <c r="R20" s="50" t="s">
        <v>3621</v>
      </c>
      <c r="S20" s="50" t="s">
        <v>3621</v>
      </c>
      <c r="T20" s="50" t="s">
        <v>3621</v>
      </c>
      <c r="U20" s="50" t="s">
        <v>3621</v>
      </c>
      <c r="V20" s="50" t="s">
        <v>3621</v>
      </c>
      <c r="W20" s="50" t="s">
        <v>3621</v>
      </c>
      <c r="X20" s="50" t="s">
        <v>3621</v>
      </c>
      <c r="Y20" s="50" t="s">
        <v>3621</v>
      </c>
      <c r="Z20" s="50" t="s">
        <v>3621</v>
      </c>
      <c r="AA20" s="50" t="s">
        <v>3621</v>
      </c>
      <c r="AB20" s="50" t="s">
        <v>3621</v>
      </c>
      <c r="AC20" s="50" t="s">
        <v>3621</v>
      </c>
      <c r="AD20" s="203" t="s">
        <v>3621</v>
      </c>
      <c r="AE20" s="203" t="s">
        <v>3621</v>
      </c>
      <c r="AF20" s="50" t="s">
        <v>3621</v>
      </c>
      <c r="AG20" s="50" t="s">
        <v>3621</v>
      </c>
      <c r="AH20" s="50" t="s">
        <v>3621</v>
      </c>
      <c r="AI20" s="50" t="s">
        <v>3621</v>
      </c>
      <c r="AJ20" s="50" t="s">
        <v>3621</v>
      </c>
      <c r="AK20" s="50" t="s">
        <v>3621</v>
      </c>
      <c r="AL20" s="50" t="s">
        <v>3621</v>
      </c>
      <c r="AM20" s="50" t="s">
        <v>3621</v>
      </c>
      <c r="AN20" s="50" t="s">
        <v>3621</v>
      </c>
      <c r="AO20" s="50" t="s">
        <v>3621</v>
      </c>
      <c r="AP20" s="50" t="s">
        <v>3621</v>
      </c>
      <c r="AQ20" s="50" t="s">
        <v>3621</v>
      </c>
      <c r="AR20" s="50" t="s">
        <v>3621</v>
      </c>
      <c r="AS20" s="50" t="s">
        <v>3621</v>
      </c>
    </row>
    <row r="21" spans="2:45" x14ac:dyDescent="0.35">
      <c r="B21" s="50" t="s">
        <v>3604</v>
      </c>
      <c r="C21" s="50">
        <v>19</v>
      </c>
      <c r="D21" s="50" t="s">
        <v>3877</v>
      </c>
      <c r="E21" s="111">
        <v>45433</v>
      </c>
      <c r="F21" s="50">
        <v>1</v>
      </c>
      <c r="G21" s="50" cm="1">
        <f t="array" ref="G21">SUMPRODUCT(--(ISNUMBER((SEARCH(I27:AS27,I21:AS21)))))/COUNTA(I21:AS21)</f>
        <v>1</v>
      </c>
      <c r="H21" s="50" t="s">
        <v>3706</v>
      </c>
      <c r="I21" s="50" t="s">
        <v>3655</v>
      </c>
      <c r="J21" s="50" t="s">
        <v>3655</v>
      </c>
      <c r="K21" s="50" t="s">
        <v>3655</v>
      </c>
      <c r="L21" s="50" t="s">
        <v>3655</v>
      </c>
      <c r="M21" s="50" t="s">
        <v>3655</v>
      </c>
      <c r="N21" s="50" t="s">
        <v>3655</v>
      </c>
      <c r="O21" s="50" t="s">
        <v>3655</v>
      </c>
      <c r="P21" s="50" t="s">
        <v>3655</v>
      </c>
      <c r="Q21" s="50" t="s">
        <v>3655</v>
      </c>
      <c r="R21" s="50" t="s">
        <v>3655</v>
      </c>
      <c r="S21" s="50" t="s">
        <v>3655</v>
      </c>
      <c r="T21" s="50" t="s">
        <v>3655</v>
      </c>
      <c r="U21" s="50" t="s">
        <v>3655</v>
      </c>
      <c r="V21" s="50" t="s">
        <v>3656</v>
      </c>
      <c r="W21" s="50" t="s">
        <v>3656</v>
      </c>
      <c r="X21" s="50" t="s">
        <v>3656</v>
      </c>
      <c r="Y21" s="50" t="s">
        <v>3656</v>
      </c>
      <c r="Z21" s="50" t="s">
        <v>3656</v>
      </c>
      <c r="AA21" s="50" t="s">
        <v>3655</v>
      </c>
      <c r="AB21" s="50" t="s">
        <v>3655</v>
      </c>
      <c r="AC21" s="50" t="s">
        <v>3656</v>
      </c>
      <c r="AD21" s="203" t="s">
        <v>3656</v>
      </c>
      <c r="AE21" s="203" t="s">
        <v>3655</v>
      </c>
      <c r="AF21" s="50" t="s">
        <v>3655</v>
      </c>
      <c r="AG21" s="50" t="s">
        <v>3655</v>
      </c>
      <c r="AH21" s="50" t="s">
        <v>3655</v>
      </c>
      <c r="AI21" s="50" t="s">
        <v>3656</v>
      </c>
      <c r="AJ21" s="50" t="s">
        <v>3655</v>
      </c>
      <c r="AK21" s="50" t="s">
        <v>3655</v>
      </c>
      <c r="AL21" s="50" t="s">
        <v>3656</v>
      </c>
      <c r="AM21" s="50" t="s">
        <v>3656</v>
      </c>
      <c r="AN21" s="50" t="s">
        <v>3656</v>
      </c>
      <c r="AO21" s="50" t="s">
        <v>3655</v>
      </c>
      <c r="AP21" s="50" t="s">
        <v>3655</v>
      </c>
      <c r="AQ21" s="50" t="s">
        <v>3655</v>
      </c>
      <c r="AR21" s="50" t="s">
        <v>3655</v>
      </c>
      <c r="AS21" s="50" t="s">
        <v>3657</v>
      </c>
    </row>
    <row r="22" spans="2:45" x14ac:dyDescent="0.35">
      <c r="B22" s="113" t="s">
        <v>3607</v>
      </c>
      <c r="C22" s="50">
        <v>20</v>
      </c>
      <c r="D22" s="50" t="s">
        <v>3878</v>
      </c>
      <c r="E22" s="111">
        <v>45433</v>
      </c>
      <c r="F22" s="50">
        <v>1</v>
      </c>
      <c r="G22" s="50" cm="1">
        <f t="array" ref="G22">SUM(IF(I2:AS2 = I26:AS26, 1, 0))/ COUNTA(I2:AS2)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row>
    <row r="23" spans="2:45" x14ac:dyDescent="0.35">
      <c r="B23" s="50" t="s">
        <v>3610</v>
      </c>
      <c r="C23" s="50">
        <v>21</v>
      </c>
      <c r="D23" s="50" t="s">
        <v>3878</v>
      </c>
      <c r="E23" s="111">
        <v>45433</v>
      </c>
      <c r="F23" s="50">
        <v>1</v>
      </c>
      <c r="G23" s="50" cm="1">
        <f t="array" ref="G23">SUM(IF(IF(G3:G22="null",1,G3:G22)=1,1,0))/COUNT(IF(G3:G22="null",1,1))</f>
        <v>0.85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row>
    <row r="25" spans="2:45" x14ac:dyDescent="0.35">
      <c r="B25" s="156" t="s">
        <v>3727</v>
      </c>
    </row>
    <row r="26" spans="2:45" x14ac:dyDescent="0.35">
      <c r="B26" s="149" t="s">
        <v>3613</v>
      </c>
      <c r="C26" s="145" t="s">
        <v>3614</v>
      </c>
      <c r="D26" s="145" t="s">
        <v>3615</v>
      </c>
      <c r="E26" s="145" t="s">
        <v>3616</v>
      </c>
      <c r="F26" s="145" t="s">
        <v>3617</v>
      </c>
      <c r="G26" s="145" t="s">
        <v>3618</v>
      </c>
      <c r="H26" s="145" t="s">
        <v>3619</v>
      </c>
      <c r="I26" s="140" t="str" cm="1">
        <f t="array" ref="I26:AS26">TRANSPOSE(_xlfn.SORTBY(_xlfn._xlws.FILTER(Table3[NOME FÍSICO CAMPO],Table3[NOME FÍSICO TABELA]="confirming_contract"), _xlfn._xlws.FILTER(Table3[ORDEM], Table3[NOME FÍSICO TABELA]="confirming_contract"), 1))</f>
        <v>bank_id</v>
      </c>
      <c r="J26" s="140" t="str">
        <v>contract_id</v>
      </c>
      <c r="K26" s="140" t="str">
        <v>product_family_id</v>
      </c>
      <c r="L26" s="140" t="str">
        <v>product_id</v>
      </c>
      <c r="M26" s="140" t="str">
        <v>subproduct_id</v>
      </c>
      <c r="N26" s="140" t="str">
        <v>main_current_account_bank_id</v>
      </c>
      <c r="O26" s="140" t="str">
        <v>main_current_account_contract_id</v>
      </c>
      <c r="P26" s="140" t="str">
        <v>process_bank_id</v>
      </c>
      <c r="Q26" s="140" t="str">
        <v>process_id</v>
      </c>
      <c r="R26" s="140" t="str">
        <v>opening_date</v>
      </c>
      <c r="S26" s="140" t="str">
        <v>current_maturity_date</v>
      </c>
      <c r="T26" s="140" t="str">
        <v>currency_code</v>
      </c>
      <c r="U26" s="140" t="str">
        <v>litigation_indicator</v>
      </c>
      <c r="V26" s="140" t="str">
        <v>current_authorized_amount</v>
      </c>
      <c r="W26" s="140" t="str">
        <v>current_available_amount</v>
      </c>
      <c r="X26" s="140" t="str">
        <v>cur_outsng_principal_balance</v>
      </c>
      <c r="Y26" s="140" t="str">
        <v>current_overdue_principal_bal</v>
      </c>
      <c r="Z26" s="140" t="str">
        <v>cur_debt_litigation_princip_bal</v>
      </c>
      <c r="AA26" s="140" t="str">
        <v>next_regular_amort_due_date</v>
      </c>
      <c r="AB26" s="140" t="str">
        <v>last_regular_amort_pay_date</v>
      </c>
      <c r="AC26" s="140" t="str">
        <v>current_bill_princip_amount</v>
      </c>
      <c r="AD26" s="140" t="str">
        <v>cur_bill_litig_princip_amt</v>
      </c>
      <c r="AE26" s="140" t="str">
        <v>last_advance_annulment_indicator</v>
      </c>
      <c r="AF26" s="140" t="str">
        <v>last_advance_date</v>
      </c>
      <c r="AG26" s="140" t="str">
        <v>last_advance_exec_date</v>
      </c>
      <c r="AH26" s="140" t="str">
        <v>last_advance_transfer_ref_num</v>
      </c>
      <c r="AI26" s="140" t="str">
        <v>cur_advance_principal_amt</v>
      </c>
      <c r="AJ26" s="140" t="str">
        <v>current_active_rate_type_code</v>
      </c>
      <c r="AK26" s="140" t="str">
        <v>current_active_indexing</v>
      </c>
      <c r="AL26" s="140" t="str">
        <v>current_active_index_rate</v>
      </c>
      <c r="AM26" s="140" t="str">
        <v>current_active_spread</v>
      </c>
      <c r="AN26" s="140" t="str">
        <v>current_active_interest_rate</v>
      </c>
      <c r="AO26" s="140" t="str">
        <v>contract_status_code</v>
      </c>
      <c r="AP26" s="140" t="str">
        <v>contract_opening_channel_code</v>
      </c>
      <c r="AQ26" s="140" t="str">
        <v>source_code</v>
      </c>
      <c r="AR26" s="140" t="str">
        <v>data_date_part</v>
      </c>
      <c r="AS26" s="140" t="str">
        <v>data_timestamp_part</v>
      </c>
    </row>
    <row r="27" spans="2:45" x14ac:dyDescent="0.35">
      <c r="B27" s="118" t="s">
        <v>3658</v>
      </c>
      <c r="C27" s="167">
        <v>21</v>
      </c>
      <c r="D27" s="122" t="s">
        <v>3659</v>
      </c>
      <c r="E27" s="121" t="s">
        <v>3660</v>
      </c>
      <c r="F27" s="121" t="s">
        <v>372</v>
      </c>
      <c r="G27" s="121" t="s">
        <v>372</v>
      </c>
      <c r="H27" s="121" t="s">
        <v>372</v>
      </c>
      <c r="I27" s="119" t="str" cm="1">
        <f t="array" ref="I27:AS28">TRANSPOSE(_xlfn.SORTBY(_xlfn._xlws.FILTER(IF(Table3[FORMATO]:Table3[COMP_ CAMPO]&lt;&gt;"",Table3[FORMATO]:Table3[COMP_ CAMPO],9999999),Table3[NOME FÍSICO TABELA]="confirming_contract"), _xlfn._xlws.FILTER(Table3[ORDEM], Table3[NOME FÍSICO TABELA]="confirming_contract"), 1))</f>
        <v>STRING</v>
      </c>
      <c r="J27" s="121" t="str">
        <v>STRING</v>
      </c>
      <c r="K27" s="121" t="str">
        <v>STRING</v>
      </c>
      <c r="L27" s="121" t="str">
        <v>STRING</v>
      </c>
      <c r="M27" s="121" t="str">
        <v>STRING</v>
      </c>
      <c r="N27" s="121" t="str">
        <v>STRING</v>
      </c>
      <c r="O27" s="121" t="str">
        <v>STRING</v>
      </c>
      <c r="P27" s="121" t="str">
        <v>STRING</v>
      </c>
      <c r="Q27" s="121" t="str">
        <v>STRING</v>
      </c>
      <c r="R27" s="121" t="str">
        <v>STRING</v>
      </c>
      <c r="S27" s="121" t="str">
        <v>STRING</v>
      </c>
      <c r="T27" s="121" t="str">
        <v>STRING</v>
      </c>
      <c r="U27" s="121" t="str">
        <v>STRING</v>
      </c>
      <c r="V27" s="121" t="str">
        <v>DECIMAL</v>
      </c>
      <c r="W27" s="121" t="str">
        <v>DECIMAL</v>
      </c>
      <c r="X27" s="121" t="str">
        <v>DECIMAL</v>
      </c>
      <c r="Y27" s="121" t="str">
        <v>DECIMAL</v>
      </c>
      <c r="Z27" s="121" t="str">
        <v>DECIMAL</v>
      </c>
      <c r="AA27" s="121" t="str">
        <v>STRING</v>
      </c>
      <c r="AB27" s="121" t="str">
        <v>STRING</v>
      </c>
      <c r="AC27" s="121" t="str">
        <v>DECIMAL</v>
      </c>
      <c r="AD27" s="121" t="str">
        <v>DECIMAL</v>
      </c>
      <c r="AE27" s="121" t="str">
        <v>STRING</v>
      </c>
      <c r="AF27" s="121" t="str">
        <v>STRING</v>
      </c>
      <c r="AG27" s="121" t="str">
        <v>STRING</v>
      </c>
      <c r="AH27" s="121" t="str">
        <v>STRING</v>
      </c>
      <c r="AI27" s="121" t="str">
        <v>DECIMAL</v>
      </c>
      <c r="AJ27" s="121" t="str">
        <v>STRING</v>
      </c>
      <c r="AK27" s="121" t="str">
        <v>STRING</v>
      </c>
      <c r="AL27" s="121" t="str">
        <v>DECIMAL</v>
      </c>
      <c r="AM27" s="121" t="str">
        <v>DECIMAL</v>
      </c>
      <c r="AN27" s="121" t="str">
        <v>DECIMAL</v>
      </c>
      <c r="AO27" s="121" t="str">
        <v>STRING</v>
      </c>
      <c r="AP27" s="121" t="str">
        <v>STRING</v>
      </c>
      <c r="AQ27" s="121" t="str">
        <v>STRING</v>
      </c>
      <c r="AR27" s="121" t="str">
        <v>STRING</v>
      </c>
      <c r="AS27" s="121" t="str">
        <v>TIMESTAMP</v>
      </c>
    </row>
    <row r="28" spans="2:45" x14ac:dyDescent="0.35">
      <c r="B28" s="118" t="s">
        <v>3661</v>
      </c>
      <c r="C28" s="167">
        <v>7</v>
      </c>
      <c r="D28" s="122" t="s">
        <v>3659</v>
      </c>
      <c r="E28" s="121" t="s">
        <v>3660</v>
      </c>
      <c r="F28" s="121" t="s">
        <v>372</v>
      </c>
      <c r="G28" s="121" t="s">
        <v>372</v>
      </c>
      <c r="H28" s="121" t="s">
        <v>372</v>
      </c>
      <c r="I28" s="167">
        <v>4</v>
      </c>
      <c r="J28" s="167">
        <v>30</v>
      </c>
      <c r="K28" s="167">
        <v>4</v>
      </c>
      <c r="L28" s="167">
        <v>4</v>
      </c>
      <c r="M28" s="167">
        <v>4</v>
      </c>
      <c r="N28" s="167">
        <v>4</v>
      </c>
      <c r="O28" s="167">
        <v>30</v>
      </c>
      <c r="P28" s="167">
        <v>4</v>
      </c>
      <c r="Q28" s="167">
        <v>15</v>
      </c>
      <c r="R28" s="167">
        <v>10</v>
      </c>
      <c r="S28" s="167">
        <v>10</v>
      </c>
      <c r="T28" s="167">
        <v>4</v>
      </c>
      <c r="U28" s="167">
        <v>4</v>
      </c>
      <c r="V28" s="167">
        <v>23</v>
      </c>
      <c r="W28" s="167">
        <v>23</v>
      </c>
      <c r="X28" s="167">
        <v>23</v>
      </c>
      <c r="Y28" s="167">
        <v>23</v>
      </c>
      <c r="Z28" s="167">
        <v>23</v>
      </c>
      <c r="AA28" s="167">
        <v>10</v>
      </c>
      <c r="AB28" s="167">
        <v>10</v>
      </c>
      <c r="AC28" s="167">
        <v>23</v>
      </c>
      <c r="AD28" s="167">
        <v>23</v>
      </c>
      <c r="AE28" s="167">
        <v>4</v>
      </c>
      <c r="AF28" s="167">
        <v>10</v>
      </c>
      <c r="AG28" s="167">
        <v>10</v>
      </c>
      <c r="AH28" s="167">
        <v>18</v>
      </c>
      <c r="AI28" s="167">
        <v>23</v>
      </c>
      <c r="AJ28" s="167">
        <v>4</v>
      </c>
      <c r="AK28" s="167">
        <v>4</v>
      </c>
      <c r="AL28" s="167">
        <v>23</v>
      </c>
      <c r="AM28" s="167">
        <v>23</v>
      </c>
      <c r="AN28" s="167">
        <v>23</v>
      </c>
      <c r="AO28" s="167">
        <v>4</v>
      </c>
      <c r="AP28" s="167">
        <v>4</v>
      </c>
      <c r="AQ28" s="167">
        <v>2</v>
      </c>
      <c r="AR28" s="167">
        <v>10</v>
      </c>
      <c r="AS28" s="167">
        <v>23</v>
      </c>
    </row>
    <row r="30" spans="2:45" x14ac:dyDescent="0.35">
      <c r="B30" s="156" t="s">
        <v>3662</v>
      </c>
    </row>
    <row r="31" spans="2:45" x14ac:dyDescent="0.35">
      <c r="B31" s="150" t="s">
        <v>3663</v>
      </c>
      <c r="C31" s="150" t="s">
        <v>3664</v>
      </c>
      <c r="D31" s="151" t="s">
        <v>3665</v>
      </c>
      <c r="E31" s="150" t="s">
        <v>3666</v>
      </c>
      <c r="F31" s="150" t="s">
        <v>3667</v>
      </c>
    </row>
    <row r="32" spans="2:45" ht="29" x14ac:dyDescent="0.35">
      <c r="B32" s="282" t="s">
        <v>3728</v>
      </c>
      <c r="C32" s="283" t="s">
        <v>177</v>
      </c>
      <c r="D32" s="284" t="s">
        <v>3879</v>
      </c>
      <c r="E32" s="285" t="s">
        <v>3880</v>
      </c>
      <c r="F32" s="170" t="s">
        <v>3674</v>
      </c>
    </row>
    <row r="33" spans="2:6" ht="29" x14ac:dyDescent="0.35">
      <c r="B33" s="282" t="s">
        <v>3728</v>
      </c>
      <c r="C33" s="283" t="s">
        <v>188</v>
      </c>
      <c r="D33" s="284" t="s">
        <v>3879</v>
      </c>
      <c r="E33" s="285" t="s">
        <v>3880</v>
      </c>
      <c r="F33" s="170" t="s">
        <v>3674</v>
      </c>
    </row>
    <row r="34" spans="2:6" ht="101.5" x14ac:dyDescent="0.35">
      <c r="B34" s="282" t="s">
        <v>3728</v>
      </c>
      <c r="C34" s="283" t="s">
        <v>625</v>
      </c>
      <c r="D34" s="284" t="s">
        <v>3881</v>
      </c>
      <c r="E34" s="285" t="s">
        <v>3882</v>
      </c>
      <c r="F34" s="170" t="s">
        <v>3674</v>
      </c>
    </row>
    <row r="35" spans="2:6" ht="101.5" x14ac:dyDescent="0.35">
      <c r="B35" s="282" t="s">
        <v>3728</v>
      </c>
      <c r="C35" s="283" t="s">
        <v>575</v>
      </c>
      <c r="D35" s="284" t="s">
        <v>3881</v>
      </c>
      <c r="E35" s="285" t="s">
        <v>3882</v>
      </c>
      <c r="F35" s="170" t="s">
        <v>3674</v>
      </c>
    </row>
    <row r="36" spans="2:6" ht="101.5" x14ac:dyDescent="0.35">
      <c r="B36" s="282" t="s">
        <v>3728</v>
      </c>
      <c r="C36" s="283" t="s">
        <v>261</v>
      </c>
      <c r="D36" s="284" t="s">
        <v>3881</v>
      </c>
      <c r="E36" s="285" t="s">
        <v>3882</v>
      </c>
      <c r="F36" s="170" t="s">
        <v>3674</v>
      </c>
    </row>
    <row r="37" spans="2:6" ht="101.5" x14ac:dyDescent="0.35">
      <c r="B37" s="282" t="s">
        <v>3728</v>
      </c>
      <c r="C37" s="283" t="s">
        <v>715</v>
      </c>
      <c r="D37" s="284" t="s">
        <v>3881</v>
      </c>
      <c r="E37" s="285" t="s">
        <v>3882</v>
      </c>
      <c r="F37" s="170" t="s">
        <v>3674</v>
      </c>
    </row>
    <row r="38" spans="2:6" ht="101.5" x14ac:dyDescent="0.35">
      <c r="B38" s="282" t="s">
        <v>3728</v>
      </c>
      <c r="C38" s="283" t="s">
        <v>429</v>
      </c>
      <c r="D38" s="284" t="s">
        <v>3881</v>
      </c>
      <c r="E38" s="285" t="s">
        <v>3882</v>
      </c>
      <c r="F38" s="170" t="s">
        <v>3674</v>
      </c>
    </row>
    <row r="39" spans="2:6" ht="101.5" x14ac:dyDescent="0.35">
      <c r="B39" s="282" t="s">
        <v>3728</v>
      </c>
      <c r="C39" s="283" t="s">
        <v>728</v>
      </c>
      <c r="D39" s="284" t="s">
        <v>3881</v>
      </c>
      <c r="E39" s="285" t="s">
        <v>3882</v>
      </c>
      <c r="F39" s="170" t="s">
        <v>3674</v>
      </c>
    </row>
    <row r="40" spans="2:6" ht="101.5" x14ac:dyDescent="0.35">
      <c r="B40" s="282" t="s">
        <v>3728</v>
      </c>
      <c r="C40" s="283" t="s">
        <v>3883</v>
      </c>
      <c r="D40" s="284" t="s">
        <v>3881</v>
      </c>
      <c r="E40" s="285" t="s">
        <v>3882</v>
      </c>
      <c r="F40" s="170" t="s">
        <v>3674</v>
      </c>
    </row>
    <row r="41" spans="2:6" ht="101.5" x14ac:dyDescent="0.35">
      <c r="B41" s="282" t="s">
        <v>3728</v>
      </c>
      <c r="C41" s="283" t="s">
        <v>3884</v>
      </c>
      <c r="D41" s="284" t="s">
        <v>3881</v>
      </c>
      <c r="E41" s="285" t="s">
        <v>3882</v>
      </c>
      <c r="F41" s="170" t="s">
        <v>3674</v>
      </c>
    </row>
    <row r="42" spans="2:6" ht="101.5" x14ac:dyDescent="0.35">
      <c r="B42" s="282" t="s">
        <v>3728</v>
      </c>
      <c r="C42" s="283" t="s">
        <v>3885</v>
      </c>
      <c r="D42" s="284" t="s">
        <v>3881</v>
      </c>
      <c r="E42" s="285" t="s">
        <v>3882</v>
      </c>
      <c r="F42" s="170" t="s">
        <v>3674</v>
      </c>
    </row>
    <row r="43" spans="2:6" ht="101.5" x14ac:dyDescent="0.35">
      <c r="B43" s="282" t="s">
        <v>3728</v>
      </c>
      <c r="C43" s="283" t="s">
        <v>3886</v>
      </c>
      <c r="D43" s="284" t="s">
        <v>3881</v>
      </c>
      <c r="E43" s="285" t="s">
        <v>3882</v>
      </c>
      <c r="F43" s="170" t="s">
        <v>3674</v>
      </c>
    </row>
    <row r="44" spans="2:6" ht="101.5" x14ac:dyDescent="0.35">
      <c r="B44" s="282" t="s">
        <v>3728</v>
      </c>
      <c r="C44" s="283" t="s">
        <v>3887</v>
      </c>
      <c r="D44" s="284" t="s">
        <v>3881</v>
      </c>
      <c r="E44" s="285" t="s">
        <v>3882</v>
      </c>
      <c r="F44" s="170" t="s">
        <v>3674</v>
      </c>
    </row>
    <row r="45" spans="2:6" ht="101.5" x14ac:dyDescent="0.35">
      <c r="B45" s="282" t="s">
        <v>3728</v>
      </c>
      <c r="C45" s="283" t="s">
        <v>3888</v>
      </c>
      <c r="D45" s="284" t="s">
        <v>3881</v>
      </c>
      <c r="E45" s="285" t="s">
        <v>3882</v>
      </c>
      <c r="F45" s="170" t="s">
        <v>3674</v>
      </c>
    </row>
    <row r="46" spans="2:6" ht="101.5" x14ac:dyDescent="0.35">
      <c r="B46" s="282" t="s">
        <v>3728</v>
      </c>
      <c r="C46" s="283" t="s">
        <v>756</v>
      </c>
      <c r="D46" s="284" t="s">
        <v>3881</v>
      </c>
      <c r="E46" s="285" t="s">
        <v>3882</v>
      </c>
      <c r="F46" s="170" t="s">
        <v>3674</v>
      </c>
    </row>
    <row r="47" spans="2:6" ht="101.5" x14ac:dyDescent="0.35">
      <c r="B47" s="282" t="s">
        <v>3728</v>
      </c>
      <c r="C47" s="283" t="s">
        <v>776</v>
      </c>
      <c r="D47" s="284" t="s">
        <v>3881</v>
      </c>
      <c r="E47" s="285" t="s">
        <v>3882</v>
      </c>
      <c r="F47" s="170" t="s">
        <v>3674</v>
      </c>
    </row>
    <row r="48" spans="2:6" ht="29" x14ac:dyDescent="0.35">
      <c r="B48" s="282" t="s">
        <v>3728</v>
      </c>
      <c r="C48" s="283" t="s">
        <v>880</v>
      </c>
      <c r="D48" s="284" t="s">
        <v>3889</v>
      </c>
      <c r="E48" s="285" t="s">
        <v>3890</v>
      </c>
      <c r="F48" s="170" t="s">
        <v>3674</v>
      </c>
    </row>
    <row r="49" spans="2:6" ht="43.5" x14ac:dyDescent="0.35">
      <c r="B49" s="282" t="s">
        <v>3728</v>
      </c>
      <c r="C49" s="283" t="s">
        <v>649</v>
      </c>
      <c r="D49" s="286" t="s">
        <v>3891</v>
      </c>
      <c r="E49" s="287" t="s">
        <v>3892</v>
      </c>
      <c r="F49" s="170" t="s">
        <v>3674</v>
      </c>
    </row>
    <row r="50" spans="2:6" ht="145" x14ac:dyDescent="0.35">
      <c r="B50" s="282" t="s">
        <v>3728</v>
      </c>
      <c r="C50" s="288" t="s">
        <v>766</v>
      </c>
      <c r="D50" s="289" t="s">
        <v>3893</v>
      </c>
      <c r="E50" s="290" t="s">
        <v>3894</v>
      </c>
      <c r="F50" s="170" t="s">
        <v>3674</v>
      </c>
    </row>
    <row r="51" spans="2:6" ht="145" x14ac:dyDescent="0.35">
      <c r="B51" s="194" t="s">
        <v>3668</v>
      </c>
      <c r="C51" s="216" t="s">
        <v>785</v>
      </c>
      <c r="D51" s="57" t="s">
        <v>3893</v>
      </c>
      <c r="E51" s="215" t="s">
        <v>3894</v>
      </c>
      <c r="F51" s="214" t="s">
        <v>3674</v>
      </c>
    </row>
    <row r="52" spans="2:6" ht="58" x14ac:dyDescent="0.35">
      <c r="B52" s="194" t="s">
        <v>3678</v>
      </c>
      <c r="C52" s="195" t="s">
        <v>3895</v>
      </c>
      <c r="D52" s="57" t="s">
        <v>3896</v>
      </c>
      <c r="E52" s="213" t="s">
        <v>3897</v>
      </c>
      <c r="F52" s="214" t="s">
        <v>3677</v>
      </c>
    </row>
    <row r="53" spans="2:6" ht="58" x14ac:dyDescent="0.35">
      <c r="B53" s="194" t="s">
        <v>3898</v>
      </c>
      <c r="C53" s="195" t="s">
        <v>958</v>
      </c>
      <c r="D53" s="57" t="s">
        <v>3899</v>
      </c>
      <c r="E53" s="213" t="s">
        <v>3900</v>
      </c>
      <c r="F53" s="214" t="s">
        <v>3674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B1:AE34"/>
  <sheetViews>
    <sheetView showGridLines="0" topLeftCell="B1" workbookViewId="0">
      <selection activeCell="G12" sqref="G12"/>
    </sheetView>
  </sheetViews>
  <sheetFormatPr defaultRowHeight="14.5" x14ac:dyDescent="0.35"/>
  <cols>
    <col min="2" max="2" width="69.81640625" bestFit="1" customWidth="1"/>
    <col min="3" max="3" width="41.1796875" customWidth="1"/>
    <col min="4" max="4" width="64.26953125" customWidth="1"/>
    <col min="5" max="6" width="30.453125" bestFit="1" customWidth="1"/>
    <col min="7" max="7" width="15" bestFit="1" customWidth="1"/>
    <col min="8" max="8" width="16.453125" bestFit="1" customWidth="1"/>
    <col min="9" max="9" width="18.453125" bestFit="1" customWidth="1"/>
    <col min="10" max="13" width="30.7265625" bestFit="1" customWidth="1"/>
    <col min="14" max="14" width="27.7265625" bestFit="1" customWidth="1"/>
    <col min="15" max="21" width="30.7265625" bestFit="1" customWidth="1"/>
    <col min="22" max="22" width="33" customWidth="1"/>
    <col min="23" max="23" width="37.81640625" customWidth="1"/>
    <col min="24" max="26" width="30.7265625" bestFit="1" customWidth="1"/>
    <col min="27" max="27" width="42.54296875" customWidth="1"/>
    <col min="28" max="32" width="30.7265625" bestFit="1" customWidth="1"/>
  </cols>
  <sheetData>
    <row r="1" spans="2:29" ht="30.75" customHeight="1" x14ac:dyDescent="0.35"/>
    <row r="2" spans="2:29" x14ac:dyDescent="0.35">
      <c r="B2" s="91" t="s">
        <v>3613</v>
      </c>
      <c r="C2" s="91" t="s">
        <v>3614</v>
      </c>
      <c r="D2" s="91" t="s">
        <v>3615</v>
      </c>
      <c r="E2" s="91" t="s">
        <v>3616</v>
      </c>
      <c r="F2" s="91" t="s">
        <v>3617</v>
      </c>
      <c r="G2" s="91" t="s">
        <v>3618</v>
      </c>
      <c r="H2" s="91" t="s">
        <v>3619</v>
      </c>
      <c r="I2" s="91" t="s">
        <v>121</v>
      </c>
      <c r="J2" s="91" t="s">
        <v>137</v>
      </c>
      <c r="K2" s="91" t="s">
        <v>381</v>
      </c>
      <c r="L2" s="91" t="s">
        <v>149</v>
      </c>
      <c r="M2" s="91" t="s">
        <v>156</v>
      </c>
      <c r="N2" s="91" t="s">
        <v>168</v>
      </c>
      <c r="O2" s="91" t="s">
        <v>397</v>
      </c>
      <c r="P2" s="91" t="s">
        <v>177</v>
      </c>
      <c r="Q2" s="91" t="s">
        <v>188</v>
      </c>
      <c r="R2" s="91" t="s">
        <v>199</v>
      </c>
      <c r="S2" s="91" t="s">
        <v>211</v>
      </c>
      <c r="T2" s="91" t="s">
        <v>223</v>
      </c>
      <c r="U2" s="91" t="s">
        <v>3901</v>
      </c>
      <c r="V2" s="91" t="s">
        <v>3902</v>
      </c>
      <c r="W2" s="91" t="s">
        <v>446</v>
      </c>
      <c r="X2" s="91" t="s">
        <v>452</v>
      </c>
      <c r="Y2" s="91" t="s">
        <v>294</v>
      </c>
      <c r="Z2" s="91" t="s">
        <v>305</v>
      </c>
      <c r="AA2" s="91" t="s">
        <v>318</v>
      </c>
      <c r="AB2" s="91" t="s">
        <v>327</v>
      </c>
      <c r="AC2" s="91" t="s">
        <v>334</v>
      </c>
    </row>
    <row r="3" spans="2:29" x14ac:dyDescent="0.35">
      <c r="B3" s="50" t="s">
        <v>3567</v>
      </c>
      <c r="C3" s="50">
        <v>1</v>
      </c>
      <c r="D3" s="50" t="s">
        <v>3903</v>
      </c>
      <c r="E3" s="111">
        <v>45441</v>
      </c>
      <c r="F3" s="50">
        <v>1</v>
      </c>
      <c r="G3" s="114">
        <v>1</v>
      </c>
      <c r="H3" s="114">
        <v>5903000000</v>
      </c>
      <c r="I3" s="50" t="s">
        <v>3621</v>
      </c>
      <c r="J3" s="50" t="s">
        <v>3621</v>
      </c>
      <c r="K3" s="50" t="s">
        <v>3621</v>
      </c>
      <c r="L3" s="50" t="s">
        <v>3621</v>
      </c>
      <c r="M3" s="50" t="s">
        <v>3621</v>
      </c>
      <c r="N3" s="50" t="s">
        <v>3621</v>
      </c>
      <c r="O3" s="50" t="s">
        <v>3621</v>
      </c>
      <c r="P3" s="50" t="s">
        <v>3621</v>
      </c>
      <c r="Q3" s="50" t="s">
        <v>3621</v>
      </c>
      <c r="R3" s="50" t="s">
        <v>3621</v>
      </c>
      <c r="S3" s="50" t="s">
        <v>3621</v>
      </c>
      <c r="T3" s="50" t="s">
        <v>3621</v>
      </c>
      <c r="U3" s="50" t="s">
        <v>3621</v>
      </c>
      <c r="V3" s="50" t="s">
        <v>3621</v>
      </c>
      <c r="W3" s="50" t="s">
        <v>3621</v>
      </c>
      <c r="X3" s="50" t="s">
        <v>3621</v>
      </c>
      <c r="Y3" s="50" t="s">
        <v>3621</v>
      </c>
      <c r="Z3" s="50" t="s">
        <v>3621</v>
      </c>
      <c r="AA3" s="50" t="s">
        <v>3621</v>
      </c>
      <c r="AB3" s="50" t="s">
        <v>3621</v>
      </c>
      <c r="AC3" s="50" t="s">
        <v>3621</v>
      </c>
    </row>
    <row r="4" spans="2:29" x14ac:dyDescent="0.35">
      <c r="B4" s="50" t="s">
        <v>3569</v>
      </c>
      <c r="C4" s="50">
        <v>2</v>
      </c>
      <c r="D4" s="50" t="s">
        <v>3904</v>
      </c>
      <c r="E4" s="111">
        <v>45441</v>
      </c>
      <c r="F4" s="50">
        <v>1</v>
      </c>
      <c r="G4" s="114">
        <v>1</v>
      </c>
      <c r="H4" s="50" t="s">
        <v>3630</v>
      </c>
      <c r="I4" s="50" t="s">
        <v>3621</v>
      </c>
      <c r="J4" s="50" t="s">
        <v>3621</v>
      </c>
      <c r="K4" s="50" t="s">
        <v>3621</v>
      </c>
      <c r="L4" s="50" t="s">
        <v>3621</v>
      </c>
      <c r="M4" s="50" t="s">
        <v>3621</v>
      </c>
      <c r="N4" s="50" t="s">
        <v>3621</v>
      </c>
      <c r="O4" s="50" t="s">
        <v>3621</v>
      </c>
      <c r="P4" s="50" t="s">
        <v>3621</v>
      </c>
      <c r="Q4" s="50" t="s">
        <v>3621</v>
      </c>
      <c r="R4" s="50" t="s">
        <v>3621</v>
      </c>
      <c r="S4" s="50" t="s">
        <v>3621</v>
      </c>
      <c r="T4" s="50" t="s">
        <v>3621</v>
      </c>
      <c r="U4" s="50" t="s">
        <v>3621</v>
      </c>
      <c r="V4" s="50" t="s">
        <v>3621</v>
      </c>
      <c r="W4" s="50" t="s">
        <v>3621</v>
      </c>
      <c r="X4" s="50" t="s">
        <v>3621</v>
      </c>
      <c r="Y4" s="50" t="s">
        <v>3621</v>
      </c>
      <c r="Z4" s="50" t="s">
        <v>3621</v>
      </c>
      <c r="AA4" s="50" t="s">
        <v>3621</v>
      </c>
      <c r="AB4" s="50" t="s">
        <v>3621</v>
      </c>
      <c r="AC4" s="50" t="s">
        <v>3621</v>
      </c>
    </row>
    <row r="5" spans="2:29" x14ac:dyDescent="0.35">
      <c r="B5" s="50" t="s">
        <v>3571</v>
      </c>
      <c r="C5" s="50">
        <v>3</v>
      </c>
      <c r="D5" s="50" t="s">
        <v>3905</v>
      </c>
      <c r="E5" s="111">
        <v>45441</v>
      </c>
      <c r="F5" s="50">
        <v>1</v>
      </c>
      <c r="G5" s="114">
        <v>1</v>
      </c>
      <c r="H5" s="50" t="s">
        <v>3630</v>
      </c>
      <c r="I5" s="50">
        <v>0</v>
      </c>
      <c r="J5" s="50">
        <v>0</v>
      </c>
      <c r="K5" s="50" t="s">
        <v>3621</v>
      </c>
      <c r="L5" s="50" t="s">
        <v>3621</v>
      </c>
      <c r="M5" s="50" t="s">
        <v>3621</v>
      </c>
      <c r="N5" s="50" t="s">
        <v>3621</v>
      </c>
      <c r="O5" s="50" t="s">
        <v>3621</v>
      </c>
      <c r="P5" s="50" t="s">
        <v>3621</v>
      </c>
      <c r="Q5" s="50" t="s">
        <v>3621</v>
      </c>
      <c r="R5" s="50" t="s">
        <v>3621</v>
      </c>
      <c r="S5" s="50" t="s">
        <v>3621</v>
      </c>
      <c r="T5" s="50" t="s">
        <v>3621</v>
      </c>
      <c r="U5" s="50" t="s">
        <v>3621</v>
      </c>
      <c r="V5" s="50" t="s">
        <v>3621</v>
      </c>
      <c r="W5" s="50" t="s">
        <v>3621</v>
      </c>
      <c r="X5" s="50" t="s">
        <v>3621</v>
      </c>
      <c r="Y5" s="50" t="s">
        <v>3621</v>
      </c>
      <c r="Z5" s="50" t="s">
        <v>3621</v>
      </c>
      <c r="AA5" s="50" t="s">
        <v>3621</v>
      </c>
      <c r="AB5" s="50">
        <v>0</v>
      </c>
      <c r="AC5" s="50" t="s">
        <v>3621</v>
      </c>
    </row>
    <row r="6" spans="2:29" x14ac:dyDescent="0.35">
      <c r="B6" s="113" t="s">
        <v>3576</v>
      </c>
      <c r="C6" s="50">
        <v>6</v>
      </c>
      <c r="D6" s="50" t="s">
        <v>3906</v>
      </c>
      <c r="E6" s="111">
        <v>45441</v>
      </c>
      <c r="F6" s="50">
        <v>1</v>
      </c>
      <c r="G6" s="50" cm="1">
        <f t="array" ref="G6">SUMPRODUCT(--(I6:AC6&gt;0))/COUNTA(I6:AC6)</f>
        <v>1</v>
      </c>
      <c r="H6" s="50" t="s">
        <v>3630</v>
      </c>
      <c r="I6" s="50">
        <v>2</v>
      </c>
      <c r="J6" s="50">
        <v>30</v>
      </c>
      <c r="K6" s="50">
        <v>1</v>
      </c>
      <c r="L6" s="50">
        <v>3</v>
      </c>
      <c r="M6" s="50">
        <v>3</v>
      </c>
      <c r="N6" s="50">
        <v>3</v>
      </c>
      <c r="O6" s="50">
        <v>3</v>
      </c>
      <c r="P6" s="50">
        <v>2</v>
      </c>
      <c r="Q6" s="50">
        <v>30</v>
      </c>
      <c r="R6" s="50">
        <v>10</v>
      </c>
      <c r="S6" s="50">
        <v>10</v>
      </c>
      <c r="T6" s="50">
        <v>3</v>
      </c>
      <c r="U6" s="50">
        <v>10</v>
      </c>
      <c r="V6" s="50">
        <v>2</v>
      </c>
      <c r="W6" s="50">
        <v>10</v>
      </c>
      <c r="X6" s="50">
        <v>1</v>
      </c>
      <c r="Y6" s="50">
        <v>3</v>
      </c>
      <c r="Z6" s="50">
        <v>3</v>
      </c>
      <c r="AA6" s="50">
        <v>2</v>
      </c>
      <c r="AB6" s="50">
        <v>10</v>
      </c>
      <c r="AC6" s="50">
        <v>23</v>
      </c>
    </row>
    <row r="7" spans="2:29" x14ac:dyDescent="0.35">
      <c r="B7" s="50" t="s">
        <v>3579</v>
      </c>
      <c r="C7" s="50">
        <v>7</v>
      </c>
      <c r="D7" s="50" t="s">
        <v>3907</v>
      </c>
      <c r="E7" s="111">
        <v>45441</v>
      </c>
      <c r="F7" s="50">
        <v>1</v>
      </c>
      <c r="G7" s="50" cm="1">
        <f t="array" ref="G7">SUMPRODUCT(--(I7:AC7&lt;=I25:AC25))/COUNTA(I25:AC25)</f>
        <v>1</v>
      </c>
      <c r="H7" s="50" t="s">
        <v>3630</v>
      </c>
      <c r="I7" s="50">
        <v>2</v>
      </c>
      <c r="J7" s="50">
        <v>30</v>
      </c>
      <c r="K7" s="50">
        <v>10</v>
      </c>
      <c r="L7" s="50">
        <v>3</v>
      </c>
      <c r="M7" s="50">
        <v>3</v>
      </c>
      <c r="N7" s="50">
        <v>3</v>
      </c>
      <c r="O7" s="50">
        <v>4</v>
      </c>
      <c r="P7" s="50">
        <v>2</v>
      </c>
      <c r="Q7" s="50">
        <v>30</v>
      </c>
      <c r="R7" s="50">
        <v>10</v>
      </c>
      <c r="S7" s="50">
        <v>10</v>
      </c>
      <c r="T7" s="50">
        <v>3</v>
      </c>
      <c r="U7" s="50">
        <v>10</v>
      </c>
      <c r="V7" s="50">
        <v>3</v>
      </c>
      <c r="W7" s="50">
        <v>10</v>
      </c>
      <c r="X7" s="50">
        <v>3</v>
      </c>
      <c r="Y7" s="50">
        <v>3</v>
      </c>
      <c r="Z7" s="50">
        <v>3</v>
      </c>
      <c r="AA7" s="50">
        <v>2</v>
      </c>
      <c r="AB7" s="50">
        <v>10</v>
      </c>
      <c r="AC7" s="50">
        <v>23</v>
      </c>
    </row>
    <row r="8" spans="2:29" x14ac:dyDescent="0.35">
      <c r="B8" s="50" t="s">
        <v>3582</v>
      </c>
      <c r="C8" s="50">
        <v>8</v>
      </c>
      <c r="D8" s="50" t="s">
        <v>3908</v>
      </c>
      <c r="E8" s="111">
        <v>45441</v>
      </c>
      <c r="F8" s="50">
        <v>1</v>
      </c>
      <c r="G8" s="50" t="s">
        <v>3621</v>
      </c>
      <c r="H8" s="50" t="s">
        <v>3630</v>
      </c>
      <c r="I8" s="50">
        <v>31</v>
      </c>
      <c r="J8" s="50">
        <v>7.0000079999999997E+21</v>
      </c>
      <c r="K8" s="50">
        <v>1</v>
      </c>
      <c r="L8" s="50" t="s">
        <v>3699</v>
      </c>
      <c r="M8" s="50">
        <v>0</v>
      </c>
      <c r="N8" s="50">
        <v>20</v>
      </c>
      <c r="O8" s="50">
        <v>1329</v>
      </c>
      <c r="P8" s="50">
        <v>31</v>
      </c>
      <c r="Q8" s="50">
        <v>3.2487001E+22</v>
      </c>
      <c r="R8" s="111">
        <v>21205</v>
      </c>
      <c r="S8" s="111">
        <v>1</v>
      </c>
      <c r="T8" s="50">
        <v>0</v>
      </c>
      <c r="U8" s="111">
        <v>1</v>
      </c>
      <c r="V8" s="114">
        <v>25</v>
      </c>
      <c r="W8" s="50">
        <v>40967</v>
      </c>
      <c r="X8" s="50">
        <v>0</v>
      </c>
      <c r="Y8" s="50" t="s">
        <v>3699</v>
      </c>
      <c r="Z8" s="50" t="s">
        <v>3632</v>
      </c>
      <c r="AA8" s="50" t="s">
        <v>3909</v>
      </c>
      <c r="AB8" s="111">
        <v>45441</v>
      </c>
      <c r="AC8" s="50" t="s">
        <v>3910</v>
      </c>
    </row>
    <row r="9" spans="2:29" x14ac:dyDescent="0.35">
      <c r="B9" s="50" t="s">
        <v>3584</v>
      </c>
      <c r="C9" s="50">
        <v>9</v>
      </c>
      <c r="D9" s="50" t="s">
        <v>3911</v>
      </c>
      <c r="E9" s="111">
        <v>45441</v>
      </c>
      <c r="F9" s="50">
        <v>1</v>
      </c>
      <c r="G9" s="50" t="s">
        <v>3621</v>
      </c>
      <c r="H9" s="50" t="s">
        <v>3630</v>
      </c>
      <c r="I9" s="50">
        <v>31</v>
      </c>
      <c r="J9" s="50">
        <v>7.0000079999999997E+21</v>
      </c>
      <c r="K9" s="50">
        <v>1</v>
      </c>
      <c r="L9" s="50"/>
      <c r="M9" s="50">
        <v>0</v>
      </c>
      <c r="N9" s="50">
        <v>20</v>
      </c>
      <c r="O9" s="50">
        <v>1329</v>
      </c>
      <c r="P9" s="50"/>
      <c r="Q9" s="50">
        <v>3.2487001E+22</v>
      </c>
      <c r="R9" s="112">
        <v>21205</v>
      </c>
      <c r="S9" s="112">
        <v>1</v>
      </c>
      <c r="T9" s="50">
        <v>0</v>
      </c>
      <c r="U9" s="112">
        <v>1</v>
      </c>
      <c r="V9" s="114">
        <v>24500000</v>
      </c>
      <c r="W9" s="112">
        <v>40967</v>
      </c>
      <c r="X9" s="115" t="s">
        <v>3630</v>
      </c>
      <c r="Y9" s="50">
        <v>5</v>
      </c>
      <c r="Z9" s="50" t="s">
        <v>3636</v>
      </c>
      <c r="AA9" s="50" t="s">
        <v>3909</v>
      </c>
      <c r="AB9" s="111">
        <v>45441</v>
      </c>
      <c r="AC9" s="50" t="s">
        <v>3912</v>
      </c>
    </row>
    <row r="10" spans="2:29" x14ac:dyDescent="0.35">
      <c r="B10" s="113" t="s">
        <v>3586</v>
      </c>
      <c r="C10" s="50">
        <v>10</v>
      </c>
      <c r="D10" s="50" t="s">
        <v>3913</v>
      </c>
      <c r="E10" s="111">
        <v>45441</v>
      </c>
      <c r="F10" s="50">
        <v>1</v>
      </c>
      <c r="G10" s="50" t="s">
        <v>3621</v>
      </c>
      <c r="H10" s="50" t="s">
        <v>3630</v>
      </c>
      <c r="I10" s="50">
        <v>31</v>
      </c>
      <c r="J10" s="50">
        <v>8.0013669999999995E+24</v>
      </c>
      <c r="K10" s="50" t="s">
        <v>3914</v>
      </c>
      <c r="L10" s="50" t="s">
        <v>3699</v>
      </c>
      <c r="M10" s="50">
        <v>0</v>
      </c>
      <c r="N10" s="50">
        <v>20</v>
      </c>
      <c r="O10" s="50">
        <v>814</v>
      </c>
      <c r="P10" s="50">
        <v>31</v>
      </c>
      <c r="Q10" s="50">
        <v>2.3950315126102001E+29</v>
      </c>
      <c r="R10" s="111">
        <v>45441</v>
      </c>
      <c r="S10" s="111">
        <v>1</v>
      </c>
      <c r="T10" s="111">
        <v>978</v>
      </c>
      <c r="U10" s="111">
        <v>45441</v>
      </c>
      <c r="V10" s="114">
        <v>260</v>
      </c>
      <c r="W10" s="111">
        <v>45441</v>
      </c>
      <c r="X10" s="114">
        <v>250</v>
      </c>
      <c r="Y10" s="50" t="s">
        <v>3699</v>
      </c>
      <c r="Z10" s="50" t="s">
        <v>3632</v>
      </c>
      <c r="AA10" s="50" t="s">
        <v>3909</v>
      </c>
      <c r="AB10" s="111">
        <v>45441</v>
      </c>
      <c r="AC10" s="111" t="s">
        <v>3910</v>
      </c>
    </row>
    <row r="11" spans="2:29" x14ac:dyDescent="0.35">
      <c r="B11" s="50" t="s">
        <v>3588</v>
      </c>
      <c r="C11" s="50">
        <v>11</v>
      </c>
      <c r="D11" s="50" t="s">
        <v>3915</v>
      </c>
      <c r="E11" s="111">
        <v>45441</v>
      </c>
      <c r="F11" s="50">
        <v>1</v>
      </c>
      <c r="G11" s="50" t="s">
        <v>3621</v>
      </c>
      <c r="H11" s="50" t="s">
        <v>3630</v>
      </c>
      <c r="I11" s="50">
        <v>31</v>
      </c>
      <c r="J11" s="50">
        <v>8.0013669999999995E+24</v>
      </c>
      <c r="K11" s="50" t="s">
        <v>3914</v>
      </c>
      <c r="L11" s="50"/>
      <c r="M11" s="50">
        <v>0</v>
      </c>
      <c r="N11" s="50">
        <v>20</v>
      </c>
      <c r="O11" s="50">
        <v>814</v>
      </c>
      <c r="P11" s="50"/>
      <c r="Q11" s="50">
        <v>2.3950315126102001E+29</v>
      </c>
      <c r="R11" s="112">
        <v>45441</v>
      </c>
      <c r="S11" s="112">
        <v>1</v>
      </c>
      <c r="T11" s="112">
        <v>978</v>
      </c>
      <c r="U11" s="112">
        <v>45441</v>
      </c>
      <c r="V11" s="114">
        <v>260000000</v>
      </c>
      <c r="W11" s="112">
        <v>45441</v>
      </c>
      <c r="X11" s="115">
        <v>250000000</v>
      </c>
      <c r="Y11" s="115">
        <v>6</v>
      </c>
      <c r="Z11" s="50" t="s">
        <v>3636</v>
      </c>
      <c r="AA11" s="50" t="s">
        <v>3909</v>
      </c>
      <c r="AB11" s="111">
        <v>45441</v>
      </c>
      <c r="AC11" s="111" t="s">
        <v>3916</v>
      </c>
    </row>
    <row r="12" spans="2:29" x14ac:dyDescent="0.35">
      <c r="B12" s="50" t="s">
        <v>3590</v>
      </c>
      <c r="C12" s="50">
        <v>12</v>
      </c>
      <c r="D12" s="50" t="s">
        <v>3917</v>
      </c>
      <c r="E12" s="111">
        <v>45441</v>
      </c>
      <c r="F12" s="50">
        <v>1</v>
      </c>
      <c r="G12" s="50">
        <v>0.71428599999999998</v>
      </c>
      <c r="H12" s="50" t="s">
        <v>3630</v>
      </c>
      <c r="I12" s="50">
        <v>0</v>
      </c>
      <c r="J12" s="50">
        <v>0</v>
      </c>
      <c r="K12" s="50">
        <v>0</v>
      </c>
      <c r="L12" s="50">
        <v>0</v>
      </c>
      <c r="M12" s="50">
        <v>1070</v>
      </c>
      <c r="N12" s="50">
        <v>1070</v>
      </c>
      <c r="O12" s="50">
        <v>0</v>
      </c>
      <c r="P12" s="50">
        <v>0</v>
      </c>
      <c r="Q12" s="50">
        <v>0</v>
      </c>
      <c r="R12" s="50">
        <v>0</v>
      </c>
      <c r="S12" s="50">
        <v>0</v>
      </c>
      <c r="T12" s="50">
        <v>0</v>
      </c>
      <c r="U12" s="50">
        <v>125</v>
      </c>
      <c r="V12" s="50">
        <v>125</v>
      </c>
      <c r="W12" s="114">
        <v>126</v>
      </c>
      <c r="X12" s="50">
        <v>126</v>
      </c>
      <c r="Y12" s="50">
        <v>0</v>
      </c>
      <c r="Z12" s="50">
        <v>0</v>
      </c>
      <c r="AA12" s="50">
        <v>0</v>
      </c>
      <c r="AB12" s="50">
        <v>0</v>
      </c>
      <c r="AC12" s="50">
        <v>0</v>
      </c>
    </row>
    <row r="13" spans="2:29" x14ac:dyDescent="0.35">
      <c r="B13" s="50" t="s">
        <v>3592</v>
      </c>
      <c r="C13" s="50">
        <v>13</v>
      </c>
      <c r="D13" s="50" t="s">
        <v>3918</v>
      </c>
      <c r="E13" s="111">
        <v>45441</v>
      </c>
      <c r="F13" s="50">
        <v>1</v>
      </c>
      <c r="G13" s="114">
        <v>1</v>
      </c>
      <c r="H13" s="50" t="s">
        <v>3630</v>
      </c>
      <c r="I13" s="50" t="s">
        <v>3621</v>
      </c>
      <c r="J13" s="50" t="s">
        <v>3621</v>
      </c>
      <c r="K13" s="50" t="s">
        <v>3621</v>
      </c>
      <c r="L13" s="50" t="s">
        <v>3621</v>
      </c>
      <c r="M13" s="50" t="s">
        <v>3621</v>
      </c>
      <c r="N13" s="50" t="s">
        <v>3621</v>
      </c>
      <c r="O13" s="50" t="s">
        <v>3621</v>
      </c>
      <c r="P13" s="50" t="s">
        <v>3621</v>
      </c>
      <c r="Q13" s="50" t="s">
        <v>3621</v>
      </c>
      <c r="R13" s="112">
        <v>0</v>
      </c>
      <c r="S13" s="112">
        <v>0</v>
      </c>
      <c r="T13" s="112" t="s">
        <v>3621</v>
      </c>
      <c r="U13" s="112">
        <v>0</v>
      </c>
      <c r="V13" s="112" t="s">
        <v>3621</v>
      </c>
      <c r="W13" s="114">
        <v>0</v>
      </c>
      <c r="X13" s="112" t="s">
        <v>3621</v>
      </c>
      <c r="Y13" s="114" t="s">
        <v>3621</v>
      </c>
      <c r="Z13" s="50" t="s">
        <v>3621</v>
      </c>
      <c r="AA13" s="50" t="s">
        <v>3621</v>
      </c>
      <c r="AB13" s="111" t="s">
        <v>3621</v>
      </c>
      <c r="AC13" s="111" t="s">
        <v>3621</v>
      </c>
    </row>
    <row r="14" spans="2:29" x14ac:dyDescent="0.35">
      <c r="B14" s="50" t="s">
        <v>3594</v>
      </c>
      <c r="C14" s="50">
        <v>14</v>
      </c>
      <c r="D14" s="50" t="s">
        <v>3919</v>
      </c>
      <c r="E14" s="111">
        <v>45441</v>
      </c>
      <c r="F14" s="50">
        <v>1</v>
      </c>
      <c r="G14" s="114">
        <v>1</v>
      </c>
      <c r="H14" s="50" t="s">
        <v>3630</v>
      </c>
      <c r="I14" s="50">
        <v>0</v>
      </c>
      <c r="J14" s="50">
        <v>0</v>
      </c>
      <c r="K14" s="50">
        <v>0</v>
      </c>
      <c r="L14" s="50">
        <v>0</v>
      </c>
      <c r="M14" s="50">
        <v>0</v>
      </c>
      <c r="N14" s="50">
        <v>0</v>
      </c>
      <c r="O14" s="50">
        <v>0</v>
      </c>
      <c r="P14" s="50">
        <v>0</v>
      </c>
      <c r="Q14" s="50">
        <v>0</v>
      </c>
      <c r="R14" s="50" t="s">
        <v>3621</v>
      </c>
      <c r="S14" s="50" t="s">
        <v>3621</v>
      </c>
      <c r="T14" s="50">
        <v>0</v>
      </c>
      <c r="U14" s="50" t="s">
        <v>3621</v>
      </c>
      <c r="V14" s="50" t="s">
        <v>3621</v>
      </c>
      <c r="W14" s="50" t="s">
        <v>3621</v>
      </c>
      <c r="X14" s="50" t="s">
        <v>3621</v>
      </c>
      <c r="Y14" s="50">
        <v>0</v>
      </c>
      <c r="Z14" s="50">
        <v>0</v>
      </c>
      <c r="AA14" s="50">
        <v>0</v>
      </c>
      <c r="AB14" s="50" t="s">
        <v>3621</v>
      </c>
      <c r="AC14" s="50" t="s">
        <v>3621</v>
      </c>
    </row>
    <row r="15" spans="2:29" x14ac:dyDescent="0.35">
      <c r="B15" s="50" t="s">
        <v>3596</v>
      </c>
      <c r="C15" s="50">
        <v>15</v>
      </c>
      <c r="D15" s="50" t="s">
        <v>3920</v>
      </c>
      <c r="E15" s="111">
        <v>45441</v>
      </c>
      <c r="F15" s="50">
        <v>1</v>
      </c>
      <c r="G15" s="114">
        <v>1</v>
      </c>
      <c r="H15" s="206" t="s">
        <v>3630</v>
      </c>
      <c r="I15" s="50" t="s">
        <v>3621</v>
      </c>
      <c r="J15" s="50" t="s">
        <v>3621</v>
      </c>
      <c r="K15" s="50" t="s">
        <v>3621</v>
      </c>
      <c r="L15" s="50" t="s">
        <v>3621</v>
      </c>
      <c r="M15" s="50" t="s">
        <v>3621</v>
      </c>
      <c r="N15" s="50" t="s">
        <v>3621</v>
      </c>
      <c r="O15" s="50" t="s">
        <v>3621</v>
      </c>
      <c r="P15" s="50" t="s">
        <v>3621</v>
      </c>
      <c r="Q15" s="50" t="s">
        <v>3621</v>
      </c>
      <c r="R15" s="113" t="s">
        <v>3621</v>
      </c>
      <c r="S15" s="113" t="s">
        <v>3621</v>
      </c>
      <c r="T15" s="113" t="s">
        <v>3621</v>
      </c>
      <c r="U15" s="113" t="s">
        <v>3621</v>
      </c>
      <c r="V15" s="113" t="s">
        <v>3621</v>
      </c>
      <c r="W15" s="113" t="s">
        <v>3621</v>
      </c>
      <c r="X15" s="113" t="s">
        <v>3621</v>
      </c>
      <c r="Y15" s="50" t="s">
        <v>3621</v>
      </c>
      <c r="Z15" s="50" t="s">
        <v>3621</v>
      </c>
      <c r="AA15" s="50" t="s">
        <v>3621</v>
      </c>
      <c r="AB15" s="50" t="s">
        <v>3621</v>
      </c>
      <c r="AC15" s="50" t="s">
        <v>3621</v>
      </c>
    </row>
    <row r="16" spans="2:29" x14ac:dyDescent="0.35">
      <c r="B16" s="50" t="s">
        <v>3598</v>
      </c>
      <c r="C16" s="50">
        <v>16</v>
      </c>
      <c r="D16" s="50" t="s">
        <v>3920</v>
      </c>
      <c r="E16" s="111">
        <v>45441</v>
      </c>
      <c r="F16" s="50">
        <v>1</v>
      </c>
      <c r="G16" s="114">
        <v>1</v>
      </c>
      <c r="H16" s="206" t="s">
        <v>3630</v>
      </c>
      <c r="I16" s="50" t="s">
        <v>3621</v>
      </c>
      <c r="J16" s="50" t="s">
        <v>3621</v>
      </c>
      <c r="K16" s="50" t="s">
        <v>3621</v>
      </c>
      <c r="L16" s="50" t="s">
        <v>3621</v>
      </c>
      <c r="M16" s="50" t="s">
        <v>3621</v>
      </c>
      <c r="N16" s="50" t="s">
        <v>3621</v>
      </c>
      <c r="O16" s="50" t="s">
        <v>3621</v>
      </c>
      <c r="P16" s="50" t="s">
        <v>3621</v>
      </c>
      <c r="Q16" s="50" t="s">
        <v>3621</v>
      </c>
      <c r="R16" s="50" t="s">
        <v>3621</v>
      </c>
      <c r="S16" s="50" t="s">
        <v>3621</v>
      </c>
      <c r="T16" s="50" t="s">
        <v>3621</v>
      </c>
      <c r="U16" s="50" t="s">
        <v>3621</v>
      </c>
      <c r="V16" s="50" t="s">
        <v>3621</v>
      </c>
      <c r="W16" s="50" t="s">
        <v>3621</v>
      </c>
      <c r="X16" s="50" t="s">
        <v>3621</v>
      </c>
      <c r="Y16" s="50" t="s">
        <v>3621</v>
      </c>
      <c r="Z16" s="50" t="s">
        <v>3621</v>
      </c>
      <c r="AA16" s="50" t="s">
        <v>3621</v>
      </c>
      <c r="AB16" s="50" t="s">
        <v>3621</v>
      </c>
      <c r="AC16" s="50" t="s">
        <v>3621</v>
      </c>
    </row>
    <row r="17" spans="2:31" x14ac:dyDescent="0.35">
      <c r="B17" s="50" t="s">
        <v>3604</v>
      </c>
      <c r="C17" s="50">
        <v>19</v>
      </c>
      <c r="D17" s="50" t="s">
        <v>3921</v>
      </c>
      <c r="E17" s="111">
        <v>45441</v>
      </c>
      <c r="F17" s="50">
        <v>1</v>
      </c>
      <c r="G17" s="50" cm="1">
        <f t="array" ref="G17">SUMPRODUCT(--(ISNUMBER((SEARCH(I23:AC23,I17:AC17)))))/COUNTA(I17:AC17)</f>
        <v>0</v>
      </c>
      <c r="H17" s="114" t="s">
        <v>3630</v>
      </c>
      <c r="I17" s="50" t="s">
        <v>3655</v>
      </c>
      <c r="J17" s="50" t="s">
        <v>3655</v>
      </c>
      <c r="K17" s="50" t="s">
        <v>3655</v>
      </c>
      <c r="L17" s="50" t="s">
        <v>3655</v>
      </c>
      <c r="M17" s="50" t="s">
        <v>3655</v>
      </c>
      <c r="N17" s="50" t="s">
        <v>3655</v>
      </c>
      <c r="O17" s="50" t="s">
        <v>3655</v>
      </c>
      <c r="P17" s="50" t="s">
        <v>3655</v>
      </c>
      <c r="Q17" s="50" t="s">
        <v>3655</v>
      </c>
      <c r="R17" s="50" t="s">
        <v>3655</v>
      </c>
      <c r="S17" s="50" t="s">
        <v>3655</v>
      </c>
      <c r="T17" s="50" t="s">
        <v>3655</v>
      </c>
      <c r="U17" s="50" t="s">
        <v>3655</v>
      </c>
      <c r="V17" s="50" t="s">
        <v>3922</v>
      </c>
      <c r="W17" s="50" t="s">
        <v>3655</v>
      </c>
      <c r="X17" s="50" t="s">
        <v>3922</v>
      </c>
      <c r="Y17" s="50" t="s">
        <v>3655</v>
      </c>
      <c r="Z17" s="50" t="s">
        <v>3655</v>
      </c>
      <c r="AA17" s="50" t="s">
        <v>3655</v>
      </c>
      <c r="AB17" s="50" t="s">
        <v>3655</v>
      </c>
      <c r="AC17" s="50" t="s">
        <v>3657</v>
      </c>
    </row>
    <row r="18" spans="2:31" x14ac:dyDescent="0.35">
      <c r="B18" s="50" t="s">
        <v>3607</v>
      </c>
      <c r="C18" s="50">
        <v>20</v>
      </c>
      <c r="D18" s="50"/>
      <c r="E18" s="111"/>
      <c r="F18" s="50"/>
      <c r="G18" s="50" cm="1">
        <f t="array" ref="G18">SUM(IF(I2:AC2 = I23:AC23, 1, 0))/ COUNTA(I2:AC2)</f>
        <v>0.90476190476190477</v>
      </c>
      <c r="H18" s="114"/>
      <c r="I18" s="50"/>
      <c r="J18" s="50"/>
      <c r="K18" s="50"/>
      <c r="L18" s="50"/>
      <c r="M18" s="50"/>
      <c r="N18" s="50"/>
      <c r="O18" s="50"/>
      <c r="P18" s="50"/>
      <c r="Q18" s="50"/>
      <c r="R18" s="50"/>
      <c r="S18" s="50"/>
      <c r="T18" s="50"/>
      <c r="U18" s="50"/>
      <c r="V18" s="50"/>
      <c r="W18" s="50"/>
      <c r="X18" s="50"/>
      <c r="Y18" s="50"/>
      <c r="Z18" s="50"/>
      <c r="AA18" s="50"/>
      <c r="AB18" s="50"/>
      <c r="AC18" s="50"/>
    </row>
    <row r="19" spans="2:31" x14ac:dyDescent="0.35">
      <c r="B19" s="50" t="s">
        <v>3610</v>
      </c>
      <c r="C19" s="50">
        <v>21</v>
      </c>
      <c r="D19" s="50"/>
      <c r="E19" s="111"/>
      <c r="F19" s="50"/>
      <c r="G19" s="50" cm="1">
        <f t="array" ref="G19">SUM(IF(IF(G3:G18="null",1,G3:G18)=1,1,0))/COUNT(IF(G3:G18="null",1,1))</f>
        <v>0.8125</v>
      </c>
      <c r="H19" s="50"/>
      <c r="I19" s="50"/>
      <c r="J19" s="50"/>
      <c r="K19" s="50"/>
      <c r="L19" s="50"/>
      <c r="M19" s="50"/>
      <c r="N19" s="50"/>
      <c r="O19" s="50"/>
      <c r="P19" s="50"/>
      <c r="Q19" s="50"/>
      <c r="R19" s="50"/>
      <c r="S19" s="50"/>
      <c r="T19" s="50"/>
      <c r="U19" s="50"/>
      <c r="V19" s="50"/>
      <c r="W19" s="50"/>
      <c r="X19" s="50"/>
      <c r="Y19" s="50"/>
      <c r="Z19" s="50"/>
      <c r="AA19" s="50"/>
      <c r="AB19" s="50"/>
      <c r="AC19" s="50"/>
    </row>
    <row r="20" spans="2:31" x14ac:dyDescent="0.35">
      <c r="B20" s="50"/>
      <c r="C20" s="50"/>
      <c r="D20" s="50"/>
      <c r="E20" s="111"/>
      <c r="F20" s="50"/>
      <c r="G20" s="50"/>
      <c r="H20" s="50"/>
      <c r="I20" s="50"/>
      <c r="J20" s="50"/>
      <c r="K20" s="50"/>
      <c r="L20" s="50"/>
      <c r="M20" s="50"/>
      <c r="N20" s="50"/>
      <c r="O20" s="50"/>
      <c r="P20" s="50"/>
      <c r="Q20" s="50"/>
      <c r="R20" s="50"/>
      <c r="S20" s="50"/>
      <c r="T20" s="50"/>
      <c r="U20" s="50"/>
      <c r="V20" s="50"/>
      <c r="W20" s="50"/>
      <c r="X20" s="50"/>
      <c r="Y20" s="50"/>
      <c r="Z20" s="50"/>
      <c r="AA20" s="50"/>
      <c r="AB20" s="50"/>
      <c r="AC20" s="50"/>
      <c r="AD20" s="50"/>
      <c r="AE20" s="50"/>
    </row>
    <row r="22" spans="2:31" x14ac:dyDescent="0.35">
      <c r="B22" s="156" t="s">
        <v>3727</v>
      </c>
      <c r="C22" s="148"/>
      <c r="D22" s="148"/>
      <c r="E22" s="148"/>
      <c r="F22" s="148"/>
      <c r="G22" s="148"/>
      <c r="H22" s="148"/>
      <c r="I22" s="148"/>
      <c r="J22" s="148"/>
      <c r="K22" s="148"/>
      <c r="L22" s="148"/>
      <c r="M22" s="148"/>
      <c r="N22" s="148"/>
      <c r="O22" s="148"/>
      <c r="P22" s="148"/>
      <c r="Q22" s="148"/>
      <c r="R22" s="148"/>
      <c r="S22" s="148"/>
      <c r="T22" s="148"/>
      <c r="U22" s="148"/>
      <c r="V22" s="148"/>
      <c r="W22" s="148"/>
      <c r="X22" s="148"/>
      <c r="Y22" s="148"/>
      <c r="Z22" s="148"/>
      <c r="AA22" s="148"/>
      <c r="AB22" s="148"/>
      <c r="AC22" s="148"/>
      <c r="AD22" s="158"/>
      <c r="AE22" s="158"/>
    </row>
    <row r="23" spans="2:31" x14ac:dyDescent="0.35">
      <c r="B23" s="165" t="s">
        <v>3613</v>
      </c>
      <c r="C23" s="147" t="s">
        <v>3614</v>
      </c>
      <c r="D23" s="147" t="s">
        <v>3615</v>
      </c>
      <c r="E23" s="147" t="s">
        <v>3616</v>
      </c>
      <c r="F23" s="147" t="s">
        <v>3617</v>
      </c>
      <c r="G23" s="147" t="s">
        <v>3618</v>
      </c>
      <c r="H23" s="147" t="s">
        <v>3619</v>
      </c>
      <c r="I23" s="147" t="str" cm="1">
        <f t="array" ref="I23:AC23">TRANSPOSE(_xlfn.SORTBY(_xlfn._xlws.FILTER(Table3[NOME FÍSICO CAMPO],Table3[NOME FÍSICO TABELA]="bank_vault"), _xlfn._xlws.FILTER(Table3[ORDEM], Table3[NOME FÍSICO TABELA]="bank_vault"), 1))</f>
        <v>bank_id</v>
      </c>
      <c r="J23" s="147" t="str">
        <v>contract_id</v>
      </c>
      <c r="K23" s="147" t="str">
        <v>bank_vault_id</v>
      </c>
      <c r="L23" s="147" t="str">
        <v>product_family_id</v>
      </c>
      <c r="M23" s="147" t="str">
        <v>product_id</v>
      </c>
      <c r="N23" s="147" t="str">
        <v>subproduct_id</v>
      </c>
      <c r="O23" s="147" t="str">
        <v>bank_vault_branch_code</v>
      </c>
      <c r="P23" s="147" t="str">
        <v>main_current_account_bank_id</v>
      </c>
      <c r="Q23" s="147" t="str">
        <v>main_current_account_contract_id</v>
      </c>
      <c r="R23" s="147" t="str">
        <v>opening_date</v>
      </c>
      <c r="S23" s="147" t="str">
        <v>current_maturity_date</v>
      </c>
      <c r="T23" s="147" t="str">
        <v>currency_code</v>
      </c>
      <c r="U23" s="147" t="str">
        <v>last_regular_amort_pay_date</v>
      </c>
      <c r="V23" s="147" t="str">
        <v>last_regular_amort_princip_amt</v>
      </c>
      <c r="W23" s="147" t="str">
        <v>security_deposit_payment_date</v>
      </c>
      <c r="X23" s="147" t="str">
        <v>security_deposit_principal_amt</v>
      </c>
      <c r="Y23" s="147" t="str">
        <v>contract_status_code</v>
      </c>
      <c r="Z23" s="147" t="str">
        <v>contract_opening_channel_code</v>
      </c>
      <c r="AA23" s="147" t="str">
        <v>source_code</v>
      </c>
      <c r="AB23" s="147" t="str">
        <v>data_date_part</v>
      </c>
      <c r="AC23" s="147" t="str">
        <v>data_timestamp_part</v>
      </c>
      <c r="AD23" s="222"/>
      <c r="AE23" s="233"/>
    </row>
    <row r="24" spans="2:31" x14ac:dyDescent="0.35">
      <c r="B24" s="131" t="s">
        <v>3658</v>
      </c>
      <c r="C24" s="159">
        <v>21</v>
      </c>
      <c r="D24" s="128" t="s">
        <v>3659</v>
      </c>
      <c r="E24" s="127" t="s">
        <v>3660</v>
      </c>
      <c r="F24" s="127" t="s">
        <v>372</v>
      </c>
      <c r="G24" s="127" t="s">
        <v>372</v>
      </c>
      <c r="H24" s="127" t="s">
        <v>372</v>
      </c>
      <c r="I24" s="127" t="str" cm="1">
        <f t="array" ref="I24:AC25">TRANSPOSE(_xlfn.SORTBY(_xlfn._xlws.FILTER(IF(Table3[FORMATO]:Table3[COMP_ CAMPO]&lt;&gt;"",Table3[FORMATO]:Table3[COMP_ CAMPO],9999999),Table3[NOME FÍSICO TABELA]="bank_vault"), _xlfn._xlws.FILTER(Table3[ORDEM], Table3[NOME FÍSICO TABELA]="bank_vault"), 1))</f>
        <v>STRING</v>
      </c>
      <c r="J24" s="127" t="str">
        <v>STRING</v>
      </c>
      <c r="K24" s="127" t="str">
        <v>STRING</v>
      </c>
      <c r="L24" s="127" t="str">
        <v>STRING</v>
      </c>
      <c r="M24" s="127" t="str">
        <v>STRING</v>
      </c>
      <c r="N24" s="127" t="str">
        <v>STRING</v>
      </c>
      <c r="O24" s="127" t="str">
        <v>STRING</v>
      </c>
      <c r="P24" s="127" t="str">
        <v>STRING</v>
      </c>
      <c r="Q24" s="127" t="str">
        <v>STRING</v>
      </c>
      <c r="R24" s="127" t="str">
        <v>STRING</v>
      </c>
      <c r="S24" s="127" t="str">
        <v>STRING</v>
      </c>
      <c r="T24" s="127" t="str">
        <v>STRING</v>
      </c>
      <c r="U24" s="127" t="str">
        <v>STRING</v>
      </c>
      <c r="V24" s="127" t="str">
        <v>DECIMAL</v>
      </c>
      <c r="W24" s="127" t="str">
        <v>STRING</v>
      </c>
      <c r="X24" s="127" t="str">
        <v>DECIMAL</v>
      </c>
      <c r="Y24" s="127" t="str">
        <v>STRING</v>
      </c>
      <c r="Z24" s="127" t="str">
        <v>STRING</v>
      </c>
      <c r="AA24" s="127" t="str">
        <v>STRING</v>
      </c>
      <c r="AB24" s="127" t="str">
        <v>STRING</v>
      </c>
      <c r="AC24" s="127" t="str">
        <v>TIMESTAMP</v>
      </c>
      <c r="AD24" s="188"/>
      <c r="AE24" s="234"/>
    </row>
    <row r="25" spans="2:31" x14ac:dyDescent="0.35">
      <c r="B25" s="133" t="s">
        <v>3661</v>
      </c>
      <c r="C25" s="129">
        <v>7</v>
      </c>
      <c r="D25" s="135" t="s">
        <v>3659</v>
      </c>
      <c r="E25" s="134" t="s">
        <v>3660</v>
      </c>
      <c r="F25" s="134" t="s">
        <v>372</v>
      </c>
      <c r="G25" s="134" t="s">
        <v>372</v>
      </c>
      <c r="H25" s="134" t="s">
        <v>372</v>
      </c>
      <c r="I25" s="129">
        <v>4</v>
      </c>
      <c r="J25" s="129">
        <v>30</v>
      </c>
      <c r="K25" s="129">
        <v>15</v>
      </c>
      <c r="L25" s="129">
        <v>4</v>
      </c>
      <c r="M25" s="129">
        <v>4</v>
      </c>
      <c r="N25" s="129">
        <v>4</v>
      </c>
      <c r="O25" s="129">
        <v>4</v>
      </c>
      <c r="P25" s="129">
        <v>4</v>
      </c>
      <c r="Q25" s="129">
        <v>30</v>
      </c>
      <c r="R25" s="129">
        <v>10</v>
      </c>
      <c r="S25" s="129">
        <v>10</v>
      </c>
      <c r="T25" s="129">
        <v>4</v>
      </c>
      <c r="U25" s="129">
        <v>10</v>
      </c>
      <c r="V25" s="129">
        <v>23</v>
      </c>
      <c r="W25" s="129">
        <v>10</v>
      </c>
      <c r="X25" s="129">
        <v>23</v>
      </c>
      <c r="Y25" s="129">
        <v>4</v>
      </c>
      <c r="Z25" s="129">
        <v>4</v>
      </c>
      <c r="AA25" s="129">
        <v>2</v>
      </c>
      <c r="AB25" s="129">
        <v>10</v>
      </c>
      <c r="AC25" s="129">
        <v>23</v>
      </c>
      <c r="AD25" s="235"/>
      <c r="AE25" s="50"/>
    </row>
    <row r="27" spans="2:31" x14ac:dyDescent="0.35">
      <c r="B27" s="156" t="s">
        <v>3662</v>
      </c>
    </row>
    <row r="28" spans="2:31" x14ac:dyDescent="0.35">
      <c r="B28" s="150" t="s">
        <v>3663</v>
      </c>
      <c r="C28" s="150" t="s">
        <v>3664</v>
      </c>
      <c r="D28" s="151" t="s">
        <v>3665</v>
      </c>
      <c r="E28" s="150" t="s">
        <v>3666</v>
      </c>
      <c r="F28" s="150" t="s">
        <v>3667</v>
      </c>
    </row>
    <row r="29" spans="2:31" ht="43.5" x14ac:dyDescent="0.35">
      <c r="B29" s="127" t="s">
        <v>3728</v>
      </c>
      <c r="C29" s="131" t="s">
        <v>452</v>
      </c>
      <c r="D29" s="53" t="s">
        <v>3923</v>
      </c>
      <c r="E29" s="152" t="s">
        <v>3924</v>
      </c>
      <c r="F29" s="152" t="s">
        <v>3674</v>
      </c>
    </row>
    <row r="30" spans="2:31" ht="43.5" x14ac:dyDescent="0.35">
      <c r="B30" s="127" t="s">
        <v>3728</v>
      </c>
      <c r="C30" s="131" t="s">
        <v>446</v>
      </c>
      <c r="D30" s="53" t="s">
        <v>3923</v>
      </c>
      <c r="E30" s="152" t="s">
        <v>3924</v>
      </c>
      <c r="F30" s="152"/>
    </row>
    <row r="31" spans="2:31" ht="43.5" x14ac:dyDescent="0.35">
      <c r="B31" s="127" t="s">
        <v>3728</v>
      </c>
      <c r="C31" s="131" t="s">
        <v>3901</v>
      </c>
      <c r="D31" s="53" t="s">
        <v>3925</v>
      </c>
      <c r="E31" s="152" t="s">
        <v>3926</v>
      </c>
      <c r="F31" s="152"/>
    </row>
    <row r="32" spans="2:31" ht="43.5" x14ac:dyDescent="0.35">
      <c r="B32" s="127" t="s">
        <v>3728</v>
      </c>
      <c r="C32" s="131" t="s">
        <v>3927</v>
      </c>
      <c r="D32" s="53" t="s">
        <v>3925</v>
      </c>
      <c r="E32" s="152" t="s">
        <v>3926</v>
      </c>
      <c r="F32" s="152" t="s">
        <v>3674</v>
      </c>
    </row>
    <row r="33" spans="2:6" ht="29" x14ac:dyDescent="0.35">
      <c r="B33" s="153" t="s">
        <v>3728</v>
      </c>
      <c r="C33" s="154" t="s">
        <v>156</v>
      </c>
      <c r="D33" s="155" t="s">
        <v>3928</v>
      </c>
      <c r="E33" s="205" t="s">
        <v>3929</v>
      </c>
      <c r="F33" s="152" t="s">
        <v>3674</v>
      </c>
    </row>
    <row r="34" spans="2:6" ht="29" x14ac:dyDescent="0.35">
      <c r="B34" s="153" t="s">
        <v>3728</v>
      </c>
      <c r="C34" s="154" t="s">
        <v>168</v>
      </c>
      <c r="D34" s="155" t="s">
        <v>3928</v>
      </c>
      <c r="E34" s="205" t="s">
        <v>3929</v>
      </c>
      <c r="F34" s="152" t="s">
        <v>3674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B1:W30"/>
  <sheetViews>
    <sheetView showGridLines="0" workbookViewId="0">
      <selection activeCell="H6" sqref="H6:H7"/>
    </sheetView>
  </sheetViews>
  <sheetFormatPr defaultRowHeight="14.5" x14ac:dyDescent="0.35"/>
  <cols>
    <col min="2" max="2" width="30.7265625" bestFit="1" customWidth="1"/>
    <col min="3" max="3" width="35.54296875" customWidth="1"/>
    <col min="4" max="4" width="43.7265625" customWidth="1"/>
    <col min="5" max="5" width="30.453125" bestFit="1" customWidth="1"/>
    <col min="6" max="6" width="23.54296875" customWidth="1"/>
    <col min="7" max="7" width="23.1796875" customWidth="1"/>
    <col min="8" max="8" width="16.453125" bestFit="1" customWidth="1"/>
    <col min="9" max="9" width="18.453125" bestFit="1" customWidth="1"/>
    <col min="10" max="10" width="31.1796875" bestFit="1" customWidth="1"/>
    <col min="11" max="11" width="30.7265625" bestFit="1" customWidth="1"/>
    <col min="12" max="12" width="24.453125" bestFit="1" customWidth="1"/>
    <col min="13" max="13" width="27.7265625" bestFit="1" customWidth="1"/>
    <col min="14" max="17" width="30.7265625" bestFit="1" customWidth="1"/>
    <col min="18" max="18" width="28" bestFit="1" customWidth="1"/>
    <col min="19" max="19" width="30.7265625" bestFit="1" customWidth="1"/>
    <col min="20" max="20" width="26.81640625" bestFit="1" customWidth="1"/>
    <col min="21" max="23" width="30.7265625" bestFit="1" customWidth="1"/>
  </cols>
  <sheetData>
    <row r="1" spans="2:23" ht="28.5" customHeight="1" x14ac:dyDescent="0.35"/>
    <row r="2" spans="2:23" x14ac:dyDescent="0.35">
      <c r="B2" s="91" t="s">
        <v>3613</v>
      </c>
      <c r="C2" s="91" t="s">
        <v>3614</v>
      </c>
      <c r="D2" s="91" t="s">
        <v>3615</v>
      </c>
      <c r="E2" s="91" t="s">
        <v>3616</v>
      </c>
      <c r="F2" s="91" t="s">
        <v>3617</v>
      </c>
      <c r="G2" s="91" t="s">
        <v>3618</v>
      </c>
      <c r="H2" s="91" t="s">
        <v>3619</v>
      </c>
      <c r="I2" s="91" t="s">
        <v>121</v>
      </c>
      <c r="J2" s="91" t="s">
        <v>575</v>
      </c>
      <c r="K2" s="91" t="s">
        <v>149</v>
      </c>
      <c r="L2" s="91" t="s">
        <v>156</v>
      </c>
      <c r="M2" s="91" t="s">
        <v>168</v>
      </c>
      <c r="N2" s="91" t="s">
        <v>177</v>
      </c>
      <c r="O2" s="91" t="s">
        <v>188</v>
      </c>
      <c r="P2" s="91" t="s">
        <v>199</v>
      </c>
      <c r="Q2" s="91" t="s">
        <v>211</v>
      </c>
      <c r="R2" s="91" t="s">
        <v>223</v>
      </c>
      <c r="S2" s="91" t="s">
        <v>649</v>
      </c>
      <c r="T2" s="91" t="s">
        <v>658</v>
      </c>
      <c r="U2" s="91" t="s">
        <v>667</v>
      </c>
      <c r="V2" s="91" t="s">
        <v>327</v>
      </c>
      <c r="W2" s="91" t="s">
        <v>334</v>
      </c>
    </row>
    <row r="3" spans="2:23" x14ac:dyDescent="0.35">
      <c r="B3" s="50" t="s">
        <v>3567</v>
      </c>
      <c r="C3" s="50">
        <v>1</v>
      </c>
      <c r="D3" s="50" t="s">
        <v>3930</v>
      </c>
      <c r="E3" s="111">
        <v>45439</v>
      </c>
      <c r="F3" s="50">
        <v>1</v>
      </c>
      <c r="G3" s="209">
        <v>1</v>
      </c>
      <c r="H3" s="207" t="s">
        <v>3931</v>
      </c>
      <c r="I3" s="50" t="s">
        <v>3621</v>
      </c>
      <c r="J3" s="50" t="s">
        <v>3621</v>
      </c>
      <c r="K3" s="50" t="s">
        <v>3621</v>
      </c>
      <c r="L3" s="50" t="s">
        <v>3621</v>
      </c>
      <c r="M3" s="50" t="s">
        <v>3621</v>
      </c>
      <c r="N3" s="50" t="s">
        <v>3621</v>
      </c>
      <c r="O3" s="50" t="s">
        <v>3621</v>
      </c>
      <c r="P3" s="50" t="s">
        <v>3621</v>
      </c>
      <c r="Q3" s="50" t="s">
        <v>3621</v>
      </c>
      <c r="R3" s="50" t="s">
        <v>3621</v>
      </c>
      <c r="S3" s="50" t="s">
        <v>3621</v>
      </c>
      <c r="T3" s="50" t="s">
        <v>3621</v>
      </c>
      <c r="U3" s="50" t="s">
        <v>3621</v>
      </c>
      <c r="V3" s="50" t="s">
        <v>3621</v>
      </c>
      <c r="W3" s="50" t="s">
        <v>3621</v>
      </c>
    </row>
    <row r="4" spans="2:23" x14ac:dyDescent="0.35">
      <c r="B4" s="50" t="s">
        <v>3569</v>
      </c>
      <c r="C4" s="50">
        <v>2</v>
      </c>
      <c r="D4" s="50" t="s">
        <v>3932</v>
      </c>
      <c r="E4" s="111">
        <v>45439</v>
      </c>
      <c r="F4" s="50">
        <v>1</v>
      </c>
      <c r="G4" s="209">
        <v>1</v>
      </c>
      <c r="H4" s="50">
        <v>0</v>
      </c>
      <c r="I4" s="50" t="s">
        <v>3621</v>
      </c>
      <c r="J4" s="50" t="s">
        <v>3621</v>
      </c>
      <c r="K4" s="50" t="s">
        <v>3621</v>
      </c>
      <c r="L4" s="50" t="s">
        <v>3621</v>
      </c>
      <c r="M4" s="50" t="s">
        <v>3621</v>
      </c>
      <c r="N4" s="50" t="s">
        <v>3621</v>
      </c>
      <c r="O4" s="50" t="s">
        <v>3621</v>
      </c>
      <c r="P4" s="50" t="s">
        <v>3621</v>
      </c>
      <c r="Q4" s="50" t="s">
        <v>3621</v>
      </c>
      <c r="R4" s="50" t="s">
        <v>3621</v>
      </c>
      <c r="S4" s="50" t="s">
        <v>3621</v>
      </c>
      <c r="T4" s="50" t="s">
        <v>3621</v>
      </c>
      <c r="U4" s="50" t="s">
        <v>3621</v>
      </c>
      <c r="V4" s="50" t="s">
        <v>3621</v>
      </c>
      <c r="W4" s="50" t="s">
        <v>3621</v>
      </c>
    </row>
    <row r="5" spans="2:23" x14ac:dyDescent="0.35">
      <c r="B5" s="50" t="s">
        <v>3571</v>
      </c>
      <c r="C5" s="50">
        <v>3</v>
      </c>
      <c r="D5" s="50" t="s">
        <v>3933</v>
      </c>
      <c r="E5" s="111">
        <v>45439</v>
      </c>
      <c r="F5" s="50">
        <v>1</v>
      </c>
      <c r="G5" s="209">
        <v>1</v>
      </c>
      <c r="H5" s="50">
        <v>0</v>
      </c>
      <c r="I5" s="50">
        <v>0</v>
      </c>
      <c r="J5" s="50">
        <v>0</v>
      </c>
      <c r="K5" s="50" t="s">
        <v>3621</v>
      </c>
      <c r="L5" s="50" t="s">
        <v>3621</v>
      </c>
      <c r="M5" s="50" t="s">
        <v>3621</v>
      </c>
      <c r="N5" s="50" t="s">
        <v>3621</v>
      </c>
      <c r="O5" s="50" t="s">
        <v>3621</v>
      </c>
      <c r="P5" s="50" t="s">
        <v>3621</v>
      </c>
      <c r="Q5" s="50" t="s">
        <v>3621</v>
      </c>
      <c r="R5" s="50" t="s">
        <v>3621</v>
      </c>
      <c r="S5" s="50" t="s">
        <v>3621</v>
      </c>
      <c r="T5" s="50" t="s">
        <v>3621</v>
      </c>
      <c r="U5" s="50" t="s">
        <v>3621</v>
      </c>
      <c r="V5" s="50">
        <v>0</v>
      </c>
      <c r="W5" s="50" t="s">
        <v>3621</v>
      </c>
    </row>
    <row r="6" spans="2:23" x14ac:dyDescent="0.35">
      <c r="B6" s="113" t="s">
        <v>3573</v>
      </c>
      <c r="C6" s="50">
        <v>4</v>
      </c>
      <c r="D6" s="50" t="s">
        <v>3933</v>
      </c>
      <c r="E6" s="111" t="s">
        <v>3621</v>
      </c>
      <c r="F6" s="50">
        <v>1</v>
      </c>
      <c r="G6" s="209" t="s">
        <v>3621</v>
      </c>
      <c r="H6" s="50">
        <v>0</v>
      </c>
      <c r="I6" s="50" t="s">
        <v>3621</v>
      </c>
      <c r="J6" s="50" t="s">
        <v>3621</v>
      </c>
      <c r="K6" s="50" t="s">
        <v>3621</v>
      </c>
      <c r="L6" s="50" t="s">
        <v>3621</v>
      </c>
      <c r="M6" s="50" t="s">
        <v>3621</v>
      </c>
      <c r="N6" s="50" t="s">
        <v>3621</v>
      </c>
      <c r="O6" s="50" t="s">
        <v>3621</v>
      </c>
      <c r="P6" s="50" t="s">
        <v>3621</v>
      </c>
      <c r="Q6" s="50" t="s">
        <v>3621</v>
      </c>
      <c r="R6" s="50" t="s">
        <v>3621</v>
      </c>
      <c r="S6" s="50" t="s">
        <v>3621</v>
      </c>
      <c r="T6" s="50" t="s">
        <v>3621</v>
      </c>
      <c r="U6" s="50" t="s">
        <v>3621</v>
      </c>
      <c r="V6" s="50" t="s">
        <v>3621</v>
      </c>
      <c r="W6" s="50" t="s">
        <v>3621</v>
      </c>
    </row>
    <row r="7" spans="2:23" x14ac:dyDescent="0.35">
      <c r="B7" s="50" t="s">
        <v>3575</v>
      </c>
      <c r="C7" s="50">
        <v>5</v>
      </c>
      <c r="D7" s="50" t="s">
        <v>3933</v>
      </c>
      <c r="E7" s="111" t="s">
        <v>3621</v>
      </c>
      <c r="F7" s="50">
        <v>1</v>
      </c>
      <c r="G7" s="209" t="s">
        <v>3621</v>
      </c>
      <c r="H7" s="50">
        <v>0</v>
      </c>
      <c r="I7" s="50" t="s">
        <v>3621</v>
      </c>
      <c r="J7" s="50" t="s">
        <v>3621</v>
      </c>
      <c r="K7" s="50" t="s">
        <v>3621</v>
      </c>
      <c r="L7" s="50" t="s">
        <v>3621</v>
      </c>
      <c r="M7" s="50" t="s">
        <v>3621</v>
      </c>
      <c r="N7" s="50" t="s">
        <v>3621</v>
      </c>
      <c r="O7" s="50" t="s">
        <v>3621</v>
      </c>
      <c r="P7" s="50" t="s">
        <v>3621</v>
      </c>
      <c r="Q7" s="50" t="s">
        <v>3621</v>
      </c>
      <c r="R7" s="50" t="s">
        <v>3621</v>
      </c>
      <c r="S7" s="50" t="s">
        <v>3621</v>
      </c>
      <c r="T7" s="50" t="s">
        <v>3621</v>
      </c>
      <c r="U7" s="50" t="s">
        <v>3621</v>
      </c>
      <c r="V7" s="50" t="s">
        <v>3621</v>
      </c>
      <c r="W7" s="50" t="s">
        <v>3621</v>
      </c>
    </row>
    <row r="8" spans="2:23" x14ac:dyDescent="0.35">
      <c r="B8" s="113" t="s">
        <v>3576</v>
      </c>
      <c r="C8" s="50">
        <v>6</v>
      </c>
      <c r="D8" s="50" t="s">
        <v>3934</v>
      </c>
      <c r="E8" s="111">
        <v>45439</v>
      </c>
      <c r="F8" s="50">
        <v>1</v>
      </c>
      <c r="G8" s="209"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x14ac:dyDescent="0.35">
      <c r="B9" s="50" t="s">
        <v>3579</v>
      </c>
      <c r="C9" s="50">
        <v>7</v>
      </c>
      <c r="D9" s="50" t="s">
        <v>3935</v>
      </c>
      <c r="E9" s="111">
        <v>45439</v>
      </c>
      <c r="F9" s="50">
        <v>1</v>
      </c>
      <c r="G9" s="209" cm="1">
        <f t="array" ref="G9">SUMPRODUCT(--(I9:W9&lt;=I26:W26))/COUNTA(I26:W26)</f>
        <v>1</v>
      </c>
      <c r="H9" s="50">
        <v>0</v>
      </c>
      <c r="I9" s="50">
        <v>2</v>
      </c>
      <c r="J9" s="50">
        <v>15</v>
      </c>
      <c r="K9" s="50">
        <v>3</v>
      </c>
      <c r="L9" s="50">
        <v>3</v>
      </c>
      <c r="M9" s="50">
        <v>3</v>
      </c>
      <c r="N9" s="50">
        <v>2</v>
      </c>
      <c r="O9" s="50">
        <v>30</v>
      </c>
      <c r="P9" s="50">
        <v>10</v>
      </c>
      <c r="Q9" s="50">
        <v>10</v>
      </c>
      <c r="R9" s="50">
        <v>3</v>
      </c>
      <c r="S9" s="50">
        <v>14</v>
      </c>
      <c r="T9" s="50">
        <v>3</v>
      </c>
      <c r="U9" s="50">
        <v>3</v>
      </c>
      <c r="V9" s="50">
        <v>10</v>
      </c>
      <c r="W9" s="50">
        <v>23</v>
      </c>
    </row>
    <row r="10" spans="2:23" x14ac:dyDescent="0.35">
      <c r="B10" s="50" t="s">
        <v>3582</v>
      </c>
      <c r="C10" s="50">
        <v>8</v>
      </c>
      <c r="D10" s="50" t="s">
        <v>3936</v>
      </c>
      <c r="E10" s="111">
        <v>45439</v>
      </c>
      <c r="F10" s="50">
        <v>1</v>
      </c>
      <c r="G10" s="209" t="s">
        <v>3621</v>
      </c>
      <c r="H10" s="50">
        <v>0</v>
      </c>
      <c r="I10" s="50">
        <v>31</v>
      </c>
      <c r="J10" s="201">
        <v>300001496092</v>
      </c>
      <c r="K10" s="50" t="s">
        <v>3699</v>
      </c>
      <c r="L10" s="50">
        <v>90</v>
      </c>
      <c r="M10" s="50">
        <v>1</v>
      </c>
      <c r="N10" s="50">
        <v>31</v>
      </c>
      <c r="O10" s="50">
        <v>2.0461000999999998E+22</v>
      </c>
      <c r="P10" s="111" t="s">
        <v>3629</v>
      </c>
      <c r="Q10" s="111">
        <v>2958465</v>
      </c>
      <c r="R10" s="50">
        <v>978</v>
      </c>
      <c r="S10" s="114">
        <v>-25991130000</v>
      </c>
      <c r="T10" s="50" t="s">
        <v>3699</v>
      </c>
      <c r="U10" s="50" t="s">
        <v>3632</v>
      </c>
      <c r="V10" s="111">
        <v>45439</v>
      </c>
      <c r="W10" s="50" t="s">
        <v>3937</v>
      </c>
    </row>
    <row r="11" spans="2:23" x14ac:dyDescent="0.35">
      <c r="B11" s="50" t="s">
        <v>3584</v>
      </c>
      <c r="C11" s="50">
        <v>9</v>
      </c>
      <c r="D11" s="50" t="s">
        <v>3938</v>
      </c>
      <c r="E11" s="111">
        <v>45439</v>
      </c>
      <c r="F11" s="50">
        <v>1</v>
      </c>
      <c r="G11" s="209" t="s">
        <v>3621</v>
      </c>
      <c r="H11" s="50">
        <v>0</v>
      </c>
      <c r="I11" s="50">
        <v>31</v>
      </c>
      <c r="J11" s="201">
        <v>300001496092</v>
      </c>
      <c r="K11" s="50"/>
      <c r="L11" s="50">
        <v>90</v>
      </c>
      <c r="M11" s="50">
        <v>1</v>
      </c>
      <c r="N11" s="50"/>
      <c r="O11" s="50">
        <v>2.0461000999999998E+22</v>
      </c>
      <c r="P11" s="50" t="s">
        <v>3629</v>
      </c>
      <c r="Q11" s="111">
        <v>2958465</v>
      </c>
      <c r="R11" s="50">
        <v>978</v>
      </c>
      <c r="S11" s="114" t="s">
        <v>3939</v>
      </c>
      <c r="T11" s="50">
        <v>0</v>
      </c>
      <c r="U11" s="50" t="s">
        <v>3636</v>
      </c>
      <c r="V11" s="111">
        <v>45439</v>
      </c>
      <c r="W11" s="50" t="s">
        <v>3940</v>
      </c>
    </row>
    <row r="12" spans="2:23" x14ac:dyDescent="0.35">
      <c r="B12" s="113" t="s">
        <v>3586</v>
      </c>
      <c r="C12" s="50">
        <v>10</v>
      </c>
      <c r="D12" s="50" t="s">
        <v>3941</v>
      </c>
      <c r="E12" s="111">
        <v>45439</v>
      </c>
      <c r="F12" s="50">
        <v>1</v>
      </c>
      <c r="G12" s="209" t="s">
        <v>3621</v>
      </c>
      <c r="H12" s="50">
        <v>0</v>
      </c>
      <c r="I12" s="50">
        <v>31</v>
      </c>
      <c r="J12" s="201">
        <v>689000000023092</v>
      </c>
      <c r="K12" s="50" t="s">
        <v>3699</v>
      </c>
      <c r="L12" s="50">
        <v>92</v>
      </c>
      <c r="M12" s="50" t="s">
        <v>3711</v>
      </c>
      <c r="N12" s="50">
        <v>31</v>
      </c>
      <c r="O12" s="50">
        <v>2.3970029463101999E+29</v>
      </c>
      <c r="P12" s="111">
        <v>45439</v>
      </c>
      <c r="Q12" s="111">
        <v>2958465</v>
      </c>
      <c r="R12" s="50">
        <v>978</v>
      </c>
      <c r="S12" s="114">
        <v>5423613370000</v>
      </c>
      <c r="T12" s="50" t="s">
        <v>3699</v>
      </c>
      <c r="U12" s="50" t="s">
        <v>3632</v>
      </c>
      <c r="V12" s="111">
        <v>45439</v>
      </c>
      <c r="W12" s="50" t="s">
        <v>3937</v>
      </c>
    </row>
    <row r="13" spans="2:23" x14ac:dyDescent="0.35">
      <c r="B13" s="50" t="s">
        <v>3588</v>
      </c>
      <c r="C13" s="50">
        <v>11</v>
      </c>
      <c r="D13" s="50" t="s">
        <v>3942</v>
      </c>
      <c r="E13" s="111">
        <v>45439</v>
      </c>
      <c r="F13" s="50">
        <v>1</v>
      </c>
      <c r="G13" s="209" t="s">
        <v>3621</v>
      </c>
      <c r="H13" s="50">
        <v>0</v>
      </c>
      <c r="I13" s="50">
        <v>31</v>
      </c>
      <c r="J13" s="201">
        <v>689000000023092</v>
      </c>
      <c r="K13" s="50"/>
      <c r="L13" s="50">
        <v>92</v>
      </c>
      <c r="M13" s="50" t="s">
        <v>3711</v>
      </c>
      <c r="N13" s="50"/>
      <c r="O13" s="50">
        <v>2.3970029463101999E+29</v>
      </c>
      <c r="P13" s="111">
        <v>45439</v>
      </c>
      <c r="Q13" s="111">
        <v>2958465</v>
      </c>
      <c r="R13" s="50">
        <v>978</v>
      </c>
      <c r="S13" s="114" t="s">
        <v>3943</v>
      </c>
      <c r="T13" s="50">
        <v>0</v>
      </c>
      <c r="U13" s="50" t="s">
        <v>3636</v>
      </c>
      <c r="V13" s="111">
        <v>45439</v>
      </c>
      <c r="W13" s="50" t="s">
        <v>3944</v>
      </c>
    </row>
    <row r="14" spans="2:23" x14ac:dyDescent="0.35">
      <c r="B14" s="50" t="s">
        <v>3590</v>
      </c>
      <c r="C14" s="50">
        <v>12</v>
      </c>
      <c r="D14" s="50" t="s">
        <v>3945</v>
      </c>
      <c r="E14" s="111">
        <v>45439</v>
      </c>
      <c r="F14" s="50">
        <v>1</v>
      </c>
      <c r="G14" s="209">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x14ac:dyDescent="0.35">
      <c r="B15" s="50" t="s">
        <v>3592</v>
      </c>
      <c r="C15" s="50">
        <v>13</v>
      </c>
      <c r="D15" s="50" t="s">
        <v>3946</v>
      </c>
      <c r="E15" s="111">
        <v>45439</v>
      </c>
      <c r="F15" s="50">
        <v>1</v>
      </c>
      <c r="G15" s="209">
        <v>1</v>
      </c>
      <c r="H15" s="50">
        <v>0</v>
      </c>
      <c r="I15" s="50" t="s">
        <v>3621</v>
      </c>
      <c r="J15" s="50" t="s">
        <v>3621</v>
      </c>
      <c r="K15" s="50" t="s">
        <v>3621</v>
      </c>
      <c r="L15" s="50" t="s">
        <v>3621</v>
      </c>
      <c r="M15" s="50" t="s">
        <v>3621</v>
      </c>
      <c r="N15" s="50" t="s">
        <v>3621</v>
      </c>
      <c r="O15" s="50" t="s">
        <v>3621</v>
      </c>
      <c r="P15" s="50">
        <v>0</v>
      </c>
      <c r="Q15" s="50">
        <v>0</v>
      </c>
      <c r="R15" s="50" t="s">
        <v>3621</v>
      </c>
      <c r="S15" s="50" t="s">
        <v>3621</v>
      </c>
      <c r="T15" s="50" t="s">
        <v>3621</v>
      </c>
      <c r="U15" s="50" t="s">
        <v>3621</v>
      </c>
      <c r="V15" s="50" t="s">
        <v>3621</v>
      </c>
      <c r="W15" s="50" t="s">
        <v>3621</v>
      </c>
    </row>
    <row r="16" spans="2:23" x14ac:dyDescent="0.35">
      <c r="B16" s="50" t="s">
        <v>3594</v>
      </c>
      <c r="C16" s="50">
        <v>14</v>
      </c>
      <c r="D16" s="50" t="s">
        <v>3947</v>
      </c>
      <c r="E16" s="111">
        <v>45439</v>
      </c>
      <c r="F16" s="50">
        <v>1</v>
      </c>
      <c r="G16" s="209">
        <v>1</v>
      </c>
      <c r="H16" s="50">
        <v>0</v>
      </c>
      <c r="I16" s="50">
        <v>0</v>
      </c>
      <c r="J16" s="50">
        <v>0</v>
      </c>
      <c r="K16" s="50">
        <v>0</v>
      </c>
      <c r="L16" s="50">
        <v>0</v>
      </c>
      <c r="M16" s="50">
        <v>0</v>
      </c>
      <c r="N16" s="50">
        <v>0</v>
      </c>
      <c r="O16" s="50">
        <v>0</v>
      </c>
      <c r="P16" s="50" t="s">
        <v>3621</v>
      </c>
      <c r="Q16" s="50" t="s">
        <v>3621</v>
      </c>
      <c r="R16" s="50">
        <v>0</v>
      </c>
      <c r="S16" s="50" t="s">
        <v>3621</v>
      </c>
      <c r="T16" s="50">
        <v>0</v>
      </c>
      <c r="U16" s="50">
        <v>0</v>
      </c>
      <c r="V16" s="50" t="s">
        <v>3621</v>
      </c>
      <c r="W16" s="50" t="s">
        <v>3621</v>
      </c>
    </row>
    <row r="17" spans="2:23" x14ac:dyDescent="0.35">
      <c r="B17" s="50" t="s">
        <v>3596</v>
      </c>
      <c r="C17" s="50">
        <v>15</v>
      </c>
      <c r="D17" s="50" t="s">
        <v>3948</v>
      </c>
      <c r="E17" s="111">
        <v>45439</v>
      </c>
      <c r="F17" s="50">
        <v>1</v>
      </c>
      <c r="G17" s="209">
        <v>1</v>
      </c>
      <c r="H17" s="50">
        <v>0</v>
      </c>
      <c r="I17" s="50" t="s">
        <v>3621</v>
      </c>
      <c r="J17" s="50" t="s">
        <v>3621</v>
      </c>
      <c r="K17" s="50" t="s">
        <v>3621</v>
      </c>
      <c r="L17" s="50" t="s">
        <v>3621</v>
      </c>
      <c r="M17" s="50" t="s">
        <v>3621</v>
      </c>
      <c r="N17" s="50" t="s">
        <v>3621</v>
      </c>
      <c r="O17" s="50" t="s">
        <v>3621</v>
      </c>
      <c r="P17" s="50" t="s">
        <v>3621</v>
      </c>
      <c r="Q17" s="50" t="s">
        <v>3621</v>
      </c>
      <c r="R17" s="50" t="s">
        <v>3621</v>
      </c>
      <c r="S17" s="50" t="s">
        <v>3621</v>
      </c>
      <c r="T17" s="50" t="s">
        <v>3621</v>
      </c>
      <c r="U17" s="50" t="s">
        <v>3621</v>
      </c>
      <c r="V17" s="50" t="s">
        <v>3621</v>
      </c>
      <c r="W17" s="50" t="s">
        <v>3621</v>
      </c>
    </row>
    <row r="18" spans="2:23" x14ac:dyDescent="0.35">
      <c r="B18" s="50" t="s">
        <v>3598</v>
      </c>
      <c r="C18" s="50">
        <v>16</v>
      </c>
      <c r="D18" s="50" t="s">
        <v>3948</v>
      </c>
      <c r="E18" s="111">
        <v>45439</v>
      </c>
      <c r="F18" s="50">
        <v>1</v>
      </c>
      <c r="G18" s="209">
        <v>1</v>
      </c>
      <c r="H18" s="50">
        <v>0</v>
      </c>
      <c r="I18" s="50" t="s">
        <v>3621</v>
      </c>
      <c r="J18" s="50" t="s">
        <v>3621</v>
      </c>
      <c r="K18" s="50" t="s">
        <v>3621</v>
      </c>
      <c r="L18" s="50" t="s">
        <v>3621</v>
      </c>
      <c r="M18" s="50" t="s">
        <v>3621</v>
      </c>
      <c r="N18" s="50" t="s">
        <v>3621</v>
      </c>
      <c r="O18" s="50" t="s">
        <v>3621</v>
      </c>
      <c r="P18" s="50" t="s">
        <v>3621</v>
      </c>
      <c r="Q18" s="50" t="s">
        <v>3621</v>
      </c>
      <c r="R18" s="50" t="s">
        <v>3621</v>
      </c>
      <c r="S18" s="50" t="s">
        <v>3621</v>
      </c>
      <c r="T18" s="50" t="s">
        <v>3621</v>
      </c>
      <c r="U18" s="50" t="s">
        <v>3621</v>
      </c>
      <c r="V18" s="50" t="s">
        <v>3621</v>
      </c>
      <c r="W18" s="50" t="s">
        <v>3621</v>
      </c>
    </row>
    <row r="19" spans="2:23" x14ac:dyDescent="0.35">
      <c r="B19" s="50" t="s">
        <v>3604</v>
      </c>
      <c r="C19" s="50">
        <v>19</v>
      </c>
      <c r="D19" s="50" t="s">
        <v>3949</v>
      </c>
      <c r="E19" s="111">
        <v>45439</v>
      </c>
      <c r="F19" s="50">
        <v>1</v>
      </c>
      <c r="G19" s="209" cm="1">
        <f t="array" ref="G19">SUMPRODUCT(--(ISNUMBER((SEARCH(I25:W25,I19:W19)))))/COUNTA(I19:W19)</f>
        <v>1</v>
      </c>
      <c r="H19" s="50">
        <v>0</v>
      </c>
      <c r="I19" s="50" t="s">
        <v>3655</v>
      </c>
      <c r="J19" s="50" t="s">
        <v>3655</v>
      </c>
      <c r="K19" s="50" t="s">
        <v>3655</v>
      </c>
      <c r="L19" s="50" t="s">
        <v>3655</v>
      </c>
      <c r="M19" s="50" t="s">
        <v>3655</v>
      </c>
      <c r="N19" s="50" t="s">
        <v>3655</v>
      </c>
      <c r="O19" s="50" t="s">
        <v>3655</v>
      </c>
      <c r="P19" s="50" t="s">
        <v>3655</v>
      </c>
      <c r="Q19" s="50" t="s">
        <v>3655</v>
      </c>
      <c r="R19" s="50" t="s">
        <v>3655</v>
      </c>
      <c r="S19" s="50" t="s">
        <v>3656</v>
      </c>
      <c r="T19" s="50" t="s">
        <v>3655</v>
      </c>
      <c r="U19" s="50" t="s">
        <v>3655</v>
      </c>
      <c r="V19" s="50" t="s">
        <v>3655</v>
      </c>
      <c r="W19" s="50" t="s">
        <v>3657</v>
      </c>
    </row>
    <row r="20" spans="2:23" x14ac:dyDescent="0.35">
      <c r="B20" s="50" t="s">
        <v>3607</v>
      </c>
      <c r="C20" s="50">
        <v>20</v>
      </c>
      <c r="D20" s="50" t="s">
        <v>3950</v>
      </c>
      <c r="E20" s="111">
        <v>45439</v>
      </c>
      <c r="F20" s="50">
        <v>1</v>
      </c>
      <c r="G20" s="209" cm="1">
        <f t="array" ref="G20">SUM(IF(I2:S2 = I24:S24, 1, 0))/ COUNTA(I2:S2)</f>
        <v>1</v>
      </c>
      <c r="H20" s="50" t="s">
        <v>3621</v>
      </c>
      <c r="I20" s="50" t="s">
        <v>3621</v>
      </c>
      <c r="J20" s="50" t="s">
        <v>3621</v>
      </c>
      <c r="K20" s="50" t="s">
        <v>3621</v>
      </c>
      <c r="L20" s="50" t="s">
        <v>3621</v>
      </c>
      <c r="M20" s="50" t="s">
        <v>3621</v>
      </c>
      <c r="N20" s="50" t="s">
        <v>3621</v>
      </c>
      <c r="O20" s="50" t="s">
        <v>3621</v>
      </c>
      <c r="P20" s="50" t="s">
        <v>3621</v>
      </c>
      <c r="Q20" s="50" t="s">
        <v>3621</v>
      </c>
      <c r="R20" s="50" t="s">
        <v>3621</v>
      </c>
      <c r="S20" s="50" t="s">
        <v>3621</v>
      </c>
      <c r="T20" s="50" t="s">
        <v>3621</v>
      </c>
      <c r="U20" s="50" t="s">
        <v>3621</v>
      </c>
      <c r="V20" s="50" t="s">
        <v>3621</v>
      </c>
      <c r="W20" s="50" t="s">
        <v>3621</v>
      </c>
    </row>
    <row r="21" spans="2:23" x14ac:dyDescent="0.35">
      <c r="B21" s="50" t="s">
        <v>3610</v>
      </c>
      <c r="C21" s="50">
        <v>21</v>
      </c>
      <c r="D21" s="50" t="s">
        <v>3950</v>
      </c>
      <c r="E21" s="111">
        <v>45439</v>
      </c>
      <c r="F21" s="50">
        <v>1</v>
      </c>
      <c r="G21" s="209" cm="1">
        <f t="array" ref="G21">SUM(IF(IF(G3:G20="null",1,G3:G20)=1,1,0))/COUNT(IF(G3:G20="null",1,1))</f>
        <v>1</v>
      </c>
      <c r="H21" s="50" t="s">
        <v>3621</v>
      </c>
      <c r="I21" s="50" t="s">
        <v>3621</v>
      </c>
      <c r="J21" s="50" t="s">
        <v>3621</v>
      </c>
      <c r="K21" s="50" t="s">
        <v>3621</v>
      </c>
      <c r="L21" s="50" t="s">
        <v>3621</v>
      </c>
      <c r="M21" s="50" t="s">
        <v>3621</v>
      </c>
      <c r="N21" s="50" t="s">
        <v>3621</v>
      </c>
      <c r="O21" s="50" t="s">
        <v>3621</v>
      </c>
      <c r="P21" s="50" t="s">
        <v>3621</v>
      </c>
      <c r="Q21" s="50" t="s">
        <v>3621</v>
      </c>
      <c r="R21" s="50" t="s">
        <v>3621</v>
      </c>
      <c r="S21" s="50" t="s">
        <v>3621</v>
      </c>
      <c r="T21" s="50" t="s">
        <v>3621</v>
      </c>
      <c r="U21" s="50" t="s">
        <v>3621</v>
      </c>
      <c r="V21" s="50" t="s">
        <v>3621</v>
      </c>
      <c r="W21" s="50" t="s">
        <v>3621</v>
      </c>
    </row>
    <row r="22" spans="2:23" x14ac:dyDescent="0.35">
      <c r="B22" s="50"/>
      <c r="C22" s="50"/>
      <c r="D22" s="50"/>
      <c r="E22" s="111"/>
      <c r="F22" s="50"/>
      <c r="G22" s="50"/>
      <c r="H22" s="50"/>
      <c r="I22" s="50"/>
      <c r="J22" s="50"/>
      <c r="K22" s="50"/>
      <c r="L22" s="50"/>
      <c r="M22" s="50"/>
      <c r="N22" s="50"/>
      <c r="O22" s="50"/>
      <c r="P22" s="50"/>
      <c r="Q22" s="50"/>
      <c r="R22" s="50"/>
      <c r="S22" s="50"/>
      <c r="T22" s="50"/>
      <c r="U22" s="50"/>
      <c r="V22" s="50"/>
      <c r="W22" s="50"/>
    </row>
    <row r="23" spans="2:23" x14ac:dyDescent="0.35">
      <c r="B23" s="157" t="s">
        <v>3727</v>
      </c>
      <c r="C23" s="158"/>
      <c r="D23" s="158"/>
      <c r="E23" s="158"/>
      <c r="F23" s="158"/>
      <c r="G23" s="158"/>
      <c r="H23" s="158"/>
    </row>
    <row r="24" spans="2:23" x14ac:dyDescent="0.35">
      <c r="B24" s="144" t="s">
        <v>3613</v>
      </c>
      <c r="C24" s="145" t="s">
        <v>3614</v>
      </c>
      <c r="D24" s="145" t="s">
        <v>3615</v>
      </c>
      <c r="E24" s="145" t="s">
        <v>3616</v>
      </c>
      <c r="F24" s="145" t="s">
        <v>3617</v>
      </c>
      <c r="G24" s="145" t="s">
        <v>3618</v>
      </c>
      <c r="H24" s="145" t="s">
        <v>3619</v>
      </c>
      <c r="I24" s="140" t="str" cm="1">
        <f t="array" ref="I24:W24">TRANSPOSE(_xlfn.SORTBY(_xlfn._xlws.FILTER(Table3[NOME FÍSICO CAMPO],Table3[NOME FÍSICO TABELA]="bills_promissory_notes_process"), _xlfn._xlws.FILTER(Table3[ORDEM], Table3[NOME FÍSICO TABELA]="bills_promissory_notes_process"), 1))</f>
        <v>bank_id</v>
      </c>
      <c r="J24" s="140" t="str">
        <v>process_id</v>
      </c>
      <c r="K24" s="140" t="str">
        <v>product_family_id</v>
      </c>
      <c r="L24" s="140" t="str">
        <v>product_id</v>
      </c>
      <c r="M24" s="140" t="str">
        <v>subproduct_id</v>
      </c>
      <c r="N24" s="140" t="str">
        <v>main_current_account_bank_id</v>
      </c>
      <c r="O24" s="140" t="str">
        <v>main_current_account_contract_id</v>
      </c>
      <c r="P24" s="140" t="str">
        <v>opening_date</v>
      </c>
      <c r="Q24" s="140" t="str">
        <v>current_maturity_date</v>
      </c>
      <c r="R24" s="140" t="str">
        <v>currency_code</v>
      </c>
      <c r="S24" s="140" t="str">
        <v>cur_outsng_principal_balance</v>
      </c>
      <c r="T24" s="140" t="str">
        <v>process_status_code</v>
      </c>
      <c r="U24" s="140" t="str">
        <v>process_opening_channel_code</v>
      </c>
      <c r="V24" s="140" t="str">
        <v>data_date_part</v>
      </c>
      <c r="W24" s="141" t="str">
        <v>data_timestamp_part</v>
      </c>
    </row>
    <row r="25" spans="2:23" x14ac:dyDescent="0.35">
      <c r="B25" s="123" t="s">
        <v>3658</v>
      </c>
      <c r="C25" s="126">
        <v>21</v>
      </c>
      <c r="D25" s="120" t="s">
        <v>3659</v>
      </c>
      <c r="E25" s="119" t="s">
        <v>3660</v>
      </c>
      <c r="F25" s="119" t="s">
        <v>372</v>
      </c>
      <c r="G25" s="119" t="s">
        <v>372</v>
      </c>
      <c r="H25" s="119" t="s">
        <v>372</v>
      </c>
      <c r="I25" s="119" t="str" cm="1">
        <f t="array" ref="I25:W26">TRANSPOSE(_xlfn.SORTBY(_xlfn._xlws.FILTER(IF(Table3[FORMATO]:Table3[COMP_ CAMPO]&lt;&gt;"",Table3[FORMATO]:Table3[COMP_ CAMPO],9999999),Table3[NOME FÍSICO TABELA]="bills_promissory_notes_process"), _xlfn._xlws.FILTER(Table3[ORDEM], Table3[NOME FÍSICO TABELA]="bills_promissory_notes_process"), 1))</f>
        <v>STRING</v>
      </c>
      <c r="J25" s="119" t="str">
        <v>STRING</v>
      </c>
      <c r="K25" s="119" t="str">
        <v>STRING</v>
      </c>
      <c r="L25" s="119" t="str">
        <v>STRING</v>
      </c>
      <c r="M25" s="119" t="str">
        <v>STRING</v>
      </c>
      <c r="N25" s="119" t="str">
        <v>STRING</v>
      </c>
      <c r="O25" s="119" t="str">
        <v>STRING</v>
      </c>
      <c r="P25" s="119" t="str">
        <v>STRING</v>
      </c>
      <c r="Q25" s="119" t="str">
        <v>STRING</v>
      </c>
      <c r="R25" s="119" t="str">
        <v>STRING</v>
      </c>
      <c r="S25" s="119" t="str">
        <v>DECIMAL</v>
      </c>
      <c r="T25" s="119" t="str">
        <v>STRING</v>
      </c>
      <c r="U25" s="119" t="str">
        <v>STRING</v>
      </c>
      <c r="V25" s="119" t="str">
        <v>STRING</v>
      </c>
      <c r="W25" s="125" t="str">
        <v>TIMESTAMP</v>
      </c>
    </row>
    <row r="26" spans="2:23" x14ac:dyDescent="0.35">
      <c r="B26" s="123" t="s">
        <v>3661</v>
      </c>
      <c r="C26" s="126">
        <v>7</v>
      </c>
      <c r="D26" s="120" t="s">
        <v>3659</v>
      </c>
      <c r="E26" s="119" t="s">
        <v>3660</v>
      </c>
      <c r="F26" s="121" t="s">
        <v>372</v>
      </c>
      <c r="G26" s="121" t="s">
        <v>372</v>
      </c>
      <c r="H26" s="121" t="s">
        <v>372</v>
      </c>
      <c r="I26" s="167">
        <v>4</v>
      </c>
      <c r="J26" s="167">
        <v>15</v>
      </c>
      <c r="K26" s="167">
        <v>4</v>
      </c>
      <c r="L26" s="167">
        <v>4</v>
      </c>
      <c r="M26" s="167">
        <v>4</v>
      </c>
      <c r="N26" s="167">
        <v>4</v>
      </c>
      <c r="O26" s="167">
        <v>30</v>
      </c>
      <c r="P26" s="167">
        <v>10</v>
      </c>
      <c r="Q26" s="167">
        <v>10</v>
      </c>
      <c r="R26" s="167">
        <v>4</v>
      </c>
      <c r="S26" s="167">
        <v>23</v>
      </c>
      <c r="T26" s="167">
        <v>4</v>
      </c>
      <c r="U26" s="167">
        <v>4</v>
      </c>
      <c r="V26" s="167">
        <v>10</v>
      </c>
      <c r="W26" s="168">
        <v>23</v>
      </c>
    </row>
    <row r="28" spans="2:23" x14ac:dyDescent="0.35">
      <c r="B28" s="156" t="s">
        <v>3662</v>
      </c>
    </row>
    <row r="29" spans="2:23" x14ac:dyDescent="0.35">
      <c r="B29" s="150" t="s">
        <v>3663</v>
      </c>
      <c r="C29" s="150" t="s">
        <v>3664</v>
      </c>
      <c r="D29" s="151" t="s">
        <v>3665</v>
      </c>
      <c r="E29" s="150" t="s">
        <v>3666</v>
      </c>
      <c r="F29" s="150" t="s">
        <v>3667</v>
      </c>
    </row>
    <row r="30" spans="2:23" x14ac:dyDescent="0.35">
      <c r="B30" s="134"/>
      <c r="C30" s="133"/>
      <c r="D30" s="139"/>
      <c r="E30" s="162"/>
      <c r="F30" s="15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B1:W30"/>
  <sheetViews>
    <sheetView showGridLines="0" workbookViewId="0">
      <selection activeCell="A14" sqref="A14"/>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7" width="30.7265625" bestFit="1" customWidth="1"/>
    <col min="18" max="18" width="28" bestFit="1" customWidth="1"/>
    <col min="19" max="19" width="30.7265625" bestFit="1" customWidth="1"/>
    <col min="20" max="20" width="26.81640625" bestFit="1" customWidth="1"/>
    <col min="21" max="23" width="30.7265625" bestFit="1" customWidth="1"/>
  </cols>
  <sheetData>
    <row r="1" spans="2:23" ht="26.25" customHeight="1" x14ac:dyDescent="0.35"/>
    <row r="2" spans="2:23" x14ac:dyDescent="0.35">
      <c r="B2" s="91" t="s">
        <v>3613</v>
      </c>
      <c r="C2" s="91" t="s">
        <v>3614</v>
      </c>
      <c r="D2" s="91" t="s">
        <v>3615</v>
      </c>
      <c r="E2" s="91" t="s">
        <v>3616</v>
      </c>
      <c r="F2" s="91" t="s">
        <v>3617</v>
      </c>
      <c r="G2" s="91" t="s">
        <v>3618</v>
      </c>
      <c r="H2" s="91" t="s">
        <v>3619</v>
      </c>
      <c r="I2" s="91" t="s">
        <v>121</v>
      </c>
      <c r="J2" s="91" t="s">
        <v>575</v>
      </c>
      <c r="K2" s="91" t="s">
        <v>149</v>
      </c>
      <c r="L2" s="91" t="s">
        <v>156</v>
      </c>
      <c r="M2" s="91" t="s">
        <v>168</v>
      </c>
      <c r="N2" s="91" t="s">
        <v>177</v>
      </c>
      <c r="O2" s="91" t="s">
        <v>188</v>
      </c>
      <c r="P2" s="91" t="s">
        <v>199</v>
      </c>
      <c r="Q2" s="91" t="s">
        <v>211</v>
      </c>
      <c r="R2" s="91" t="s">
        <v>223</v>
      </c>
      <c r="S2" s="91" t="s">
        <v>261</v>
      </c>
      <c r="T2" s="91" t="s">
        <v>658</v>
      </c>
      <c r="U2" s="91" t="s">
        <v>667</v>
      </c>
      <c r="V2" s="91" t="s">
        <v>327</v>
      </c>
      <c r="W2" s="91" t="s">
        <v>334</v>
      </c>
    </row>
    <row r="3" spans="2:23" x14ac:dyDescent="0.35">
      <c r="B3" s="50" t="s">
        <v>3567</v>
      </c>
      <c r="C3" s="50">
        <v>1</v>
      </c>
      <c r="D3" s="50" t="s">
        <v>3951</v>
      </c>
      <c r="E3" s="111">
        <v>45433</v>
      </c>
      <c r="F3" s="50">
        <v>2</v>
      </c>
      <c r="G3" s="209">
        <v>1</v>
      </c>
      <c r="H3" s="50">
        <v>15076</v>
      </c>
      <c r="I3" s="50" t="s">
        <v>3621</v>
      </c>
      <c r="J3" s="50" t="s">
        <v>3621</v>
      </c>
      <c r="K3" s="50" t="s">
        <v>3621</v>
      </c>
      <c r="L3" s="50" t="s">
        <v>3621</v>
      </c>
      <c r="M3" s="50" t="s">
        <v>3621</v>
      </c>
      <c r="N3" s="50" t="s">
        <v>3621</v>
      </c>
      <c r="O3" s="50" t="s">
        <v>3621</v>
      </c>
      <c r="P3" s="50" t="s">
        <v>3621</v>
      </c>
      <c r="Q3" s="50" t="s">
        <v>3621</v>
      </c>
      <c r="R3" s="50" t="s">
        <v>3621</v>
      </c>
      <c r="S3" s="50" t="s">
        <v>3621</v>
      </c>
      <c r="T3" s="50" t="s">
        <v>3621</v>
      </c>
      <c r="U3" s="50" t="s">
        <v>3621</v>
      </c>
      <c r="V3" s="50" t="s">
        <v>3621</v>
      </c>
      <c r="W3" s="50" t="s">
        <v>3621</v>
      </c>
    </row>
    <row r="4" spans="2:23" x14ac:dyDescent="0.35">
      <c r="B4" s="50" t="s">
        <v>3569</v>
      </c>
      <c r="C4" s="50">
        <v>2</v>
      </c>
      <c r="D4" s="50" t="s">
        <v>3952</v>
      </c>
      <c r="E4" s="111">
        <v>45433</v>
      </c>
      <c r="F4" s="50">
        <v>2</v>
      </c>
      <c r="G4" s="209">
        <v>1</v>
      </c>
      <c r="H4" s="50">
        <v>0</v>
      </c>
      <c r="I4" s="50" t="s">
        <v>3621</v>
      </c>
      <c r="J4" s="50" t="s">
        <v>3621</v>
      </c>
      <c r="K4" s="50" t="s">
        <v>3621</v>
      </c>
      <c r="L4" s="50" t="s">
        <v>3621</v>
      </c>
      <c r="M4" s="50" t="s">
        <v>3621</v>
      </c>
      <c r="N4" s="50" t="s">
        <v>3621</v>
      </c>
      <c r="O4" s="50" t="s">
        <v>3621</v>
      </c>
      <c r="P4" s="50" t="s">
        <v>3621</v>
      </c>
      <c r="Q4" s="50" t="s">
        <v>3621</v>
      </c>
      <c r="R4" s="50" t="s">
        <v>3621</v>
      </c>
      <c r="S4" s="50" t="s">
        <v>3621</v>
      </c>
      <c r="T4" s="50" t="s">
        <v>3621</v>
      </c>
      <c r="U4" s="50" t="s">
        <v>3621</v>
      </c>
      <c r="V4" s="50" t="s">
        <v>3621</v>
      </c>
      <c r="W4" s="50" t="s">
        <v>3621</v>
      </c>
    </row>
    <row r="5" spans="2:23" x14ac:dyDescent="0.35">
      <c r="B5" s="50" t="s">
        <v>3571</v>
      </c>
      <c r="C5" s="50">
        <v>3</v>
      </c>
      <c r="D5" s="50" t="s">
        <v>3953</v>
      </c>
      <c r="E5" s="111">
        <v>45433</v>
      </c>
      <c r="F5" s="50">
        <v>2</v>
      </c>
      <c r="G5" s="209">
        <v>1</v>
      </c>
      <c r="H5" s="50">
        <v>0</v>
      </c>
      <c r="I5" s="50">
        <v>0</v>
      </c>
      <c r="J5" s="50">
        <v>0</v>
      </c>
      <c r="K5" s="50" t="s">
        <v>3621</v>
      </c>
      <c r="L5" s="50" t="s">
        <v>3621</v>
      </c>
      <c r="M5" s="50" t="s">
        <v>3621</v>
      </c>
      <c r="N5" s="50" t="s">
        <v>3621</v>
      </c>
      <c r="O5" s="50" t="s">
        <v>3621</v>
      </c>
      <c r="P5" s="50" t="s">
        <v>3621</v>
      </c>
      <c r="Q5" s="50" t="s">
        <v>3621</v>
      </c>
      <c r="R5" s="50" t="s">
        <v>3621</v>
      </c>
      <c r="S5" s="50" t="s">
        <v>3621</v>
      </c>
      <c r="T5" s="50" t="s">
        <v>3621</v>
      </c>
      <c r="U5" s="50" t="s">
        <v>3621</v>
      </c>
      <c r="V5" s="50">
        <v>0</v>
      </c>
      <c r="W5" s="50" t="s">
        <v>3621</v>
      </c>
    </row>
    <row r="6" spans="2:23" x14ac:dyDescent="0.35">
      <c r="B6" s="113" t="s">
        <v>3573</v>
      </c>
      <c r="C6" s="50">
        <v>4</v>
      </c>
      <c r="D6" s="50" t="s">
        <v>3624</v>
      </c>
      <c r="E6" s="111" t="s">
        <v>3621</v>
      </c>
      <c r="F6" s="50">
        <v>2</v>
      </c>
      <c r="G6" s="50" t="s">
        <v>3621</v>
      </c>
      <c r="H6" s="50" t="s">
        <v>3621</v>
      </c>
      <c r="I6" s="50" t="s">
        <v>3621</v>
      </c>
      <c r="J6" s="50" t="s">
        <v>3621</v>
      </c>
      <c r="K6" s="50" t="s">
        <v>3621</v>
      </c>
      <c r="L6" s="50" t="s">
        <v>3621</v>
      </c>
      <c r="M6" s="50" t="s">
        <v>3621</v>
      </c>
      <c r="N6" s="50" t="s">
        <v>3621</v>
      </c>
      <c r="O6" s="50" t="s">
        <v>3621</v>
      </c>
      <c r="P6" s="50" t="s">
        <v>3621</v>
      </c>
      <c r="Q6" s="50" t="s">
        <v>3621</v>
      </c>
      <c r="R6" s="50" t="s">
        <v>3621</v>
      </c>
      <c r="S6" s="50" t="s">
        <v>3621</v>
      </c>
      <c r="T6" s="50" t="s">
        <v>3621</v>
      </c>
      <c r="U6" s="50" t="s">
        <v>3621</v>
      </c>
      <c r="V6" s="50" t="s">
        <v>3621</v>
      </c>
      <c r="W6" s="50" t="s">
        <v>3621</v>
      </c>
    </row>
    <row r="7" spans="2:23" x14ac:dyDescent="0.35">
      <c r="B7" s="50" t="s">
        <v>3575</v>
      </c>
      <c r="C7" s="50">
        <v>5</v>
      </c>
      <c r="D7" s="50" t="s">
        <v>3624</v>
      </c>
      <c r="E7" s="111" t="s">
        <v>3621</v>
      </c>
      <c r="F7" s="50">
        <v>2</v>
      </c>
      <c r="G7" s="50" t="s">
        <v>3621</v>
      </c>
      <c r="H7" s="50" t="s">
        <v>3621</v>
      </c>
      <c r="I7" s="50" t="s">
        <v>3621</v>
      </c>
      <c r="J7" s="50" t="s">
        <v>3621</v>
      </c>
      <c r="K7" s="50" t="s">
        <v>3621</v>
      </c>
      <c r="L7" s="50" t="s">
        <v>3621</v>
      </c>
      <c r="M7" s="50" t="s">
        <v>3621</v>
      </c>
      <c r="N7" s="50" t="s">
        <v>3621</v>
      </c>
      <c r="O7" s="50" t="s">
        <v>3621</v>
      </c>
      <c r="P7" s="50" t="s">
        <v>3621</v>
      </c>
      <c r="Q7" s="50" t="s">
        <v>3621</v>
      </c>
      <c r="R7" s="50" t="s">
        <v>3621</v>
      </c>
      <c r="S7" s="50" t="s">
        <v>3621</v>
      </c>
      <c r="T7" s="50" t="s">
        <v>3621</v>
      </c>
      <c r="U7" s="50" t="s">
        <v>3621</v>
      </c>
      <c r="V7" s="50" t="s">
        <v>3621</v>
      </c>
      <c r="W7" s="50" t="s">
        <v>3621</v>
      </c>
    </row>
    <row r="8" spans="2:23" x14ac:dyDescent="0.35">
      <c r="B8" s="113" t="s">
        <v>3576</v>
      </c>
      <c r="C8" s="50">
        <v>6</v>
      </c>
      <c r="D8" s="50" t="s">
        <v>3954</v>
      </c>
      <c r="E8" s="111">
        <v>45433</v>
      </c>
      <c r="F8" s="50">
        <v>2</v>
      </c>
      <c r="G8" s="209"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x14ac:dyDescent="0.35">
      <c r="B9" s="50" t="s">
        <v>3579</v>
      </c>
      <c r="C9" s="50">
        <v>7</v>
      </c>
      <c r="D9" s="50" t="s">
        <v>3955</v>
      </c>
      <c r="E9" s="111">
        <v>45433</v>
      </c>
      <c r="F9" s="50">
        <v>2</v>
      </c>
      <c r="G9" s="209" cm="1">
        <f t="array" ref="G9">SUMPRODUCT(--(I9:W9&lt;=I26:W26))/COUNTA(I26:W26)</f>
        <v>1</v>
      </c>
      <c r="H9" s="50">
        <v>0</v>
      </c>
      <c r="I9" s="50">
        <v>2</v>
      </c>
      <c r="J9" s="50">
        <v>15</v>
      </c>
      <c r="K9" s="50">
        <v>3</v>
      </c>
      <c r="L9" s="50">
        <v>3</v>
      </c>
      <c r="M9" s="50">
        <v>3</v>
      </c>
      <c r="N9" s="50">
        <v>2</v>
      </c>
      <c r="O9" s="50">
        <v>30</v>
      </c>
      <c r="P9" s="50">
        <v>10</v>
      </c>
      <c r="Q9" s="50">
        <v>10</v>
      </c>
      <c r="R9" s="50">
        <v>3</v>
      </c>
      <c r="S9" s="50">
        <v>15</v>
      </c>
      <c r="T9" s="50">
        <v>3</v>
      </c>
      <c r="U9" s="50">
        <v>3</v>
      </c>
      <c r="V9" s="50">
        <v>10</v>
      </c>
      <c r="W9" s="50">
        <v>23</v>
      </c>
    </row>
    <row r="10" spans="2:23" x14ac:dyDescent="0.35">
      <c r="B10" s="50" t="s">
        <v>3582</v>
      </c>
      <c r="C10" s="50">
        <v>8</v>
      </c>
      <c r="D10" s="50" t="s">
        <v>3956</v>
      </c>
      <c r="E10" s="111">
        <v>45433</v>
      </c>
      <c r="F10" s="50">
        <v>2</v>
      </c>
      <c r="G10" s="50" t="s">
        <v>3621</v>
      </c>
      <c r="H10" s="50">
        <v>0</v>
      </c>
      <c r="I10" s="50">
        <v>31</v>
      </c>
      <c r="J10" s="50">
        <v>50000028007</v>
      </c>
      <c r="K10" s="50" t="s">
        <v>3851</v>
      </c>
      <c r="L10" s="50">
        <v>7</v>
      </c>
      <c r="M10" s="50">
        <v>101</v>
      </c>
      <c r="N10" s="50">
        <v>31</v>
      </c>
      <c r="O10" s="50">
        <v>2.2822000999999998E+22</v>
      </c>
      <c r="P10" s="111">
        <v>35300</v>
      </c>
      <c r="Q10" s="111">
        <v>2958465</v>
      </c>
      <c r="R10" s="50">
        <v>124</v>
      </c>
      <c r="S10" s="114" t="s">
        <v>3630</v>
      </c>
      <c r="T10" s="50" t="s">
        <v>3631</v>
      </c>
      <c r="U10" s="50" t="s">
        <v>3632</v>
      </c>
      <c r="V10" s="111">
        <v>45433</v>
      </c>
      <c r="W10" s="50" t="s">
        <v>3957</v>
      </c>
    </row>
    <row r="11" spans="2:23" x14ac:dyDescent="0.35">
      <c r="B11" s="50" t="s">
        <v>3584</v>
      </c>
      <c r="C11" s="50">
        <v>9</v>
      </c>
      <c r="D11" s="50" t="s">
        <v>3958</v>
      </c>
      <c r="E11" s="111">
        <v>45433</v>
      </c>
      <c r="F11" s="50">
        <v>2</v>
      </c>
      <c r="G11" s="50" t="s">
        <v>3621</v>
      </c>
      <c r="H11" s="50">
        <v>0</v>
      </c>
      <c r="I11" s="50">
        <v>31</v>
      </c>
      <c r="J11" s="50">
        <v>50000028007</v>
      </c>
      <c r="K11" s="50"/>
      <c r="L11" s="50">
        <v>7</v>
      </c>
      <c r="M11" s="50">
        <v>101</v>
      </c>
      <c r="N11" s="50"/>
      <c r="O11" s="50">
        <v>2.2822000999999998E+22</v>
      </c>
      <c r="P11" s="111">
        <v>35300</v>
      </c>
      <c r="Q11" s="111">
        <v>2958465</v>
      </c>
      <c r="R11" s="50">
        <v>124</v>
      </c>
      <c r="S11" s="50" t="s">
        <v>3706</v>
      </c>
      <c r="T11" s="50">
        <v>0</v>
      </c>
      <c r="U11" s="50" t="s">
        <v>3854</v>
      </c>
      <c r="V11" s="111">
        <v>45433</v>
      </c>
      <c r="W11" s="50" t="s">
        <v>3959</v>
      </c>
    </row>
    <row r="12" spans="2:23" x14ac:dyDescent="0.35">
      <c r="B12" s="113" t="s">
        <v>3586</v>
      </c>
      <c r="C12" s="50">
        <v>10</v>
      </c>
      <c r="D12" s="50" t="s">
        <v>3960</v>
      </c>
      <c r="E12" s="111">
        <v>45433</v>
      </c>
      <c r="F12" s="50">
        <v>2</v>
      </c>
      <c r="G12" s="50" t="s">
        <v>3621</v>
      </c>
      <c r="H12" s="50">
        <v>0</v>
      </c>
      <c r="I12" s="50">
        <v>31</v>
      </c>
      <c r="J12" s="201">
        <v>607500070000019</v>
      </c>
      <c r="K12" s="50" t="s">
        <v>3851</v>
      </c>
      <c r="L12" s="50">
        <v>7</v>
      </c>
      <c r="M12" s="50" t="s">
        <v>3857</v>
      </c>
      <c r="N12" s="50">
        <v>31</v>
      </c>
      <c r="O12" s="50">
        <v>2.3930258433501999E+29</v>
      </c>
      <c r="P12" s="111">
        <v>45429</v>
      </c>
      <c r="Q12" s="111">
        <v>2958465</v>
      </c>
      <c r="R12" s="50">
        <v>978</v>
      </c>
      <c r="S12" s="173" t="s">
        <v>3961</v>
      </c>
      <c r="T12" s="50" t="s">
        <v>3631</v>
      </c>
      <c r="U12" s="50" t="s">
        <v>3962</v>
      </c>
      <c r="V12" s="111">
        <v>45433</v>
      </c>
      <c r="W12" s="50" t="s">
        <v>3957</v>
      </c>
    </row>
    <row r="13" spans="2:23" x14ac:dyDescent="0.35">
      <c r="B13" s="50" t="s">
        <v>3588</v>
      </c>
      <c r="C13" s="50">
        <v>11</v>
      </c>
      <c r="D13" s="50" t="s">
        <v>3963</v>
      </c>
      <c r="E13" s="111">
        <v>45433</v>
      </c>
      <c r="F13" s="50">
        <v>2</v>
      </c>
      <c r="G13" s="50" t="s">
        <v>3621</v>
      </c>
      <c r="H13" s="50">
        <v>0</v>
      </c>
      <c r="I13" s="50">
        <v>31</v>
      </c>
      <c r="J13" s="201">
        <v>607500070000019</v>
      </c>
      <c r="K13" s="50"/>
      <c r="L13" s="50">
        <v>7</v>
      </c>
      <c r="M13" s="50" t="s">
        <v>3857</v>
      </c>
      <c r="N13" s="50"/>
      <c r="O13" s="50">
        <v>2.3930258433501999E+29</v>
      </c>
      <c r="P13" s="111">
        <v>45429</v>
      </c>
      <c r="Q13" s="111">
        <v>2958465</v>
      </c>
      <c r="R13" s="50">
        <v>978</v>
      </c>
      <c r="S13" s="50" t="s">
        <v>3862</v>
      </c>
      <c r="T13" s="50">
        <v>0</v>
      </c>
      <c r="U13" s="50" t="s">
        <v>3636</v>
      </c>
      <c r="V13" s="111">
        <v>45433</v>
      </c>
      <c r="W13" s="50" t="s">
        <v>3964</v>
      </c>
    </row>
    <row r="14" spans="2:23" x14ac:dyDescent="0.35">
      <c r="B14" s="50" t="s">
        <v>3590</v>
      </c>
      <c r="C14" s="50">
        <v>12</v>
      </c>
      <c r="D14" s="50" t="s">
        <v>3965</v>
      </c>
      <c r="E14" s="111">
        <v>45433</v>
      </c>
      <c r="F14" s="50">
        <v>2</v>
      </c>
      <c r="G14" s="209">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x14ac:dyDescent="0.35">
      <c r="B15" s="50" t="s">
        <v>3592</v>
      </c>
      <c r="C15" s="50">
        <v>13</v>
      </c>
      <c r="D15" s="50" t="s">
        <v>3966</v>
      </c>
      <c r="E15" s="111">
        <v>45433</v>
      </c>
      <c r="F15" s="50">
        <v>2</v>
      </c>
      <c r="G15" s="209">
        <v>1</v>
      </c>
      <c r="H15" s="50">
        <v>0</v>
      </c>
      <c r="I15" s="50" t="s">
        <v>3621</v>
      </c>
      <c r="J15" s="50" t="s">
        <v>3621</v>
      </c>
      <c r="K15" s="50" t="s">
        <v>3621</v>
      </c>
      <c r="L15" s="50" t="s">
        <v>3621</v>
      </c>
      <c r="M15" s="50" t="s">
        <v>3621</v>
      </c>
      <c r="N15" s="50" t="s">
        <v>3621</v>
      </c>
      <c r="O15" s="50" t="s">
        <v>3621</v>
      </c>
      <c r="P15" s="50">
        <v>0</v>
      </c>
      <c r="Q15" s="50">
        <v>0</v>
      </c>
      <c r="R15" s="50" t="s">
        <v>3621</v>
      </c>
      <c r="S15" s="50" t="s">
        <v>3621</v>
      </c>
      <c r="T15" s="50" t="s">
        <v>3621</v>
      </c>
      <c r="U15" s="50" t="s">
        <v>3621</v>
      </c>
      <c r="V15" s="50" t="s">
        <v>3621</v>
      </c>
      <c r="W15" s="50" t="s">
        <v>3621</v>
      </c>
    </row>
    <row r="16" spans="2:23" x14ac:dyDescent="0.35">
      <c r="B16" s="50" t="s">
        <v>3594</v>
      </c>
      <c r="C16" s="50">
        <v>14</v>
      </c>
      <c r="D16" s="50" t="s">
        <v>3967</v>
      </c>
      <c r="E16" s="111">
        <v>45433</v>
      </c>
      <c r="F16" s="50">
        <v>2</v>
      </c>
      <c r="G16" s="209">
        <v>1</v>
      </c>
      <c r="H16" s="50">
        <v>0</v>
      </c>
      <c r="I16" s="50">
        <v>0</v>
      </c>
      <c r="J16" s="50">
        <v>0</v>
      </c>
      <c r="K16" s="50">
        <v>0</v>
      </c>
      <c r="L16" s="50">
        <v>0</v>
      </c>
      <c r="M16" s="50">
        <v>0</v>
      </c>
      <c r="N16" s="50">
        <v>0</v>
      </c>
      <c r="O16" s="50">
        <v>0</v>
      </c>
      <c r="P16" s="50" t="s">
        <v>3621</v>
      </c>
      <c r="Q16" s="50" t="s">
        <v>3621</v>
      </c>
      <c r="R16" s="50">
        <v>0</v>
      </c>
      <c r="S16" s="50" t="s">
        <v>3621</v>
      </c>
      <c r="T16" s="50">
        <v>0</v>
      </c>
      <c r="U16" s="50">
        <v>0</v>
      </c>
      <c r="V16" s="50" t="s">
        <v>3621</v>
      </c>
      <c r="W16" s="50" t="s">
        <v>3621</v>
      </c>
    </row>
    <row r="17" spans="2:23" x14ac:dyDescent="0.35">
      <c r="B17" s="50" t="s">
        <v>3596</v>
      </c>
      <c r="C17" s="50">
        <v>15</v>
      </c>
      <c r="D17" s="50" t="s">
        <v>3968</v>
      </c>
      <c r="E17" s="111">
        <v>45433</v>
      </c>
      <c r="F17" s="50">
        <v>2</v>
      </c>
      <c r="G17" s="209">
        <v>1</v>
      </c>
      <c r="H17" s="50">
        <v>0</v>
      </c>
      <c r="I17" s="50" t="s">
        <v>3621</v>
      </c>
      <c r="J17" s="50" t="s">
        <v>3621</v>
      </c>
      <c r="K17" s="50" t="s">
        <v>3621</v>
      </c>
      <c r="L17" s="50" t="s">
        <v>3621</v>
      </c>
      <c r="M17" s="50" t="s">
        <v>3621</v>
      </c>
      <c r="N17" s="50" t="s">
        <v>3621</v>
      </c>
      <c r="O17" s="50" t="s">
        <v>3621</v>
      </c>
      <c r="P17" s="50" t="s">
        <v>3621</v>
      </c>
      <c r="Q17" s="50" t="s">
        <v>3621</v>
      </c>
      <c r="R17" s="50" t="s">
        <v>3621</v>
      </c>
      <c r="S17" s="50" t="s">
        <v>3621</v>
      </c>
      <c r="T17" s="50" t="s">
        <v>3621</v>
      </c>
      <c r="U17" s="50" t="s">
        <v>3621</v>
      </c>
      <c r="V17" s="50" t="s">
        <v>3621</v>
      </c>
      <c r="W17" s="50" t="s">
        <v>3621</v>
      </c>
    </row>
    <row r="18" spans="2:23" x14ac:dyDescent="0.35">
      <c r="B18" s="50" t="s">
        <v>3598</v>
      </c>
      <c r="C18" s="50">
        <v>16</v>
      </c>
      <c r="D18" s="50" t="s">
        <v>3968</v>
      </c>
      <c r="E18" s="111">
        <v>45433</v>
      </c>
      <c r="F18" s="50">
        <v>2</v>
      </c>
      <c r="G18" s="209">
        <v>1</v>
      </c>
      <c r="H18" s="50">
        <v>0</v>
      </c>
      <c r="I18" s="50" t="s">
        <v>3621</v>
      </c>
      <c r="J18" s="50" t="s">
        <v>3621</v>
      </c>
      <c r="K18" s="50" t="s">
        <v>3621</v>
      </c>
      <c r="L18" s="50" t="s">
        <v>3621</v>
      </c>
      <c r="M18" s="50" t="s">
        <v>3621</v>
      </c>
      <c r="N18" s="50" t="s">
        <v>3621</v>
      </c>
      <c r="O18" s="50" t="s">
        <v>3621</v>
      </c>
      <c r="P18" s="50" t="s">
        <v>3621</v>
      </c>
      <c r="Q18" s="50" t="s">
        <v>3621</v>
      </c>
      <c r="R18" s="50" t="s">
        <v>3621</v>
      </c>
      <c r="S18" s="50" t="s">
        <v>3621</v>
      </c>
      <c r="T18" s="50" t="s">
        <v>3621</v>
      </c>
      <c r="U18" s="50" t="s">
        <v>3621</v>
      </c>
      <c r="V18" s="50" t="s">
        <v>3621</v>
      </c>
      <c r="W18" s="50" t="s">
        <v>3621</v>
      </c>
    </row>
    <row r="19" spans="2:23" x14ac:dyDescent="0.35">
      <c r="B19" s="50" t="s">
        <v>3604</v>
      </c>
      <c r="C19" s="50">
        <v>19</v>
      </c>
      <c r="D19" s="50" t="s">
        <v>3969</v>
      </c>
      <c r="E19" s="111">
        <v>45433</v>
      </c>
      <c r="F19" s="50">
        <v>2</v>
      </c>
      <c r="G19" s="225" cm="1">
        <f t="array" ref="G19">SUMPRODUCT(--(ISNUMBER((SEARCH(I25:W25,I19:W19)))))/COUNTA(I19:W19)</f>
        <v>0.8666666666666667</v>
      </c>
      <c r="H19" s="50">
        <v>0</v>
      </c>
      <c r="I19" s="50" t="s">
        <v>3655</v>
      </c>
      <c r="J19" s="50" t="s">
        <v>3655</v>
      </c>
      <c r="K19" s="50" t="s">
        <v>3655</v>
      </c>
      <c r="L19" s="50" t="s">
        <v>3655</v>
      </c>
      <c r="M19" s="50" t="s">
        <v>3655</v>
      </c>
      <c r="N19" s="50" t="s">
        <v>3655</v>
      </c>
      <c r="O19" s="50" t="s">
        <v>3655</v>
      </c>
      <c r="P19" s="50" t="s">
        <v>3970</v>
      </c>
      <c r="Q19" s="50" t="s">
        <v>3970</v>
      </c>
      <c r="R19" s="50" t="s">
        <v>3655</v>
      </c>
      <c r="S19" s="50" t="s">
        <v>3656</v>
      </c>
      <c r="T19" s="50" t="s">
        <v>3655</v>
      </c>
      <c r="U19" s="50" t="s">
        <v>3655</v>
      </c>
      <c r="V19" s="50" t="s">
        <v>3655</v>
      </c>
      <c r="W19" s="50" t="s">
        <v>3657</v>
      </c>
    </row>
    <row r="20" spans="2:23" x14ac:dyDescent="0.35">
      <c r="B20" s="50" t="s">
        <v>3607</v>
      </c>
      <c r="C20" s="50">
        <v>20</v>
      </c>
      <c r="D20" s="50" t="s">
        <v>3971</v>
      </c>
      <c r="E20" s="111">
        <v>45433</v>
      </c>
      <c r="F20" s="50">
        <v>1</v>
      </c>
      <c r="G20" s="209" cm="1">
        <f t="array" ref="G20">SUM(IF(I2:W2 = I24:W24, 1, 0))/ COUNTA(I2:W2)</f>
        <v>1</v>
      </c>
      <c r="H20" s="50" t="s">
        <v>3621</v>
      </c>
      <c r="I20" s="50" t="s">
        <v>3621</v>
      </c>
      <c r="J20" s="50" t="s">
        <v>3621</v>
      </c>
      <c r="K20" s="50" t="s">
        <v>3621</v>
      </c>
      <c r="L20" s="50" t="s">
        <v>3621</v>
      </c>
      <c r="M20" s="50" t="s">
        <v>3621</v>
      </c>
      <c r="N20" s="50" t="s">
        <v>3621</v>
      </c>
      <c r="O20" s="50" t="s">
        <v>3621</v>
      </c>
      <c r="P20" s="50" t="s">
        <v>3621</v>
      </c>
      <c r="Q20" s="50" t="s">
        <v>3621</v>
      </c>
      <c r="R20" s="50" t="s">
        <v>3621</v>
      </c>
      <c r="S20" s="50" t="s">
        <v>3621</v>
      </c>
      <c r="T20" s="50" t="s">
        <v>3621</v>
      </c>
      <c r="U20" s="50" t="s">
        <v>3621</v>
      </c>
      <c r="V20" s="50" t="s">
        <v>3621</v>
      </c>
      <c r="W20" s="50" t="s">
        <v>3621</v>
      </c>
    </row>
    <row r="21" spans="2:23" x14ac:dyDescent="0.35">
      <c r="B21" s="50" t="s">
        <v>3610</v>
      </c>
      <c r="C21" s="50">
        <v>21</v>
      </c>
      <c r="D21" s="50" t="s">
        <v>3971</v>
      </c>
      <c r="E21" s="111">
        <v>45433</v>
      </c>
      <c r="F21" s="50">
        <v>1</v>
      </c>
      <c r="G21" s="209" cm="1">
        <f t="array" ref="G21">SUM(IF(IF(G3:G20="null",1,G3:G20)=1,1,0))/COUNT(IF(G3:G20="null",1,1))</f>
        <v>0.94444444444444442</v>
      </c>
      <c r="H21" s="50" t="s">
        <v>3621</v>
      </c>
      <c r="I21" s="50" t="s">
        <v>3621</v>
      </c>
      <c r="J21" s="50" t="s">
        <v>3621</v>
      </c>
      <c r="K21" s="50" t="s">
        <v>3621</v>
      </c>
      <c r="L21" s="50" t="s">
        <v>3621</v>
      </c>
      <c r="M21" s="50" t="s">
        <v>3621</v>
      </c>
      <c r="N21" s="50" t="s">
        <v>3621</v>
      </c>
      <c r="O21" s="50" t="s">
        <v>3621</v>
      </c>
      <c r="P21" s="50" t="s">
        <v>3621</v>
      </c>
      <c r="Q21" s="50" t="s">
        <v>3621</v>
      </c>
      <c r="R21" s="50" t="s">
        <v>3621</v>
      </c>
      <c r="S21" s="50" t="s">
        <v>3621</v>
      </c>
      <c r="T21" s="50" t="s">
        <v>3621</v>
      </c>
      <c r="U21" s="50" t="s">
        <v>3621</v>
      </c>
      <c r="V21" s="50" t="s">
        <v>3621</v>
      </c>
      <c r="W21" s="50" t="s">
        <v>3621</v>
      </c>
    </row>
    <row r="22" spans="2:23" x14ac:dyDescent="0.35">
      <c r="B22" s="50"/>
      <c r="C22" s="50"/>
      <c r="D22" s="50"/>
      <c r="E22" s="111"/>
      <c r="F22" s="50"/>
      <c r="G22" s="50"/>
      <c r="H22" s="50"/>
      <c r="I22" s="50"/>
      <c r="J22" s="50"/>
      <c r="K22" s="50"/>
      <c r="L22" s="50"/>
      <c r="M22" s="50"/>
      <c r="N22" s="50"/>
      <c r="O22" s="50"/>
      <c r="P22" s="50"/>
      <c r="Q22" s="50"/>
      <c r="R22" s="50"/>
      <c r="S22" s="50"/>
      <c r="T22" s="50"/>
      <c r="U22" s="50"/>
      <c r="V22" s="50"/>
      <c r="W22" s="50"/>
    </row>
    <row r="23" spans="2:23" x14ac:dyDescent="0.35">
      <c r="B23" s="146" t="s">
        <v>3727</v>
      </c>
    </row>
    <row r="24" spans="2:23" x14ac:dyDescent="0.35">
      <c r="B24" s="144" t="s">
        <v>3613</v>
      </c>
      <c r="C24" s="145" t="s">
        <v>3614</v>
      </c>
      <c r="D24" s="145" t="s">
        <v>3615</v>
      </c>
      <c r="E24" s="145" t="s">
        <v>3616</v>
      </c>
      <c r="F24" s="145" t="s">
        <v>3617</v>
      </c>
      <c r="G24" s="145" t="s">
        <v>3618</v>
      </c>
      <c r="H24" s="145" t="s">
        <v>3619</v>
      </c>
      <c r="I24" s="145" t="str" cm="1">
        <f t="array" ref="I24:W24">TRANSPOSE(_xlfn.SORTBY(_xlfn._xlws.FILTER(Table3[NOME FÍSICO CAMPO],Table3[NOME FÍSICO TABELA]="confirming_process"), _xlfn._xlws.FILTER(Table3[ORDEM], Table3[NOME FÍSICO TABELA]="confirming_process"), 1))</f>
        <v>bank_id</v>
      </c>
      <c r="J24" s="145" t="str">
        <v>process_id</v>
      </c>
      <c r="K24" s="145" t="str">
        <v>product_family_id</v>
      </c>
      <c r="L24" s="145" t="str">
        <v>product_id</v>
      </c>
      <c r="M24" s="145" t="str">
        <v>subproduct_id</v>
      </c>
      <c r="N24" s="145" t="str">
        <v>main_current_account_bank_id</v>
      </c>
      <c r="O24" s="145" t="str">
        <v>main_current_account_contract_id</v>
      </c>
      <c r="P24" s="145" t="str">
        <v>opening_date</v>
      </c>
      <c r="Q24" s="145" t="str">
        <v>current_maturity_date</v>
      </c>
      <c r="R24" s="145" t="str">
        <v>currency_code</v>
      </c>
      <c r="S24" s="145" t="str">
        <v>current_authorized_amount</v>
      </c>
      <c r="T24" s="145" t="str">
        <v>process_status_code</v>
      </c>
      <c r="U24" s="145" t="str">
        <v>process_opening_channel_code</v>
      </c>
      <c r="V24" s="145" t="str">
        <v>data_date_part</v>
      </c>
      <c r="W24" s="142" t="str">
        <v>data_timestamp_part</v>
      </c>
    </row>
    <row r="25" spans="2:23" x14ac:dyDescent="0.35">
      <c r="B25" s="123" t="s">
        <v>3658</v>
      </c>
      <c r="C25" s="126">
        <v>21</v>
      </c>
      <c r="D25" s="120" t="s">
        <v>3659</v>
      </c>
      <c r="E25" s="119" t="s">
        <v>3660</v>
      </c>
      <c r="F25" s="119" t="s">
        <v>372</v>
      </c>
      <c r="G25" s="119" t="s">
        <v>372</v>
      </c>
      <c r="H25" s="119" t="s">
        <v>372</v>
      </c>
      <c r="I25" s="119" t="str" cm="1">
        <f t="array" ref="I25:W26">TRANSPOSE(_xlfn.SORTBY(_xlfn._xlws.FILTER(IF(Table3[FORMATO]:Table3[COMP_ CAMPO]&lt;&gt;"",Table3[FORMATO]:Table3[COMP_ CAMPO],9999999),Table3[NOME FÍSICO TABELA]="confirming_process"), _xlfn._xlws.FILTER(Table3[ORDEM], Table3[NOME FÍSICO TABELA]="confirming_process"), 1))</f>
        <v>STRING</v>
      </c>
      <c r="J25" s="119" t="str">
        <v>STRING</v>
      </c>
      <c r="K25" s="119" t="str">
        <v>STRING</v>
      </c>
      <c r="L25" s="119" t="str">
        <v>STRING</v>
      </c>
      <c r="M25" s="119" t="str">
        <v>STRING</v>
      </c>
      <c r="N25" s="119" t="str">
        <v>STRING</v>
      </c>
      <c r="O25" s="119" t="str">
        <v>STRING</v>
      </c>
      <c r="P25" s="119" t="str">
        <v>STRING</v>
      </c>
      <c r="Q25" s="119" t="str">
        <v>STRING</v>
      </c>
      <c r="R25" s="119" t="str">
        <v>STRING</v>
      </c>
      <c r="S25" s="119" t="str">
        <v>DECIMAL</v>
      </c>
      <c r="T25" s="119" t="str">
        <v>STRING</v>
      </c>
      <c r="U25" s="119" t="str">
        <v>STRING</v>
      </c>
      <c r="V25" s="119" t="str">
        <v>STRING</v>
      </c>
      <c r="W25" s="125" t="str">
        <v>TIMESTAMP</v>
      </c>
    </row>
    <row r="26" spans="2:23" x14ac:dyDescent="0.35">
      <c r="B26" s="123" t="s">
        <v>3661</v>
      </c>
      <c r="C26" s="126">
        <v>7</v>
      </c>
      <c r="D26" s="120" t="s">
        <v>3659</v>
      </c>
      <c r="E26" s="119" t="s">
        <v>3660</v>
      </c>
      <c r="F26" s="121" t="s">
        <v>372</v>
      </c>
      <c r="G26" s="121" t="s">
        <v>372</v>
      </c>
      <c r="H26" s="121" t="s">
        <v>372</v>
      </c>
      <c r="I26" s="167">
        <v>4</v>
      </c>
      <c r="J26" s="167">
        <v>15</v>
      </c>
      <c r="K26" s="167">
        <v>4</v>
      </c>
      <c r="L26" s="167">
        <v>4</v>
      </c>
      <c r="M26" s="167">
        <v>4</v>
      </c>
      <c r="N26" s="167">
        <v>4</v>
      </c>
      <c r="O26" s="167">
        <v>30</v>
      </c>
      <c r="P26" s="167">
        <v>10</v>
      </c>
      <c r="Q26" s="167">
        <v>10</v>
      </c>
      <c r="R26" s="167">
        <v>4</v>
      </c>
      <c r="S26" s="167">
        <v>23</v>
      </c>
      <c r="T26" s="167">
        <v>4</v>
      </c>
      <c r="U26" s="167">
        <v>4</v>
      </c>
      <c r="V26" s="167">
        <v>10</v>
      </c>
      <c r="W26" s="168">
        <v>23</v>
      </c>
    </row>
    <row r="28" spans="2:23" x14ac:dyDescent="0.35">
      <c r="B28" s="156" t="s">
        <v>3662</v>
      </c>
    </row>
    <row r="29" spans="2:23" x14ac:dyDescent="0.35">
      <c r="B29" s="150" t="s">
        <v>3663</v>
      </c>
      <c r="C29" s="150" t="s">
        <v>3664</v>
      </c>
      <c r="D29" s="151" t="s">
        <v>3665</v>
      </c>
      <c r="E29" s="150" t="s">
        <v>3666</v>
      </c>
      <c r="F29" s="150" t="s">
        <v>3667</v>
      </c>
    </row>
    <row r="30" spans="2:23" x14ac:dyDescent="0.35">
      <c r="B30" s="134"/>
      <c r="C30" s="133"/>
      <c r="D30" s="139"/>
      <c r="E30" s="162"/>
      <c r="F30" s="15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B1:Y39"/>
  <sheetViews>
    <sheetView showGridLines="0" topLeftCell="A9" workbookViewId="0">
      <selection activeCell="D40" sqref="D40"/>
    </sheetView>
  </sheetViews>
  <sheetFormatPr defaultRowHeight="14.5" x14ac:dyDescent="0.35"/>
  <cols>
    <col min="2" max="2" width="30.7265625" bestFit="1" customWidth="1"/>
    <col min="3" max="3" width="32.7265625" bestFit="1" customWidth="1"/>
    <col min="4" max="4" width="51.81640625" customWidth="1"/>
    <col min="5" max="5" width="30.453125" bestFit="1" customWidth="1"/>
    <col min="6" max="6" width="25.26953125" customWidth="1"/>
    <col min="7" max="7" width="17.1796875" customWidth="1"/>
    <col min="8" max="8" width="16.453125" bestFit="1" customWidth="1"/>
    <col min="9" max="9" width="13.26953125" bestFit="1" customWidth="1"/>
    <col min="10" max="10" width="30.7265625" bestFit="1" customWidth="1"/>
    <col min="11" max="11" width="32.453125" customWidth="1"/>
    <col min="12" max="12" width="38.1796875" customWidth="1"/>
    <col min="13" max="13" width="30" bestFit="1" customWidth="1"/>
    <col min="14" max="14" width="30.7265625" bestFit="1" customWidth="1"/>
    <col min="15" max="15" width="36.81640625" customWidth="1"/>
    <col min="16" max="17" width="30.7265625" bestFit="1" customWidth="1"/>
    <col min="18" max="18" width="31.26953125" customWidth="1"/>
    <col min="19" max="19" width="26.81640625" bestFit="1" customWidth="1"/>
    <col min="20" max="20" width="30.7265625" bestFit="1" customWidth="1"/>
    <col min="21" max="21" width="43.26953125" customWidth="1"/>
    <col min="22" max="25" width="30.7265625" bestFit="1" customWidth="1"/>
    <col min="26" max="26" width="37.81640625" customWidth="1"/>
    <col min="27" max="27" width="30.7265625" bestFit="1" customWidth="1"/>
    <col min="28" max="28" width="22.26953125" customWidth="1"/>
    <col min="29" max="29" width="26.81640625" bestFit="1" customWidth="1"/>
    <col min="30" max="30" width="30.7265625" bestFit="1" customWidth="1"/>
    <col min="31" max="31" width="25.1796875" bestFit="1" customWidth="1"/>
    <col min="32" max="32" width="45.7265625" bestFit="1" customWidth="1"/>
    <col min="33" max="33" width="44.26953125" customWidth="1"/>
    <col min="34" max="34" width="38.26953125" bestFit="1" customWidth="1"/>
    <col min="35" max="35" width="75.453125" bestFit="1" customWidth="1"/>
    <col min="36" max="36" width="29.453125" customWidth="1"/>
    <col min="37" max="37" width="32.26953125" customWidth="1"/>
    <col min="38" max="38" width="32.54296875" customWidth="1"/>
    <col min="39" max="39" width="21.54296875" customWidth="1"/>
    <col min="40" max="40" width="27.7265625" customWidth="1"/>
    <col min="41" max="41" width="46.453125" customWidth="1"/>
  </cols>
  <sheetData>
    <row r="1" spans="2:25" ht="27.75" customHeight="1" x14ac:dyDescent="0.35"/>
    <row r="2" spans="2:25" x14ac:dyDescent="0.35">
      <c r="B2" s="91" t="s">
        <v>3738</v>
      </c>
      <c r="C2" s="91" t="s">
        <v>3614</v>
      </c>
      <c r="D2" s="91" t="s">
        <v>3615</v>
      </c>
      <c r="E2" s="91" t="s">
        <v>3616</v>
      </c>
      <c r="F2" s="91" t="s">
        <v>3617</v>
      </c>
      <c r="G2" s="91" t="s">
        <v>3618</v>
      </c>
      <c r="H2" s="91" t="s">
        <v>3619</v>
      </c>
      <c r="I2" s="91" t="s">
        <v>121</v>
      </c>
      <c r="J2" s="91" t="s">
        <v>575</v>
      </c>
      <c r="K2" s="145" t="s">
        <v>177</v>
      </c>
      <c r="L2" s="145" t="s">
        <v>188</v>
      </c>
      <c r="M2" s="145" t="s">
        <v>1833</v>
      </c>
      <c r="N2" s="91" t="s">
        <v>1842</v>
      </c>
      <c r="O2" s="91" t="s">
        <v>1851</v>
      </c>
      <c r="P2" s="91" t="s">
        <v>1860</v>
      </c>
      <c r="Q2" s="91" t="s">
        <v>199</v>
      </c>
      <c r="R2" s="91" t="s">
        <v>211</v>
      </c>
      <c r="S2" s="91" t="s">
        <v>223</v>
      </c>
      <c r="T2" s="91" t="s">
        <v>3972</v>
      </c>
      <c r="U2" s="91" t="s">
        <v>3973</v>
      </c>
      <c r="V2" s="91" t="s">
        <v>658</v>
      </c>
      <c r="W2" s="91" t="s">
        <v>667</v>
      </c>
      <c r="X2" s="91" t="s">
        <v>327</v>
      </c>
      <c r="Y2" s="91" t="s">
        <v>334</v>
      </c>
    </row>
    <row r="3" spans="2:25" x14ac:dyDescent="0.35">
      <c r="B3" s="50" t="s">
        <v>3567</v>
      </c>
      <c r="C3" s="50">
        <v>1</v>
      </c>
      <c r="D3" s="50" t="s">
        <v>3974</v>
      </c>
      <c r="E3" s="111">
        <v>45390</v>
      </c>
      <c r="F3" s="50">
        <v>1</v>
      </c>
      <c r="G3" s="114">
        <v>1</v>
      </c>
      <c r="H3" s="114" t="s">
        <v>3975</v>
      </c>
      <c r="I3" s="50" t="s">
        <v>3621</v>
      </c>
      <c r="J3" s="50" t="s">
        <v>3621</v>
      </c>
      <c r="K3" s="50" t="s">
        <v>3621</v>
      </c>
      <c r="L3" s="50" t="s">
        <v>3621</v>
      </c>
      <c r="M3" s="50" t="s">
        <v>3621</v>
      </c>
      <c r="N3" s="50" t="s">
        <v>3621</v>
      </c>
      <c r="O3" s="50" t="s">
        <v>3621</v>
      </c>
      <c r="P3" s="50" t="s">
        <v>3621</v>
      </c>
      <c r="Q3" s="50" t="s">
        <v>3621</v>
      </c>
      <c r="R3" s="50" t="s">
        <v>3621</v>
      </c>
      <c r="S3" s="50" t="s">
        <v>3621</v>
      </c>
      <c r="T3" s="50" t="s">
        <v>3621</v>
      </c>
      <c r="U3" s="50" t="s">
        <v>3621</v>
      </c>
      <c r="V3" s="50" t="s">
        <v>3621</v>
      </c>
      <c r="W3" s="50" t="s">
        <v>3621</v>
      </c>
      <c r="X3" s="50" t="s">
        <v>3621</v>
      </c>
      <c r="Y3" s="50" t="s">
        <v>3621</v>
      </c>
    </row>
    <row r="4" spans="2:25" x14ac:dyDescent="0.35">
      <c r="B4" s="50" t="s">
        <v>3569</v>
      </c>
      <c r="C4" s="50">
        <v>2</v>
      </c>
      <c r="D4" s="50" t="s">
        <v>3976</v>
      </c>
      <c r="E4" s="111">
        <v>45390</v>
      </c>
      <c r="F4" s="50">
        <v>1</v>
      </c>
      <c r="G4" s="114">
        <v>1</v>
      </c>
      <c r="H4" s="50" t="s">
        <v>3706</v>
      </c>
      <c r="I4" s="50" t="s">
        <v>3621</v>
      </c>
      <c r="J4" s="50" t="s">
        <v>3621</v>
      </c>
      <c r="K4" s="50" t="s">
        <v>3621</v>
      </c>
      <c r="L4" s="50" t="s">
        <v>3621</v>
      </c>
      <c r="M4" s="50" t="s">
        <v>3621</v>
      </c>
      <c r="N4" s="50" t="s">
        <v>3621</v>
      </c>
      <c r="O4" s="50" t="s">
        <v>3621</v>
      </c>
      <c r="P4" s="50" t="s">
        <v>3621</v>
      </c>
      <c r="Q4" s="50" t="s">
        <v>3621</v>
      </c>
      <c r="R4" s="50" t="s">
        <v>3621</v>
      </c>
      <c r="S4" s="50" t="s">
        <v>3621</v>
      </c>
      <c r="T4" s="50" t="s">
        <v>3621</v>
      </c>
      <c r="U4" s="50" t="s">
        <v>3621</v>
      </c>
      <c r="V4" s="50" t="s">
        <v>3621</v>
      </c>
      <c r="W4" s="50" t="s">
        <v>3621</v>
      </c>
      <c r="X4" s="50" t="s">
        <v>3621</v>
      </c>
      <c r="Y4" s="50" t="s">
        <v>3621</v>
      </c>
    </row>
    <row r="5" spans="2:25" x14ac:dyDescent="0.35">
      <c r="B5" s="50" t="s">
        <v>3571</v>
      </c>
      <c r="C5" s="50">
        <v>3</v>
      </c>
      <c r="D5" s="50" t="s">
        <v>3977</v>
      </c>
      <c r="E5" s="111">
        <v>45390</v>
      </c>
      <c r="F5" s="50">
        <v>1</v>
      </c>
      <c r="G5" s="114">
        <v>1</v>
      </c>
      <c r="H5" s="50" t="s">
        <v>3706</v>
      </c>
      <c r="I5" s="50">
        <v>0</v>
      </c>
      <c r="J5" s="50">
        <v>0</v>
      </c>
      <c r="K5" s="50" t="s">
        <v>3621</v>
      </c>
      <c r="L5" s="50" t="s">
        <v>3621</v>
      </c>
      <c r="M5" s="50" t="s">
        <v>3621</v>
      </c>
      <c r="N5" s="50" t="s">
        <v>3621</v>
      </c>
      <c r="O5" s="50" t="s">
        <v>3621</v>
      </c>
      <c r="P5" s="50" t="s">
        <v>3621</v>
      </c>
      <c r="Q5" s="50" t="s">
        <v>3621</v>
      </c>
      <c r="R5" s="50" t="s">
        <v>3621</v>
      </c>
      <c r="S5" s="50" t="s">
        <v>3621</v>
      </c>
      <c r="T5" s="50" t="s">
        <v>3621</v>
      </c>
      <c r="U5" s="50" t="s">
        <v>3621</v>
      </c>
      <c r="V5" s="50" t="s">
        <v>3621</v>
      </c>
      <c r="W5" s="50" t="s">
        <v>3621</v>
      </c>
      <c r="X5" s="50">
        <v>0</v>
      </c>
      <c r="Y5" s="50" t="s">
        <v>3621</v>
      </c>
    </row>
    <row r="6" spans="2:25" x14ac:dyDescent="0.35">
      <c r="B6" s="50" t="s">
        <v>3573</v>
      </c>
      <c r="C6" s="50">
        <v>4</v>
      </c>
      <c r="D6" s="50" t="s">
        <v>3624</v>
      </c>
      <c r="E6" s="111" t="s">
        <v>3621</v>
      </c>
      <c r="F6" s="50">
        <v>1</v>
      </c>
      <c r="G6" s="111" t="s">
        <v>3621</v>
      </c>
      <c r="H6" s="50" t="s">
        <v>3706</v>
      </c>
      <c r="I6" s="50" t="s">
        <v>3621</v>
      </c>
      <c r="J6" s="50" t="s">
        <v>3621</v>
      </c>
      <c r="K6" s="50" t="s">
        <v>3621</v>
      </c>
      <c r="L6" s="50" t="s">
        <v>3621</v>
      </c>
      <c r="M6" s="50" t="s">
        <v>3621</v>
      </c>
      <c r="N6" s="50" t="s">
        <v>3621</v>
      </c>
      <c r="O6" s="50" t="s">
        <v>3621</v>
      </c>
      <c r="P6" s="50" t="s">
        <v>3621</v>
      </c>
      <c r="Q6" s="50" t="s">
        <v>3621</v>
      </c>
      <c r="R6" s="50" t="s">
        <v>3621</v>
      </c>
      <c r="S6" s="50" t="s">
        <v>3621</v>
      </c>
      <c r="T6" s="50" t="s">
        <v>3621</v>
      </c>
      <c r="U6" s="50" t="s">
        <v>3621</v>
      </c>
      <c r="V6" s="50" t="s">
        <v>3621</v>
      </c>
      <c r="W6" s="50" t="s">
        <v>3621</v>
      </c>
      <c r="X6" s="50" t="s">
        <v>3621</v>
      </c>
      <c r="Y6" s="50" t="s">
        <v>3621</v>
      </c>
    </row>
    <row r="7" spans="2:25" x14ac:dyDescent="0.35">
      <c r="B7" s="50" t="s">
        <v>3575</v>
      </c>
      <c r="C7" s="50">
        <v>5</v>
      </c>
      <c r="D7" s="50" t="s">
        <v>3624</v>
      </c>
      <c r="E7" s="111" t="s">
        <v>3621</v>
      </c>
      <c r="F7" s="50">
        <v>1</v>
      </c>
      <c r="G7" s="111" t="s">
        <v>3621</v>
      </c>
      <c r="H7" s="50" t="s">
        <v>3706</v>
      </c>
      <c r="I7" s="50" t="s">
        <v>3621</v>
      </c>
      <c r="J7" s="50" t="s">
        <v>3621</v>
      </c>
      <c r="K7" s="50" t="s">
        <v>3621</v>
      </c>
      <c r="L7" s="50" t="s">
        <v>3621</v>
      </c>
      <c r="M7" s="50" t="s">
        <v>3621</v>
      </c>
      <c r="N7" s="50" t="s">
        <v>3621</v>
      </c>
      <c r="O7" s="50" t="s">
        <v>3621</v>
      </c>
      <c r="P7" s="50" t="s">
        <v>3621</v>
      </c>
      <c r="Q7" s="50" t="s">
        <v>3621</v>
      </c>
      <c r="R7" s="50" t="s">
        <v>3621</v>
      </c>
      <c r="S7" s="50" t="s">
        <v>3621</v>
      </c>
      <c r="T7" s="50" t="s">
        <v>3621</v>
      </c>
      <c r="U7" s="50" t="s">
        <v>3621</v>
      </c>
      <c r="V7" s="50" t="s">
        <v>3621</v>
      </c>
      <c r="W7" s="50" t="s">
        <v>3621</v>
      </c>
      <c r="X7" s="50" t="s">
        <v>3621</v>
      </c>
      <c r="Y7" s="50" t="s">
        <v>3621</v>
      </c>
    </row>
    <row r="8" spans="2:25" x14ac:dyDescent="0.35">
      <c r="B8" s="50" t="s">
        <v>3576</v>
      </c>
      <c r="C8" s="50">
        <v>6</v>
      </c>
      <c r="D8" s="50" t="s">
        <v>3978</v>
      </c>
      <c r="E8" s="111">
        <v>45390</v>
      </c>
      <c r="F8" s="50">
        <v>1</v>
      </c>
      <c r="G8" s="50" cm="1">
        <f t="array" ref="G8">SUMPRODUCT(--(I8:Y8&gt;0))/COUNTA(I8:Y8)</f>
        <v>1</v>
      </c>
      <c r="H8" s="50" t="s">
        <v>3706</v>
      </c>
      <c r="I8" s="50">
        <v>2</v>
      </c>
      <c r="J8" s="50">
        <v>15</v>
      </c>
      <c r="K8" s="50">
        <v>2</v>
      </c>
      <c r="L8" s="50">
        <v>4</v>
      </c>
      <c r="M8" s="50">
        <v>34</v>
      </c>
      <c r="N8" s="50">
        <v>2</v>
      </c>
      <c r="O8" s="50">
        <v>4</v>
      </c>
      <c r="P8" s="50">
        <v>34</v>
      </c>
      <c r="Q8" s="50">
        <v>10</v>
      </c>
      <c r="R8" s="50">
        <v>10</v>
      </c>
      <c r="S8" s="50">
        <v>3</v>
      </c>
      <c r="T8" s="50">
        <v>8</v>
      </c>
      <c r="U8" s="50">
        <v>8</v>
      </c>
      <c r="V8" s="50">
        <v>3</v>
      </c>
      <c r="W8" s="50">
        <v>3</v>
      </c>
      <c r="X8" s="50">
        <v>10</v>
      </c>
      <c r="Y8" s="50">
        <v>23</v>
      </c>
    </row>
    <row r="9" spans="2:25" x14ac:dyDescent="0.35">
      <c r="B9" s="50" t="s">
        <v>3579</v>
      </c>
      <c r="C9" s="50">
        <v>7</v>
      </c>
      <c r="D9" s="50" t="s">
        <v>3979</v>
      </c>
      <c r="E9" s="111">
        <v>45390</v>
      </c>
      <c r="F9" s="50">
        <v>1</v>
      </c>
      <c r="G9" s="50" cm="1">
        <f t="array" ref="G9">SUMPRODUCT(--(I9:Y9&lt;=I26:Y26))/COUNTA(I26:Y26)</f>
        <v>1</v>
      </c>
      <c r="H9" s="50" t="s">
        <v>3706</v>
      </c>
      <c r="I9" s="50">
        <v>2</v>
      </c>
      <c r="J9" s="50">
        <v>15</v>
      </c>
      <c r="K9" s="50">
        <v>4</v>
      </c>
      <c r="L9" s="50">
        <v>30</v>
      </c>
      <c r="M9" s="50">
        <v>34</v>
      </c>
      <c r="N9" s="50">
        <v>4</v>
      </c>
      <c r="O9" s="50">
        <v>30</v>
      </c>
      <c r="P9" s="50">
        <v>34</v>
      </c>
      <c r="Q9" s="50">
        <v>10</v>
      </c>
      <c r="R9" s="50">
        <v>10</v>
      </c>
      <c r="S9" s="50">
        <v>3</v>
      </c>
      <c r="T9" s="50">
        <v>16</v>
      </c>
      <c r="U9" s="50">
        <v>16</v>
      </c>
      <c r="V9" s="50">
        <v>3</v>
      </c>
      <c r="W9" s="50">
        <v>3</v>
      </c>
      <c r="X9" s="50">
        <v>10</v>
      </c>
      <c r="Y9" s="50">
        <v>23</v>
      </c>
    </row>
    <row r="10" spans="2:25" x14ac:dyDescent="0.35">
      <c r="B10" s="50" t="s">
        <v>3582</v>
      </c>
      <c r="C10" s="50">
        <v>8</v>
      </c>
      <c r="D10" s="50" t="s">
        <v>3980</v>
      </c>
      <c r="E10" s="111">
        <v>45390</v>
      </c>
      <c r="F10" s="50">
        <v>1</v>
      </c>
      <c r="G10" s="111" t="s">
        <v>3621</v>
      </c>
      <c r="H10" s="50" t="s">
        <v>3706</v>
      </c>
      <c r="I10" s="50">
        <v>89</v>
      </c>
      <c r="J10" s="50">
        <v>19950000013</v>
      </c>
      <c r="K10" s="50" t="e">
        <v>#N/A</v>
      </c>
      <c r="L10" s="50" t="e">
        <v>#N/A</v>
      </c>
      <c r="M10" s="50">
        <v>7.7800000002008096E+21</v>
      </c>
      <c r="N10" s="50" t="e">
        <v>#N/A</v>
      </c>
      <c r="O10" s="50" t="e">
        <v>#N/A</v>
      </c>
      <c r="P10" s="50">
        <v>7.7800000002008096E+21</v>
      </c>
      <c r="Q10" s="111">
        <v>32265</v>
      </c>
      <c r="R10" s="111">
        <v>36556</v>
      </c>
      <c r="S10" s="50" t="s">
        <v>3981</v>
      </c>
      <c r="T10" s="111" t="s">
        <v>3630</v>
      </c>
      <c r="U10" s="111" t="s">
        <v>3630</v>
      </c>
      <c r="V10" s="50" t="s">
        <v>3631</v>
      </c>
      <c r="W10" s="111" t="s">
        <v>3632</v>
      </c>
      <c r="X10" s="111">
        <v>45390</v>
      </c>
      <c r="Y10" s="50" t="s">
        <v>3982</v>
      </c>
    </row>
    <row r="11" spans="2:25" x14ac:dyDescent="0.35">
      <c r="B11" s="50" t="s">
        <v>3584</v>
      </c>
      <c r="C11" s="50">
        <v>9</v>
      </c>
      <c r="D11" s="50" t="s">
        <v>3983</v>
      </c>
      <c r="E11" s="111">
        <v>45390</v>
      </c>
      <c r="F11" s="50">
        <v>1</v>
      </c>
      <c r="G11" s="111" t="s">
        <v>3621</v>
      </c>
      <c r="H11" s="50" t="s">
        <v>3706</v>
      </c>
      <c r="I11" s="50">
        <v>31</v>
      </c>
      <c r="J11" s="50">
        <v>19950000013</v>
      </c>
      <c r="K11" s="50"/>
      <c r="L11" s="50" t="e">
        <v>#N/A</v>
      </c>
      <c r="M11" s="50">
        <v>7.7800000002008096E+21</v>
      </c>
      <c r="N11" s="50"/>
      <c r="O11" s="50" t="e">
        <v>#N/A</v>
      </c>
      <c r="P11" s="50" t="s">
        <v>3984</v>
      </c>
      <c r="Q11" s="111">
        <v>32265</v>
      </c>
      <c r="R11" s="111">
        <v>36556</v>
      </c>
      <c r="S11" s="50" t="s">
        <v>3981</v>
      </c>
      <c r="T11" s="111" t="s">
        <v>3706</v>
      </c>
      <c r="U11" s="111" t="s">
        <v>3706</v>
      </c>
      <c r="V11" s="50">
        <v>5</v>
      </c>
      <c r="W11" s="111" t="s">
        <v>3636</v>
      </c>
      <c r="X11" s="111">
        <v>45390</v>
      </c>
      <c r="Y11" s="50" t="s">
        <v>3985</v>
      </c>
    </row>
    <row r="12" spans="2:25" s="197" customFormat="1" x14ac:dyDescent="0.35">
      <c r="B12" s="196" t="s">
        <v>3586</v>
      </c>
      <c r="C12" s="196" t="s">
        <v>3986</v>
      </c>
      <c r="D12" s="196" t="s">
        <v>3987</v>
      </c>
      <c r="E12" s="111">
        <v>45390</v>
      </c>
      <c r="F12" s="50">
        <v>1</v>
      </c>
      <c r="G12" s="111" t="s">
        <v>3621</v>
      </c>
      <c r="H12" s="196" t="s">
        <v>3706</v>
      </c>
      <c r="I12" s="196" t="s">
        <v>3988</v>
      </c>
      <c r="J12" s="196" t="s">
        <v>3989</v>
      </c>
      <c r="K12" s="196" t="s">
        <v>3990</v>
      </c>
      <c r="L12" s="196" t="s">
        <v>3991</v>
      </c>
      <c r="M12" s="196" t="s">
        <v>3992</v>
      </c>
      <c r="N12" s="196" t="s">
        <v>3990</v>
      </c>
      <c r="O12" s="196" t="s">
        <v>3991</v>
      </c>
      <c r="P12" s="196" t="s">
        <v>3992</v>
      </c>
      <c r="Q12" s="196" t="s">
        <v>3993</v>
      </c>
      <c r="R12" s="196" t="s">
        <v>3994</v>
      </c>
      <c r="S12" s="196" t="s">
        <v>3995</v>
      </c>
      <c r="T12" s="196" t="s">
        <v>3996</v>
      </c>
      <c r="U12" s="196" t="s">
        <v>3997</v>
      </c>
      <c r="V12" s="196" t="s">
        <v>3631</v>
      </c>
      <c r="W12" s="196" t="s">
        <v>3632</v>
      </c>
      <c r="X12" s="196" t="s">
        <v>3998</v>
      </c>
      <c r="Y12" s="196" t="s">
        <v>3982</v>
      </c>
    </row>
    <row r="13" spans="2:25" s="197" customFormat="1" x14ac:dyDescent="0.35">
      <c r="B13" s="196" t="s">
        <v>3588</v>
      </c>
      <c r="C13" s="196" t="s">
        <v>3999</v>
      </c>
      <c r="D13" s="196" t="s">
        <v>4000</v>
      </c>
      <c r="E13" s="111">
        <v>45390</v>
      </c>
      <c r="F13" s="50">
        <v>1</v>
      </c>
      <c r="G13" s="111" t="s">
        <v>3621</v>
      </c>
      <c r="H13" s="196" t="s">
        <v>3706</v>
      </c>
      <c r="I13" s="196" t="s">
        <v>3990</v>
      </c>
      <c r="J13" s="196" t="s">
        <v>3989</v>
      </c>
      <c r="K13" s="196" t="s">
        <v>4001</v>
      </c>
      <c r="L13" s="196" t="s">
        <v>3991</v>
      </c>
      <c r="M13" s="196" t="s">
        <v>3992</v>
      </c>
      <c r="N13" s="196" t="s">
        <v>4001</v>
      </c>
      <c r="O13" s="196" t="s">
        <v>3991</v>
      </c>
      <c r="P13" s="196" t="s">
        <v>3992</v>
      </c>
      <c r="Q13" s="196" t="s">
        <v>3993</v>
      </c>
      <c r="R13" s="196" t="s">
        <v>3994</v>
      </c>
      <c r="S13" s="196" t="s">
        <v>3995</v>
      </c>
      <c r="T13" s="196" t="s">
        <v>4002</v>
      </c>
      <c r="U13" s="196" t="s">
        <v>4003</v>
      </c>
      <c r="V13" s="196" t="s">
        <v>4004</v>
      </c>
      <c r="W13" s="196" t="s">
        <v>3636</v>
      </c>
      <c r="X13" s="196" t="s">
        <v>3998</v>
      </c>
      <c r="Y13" s="196" t="s">
        <v>4005</v>
      </c>
    </row>
    <row r="14" spans="2:25" x14ac:dyDescent="0.35">
      <c r="B14" s="50" t="s">
        <v>3590</v>
      </c>
      <c r="C14" s="50">
        <v>12</v>
      </c>
      <c r="D14" s="50" t="s">
        <v>4006</v>
      </c>
      <c r="E14" s="111">
        <v>45390</v>
      </c>
      <c r="F14" s="50">
        <v>1</v>
      </c>
      <c r="G14" s="50">
        <v>0.65</v>
      </c>
      <c r="H14" s="50" t="s">
        <v>3706</v>
      </c>
      <c r="I14" s="50">
        <v>0</v>
      </c>
      <c r="J14" s="50">
        <v>0</v>
      </c>
      <c r="K14" s="50">
        <v>4</v>
      </c>
      <c r="L14" s="50">
        <v>4</v>
      </c>
      <c r="M14" s="50">
        <v>4</v>
      </c>
      <c r="N14" s="50">
        <v>4</v>
      </c>
      <c r="O14" s="50">
        <v>4</v>
      </c>
      <c r="P14" s="50">
        <v>4</v>
      </c>
      <c r="Q14" s="50">
        <v>0</v>
      </c>
      <c r="R14" s="50">
        <v>0</v>
      </c>
      <c r="S14" s="50">
        <v>0</v>
      </c>
      <c r="T14" s="50">
        <v>0</v>
      </c>
      <c r="U14" s="50">
        <v>0</v>
      </c>
      <c r="V14" s="50">
        <v>0</v>
      </c>
      <c r="W14" s="50">
        <v>0</v>
      </c>
      <c r="X14" s="50">
        <v>0</v>
      </c>
      <c r="Y14" s="50">
        <v>0</v>
      </c>
    </row>
    <row r="15" spans="2:25" x14ac:dyDescent="0.35">
      <c r="B15" s="50" t="s">
        <v>3592</v>
      </c>
      <c r="C15" s="50">
        <v>13</v>
      </c>
      <c r="D15" s="50" t="s">
        <v>4007</v>
      </c>
      <c r="E15" s="111">
        <v>45390</v>
      </c>
      <c r="F15" s="50">
        <v>1</v>
      </c>
      <c r="G15" s="114">
        <v>1</v>
      </c>
      <c r="H15" s="50" t="s">
        <v>3706</v>
      </c>
      <c r="I15" s="50" t="s">
        <v>3621</v>
      </c>
      <c r="J15" s="50" t="s">
        <v>3621</v>
      </c>
      <c r="K15" s="50" t="s">
        <v>3621</v>
      </c>
      <c r="L15" s="50" t="s">
        <v>3621</v>
      </c>
      <c r="M15" s="50" t="s">
        <v>3621</v>
      </c>
      <c r="N15" s="50" t="s">
        <v>3621</v>
      </c>
      <c r="O15" s="50" t="s">
        <v>3621</v>
      </c>
      <c r="P15" s="50" t="s">
        <v>3621</v>
      </c>
      <c r="Q15" s="50">
        <v>0</v>
      </c>
      <c r="R15" s="50">
        <v>0</v>
      </c>
      <c r="S15" s="50" t="s">
        <v>3621</v>
      </c>
      <c r="T15" s="50" t="s">
        <v>3621</v>
      </c>
      <c r="U15" s="50" t="s">
        <v>3621</v>
      </c>
      <c r="V15" s="50" t="s">
        <v>3621</v>
      </c>
      <c r="W15" s="50" t="s">
        <v>3621</v>
      </c>
      <c r="X15" s="50" t="s">
        <v>3621</v>
      </c>
      <c r="Y15" s="50" t="s">
        <v>3621</v>
      </c>
    </row>
    <row r="16" spans="2:25" x14ac:dyDescent="0.35">
      <c r="B16" s="50" t="s">
        <v>3594</v>
      </c>
      <c r="C16" s="50">
        <v>14</v>
      </c>
      <c r="D16" s="50" t="s">
        <v>4008</v>
      </c>
      <c r="E16" s="111">
        <v>45390</v>
      </c>
      <c r="F16" s="50">
        <v>1</v>
      </c>
      <c r="G16" s="114">
        <v>1</v>
      </c>
      <c r="H16" s="50" t="s">
        <v>3706</v>
      </c>
      <c r="I16" s="50">
        <v>0</v>
      </c>
      <c r="J16" s="50">
        <v>0</v>
      </c>
      <c r="K16" s="50">
        <v>0</v>
      </c>
      <c r="L16" s="50">
        <v>0</v>
      </c>
      <c r="M16" s="50" t="s">
        <v>3621</v>
      </c>
      <c r="N16" s="50">
        <v>0</v>
      </c>
      <c r="O16" s="50">
        <v>0</v>
      </c>
      <c r="P16" s="50" t="s">
        <v>3621</v>
      </c>
      <c r="Q16" s="50" t="s">
        <v>3621</v>
      </c>
      <c r="R16" s="50" t="s">
        <v>3621</v>
      </c>
      <c r="S16" s="50">
        <v>0</v>
      </c>
      <c r="T16" s="50" t="s">
        <v>3621</v>
      </c>
      <c r="U16" s="50" t="s">
        <v>3621</v>
      </c>
      <c r="V16" s="50">
        <v>0</v>
      </c>
      <c r="W16" s="50">
        <v>0</v>
      </c>
      <c r="X16" s="50" t="s">
        <v>3621</v>
      </c>
      <c r="Y16" s="50" t="s">
        <v>3621</v>
      </c>
    </row>
    <row r="17" spans="2:25" x14ac:dyDescent="0.35">
      <c r="B17" s="50" t="s">
        <v>4009</v>
      </c>
      <c r="C17" s="50">
        <v>15</v>
      </c>
      <c r="D17" s="50" t="s">
        <v>4010</v>
      </c>
      <c r="E17" s="111">
        <v>45390</v>
      </c>
      <c r="F17" s="50">
        <v>1</v>
      </c>
      <c r="G17" s="114">
        <v>1</v>
      </c>
      <c r="H17" s="114" t="s">
        <v>3975</v>
      </c>
      <c r="I17" s="50" t="s">
        <v>3621</v>
      </c>
      <c r="J17" s="50" t="s">
        <v>3621</v>
      </c>
      <c r="K17" s="50" t="s">
        <v>3621</v>
      </c>
      <c r="L17" s="50" t="s">
        <v>3621</v>
      </c>
      <c r="M17" s="50" t="s">
        <v>3621</v>
      </c>
      <c r="N17" s="50" t="s">
        <v>3621</v>
      </c>
      <c r="O17" s="50" t="s">
        <v>3621</v>
      </c>
      <c r="P17" s="50" t="s">
        <v>3621</v>
      </c>
      <c r="Q17" s="50" t="s">
        <v>3621</v>
      </c>
      <c r="R17" s="50" t="s">
        <v>3621</v>
      </c>
      <c r="S17" s="50" t="s">
        <v>3621</v>
      </c>
      <c r="T17" s="50" t="s">
        <v>3621</v>
      </c>
      <c r="U17" s="50" t="s">
        <v>3621</v>
      </c>
      <c r="V17" s="50" t="s">
        <v>3621</v>
      </c>
      <c r="W17" s="50" t="s">
        <v>3621</v>
      </c>
      <c r="X17" s="50" t="s">
        <v>3621</v>
      </c>
      <c r="Y17" s="50" t="s">
        <v>3621</v>
      </c>
    </row>
    <row r="18" spans="2:25" x14ac:dyDescent="0.35">
      <c r="B18" s="50" t="s">
        <v>4011</v>
      </c>
      <c r="C18" s="50">
        <v>16</v>
      </c>
      <c r="D18" s="50" t="s">
        <v>4010</v>
      </c>
      <c r="E18" s="111">
        <v>45390</v>
      </c>
      <c r="F18" s="50">
        <v>1</v>
      </c>
      <c r="G18" s="114">
        <v>1</v>
      </c>
      <c r="H18" s="114" t="s">
        <v>3975</v>
      </c>
      <c r="I18" s="50" t="s">
        <v>3621</v>
      </c>
      <c r="J18" s="50" t="s">
        <v>3621</v>
      </c>
      <c r="K18" s="50" t="s">
        <v>3621</v>
      </c>
      <c r="L18" s="50" t="s">
        <v>3621</v>
      </c>
      <c r="M18" s="50" t="s">
        <v>3621</v>
      </c>
      <c r="N18" s="50" t="s">
        <v>3621</v>
      </c>
      <c r="O18" s="50" t="s">
        <v>3621</v>
      </c>
      <c r="P18" s="50" t="s">
        <v>3621</v>
      </c>
      <c r="Q18" s="50" t="s">
        <v>3621</v>
      </c>
      <c r="R18" s="50" t="s">
        <v>3621</v>
      </c>
      <c r="S18" s="50" t="s">
        <v>3621</v>
      </c>
      <c r="T18" s="50" t="s">
        <v>3621</v>
      </c>
      <c r="U18" s="50" t="s">
        <v>3621</v>
      </c>
      <c r="V18" s="50" t="s">
        <v>3621</v>
      </c>
      <c r="W18" s="50" t="s">
        <v>3621</v>
      </c>
      <c r="X18" s="50" t="s">
        <v>3621</v>
      </c>
      <c r="Y18" s="50" t="s">
        <v>3621</v>
      </c>
    </row>
    <row r="19" spans="2:25" x14ac:dyDescent="0.35">
      <c r="B19" s="50" t="s">
        <v>3604</v>
      </c>
      <c r="C19" s="50">
        <v>19</v>
      </c>
      <c r="D19" s="50" t="s">
        <v>4012</v>
      </c>
      <c r="E19" s="111">
        <v>45390</v>
      </c>
      <c r="F19" s="50">
        <v>1</v>
      </c>
      <c r="G19" s="114" cm="1">
        <f t="array" ref="G19">SUMPRODUCT(--(ISNUMBER((SEARCH(I25:W25,I19:W19)))))/COUNTA(I19:W19)</f>
        <v>0.8666666666666667</v>
      </c>
      <c r="H19" s="50" t="s">
        <v>3706</v>
      </c>
      <c r="I19" s="50" t="s">
        <v>3655</v>
      </c>
      <c r="J19" s="50" t="s">
        <v>3655</v>
      </c>
      <c r="K19" s="50" t="s">
        <v>3655</v>
      </c>
      <c r="L19" s="50" t="s">
        <v>3655</v>
      </c>
      <c r="M19" s="50" t="s">
        <v>3655</v>
      </c>
      <c r="N19" s="50" t="s">
        <v>3655</v>
      </c>
      <c r="O19" s="50" t="s">
        <v>3655</v>
      </c>
      <c r="P19" s="50" t="s">
        <v>3655</v>
      </c>
      <c r="Q19" s="50" t="s">
        <v>3970</v>
      </c>
      <c r="R19" s="50" t="s">
        <v>3970</v>
      </c>
      <c r="S19" s="50" t="s">
        <v>3655</v>
      </c>
      <c r="T19" s="50" t="s">
        <v>3656</v>
      </c>
      <c r="U19" s="50" t="s">
        <v>3656</v>
      </c>
      <c r="V19" s="50" t="s">
        <v>3655</v>
      </c>
      <c r="W19" s="50" t="s">
        <v>3655</v>
      </c>
      <c r="X19" s="50" t="s">
        <v>3655</v>
      </c>
      <c r="Y19" s="50" t="s">
        <v>3657</v>
      </c>
    </row>
    <row r="20" spans="2:25" x14ac:dyDescent="0.35">
      <c r="B20" s="50" t="s">
        <v>3607</v>
      </c>
      <c r="C20" s="50">
        <v>20</v>
      </c>
      <c r="D20" s="50" t="s">
        <v>4012</v>
      </c>
      <c r="E20" s="111">
        <v>45390</v>
      </c>
      <c r="F20" s="50">
        <v>1</v>
      </c>
      <c r="G20" s="114" cm="1">
        <f t="array" ref="G20">SUM(IF(I2:Y2 = I24:Y24, 1, 0))/ COUNTA(I2:Y2)</f>
        <v>0.88235294117647056</v>
      </c>
      <c r="H20" s="50"/>
      <c r="I20" s="50"/>
      <c r="J20" s="50"/>
      <c r="K20" s="50"/>
      <c r="L20" s="50"/>
      <c r="M20" s="50"/>
      <c r="N20" s="50"/>
      <c r="O20" s="50"/>
      <c r="P20" s="50"/>
      <c r="Q20" s="50"/>
      <c r="R20" s="50"/>
      <c r="S20" s="50"/>
      <c r="T20" s="50"/>
      <c r="U20" s="50"/>
      <c r="V20" s="50"/>
      <c r="W20" s="50"/>
      <c r="X20" s="50"/>
      <c r="Y20" s="50"/>
    </row>
    <row r="21" spans="2:25" x14ac:dyDescent="0.35">
      <c r="B21" s="50" t="s">
        <v>3610</v>
      </c>
      <c r="C21" s="50">
        <v>21</v>
      </c>
      <c r="D21" s="50" t="s">
        <v>4012</v>
      </c>
      <c r="E21" s="111">
        <v>45390</v>
      </c>
      <c r="F21" s="50">
        <v>1</v>
      </c>
      <c r="G21" s="50" cm="1">
        <f t="array" ref="G21">SUM(IF(IF(G3:G20="null",1,G3:G20)=1,1,0))/COUNT(IF(G3:G20="null",1,1))</f>
        <v>0.83333333333333337</v>
      </c>
      <c r="H21" s="50"/>
      <c r="I21" s="50"/>
      <c r="J21" s="50"/>
      <c r="K21" s="50"/>
      <c r="L21" s="50"/>
      <c r="M21" s="50"/>
      <c r="N21" s="50"/>
      <c r="O21" s="50"/>
      <c r="P21" s="50"/>
      <c r="Q21" s="50"/>
      <c r="R21" s="50"/>
      <c r="S21" s="50"/>
      <c r="T21" s="50"/>
      <c r="U21" s="50"/>
      <c r="V21" s="50"/>
      <c r="W21" s="50"/>
      <c r="X21" s="50"/>
      <c r="Y21" s="50"/>
    </row>
    <row r="22" spans="2:25" x14ac:dyDescent="0.35">
      <c r="B22" s="50"/>
      <c r="C22" s="50"/>
      <c r="D22" s="50"/>
      <c r="E22" s="111"/>
      <c r="F22" s="50"/>
      <c r="G22" s="50"/>
      <c r="H22" s="50"/>
      <c r="I22" s="50"/>
      <c r="J22" s="50"/>
      <c r="K22" s="50"/>
      <c r="L22" s="50"/>
      <c r="M22" s="50"/>
      <c r="N22" s="50"/>
      <c r="O22" s="50"/>
      <c r="P22" s="50"/>
      <c r="Q22" s="50"/>
      <c r="R22" s="50"/>
      <c r="S22" s="50"/>
      <c r="T22" s="50"/>
      <c r="U22" s="50"/>
      <c r="V22" s="50"/>
      <c r="W22" s="50"/>
      <c r="X22" s="50"/>
      <c r="Y22" s="50"/>
    </row>
    <row r="23" spans="2:25" x14ac:dyDescent="0.35">
      <c r="B23" s="143" t="s">
        <v>3727</v>
      </c>
    </row>
    <row r="24" spans="2:25" x14ac:dyDescent="0.35">
      <c r="B24" s="149" t="s">
        <v>3613</v>
      </c>
      <c r="C24" s="145" t="s">
        <v>3614</v>
      </c>
      <c r="D24" s="145" t="s">
        <v>3615</v>
      </c>
      <c r="E24" s="145" t="s">
        <v>3616</v>
      </c>
      <c r="F24" s="145" t="s">
        <v>3617</v>
      </c>
      <c r="G24" s="145" t="s">
        <v>3618</v>
      </c>
      <c r="H24" s="145" t="s">
        <v>3619</v>
      </c>
      <c r="I24" s="145" t="str" cm="1">
        <f t="array" ref="I24:Y24">TRANSPOSE(_xlfn.SORTBY(_xlfn._xlws.FILTER(Table3[NOME FÍSICO CAMPO],Table3[NOME FÍSICO TABELA]="factoring_process"), _xlfn._xlws.FILTER(Table3[ORDEM], Table3[NOME FÍSICO TABELA]="factoring_process"), 1))</f>
        <v>bank_id</v>
      </c>
      <c r="J24" s="145" t="str">
        <v>process_id</v>
      </c>
      <c r="K24" s="145" t="str">
        <v>main_current_account_bank_id</v>
      </c>
      <c r="L24" s="145" t="str">
        <v>main_current_account_contract_id</v>
      </c>
      <c r="M24" s="145" t="str">
        <v>main_current_account_iban</v>
      </c>
      <c r="N24" s="145" t="str">
        <v>main_loan_account_bank_id</v>
      </c>
      <c r="O24" s="145" t="str">
        <v>main_loan_account_contract_id</v>
      </c>
      <c r="P24" s="145" t="str">
        <v>main_loan_account_iban</v>
      </c>
      <c r="Q24" s="145" t="str">
        <v>opening_date</v>
      </c>
      <c r="R24" s="145" t="str">
        <v>current_maturity_date</v>
      </c>
      <c r="S24" s="145" t="str">
        <v>currency_code</v>
      </c>
      <c r="T24" s="145" t="str">
        <v>initial_authorized_amount</v>
      </c>
      <c r="U24" s="145" t="str">
        <v>current_authorized_amount</v>
      </c>
      <c r="V24" s="145" t="str">
        <v>process_status_code</v>
      </c>
      <c r="W24" s="145" t="str">
        <v>process_opening_channel_code</v>
      </c>
      <c r="X24" s="145" t="str">
        <v>data_date_part</v>
      </c>
      <c r="Y24" s="145" t="str">
        <v>data_timestamp_part</v>
      </c>
    </row>
    <row r="25" spans="2:25" x14ac:dyDescent="0.35">
      <c r="B25" s="123" t="s">
        <v>3658</v>
      </c>
      <c r="C25" s="126">
        <v>16</v>
      </c>
      <c r="D25" s="120" t="s">
        <v>3659</v>
      </c>
      <c r="E25" s="119" t="s">
        <v>3660</v>
      </c>
      <c r="F25" s="119" t="s">
        <v>372</v>
      </c>
      <c r="G25" s="119" t="s">
        <v>372</v>
      </c>
      <c r="H25" s="119" t="s">
        <v>372</v>
      </c>
      <c r="I25" s="119" t="str" cm="1">
        <f t="array" ref="I25:Y26">TRANSPOSE(_xlfn.SORTBY(_xlfn._xlws.FILTER(IF(Table3[FORMATO]:Table3[COMP_ CAMPO]&lt;&gt;"",Table3[FORMATO]:Table3[COMP_ CAMPO],9999999),Table3[NOME FÍSICO TABELA]="factoring_process"), _xlfn._xlws.FILTER(Table3[ORDEM], Table3[NOME FÍSICO TABELA]="factoring_process"), 1))</f>
        <v>STRING</v>
      </c>
      <c r="J25" s="119" t="str">
        <v>STRING</v>
      </c>
      <c r="K25" s="119" t="str">
        <v>STRING</v>
      </c>
      <c r="L25" s="119" t="str">
        <v>STRING</v>
      </c>
      <c r="M25" s="119" t="str">
        <v>STRING</v>
      </c>
      <c r="N25" s="119" t="str">
        <v>STRING</v>
      </c>
      <c r="O25" s="119" t="str">
        <v>STRING</v>
      </c>
      <c r="P25" s="119" t="str">
        <v>STRING</v>
      </c>
      <c r="Q25" s="119" t="str">
        <v>STRING</v>
      </c>
      <c r="R25" s="119" t="str">
        <v>STRING</v>
      </c>
      <c r="S25" s="119" t="str">
        <v>STRING</v>
      </c>
      <c r="T25" s="119" t="str">
        <v>DECIMAL</v>
      </c>
      <c r="U25" s="119" t="str">
        <v>DECIMAL</v>
      </c>
      <c r="V25" s="119" t="str">
        <v>STRING</v>
      </c>
      <c r="W25" s="119" t="str">
        <v>STRING</v>
      </c>
      <c r="X25" s="119" t="str">
        <v>STRING</v>
      </c>
      <c r="Y25" s="119" t="str">
        <v>TIMESTAMP</v>
      </c>
    </row>
    <row r="26" spans="2:25" x14ac:dyDescent="0.35">
      <c r="B26" s="123" t="s">
        <v>3661</v>
      </c>
      <c r="C26" s="126">
        <v>7</v>
      </c>
      <c r="D26" s="120" t="s">
        <v>3659</v>
      </c>
      <c r="E26" s="119" t="s">
        <v>3660</v>
      </c>
      <c r="F26" s="121" t="s">
        <v>372</v>
      </c>
      <c r="G26" s="121" t="s">
        <v>372</v>
      </c>
      <c r="H26" s="121" t="s">
        <v>372</v>
      </c>
      <c r="I26" s="167">
        <v>4</v>
      </c>
      <c r="J26" s="167">
        <v>15</v>
      </c>
      <c r="K26" s="167">
        <v>4</v>
      </c>
      <c r="L26" s="167">
        <v>30</v>
      </c>
      <c r="M26" s="167">
        <v>34</v>
      </c>
      <c r="N26" s="167">
        <v>4</v>
      </c>
      <c r="O26" s="167">
        <v>30</v>
      </c>
      <c r="P26" s="167">
        <v>34</v>
      </c>
      <c r="Q26" s="167">
        <v>10</v>
      </c>
      <c r="R26" s="167">
        <v>10</v>
      </c>
      <c r="S26" s="167">
        <v>4</v>
      </c>
      <c r="T26" s="167">
        <v>23</v>
      </c>
      <c r="U26" s="167">
        <v>23</v>
      </c>
      <c r="V26" s="167">
        <v>4</v>
      </c>
      <c r="W26" s="167">
        <v>4</v>
      </c>
      <c r="X26" s="167">
        <v>10</v>
      </c>
      <c r="Y26" s="167">
        <v>23</v>
      </c>
    </row>
    <row r="28" spans="2:25" x14ac:dyDescent="0.35">
      <c r="B28" s="156" t="s">
        <v>3662</v>
      </c>
    </row>
    <row r="29" spans="2:25" x14ac:dyDescent="0.35">
      <c r="B29" s="150" t="s">
        <v>3663</v>
      </c>
      <c r="C29" s="150" t="s">
        <v>3664</v>
      </c>
      <c r="D29" s="151" t="s">
        <v>3665</v>
      </c>
      <c r="E29" s="150" t="s">
        <v>3666</v>
      </c>
      <c r="F29" s="150" t="s">
        <v>3667</v>
      </c>
    </row>
    <row r="30" spans="2:25" ht="43.5" x14ac:dyDescent="0.35">
      <c r="B30" s="194" t="s">
        <v>3668</v>
      </c>
      <c r="C30" s="195" t="s">
        <v>177</v>
      </c>
      <c r="D30" s="57" t="s">
        <v>4013</v>
      </c>
      <c r="E30" s="113" t="s">
        <v>4014</v>
      </c>
      <c r="F30" s="152" t="s">
        <v>3674</v>
      </c>
      <c r="I30" t="s">
        <v>4015</v>
      </c>
    </row>
    <row r="31" spans="2:25" ht="43.5" x14ac:dyDescent="0.35">
      <c r="B31" s="194" t="s">
        <v>3668</v>
      </c>
      <c r="C31" s="195" t="s">
        <v>188</v>
      </c>
      <c r="D31" s="57" t="s">
        <v>4013</v>
      </c>
      <c r="E31" s="113" t="s">
        <v>4014</v>
      </c>
      <c r="F31" s="152" t="s">
        <v>3674</v>
      </c>
    </row>
    <row r="32" spans="2:25" ht="43.5" x14ac:dyDescent="0.35">
      <c r="B32" s="194" t="s">
        <v>3668</v>
      </c>
      <c r="C32" s="138" t="s">
        <v>1833</v>
      </c>
      <c r="D32" s="57" t="s">
        <v>4013</v>
      </c>
      <c r="E32" s="113" t="s">
        <v>4014</v>
      </c>
      <c r="F32" s="152" t="s">
        <v>3674</v>
      </c>
    </row>
    <row r="33" spans="2:16" ht="43.5" x14ac:dyDescent="0.35">
      <c r="B33" s="194" t="s">
        <v>3668</v>
      </c>
      <c r="C33" s="138" t="s">
        <v>1842</v>
      </c>
      <c r="D33" s="57" t="s">
        <v>4013</v>
      </c>
      <c r="E33" s="113" t="s">
        <v>4014</v>
      </c>
      <c r="F33" s="152" t="s">
        <v>3674</v>
      </c>
    </row>
    <row r="34" spans="2:16" ht="43.5" x14ac:dyDescent="0.35">
      <c r="B34" s="194" t="s">
        <v>3668</v>
      </c>
      <c r="C34" s="138" t="s">
        <v>1851</v>
      </c>
      <c r="D34" s="57" t="s">
        <v>4013</v>
      </c>
      <c r="E34" s="113" t="s">
        <v>4014</v>
      </c>
      <c r="F34" s="152" t="s">
        <v>3674</v>
      </c>
    </row>
    <row r="35" spans="2:16" ht="43.5" x14ac:dyDescent="0.35">
      <c r="B35" s="194" t="s">
        <v>3668</v>
      </c>
      <c r="C35" s="138" t="s">
        <v>1860</v>
      </c>
      <c r="D35" s="57" t="s">
        <v>4013</v>
      </c>
      <c r="E35" s="113" t="s">
        <v>4014</v>
      </c>
      <c r="F35" s="152" t="s">
        <v>3674</v>
      </c>
    </row>
    <row r="38" spans="2:16" x14ac:dyDescent="0.35">
      <c r="I38" s="174"/>
      <c r="J38" s="174"/>
      <c r="K38" s="174"/>
      <c r="L38" s="174"/>
      <c r="M38" s="174"/>
      <c r="N38" s="174"/>
      <c r="O38" s="174"/>
      <c r="P38" s="174"/>
    </row>
    <row r="39" spans="2:16" x14ac:dyDescent="0.35">
      <c r="I39" s="174"/>
      <c r="J39" s="174"/>
      <c r="K39" s="174"/>
      <c r="L39" s="174"/>
      <c r="M39" s="174"/>
      <c r="N39" s="174"/>
      <c r="O39" s="174"/>
      <c r="P39" s="174"/>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B1:AD54"/>
  <sheetViews>
    <sheetView showGridLines="0" topLeftCell="B1" workbookViewId="0">
      <selection activeCell="G8" sqref="G8:G9"/>
    </sheetView>
  </sheetViews>
  <sheetFormatPr defaultRowHeight="14.5" x14ac:dyDescent="0.35"/>
  <cols>
    <col min="2" max="2" width="30.7265625" bestFit="1" customWidth="1"/>
    <col min="3" max="3" width="22.54296875" bestFit="1" customWidth="1"/>
    <col min="4" max="4" width="88.81640625" customWidth="1"/>
    <col min="5" max="5" width="30.453125" bestFit="1" customWidth="1"/>
    <col min="6" max="6" width="15" bestFit="1" customWidth="1"/>
    <col min="7" max="7" width="9.81640625" bestFit="1" customWidth="1"/>
    <col min="8" max="8" width="16.453125" bestFit="1" customWidth="1"/>
    <col min="9" max="9" width="30.7265625" bestFit="1" customWidth="1"/>
    <col min="10" max="10" width="18.453125" bestFit="1" customWidth="1"/>
    <col min="11" max="15" width="30.7265625" bestFit="1" customWidth="1"/>
    <col min="16" max="16" width="28.81640625" bestFit="1" customWidth="1"/>
    <col min="17" max="17" width="16.7265625" bestFit="1" customWidth="1"/>
    <col min="18" max="19" width="30.7265625" bestFit="1" customWidth="1"/>
  </cols>
  <sheetData>
    <row r="1" spans="2:30" ht="35.25" customHeight="1" x14ac:dyDescent="0.35"/>
    <row r="2" spans="2:30" x14ac:dyDescent="0.35">
      <c r="B2" s="91" t="s">
        <v>3613</v>
      </c>
      <c r="C2" s="91" t="s">
        <v>3614</v>
      </c>
      <c r="D2" s="91" t="s">
        <v>3615</v>
      </c>
      <c r="E2" s="91" t="s">
        <v>3616</v>
      </c>
      <c r="F2" s="91" t="s">
        <v>3617</v>
      </c>
      <c r="G2" s="91" t="s">
        <v>3618</v>
      </c>
      <c r="H2" s="91" t="s">
        <v>3619</v>
      </c>
      <c r="I2" s="91" t="s">
        <v>470</v>
      </c>
      <c r="J2" s="91" t="s">
        <v>121</v>
      </c>
      <c r="K2" s="91" t="s">
        <v>137</v>
      </c>
      <c r="L2" s="91" t="s">
        <v>489</v>
      </c>
      <c r="M2" s="91" t="s">
        <v>502</v>
      </c>
      <c r="N2" s="91" t="s">
        <v>507</v>
      </c>
      <c r="O2" s="91" t="s">
        <v>515</v>
      </c>
      <c r="P2" s="91" t="s">
        <v>522</v>
      </c>
      <c r="Q2" s="91" t="s">
        <v>532</v>
      </c>
      <c r="R2" s="91" t="s">
        <v>327</v>
      </c>
      <c r="S2" s="91" t="s">
        <v>334</v>
      </c>
    </row>
    <row r="3" spans="2:30" x14ac:dyDescent="0.35">
      <c r="B3" s="50" t="s">
        <v>3567</v>
      </c>
      <c r="C3" s="50">
        <v>1</v>
      </c>
      <c r="D3" s="50" t="s">
        <v>4016</v>
      </c>
      <c r="E3" s="111">
        <v>45471</v>
      </c>
      <c r="F3" s="50">
        <v>1</v>
      </c>
      <c r="G3" s="114">
        <v>1</v>
      </c>
      <c r="H3" s="198" t="s">
        <v>4017</v>
      </c>
      <c r="I3" s="50" t="s">
        <v>3621</v>
      </c>
      <c r="J3" s="50" t="s">
        <v>3621</v>
      </c>
      <c r="K3" s="50" t="s">
        <v>3621</v>
      </c>
      <c r="L3" s="50" t="s">
        <v>3621</v>
      </c>
      <c r="M3" s="50" t="s">
        <v>3621</v>
      </c>
      <c r="N3" s="50" t="s">
        <v>3621</v>
      </c>
      <c r="O3" s="50" t="s">
        <v>3621</v>
      </c>
      <c r="P3" s="50" t="s">
        <v>3621</v>
      </c>
      <c r="Q3" s="50" t="s">
        <v>3621</v>
      </c>
      <c r="R3" s="50" t="s">
        <v>3621</v>
      </c>
      <c r="S3" s="50" t="s">
        <v>3621</v>
      </c>
    </row>
    <row r="4" spans="2:30" x14ac:dyDescent="0.35">
      <c r="B4" s="50" t="s">
        <v>3569</v>
      </c>
      <c r="C4" s="50">
        <v>2</v>
      </c>
      <c r="D4" s="50" t="s">
        <v>4018</v>
      </c>
      <c r="E4" s="111">
        <v>45471</v>
      </c>
      <c r="F4" s="50">
        <v>1</v>
      </c>
      <c r="G4" s="114">
        <v>1</v>
      </c>
      <c r="H4" s="50" t="s">
        <v>3706</v>
      </c>
      <c r="I4" s="50" t="s">
        <v>3621</v>
      </c>
      <c r="J4" s="50" t="s">
        <v>3621</v>
      </c>
      <c r="K4" s="50" t="s">
        <v>3621</v>
      </c>
      <c r="L4" s="50" t="s">
        <v>3621</v>
      </c>
      <c r="M4" s="50" t="s">
        <v>3621</v>
      </c>
      <c r="N4" s="50" t="s">
        <v>3621</v>
      </c>
      <c r="O4" s="50" t="s">
        <v>3621</v>
      </c>
      <c r="P4" s="50" t="s">
        <v>3621</v>
      </c>
      <c r="Q4" s="50" t="s">
        <v>3621</v>
      </c>
      <c r="R4" s="50" t="s">
        <v>3621</v>
      </c>
      <c r="S4" s="50" t="s">
        <v>3621</v>
      </c>
    </row>
    <row r="5" spans="2:30" x14ac:dyDescent="0.35">
      <c r="B5" s="50" t="s">
        <v>3571</v>
      </c>
      <c r="C5" s="50">
        <v>3</v>
      </c>
      <c r="D5" s="50" t="s">
        <v>4019</v>
      </c>
      <c r="E5" s="111">
        <v>45471</v>
      </c>
      <c r="F5" s="50">
        <v>1</v>
      </c>
      <c r="G5" s="114">
        <v>1</v>
      </c>
      <c r="H5" s="50" t="s">
        <v>3706</v>
      </c>
      <c r="I5" s="50">
        <v>0</v>
      </c>
      <c r="J5" s="50" t="s">
        <v>3621</v>
      </c>
      <c r="K5" s="50" t="s">
        <v>3621</v>
      </c>
      <c r="L5" s="50" t="s">
        <v>3621</v>
      </c>
      <c r="M5" s="50" t="s">
        <v>3621</v>
      </c>
      <c r="N5" s="50" t="s">
        <v>3621</v>
      </c>
      <c r="O5" s="50" t="s">
        <v>3621</v>
      </c>
      <c r="P5" s="50" t="s">
        <v>3621</v>
      </c>
      <c r="Q5" s="50" t="s">
        <v>3621</v>
      </c>
      <c r="R5" s="50">
        <v>0</v>
      </c>
      <c r="S5" s="50" t="s">
        <v>3621</v>
      </c>
    </row>
    <row r="6" spans="2:30" x14ac:dyDescent="0.35">
      <c r="B6" s="50" t="s">
        <v>3573</v>
      </c>
      <c r="C6" s="50">
        <v>4</v>
      </c>
      <c r="D6" s="50" t="s">
        <v>4019</v>
      </c>
      <c r="E6" s="111" t="s">
        <v>3621</v>
      </c>
      <c r="F6" s="50">
        <v>1</v>
      </c>
      <c r="G6" s="111" t="s">
        <v>3621</v>
      </c>
      <c r="H6" s="50"/>
      <c r="I6" s="50" t="s">
        <v>3621</v>
      </c>
      <c r="J6" s="50" t="s">
        <v>3621</v>
      </c>
      <c r="K6" s="50" t="s">
        <v>3621</v>
      </c>
      <c r="L6" s="50" t="s">
        <v>3621</v>
      </c>
      <c r="M6" s="50" t="s">
        <v>3621</v>
      </c>
      <c r="N6" s="50" t="s">
        <v>3621</v>
      </c>
      <c r="O6" s="50" t="s">
        <v>3621</v>
      </c>
      <c r="P6" s="50" t="s">
        <v>3621</v>
      </c>
      <c r="Q6" s="50" t="s">
        <v>3621</v>
      </c>
      <c r="R6" s="50" t="s">
        <v>3621</v>
      </c>
      <c r="S6" s="50" t="s">
        <v>3621</v>
      </c>
    </row>
    <row r="7" spans="2:30" x14ac:dyDescent="0.35">
      <c r="B7" s="50" t="s">
        <v>3575</v>
      </c>
      <c r="C7" s="50">
        <v>5</v>
      </c>
      <c r="D7" s="50" t="s">
        <v>4019</v>
      </c>
      <c r="E7" s="111" t="s">
        <v>3621</v>
      </c>
      <c r="F7" s="50">
        <v>1</v>
      </c>
      <c r="G7" s="111" t="s">
        <v>3621</v>
      </c>
      <c r="H7" s="50"/>
      <c r="I7" s="50" t="s">
        <v>3621</v>
      </c>
      <c r="J7" s="50" t="s">
        <v>3621</v>
      </c>
      <c r="K7" s="50" t="s">
        <v>3621</v>
      </c>
      <c r="L7" s="50" t="s">
        <v>3621</v>
      </c>
      <c r="M7" s="50" t="s">
        <v>3621</v>
      </c>
      <c r="N7" s="50" t="s">
        <v>3621</v>
      </c>
      <c r="O7" s="50" t="s">
        <v>3621</v>
      </c>
      <c r="P7" s="50" t="s">
        <v>3621</v>
      </c>
      <c r="Q7" s="50" t="s">
        <v>3621</v>
      </c>
      <c r="R7" s="50" t="s">
        <v>3621</v>
      </c>
      <c r="S7" s="50" t="s">
        <v>3621</v>
      </c>
    </row>
    <row r="8" spans="2:30" x14ac:dyDescent="0.35">
      <c r="B8" s="113" t="s">
        <v>3576</v>
      </c>
      <c r="C8" s="50">
        <v>6</v>
      </c>
      <c r="D8" s="50" t="s">
        <v>4020</v>
      </c>
      <c r="E8" s="111">
        <v>45471</v>
      </c>
      <c r="F8" s="50">
        <v>1</v>
      </c>
      <c r="G8" s="50" cm="1">
        <f t="array" ref="G8">SUMPRODUCT(--(I8:S8&gt;0))/COUNTA(I8:S8)</f>
        <v>1</v>
      </c>
      <c r="H8" s="50" t="s">
        <v>3706</v>
      </c>
      <c r="I8" s="50">
        <v>3</v>
      </c>
      <c r="J8" s="50">
        <v>2</v>
      </c>
      <c r="K8" s="50">
        <v>30</v>
      </c>
      <c r="L8" s="50">
        <v>7</v>
      </c>
      <c r="M8" s="50">
        <v>7</v>
      </c>
      <c r="N8" s="50">
        <v>10</v>
      </c>
      <c r="O8" s="50">
        <v>10</v>
      </c>
      <c r="P8" s="50">
        <v>3</v>
      </c>
      <c r="Q8" s="50">
        <v>1</v>
      </c>
      <c r="R8" s="50">
        <v>10</v>
      </c>
      <c r="S8" s="50">
        <v>23</v>
      </c>
    </row>
    <row r="9" spans="2:30" x14ac:dyDescent="0.35">
      <c r="B9" s="50" t="s">
        <v>3579</v>
      </c>
      <c r="C9" s="50">
        <v>7</v>
      </c>
      <c r="D9" s="50" t="s">
        <v>4021</v>
      </c>
      <c r="E9" s="111">
        <v>45471</v>
      </c>
      <c r="F9" s="50">
        <v>1</v>
      </c>
      <c r="G9" s="50" cm="1">
        <f t="array" ref="G9">SUMPRODUCT(--(I9:S9&lt;=I28:S28))/COUNTA(I28:S28)</f>
        <v>1</v>
      </c>
      <c r="H9" s="50" t="s">
        <v>3706</v>
      </c>
      <c r="I9" s="50">
        <v>5</v>
      </c>
      <c r="J9" s="50">
        <v>2</v>
      </c>
      <c r="K9" s="50">
        <v>30</v>
      </c>
      <c r="L9" s="50">
        <v>7</v>
      </c>
      <c r="M9" s="50">
        <v>7</v>
      </c>
      <c r="N9" s="50">
        <v>10</v>
      </c>
      <c r="O9" s="50">
        <v>10</v>
      </c>
      <c r="P9" s="50">
        <v>3</v>
      </c>
      <c r="Q9" s="50">
        <v>238</v>
      </c>
      <c r="R9" s="50">
        <v>10</v>
      </c>
      <c r="S9" s="50">
        <v>23</v>
      </c>
    </row>
    <row r="10" spans="2:30" ht="29" x14ac:dyDescent="0.35">
      <c r="B10" s="50" t="s">
        <v>3582</v>
      </c>
      <c r="C10" s="50">
        <v>8</v>
      </c>
      <c r="D10" s="50" t="s">
        <v>4022</v>
      </c>
      <c r="E10" s="111">
        <v>45471</v>
      </c>
      <c r="F10" s="50">
        <v>1</v>
      </c>
      <c r="G10" s="111" t="s">
        <v>3621</v>
      </c>
      <c r="H10" s="50" t="s">
        <v>3706</v>
      </c>
      <c r="I10" s="50">
        <v>201</v>
      </c>
      <c r="J10" s="50">
        <v>31</v>
      </c>
      <c r="K10" s="50">
        <v>7.0000079999999997E+21</v>
      </c>
      <c r="L10" s="50" t="s">
        <v>4023</v>
      </c>
      <c r="M10" s="50" t="s">
        <v>4023</v>
      </c>
      <c r="N10" s="112">
        <v>43047</v>
      </c>
      <c r="O10" s="112">
        <v>1</v>
      </c>
      <c r="P10" s="50">
        <v>201</v>
      </c>
      <c r="Q10" s="113" t="s">
        <v>4024</v>
      </c>
      <c r="R10" s="111">
        <v>45471</v>
      </c>
      <c r="S10" s="50" t="s">
        <v>4025</v>
      </c>
    </row>
    <row r="11" spans="2:30" ht="29" x14ac:dyDescent="0.35">
      <c r="B11" s="50" t="s">
        <v>3584</v>
      </c>
      <c r="C11" s="50">
        <v>9</v>
      </c>
      <c r="D11" s="50" t="s">
        <v>4026</v>
      </c>
      <c r="E11" s="111">
        <v>45471</v>
      </c>
      <c r="F11" s="50">
        <v>1</v>
      </c>
      <c r="G11" s="111" t="s">
        <v>3621</v>
      </c>
      <c r="H11" s="50" t="s">
        <v>3706</v>
      </c>
      <c r="I11" s="50">
        <v>201</v>
      </c>
      <c r="J11" s="50"/>
      <c r="K11" s="50">
        <v>7.0000079999999997E+21</v>
      </c>
      <c r="L11" s="50" t="s">
        <v>4023</v>
      </c>
      <c r="M11" s="50" t="s">
        <v>4023</v>
      </c>
      <c r="N11" s="112">
        <v>43047</v>
      </c>
      <c r="O11" s="112">
        <v>1</v>
      </c>
      <c r="P11" s="50">
        <v>201</v>
      </c>
      <c r="Q11" s="113" t="s">
        <v>4024</v>
      </c>
      <c r="R11" s="111">
        <v>45471</v>
      </c>
      <c r="S11" s="50" t="s">
        <v>4027</v>
      </c>
    </row>
    <row r="12" spans="2:30" x14ac:dyDescent="0.35">
      <c r="B12" s="113" t="s">
        <v>3586</v>
      </c>
      <c r="C12" s="50">
        <v>10</v>
      </c>
      <c r="D12" s="50" t="s">
        <v>4028</v>
      </c>
      <c r="E12" s="111">
        <v>45471</v>
      </c>
      <c r="F12" s="50">
        <v>1</v>
      </c>
      <c r="G12" s="111" t="s">
        <v>3621</v>
      </c>
      <c r="H12" s="50" t="s">
        <v>3706</v>
      </c>
      <c r="I12" s="50">
        <v>35585</v>
      </c>
      <c r="J12" s="50">
        <v>31</v>
      </c>
      <c r="K12" s="50">
        <v>8.0014189999999995E+24</v>
      </c>
      <c r="L12" s="50" t="s">
        <v>4029</v>
      </c>
      <c r="M12" s="50" t="s">
        <v>4029</v>
      </c>
      <c r="N12" s="112">
        <v>45471</v>
      </c>
      <c r="O12" s="112">
        <v>45471</v>
      </c>
      <c r="P12" s="50">
        <v>204</v>
      </c>
      <c r="Q12" s="113" t="s">
        <v>4030</v>
      </c>
      <c r="R12" s="111">
        <v>45471</v>
      </c>
      <c r="S12" s="111" t="s">
        <v>4025</v>
      </c>
      <c r="U12" s="104"/>
      <c r="V12" s="105"/>
      <c r="X12" s="104"/>
      <c r="AD12" s="104"/>
    </row>
    <row r="13" spans="2:30" x14ac:dyDescent="0.35">
      <c r="B13" s="50" t="s">
        <v>3588</v>
      </c>
      <c r="C13" s="50">
        <v>11</v>
      </c>
      <c r="D13" s="50" t="s">
        <v>4031</v>
      </c>
      <c r="E13" s="111">
        <v>45471</v>
      </c>
      <c r="F13" s="50">
        <v>1</v>
      </c>
      <c r="G13" s="111" t="s">
        <v>3621</v>
      </c>
      <c r="H13" s="50" t="s">
        <v>3706</v>
      </c>
      <c r="I13" s="50">
        <v>35585</v>
      </c>
      <c r="J13" s="50"/>
      <c r="K13" s="50">
        <v>8.0014189999999995E+24</v>
      </c>
      <c r="L13" s="50" t="s">
        <v>4029</v>
      </c>
      <c r="M13" s="50" t="s">
        <v>4029</v>
      </c>
      <c r="N13" s="112">
        <v>45471</v>
      </c>
      <c r="O13" s="112">
        <v>45471</v>
      </c>
      <c r="P13" s="50">
        <v>204</v>
      </c>
      <c r="Q13" s="113" t="s">
        <v>4030</v>
      </c>
      <c r="R13" s="112">
        <v>45471</v>
      </c>
      <c r="S13" s="112" t="s">
        <v>4032</v>
      </c>
      <c r="U13" s="108"/>
      <c r="V13" s="105"/>
      <c r="W13" s="106"/>
      <c r="X13" s="108"/>
      <c r="Y13" s="106"/>
      <c r="Z13" s="106"/>
      <c r="AD13" s="104"/>
    </row>
    <row r="14" spans="2:30" x14ac:dyDescent="0.35">
      <c r="B14" s="50" t="s">
        <v>3590</v>
      </c>
      <c r="C14" s="50">
        <v>12</v>
      </c>
      <c r="D14" s="50" t="s">
        <v>4033</v>
      </c>
      <c r="E14" s="111">
        <v>45471</v>
      </c>
      <c r="F14" s="50">
        <v>1</v>
      </c>
      <c r="G14" s="50" t="s">
        <v>4034</v>
      </c>
      <c r="H14" s="50" t="s">
        <v>3706</v>
      </c>
      <c r="I14" s="50">
        <v>0</v>
      </c>
      <c r="J14" s="50">
        <v>0</v>
      </c>
      <c r="K14" s="50">
        <v>0</v>
      </c>
      <c r="L14" s="50">
        <v>12369</v>
      </c>
      <c r="M14" s="50">
        <v>13484</v>
      </c>
      <c r="N14" s="207">
        <v>0</v>
      </c>
      <c r="O14" s="207">
        <v>0</v>
      </c>
      <c r="P14" s="50">
        <v>0</v>
      </c>
      <c r="Q14" s="50">
        <v>0</v>
      </c>
      <c r="R14" s="50">
        <v>0</v>
      </c>
      <c r="S14" s="50">
        <v>0</v>
      </c>
      <c r="U14" s="104"/>
      <c r="V14" s="105"/>
      <c r="W14" s="105"/>
      <c r="X14" s="104"/>
      <c r="Y14" s="105"/>
      <c r="Z14" s="105"/>
      <c r="AD14" s="104"/>
    </row>
    <row r="15" spans="2:30" x14ac:dyDescent="0.35">
      <c r="B15" s="50" t="s">
        <v>3592</v>
      </c>
      <c r="C15" s="50">
        <v>13</v>
      </c>
      <c r="D15" s="50" t="s">
        <v>4035</v>
      </c>
      <c r="E15" s="111">
        <v>45471</v>
      </c>
      <c r="F15" s="50">
        <v>1</v>
      </c>
      <c r="G15" s="114">
        <v>1</v>
      </c>
      <c r="H15" s="50" t="s">
        <v>3706</v>
      </c>
      <c r="I15" s="50" t="s">
        <v>3621</v>
      </c>
      <c r="J15" s="50" t="s">
        <v>3621</v>
      </c>
      <c r="K15" s="50" t="s">
        <v>3621</v>
      </c>
      <c r="L15" s="50" t="s">
        <v>3621</v>
      </c>
      <c r="M15" s="50" t="s">
        <v>3621</v>
      </c>
      <c r="N15" s="202">
        <v>0</v>
      </c>
      <c r="O15" s="202">
        <v>0</v>
      </c>
      <c r="P15" s="50" t="s">
        <v>3621</v>
      </c>
      <c r="Q15" s="50" t="s">
        <v>3621</v>
      </c>
      <c r="R15" s="112" t="s">
        <v>3621</v>
      </c>
      <c r="S15" s="112" t="s">
        <v>3621</v>
      </c>
      <c r="U15" s="108"/>
      <c r="V15" s="105"/>
      <c r="W15" s="105"/>
      <c r="X15" s="108"/>
      <c r="Y15" s="105"/>
      <c r="Z15" s="105"/>
      <c r="AD15" s="104"/>
    </row>
    <row r="16" spans="2:30" x14ac:dyDescent="0.35">
      <c r="B16" s="50" t="s">
        <v>3594</v>
      </c>
      <c r="C16" s="50">
        <v>14</v>
      </c>
      <c r="D16" s="50" t="s">
        <v>4036</v>
      </c>
      <c r="E16" s="111">
        <v>45471</v>
      </c>
      <c r="F16" s="50">
        <v>1</v>
      </c>
      <c r="G16" s="114">
        <v>1</v>
      </c>
      <c r="H16" s="50" t="s">
        <v>3706</v>
      </c>
      <c r="I16" s="50">
        <v>0</v>
      </c>
      <c r="J16" s="50">
        <v>0</v>
      </c>
      <c r="K16" s="50">
        <v>0</v>
      </c>
      <c r="L16" s="50">
        <v>0</v>
      </c>
      <c r="M16" s="50">
        <v>0</v>
      </c>
      <c r="N16" s="50" t="s">
        <v>3621</v>
      </c>
      <c r="O16" s="50" t="s">
        <v>3621</v>
      </c>
      <c r="P16" s="50">
        <v>0</v>
      </c>
      <c r="Q16" s="50" t="s">
        <v>3621</v>
      </c>
      <c r="R16" s="50" t="s">
        <v>3621</v>
      </c>
      <c r="S16" s="50" t="s">
        <v>3621</v>
      </c>
    </row>
    <row r="17" spans="2:24" x14ac:dyDescent="0.35">
      <c r="B17" s="50" t="s">
        <v>3596</v>
      </c>
      <c r="C17" s="50">
        <v>15</v>
      </c>
      <c r="D17" s="50" t="s">
        <v>4037</v>
      </c>
      <c r="E17" s="111">
        <v>45471</v>
      </c>
      <c r="F17" s="50">
        <v>1</v>
      </c>
      <c r="G17" s="114">
        <v>1</v>
      </c>
      <c r="H17" s="50" t="s">
        <v>3706</v>
      </c>
      <c r="I17" s="50" t="s">
        <v>3621</v>
      </c>
      <c r="J17" s="50" t="s">
        <v>3621</v>
      </c>
      <c r="K17" s="50" t="s">
        <v>3621</v>
      </c>
      <c r="L17" s="50" t="s">
        <v>3621</v>
      </c>
      <c r="M17" s="50" t="s">
        <v>3621</v>
      </c>
      <c r="N17" s="113" t="s">
        <v>3621</v>
      </c>
      <c r="O17" s="113" t="s">
        <v>3621</v>
      </c>
      <c r="P17" s="50" t="s">
        <v>3621</v>
      </c>
      <c r="Q17" s="50" t="s">
        <v>3621</v>
      </c>
      <c r="R17" s="113" t="s">
        <v>3621</v>
      </c>
      <c r="S17" s="113" t="s">
        <v>3621</v>
      </c>
      <c r="U17" s="49"/>
      <c r="X17" s="49"/>
    </row>
    <row r="18" spans="2:24" x14ac:dyDescent="0.35">
      <c r="B18" s="50" t="s">
        <v>3598</v>
      </c>
      <c r="C18" s="50">
        <v>16</v>
      </c>
      <c r="D18" s="50" t="s">
        <v>4037</v>
      </c>
      <c r="E18" s="111">
        <v>45471</v>
      </c>
      <c r="F18" s="50">
        <v>1</v>
      </c>
      <c r="G18" s="114">
        <v>1</v>
      </c>
      <c r="H18" s="50" t="s">
        <v>3706</v>
      </c>
      <c r="I18" s="50" t="s">
        <v>3621</v>
      </c>
      <c r="J18" s="50" t="s">
        <v>3621</v>
      </c>
      <c r="K18" s="50" t="s">
        <v>3621</v>
      </c>
      <c r="L18" s="50" t="s">
        <v>3621</v>
      </c>
      <c r="M18" s="50" t="s">
        <v>3621</v>
      </c>
      <c r="N18" s="50" t="s">
        <v>3621</v>
      </c>
      <c r="O18" s="50" t="s">
        <v>3621</v>
      </c>
      <c r="P18" s="50" t="s">
        <v>3621</v>
      </c>
      <c r="Q18" s="50" t="s">
        <v>3621</v>
      </c>
      <c r="R18" s="50" t="s">
        <v>3621</v>
      </c>
      <c r="S18" s="50" t="s">
        <v>3621</v>
      </c>
    </row>
    <row r="19" spans="2:24" x14ac:dyDescent="0.35">
      <c r="B19" s="50" t="s">
        <v>3604</v>
      </c>
      <c r="C19" s="50">
        <v>19</v>
      </c>
      <c r="D19" s="50" t="s">
        <v>4038</v>
      </c>
      <c r="E19" s="111">
        <v>45471</v>
      </c>
      <c r="F19" s="50">
        <v>1</v>
      </c>
      <c r="G19" s="114" cm="1">
        <f t="array" ref="G19">SUMPRODUCT(--(ISNUMBER((SEARCH(I27:S27,I19:S19)))))/COUNTA(I19:S19)</f>
        <v>1</v>
      </c>
      <c r="H19" s="50" t="s">
        <v>3706</v>
      </c>
      <c r="I19" s="50" t="s">
        <v>4039</v>
      </c>
      <c r="J19" s="50" t="s">
        <v>3655</v>
      </c>
      <c r="K19" s="50" t="s">
        <v>3655</v>
      </c>
      <c r="L19" s="50" t="s">
        <v>3655</v>
      </c>
      <c r="M19" s="50" t="s">
        <v>3655</v>
      </c>
      <c r="N19" s="50" t="s">
        <v>3655</v>
      </c>
      <c r="O19" s="50" t="s">
        <v>3655</v>
      </c>
      <c r="P19" s="50" t="s">
        <v>3655</v>
      </c>
      <c r="Q19" s="50" t="s">
        <v>3655</v>
      </c>
      <c r="R19" s="50" t="s">
        <v>3655</v>
      </c>
      <c r="S19" s="50" t="s">
        <v>3657</v>
      </c>
    </row>
    <row r="20" spans="2:24" x14ac:dyDescent="0.35">
      <c r="B20" s="50" t="s">
        <v>3607</v>
      </c>
      <c r="C20" s="50">
        <v>20</v>
      </c>
      <c r="D20" s="50"/>
      <c r="E20" s="111">
        <v>45471</v>
      </c>
      <c r="F20" s="50">
        <v>1</v>
      </c>
      <c r="G20" s="50" cm="1">
        <f t="array" ref="G20">SUM(IF(I2:S2 = I26:S26, 1, 0))/ COUNTA(I2:S2)</f>
        <v>1</v>
      </c>
      <c r="H20" s="50"/>
      <c r="I20" s="50"/>
      <c r="J20" s="50"/>
      <c r="K20" s="50"/>
      <c r="L20" s="50"/>
      <c r="M20" s="50"/>
      <c r="N20" s="50"/>
      <c r="O20" s="50"/>
      <c r="P20" s="50"/>
      <c r="Q20" s="50"/>
      <c r="R20" s="50"/>
      <c r="S20" s="50"/>
    </row>
    <row r="21" spans="2:24" x14ac:dyDescent="0.35">
      <c r="B21" s="50" t="s">
        <v>3610</v>
      </c>
      <c r="C21" s="50">
        <v>21</v>
      </c>
      <c r="D21" s="50"/>
      <c r="E21" s="111">
        <v>45471</v>
      </c>
      <c r="F21" s="50">
        <v>1</v>
      </c>
      <c r="G21" s="50" cm="1">
        <f t="array" ref="G21">SUM(IF(IF(G3:G20="null",1,G3:G20)=1,1,0))/COUNT(IF(G3:G20="null",1,1))</f>
        <v>0.94444444444444442</v>
      </c>
      <c r="H21" s="50"/>
      <c r="I21" s="50"/>
      <c r="J21" s="50"/>
      <c r="K21" s="50"/>
      <c r="L21" s="50"/>
      <c r="M21" s="50"/>
      <c r="N21" s="50"/>
      <c r="O21" s="50"/>
      <c r="P21" s="50"/>
      <c r="Q21" s="50"/>
      <c r="R21" s="50"/>
      <c r="S21" s="50"/>
    </row>
    <row r="25" spans="2:24" x14ac:dyDescent="0.35">
      <c r="B25" s="156" t="s">
        <v>3727</v>
      </c>
      <c r="C25" s="158"/>
      <c r="D25" s="158"/>
      <c r="E25" s="158"/>
      <c r="F25" s="158"/>
      <c r="G25" s="158"/>
      <c r="H25" s="158"/>
    </row>
    <row r="26" spans="2:24" x14ac:dyDescent="0.35">
      <c r="B26" s="149" t="s">
        <v>3613</v>
      </c>
      <c r="C26" s="145" t="s">
        <v>3614</v>
      </c>
      <c r="D26" s="145" t="s">
        <v>3615</v>
      </c>
      <c r="E26" s="145" t="s">
        <v>3616</v>
      </c>
      <c r="F26" s="145" t="s">
        <v>3617</v>
      </c>
      <c r="G26" s="145" t="s">
        <v>3618</v>
      </c>
      <c r="H26" s="145" t="s">
        <v>3619</v>
      </c>
      <c r="I26" s="140" t="str" cm="1">
        <f t="array" ref="I26:S26">TRANSPOSE(_xlfn.SORTBY(_xlfn._xlws.FILTER(Table3[NOME FÍSICO CAMPO],Table3[NOME FÍSICO TABELA]="bank_vault_visit"), _xlfn._xlws.FILTER(Table3[ORDEM], Table3[NOME FÍSICO TABELA]="bank_vault_visit"), 1))</f>
        <v>bank_vault_visit_id</v>
      </c>
      <c r="J26" s="140" t="str">
        <v>bank_id</v>
      </c>
      <c r="K26" s="140" t="str">
        <v>contract_id</v>
      </c>
      <c r="L26" s="140" t="str">
        <v>visit_start_employee_id</v>
      </c>
      <c r="M26" s="140" t="str">
        <v>visit_end_employee_id</v>
      </c>
      <c r="N26" s="140" t="str">
        <v>start_datetime</v>
      </c>
      <c r="O26" s="140" t="str">
        <v>end_datetime</v>
      </c>
      <c r="P26" s="140" t="str">
        <v>visit_type_code</v>
      </c>
      <c r="Q26" s="140" t="str">
        <v>observation</v>
      </c>
      <c r="R26" s="140" t="str">
        <v>data_date_part</v>
      </c>
      <c r="S26" s="141" t="str">
        <v>data_timestamp_part</v>
      </c>
    </row>
    <row r="27" spans="2:24" x14ac:dyDescent="0.35">
      <c r="B27" s="131" t="s">
        <v>3658</v>
      </c>
      <c r="C27" s="159">
        <v>21</v>
      </c>
      <c r="D27" s="128" t="s">
        <v>3659</v>
      </c>
      <c r="E27" s="127" t="s">
        <v>3660</v>
      </c>
      <c r="F27" s="127" t="s">
        <v>372</v>
      </c>
      <c r="G27" s="127" t="s">
        <v>372</v>
      </c>
      <c r="H27" s="127" t="s">
        <v>372</v>
      </c>
      <c r="I27" s="127" t="str" cm="1">
        <f t="array" ref="I27:S28">TRANSPOSE(_xlfn.SORTBY(_xlfn._xlws.FILTER(IF(Table3[FORMATO]:Table3[COMP_ CAMPO]&lt;&gt;"",Table3[FORMATO]:Table3[COMP_ CAMPO],9999999),Table3[NOME FÍSICO TABELA]="bank_vault_visit"), _xlfn._xlws.FILTER(Table3[ORDEM], Table3[NOME FÍSICO TABELA]="bank_vault_visit"), 1))</f>
        <v>INT</v>
      </c>
      <c r="J27" s="127" t="str">
        <v>STRING</v>
      </c>
      <c r="K27" s="127" t="str">
        <v>STRING</v>
      </c>
      <c r="L27" s="127" t="str">
        <v>STRING</v>
      </c>
      <c r="M27" s="127" t="str">
        <v>STRING</v>
      </c>
      <c r="N27" s="127" t="str">
        <v>STRING</v>
      </c>
      <c r="O27" s="127" t="str">
        <v>STRING</v>
      </c>
      <c r="P27" s="127" t="str">
        <v>STRING</v>
      </c>
      <c r="Q27" s="127" t="str">
        <v>STRING</v>
      </c>
      <c r="R27" s="127" t="str">
        <v>STRING</v>
      </c>
      <c r="S27" s="132" t="str">
        <v>TIMESTAMP</v>
      </c>
    </row>
    <row r="28" spans="2:24" x14ac:dyDescent="0.35">
      <c r="B28" s="138" t="s">
        <v>3661</v>
      </c>
      <c r="C28" s="159">
        <v>7</v>
      </c>
      <c r="D28" s="161" t="s">
        <v>3659</v>
      </c>
      <c r="E28" s="159" t="s">
        <v>3660</v>
      </c>
      <c r="F28" s="159" t="s">
        <v>372</v>
      </c>
      <c r="G28" s="159" t="s">
        <v>372</v>
      </c>
      <c r="H28" s="159" t="s">
        <v>372</v>
      </c>
      <c r="I28" s="159">
        <v>5</v>
      </c>
      <c r="J28" s="159">
        <v>4</v>
      </c>
      <c r="K28" s="159">
        <v>30</v>
      </c>
      <c r="L28" s="159">
        <v>7</v>
      </c>
      <c r="M28" s="159">
        <v>7</v>
      </c>
      <c r="N28" s="159">
        <v>23</v>
      </c>
      <c r="O28" s="159">
        <v>23</v>
      </c>
      <c r="P28" s="159">
        <v>4</v>
      </c>
      <c r="Q28" s="159">
        <v>9999999</v>
      </c>
      <c r="R28" s="159">
        <v>10</v>
      </c>
      <c r="S28" s="160">
        <v>23</v>
      </c>
    </row>
    <row r="30" spans="2:24" x14ac:dyDescent="0.35">
      <c r="B30" s="156" t="s">
        <v>3662</v>
      </c>
    </row>
    <row r="31" spans="2:24" x14ac:dyDescent="0.35">
      <c r="B31" s="165" t="s">
        <v>3663</v>
      </c>
      <c r="C31" s="147" t="s">
        <v>3664</v>
      </c>
      <c r="D31" s="166" t="s">
        <v>3665</v>
      </c>
      <c r="E31" s="147" t="s">
        <v>3666</v>
      </c>
      <c r="F31" s="166" t="s">
        <v>3667</v>
      </c>
    </row>
    <row r="32" spans="2:24" ht="29" x14ac:dyDescent="0.35">
      <c r="B32" s="200" t="s">
        <v>3668</v>
      </c>
      <c r="C32" s="200" t="s">
        <v>489</v>
      </c>
      <c r="D32" s="155" t="s">
        <v>4040</v>
      </c>
      <c r="E32" s="155" t="s">
        <v>4041</v>
      </c>
      <c r="F32" s="200" t="s">
        <v>3674</v>
      </c>
    </row>
    <row r="33" spans="2:24" ht="116" x14ac:dyDescent="0.35">
      <c r="B33" s="200" t="s">
        <v>3668</v>
      </c>
      <c r="C33" s="200" t="s">
        <v>502</v>
      </c>
      <c r="D33" s="155" t="s">
        <v>4042</v>
      </c>
      <c r="E33" s="155" t="s">
        <v>4043</v>
      </c>
      <c r="F33" s="155" t="s">
        <v>4044</v>
      </c>
    </row>
    <row r="36" spans="2:24" x14ac:dyDescent="0.35">
      <c r="K36" s="104"/>
      <c r="M36" s="105"/>
      <c r="N36" s="105"/>
    </row>
    <row r="37" spans="2:24" x14ac:dyDescent="0.35">
      <c r="K37" s="104"/>
      <c r="M37" s="105"/>
    </row>
    <row r="38" spans="2:24" x14ac:dyDescent="0.35">
      <c r="K38" s="104"/>
      <c r="M38" s="199"/>
    </row>
    <row r="39" spans="2:24" x14ac:dyDescent="0.35">
      <c r="K39" s="104"/>
      <c r="M39" s="50"/>
    </row>
    <row r="40" spans="2:24" x14ac:dyDescent="0.35">
      <c r="K40" s="104"/>
      <c r="M40" s="50"/>
    </row>
    <row r="41" spans="2:24" x14ac:dyDescent="0.35">
      <c r="K41" s="104"/>
      <c r="M41" s="199"/>
    </row>
    <row r="42" spans="2:24" x14ac:dyDescent="0.35">
      <c r="K42" s="104"/>
      <c r="M42" s="199"/>
    </row>
    <row r="43" spans="2:24" x14ac:dyDescent="0.35">
      <c r="K43" s="104"/>
      <c r="M43" s="199"/>
    </row>
    <row r="44" spans="2:24" x14ac:dyDescent="0.35">
      <c r="K44" s="104"/>
      <c r="M44" s="199"/>
    </row>
    <row r="45" spans="2:24" x14ac:dyDescent="0.35">
      <c r="K45" s="104"/>
    </row>
    <row r="46" spans="2:24" x14ac:dyDescent="0.35">
      <c r="K46" s="104"/>
    </row>
    <row r="47" spans="2:24" x14ac:dyDescent="0.35">
      <c r="K47" s="104"/>
    </row>
    <row r="48" spans="2:24" x14ac:dyDescent="0.35">
      <c r="K48" s="104"/>
      <c r="M48" s="105"/>
      <c r="T48" s="108"/>
      <c r="U48" s="108"/>
      <c r="W48" s="49"/>
      <c r="X48" s="104"/>
    </row>
    <row r="49" spans="11:24" x14ac:dyDescent="0.35">
      <c r="K49" s="104"/>
      <c r="M49" s="105"/>
      <c r="T49" s="108"/>
      <c r="U49" s="108"/>
      <c r="W49" s="49"/>
      <c r="X49" s="104"/>
    </row>
    <row r="50" spans="11:24" x14ac:dyDescent="0.35">
      <c r="K50" s="104"/>
      <c r="M50" s="105"/>
      <c r="T50" s="108"/>
      <c r="U50" s="108"/>
      <c r="X50" s="104"/>
    </row>
    <row r="51" spans="11:24" x14ac:dyDescent="0.35">
      <c r="K51" s="104"/>
      <c r="T51" s="108"/>
      <c r="U51" s="108"/>
      <c r="X51" s="104"/>
    </row>
    <row r="52" spans="11:24" x14ac:dyDescent="0.35">
      <c r="K52" s="104"/>
      <c r="M52" s="105"/>
    </row>
    <row r="53" spans="11:24" x14ac:dyDescent="0.35">
      <c r="K53" s="104"/>
      <c r="M53" s="105"/>
      <c r="T53" s="49"/>
      <c r="U53" s="49"/>
    </row>
    <row r="54" spans="11:24" x14ac:dyDescent="0.35">
      <c r="K54" s="104"/>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B1:P29"/>
  <sheetViews>
    <sheetView showGridLines="0" topLeftCell="H4" workbookViewId="0">
      <selection activeCell="H4" sqref="H4"/>
    </sheetView>
  </sheetViews>
  <sheetFormatPr defaultRowHeight="14.5" x14ac:dyDescent="0.35"/>
  <cols>
    <col min="2" max="2" width="33.54296875" customWidth="1"/>
    <col min="3" max="3" width="22" bestFit="1" customWidth="1"/>
    <col min="4" max="4" width="26.26953125" customWidth="1"/>
    <col min="5" max="5" width="32.26953125" customWidth="1"/>
    <col min="6" max="6" width="19.1796875" customWidth="1"/>
    <col min="7" max="7" width="9.81640625" bestFit="1" customWidth="1"/>
    <col min="8" max="8" width="18.81640625" bestFit="1" customWidth="1"/>
    <col min="9" max="9" width="18.453125" bestFit="1" customWidth="1"/>
    <col min="10" max="16" width="30.7265625" bestFit="1" customWidth="1"/>
  </cols>
  <sheetData>
    <row r="1" spans="2:16" ht="44.25" customHeight="1" x14ac:dyDescent="0.35"/>
    <row r="2" spans="2:16" x14ac:dyDescent="0.35">
      <c r="B2" s="91" t="s">
        <v>3613</v>
      </c>
      <c r="C2" s="91" t="s">
        <v>3614</v>
      </c>
      <c r="D2" s="91" t="s">
        <v>3615</v>
      </c>
      <c r="E2" s="91" t="s">
        <v>3616</v>
      </c>
      <c r="F2" s="91" t="s">
        <v>3617</v>
      </c>
      <c r="G2" s="91" t="s">
        <v>3618</v>
      </c>
      <c r="H2" s="91" t="s">
        <v>3619</v>
      </c>
      <c r="I2" s="91" t="s">
        <v>121</v>
      </c>
      <c r="J2" s="91" t="s">
        <v>137</v>
      </c>
      <c r="K2" s="91" t="s">
        <v>1116</v>
      </c>
      <c r="L2" s="91" t="s">
        <v>1124</v>
      </c>
      <c r="M2" s="91" t="s">
        <v>4045</v>
      </c>
      <c r="N2" s="91" t="s">
        <v>1144</v>
      </c>
      <c r="O2" s="91" t="s">
        <v>327</v>
      </c>
      <c r="P2" s="91" t="s">
        <v>334</v>
      </c>
    </row>
    <row r="3" spans="2:16" x14ac:dyDescent="0.35">
      <c r="B3" s="50" t="s">
        <v>3567</v>
      </c>
      <c r="C3" s="50">
        <v>1</v>
      </c>
      <c r="D3" s="50" t="s">
        <v>4046</v>
      </c>
      <c r="E3" s="111">
        <v>45471</v>
      </c>
      <c r="F3" s="50">
        <v>1</v>
      </c>
      <c r="G3" s="114">
        <v>1</v>
      </c>
      <c r="H3" s="198" t="s">
        <v>4047</v>
      </c>
      <c r="I3" s="50" t="s">
        <v>3621</v>
      </c>
      <c r="J3" s="50" t="s">
        <v>3621</v>
      </c>
      <c r="K3" s="50" t="s">
        <v>3621</v>
      </c>
      <c r="L3" s="50" t="s">
        <v>3621</v>
      </c>
      <c r="M3" s="50" t="s">
        <v>3621</v>
      </c>
      <c r="N3" s="50" t="s">
        <v>3621</v>
      </c>
      <c r="O3" s="50" t="s">
        <v>3621</v>
      </c>
      <c r="P3" s="50" t="s">
        <v>3621</v>
      </c>
    </row>
    <row r="4" spans="2:16" x14ac:dyDescent="0.35">
      <c r="B4" s="50" t="s">
        <v>3569</v>
      </c>
      <c r="C4" s="50">
        <v>2</v>
      </c>
      <c r="D4" s="50" t="s">
        <v>4048</v>
      </c>
      <c r="E4" s="111">
        <v>45471</v>
      </c>
      <c r="F4" s="50">
        <v>1</v>
      </c>
      <c r="G4" s="114">
        <v>1</v>
      </c>
      <c r="H4" s="50" t="s">
        <v>3630</v>
      </c>
      <c r="I4" s="50" t="s">
        <v>3621</v>
      </c>
      <c r="J4" s="50" t="s">
        <v>3621</v>
      </c>
      <c r="K4" s="50" t="s">
        <v>3621</v>
      </c>
      <c r="L4" s="50" t="s">
        <v>3621</v>
      </c>
      <c r="M4" s="50" t="s">
        <v>3621</v>
      </c>
      <c r="N4" s="50" t="s">
        <v>3621</v>
      </c>
      <c r="O4" s="50" t="s">
        <v>3621</v>
      </c>
      <c r="P4" s="50" t="s">
        <v>3621</v>
      </c>
    </row>
    <row r="5" spans="2:16" x14ac:dyDescent="0.35">
      <c r="B5" s="50" t="s">
        <v>3571</v>
      </c>
      <c r="C5" s="50">
        <v>3</v>
      </c>
      <c r="D5" s="50" t="s">
        <v>4049</v>
      </c>
      <c r="E5" s="111">
        <v>45471</v>
      </c>
      <c r="F5" s="50">
        <v>1</v>
      </c>
      <c r="G5" s="114">
        <v>1</v>
      </c>
      <c r="H5" s="50" t="s">
        <v>3630</v>
      </c>
      <c r="I5" s="50">
        <v>0</v>
      </c>
      <c r="J5" s="50">
        <v>0</v>
      </c>
      <c r="K5" s="50">
        <v>0</v>
      </c>
      <c r="L5" s="50">
        <v>0</v>
      </c>
      <c r="M5" s="50">
        <v>0</v>
      </c>
      <c r="N5" s="50" t="s">
        <v>3621</v>
      </c>
      <c r="O5" s="50">
        <v>0</v>
      </c>
      <c r="P5" s="50" t="s">
        <v>3621</v>
      </c>
    </row>
    <row r="6" spans="2:16" x14ac:dyDescent="0.35">
      <c r="B6" s="113" t="s">
        <v>3576</v>
      </c>
      <c r="C6" s="50">
        <v>6</v>
      </c>
      <c r="D6" s="50" t="s">
        <v>4050</v>
      </c>
      <c r="E6" s="111">
        <v>45471</v>
      </c>
      <c r="F6" s="50">
        <v>1</v>
      </c>
      <c r="G6" s="50" cm="1">
        <f t="array" ref="G6">SUMPRODUCT(--(I6:P6&gt;0))/COUNTA(I6:P6)</f>
        <v>1</v>
      </c>
      <c r="H6" s="50" t="s">
        <v>3630</v>
      </c>
      <c r="I6" s="50">
        <v>2</v>
      </c>
      <c r="J6" s="50">
        <v>30</v>
      </c>
      <c r="K6" s="50">
        <v>10</v>
      </c>
      <c r="L6" s="50">
        <v>1</v>
      </c>
      <c r="M6" s="50">
        <v>1</v>
      </c>
      <c r="N6" s="50">
        <v>10</v>
      </c>
      <c r="O6" s="50">
        <v>10</v>
      </c>
      <c r="P6" s="50">
        <v>21</v>
      </c>
    </row>
    <row r="7" spans="2:16" x14ac:dyDescent="0.35">
      <c r="B7" s="50" t="s">
        <v>3579</v>
      </c>
      <c r="C7" s="50">
        <v>7</v>
      </c>
      <c r="D7" s="50" t="s">
        <v>4051</v>
      </c>
      <c r="E7" s="111">
        <v>45471</v>
      </c>
      <c r="F7" s="50">
        <v>1</v>
      </c>
      <c r="G7" s="50" cm="1">
        <f t="array" ref="G7">SUMPRODUCT(--(I7:P7&lt;=I24:P24))/COUNTA(I24:P24)</f>
        <v>1</v>
      </c>
      <c r="H7" s="50" t="s">
        <v>3630</v>
      </c>
      <c r="I7" s="50">
        <v>2</v>
      </c>
      <c r="J7" s="50">
        <v>30</v>
      </c>
      <c r="K7" s="50">
        <v>10</v>
      </c>
      <c r="L7" s="50">
        <v>1</v>
      </c>
      <c r="M7" s="50">
        <v>4</v>
      </c>
      <c r="N7" s="50">
        <v>10</v>
      </c>
      <c r="O7" s="50">
        <v>10</v>
      </c>
      <c r="P7" s="50">
        <v>21</v>
      </c>
    </row>
    <row r="8" spans="2:16" x14ac:dyDescent="0.35">
      <c r="B8" s="50" t="s">
        <v>3582</v>
      </c>
      <c r="C8" s="50">
        <v>8</v>
      </c>
      <c r="D8" s="50" t="s">
        <v>4052</v>
      </c>
      <c r="E8" s="111">
        <v>45471</v>
      </c>
      <c r="F8" s="50">
        <v>1</v>
      </c>
      <c r="G8" s="50" t="s">
        <v>3621</v>
      </c>
      <c r="H8" s="50" t="s">
        <v>3630</v>
      </c>
      <c r="I8" s="50">
        <v>31</v>
      </c>
      <c r="J8" s="50">
        <v>162304820002470</v>
      </c>
      <c r="K8" s="50">
        <v>0</v>
      </c>
      <c r="L8" s="50">
        <v>0</v>
      </c>
      <c r="M8" s="50">
        <v>0</v>
      </c>
      <c r="N8" s="50" t="s">
        <v>3629</v>
      </c>
      <c r="O8" s="111">
        <v>45471</v>
      </c>
      <c r="P8" s="50" t="s">
        <v>4053</v>
      </c>
    </row>
    <row r="9" spans="2:16" x14ac:dyDescent="0.35">
      <c r="B9" s="50" t="s">
        <v>3584</v>
      </c>
      <c r="C9" s="50">
        <v>9</v>
      </c>
      <c r="D9" s="50" t="s">
        <v>4054</v>
      </c>
      <c r="E9" s="111">
        <v>45471</v>
      </c>
      <c r="F9" s="50">
        <v>1</v>
      </c>
      <c r="G9" s="50" t="s">
        <v>3621</v>
      </c>
      <c r="H9" s="50" t="s">
        <v>3630</v>
      </c>
      <c r="I9" s="50">
        <v>31</v>
      </c>
      <c r="J9" s="50">
        <v>162304820002470</v>
      </c>
      <c r="K9" s="50">
        <v>0</v>
      </c>
      <c r="L9" s="50">
        <v>0</v>
      </c>
      <c r="M9" s="50">
        <v>0</v>
      </c>
      <c r="N9" s="50" t="s">
        <v>3629</v>
      </c>
      <c r="O9" s="111">
        <v>45471</v>
      </c>
      <c r="P9" s="50" t="s">
        <v>4055</v>
      </c>
    </row>
    <row r="10" spans="2:16" x14ac:dyDescent="0.35">
      <c r="B10" s="113" t="s">
        <v>3586</v>
      </c>
      <c r="C10" s="50">
        <v>10</v>
      </c>
      <c r="D10" s="50" t="s">
        <v>4056</v>
      </c>
      <c r="E10" s="111">
        <v>45471</v>
      </c>
      <c r="F10" s="50">
        <v>1</v>
      </c>
      <c r="G10" s="50" t="s">
        <v>3621</v>
      </c>
      <c r="H10" s="50" t="s">
        <v>3630</v>
      </c>
      <c r="I10" s="50">
        <v>89</v>
      </c>
      <c r="J10" s="50">
        <v>8.8780038000002303E+29</v>
      </c>
      <c r="K10" s="50">
        <v>9961000426</v>
      </c>
      <c r="L10" s="50" t="s">
        <v>4057</v>
      </c>
      <c r="M10" s="50">
        <v>1057</v>
      </c>
      <c r="N10" s="111">
        <v>2958465</v>
      </c>
      <c r="O10" s="111">
        <v>45471</v>
      </c>
      <c r="P10" s="50" t="s">
        <v>4053</v>
      </c>
    </row>
    <row r="11" spans="2:16" x14ac:dyDescent="0.35">
      <c r="B11" s="50" t="s">
        <v>3588</v>
      </c>
      <c r="C11" s="50">
        <v>11</v>
      </c>
      <c r="D11" s="50" t="s">
        <v>4058</v>
      </c>
      <c r="E11" s="111">
        <v>45471</v>
      </c>
      <c r="F11" s="50">
        <v>1</v>
      </c>
      <c r="G11" s="50" t="s">
        <v>3621</v>
      </c>
      <c r="H11" s="50" t="s">
        <v>3630</v>
      </c>
      <c r="I11" s="50">
        <v>89</v>
      </c>
      <c r="J11" s="50">
        <v>8.8780038000002303E+29</v>
      </c>
      <c r="K11" s="50">
        <v>9961000426</v>
      </c>
      <c r="L11" s="50" t="s">
        <v>4057</v>
      </c>
      <c r="M11" s="50">
        <v>1057</v>
      </c>
      <c r="N11" s="111">
        <v>2958465</v>
      </c>
      <c r="O11" s="111">
        <v>45471</v>
      </c>
      <c r="P11" s="50" t="s">
        <v>4059</v>
      </c>
    </row>
    <row r="12" spans="2:16" x14ac:dyDescent="0.35">
      <c r="B12" s="50" t="s">
        <v>3590</v>
      </c>
      <c r="C12" s="50">
        <v>12</v>
      </c>
      <c r="D12" s="50" t="s">
        <v>4060</v>
      </c>
      <c r="E12" s="111">
        <v>45471</v>
      </c>
      <c r="F12" s="50">
        <v>1</v>
      </c>
      <c r="G12" s="50">
        <v>1</v>
      </c>
      <c r="H12" s="50" t="s">
        <v>3630</v>
      </c>
      <c r="I12" s="50">
        <v>0</v>
      </c>
      <c r="J12" s="50">
        <v>0</v>
      </c>
      <c r="K12" s="50">
        <v>0</v>
      </c>
      <c r="L12" s="50">
        <v>0</v>
      </c>
      <c r="M12" s="50">
        <v>0</v>
      </c>
      <c r="N12" s="111">
        <v>0</v>
      </c>
      <c r="O12" s="111">
        <v>0</v>
      </c>
      <c r="P12" s="50">
        <v>0</v>
      </c>
    </row>
    <row r="13" spans="2:16" x14ac:dyDescent="0.35">
      <c r="B13" s="50" t="s">
        <v>3592</v>
      </c>
      <c r="C13" s="50">
        <v>13</v>
      </c>
      <c r="D13" s="50" t="s">
        <v>4061</v>
      </c>
      <c r="E13" s="111">
        <v>45471</v>
      </c>
      <c r="F13" s="50">
        <v>1</v>
      </c>
      <c r="G13" s="50">
        <v>1</v>
      </c>
      <c r="H13" s="50" t="s">
        <v>3630</v>
      </c>
      <c r="I13" s="50" t="s">
        <v>3621</v>
      </c>
      <c r="J13" s="50" t="s">
        <v>3621</v>
      </c>
      <c r="K13" s="50" t="s">
        <v>3621</v>
      </c>
      <c r="L13" s="50" t="s">
        <v>3621</v>
      </c>
      <c r="M13" s="50" t="s">
        <v>3621</v>
      </c>
      <c r="N13" s="111">
        <v>0</v>
      </c>
      <c r="O13" s="111" t="s">
        <v>3621</v>
      </c>
      <c r="P13" s="50" t="s">
        <v>3621</v>
      </c>
    </row>
    <row r="14" spans="2:16" x14ac:dyDescent="0.35">
      <c r="B14" s="50" t="s">
        <v>3594</v>
      </c>
      <c r="C14" s="50">
        <v>14</v>
      </c>
      <c r="D14" s="50" t="s">
        <v>4062</v>
      </c>
      <c r="E14" s="111">
        <v>45471</v>
      </c>
      <c r="F14" s="50">
        <v>1</v>
      </c>
      <c r="G14" s="50">
        <v>1</v>
      </c>
      <c r="H14" s="50" t="s">
        <v>3630</v>
      </c>
      <c r="I14" s="50" t="s">
        <v>3621</v>
      </c>
      <c r="J14" s="50" t="s">
        <v>3621</v>
      </c>
      <c r="K14" s="50" t="s">
        <v>3621</v>
      </c>
      <c r="L14" s="50">
        <v>0</v>
      </c>
      <c r="M14" s="50" t="s">
        <v>3621</v>
      </c>
      <c r="N14" s="50" t="s">
        <v>3621</v>
      </c>
      <c r="O14" s="50" t="s">
        <v>3621</v>
      </c>
      <c r="P14" s="50" t="s">
        <v>3621</v>
      </c>
    </row>
    <row r="15" spans="2:16" x14ac:dyDescent="0.35">
      <c r="B15" s="50" t="s">
        <v>3596</v>
      </c>
      <c r="C15" s="50">
        <v>15</v>
      </c>
      <c r="D15" s="50" t="s">
        <v>4063</v>
      </c>
      <c r="E15" s="111">
        <v>45471</v>
      </c>
      <c r="F15" s="50">
        <v>1</v>
      </c>
      <c r="G15" s="50">
        <v>1</v>
      </c>
      <c r="H15" s="50" t="s">
        <v>3630</v>
      </c>
      <c r="I15" s="50" t="s">
        <v>3621</v>
      </c>
      <c r="J15" s="50" t="s">
        <v>3621</v>
      </c>
      <c r="K15" s="50" t="s">
        <v>3621</v>
      </c>
      <c r="L15" s="50" t="s">
        <v>3621</v>
      </c>
      <c r="M15" s="50" t="s">
        <v>3621</v>
      </c>
      <c r="N15" s="113" t="s">
        <v>3621</v>
      </c>
      <c r="O15" s="50" t="s">
        <v>3621</v>
      </c>
      <c r="P15" s="50" t="s">
        <v>3621</v>
      </c>
    </row>
    <row r="16" spans="2:16" x14ac:dyDescent="0.35">
      <c r="B16" s="50" t="s">
        <v>3598</v>
      </c>
      <c r="C16" s="50">
        <v>16</v>
      </c>
      <c r="D16" s="50" t="s">
        <v>4063</v>
      </c>
      <c r="E16" s="111">
        <v>45471</v>
      </c>
      <c r="F16" s="50">
        <v>1</v>
      </c>
      <c r="G16" s="50">
        <v>1</v>
      </c>
      <c r="H16" s="50" t="s">
        <v>3630</v>
      </c>
      <c r="I16" s="50" t="s">
        <v>3621</v>
      </c>
      <c r="J16" s="50" t="s">
        <v>3621</v>
      </c>
      <c r="K16" s="50" t="s">
        <v>3621</v>
      </c>
      <c r="L16" s="50" t="s">
        <v>3621</v>
      </c>
      <c r="M16" s="50" t="s">
        <v>3621</v>
      </c>
      <c r="N16" s="50" t="s">
        <v>3621</v>
      </c>
      <c r="O16" s="50" t="s">
        <v>3621</v>
      </c>
      <c r="P16" s="50" t="s">
        <v>3621</v>
      </c>
    </row>
    <row r="17" spans="2:16" x14ac:dyDescent="0.35">
      <c r="B17" s="50" t="s">
        <v>3604</v>
      </c>
      <c r="C17" s="50">
        <v>19</v>
      </c>
      <c r="D17" s="50" t="s">
        <v>4064</v>
      </c>
      <c r="E17" s="111">
        <v>45471</v>
      </c>
      <c r="F17" s="50">
        <v>1</v>
      </c>
      <c r="G17" s="50" cm="1">
        <f t="array" ref="G17">SUMPRODUCT(--(ISNUMBER((SEARCH(I24:P24,I17:P17)))))/COUNTA(I17:P17)</f>
        <v>0.75</v>
      </c>
      <c r="H17" s="50" t="s">
        <v>3630</v>
      </c>
      <c r="I17" s="50" t="s">
        <v>3655</v>
      </c>
      <c r="J17" s="50" t="s">
        <v>3655</v>
      </c>
      <c r="K17" s="50" t="s">
        <v>3655</v>
      </c>
      <c r="L17" s="50" t="s">
        <v>3655</v>
      </c>
      <c r="M17" s="50" t="s">
        <v>4039</v>
      </c>
      <c r="N17" s="50" t="s">
        <v>3970</v>
      </c>
      <c r="O17" s="50" t="s">
        <v>3655</v>
      </c>
      <c r="P17" s="50" t="s">
        <v>3657</v>
      </c>
    </row>
    <row r="18" spans="2:16" x14ac:dyDescent="0.35">
      <c r="B18" s="50" t="s">
        <v>3607</v>
      </c>
      <c r="C18" s="50">
        <v>20</v>
      </c>
      <c r="D18" s="50"/>
      <c r="E18" s="111">
        <v>45471</v>
      </c>
      <c r="F18" s="50">
        <v>1</v>
      </c>
      <c r="G18" s="50" cm="1">
        <f t="array" ref="G18">SUM(IF(I2:P2 = I23:P23, 1, 0))/ COUNTA(I2:P2)</f>
        <v>0.875</v>
      </c>
      <c r="H18" s="50" t="s">
        <v>3630</v>
      </c>
      <c r="I18" s="50" t="s">
        <v>3621</v>
      </c>
      <c r="J18" s="50" t="s">
        <v>3621</v>
      </c>
      <c r="K18" s="50" t="s">
        <v>3621</v>
      </c>
      <c r="L18" s="50" t="s">
        <v>3621</v>
      </c>
      <c r="M18" s="50" t="s">
        <v>3621</v>
      </c>
      <c r="N18" s="50" t="s">
        <v>3621</v>
      </c>
      <c r="O18" s="50" t="s">
        <v>3621</v>
      </c>
      <c r="P18" s="50" t="s">
        <v>3621</v>
      </c>
    </row>
    <row r="19" spans="2:16" x14ac:dyDescent="0.35">
      <c r="B19" s="50" t="s">
        <v>3610</v>
      </c>
      <c r="C19" s="50">
        <v>21</v>
      </c>
      <c r="D19" s="50"/>
      <c r="E19" s="111">
        <v>45471</v>
      </c>
      <c r="F19" s="50">
        <v>1</v>
      </c>
      <c r="G19" s="50" cm="1">
        <f t="array" ref="G19">SUM(IF(IF(G3:G18="null",1,G3:G18)=1,1,0))/COUNT(IF(G3:G18="null",1,1))</f>
        <v>0.875</v>
      </c>
      <c r="H19" s="50" t="s">
        <v>3630</v>
      </c>
      <c r="I19" s="50" t="s">
        <v>3621</v>
      </c>
      <c r="J19" s="50" t="s">
        <v>3621</v>
      </c>
      <c r="K19" s="50" t="s">
        <v>3621</v>
      </c>
      <c r="L19" s="50" t="s">
        <v>3621</v>
      </c>
      <c r="M19" s="50" t="s">
        <v>3621</v>
      </c>
      <c r="N19" s="50">
        <v>0</v>
      </c>
      <c r="O19" s="50" t="s">
        <v>3621</v>
      </c>
      <c r="P19" s="50" t="s">
        <v>3621</v>
      </c>
    </row>
    <row r="22" spans="2:16" x14ac:dyDescent="0.35">
      <c r="B22" s="146" t="s">
        <v>4065</v>
      </c>
    </row>
    <row r="23" spans="2:16" x14ac:dyDescent="0.35">
      <c r="B23" s="144" t="s">
        <v>3613</v>
      </c>
      <c r="C23" s="145" t="s">
        <v>3614</v>
      </c>
      <c r="D23" s="145" t="s">
        <v>3615</v>
      </c>
      <c r="E23" s="145" t="s">
        <v>3616</v>
      </c>
      <c r="F23" s="145" t="s">
        <v>3617</v>
      </c>
      <c r="G23" s="145" t="s">
        <v>3618</v>
      </c>
      <c r="H23" s="145" t="s">
        <v>3619</v>
      </c>
      <c r="I23" s="145" t="str" cm="1">
        <f t="array" ref="I23:P23">TRANSPOSE(_xlfn.SORTBY(_xlfn._xlws.FILTER(Table3[NOME FÍSICO CAMPO],Table3[NOME FÍSICO TABELA]="contract_party_relationship"), _xlfn._xlws.FILTER(Table3[ORDEM], Table3[NOME FÍSICO TABELA]="contract_party_relationship"), 1))</f>
        <v>bank_id</v>
      </c>
      <c r="J23" s="145" t="str">
        <v>contract_id</v>
      </c>
      <c r="K23" s="145" t="str">
        <v>party_id</v>
      </c>
      <c r="L23" s="145" t="str">
        <v>contract_intervention_type_code</v>
      </c>
      <c r="M23" s="145" t="str">
        <v>contract_intervention_order_num</v>
      </c>
      <c r="N23" s="145" t="str">
        <v>relationship_start_date</v>
      </c>
      <c r="O23" s="145" t="str">
        <v>data_date_part</v>
      </c>
      <c r="P23" s="142" t="str">
        <v>data_timestamp_part</v>
      </c>
    </row>
    <row r="24" spans="2:16" x14ac:dyDescent="0.35">
      <c r="B24" s="137" t="s">
        <v>372</v>
      </c>
      <c r="C24" s="129">
        <v>21</v>
      </c>
      <c r="D24" s="130" t="s">
        <v>3659</v>
      </c>
      <c r="E24" s="129" t="s">
        <v>3660</v>
      </c>
      <c r="F24" s="129" t="s">
        <v>372</v>
      </c>
      <c r="G24" s="129" t="s">
        <v>372</v>
      </c>
      <c r="H24" s="129" t="s">
        <v>372</v>
      </c>
      <c r="I24" s="129" t="str" cm="1">
        <f t="array" ref="I24:P25">TRANSPOSE(_xlfn.SORTBY(_xlfn._xlws.FILTER(IF(Table3[FORMATO]:Table3[COMP_ CAMPO]&lt;&gt;"",Table3[FORMATO]:Table3[COMP_ CAMPO],9999999),Table3[NOME FÍSICO TABELA]="contract_party_relationship"), _xlfn._xlws.FILTER(Table3[ORDEM], Table3[NOME FÍSICO TABELA]="contract_party_relationship"), 1))</f>
        <v>STRING</v>
      </c>
      <c r="J24" s="129" t="str">
        <v>STRING</v>
      </c>
      <c r="K24" s="129" t="str">
        <v>STRING</v>
      </c>
      <c r="L24" s="129" t="str">
        <v>STRING</v>
      </c>
      <c r="M24" s="129" t="str">
        <v>BIGINT</v>
      </c>
      <c r="N24" s="129" t="str">
        <v>STRING</v>
      </c>
      <c r="O24" s="129" t="str">
        <v>STRING</v>
      </c>
      <c r="P24" s="136" t="str">
        <v>TIMESTAMP</v>
      </c>
    </row>
    <row r="25" spans="2:16" x14ac:dyDescent="0.35">
      <c r="B25" s="137" t="s">
        <v>372</v>
      </c>
      <c r="C25" s="129">
        <v>7</v>
      </c>
      <c r="D25" s="130" t="s">
        <v>3659</v>
      </c>
      <c r="E25" s="129" t="s">
        <v>3660</v>
      </c>
      <c r="F25" s="129" t="s">
        <v>372</v>
      </c>
      <c r="G25" s="129" t="s">
        <v>372</v>
      </c>
      <c r="H25" s="129" t="s">
        <v>372</v>
      </c>
      <c r="I25" s="129">
        <v>4</v>
      </c>
      <c r="J25" s="129">
        <v>30</v>
      </c>
      <c r="K25" s="129">
        <v>10</v>
      </c>
      <c r="L25" s="129">
        <v>4</v>
      </c>
      <c r="M25" s="129">
        <v>9999999</v>
      </c>
      <c r="N25" s="129">
        <v>10</v>
      </c>
      <c r="O25" s="129">
        <v>10</v>
      </c>
      <c r="P25" s="136">
        <v>23</v>
      </c>
    </row>
    <row r="26" spans="2:16" x14ac:dyDescent="0.35">
      <c r="B26" s="50"/>
      <c r="C26" s="50"/>
      <c r="D26" s="112"/>
      <c r="E26" s="50"/>
      <c r="F26" s="50"/>
      <c r="G26" s="50"/>
      <c r="H26" s="50"/>
      <c r="I26" s="50"/>
      <c r="J26" s="50"/>
      <c r="K26" s="50"/>
      <c r="L26" s="50"/>
      <c r="M26" s="50"/>
      <c r="N26" s="50"/>
      <c r="O26" s="50"/>
      <c r="P26" s="50"/>
    </row>
    <row r="27" spans="2:16" x14ac:dyDescent="0.35">
      <c r="B27" s="156" t="s">
        <v>3662</v>
      </c>
    </row>
    <row r="28" spans="2:16" x14ac:dyDescent="0.35">
      <c r="B28" s="165" t="s">
        <v>3663</v>
      </c>
      <c r="C28" s="147" t="s">
        <v>3664</v>
      </c>
      <c r="D28" s="166" t="s">
        <v>3665</v>
      </c>
      <c r="E28" s="147" t="s">
        <v>3666</v>
      </c>
      <c r="F28" s="166" t="s">
        <v>3667</v>
      </c>
    </row>
    <row r="29" spans="2:16" ht="29" x14ac:dyDescent="0.35">
      <c r="B29" s="54" t="s">
        <v>4066</v>
      </c>
      <c r="C29" s="54" t="s">
        <v>1144</v>
      </c>
      <c r="D29" s="53" t="s">
        <v>4067</v>
      </c>
      <c r="E29" s="172" t="s">
        <v>4068</v>
      </c>
      <c r="F29" s="54" t="s">
        <v>3674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B1:BA65"/>
  <sheetViews>
    <sheetView showGridLines="0" topLeftCell="A20" workbookViewId="0">
      <selection activeCell="G65" sqref="G65"/>
    </sheetView>
  </sheetViews>
  <sheetFormatPr defaultRowHeight="14.5" x14ac:dyDescent="0.35"/>
  <cols>
    <col min="2" max="2" width="30.7265625" bestFit="1" customWidth="1"/>
    <col min="3" max="3" width="32.7265625" bestFit="1" customWidth="1"/>
    <col min="4" max="4" width="98.81640625" customWidth="1"/>
    <col min="5" max="5" width="30.453125" bestFit="1" customWidth="1"/>
    <col min="6" max="6" width="25.26953125" customWidth="1"/>
    <col min="7" max="7" width="24.7265625" customWidth="1"/>
    <col min="8" max="8" width="23.1796875" customWidth="1"/>
    <col min="9" max="9" width="29.26953125" customWidth="1"/>
    <col min="10" max="10" width="47.26953125" style="177" customWidth="1"/>
    <col min="11" max="11" width="23.81640625" style="177" bestFit="1" customWidth="1"/>
    <col min="12" max="12" width="22.7265625" style="177" bestFit="1" customWidth="1"/>
    <col min="13" max="13" width="30" style="177" bestFit="1" customWidth="1"/>
    <col min="14" max="21" width="30" style="177" customWidth="1"/>
    <col min="22" max="24" width="30.7265625" style="177" bestFit="1" customWidth="1"/>
    <col min="25" max="31" width="30.7265625" style="177" customWidth="1"/>
    <col min="32" max="32" width="30.7265625" style="177" bestFit="1" customWidth="1"/>
    <col min="33" max="33" width="31.26953125" style="177" customWidth="1"/>
    <col min="34" max="34" width="26.81640625" style="177" bestFit="1" customWidth="1"/>
    <col min="35" max="35" width="30.7265625" style="177" bestFit="1" customWidth="1"/>
    <col min="36" max="40" width="30.7265625" style="177" customWidth="1"/>
    <col min="41" max="41" width="43.26953125" style="177" customWidth="1"/>
    <col min="42" max="45" width="30.7265625" style="177" bestFit="1" customWidth="1"/>
    <col min="46" max="46" width="24.54296875" style="177" bestFit="1" customWidth="1"/>
    <col min="47" max="47" width="30.7265625" style="177" bestFit="1" customWidth="1"/>
    <col min="48" max="48" width="16.453125" style="177" bestFit="1" customWidth="1"/>
    <col min="49" max="49" width="26.81640625" style="177" bestFit="1" customWidth="1"/>
    <col min="50" max="50" width="30.7265625" style="177" bestFit="1" customWidth="1"/>
    <col min="51" max="51" width="25.1796875" style="177" bestFit="1" customWidth="1"/>
    <col min="52" max="52" width="45.7265625" style="177" bestFit="1" customWidth="1"/>
    <col min="53" max="53" width="44.26953125" style="177" customWidth="1"/>
    <col min="54" max="54" width="32.26953125" customWidth="1"/>
    <col min="55" max="55" width="32.54296875" customWidth="1"/>
    <col min="56" max="56" width="21.54296875" customWidth="1"/>
    <col min="57" max="57" width="27.7265625" customWidth="1"/>
    <col min="58" max="58" width="46.453125" customWidth="1"/>
  </cols>
  <sheetData>
    <row r="1" spans="2:53" ht="27.75" customHeight="1" x14ac:dyDescent="0.35"/>
    <row r="2" spans="2:53" x14ac:dyDescent="0.35">
      <c r="B2" s="91" t="s">
        <v>3738</v>
      </c>
      <c r="C2" s="91" t="s">
        <v>3614</v>
      </c>
      <c r="D2" s="91" t="s">
        <v>3615</v>
      </c>
      <c r="E2" s="91" t="s">
        <v>3616</v>
      </c>
      <c r="F2" s="91" t="s">
        <v>3617</v>
      </c>
      <c r="G2" s="91" t="s">
        <v>3618</v>
      </c>
      <c r="H2" s="91" t="s">
        <v>3619</v>
      </c>
      <c r="I2" s="91" t="s">
        <v>121</v>
      </c>
      <c r="J2" s="178" t="s">
        <v>137</v>
      </c>
      <c r="K2" s="178" t="s">
        <v>149</v>
      </c>
      <c r="L2" s="178" t="s">
        <v>156</v>
      </c>
      <c r="M2" s="178" t="s">
        <v>168</v>
      </c>
      <c r="N2" s="178" t="s">
        <v>177</v>
      </c>
      <c r="O2" s="178" t="s">
        <v>188</v>
      </c>
      <c r="P2" s="178" t="s">
        <v>1833</v>
      </c>
      <c r="Q2" s="178" t="s">
        <v>1842</v>
      </c>
      <c r="R2" s="178" t="s">
        <v>1851</v>
      </c>
      <c r="S2" s="178" t="s">
        <v>1860</v>
      </c>
      <c r="T2" s="178" t="s">
        <v>625</v>
      </c>
      <c r="U2" s="178" t="s">
        <v>575</v>
      </c>
      <c r="V2" s="178" t="s">
        <v>199</v>
      </c>
      <c r="W2" s="178" t="s">
        <v>211</v>
      </c>
      <c r="X2" s="178" t="s">
        <v>223</v>
      </c>
      <c r="Y2" s="178" t="s">
        <v>239</v>
      </c>
      <c r="Z2" s="178" t="s">
        <v>261</v>
      </c>
      <c r="AA2" s="178" t="s">
        <v>880</v>
      </c>
      <c r="AB2" s="178" t="s">
        <v>1909</v>
      </c>
      <c r="AC2" s="178" t="s">
        <v>649</v>
      </c>
      <c r="AD2" s="178" t="s">
        <v>272</v>
      </c>
      <c r="AE2" s="178" t="s">
        <v>283</v>
      </c>
      <c r="AF2" s="178" t="s">
        <v>715</v>
      </c>
      <c r="AG2" s="178" t="s">
        <v>429</v>
      </c>
      <c r="AH2" s="178" t="s">
        <v>728</v>
      </c>
      <c r="AI2" s="178" t="s">
        <v>944</v>
      </c>
      <c r="AJ2" s="178" t="s">
        <v>1956</v>
      </c>
      <c r="AK2" s="178" t="s">
        <v>965</v>
      </c>
      <c r="AL2" s="178" t="s">
        <v>1969</v>
      </c>
      <c r="AM2" s="178" t="s">
        <v>1977</v>
      </c>
      <c r="AN2" s="177" t="s">
        <v>1988</v>
      </c>
      <c r="AO2" s="177" t="s">
        <v>1998</v>
      </c>
      <c r="AP2" s="177" t="s">
        <v>1515</v>
      </c>
      <c r="AQ2" s="177" t="s">
        <v>1522</v>
      </c>
      <c r="AR2" s="177" t="s">
        <v>756</v>
      </c>
      <c r="AS2" s="177" t="s">
        <v>766</v>
      </c>
      <c r="AT2" s="177" t="s">
        <v>776</v>
      </c>
      <c r="AU2" s="177" t="s">
        <v>785</v>
      </c>
      <c r="AV2" s="177" t="s">
        <v>2034</v>
      </c>
      <c r="AW2" s="177" t="s">
        <v>294</v>
      </c>
      <c r="AX2" s="177" t="s">
        <v>305</v>
      </c>
      <c r="AY2" s="177" t="s">
        <v>318</v>
      </c>
      <c r="AZ2" s="177" t="s">
        <v>327</v>
      </c>
      <c r="BA2" s="177" t="s">
        <v>334</v>
      </c>
    </row>
    <row r="3" spans="2:53" x14ac:dyDescent="0.35">
      <c r="B3" s="50" t="s">
        <v>3567</v>
      </c>
      <c r="C3" s="50">
        <v>1</v>
      </c>
      <c r="D3" t="s">
        <v>4069</v>
      </c>
      <c r="E3" s="293">
        <v>45390</v>
      </c>
      <c r="F3" s="109">
        <v>1</v>
      </c>
      <c r="G3" s="292">
        <v>1</v>
      </c>
      <c r="H3" s="109">
        <v>125228</v>
      </c>
      <c r="I3" s="109" t="s">
        <v>3621</v>
      </c>
      <c r="J3" s="109" t="s">
        <v>3621</v>
      </c>
      <c r="K3" s="109" t="s">
        <v>3621</v>
      </c>
      <c r="L3" s="109" t="s">
        <v>3621</v>
      </c>
      <c r="M3" s="109" t="s">
        <v>3621</v>
      </c>
      <c r="N3" s="109" t="s">
        <v>3621</v>
      </c>
      <c r="O3" s="109" t="s">
        <v>3621</v>
      </c>
      <c r="P3" s="109" t="s">
        <v>3621</v>
      </c>
      <c r="Q3" s="109" t="s">
        <v>3621</v>
      </c>
      <c r="R3" s="109" t="s">
        <v>3621</v>
      </c>
      <c r="S3" s="109" t="s">
        <v>3621</v>
      </c>
      <c r="T3" s="109" t="s">
        <v>3621</v>
      </c>
      <c r="U3" s="109" t="s">
        <v>3621</v>
      </c>
      <c r="V3" s="109" t="s">
        <v>3621</v>
      </c>
      <c r="W3" s="109" t="s">
        <v>3621</v>
      </c>
      <c r="X3" s="109" t="s">
        <v>3621</v>
      </c>
      <c r="Y3" s="109" t="s">
        <v>3621</v>
      </c>
      <c r="Z3" s="109" t="s">
        <v>3621</v>
      </c>
      <c r="AA3" s="109" t="s">
        <v>3621</v>
      </c>
      <c r="AB3" s="109" t="s">
        <v>3621</v>
      </c>
      <c r="AC3" s="109" t="s">
        <v>3621</v>
      </c>
      <c r="AD3" s="109" t="s">
        <v>3621</v>
      </c>
      <c r="AE3" s="109" t="s">
        <v>3621</v>
      </c>
      <c r="AF3" s="109" t="s">
        <v>3621</v>
      </c>
      <c r="AG3" s="109" t="s">
        <v>3621</v>
      </c>
      <c r="AH3" s="109" t="s">
        <v>3621</v>
      </c>
      <c r="AI3" s="109" t="s">
        <v>3621</v>
      </c>
      <c r="AJ3" s="109" t="s">
        <v>3621</v>
      </c>
      <c r="AK3" s="109" t="s">
        <v>3621</v>
      </c>
      <c r="AL3" s="109" t="s">
        <v>3621</v>
      </c>
      <c r="AM3" s="109" t="s">
        <v>3621</v>
      </c>
      <c r="AN3" s="109" t="s">
        <v>3621</v>
      </c>
      <c r="AO3" s="109" t="s">
        <v>3621</v>
      </c>
      <c r="AP3" s="109" t="s">
        <v>3621</v>
      </c>
      <c r="AQ3" s="109" t="s">
        <v>3621</v>
      </c>
      <c r="AR3" s="109" t="s">
        <v>3621</v>
      </c>
      <c r="AS3" s="109" t="s">
        <v>3621</v>
      </c>
      <c r="AT3" s="109" t="s">
        <v>3621</v>
      </c>
      <c r="AU3" s="109" t="s">
        <v>3621</v>
      </c>
      <c r="AV3" s="109" t="s">
        <v>3621</v>
      </c>
      <c r="AW3" s="109" t="s">
        <v>3621</v>
      </c>
      <c r="AX3" s="109" t="s">
        <v>3621</v>
      </c>
      <c r="AY3" s="109" t="s">
        <v>3621</v>
      </c>
      <c r="AZ3" s="109" t="s">
        <v>3621</v>
      </c>
      <c r="BA3" s="109" t="s">
        <v>3621</v>
      </c>
    </row>
    <row r="4" spans="2:53" x14ac:dyDescent="0.35">
      <c r="B4" s="50" t="s">
        <v>3569</v>
      </c>
      <c r="C4" s="50">
        <v>2</v>
      </c>
      <c r="D4" t="s">
        <v>4070</v>
      </c>
      <c r="E4" s="293">
        <v>45390</v>
      </c>
      <c r="F4" s="109">
        <v>1</v>
      </c>
      <c r="G4" s="292">
        <v>0.99999199999999999</v>
      </c>
      <c r="H4" s="291">
        <v>1</v>
      </c>
      <c r="I4" s="109" t="s">
        <v>3621</v>
      </c>
      <c r="J4" s="109" t="s">
        <v>3621</v>
      </c>
      <c r="K4" s="109" t="s">
        <v>3621</v>
      </c>
      <c r="L4" s="109" t="s">
        <v>3621</v>
      </c>
      <c r="M4" s="109" t="s">
        <v>3621</v>
      </c>
      <c r="N4" s="109" t="s">
        <v>3621</v>
      </c>
      <c r="O4" s="109" t="s">
        <v>3621</v>
      </c>
      <c r="P4" s="109" t="s">
        <v>3621</v>
      </c>
      <c r="Q4" s="109" t="s">
        <v>3621</v>
      </c>
      <c r="R4" s="109" t="s">
        <v>3621</v>
      </c>
      <c r="S4" s="109" t="s">
        <v>3621</v>
      </c>
      <c r="T4" s="109" t="s">
        <v>3621</v>
      </c>
      <c r="U4" s="109" t="s">
        <v>3621</v>
      </c>
      <c r="V4" s="109" t="s">
        <v>3621</v>
      </c>
      <c r="W4" s="109" t="s">
        <v>3621</v>
      </c>
      <c r="X4" s="109" t="s">
        <v>3621</v>
      </c>
      <c r="Y4" s="109" t="s">
        <v>3621</v>
      </c>
      <c r="Z4" s="109" t="s">
        <v>3621</v>
      </c>
      <c r="AA4" s="109" t="s">
        <v>3621</v>
      </c>
      <c r="AB4" s="109" t="s">
        <v>3621</v>
      </c>
      <c r="AC4" s="109" t="s">
        <v>3621</v>
      </c>
      <c r="AD4" s="109" t="s">
        <v>3621</v>
      </c>
      <c r="AE4" s="109" t="s">
        <v>3621</v>
      </c>
      <c r="AF4" s="109" t="s">
        <v>3621</v>
      </c>
      <c r="AG4" s="109" t="s">
        <v>3621</v>
      </c>
      <c r="AH4" s="109" t="s">
        <v>3621</v>
      </c>
      <c r="AI4" s="109" t="s">
        <v>3621</v>
      </c>
      <c r="AJ4" s="109" t="s">
        <v>3621</v>
      </c>
      <c r="AK4" s="109" t="s">
        <v>3621</v>
      </c>
      <c r="AL4" s="109" t="s">
        <v>3621</v>
      </c>
      <c r="AM4" s="109" t="s">
        <v>3621</v>
      </c>
      <c r="AN4" s="109" t="s">
        <v>3621</v>
      </c>
      <c r="AO4" s="109" t="s">
        <v>3621</v>
      </c>
      <c r="AP4" s="109" t="s">
        <v>3621</v>
      </c>
      <c r="AQ4" s="109" t="s">
        <v>3621</v>
      </c>
      <c r="AR4" s="109" t="s">
        <v>3621</v>
      </c>
      <c r="AS4" s="109" t="s">
        <v>3621</v>
      </c>
      <c r="AT4" s="109" t="s">
        <v>3621</v>
      </c>
      <c r="AU4" s="109" t="s">
        <v>3621</v>
      </c>
      <c r="AV4" s="109" t="s">
        <v>3621</v>
      </c>
      <c r="AW4" s="109" t="s">
        <v>3621</v>
      </c>
      <c r="AX4" s="109" t="s">
        <v>3621</v>
      </c>
      <c r="AY4" s="109" t="s">
        <v>3621</v>
      </c>
      <c r="AZ4" s="109" t="s">
        <v>3621</v>
      </c>
      <c r="BA4" s="109" t="s">
        <v>3621</v>
      </c>
    </row>
    <row r="5" spans="2:53" x14ac:dyDescent="0.35">
      <c r="B5" s="50" t="s">
        <v>3571</v>
      </c>
      <c r="C5" s="50">
        <v>3</v>
      </c>
      <c r="D5" t="s">
        <v>4071</v>
      </c>
      <c r="E5" s="293">
        <v>45390</v>
      </c>
      <c r="F5" s="109">
        <v>1</v>
      </c>
      <c r="G5" s="292">
        <v>1</v>
      </c>
      <c r="H5" s="109">
        <v>0</v>
      </c>
      <c r="I5" s="109">
        <v>0</v>
      </c>
      <c r="J5" s="109">
        <v>0</v>
      </c>
      <c r="K5" s="109" t="s">
        <v>3621</v>
      </c>
      <c r="L5" s="109" t="s">
        <v>3621</v>
      </c>
      <c r="M5" s="109" t="s">
        <v>3621</v>
      </c>
      <c r="N5" s="109" t="s">
        <v>3621</v>
      </c>
      <c r="O5" s="109" t="s">
        <v>3621</v>
      </c>
      <c r="P5" s="109" t="s">
        <v>3621</v>
      </c>
      <c r="Q5" s="109" t="s">
        <v>3621</v>
      </c>
      <c r="R5" s="109" t="s">
        <v>3621</v>
      </c>
      <c r="S5" s="109" t="s">
        <v>3621</v>
      </c>
      <c r="T5" s="109" t="s">
        <v>3621</v>
      </c>
      <c r="U5" s="109" t="s">
        <v>3621</v>
      </c>
      <c r="V5" s="109" t="s">
        <v>3621</v>
      </c>
      <c r="W5" s="109" t="s">
        <v>3621</v>
      </c>
      <c r="X5" s="109" t="s">
        <v>3621</v>
      </c>
      <c r="Y5" s="109" t="s">
        <v>3621</v>
      </c>
      <c r="Z5" s="109" t="s">
        <v>3621</v>
      </c>
      <c r="AA5" s="109" t="s">
        <v>3621</v>
      </c>
      <c r="AB5" s="109" t="s">
        <v>3621</v>
      </c>
      <c r="AC5" s="109" t="s">
        <v>3621</v>
      </c>
      <c r="AD5" s="109" t="s">
        <v>3621</v>
      </c>
      <c r="AE5" s="109" t="s">
        <v>3621</v>
      </c>
      <c r="AF5" s="109" t="s">
        <v>3621</v>
      </c>
      <c r="AG5" s="109" t="s">
        <v>3621</v>
      </c>
      <c r="AH5" s="109" t="s">
        <v>3621</v>
      </c>
      <c r="AI5" s="109" t="s">
        <v>3621</v>
      </c>
      <c r="AJ5" s="109" t="s">
        <v>3621</v>
      </c>
      <c r="AK5" s="109" t="s">
        <v>3621</v>
      </c>
      <c r="AL5" s="109" t="s">
        <v>3621</v>
      </c>
      <c r="AM5" s="109" t="s">
        <v>3621</v>
      </c>
      <c r="AN5" s="109" t="s">
        <v>3621</v>
      </c>
      <c r="AO5" s="109" t="s">
        <v>3621</v>
      </c>
      <c r="AP5" s="109" t="s">
        <v>3621</v>
      </c>
      <c r="AQ5" s="109" t="s">
        <v>3621</v>
      </c>
      <c r="AR5" s="109" t="s">
        <v>3621</v>
      </c>
      <c r="AS5" s="109" t="s">
        <v>3621</v>
      </c>
      <c r="AT5" s="109" t="s">
        <v>3621</v>
      </c>
      <c r="AU5" s="109" t="s">
        <v>3621</v>
      </c>
      <c r="AV5" s="109" t="s">
        <v>3621</v>
      </c>
      <c r="AW5" s="109" t="s">
        <v>3621</v>
      </c>
      <c r="AX5" s="109" t="s">
        <v>3621</v>
      </c>
      <c r="AY5" s="109" t="s">
        <v>3621</v>
      </c>
      <c r="AZ5" s="109">
        <v>0</v>
      </c>
      <c r="BA5" s="109" t="s">
        <v>3621</v>
      </c>
    </row>
    <row r="6" spans="2:53" x14ac:dyDescent="0.35">
      <c r="B6" s="113" t="s">
        <v>3573</v>
      </c>
      <c r="C6" s="50">
        <v>4</v>
      </c>
      <c r="D6" t="s">
        <v>3624</v>
      </c>
      <c r="E6" s="293">
        <v>45390</v>
      </c>
      <c r="F6" s="109">
        <v>1</v>
      </c>
      <c r="G6" s="292" t="s">
        <v>3621</v>
      </c>
      <c r="H6" s="109" t="s">
        <v>3621</v>
      </c>
      <c r="I6" s="109" t="s">
        <v>3621</v>
      </c>
      <c r="J6" s="109" t="s">
        <v>3621</v>
      </c>
      <c r="K6" s="109" t="s">
        <v>3621</v>
      </c>
      <c r="L6" s="109" t="s">
        <v>3621</v>
      </c>
      <c r="M6" s="109" t="s">
        <v>3621</v>
      </c>
      <c r="N6" s="109" t="s">
        <v>3621</v>
      </c>
      <c r="O6" s="109" t="s">
        <v>3621</v>
      </c>
      <c r="P6" s="109" t="s">
        <v>3621</v>
      </c>
      <c r="Q6" s="109" t="s">
        <v>3621</v>
      </c>
      <c r="R6" s="109" t="s">
        <v>3621</v>
      </c>
      <c r="S6" s="109" t="s">
        <v>3621</v>
      </c>
      <c r="T6" s="109" t="s">
        <v>3621</v>
      </c>
      <c r="U6" s="109" t="s">
        <v>3621</v>
      </c>
      <c r="V6" s="109" t="s">
        <v>3621</v>
      </c>
      <c r="W6" s="109" t="s">
        <v>3621</v>
      </c>
      <c r="X6" s="109" t="s">
        <v>3621</v>
      </c>
      <c r="Y6" s="109" t="s">
        <v>3621</v>
      </c>
      <c r="Z6" s="109" t="s">
        <v>3621</v>
      </c>
      <c r="AA6" s="109" t="s">
        <v>3621</v>
      </c>
      <c r="AB6" s="109" t="s">
        <v>3621</v>
      </c>
      <c r="AC6" s="109" t="s">
        <v>3621</v>
      </c>
      <c r="AD6" s="109" t="s">
        <v>3621</v>
      </c>
      <c r="AE6" s="109" t="s">
        <v>3621</v>
      </c>
      <c r="AF6" s="109" t="s">
        <v>3621</v>
      </c>
      <c r="AG6" s="109" t="s">
        <v>3621</v>
      </c>
      <c r="AH6" s="109" t="s">
        <v>3621</v>
      </c>
      <c r="AI6" s="109" t="s">
        <v>3621</v>
      </c>
      <c r="AJ6" s="109" t="s">
        <v>3621</v>
      </c>
      <c r="AK6" s="109" t="s">
        <v>3621</v>
      </c>
      <c r="AL6" s="109" t="s">
        <v>3621</v>
      </c>
      <c r="AM6" s="109" t="s">
        <v>3621</v>
      </c>
      <c r="AN6" s="109" t="s">
        <v>3621</v>
      </c>
      <c r="AO6" s="109" t="s">
        <v>3621</v>
      </c>
      <c r="AP6" s="109" t="s">
        <v>3621</v>
      </c>
      <c r="AQ6" s="109" t="s">
        <v>3621</v>
      </c>
      <c r="AR6" s="109" t="s">
        <v>3621</v>
      </c>
      <c r="AS6" s="109" t="s">
        <v>3621</v>
      </c>
      <c r="AT6" s="109" t="s">
        <v>3621</v>
      </c>
      <c r="AU6" s="109" t="s">
        <v>3621</v>
      </c>
      <c r="AV6" s="109" t="s">
        <v>3621</v>
      </c>
      <c r="AW6" s="109" t="s">
        <v>3621</v>
      </c>
      <c r="AX6" s="109" t="s">
        <v>3621</v>
      </c>
      <c r="AY6" s="109" t="s">
        <v>3621</v>
      </c>
      <c r="AZ6" s="109" t="s">
        <v>3621</v>
      </c>
      <c r="BA6" s="109" t="s">
        <v>3621</v>
      </c>
    </row>
    <row r="7" spans="2:53" x14ac:dyDescent="0.35">
      <c r="B7" s="113" t="s">
        <v>3575</v>
      </c>
      <c r="C7" s="50">
        <v>5</v>
      </c>
      <c r="D7" t="s">
        <v>3624</v>
      </c>
      <c r="E7" s="293">
        <v>45390</v>
      </c>
      <c r="F7" s="109">
        <v>1</v>
      </c>
      <c r="G7" s="292" t="s">
        <v>3621</v>
      </c>
      <c r="H7" s="109" t="s">
        <v>3621</v>
      </c>
      <c r="I7" s="109" t="s">
        <v>3621</v>
      </c>
      <c r="J7" s="109" t="s">
        <v>3621</v>
      </c>
      <c r="K7" s="109" t="s">
        <v>3621</v>
      </c>
      <c r="L7" s="109" t="s">
        <v>3621</v>
      </c>
      <c r="M7" s="109" t="s">
        <v>3621</v>
      </c>
      <c r="N7" s="109" t="s">
        <v>3621</v>
      </c>
      <c r="O7" s="109" t="s">
        <v>3621</v>
      </c>
      <c r="P7" s="109" t="s">
        <v>3621</v>
      </c>
      <c r="Q7" s="109" t="s">
        <v>3621</v>
      </c>
      <c r="R7" s="109" t="s">
        <v>3621</v>
      </c>
      <c r="S7" s="109" t="s">
        <v>3621</v>
      </c>
      <c r="T7" s="109" t="s">
        <v>3621</v>
      </c>
      <c r="U7" s="109" t="s">
        <v>3621</v>
      </c>
      <c r="V7" s="109" t="s">
        <v>3621</v>
      </c>
      <c r="W7" s="109" t="s">
        <v>3621</v>
      </c>
      <c r="X7" s="109" t="s">
        <v>3621</v>
      </c>
      <c r="Y7" s="109" t="s">
        <v>3621</v>
      </c>
      <c r="Z7" s="109" t="s">
        <v>3621</v>
      </c>
      <c r="AA7" s="109" t="s">
        <v>3621</v>
      </c>
      <c r="AB7" s="109" t="s">
        <v>3621</v>
      </c>
      <c r="AC7" s="109" t="s">
        <v>3621</v>
      </c>
      <c r="AD7" s="109" t="s">
        <v>3621</v>
      </c>
      <c r="AE7" s="109" t="s">
        <v>3621</v>
      </c>
      <c r="AF7" s="109" t="s">
        <v>3621</v>
      </c>
      <c r="AG7" s="109" t="s">
        <v>3621</v>
      </c>
      <c r="AH7" s="109" t="s">
        <v>3621</v>
      </c>
      <c r="AI7" s="109" t="s">
        <v>3621</v>
      </c>
      <c r="AJ7" s="109" t="s">
        <v>3621</v>
      </c>
      <c r="AK7" s="109" t="s">
        <v>3621</v>
      </c>
      <c r="AL7" s="109" t="s">
        <v>3621</v>
      </c>
      <c r="AM7" s="109" t="s">
        <v>3621</v>
      </c>
      <c r="AN7" s="109" t="s">
        <v>3621</v>
      </c>
      <c r="AO7" s="109" t="s">
        <v>3621</v>
      </c>
      <c r="AP7" s="109" t="s">
        <v>3621</v>
      </c>
      <c r="AQ7" s="109" t="s">
        <v>3621</v>
      </c>
      <c r="AR7" s="109" t="s">
        <v>3621</v>
      </c>
      <c r="AS7" s="109" t="s">
        <v>3621</v>
      </c>
      <c r="AT7" s="109" t="s">
        <v>3621</v>
      </c>
      <c r="AU7" s="109" t="s">
        <v>3621</v>
      </c>
      <c r="AV7" s="109" t="s">
        <v>3621</v>
      </c>
      <c r="AW7" s="109" t="s">
        <v>3621</v>
      </c>
      <c r="AX7" s="109" t="s">
        <v>3621</v>
      </c>
      <c r="AY7" s="109" t="s">
        <v>3621</v>
      </c>
      <c r="AZ7" s="109" t="s">
        <v>3621</v>
      </c>
      <c r="BA7" s="109" t="s">
        <v>3621</v>
      </c>
    </row>
    <row r="8" spans="2:53" x14ac:dyDescent="0.35">
      <c r="B8" s="113" t="s">
        <v>3576</v>
      </c>
      <c r="C8" s="50">
        <v>6</v>
      </c>
      <c r="D8" t="s">
        <v>4072</v>
      </c>
      <c r="E8" s="293">
        <v>45390</v>
      </c>
      <c r="F8" s="109">
        <v>1</v>
      </c>
      <c r="G8" s="292" cm="1">
        <f t="array" ref="G8">SUMPRODUCT(--(I8:BA8&gt;0))/COUNTA(I8:BA8)</f>
        <v>1</v>
      </c>
      <c r="H8" s="109">
        <v>0</v>
      </c>
      <c r="I8" s="109">
        <v>2</v>
      </c>
      <c r="J8" s="109">
        <v>30</v>
      </c>
      <c r="K8" s="109">
        <v>3</v>
      </c>
      <c r="L8" s="109">
        <v>3</v>
      </c>
      <c r="M8" s="109">
        <v>3</v>
      </c>
      <c r="N8" s="109">
        <v>2</v>
      </c>
      <c r="O8" s="109">
        <v>4</v>
      </c>
      <c r="P8" s="109">
        <v>34</v>
      </c>
      <c r="Q8" s="109">
        <v>2</v>
      </c>
      <c r="R8" s="109">
        <v>4</v>
      </c>
      <c r="S8" s="109">
        <v>34</v>
      </c>
      <c r="T8" s="109">
        <v>2</v>
      </c>
      <c r="U8" s="109">
        <v>15</v>
      </c>
      <c r="V8" s="109">
        <v>10</v>
      </c>
      <c r="W8" s="109">
        <v>10</v>
      </c>
      <c r="X8" s="109">
        <v>3</v>
      </c>
      <c r="Y8" s="109">
        <v>1</v>
      </c>
      <c r="Z8" s="109">
        <v>8</v>
      </c>
      <c r="AA8" s="109">
        <v>8</v>
      </c>
      <c r="AB8" s="109">
        <v>8</v>
      </c>
      <c r="AC8" s="109">
        <v>8</v>
      </c>
      <c r="AD8" s="109">
        <v>8</v>
      </c>
      <c r="AE8" s="109">
        <v>8</v>
      </c>
      <c r="AF8" s="109">
        <v>4</v>
      </c>
      <c r="AG8" s="109">
        <v>4</v>
      </c>
      <c r="AH8" s="109">
        <v>8</v>
      </c>
      <c r="AI8" s="109">
        <v>4</v>
      </c>
      <c r="AJ8" s="109">
        <v>8</v>
      </c>
      <c r="AK8" s="109">
        <v>8</v>
      </c>
      <c r="AL8" s="109">
        <v>3</v>
      </c>
      <c r="AM8" s="109">
        <v>3</v>
      </c>
      <c r="AN8" s="109">
        <v>8</v>
      </c>
      <c r="AO8" s="109">
        <v>8</v>
      </c>
      <c r="AP8" s="109">
        <v>8</v>
      </c>
      <c r="AQ8" s="109">
        <v>3</v>
      </c>
      <c r="AR8" s="109">
        <v>3</v>
      </c>
      <c r="AS8" s="109">
        <v>8</v>
      </c>
      <c r="AT8" s="109">
        <v>8</v>
      </c>
      <c r="AU8" s="109">
        <v>8</v>
      </c>
      <c r="AV8" s="109">
        <v>1</v>
      </c>
      <c r="AW8" s="109">
        <v>3</v>
      </c>
      <c r="AX8" s="109">
        <v>3</v>
      </c>
      <c r="AY8" s="109">
        <v>2</v>
      </c>
      <c r="AZ8" s="109">
        <v>10</v>
      </c>
      <c r="BA8" s="109">
        <v>22</v>
      </c>
    </row>
    <row r="9" spans="2:53" x14ac:dyDescent="0.35">
      <c r="B9" s="50" t="s">
        <v>3579</v>
      </c>
      <c r="C9" s="50">
        <v>7</v>
      </c>
      <c r="D9" t="s">
        <v>4073</v>
      </c>
      <c r="E9" s="293">
        <v>45390</v>
      </c>
      <c r="F9" s="109">
        <v>1</v>
      </c>
      <c r="G9" s="292" cm="1">
        <f t="array" ref="G9">SUMPRODUCT(--(I9:BA9 &lt;= I28:BA28))/COUNTA(I28:BA28)</f>
        <v>0.8666666666666667</v>
      </c>
      <c r="H9" s="109">
        <v>0</v>
      </c>
      <c r="I9" s="109">
        <v>2</v>
      </c>
      <c r="J9" s="109">
        <v>30</v>
      </c>
      <c r="K9" s="109">
        <v>3</v>
      </c>
      <c r="L9" s="109">
        <v>3</v>
      </c>
      <c r="M9" s="109">
        <v>3</v>
      </c>
      <c r="N9" s="109">
        <v>4</v>
      </c>
      <c r="O9" s="109">
        <v>30</v>
      </c>
      <c r="P9" s="109">
        <v>34</v>
      </c>
      <c r="Q9" s="109">
        <v>4</v>
      </c>
      <c r="R9" s="109">
        <v>30</v>
      </c>
      <c r="S9" s="109">
        <v>34</v>
      </c>
      <c r="T9" s="109">
        <v>2</v>
      </c>
      <c r="U9" s="109">
        <v>15</v>
      </c>
      <c r="V9" s="109">
        <v>10</v>
      </c>
      <c r="W9" s="109">
        <v>10</v>
      </c>
      <c r="X9" s="109">
        <v>3</v>
      </c>
      <c r="Y9" s="109">
        <v>1</v>
      </c>
      <c r="Z9" s="109">
        <v>16</v>
      </c>
      <c r="AA9" s="109">
        <v>16</v>
      </c>
      <c r="AB9" s="109">
        <v>10</v>
      </c>
      <c r="AC9" s="109">
        <v>15</v>
      </c>
      <c r="AD9" s="109">
        <v>15</v>
      </c>
      <c r="AE9" s="109">
        <v>11</v>
      </c>
      <c r="AF9" s="109">
        <v>19</v>
      </c>
      <c r="AG9" s="109">
        <v>10</v>
      </c>
      <c r="AH9" s="109">
        <v>16</v>
      </c>
      <c r="AI9" s="109">
        <v>10</v>
      </c>
      <c r="AJ9" s="109">
        <v>16</v>
      </c>
      <c r="AK9" s="109">
        <v>15</v>
      </c>
      <c r="AL9" s="109">
        <v>4</v>
      </c>
      <c r="AM9" s="109">
        <v>4</v>
      </c>
      <c r="AN9" s="109">
        <v>9</v>
      </c>
      <c r="AO9" s="109">
        <v>8</v>
      </c>
      <c r="AP9" s="109">
        <v>8</v>
      </c>
      <c r="AQ9" s="109">
        <v>4</v>
      </c>
      <c r="AR9" s="109">
        <v>4</v>
      </c>
      <c r="AS9" s="109">
        <v>9</v>
      </c>
      <c r="AT9" s="109">
        <v>8</v>
      </c>
      <c r="AU9" s="109">
        <v>8</v>
      </c>
      <c r="AV9" s="109">
        <v>4</v>
      </c>
      <c r="AW9" s="109">
        <v>3</v>
      </c>
      <c r="AX9" s="109">
        <v>3</v>
      </c>
      <c r="AY9" s="109">
        <v>2</v>
      </c>
      <c r="AZ9" s="109">
        <v>10</v>
      </c>
      <c r="BA9" s="109">
        <v>22</v>
      </c>
    </row>
    <row r="10" spans="2:53" x14ac:dyDescent="0.35">
      <c r="B10" s="50" t="s">
        <v>3582</v>
      </c>
      <c r="C10" s="50">
        <v>8</v>
      </c>
      <c r="D10" t="s">
        <v>4074</v>
      </c>
      <c r="E10" s="293">
        <v>45390</v>
      </c>
      <c r="F10" s="109">
        <v>1</v>
      </c>
      <c r="G10" s="292" t="s">
        <v>3621</v>
      </c>
      <c r="H10" s="109">
        <v>0</v>
      </c>
      <c r="I10" s="109">
        <v>31</v>
      </c>
      <c r="J10" s="109" t="s">
        <v>4075</v>
      </c>
      <c r="K10" s="109" t="s">
        <v>4076</v>
      </c>
      <c r="L10" s="109">
        <v>0</v>
      </c>
      <c r="M10" s="109">
        <v>9</v>
      </c>
      <c r="N10" s="109" t="e">
        <v>#N/A</v>
      </c>
      <c r="O10" s="109" t="e">
        <v>#N/A</v>
      </c>
      <c r="P10" s="109">
        <v>7.7800000002008096E+21</v>
      </c>
      <c r="Q10" s="109" t="e">
        <v>#N/A</v>
      </c>
      <c r="R10" s="109" t="e">
        <v>#N/A</v>
      </c>
      <c r="S10" s="109">
        <v>7.7800000002008096E+21</v>
      </c>
      <c r="T10" s="109">
        <v>31</v>
      </c>
      <c r="U10" s="109">
        <v>19950000013</v>
      </c>
      <c r="V10" s="293">
        <v>32265</v>
      </c>
      <c r="W10" s="293">
        <v>36313</v>
      </c>
      <c r="X10" s="109">
        <v>978</v>
      </c>
      <c r="Y10" s="293">
        <v>0</v>
      </c>
      <c r="Z10" s="293">
        <v>-48901888000000</v>
      </c>
      <c r="AA10" s="291">
        <v>-50082278400000</v>
      </c>
      <c r="AB10" s="109" t="s">
        <v>3630</v>
      </c>
      <c r="AC10" s="293">
        <v>-11976360000</v>
      </c>
      <c r="AD10" s="291">
        <v>-1240000000000</v>
      </c>
      <c r="AE10" s="109" t="s">
        <v>3630</v>
      </c>
      <c r="AF10" s="109" t="e">
        <v>#N/A</v>
      </c>
      <c r="AG10" s="293" t="e">
        <v>#N/A</v>
      </c>
      <c r="AH10" s="109" t="s">
        <v>3630</v>
      </c>
      <c r="AI10" s="109" t="e">
        <v>#N/A</v>
      </c>
      <c r="AJ10" s="109" t="s">
        <v>3630</v>
      </c>
      <c r="AK10" s="291" t="s">
        <v>3630</v>
      </c>
      <c r="AL10" s="109" t="e">
        <v>#N/A</v>
      </c>
      <c r="AM10" s="291" t="e">
        <v>#N/A</v>
      </c>
      <c r="AN10" s="291" t="s">
        <v>4077</v>
      </c>
      <c r="AO10" s="109" t="s">
        <v>3630</v>
      </c>
      <c r="AP10" s="109" t="s">
        <v>3630</v>
      </c>
      <c r="AQ10" s="109" t="e">
        <v>#N/A</v>
      </c>
      <c r="AR10" s="109" t="e">
        <v>#N/A</v>
      </c>
      <c r="AS10" s="109" t="s">
        <v>4078</v>
      </c>
      <c r="AT10" s="109" t="s">
        <v>3630</v>
      </c>
      <c r="AU10" s="109" t="s">
        <v>3630</v>
      </c>
      <c r="AV10" s="109" t="e">
        <v>#N/A</v>
      </c>
      <c r="AW10" s="109" t="s">
        <v>3631</v>
      </c>
      <c r="AX10" s="109" t="s">
        <v>3632</v>
      </c>
      <c r="AY10" s="109" t="s">
        <v>3749</v>
      </c>
      <c r="AZ10" s="293">
        <v>45390</v>
      </c>
      <c r="BA10" s="109" t="s">
        <v>4079</v>
      </c>
    </row>
    <row r="11" spans="2:53" x14ac:dyDescent="0.35">
      <c r="B11" s="50" t="s">
        <v>3584</v>
      </c>
      <c r="C11" s="50">
        <v>9</v>
      </c>
      <c r="D11" t="s">
        <v>4080</v>
      </c>
      <c r="E11" s="293">
        <v>45390</v>
      </c>
      <c r="F11" s="109">
        <v>1</v>
      </c>
      <c r="G11" s="292" t="s">
        <v>3621</v>
      </c>
      <c r="H11" s="109">
        <v>0</v>
      </c>
      <c r="I11" s="109">
        <v>31</v>
      </c>
      <c r="J11" s="109" t="s">
        <v>4075</v>
      </c>
      <c r="K11" s="109" t="s">
        <v>4076</v>
      </c>
      <c r="L11" s="109">
        <v>0</v>
      </c>
      <c r="M11" s="109">
        <v>9</v>
      </c>
      <c r="N11" s="109" t="e">
        <v>#N/A</v>
      </c>
      <c r="O11" s="109" t="e">
        <v>#N/A</v>
      </c>
      <c r="P11" s="109">
        <v>7.7800000002008096E+21</v>
      </c>
      <c r="Q11" s="109" t="e">
        <v>#N/A</v>
      </c>
      <c r="R11" s="109" t="e">
        <v>#N/A</v>
      </c>
      <c r="S11" s="109">
        <v>7.7800000002008096E+21</v>
      </c>
      <c r="T11" s="109">
        <v>31</v>
      </c>
      <c r="U11" s="109">
        <v>19950000013</v>
      </c>
      <c r="V11" s="293">
        <v>32265</v>
      </c>
      <c r="W11" s="293">
        <v>36313</v>
      </c>
      <c r="X11" s="109">
        <v>978</v>
      </c>
      <c r="Y11" s="293">
        <v>0</v>
      </c>
      <c r="Z11" s="293">
        <v>-48901888000000</v>
      </c>
      <c r="AA11" s="291">
        <v>-50082278400000</v>
      </c>
      <c r="AB11" s="109" t="s">
        <v>3630</v>
      </c>
      <c r="AC11" s="293">
        <v>-11976360000</v>
      </c>
      <c r="AD11" s="291">
        <v>-1240000000000</v>
      </c>
      <c r="AE11" s="109" t="s">
        <v>3630</v>
      </c>
      <c r="AF11" s="109" t="e">
        <v>#N/A</v>
      </c>
      <c r="AG11" s="293" t="e">
        <v>#N/A</v>
      </c>
      <c r="AH11" s="109" t="s">
        <v>3630</v>
      </c>
      <c r="AI11" s="109" t="e">
        <v>#N/A</v>
      </c>
      <c r="AJ11" s="109" t="s">
        <v>3630</v>
      </c>
      <c r="AK11" s="291" t="s">
        <v>3630</v>
      </c>
      <c r="AL11" s="109" t="e">
        <v>#N/A</v>
      </c>
      <c r="AM11" s="291" t="e">
        <v>#N/A</v>
      </c>
      <c r="AN11" s="291" t="s">
        <v>4077</v>
      </c>
      <c r="AO11" s="109" t="s">
        <v>3630</v>
      </c>
      <c r="AP11" s="109" t="s">
        <v>3630</v>
      </c>
      <c r="AQ11" s="109" t="e">
        <v>#N/A</v>
      </c>
      <c r="AR11" s="109" t="e">
        <v>#N/A</v>
      </c>
      <c r="AS11" s="109" t="s">
        <v>4078</v>
      </c>
      <c r="AT11" s="109" t="s">
        <v>3630</v>
      </c>
      <c r="AU11" s="109" t="s">
        <v>3630</v>
      </c>
      <c r="AV11" s="109" t="e">
        <v>#N/A</v>
      </c>
      <c r="AW11" s="109" t="s">
        <v>3631</v>
      </c>
      <c r="AX11" s="109" t="s">
        <v>3632</v>
      </c>
      <c r="AY11" s="109" t="s">
        <v>3749</v>
      </c>
      <c r="AZ11" s="293">
        <v>45390</v>
      </c>
      <c r="BA11" s="109" t="s">
        <v>4079</v>
      </c>
    </row>
    <row r="12" spans="2:53" x14ac:dyDescent="0.35">
      <c r="B12" s="113" t="s">
        <v>3586</v>
      </c>
      <c r="C12" s="50">
        <v>10</v>
      </c>
      <c r="D12" t="s">
        <v>4081</v>
      </c>
      <c r="E12" s="293">
        <v>45390</v>
      </c>
      <c r="F12" s="109">
        <v>1</v>
      </c>
      <c r="G12" s="292" t="s">
        <v>3621</v>
      </c>
      <c r="H12" s="109">
        <v>0</v>
      </c>
      <c r="I12" s="109">
        <v>89</v>
      </c>
      <c r="J12" s="109">
        <v>3.1172498702899997E+26</v>
      </c>
      <c r="K12" s="109" t="s">
        <v>4076</v>
      </c>
      <c r="L12" s="109" t="s">
        <v>4082</v>
      </c>
      <c r="M12" s="109" t="s">
        <v>4083</v>
      </c>
      <c r="N12" s="109">
        <v>31</v>
      </c>
      <c r="O12" s="109">
        <v>2.3930278393702E+29</v>
      </c>
      <c r="P12" s="109" t="s">
        <v>3992</v>
      </c>
      <c r="Q12" s="109">
        <v>31</v>
      </c>
      <c r="R12" s="109">
        <v>2.3930278393702E+29</v>
      </c>
      <c r="S12" s="109" t="s">
        <v>3992</v>
      </c>
      <c r="T12" s="109">
        <v>31</v>
      </c>
      <c r="U12" s="109">
        <v>20240000133</v>
      </c>
      <c r="V12" s="293">
        <v>45390</v>
      </c>
      <c r="W12" s="293">
        <v>2958465</v>
      </c>
      <c r="X12" s="109" t="s">
        <v>3995</v>
      </c>
      <c r="Y12" s="293">
        <v>1</v>
      </c>
      <c r="Z12" s="293">
        <v>199999961040000</v>
      </c>
      <c r="AA12" s="291">
        <v>180235937460000</v>
      </c>
      <c r="AB12" s="291">
        <v>100000000</v>
      </c>
      <c r="AC12" s="293">
        <v>37950000000000</v>
      </c>
      <c r="AD12" s="291">
        <v>5165000000000</v>
      </c>
      <c r="AE12" s="291">
        <v>8835980000</v>
      </c>
      <c r="AF12" s="295">
        <v>47845</v>
      </c>
      <c r="AG12" s="293">
        <v>45391</v>
      </c>
      <c r="AH12" s="291">
        <v>171783440160000</v>
      </c>
      <c r="AI12" s="291">
        <v>45391</v>
      </c>
      <c r="AJ12" s="291">
        <v>199999961040000</v>
      </c>
      <c r="AK12" s="291">
        <v>37950000000000</v>
      </c>
      <c r="AL12" s="291" t="s">
        <v>3700</v>
      </c>
      <c r="AM12" s="291" t="s">
        <v>4084</v>
      </c>
      <c r="AN12" s="291" t="s">
        <v>4085</v>
      </c>
      <c r="AO12" s="291">
        <v>5750000</v>
      </c>
      <c r="AP12" s="291">
        <v>5750000</v>
      </c>
      <c r="AQ12" s="109" t="s">
        <v>3700</v>
      </c>
      <c r="AR12" s="291" t="s">
        <v>4086</v>
      </c>
      <c r="AS12" s="291">
        <v>4160000</v>
      </c>
      <c r="AT12" s="291">
        <v>5000000</v>
      </c>
      <c r="AU12" s="291">
        <v>8923000</v>
      </c>
      <c r="AV12" s="291">
        <v>1</v>
      </c>
      <c r="AW12" s="291" t="s">
        <v>3640</v>
      </c>
      <c r="AX12" s="291" t="s">
        <v>3632</v>
      </c>
      <c r="AY12" s="109" t="s">
        <v>3641</v>
      </c>
      <c r="AZ12" s="293">
        <v>45390</v>
      </c>
      <c r="BA12" s="109" t="s">
        <v>4079</v>
      </c>
    </row>
    <row r="13" spans="2:53" x14ac:dyDescent="0.35">
      <c r="B13" s="50" t="s">
        <v>3588</v>
      </c>
      <c r="C13" s="50">
        <v>11</v>
      </c>
      <c r="D13" t="s">
        <v>4087</v>
      </c>
      <c r="E13" s="293">
        <v>45390</v>
      </c>
      <c r="F13" s="109">
        <v>1</v>
      </c>
      <c r="G13" s="292" t="s">
        <v>3621</v>
      </c>
      <c r="H13" s="109">
        <v>0</v>
      </c>
      <c r="I13" s="109">
        <v>89</v>
      </c>
      <c r="J13" s="109">
        <v>3.1172498702899997E+26</v>
      </c>
      <c r="K13" s="109" t="s">
        <v>4076</v>
      </c>
      <c r="L13" s="109" t="s">
        <v>4082</v>
      </c>
      <c r="M13" s="109" t="s">
        <v>4083</v>
      </c>
      <c r="N13" s="109">
        <v>31</v>
      </c>
      <c r="O13" s="109">
        <v>2.3930278393702E+29</v>
      </c>
      <c r="P13" s="109" t="s">
        <v>3992</v>
      </c>
      <c r="Q13" s="109">
        <v>31</v>
      </c>
      <c r="R13" s="109">
        <v>2.3930278393702E+29</v>
      </c>
      <c r="S13" s="109" t="s">
        <v>3992</v>
      </c>
      <c r="T13" s="109">
        <v>31</v>
      </c>
      <c r="U13" s="109">
        <v>20240000133</v>
      </c>
      <c r="V13" s="293">
        <v>45390</v>
      </c>
      <c r="W13" s="293">
        <v>2958465</v>
      </c>
      <c r="X13" s="109" t="s">
        <v>3995</v>
      </c>
      <c r="Y13" s="293">
        <v>1</v>
      </c>
      <c r="Z13" s="293">
        <v>199999961040000</v>
      </c>
      <c r="AA13" s="291">
        <v>180235937460000</v>
      </c>
      <c r="AB13" s="291">
        <v>100000000</v>
      </c>
      <c r="AC13" s="293">
        <v>37950000000000</v>
      </c>
      <c r="AD13" s="291">
        <v>5165000000000</v>
      </c>
      <c r="AE13" s="291">
        <v>8835980000</v>
      </c>
      <c r="AF13" s="295">
        <v>47845</v>
      </c>
      <c r="AG13" s="293">
        <v>45391</v>
      </c>
      <c r="AH13" s="291">
        <v>171783440160000</v>
      </c>
      <c r="AI13" s="291">
        <v>45391</v>
      </c>
      <c r="AJ13" s="291">
        <v>199999961040000</v>
      </c>
      <c r="AK13" s="291">
        <v>37950000000000</v>
      </c>
      <c r="AL13" s="291" t="s">
        <v>3700</v>
      </c>
      <c r="AM13" s="291" t="s">
        <v>4084</v>
      </c>
      <c r="AN13" s="291" t="s">
        <v>4085</v>
      </c>
      <c r="AO13" s="291">
        <v>5750000</v>
      </c>
      <c r="AP13" s="291">
        <v>5750000</v>
      </c>
      <c r="AQ13" s="109" t="s">
        <v>3700</v>
      </c>
      <c r="AR13" s="291" t="s">
        <v>4086</v>
      </c>
      <c r="AS13" s="291">
        <v>4160000</v>
      </c>
      <c r="AT13" s="291">
        <v>5000000</v>
      </c>
      <c r="AU13" s="291">
        <v>8923000</v>
      </c>
      <c r="AV13" s="291">
        <v>1</v>
      </c>
      <c r="AW13" s="291" t="s">
        <v>3640</v>
      </c>
      <c r="AX13" s="291" t="s">
        <v>3632</v>
      </c>
      <c r="AY13" s="109" t="s">
        <v>3641</v>
      </c>
      <c r="AZ13" s="293">
        <v>45390</v>
      </c>
      <c r="BA13" s="109" t="s">
        <v>4079</v>
      </c>
    </row>
    <row r="14" spans="2:53" x14ac:dyDescent="0.35">
      <c r="B14" s="50" t="s">
        <v>3590</v>
      </c>
      <c r="C14" s="50">
        <v>12</v>
      </c>
      <c r="D14" t="s">
        <v>4088</v>
      </c>
      <c r="E14" s="293">
        <v>45390</v>
      </c>
      <c r="F14" s="109">
        <v>1</v>
      </c>
      <c r="G14" s="292">
        <v>0.33333299999999999</v>
      </c>
      <c r="H14" s="109">
        <v>0</v>
      </c>
      <c r="I14" s="109">
        <v>0</v>
      </c>
      <c r="J14" s="109">
        <v>0</v>
      </c>
      <c r="K14" s="109">
        <v>0</v>
      </c>
      <c r="L14" s="109">
        <v>0</v>
      </c>
      <c r="M14" s="109">
        <v>3</v>
      </c>
      <c r="N14" s="109">
        <v>5</v>
      </c>
      <c r="O14" s="109">
        <v>5</v>
      </c>
      <c r="P14" s="109">
        <v>7669</v>
      </c>
      <c r="Q14" s="109">
        <v>9</v>
      </c>
      <c r="R14" s="109">
        <v>9</v>
      </c>
      <c r="S14" s="109">
        <v>7669</v>
      </c>
      <c r="T14" s="109">
        <v>9</v>
      </c>
      <c r="U14" s="109">
        <v>9</v>
      </c>
      <c r="V14" s="109">
        <v>0</v>
      </c>
      <c r="W14" s="109">
        <v>0</v>
      </c>
      <c r="X14" s="109">
        <v>0</v>
      </c>
      <c r="Y14" s="109">
        <v>0</v>
      </c>
      <c r="Z14" s="109">
        <v>9</v>
      </c>
      <c r="AA14" s="109">
        <v>481</v>
      </c>
      <c r="AB14" s="109">
        <v>9</v>
      </c>
      <c r="AC14" s="109">
        <v>3</v>
      </c>
      <c r="AD14" s="109">
        <v>42</v>
      </c>
      <c r="AE14" s="109">
        <v>0</v>
      </c>
      <c r="AF14" s="109">
        <v>932</v>
      </c>
      <c r="AG14" s="109">
        <v>932</v>
      </c>
      <c r="AH14" s="109">
        <v>9</v>
      </c>
      <c r="AI14" s="109">
        <v>78201</v>
      </c>
      <c r="AJ14" s="109">
        <v>87148</v>
      </c>
      <c r="AK14" s="109">
        <v>9001</v>
      </c>
      <c r="AL14" s="109">
        <v>9</v>
      </c>
      <c r="AM14" s="109">
        <v>9</v>
      </c>
      <c r="AN14" s="109">
        <v>9</v>
      </c>
      <c r="AO14" s="109">
        <v>9</v>
      </c>
      <c r="AP14" s="109">
        <v>9</v>
      </c>
      <c r="AQ14" s="109">
        <v>9</v>
      </c>
      <c r="AR14" s="109">
        <v>9</v>
      </c>
      <c r="AS14" s="109">
        <v>9</v>
      </c>
      <c r="AT14" s="109">
        <v>9</v>
      </c>
      <c r="AU14" s="109">
        <v>9</v>
      </c>
      <c r="AV14" s="109">
        <v>0</v>
      </c>
      <c r="AW14" s="109">
        <v>0</v>
      </c>
      <c r="AX14" s="109">
        <v>0</v>
      </c>
      <c r="AY14" s="109">
        <v>0</v>
      </c>
      <c r="AZ14" s="109">
        <v>0</v>
      </c>
      <c r="BA14" s="109">
        <v>0</v>
      </c>
    </row>
    <row r="15" spans="2:53" x14ac:dyDescent="0.35">
      <c r="B15" s="50" t="s">
        <v>3592</v>
      </c>
      <c r="C15" s="50">
        <v>13</v>
      </c>
      <c r="D15" t="s">
        <v>4089</v>
      </c>
      <c r="E15" s="293">
        <v>45390</v>
      </c>
      <c r="F15" s="109">
        <v>1</v>
      </c>
      <c r="G15" s="292">
        <v>1</v>
      </c>
      <c r="H15" s="109">
        <v>0</v>
      </c>
      <c r="I15" s="109" t="s">
        <v>3621</v>
      </c>
      <c r="J15" s="109" t="s">
        <v>3621</v>
      </c>
      <c r="K15" s="109" t="s">
        <v>3621</v>
      </c>
      <c r="L15" s="109" t="s">
        <v>3621</v>
      </c>
      <c r="M15" s="109" t="s">
        <v>3621</v>
      </c>
      <c r="N15" s="109" t="s">
        <v>3621</v>
      </c>
      <c r="O15" s="109" t="s">
        <v>3621</v>
      </c>
      <c r="P15" s="109" t="s">
        <v>3621</v>
      </c>
      <c r="Q15" s="109" t="s">
        <v>3621</v>
      </c>
      <c r="R15" s="109" t="s">
        <v>3621</v>
      </c>
      <c r="S15" s="109" t="s">
        <v>3621</v>
      </c>
      <c r="T15" s="109" t="s">
        <v>3621</v>
      </c>
      <c r="U15" s="109" t="s">
        <v>3621</v>
      </c>
      <c r="V15" s="109">
        <v>0</v>
      </c>
      <c r="W15" s="109">
        <v>0</v>
      </c>
      <c r="X15" s="109" t="s">
        <v>3621</v>
      </c>
      <c r="Y15" s="109" t="s">
        <v>3621</v>
      </c>
      <c r="Z15" s="109" t="s">
        <v>3621</v>
      </c>
      <c r="AA15" s="109" t="s">
        <v>3621</v>
      </c>
      <c r="AB15" s="109" t="s">
        <v>3621</v>
      </c>
      <c r="AC15" s="109" t="s">
        <v>3621</v>
      </c>
      <c r="AD15" s="109" t="s">
        <v>3621</v>
      </c>
      <c r="AE15" s="109" t="s">
        <v>3621</v>
      </c>
      <c r="AF15" s="109">
        <v>0</v>
      </c>
      <c r="AG15" s="109">
        <v>0</v>
      </c>
      <c r="AH15" s="109" t="s">
        <v>3621</v>
      </c>
      <c r="AI15" s="109">
        <v>0</v>
      </c>
      <c r="AJ15" s="109" t="s">
        <v>3621</v>
      </c>
      <c r="AK15" s="109" t="s">
        <v>3621</v>
      </c>
      <c r="AL15" s="109" t="s">
        <v>3621</v>
      </c>
      <c r="AM15" s="109" t="s">
        <v>3621</v>
      </c>
      <c r="AN15" s="109" t="s">
        <v>3621</v>
      </c>
      <c r="AO15" s="109" t="s">
        <v>3621</v>
      </c>
      <c r="AP15" s="109" t="s">
        <v>3621</v>
      </c>
      <c r="AQ15" s="109" t="s">
        <v>3621</v>
      </c>
      <c r="AR15" s="109" t="s">
        <v>3621</v>
      </c>
      <c r="AS15" s="109" t="s">
        <v>3621</v>
      </c>
      <c r="AT15" s="109" t="s">
        <v>3621</v>
      </c>
      <c r="AU15" s="109" t="s">
        <v>3621</v>
      </c>
      <c r="AV15" s="109" t="s">
        <v>3621</v>
      </c>
      <c r="AW15" s="109" t="s">
        <v>3621</v>
      </c>
      <c r="AX15" s="109" t="s">
        <v>3621</v>
      </c>
      <c r="AY15" s="109" t="s">
        <v>3621</v>
      </c>
      <c r="AZ15" s="109" t="s">
        <v>3621</v>
      </c>
      <c r="BA15" s="109" t="s">
        <v>3621</v>
      </c>
    </row>
    <row r="16" spans="2:53" x14ac:dyDescent="0.35">
      <c r="B16" s="50" t="s">
        <v>3594</v>
      </c>
      <c r="C16" s="50">
        <v>14</v>
      </c>
      <c r="D16" t="s">
        <v>4090</v>
      </c>
      <c r="E16" s="293">
        <v>45390</v>
      </c>
      <c r="F16" s="109">
        <v>1</v>
      </c>
      <c r="G16" s="292">
        <v>1</v>
      </c>
      <c r="H16" s="109">
        <v>0</v>
      </c>
      <c r="I16" s="109" t="s">
        <v>3621</v>
      </c>
      <c r="J16" s="109" t="s">
        <v>3621</v>
      </c>
      <c r="K16" s="109">
        <v>0</v>
      </c>
      <c r="L16" s="109">
        <v>0</v>
      </c>
      <c r="M16" s="109">
        <v>0</v>
      </c>
      <c r="N16" s="109" t="s">
        <v>3621</v>
      </c>
      <c r="O16" s="109" t="s">
        <v>3621</v>
      </c>
      <c r="P16" s="109">
        <v>0</v>
      </c>
      <c r="Q16" s="109" t="s">
        <v>3621</v>
      </c>
      <c r="R16" s="109" t="s">
        <v>3621</v>
      </c>
      <c r="S16" s="109">
        <v>0</v>
      </c>
      <c r="T16" s="109" t="s">
        <v>3621</v>
      </c>
      <c r="U16" s="109" t="s">
        <v>3621</v>
      </c>
      <c r="V16" s="296" t="s">
        <v>3621</v>
      </c>
      <c r="W16" s="296" t="s">
        <v>3621</v>
      </c>
      <c r="X16" s="109">
        <v>0</v>
      </c>
      <c r="Y16" s="296">
        <v>0</v>
      </c>
      <c r="Z16" s="296" t="s">
        <v>3621</v>
      </c>
      <c r="AA16" s="109" t="s">
        <v>3621</v>
      </c>
      <c r="AB16" s="109" t="s">
        <v>3621</v>
      </c>
      <c r="AC16" s="296" t="s">
        <v>3621</v>
      </c>
      <c r="AD16" s="109" t="s">
        <v>3621</v>
      </c>
      <c r="AE16" s="109" t="s">
        <v>3621</v>
      </c>
      <c r="AF16" s="109" t="s">
        <v>3621</v>
      </c>
      <c r="AG16" s="296" t="s">
        <v>3621</v>
      </c>
      <c r="AH16" s="109" t="s">
        <v>3621</v>
      </c>
      <c r="AI16" s="109" t="s">
        <v>3621</v>
      </c>
      <c r="AJ16" s="109" t="s">
        <v>3621</v>
      </c>
      <c r="AK16" s="109" t="s">
        <v>3621</v>
      </c>
      <c r="AL16" s="109">
        <v>0</v>
      </c>
      <c r="AM16" s="109">
        <v>0</v>
      </c>
      <c r="AN16" s="109" t="s">
        <v>3621</v>
      </c>
      <c r="AO16" s="109" t="s">
        <v>3621</v>
      </c>
      <c r="AP16" s="109" t="s">
        <v>3621</v>
      </c>
      <c r="AQ16" s="109">
        <v>0</v>
      </c>
      <c r="AR16" s="109">
        <v>0</v>
      </c>
      <c r="AS16" s="109" t="s">
        <v>3621</v>
      </c>
      <c r="AT16" s="109" t="s">
        <v>3621</v>
      </c>
      <c r="AU16" s="109" t="s">
        <v>3621</v>
      </c>
      <c r="AV16" s="109">
        <v>0</v>
      </c>
      <c r="AW16" s="109">
        <v>0</v>
      </c>
      <c r="AX16" s="109">
        <v>0</v>
      </c>
      <c r="AY16" s="109">
        <v>0</v>
      </c>
      <c r="AZ16" s="109" t="s">
        <v>3621</v>
      </c>
      <c r="BA16" s="109" t="s">
        <v>3621</v>
      </c>
    </row>
    <row r="17" spans="2:53" x14ac:dyDescent="0.35">
      <c r="B17" s="50" t="s">
        <v>3596</v>
      </c>
      <c r="C17" s="50">
        <v>15</v>
      </c>
      <c r="D17" t="s">
        <v>4091</v>
      </c>
      <c r="E17" s="293">
        <v>45390</v>
      </c>
      <c r="F17" s="109">
        <v>1</v>
      </c>
      <c r="G17" s="292">
        <v>0.99992800000000004</v>
      </c>
      <c r="H17" s="109">
        <v>0</v>
      </c>
      <c r="I17" s="109" t="s">
        <v>3621</v>
      </c>
      <c r="J17" s="109" t="s">
        <v>3621</v>
      </c>
      <c r="K17" s="109" t="s">
        <v>3621</v>
      </c>
      <c r="L17" s="109" t="s">
        <v>3621</v>
      </c>
      <c r="M17" s="109" t="s">
        <v>3621</v>
      </c>
      <c r="N17" s="109" t="s">
        <v>3621</v>
      </c>
      <c r="O17" s="109" t="s">
        <v>3621</v>
      </c>
      <c r="P17" s="109" t="s">
        <v>3621</v>
      </c>
      <c r="Q17" s="109" t="s">
        <v>3621</v>
      </c>
      <c r="R17" s="109" t="s">
        <v>3621</v>
      </c>
      <c r="S17" s="109" t="s">
        <v>3621</v>
      </c>
      <c r="T17" s="109" t="s">
        <v>3621</v>
      </c>
      <c r="U17" s="109" t="s">
        <v>3621</v>
      </c>
      <c r="V17" s="109" t="s">
        <v>3621</v>
      </c>
      <c r="W17" s="109" t="s">
        <v>3621</v>
      </c>
      <c r="X17" s="109" t="s">
        <v>3621</v>
      </c>
      <c r="Y17" s="109" t="s">
        <v>3621</v>
      </c>
      <c r="Z17" s="109" t="s">
        <v>3621</v>
      </c>
      <c r="AA17" s="109" t="s">
        <v>3621</v>
      </c>
      <c r="AB17" s="109" t="s">
        <v>3621</v>
      </c>
      <c r="AC17" s="109" t="s">
        <v>3621</v>
      </c>
      <c r="AD17" s="109" t="s">
        <v>3621</v>
      </c>
      <c r="AE17" s="109" t="s">
        <v>3621</v>
      </c>
      <c r="AF17" s="109" t="s">
        <v>3621</v>
      </c>
      <c r="AG17" s="109" t="s">
        <v>3621</v>
      </c>
      <c r="AH17" s="109" t="s">
        <v>3621</v>
      </c>
      <c r="AI17" s="109" t="s">
        <v>3621</v>
      </c>
      <c r="AJ17" s="109" t="s">
        <v>3621</v>
      </c>
      <c r="AK17" s="109" t="s">
        <v>3621</v>
      </c>
      <c r="AL17" s="109" t="s">
        <v>3621</v>
      </c>
      <c r="AM17" s="109" t="s">
        <v>3621</v>
      </c>
      <c r="AN17" s="109" t="s">
        <v>3621</v>
      </c>
      <c r="AO17" s="109" t="s">
        <v>3621</v>
      </c>
      <c r="AP17" s="109" t="s">
        <v>3621</v>
      </c>
      <c r="AQ17" s="109" t="s">
        <v>3621</v>
      </c>
      <c r="AR17" s="109" t="s">
        <v>3621</v>
      </c>
      <c r="AS17" s="109" t="s">
        <v>3621</v>
      </c>
      <c r="AT17" s="109" t="s">
        <v>3621</v>
      </c>
      <c r="AU17" s="109" t="s">
        <v>3621</v>
      </c>
      <c r="AV17" s="109" t="s">
        <v>3621</v>
      </c>
      <c r="AW17" s="109" t="s">
        <v>3621</v>
      </c>
      <c r="AX17" s="109" t="s">
        <v>3621</v>
      </c>
      <c r="AY17" s="109" t="s">
        <v>3621</v>
      </c>
      <c r="AZ17" s="109" t="s">
        <v>3621</v>
      </c>
      <c r="BA17" s="109" t="s">
        <v>3621</v>
      </c>
    </row>
    <row r="18" spans="2:53" x14ac:dyDescent="0.35">
      <c r="B18" s="50" t="s">
        <v>3598</v>
      </c>
      <c r="C18" s="50">
        <v>16</v>
      </c>
      <c r="D18" t="s">
        <v>4091</v>
      </c>
      <c r="E18" s="293">
        <v>45390</v>
      </c>
      <c r="F18" s="109">
        <v>1</v>
      </c>
      <c r="G18" s="292">
        <v>0.99992800000000004</v>
      </c>
      <c r="H18" s="109">
        <v>0</v>
      </c>
      <c r="I18" s="109" t="s">
        <v>3621</v>
      </c>
      <c r="J18" s="109" t="s">
        <v>3621</v>
      </c>
      <c r="K18" s="109" t="s">
        <v>3621</v>
      </c>
      <c r="L18" s="109" t="s">
        <v>3621</v>
      </c>
      <c r="M18" s="109" t="s">
        <v>3621</v>
      </c>
      <c r="N18" s="109" t="s">
        <v>3621</v>
      </c>
      <c r="O18" s="109" t="s">
        <v>3621</v>
      </c>
      <c r="P18" s="109" t="s">
        <v>3621</v>
      </c>
      <c r="Q18" s="109" t="s">
        <v>3621</v>
      </c>
      <c r="R18" s="109" t="s">
        <v>3621</v>
      </c>
      <c r="S18" s="109" t="s">
        <v>3621</v>
      </c>
      <c r="T18" s="109" t="s">
        <v>3621</v>
      </c>
      <c r="U18" s="109" t="s">
        <v>3621</v>
      </c>
      <c r="V18" s="109" t="s">
        <v>3621</v>
      </c>
      <c r="W18" s="109" t="s">
        <v>3621</v>
      </c>
      <c r="X18" s="109" t="s">
        <v>3621</v>
      </c>
      <c r="Y18" s="109" t="s">
        <v>3621</v>
      </c>
      <c r="Z18" s="109" t="s">
        <v>3621</v>
      </c>
      <c r="AA18" s="109" t="s">
        <v>3621</v>
      </c>
      <c r="AB18" s="296" t="s">
        <v>3621</v>
      </c>
      <c r="AC18" s="109" t="s">
        <v>3621</v>
      </c>
      <c r="AD18" s="109" t="s">
        <v>3621</v>
      </c>
      <c r="AE18" s="109" t="s">
        <v>3621</v>
      </c>
      <c r="AF18" s="296" t="s">
        <v>3621</v>
      </c>
      <c r="AG18" s="109" t="s">
        <v>3621</v>
      </c>
      <c r="AH18" s="109" t="s">
        <v>3621</v>
      </c>
      <c r="AI18" s="109" t="s">
        <v>3621</v>
      </c>
      <c r="AJ18" s="109" t="s">
        <v>3621</v>
      </c>
      <c r="AK18" s="109" t="s">
        <v>3621</v>
      </c>
      <c r="AL18" s="109" t="s">
        <v>3621</v>
      </c>
      <c r="AM18" s="109" t="s">
        <v>3621</v>
      </c>
      <c r="AN18" s="109" t="s">
        <v>3621</v>
      </c>
      <c r="AO18" s="109" t="s">
        <v>3621</v>
      </c>
      <c r="AP18" s="109" t="s">
        <v>3621</v>
      </c>
      <c r="AQ18" s="109" t="s">
        <v>3621</v>
      </c>
      <c r="AR18" s="109" t="s">
        <v>3621</v>
      </c>
      <c r="AS18" s="109" t="s">
        <v>3621</v>
      </c>
      <c r="AT18" s="109" t="s">
        <v>3621</v>
      </c>
      <c r="AU18" s="109" t="s">
        <v>3621</v>
      </c>
      <c r="AV18" s="109" t="s">
        <v>3621</v>
      </c>
      <c r="AW18" s="109" t="s">
        <v>3621</v>
      </c>
      <c r="AX18" s="109" t="s">
        <v>3621</v>
      </c>
      <c r="AY18" s="109" t="s">
        <v>3621</v>
      </c>
      <c r="AZ18" s="109" t="s">
        <v>3621</v>
      </c>
      <c r="BA18" s="109" t="s">
        <v>3621</v>
      </c>
    </row>
    <row r="19" spans="2:53" x14ac:dyDescent="0.35">
      <c r="B19" s="50" t="s">
        <v>3600</v>
      </c>
      <c r="C19" s="50">
        <v>17</v>
      </c>
      <c r="D19" t="s">
        <v>4091</v>
      </c>
      <c r="E19" s="293">
        <v>45390</v>
      </c>
      <c r="F19" s="109">
        <v>1</v>
      </c>
      <c r="G19" s="225">
        <f>1-13292/H3</f>
        <v>0.89385760373079504</v>
      </c>
      <c r="H19" s="50">
        <v>13292</v>
      </c>
      <c r="I19" s="109" t="s">
        <v>3621</v>
      </c>
      <c r="J19" s="109" t="s">
        <v>3621</v>
      </c>
      <c r="K19" s="109" t="s">
        <v>3621</v>
      </c>
      <c r="L19" s="109" t="s">
        <v>3621</v>
      </c>
      <c r="M19" s="109" t="s">
        <v>3621</v>
      </c>
      <c r="N19" s="109" t="s">
        <v>3621</v>
      </c>
      <c r="O19" s="109" t="s">
        <v>3621</v>
      </c>
      <c r="P19" s="109" t="s">
        <v>3621</v>
      </c>
      <c r="Q19" s="109" t="s">
        <v>3621</v>
      </c>
      <c r="R19" s="109" t="s">
        <v>3621</v>
      </c>
      <c r="S19" s="109" t="s">
        <v>3621</v>
      </c>
      <c r="T19" s="109" t="s">
        <v>3621</v>
      </c>
      <c r="U19" s="109" t="s">
        <v>3621</v>
      </c>
      <c r="V19" s="109" t="s">
        <v>3621</v>
      </c>
      <c r="W19" s="109" t="s">
        <v>3621</v>
      </c>
      <c r="X19" s="109" t="s">
        <v>3621</v>
      </c>
      <c r="Y19" s="109" t="s">
        <v>3621</v>
      </c>
      <c r="Z19" s="109" t="s">
        <v>3621</v>
      </c>
      <c r="AA19" s="109" t="s">
        <v>3621</v>
      </c>
      <c r="AB19" s="109" t="s">
        <v>3621</v>
      </c>
      <c r="AC19" s="109" t="s">
        <v>3621</v>
      </c>
      <c r="AD19" s="109" t="s">
        <v>3621</v>
      </c>
      <c r="AE19" s="109" t="s">
        <v>3621</v>
      </c>
      <c r="AF19" s="109" t="s">
        <v>3621</v>
      </c>
      <c r="AG19" s="109" t="s">
        <v>3621</v>
      </c>
      <c r="AH19" s="109" t="s">
        <v>3621</v>
      </c>
      <c r="AI19" s="109" t="s">
        <v>3621</v>
      </c>
      <c r="AJ19" s="109" t="s">
        <v>3621</v>
      </c>
      <c r="AK19" s="109" t="s">
        <v>3621</v>
      </c>
      <c r="AL19" s="109" t="s">
        <v>3621</v>
      </c>
      <c r="AM19" s="109" t="s">
        <v>3621</v>
      </c>
      <c r="AN19" s="109" t="s">
        <v>3621</v>
      </c>
      <c r="AO19" s="109" t="s">
        <v>3621</v>
      </c>
      <c r="AP19" s="109" t="s">
        <v>3621</v>
      </c>
      <c r="AQ19" s="109" t="s">
        <v>3621</v>
      </c>
      <c r="AR19" s="109" t="s">
        <v>3621</v>
      </c>
      <c r="AS19" s="109" t="s">
        <v>3621</v>
      </c>
      <c r="AT19" s="109" t="s">
        <v>3621</v>
      </c>
      <c r="AU19" s="109" t="s">
        <v>3621</v>
      </c>
      <c r="AV19" s="109" t="s">
        <v>3621</v>
      </c>
      <c r="AW19" s="109" t="s">
        <v>3621</v>
      </c>
      <c r="AX19" s="109" t="s">
        <v>3621</v>
      </c>
      <c r="AY19" s="109" t="s">
        <v>3621</v>
      </c>
      <c r="AZ19" s="109" t="s">
        <v>3621</v>
      </c>
      <c r="BA19" s="109" t="s">
        <v>3621</v>
      </c>
    </row>
    <row r="20" spans="2:53" x14ac:dyDescent="0.35">
      <c r="B20" s="50" t="s">
        <v>3602</v>
      </c>
      <c r="C20" s="50">
        <v>18</v>
      </c>
      <c r="D20" t="s">
        <v>4091</v>
      </c>
      <c r="E20" s="293">
        <v>45390</v>
      </c>
      <c r="F20" s="109">
        <v>1</v>
      </c>
      <c r="G20" s="225">
        <f>1 - 3682/199733</f>
        <v>0.98156538979537677</v>
      </c>
      <c r="H20" s="50">
        <v>3682</v>
      </c>
      <c r="I20" s="109" t="s">
        <v>3621</v>
      </c>
      <c r="J20" s="109" t="s">
        <v>3621</v>
      </c>
      <c r="K20" s="109" t="s">
        <v>3621</v>
      </c>
      <c r="L20" s="109" t="s">
        <v>3621</v>
      </c>
      <c r="M20" s="109" t="s">
        <v>3621</v>
      </c>
      <c r="N20" s="109" t="s">
        <v>3621</v>
      </c>
      <c r="O20" s="109" t="s">
        <v>3621</v>
      </c>
      <c r="P20" s="109" t="s">
        <v>3621</v>
      </c>
      <c r="Q20" s="109" t="s">
        <v>3621</v>
      </c>
      <c r="R20" s="109" t="s">
        <v>3621</v>
      </c>
      <c r="S20" s="109" t="s">
        <v>3621</v>
      </c>
      <c r="T20" s="109" t="s">
        <v>3621</v>
      </c>
      <c r="U20" s="109" t="s">
        <v>3621</v>
      </c>
      <c r="V20" s="109" t="s">
        <v>3621</v>
      </c>
      <c r="W20" s="109" t="s">
        <v>3621</v>
      </c>
      <c r="X20" s="109" t="s">
        <v>3621</v>
      </c>
      <c r="Y20" s="109" t="s">
        <v>3621</v>
      </c>
      <c r="Z20" s="109" t="s">
        <v>3621</v>
      </c>
      <c r="AA20" s="109" t="s">
        <v>3621</v>
      </c>
      <c r="AB20" s="109" t="s">
        <v>3621</v>
      </c>
      <c r="AC20" s="109" t="s">
        <v>3621</v>
      </c>
      <c r="AD20" s="109" t="s">
        <v>3621</v>
      </c>
      <c r="AE20" s="109" t="s">
        <v>3621</v>
      </c>
      <c r="AF20" s="109" t="s">
        <v>3621</v>
      </c>
      <c r="AG20" s="109" t="s">
        <v>3621</v>
      </c>
      <c r="AH20" s="109" t="s">
        <v>3621</v>
      </c>
      <c r="AI20" s="109" t="s">
        <v>3621</v>
      </c>
      <c r="AJ20" s="109" t="s">
        <v>3621</v>
      </c>
      <c r="AK20" s="109" t="s">
        <v>3621</v>
      </c>
      <c r="AL20" s="109" t="s">
        <v>3621</v>
      </c>
      <c r="AM20" s="109" t="s">
        <v>3621</v>
      </c>
      <c r="AN20" s="109" t="s">
        <v>3621</v>
      </c>
      <c r="AO20" s="109" t="s">
        <v>3621</v>
      </c>
      <c r="AP20" s="109" t="s">
        <v>3621</v>
      </c>
      <c r="AQ20" s="109" t="s">
        <v>3621</v>
      </c>
      <c r="AR20" s="109" t="s">
        <v>3621</v>
      </c>
      <c r="AS20" s="109" t="s">
        <v>3621</v>
      </c>
      <c r="AT20" s="109" t="s">
        <v>3621</v>
      </c>
      <c r="AU20" s="109" t="s">
        <v>3621</v>
      </c>
      <c r="AV20" s="109" t="s">
        <v>3621</v>
      </c>
      <c r="AW20" s="109" t="s">
        <v>3621</v>
      </c>
      <c r="AX20" s="109" t="s">
        <v>3621</v>
      </c>
      <c r="AY20" s="109" t="s">
        <v>3621</v>
      </c>
      <c r="AZ20" s="109" t="s">
        <v>3621</v>
      </c>
      <c r="BA20" s="109" t="s">
        <v>3621</v>
      </c>
    </row>
    <row r="21" spans="2:53" x14ac:dyDescent="0.35">
      <c r="B21" s="50" t="s">
        <v>3604</v>
      </c>
      <c r="C21" s="50">
        <v>19</v>
      </c>
      <c r="D21" t="s">
        <v>4092</v>
      </c>
      <c r="E21" s="293">
        <v>45390</v>
      </c>
      <c r="F21" s="109">
        <v>1</v>
      </c>
      <c r="G21" s="225" cm="1">
        <f t="array" ref="G21">SUMPRODUCT(--(ISNUMBER((SEARCH(I27:BA27,I21:BA21)))))/COUNTA(I21:BA21)</f>
        <v>0.97777777777777775</v>
      </c>
      <c r="H21" s="50" t="s">
        <v>3621</v>
      </c>
      <c r="I21" s="50" t="s">
        <v>3655</v>
      </c>
      <c r="J21" s="50" t="s">
        <v>3655</v>
      </c>
      <c r="K21" s="50" t="s">
        <v>3655</v>
      </c>
      <c r="L21" s="50" t="s">
        <v>3655</v>
      </c>
      <c r="M21" s="50" t="s">
        <v>3655</v>
      </c>
      <c r="N21" s="50" t="s">
        <v>3655</v>
      </c>
      <c r="O21" s="50" t="s">
        <v>3655</v>
      </c>
      <c r="P21" s="50" t="s">
        <v>3655</v>
      </c>
      <c r="Q21" s="50" t="s">
        <v>3655</v>
      </c>
      <c r="R21" s="50" t="s">
        <v>3655</v>
      </c>
      <c r="S21" s="50" t="s">
        <v>3655</v>
      </c>
      <c r="T21" s="50" t="s">
        <v>3655</v>
      </c>
      <c r="U21" s="50" t="s">
        <v>3655</v>
      </c>
      <c r="V21" s="50" t="s">
        <v>3655</v>
      </c>
      <c r="W21" s="50" t="s">
        <v>3655</v>
      </c>
      <c r="X21" s="50" t="s">
        <v>3655</v>
      </c>
      <c r="Y21" s="50" t="s">
        <v>3655</v>
      </c>
      <c r="Z21" s="50" t="s">
        <v>3656</v>
      </c>
      <c r="AA21" s="50" t="s">
        <v>3656</v>
      </c>
      <c r="AB21" s="50" t="s">
        <v>3656</v>
      </c>
      <c r="AC21" s="50" t="s">
        <v>3656</v>
      </c>
      <c r="AD21" s="50" t="s">
        <v>3656</v>
      </c>
      <c r="AE21" s="50" t="s">
        <v>3656</v>
      </c>
      <c r="AF21" s="50" t="s">
        <v>3655</v>
      </c>
      <c r="AG21" s="50" t="s">
        <v>3655</v>
      </c>
      <c r="AH21" s="50" t="s">
        <v>3656</v>
      </c>
      <c r="AI21" s="50" t="s">
        <v>3655</v>
      </c>
      <c r="AJ21" s="50" t="s">
        <v>3656</v>
      </c>
      <c r="AK21" s="50" t="s">
        <v>3656</v>
      </c>
      <c r="AL21" s="50" t="s">
        <v>3655</v>
      </c>
      <c r="AM21" s="50" t="s">
        <v>3655</v>
      </c>
      <c r="AN21" s="50" t="s">
        <v>3656</v>
      </c>
      <c r="AO21" s="50" t="s">
        <v>3656</v>
      </c>
      <c r="AP21" s="50" t="s">
        <v>3656</v>
      </c>
      <c r="AQ21" s="50" t="s">
        <v>3655</v>
      </c>
      <c r="AR21" s="50" t="s">
        <v>3655</v>
      </c>
      <c r="AS21" s="50" t="s">
        <v>3656</v>
      </c>
      <c r="AT21" s="50" t="s">
        <v>3656</v>
      </c>
      <c r="AU21" s="50" t="s">
        <v>3656</v>
      </c>
      <c r="AV21" s="50" t="s">
        <v>3655</v>
      </c>
      <c r="AW21" s="50" t="s">
        <v>3655</v>
      </c>
      <c r="AX21" s="50" t="s">
        <v>3655</v>
      </c>
      <c r="AY21" s="50" t="s">
        <v>3655</v>
      </c>
      <c r="AZ21" s="50" t="s">
        <v>3655</v>
      </c>
      <c r="BA21" s="50" t="s">
        <v>3657</v>
      </c>
    </row>
    <row r="22" spans="2:53" x14ac:dyDescent="0.35">
      <c r="B22" s="50" t="s">
        <v>3607</v>
      </c>
      <c r="C22" s="50">
        <v>20</v>
      </c>
      <c r="D22" t="s">
        <v>4091</v>
      </c>
      <c r="E22" s="293">
        <v>45390</v>
      </c>
      <c r="F22" s="109">
        <v>1</v>
      </c>
      <c r="G22" s="292" cm="1">
        <f t="array" ref="G22">SUM(IF(I2:BA2 = I26:BA26, 1, 0))/ COUNTA(I2:BA2)</f>
        <v>1</v>
      </c>
      <c r="H22" s="50" t="s">
        <v>3621</v>
      </c>
      <c r="I22" s="50" t="s">
        <v>3621</v>
      </c>
      <c r="J22" s="50" t="s">
        <v>3621</v>
      </c>
      <c r="K22" s="50" t="s">
        <v>3621</v>
      </c>
      <c r="L22" s="50" t="s">
        <v>3621</v>
      </c>
      <c r="M22" s="50" t="s">
        <v>3621</v>
      </c>
      <c r="N22" s="50" t="s">
        <v>3621</v>
      </c>
      <c r="O22" s="50" t="s">
        <v>3621</v>
      </c>
      <c r="P22" s="50" t="s">
        <v>3621</v>
      </c>
      <c r="Q22" s="50" t="s">
        <v>3621</v>
      </c>
      <c r="R22" s="50" t="s">
        <v>3621</v>
      </c>
      <c r="S22" s="50" t="s">
        <v>3621</v>
      </c>
      <c r="T22" s="50" t="s">
        <v>3621</v>
      </c>
      <c r="U22" s="50" t="s">
        <v>3621</v>
      </c>
      <c r="V22" s="50" t="s">
        <v>3621</v>
      </c>
      <c r="W22" s="50" t="s">
        <v>3621</v>
      </c>
      <c r="X22" s="50" t="s">
        <v>3621</v>
      </c>
      <c r="Y22" s="50" t="s">
        <v>3621</v>
      </c>
      <c r="Z22" s="50" t="s">
        <v>3621</v>
      </c>
      <c r="AA22" s="50" t="s">
        <v>3621</v>
      </c>
      <c r="AB22" s="50" t="s">
        <v>3621</v>
      </c>
      <c r="AC22" s="50" t="s">
        <v>3621</v>
      </c>
      <c r="AD22" s="50" t="s">
        <v>3621</v>
      </c>
      <c r="AE22" s="50" t="s">
        <v>3621</v>
      </c>
      <c r="AF22" s="50" t="s">
        <v>3621</v>
      </c>
      <c r="AG22" s="50" t="s">
        <v>3621</v>
      </c>
      <c r="AH22" s="50" t="s">
        <v>3621</v>
      </c>
      <c r="AI22" s="50" t="s">
        <v>3621</v>
      </c>
      <c r="AJ22" s="50" t="s">
        <v>3621</v>
      </c>
      <c r="AK22" s="50" t="s">
        <v>3621</v>
      </c>
      <c r="AL22" s="50" t="s">
        <v>3621</v>
      </c>
      <c r="AM22" s="50" t="s">
        <v>3621</v>
      </c>
      <c r="AN22" s="50" t="s">
        <v>3621</v>
      </c>
      <c r="AO22" s="50" t="s">
        <v>3621</v>
      </c>
      <c r="AP22" s="50" t="s">
        <v>3621</v>
      </c>
      <c r="AQ22" s="50" t="s">
        <v>3621</v>
      </c>
      <c r="AR22" s="50" t="s">
        <v>3621</v>
      </c>
      <c r="AS22" s="50" t="s">
        <v>3621</v>
      </c>
      <c r="AT22" s="50" t="s">
        <v>3621</v>
      </c>
      <c r="AU22" s="50" t="s">
        <v>3621</v>
      </c>
      <c r="AV22" s="50" t="s">
        <v>3621</v>
      </c>
      <c r="AW22" s="50" t="s">
        <v>3621</v>
      </c>
      <c r="AX22" s="50" t="s">
        <v>3621</v>
      </c>
      <c r="AY22" s="50" t="s">
        <v>3621</v>
      </c>
      <c r="AZ22" s="50" t="s">
        <v>3621</v>
      </c>
      <c r="BA22" s="50" t="s">
        <v>3621</v>
      </c>
    </row>
    <row r="23" spans="2:53" x14ac:dyDescent="0.35">
      <c r="B23" s="50" t="s">
        <v>3610</v>
      </c>
      <c r="C23" s="50">
        <v>21</v>
      </c>
      <c r="D23" t="s">
        <v>4091</v>
      </c>
      <c r="E23" s="293">
        <v>45390</v>
      </c>
      <c r="F23" s="109">
        <v>1</v>
      </c>
      <c r="G23" s="225" cm="1">
        <f t="array" ref="G23">SUM(IF(IF(G3:G22="null",1,G3:G22)=1,1,0))/COUNT(IF(G3:G22="null",1,1))</f>
        <v>0.6</v>
      </c>
      <c r="H23" s="50" t="s">
        <v>3621</v>
      </c>
      <c r="I23" s="50" t="s">
        <v>3621</v>
      </c>
      <c r="J23" s="50" t="s">
        <v>3621</v>
      </c>
      <c r="K23" s="50" t="s">
        <v>3621</v>
      </c>
      <c r="L23" s="50" t="s">
        <v>3621</v>
      </c>
      <c r="M23" s="50" t="s">
        <v>3621</v>
      </c>
      <c r="N23" s="50" t="s">
        <v>3621</v>
      </c>
      <c r="O23" s="50" t="s">
        <v>3621</v>
      </c>
      <c r="P23" s="50" t="s">
        <v>3621</v>
      </c>
      <c r="Q23" s="50" t="s">
        <v>3621</v>
      </c>
      <c r="R23" s="50" t="s">
        <v>3621</v>
      </c>
      <c r="S23" s="50" t="s">
        <v>3621</v>
      </c>
      <c r="T23" s="50" t="s">
        <v>3621</v>
      </c>
      <c r="U23" s="50" t="s">
        <v>3621</v>
      </c>
      <c r="V23" s="50" t="s">
        <v>3621</v>
      </c>
      <c r="W23" s="50" t="s">
        <v>3621</v>
      </c>
      <c r="X23" s="50" t="s">
        <v>3621</v>
      </c>
      <c r="Y23" s="50" t="s">
        <v>3621</v>
      </c>
      <c r="Z23" s="50" t="s">
        <v>3621</v>
      </c>
      <c r="AA23" s="50" t="s">
        <v>3621</v>
      </c>
      <c r="AB23" s="50" t="s">
        <v>3621</v>
      </c>
      <c r="AC23" s="50" t="s">
        <v>3621</v>
      </c>
      <c r="AD23" s="50" t="s">
        <v>3621</v>
      </c>
      <c r="AE23" s="50" t="s">
        <v>3621</v>
      </c>
      <c r="AF23" s="50" t="s">
        <v>3621</v>
      </c>
      <c r="AG23" s="50" t="s">
        <v>3621</v>
      </c>
      <c r="AH23" s="50" t="s">
        <v>3621</v>
      </c>
      <c r="AI23" s="50" t="s">
        <v>3621</v>
      </c>
      <c r="AJ23" s="50" t="s">
        <v>3621</v>
      </c>
      <c r="AK23" s="50" t="s">
        <v>3621</v>
      </c>
      <c r="AL23" s="50" t="s">
        <v>3621</v>
      </c>
      <c r="AM23" s="50" t="s">
        <v>3621</v>
      </c>
      <c r="AN23" s="50" t="s">
        <v>3621</v>
      </c>
      <c r="AO23" s="50" t="s">
        <v>3621</v>
      </c>
      <c r="AP23" s="50" t="s">
        <v>3621</v>
      </c>
      <c r="AQ23" s="50" t="s">
        <v>3621</v>
      </c>
      <c r="AR23" s="50" t="s">
        <v>3621</v>
      </c>
      <c r="AS23" s="50" t="s">
        <v>3621</v>
      </c>
      <c r="AT23" s="50" t="s">
        <v>3621</v>
      </c>
      <c r="AU23" s="50" t="s">
        <v>3621</v>
      </c>
      <c r="AV23" s="50" t="s">
        <v>3621</v>
      </c>
      <c r="AW23" s="50" t="s">
        <v>3621</v>
      </c>
      <c r="AX23" s="50" t="s">
        <v>3621</v>
      </c>
      <c r="AY23" s="50" t="s">
        <v>3621</v>
      </c>
      <c r="AZ23" s="50" t="s">
        <v>3621</v>
      </c>
      <c r="BA23" s="50" t="s">
        <v>3621</v>
      </c>
    </row>
    <row r="25" spans="2:53" x14ac:dyDescent="0.35">
      <c r="B25" s="146" t="s">
        <v>3727</v>
      </c>
    </row>
    <row r="26" spans="2:53" x14ac:dyDescent="0.35">
      <c r="B26" s="184" t="s">
        <v>3613</v>
      </c>
      <c r="C26" s="183" t="s">
        <v>3614</v>
      </c>
      <c r="D26" s="183" t="s">
        <v>3615</v>
      </c>
      <c r="E26" s="183" t="s">
        <v>3616</v>
      </c>
      <c r="F26" s="183" t="s">
        <v>3617</v>
      </c>
      <c r="G26" s="183" t="s">
        <v>3618</v>
      </c>
      <c r="H26" s="183" t="s">
        <v>3619</v>
      </c>
      <c r="I26" s="183" t="str" cm="1">
        <f t="array" ref="I26:BA26">TRANSPOSE(_xlfn.SORTBY(_xlfn._xlws.FILTER(Table3[NOME FÍSICO CAMPO],Table3[NOME FÍSICO TABELA]="factoring_contract"), _xlfn._xlws.FILTER(Table3[ORDEM], Table3[NOME FÍSICO TABELA]="factoring_contract"), 1))</f>
        <v>bank_id</v>
      </c>
      <c r="J26" s="185" t="str">
        <v>contract_id</v>
      </c>
      <c r="K26" s="294" t="str">
        <v>product_family_id</v>
      </c>
      <c r="L26" s="294" t="str">
        <v>product_id</v>
      </c>
      <c r="M26" s="294" t="str">
        <v>subproduct_id</v>
      </c>
      <c r="N26" s="185" t="str">
        <v>main_current_account_bank_id</v>
      </c>
      <c r="O26" s="185" t="str">
        <v>main_current_account_contract_id</v>
      </c>
      <c r="P26" s="185" t="str">
        <v>main_current_account_iban</v>
      </c>
      <c r="Q26" s="185" t="str">
        <v>main_loan_account_bank_id</v>
      </c>
      <c r="R26" s="185" t="str">
        <v>main_loan_account_contract_id</v>
      </c>
      <c r="S26" s="185" t="str">
        <v>main_loan_account_iban</v>
      </c>
      <c r="T26" s="185" t="str">
        <v>process_bank_id</v>
      </c>
      <c r="U26" s="185" t="str">
        <v>process_id</v>
      </c>
      <c r="V26" s="185" t="str">
        <v>opening_date</v>
      </c>
      <c r="W26" s="185" t="str">
        <v>current_maturity_date</v>
      </c>
      <c r="X26" s="185" t="str">
        <v>currency_code</v>
      </c>
      <c r="Y26" s="185" t="str">
        <v>litigation_indicator</v>
      </c>
      <c r="Z26" s="185" t="str">
        <v>current_authorized_amount</v>
      </c>
      <c r="AA26" s="185" t="str">
        <v>current_available_amount</v>
      </c>
      <c r="AB26" s="185" t="str">
        <v>current_retention_rate</v>
      </c>
      <c r="AC26" s="185" t="str">
        <v>cur_outsng_principal_balance</v>
      </c>
      <c r="AD26" s="185" t="str">
        <v>current_overdue_principal_bal</v>
      </c>
      <c r="AE26" s="185" t="str">
        <v>cur_debt_litigation_princip_bal</v>
      </c>
      <c r="AF26" s="185" t="str">
        <v>next_regular_amort_due_date</v>
      </c>
      <c r="AG26" s="185" t="str">
        <v>last_regular_amort_pay_date</v>
      </c>
      <c r="AH26" s="185" t="str">
        <v>current_bill_princip_amount</v>
      </c>
      <c r="AI26" s="185" t="str">
        <v>last_advance_date</v>
      </c>
      <c r="AJ26" s="185" t="str">
        <v>last_advance_principal_amount</v>
      </c>
      <c r="AK26" s="185" t="str">
        <v>cur_advance_principal_amt</v>
      </c>
      <c r="AL26" s="185" t="str">
        <v>initial_active_rate_type_code</v>
      </c>
      <c r="AM26" s="185" t="str">
        <v>initial_active_indexing</v>
      </c>
      <c r="AN26" s="185" t="str">
        <v>initial_active_index_rate</v>
      </c>
      <c r="AO26" s="185" t="str">
        <v>initial_active_spread</v>
      </c>
      <c r="AP26" s="185" t="str">
        <v>initial_active_interest_rate</v>
      </c>
      <c r="AQ26" s="185" t="str">
        <v>cur_active_rate_type_code</v>
      </c>
      <c r="AR26" s="185" t="str">
        <v>current_active_indexing</v>
      </c>
      <c r="AS26" s="185" t="str">
        <v>current_active_index_rate</v>
      </c>
      <c r="AT26" s="185" t="str">
        <v>current_active_spread</v>
      </c>
      <c r="AU26" s="185" t="str">
        <v>current_active_interest_rate</v>
      </c>
      <c r="AV26" s="185" t="str">
        <v>recourse_indicator</v>
      </c>
      <c r="AW26" s="185" t="str">
        <v>contract_status_code</v>
      </c>
      <c r="AX26" s="179" t="str">
        <v>contract_opening_channel_code</v>
      </c>
      <c r="AY26" s="179" t="str">
        <v>source_code</v>
      </c>
      <c r="AZ26" s="179" t="str">
        <v>data_date_part</v>
      </c>
      <c r="BA26" s="186" t="str">
        <v>data_timestamp_part</v>
      </c>
    </row>
    <row r="27" spans="2:53" x14ac:dyDescent="0.35">
      <c r="B27" s="123" t="s">
        <v>3658</v>
      </c>
      <c r="C27" s="126">
        <v>21</v>
      </c>
      <c r="D27" s="120" t="s">
        <v>3659</v>
      </c>
      <c r="E27" s="119" t="s">
        <v>3660</v>
      </c>
      <c r="F27" s="119" t="s">
        <v>372</v>
      </c>
      <c r="G27" s="119" t="s">
        <v>372</v>
      </c>
      <c r="H27" s="119" t="s">
        <v>372</v>
      </c>
      <c r="I27" s="119" t="str" cm="1">
        <f t="array" ref="I27:BA28">TRANSPOSE(_xlfn.SORTBY(_xlfn._xlws.FILTER(IF(Table3[FORMATO]:Table3[COMP_ CAMPO]&lt;&gt;"",Table3[FORMATO]:Table3[COMP_ CAMPO],9999999),Table3[NOME FÍSICO TABELA]="factoring_contract"), _xlfn._xlws.FILTER(Table3[ORDEM], Table3[NOME FÍSICO TABELA]="factoring_contract"), 1))</f>
        <v>STRING</v>
      </c>
      <c r="J27" s="180" t="str">
        <v>STRING</v>
      </c>
      <c r="K27" s="180" t="str">
        <v>STRING</v>
      </c>
      <c r="L27" s="180" t="str">
        <v>STRING</v>
      </c>
      <c r="M27" s="180" t="str">
        <v>STRING</v>
      </c>
      <c r="N27" s="180" t="str">
        <v>STRING</v>
      </c>
      <c r="O27" s="180" t="str">
        <v>STRING</v>
      </c>
      <c r="P27" s="180" t="str">
        <v>STRING</v>
      </c>
      <c r="Q27" s="180" t="str">
        <v>STRING</v>
      </c>
      <c r="R27" s="180" t="str">
        <v>STRING</v>
      </c>
      <c r="S27" s="180" t="str">
        <v>STRING</v>
      </c>
      <c r="T27" s="180" t="str">
        <v>STRING</v>
      </c>
      <c r="U27" s="180" t="str">
        <v>STRING</v>
      </c>
      <c r="V27" s="180" t="str">
        <v>STRING</v>
      </c>
      <c r="W27" s="180" t="str">
        <v>STRING</v>
      </c>
      <c r="X27" s="180" t="str">
        <v>STRING</v>
      </c>
      <c r="Y27" s="180" t="str">
        <v>STRING</v>
      </c>
      <c r="Z27" s="180" t="str">
        <v>DECIMAL</v>
      </c>
      <c r="AA27" s="180" t="str">
        <v>DECIMAL</v>
      </c>
      <c r="AB27" s="180" t="str">
        <v>DECIMAL</v>
      </c>
      <c r="AC27" s="180" t="str">
        <v>DECIMAL</v>
      </c>
      <c r="AD27" s="180" t="str">
        <v>DECIMAL</v>
      </c>
      <c r="AE27" s="180" t="str">
        <v>DECIMAL</v>
      </c>
      <c r="AF27" s="180" t="str">
        <v>STRING</v>
      </c>
      <c r="AG27" s="180" t="str">
        <v>STRING</v>
      </c>
      <c r="AH27" s="180" t="str">
        <v>DECIMAL</v>
      </c>
      <c r="AI27" s="180" t="str">
        <v>STRING</v>
      </c>
      <c r="AJ27" s="180" t="str">
        <v>STRING</v>
      </c>
      <c r="AK27" s="180" t="str">
        <v>DECIMAL</v>
      </c>
      <c r="AL27" s="180" t="str">
        <v>STRING</v>
      </c>
      <c r="AM27" s="180" t="str">
        <v>STRING</v>
      </c>
      <c r="AN27" s="180" t="str">
        <v>DECIMAL</v>
      </c>
      <c r="AO27" s="180" t="str">
        <v>DECIMAL</v>
      </c>
      <c r="AP27" s="180" t="str">
        <v>DECIMAL</v>
      </c>
      <c r="AQ27" s="180" t="str">
        <v>STRING</v>
      </c>
      <c r="AR27" s="180" t="str">
        <v>STRING</v>
      </c>
      <c r="AS27" s="180" t="str">
        <v>DECIMAL</v>
      </c>
      <c r="AT27" s="180" t="str">
        <v>DECIMAL</v>
      </c>
      <c r="AU27" s="180" t="str">
        <v>DECIMAL</v>
      </c>
      <c r="AV27" s="180" t="str">
        <v>STRING</v>
      </c>
      <c r="AW27" s="180" t="str">
        <v>STRING</v>
      </c>
      <c r="AX27" s="180" t="str">
        <v>STRING</v>
      </c>
      <c r="AY27" s="180" t="str">
        <v>STRING</v>
      </c>
      <c r="AZ27" s="180" t="str">
        <v>STRING</v>
      </c>
      <c r="BA27" s="187" t="str">
        <v>TIMESTAMP</v>
      </c>
    </row>
    <row r="28" spans="2:53" x14ac:dyDescent="0.35">
      <c r="B28" s="123" t="s">
        <v>3661</v>
      </c>
      <c r="C28" s="126">
        <v>7</v>
      </c>
      <c r="D28" s="120" t="s">
        <v>3659</v>
      </c>
      <c r="E28" s="119" t="s">
        <v>3660</v>
      </c>
      <c r="F28" s="121" t="s">
        <v>372</v>
      </c>
      <c r="G28" s="121" t="s">
        <v>372</v>
      </c>
      <c r="H28" s="121" t="s">
        <v>372</v>
      </c>
      <c r="I28" s="167">
        <v>4</v>
      </c>
      <c r="J28" s="181">
        <v>30</v>
      </c>
      <c r="K28" s="181">
        <v>3</v>
      </c>
      <c r="L28" s="181">
        <v>3</v>
      </c>
      <c r="M28" s="181">
        <v>3</v>
      </c>
      <c r="N28" s="181">
        <v>4</v>
      </c>
      <c r="O28" s="181">
        <v>30</v>
      </c>
      <c r="P28" s="181">
        <v>21</v>
      </c>
      <c r="Q28" s="181">
        <v>4</v>
      </c>
      <c r="R28" s="181">
        <v>30</v>
      </c>
      <c r="S28" s="181">
        <v>21</v>
      </c>
      <c r="T28" s="181">
        <v>4</v>
      </c>
      <c r="U28" s="181">
        <v>15</v>
      </c>
      <c r="V28" s="181">
        <v>10</v>
      </c>
      <c r="W28" s="181">
        <v>10</v>
      </c>
      <c r="X28" s="181">
        <v>3</v>
      </c>
      <c r="Y28" s="181">
        <v>9999999</v>
      </c>
      <c r="Z28" s="181">
        <v>23</v>
      </c>
      <c r="AA28" s="181">
        <v>23</v>
      </c>
      <c r="AB28" s="181">
        <v>23</v>
      </c>
      <c r="AC28" s="181">
        <v>23</v>
      </c>
      <c r="AD28" s="181">
        <v>23</v>
      </c>
      <c r="AE28" s="181">
        <v>23</v>
      </c>
      <c r="AF28" s="181">
        <v>10</v>
      </c>
      <c r="AG28" s="181">
        <v>10</v>
      </c>
      <c r="AH28" s="181">
        <v>23</v>
      </c>
      <c r="AI28" s="181">
        <v>10</v>
      </c>
      <c r="AJ28" s="181">
        <v>9999999</v>
      </c>
      <c r="AK28" s="181">
        <v>23</v>
      </c>
      <c r="AL28" s="181">
        <v>9999999</v>
      </c>
      <c r="AM28" s="181">
        <v>3</v>
      </c>
      <c r="AN28" s="181">
        <v>23</v>
      </c>
      <c r="AO28" s="181">
        <v>23</v>
      </c>
      <c r="AP28" s="181">
        <v>23</v>
      </c>
      <c r="AQ28" s="181">
        <v>3</v>
      </c>
      <c r="AR28" s="181">
        <v>3</v>
      </c>
      <c r="AS28" s="181">
        <v>23</v>
      </c>
      <c r="AT28" s="181">
        <v>23</v>
      </c>
      <c r="AU28" s="181">
        <v>23</v>
      </c>
      <c r="AV28" s="181">
        <v>9999999</v>
      </c>
      <c r="AW28" s="181">
        <v>3</v>
      </c>
      <c r="AX28" s="181">
        <v>3</v>
      </c>
      <c r="AY28" s="180">
        <v>2</v>
      </c>
      <c r="AZ28" s="180">
        <v>10</v>
      </c>
      <c r="BA28" s="187">
        <v>23</v>
      </c>
    </row>
    <row r="30" spans="2:53" x14ac:dyDescent="0.35">
      <c r="B30" s="156" t="s">
        <v>3662</v>
      </c>
    </row>
    <row r="31" spans="2:53" x14ac:dyDescent="0.35">
      <c r="B31" s="150" t="s">
        <v>3663</v>
      </c>
      <c r="C31" s="150" t="s">
        <v>3664</v>
      </c>
      <c r="D31" s="151" t="s">
        <v>3665</v>
      </c>
      <c r="E31" s="150" t="s">
        <v>3666</v>
      </c>
      <c r="F31" s="150" t="s">
        <v>3667</v>
      </c>
    </row>
    <row r="32" spans="2:53" ht="29" x14ac:dyDescent="0.35">
      <c r="B32" s="297" t="s">
        <v>3771</v>
      </c>
      <c r="C32" s="298" t="s">
        <v>1833</v>
      </c>
      <c r="D32" s="72" t="s">
        <v>4093</v>
      </c>
      <c r="E32" s="299"/>
      <c r="F32" s="300"/>
    </row>
    <row r="33" spans="2:31" ht="29" x14ac:dyDescent="0.35">
      <c r="B33" s="297" t="s">
        <v>3771</v>
      </c>
      <c r="C33" s="298" t="s">
        <v>1860</v>
      </c>
      <c r="D33" s="72" t="s">
        <v>4093</v>
      </c>
      <c r="E33" s="299"/>
      <c r="F33" s="300"/>
    </row>
    <row r="34" spans="2:31" ht="29" x14ac:dyDescent="0.35">
      <c r="B34" s="134" t="s">
        <v>3668</v>
      </c>
      <c r="C34" s="137" t="s">
        <v>168</v>
      </c>
      <c r="D34" s="53" t="s">
        <v>4094</v>
      </c>
      <c r="E34" s="169" t="s">
        <v>4095</v>
      </c>
      <c r="F34" s="152" t="s">
        <v>4096</v>
      </c>
      <c r="G34" t="s">
        <v>4097</v>
      </c>
    </row>
    <row r="35" spans="2:31" ht="43.5" x14ac:dyDescent="0.35">
      <c r="B35" s="134" t="s">
        <v>3668</v>
      </c>
      <c r="C35" s="137" t="s">
        <v>177</v>
      </c>
      <c r="D35" s="53" t="s">
        <v>4098</v>
      </c>
      <c r="E35" s="169" t="s">
        <v>4099</v>
      </c>
      <c r="F35" s="152" t="s">
        <v>3671</v>
      </c>
    </row>
    <row r="36" spans="2:31" ht="43.5" x14ac:dyDescent="0.35">
      <c r="B36" s="134" t="s">
        <v>3668</v>
      </c>
      <c r="C36" s="137" t="s">
        <v>188</v>
      </c>
      <c r="D36" s="53" t="s">
        <v>4098</v>
      </c>
      <c r="E36" s="169" t="s">
        <v>4099</v>
      </c>
      <c r="F36" s="152" t="s">
        <v>3671</v>
      </c>
    </row>
    <row r="37" spans="2:31" ht="87" x14ac:dyDescent="0.35">
      <c r="B37" s="134" t="s">
        <v>3668</v>
      </c>
      <c r="C37" s="133" t="s">
        <v>1833</v>
      </c>
      <c r="D37" s="53" t="s">
        <v>4100</v>
      </c>
      <c r="E37" s="169" t="s">
        <v>4101</v>
      </c>
      <c r="F37" s="152" t="s">
        <v>4102</v>
      </c>
    </row>
    <row r="38" spans="2:31" ht="43.5" x14ac:dyDescent="0.35">
      <c r="B38" s="134" t="s">
        <v>3668</v>
      </c>
      <c r="C38" s="137" t="s">
        <v>1842</v>
      </c>
      <c r="D38" s="53" t="s">
        <v>4098</v>
      </c>
      <c r="E38" s="169" t="s">
        <v>4099</v>
      </c>
      <c r="F38" s="152" t="s">
        <v>3671</v>
      </c>
      <c r="I38" s="174"/>
      <c r="J38" s="182"/>
      <c r="K38" s="182"/>
      <c r="L38" s="182"/>
      <c r="M38" s="182"/>
      <c r="N38" s="182"/>
      <c r="O38" s="182"/>
      <c r="P38" s="182"/>
      <c r="Q38" s="182"/>
      <c r="R38" s="182"/>
      <c r="S38" s="182"/>
      <c r="T38" s="182"/>
      <c r="U38" s="182"/>
      <c r="V38" s="182"/>
      <c r="W38" s="182"/>
      <c r="X38" s="182"/>
      <c r="Y38" s="182"/>
      <c r="Z38" s="182"/>
      <c r="AA38" s="182"/>
      <c r="AB38" s="182"/>
      <c r="AC38" s="182"/>
      <c r="AD38" s="182"/>
      <c r="AE38" s="182"/>
    </row>
    <row r="39" spans="2:31" ht="43.5" x14ac:dyDescent="0.35">
      <c r="B39" s="134" t="s">
        <v>3668</v>
      </c>
      <c r="C39" s="137" t="s">
        <v>1851</v>
      </c>
      <c r="D39" s="53" t="s">
        <v>4098</v>
      </c>
      <c r="E39" s="169" t="s">
        <v>4099</v>
      </c>
      <c r="F39" s="152" t="s">
        <v>3671</v>
      </c>
      <c r="I39" s="174"/>
      <c r="J39" s="182"/>
      <c r="K39" s="182"/>
      <c r="L39" s="182"/>
      <c r="M39" s="182"/>
      <c r="N39" s="182"/>
      <c r="O39" s="182"/>
      <c r="P39" s="182"/>
      <c r="Q39" s="182"/>
      <c r="R39" s="182"/>
      <c r="S39" s="182"/>
      <c r="T39" s="182"/>
      <c r="U39" s="182"/>
      <c r="V39" s="182"/>
      <c r="W39" s="182"/>
      <c r="X39" s="182"/>
      <c r="Y39" s="182"/>
      <c r="Z39" s="182"/>
      <c r="AA39" s="182"/>
      <c r="AB39" s="182"/>
      <c r="AC39" s="182"/>
      <c r="AD39" s="182"/>
      <c r="AE39" s="182"/>
    </row>
    <row r="40" spans="2:31" ht="87" x14ac:dyDescent="0.35">
      <c r="B40" s="134" t="s">
        <v>3668</v>
      </c>
      <c r="C40" s="133" t="s">
        <v>1860</v>
      </c>
      <c r="D40" s="53" t="s">
        <v>4100</v>
      </c>
      <c r="E40" s="169" t="s">
        <v>4101</v>
      </c>
      <c r="F40" s="152" t="s">
        <v>4102</v>
      </c>
    </row>
    <row r="41" spans="2:31" ht="43.5" x14ac:dyDescent="0.35">
      <c r="B41" s="134" t="s">
        <v>3668</v>
      </c>
      <c r="C41" s="154" t="s">
        <v>625</v>
      </c>
      <c r="D41" s="53" t="s">
        <v>4098</v>
      </c>
      <c r="E41" s="169" t="s">
        <v>4099</v>
      </c>
      <c r="F41" s="152" t="s">
        <v>3671</v>
      </c>
    </row>
    <row r="42" spans="2:31" ht="43.5" x14ac:dyDescent="0.35">
      <c r="B42" s="134" t="s">
        <v>3668</v>
      </c>
      <c r="C42" s="154" t="s">
        <v>575</v>
      </c>
      <c r="D42" s="53" t="s">
        <v>4098</v>
      </c>
      <c r="E42" s="169" t="s">
        <v>4099</v>
      </c>
      <c r="F42" s="152" t="s">
        <v>3671</v>
      </c>
    </row>
    <row r="43" spans="2:31" ht="43.5" x14ac:dyDescent="0.35">
      <c r="B43" s="134" t="s">
        <v>3668</v>
      </c>
      <c r="C43" s="154" t="s">
        <v>261</v>
      </c>
      <c r="D43" s="53" t="s">
        <v>4098</v>
      </c>
      <c r="E43" s="169" t="s">
        <v>4099</v>
      </c>
      <c r="F43" s="152" t="s">
        <v>3671</v>
      </c>
    </row>
    <row r="44" spans="2:31" ht="72.5" x14ac:dyDescent="0.35">
      <c r="B44" s="153" t="s">
        <v>3668</v>
      </c>
      <c r="C44" s="154" t="s">
        <v>880</v>
      </c>
      <c r="D44" s="53" t="s">
        <v>4103</v>
      </c>
      <c r="E44" s="169" t="s">
        <v>4104</v>
      </c>
      <c r="F44" s="152" t="s">
        <v>4105</v>
      </c>
    </row>
    <row r="45" spans="2:31" ht="43.5" x14ac:dyDescent="0.35">
      <c r="B45" s="127" t="s">
        <v>3668</v>
      </c>
      <c r="C45" s="131" t="s">
        <v>1909</v>
      </c>
      <c r="D45" s="53" t="s">
        <v>4098</v>
      </c>
      <c r="E45" s="169" t="s">
        <v>4099</v>
      </c>
      <c r="F45" s="152" t="s">
        <v>3671</v>
      </c>
    </row>
    <row r="46" spans="2:31" ht="29" x14ac:dyDescent="0.35">
      <c r="B46" s="127" t="s">
        <v>3668</v>
      </c>
      <c r="C46" s="131" t="s">
        <v>4106</v>
      </c>
      <c r="D46" s="53" t="s">
        <v>4107</v>
      </c>
      <c r="E46" s="169" t="s">
        <v>4108</v>
      </c>
      <c r="F46" s="152" t="s">
        <v>3677</v>
      </c>
    </row>
    <row r="47" spans="2:31" ht="29" x14ac:dyDescent="0.35">
      <c r="B47" s="127" t="s">
        <v>3668</v>
      </c>
      <c r="C47" s="131" t="s">
        <v>272</v>
      </c>
      <c r="D47" s="191" t="s">
        <v>4109</v>
      </c>
      <c r="E47" s="169" t="s">
        <v>4110</v>
      </c>
      <c r="F47" s="152" t="s">
        <v>3677</v>
      </c>
    </row>
    <row r="48" spans="2:31" ht="58" x14ac:dyDescent="0.35">
      <c r="B48" s="127" t="s">
        <v>3668</v>
      </c>
      <c r="C48" s="131" t="s">
        <v>429</v>
      </c>
      <c r="D48" s="53" t="s">
        <v>4111</v>
      </c>
      <c r="E48" s="304" t="s">
        <v>4112</v>
      </c>
      <c r="F48" s="152" t="s">
        <v>4113</v>
      </c>
    </row>
    <row r="49" spans="2:6" ht="58" x14ac:dyDescent="0.35">
      <c r="B49" s="127" t="s">
        <v>3668</v>
      </c>
      <c r="C49" s="131" t="s">
        <v>715</v>
      </c>
      <c r="D49" s="53" t="s">
        <v>4111</v>
      </c>
      <c r="E49" s="304" t="s">
        <v>4112</v>
      </c>
      <c r="F49" s="152" t="s">
        <v>4113</v>
      </c>
    </row>
    <row r="50" spans="2:6" ht="43.5" x14ac:dyDescent="0.35">
      <c r="B50" s="127" t="s">
        <v>3668</v>
      </c>
      <c r="C50" s="131" t="s">
        <v>4114</v>
      </c>
      <c r="D50" s="53" t="s">
        <v>4098</v>
      </c>
      <c r="E50" s="169" t="s">
        <v>4099</v>
      </c>
      <c r="F50" s="152" t="s">
        <v>3671</v>
      </c>
    </row>
    <row r="51" spans="2:6" ht="58" x14ac:dyDescent="0.35">
      <c r="B51" s="127" t="s">
        <v>3668</v>
      </c>
      <c r="C51" s="131" t="s">
        <v>944</v>
      </c>
      <c r="D51" s="53" t="s">
        <v>4115</v>
      </c>
      <c r="E51" s="169" t="s">
        <v>4116</v>
      </c>
      <c r="F51" s="152" t="s">
        <v>4117</v>
      </c>
    </row>
    <row r="52" spans="2:6" ht="87" x14ac:dyDescent="0.35">
      <c r="B52" s="127" t="s">
        <v>3668</v>
      </c>
      <c r="C52" s="131" t="s">
        <v>1956</v>
      </c>
      <c r="D52" s="53" t="s">
        <v>4118</v>
      </c>
      <c r="E52" s="169" t="s">
        <v>4119</v>
      </c>
      <c r="F52" s="152" t="s">
        <v>4120</v>
      </c>
    </row>
    <row r="53" spans="2:6" ht="87" x14ac:dyDescent="0.35">
      <c r="B53" s="127" t="s">
        <v>3668</v>
      </c>
      <c r="C53" s="131" t="s">
        <v>965</v>
      </c>
      <c r="D53" s="53" t="s">
        <v>4121</v>
      </c>
      <c r="E53" s="169" t="s">
        <v>4122</v>
      </c>
      <c r="F53" s="152" t="s">
        <v>4120</v>
      </c>
    </row>
    <row r="54" spans="2:6" ht="43.5" x14ac:dyDescent="0.35">
      <c r="B54" s="127" t="s">
        <v>3668</v>
      </c>
      <c r="C54" s="301" t="s">
        <v>4123</v>
      </c>
      <c r="D54" s="53" t="s">
        <v>4098</v>
      </c>
      <c r="E54" s="169" t="s">
        <v>4099</v>
      </c>
      <c r="F54" s="152" t="s">
        <v>3671</v>
      </c>
    </row>
    <row r="55" spans="2:6" ht="43.5" x14ac:dyDescent="0.35">
      <c r="B55" s="127" t="s">
        <v>3668</v>
      </c>
      <c r="C55" s="302" t="s">
        <v>1977</v>
      </c>
      <c r="D55" s="53" t="s">
        <v>4098</v>
      </c>
      <c r="E55" s="169" t="s">
        <v>4099</v>
      </c>
      <c r="F55" s="152" t="s">
        <v>3671</v>
      </c>
    </row>
    <row r="56" spans="2:6" ht="43.5" x14ac:dyDescent="0.35">
      <c r="B56" s="127" t="s">
        <v>3668</v>
      </c>
      <c r="C56" s="302" t="s">
        <v>1988</v>
      </c>
      <c r="D56" s="53" t="s">
        <v>4098</v>
      </c>
      <c r="E56" s="169" t="s">
        <v>4099</v>
      </c>
      <c r="F56" s="152" t="s">
        <v>3671</v>
      </c>
    </row>
    <row r="57" spans="2:6" ht="43.5" x14ac:dyDescent="0.35">
      <c r="B57" s="127" t="s">
        <v>3668</v>
      </c>
      <c r="C57" s="302" t="s">
        <v>1998</v>
      </c>
      <c r="D57" s="53" t="s">
        <v>4098</v>
      </c>
      <c r="E57" s="169" t="s">
        <v>4099</v>
      </c>
      <c r="F57" s="152" t="s">
        <v>3671</v>
      </c>
    </row>
    <row r="58" spans="2:6" ht="43.5" x14ac:dyDescent="0.35">
      <c r="B58" s="127" t="s">
        <v>3668</v>
      </c>
      <c r="C58" s="303" t="s">
        <v>1515</v>
      </c>
      <c r="D58" s="53" t="s">
        <v>4098</v>
      </c>
      <c r="E58" s="169" t="s">
        <v>4099</v>
      </c>
      <c r="F58" s="152" t="s">
        <v>3671</v>
      </c>
    </row>
    <row r="59" spans="2:6" ht="43.5" x14ac:dyDescent="0.35">
      <c r="B59" s="127" t="s">
        <v>3668</v>
      </c>
      <c r="C59" s="303" t="s">
        <v>1522</v>
      </c>
      <c r="D59" s="53" t="s">
        <v>4098</v>
      </c>
      <c r="E59" s="169" t="s">
        <v>4099</v>
      </c>
      <c r="F59" s="152" t="s">
        <v>3671</v>
      </c>
    </row>
    <row r="60" spans="2:6" ht="43.5" x14ac:dyDescent="0.35">
      <c r="B60" s="127" t="s">
        <v>3668</v>
      </c>
      <c r="C60" s="303" t="s">
        <v>756</v>
      </c>
      <c r="D60" s="53" t="s">
        <v>4098</v>
      </c>
      <c r="E60" s="169" t="s">
        <v>4099</v>
      </c>
      <c r="F60" s="152" t="s">
        <v>3671</v>
      </c>
    </row>
    <row r="61" spans="2:6" ht="43.5" x14ac:dyDescent="0.35">
      <c r="B61" s="127" t="s">
        <v>3668</v>
      </c>
      <c r="C61" s="303" t="s">
        <v>766</v>
      </c>
      <c r="D61" s="53" t="s">
        <v>4098</v>
      </c>
      <c r="E61" s="169" t="s">
        <v>4099</v>
      </c>
      <c r="F61" s="152" t="s">
        <v>3671</v>
      </c>
    </row>
    <row r="62" spans="2:6" ht="43.5" x14ac:dyDescent="0.35">
      <c r="B62" s="127" t="s">
        <v>3668</v>
      </c>
      <c r="C62" s="303" t="s">
        <v>776</v>
      </c>
      <c r="D62" s="53" t="s">
        <v>4098</v>
      </c>
      <c r="E62" s="169" t="s">
        <v>4099</v>
      </c>
      <c r="F62" s="152" t="s">
        <v>3671</v>
      </c>
    </row>
    <row r="63" spans="2:6" ht="43.5" x14ac:dyDescent="0.35">
      <c r="B63" s="127" t="s">
        <v>3668</v>
      </c>
      <c r="C63" s="303" t="s">
        <v>785</v>
      </c>
      <c r="D63" s="53" t="s">
        <v>4098</v>
      </c>
      <c r="E63" s="169" t="s">
        <v>4099</v>
      </c>
      <c r="F63" s="152" t="s">
        <v>3671</v>
      </c>
    </row>
    <row r="64" spans="2:6" ht="87" x14ac:dyDescent="0.35">
      <c r="B64" s="153" t="s">
        <v>3678</v>
      </c>
      <c r="C64" s="154" t="s">
        <v>3679</v>
      </c>
      <c r="D64" s="155" t="s">
        <v>4124</v>
      </c>
      <c r="E64" s="113" t="s">
        <v>4125</v>
      </c>
      <c r="F64" s="205" t="s">
        <v>4126</v>
      </c>
    </row>
    <row r="65" spans="2:7" ht="130.5" x14ac:dyDescent="0.35">
      <c r="B65" s="153" t="s">
        <v>3736</v>
      </c>
      <c r="C65" s="154" t="s">
        <v>3679</v>
      </c>
      <c r="D65" s="155" t="s">
        <v>4127</v>
      </c>
      <c r="E65" s="113" t="s">
        <v>4128</v>
      </c>
      <c r="F65" s="205" t="s">
        <v>4126</v>
      </c>
      <c r="G65" t="s">
        <v>4129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B1:T30"/>
  <sheetViews>
    <sheetView showGridLines="0" topLeftCell="A23" workbookViewId="0">
      <selection activeCell="I25" sqref="I25"/>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7" width="30.7265625" bestFit="1" customWidth="1"/>
    <col min="18" max="18" width="28" bestFit="1" customWidth="1"/>
    <col min="19" max="19" width="30.7265625" bestFit="1" customWidth="1"/>
  </cols>
  <sheetData>
    <row r="1" spans="2:19" ht="26.25" customHeight="1" x14ac:dyDescent="0.35"/>
    <row r="2" spans="2:19" x14ac:dyDescent="0.35">
      <c r="B2" s="91" t="s">
        <v>3613</v>
      </c>
      <c r="C2" s="91" t="s">
        <v>3614</v>
      </c>
      <c r="D2" s="91" t="s">
        <v>3615</v>
      </c>
      <c r="E2" s="91" t="s">
        <v>3616</v>
      </c>
      <c r="F2" s="91" t="s">
        <v>3617</v>
      </c>
      <c r="G2" s="91" t="s">
        <v>3618</v>
      </c>
      <c r="H2" s="91" t="s">
        <v>3619</v>
      </c>
      <c r="I2" s="91" t="s">
        <v>1156</v>
      </c>
      <c r="J2" s="91" t="s">
        <v>4130</v>
      </c>
      <c r="K2" s="91" t="s">
        <v>4131</v>
      </c>
      <c r="L2" s="91" t="s">
        <v>4132</v>
      </c>
      <c r="M2" s="91" t="s">
        <v>1200</v>
      </c>
      <c r="N2" s="91" t="s">
        <v>1208</v>
      </c>
      <c r="O2" s="91" t="s">
        <v>1216</v>
      </c>
      <c r="P2" s="91" t="s">
        <v>1227</v>
      </c>
      <c r="Q2" s="91" t="s">
        <v>1235</v>
      </c>
      <c r="R2" s="91" t="s">
        <v>327</v>
      </c>
      <c r="S2" s="91" t="s">
        <v>334</v>
      </c>
    </row>
    <row r="3" spans="2:19" x14ac:dyDescent="0.35">
      <c r="B3" s="50" t="s">
        <v>3567</v>
      </c>
      <c r="C3" s="50">
        <v>1</v>
      </c>
      <c r="D3" s="50" t="s">
        <v>4133</v>
      </c>
      <c r="E3" s="111">
        <v>45483</v>
      </c>
      <c r="F3" s="50">
        <v>1</v>
      </c>
      <c r="G3" s="209">
        <v>1</v>
      </c>
      <c r="H3" s="201">
        <v>468593</v>
      </c>
      <c r="I3" s="50" t="s">
        <v>3621</v>
      </c>
      <c r="J3" s="50" t="s">
        <v>3621</v>
      </c>
      <c r="K3" s="50" t="s">
        <v>3621</v>
      </c>
      <c r="L3" s="50" t="s">
        <v>3621</v>
      </c>
      <c r="M3" s="50" t="s">
        <v>3621</v>
      </c>
      <c r="N3" s="50" t="s">
        <v>3621</v>
      </c>
      <c r="O3" s="50" t="s">
        <v>3621</v>
      </c>
      <c r="P3" s="50" t="s">
        <v>3621</v>
      </c>
      <c r="Q3" s="50" t="s">
        <v>3621</v>
      </c>
      <c r="R3" s="50" t="s">
        <v>3621</v>
      </c>
      <c r="S3" s="50" t="s">
        <v>3621</v>
      </c>
    </row>
    <row r="4" spans="2:19" x14ac:dyDescent="0.35">
      <c r="B4" s="50" t="s">
        <v>3569</v>
      </c>
      <c r="C4" s="50">
        <v>2</v>
      </c>
      <c r="D4" s="50" t="s">
        <v>4134</v>
      </c>
      <c r="E4" s="111">
        <v>45483</v>
      </c>
      <c r="F4" s="50">
        <v>1</v>
      </c>
      <c r="G4" s="209">
        <v>1</v>
      </c>
      <c r="H4" s="201">
        <v>0</v>
      </c>
      <c r="I4" s="50" t="s">
        <v>3621</v>
      </c>
      <c r="J4" s="50" t="s">
        <v>3621</v>
      </c>
      <c r="K4" s="50" t="s">
        <v>3621</v>
      </c>
      <c r="L4" s="50" t="s">
        <v>3621</v>
      </c>
      <c r="M4" s="50" t="s">
        <v>3621</v>
      </c>
      <c r="N4" s="50" t="s">
        <v>3621</v>
      </c>
      <c r="O4" s="50" t="s">
        <v>3621</v>
      </c>
      <c r="P4" s="50" t="s">
        <v>3621</v>
      </c>
      <c r="Q4" s="50" t="s">
        <v>3621</v>
      </c>
      <c r="R4" s="50" t="s">
        <v>3621</v>
      </c>
      <c r="S4" s="50" t="s">
        <v>3621</v>
      </c>
    </row>
    <row r="5" spans="2:19" x14ac:dyDescent="0.35">
      <c r="B5" s="50" t="s">
        <v>3571</v>
      </c>
      <c r="C5" s="50">
        <v>3</v>
      </c>
      <c r="D5" s="50" t="s">
        <v>4135</v>
      </c>
      <c r="E5" s="111">
        <v>45483</v>
      </c>
      <c r="F5" s="50">
        <v>1</v>
      </c>
      <c r="G5" s="209">
        <v>1</v>
      </c>
      <c r="H5" s="201">
        <v>0</v>
      </c>
      <c r="I5" s="50">
        <v>0</v>
      </c>
      <c r="J5" s="50" t="s">
        <v>3621</v>
      </c>
      <c r="K5" s="50" t="s">
        <v>3621</v>
      </c>
      <c r="L5" s="50" t="s">
        <v>3621</v>
      </c>
      <c r="M5" s="50" t="s">
        <v>3621</v>
      </c>
      <c r="N5" s="50" t="s">
        <v>3621</v>
      </c>
      <c r="O5" s="50" t="s">
        <v>3621</v>
      </c>
      <c r="P5" s="50" t="s">
        <v>3621</v>
      </c>
      <c r="Q5" s="50" t="s">
        <v>3621</v>
      </c>
      <c r="R5" s="50">
        <v>0</v>
      </c>
      <c r="S5" s="50" t="s">
        <v>3621</v>
      </c>
    </row>
    <row r="6" spans="2:19" x14ac:dyDescent="0.35">
      <c r="B6" s="113" t="s">
        <v>3573</v>
      </c>
      <c r="C6" s="50">
        <v>4</v>
      </c>
      <c r="D6" s="50" t="s">
        <v>3624</v>
      </c>
      <c r="E6" s="111" t="s">
        <v>3621</v>
      </c>
      <c r="F6" s="50">
        <v>1</v>
      </c>
      <c r="G6" s="50" t="s">
        <v>3621</v>
      </c>
      <c r="H6" s="50" t="s">
        <v>3621</v>
      </c>
      <c r="I6" s="50" t="s">
        <v>3621</v>
      </c>
      <c r="J6" s="50" t="s">
        <v>3621</v>
      </c>
      <c r="K6" s="50" t="s">
        <v>3621</v>
      </c>
      <c r="L6" s="50" t="s">
        <v>3621</v>
      </c>
      <c r="M6" s="50" t="s">
        <v>3621</v>
      </c>
      <c r="N6" s="50" t="s">
        <v>3621</v>
      </c>
      <c r="O6" s="50" t="s">
        <v>3621</v>
      </c>
      <c r="P6" s="50" t="s">
        <v>3621</v>
      </c>
      <c r="Q6" s="50" t="s">
        <v>3621</v>
      </c>
      <c r="R6" s="50" t="s">
        <v>3621</v>
      </c>
      <c r="S6" s="50" t="s">
        <v>3621</v>
      </c>
    </row>
    <row r="7" spans="2:19" x14ac:dyDescent="0.35">
      <c r="B7" s="50" t="s">
        <v>3575</v>
      </c>
      <c r="C7" s="50">
        <v>5</v>
      </c>
      <c r="D7" s="50" t="s">
        <v>3624</v>
      </c>
      <c r="E7" s="111" t="s">
        <v>3621</v>
      </c>
      <c r="F7" s="50">
        <v>1</v>
      </c>
      <c r="G7" s="50" t="s">
        <v>3621</v>
      </c>
      <c r="H7" s="50" t="s">
        <v>3621</v>
      </c>
      <c r="I7" s="50" t="s">
        <v>3621</v>
      </c>
      <c r="J7" s="50" t="s">
        <v>3621</v>
      </c>
      <c r="K7" s="50" t="s">
        <v>3621</v>
      </c>
      <c r="L7" s="50" t="s">
        <v>3621</v>
      </c>
      <c r="M7" s="50" t="s">
        <v>3621</v>
      </c>
      <c r="N7" s="50" t="s">
        <v>3621</v>
      </c>
      <c r="O7" s="50" t="s">
        <v>3621</v>
      </c>
      <c r="P7" s="50" t="s">
        <v>3621</v>
      </c>
      <c r="Q7" s="50" t="s">
        <v>3621</v>
      </c>
      <c r="R7" s="50" t="s">
        <v>3621</v>
      </c>
      <c r="S7" s="50" t="s">
        <v>3621</v>
      </c>
    </row>
    <row r="8" spans="2:19" x14ac:dyDescent="0.35">
      <c r="B8" s="113" t="s">
        <v>3576</v>
      </c>
      <c r="C8" s="50">
        <v>6</v>
      </c>
      <c r="D8" s="50" t="s">
        <v>4136</v>
      </c>
      <c r="E8" s="111">
        <v>45483</v>
      </c>
      <c r="F8" s="50">
        <v>1</v>
      </c>
      <c r="G8" s="238" cm="1">
        <f t="array" ref="G8">SUMPRODUCT(--(I8:S8&gt;0))/COUNTA(I8:S8)</f>
        <v>1</v>
      </c>
      <c r="H8" s="201">
        <v>0</v>
      </c>
      <c r="I8" s="50">
        <v>16</v>
      </c>
      <c r="J8" s="50">
        <v>2</v>
      </c>
      <c r="K8" s="50">
        <v>15</v>
      </c>
      <c r="L8" s="50">
        <v>1</v>
      </c>
      <c r="M8" s="50">
        <v>1</v>
      </c>
      <c r="N8" s="50">
        <v>7</v>
      </c>
      <c r="O8" s="50">
        <v>8</v>
      </c>
      <c r="P8" s="50">
        <v>10</v>
      </c>
      <c r="Q8" s="50">
        <v>3</v>
      </c>
      <c r="R8" s="50">
        <v>10</v>
      </c>
      <c r="S8" s="50">
        <v>23</v>
      </c>
    </row>
    <row r="9" spans="2:19" x14ac:dyDescent="0.35">
      <c r="B9" s="50" t="s">
        <v>3579</v>
      </c>
      <c r="C9" s="50">
        <v>7</v>
      </c>
      <c r="D9" s="50" t="s">
        <v>4137</v>
      </c>
      <c r="E9" s="111">
        <v>45483</v>
      </c>
      <c r="F9" s="50">
        <v>1</v>
      </c>
      <c r="G9" s="238" cm="1">
        <f t="array" ref="G9">SUMPRODUCT(--(I9:S9&lt;=I26:S26))/COUNTA(I26:S26)</f>
        <v>0.72727272727272729</v>
      </c>
      <c r="H9" s="201">
        <v>0</v>
      </c>
      <c r="I9" s="50">
        <v>16</v>
      </c>
      <c r="J9" s="50">
        <v>2</v>
      </c>
      <c r="K9" s="50">
        <v>15</v>
      </c>
      <c r="L9" s="50">
        <v>1</v>
      </c>
      <c r="M9" s="50">
        <v>10</v>
      </c>
      <c r="N9" s="50">
        <v>7</v>
      </c>
      <c r="O9" s="50">
        <v>16</v>
      </c>
      <c r="P9" s="50">
        <v>16</v>
      </c>
      <c r="Q9" s="50">
        <v>3</v>
      </c>
      <c r="R9" s="50">
        <v>10</v>
      </c>
      <c r="S9" s="50">
        <v>23</v>
      </c>
    </row>
    <row r="10" spans="2:19" x14ac:dyDescent="0.35">
      <c r="B10" s="50" t="s">
        <v>3582</v>
      </c>
      <c r="C10" s="50">
        <v>8</v>
      </c>
      <c r="D10" s="50" t="s">
        <v>4138</v>
      </c>
      <c r="E10" s="111">
        <v>45483</v>
      </c>
      <c r="F10" s="50">
        <v>1</v>
      </c>
      <c r="G10" s="50" t="s">
        <v>3621</v>
      </c>
      <c r="H10" s="201">
        <v>0</v>
      </c>
      <c r="I10" s="50">
        <v>4293430451808770</v>
      </c>
      <c r="J10" s="50">
        <v>31</v>
      </c>
      <c r="K10" s="50">
        <v>3163579860010</v>
      </c>
      <c r="L10" s="50">
        <v>0</v>
      </c>
      <c r="M10" s="50">
        <v>0</v>
      </c>
      <c r="N10" s="50" t="s">
        <v>4139</v>
      </c>
      <c r="O10" s="50" t="s">
        <v>3630</v>
      </c>
      <c r="P10" s="111">
        <v>750000000</v>
      </c>
      <c r="Q10" s="111" t="s">
        <v>3699</v>
      </c>
      <c r="R10" s="111">
        <v>45483</v>
      </c>
      <c r="S10" s="114" t="s">
        <v>4140</v>
      </c>
    </row>
    <row r="11" spans="2:19" x14ac:dyDescent="0.35">
      <c r="B11" s="50" t="s">
        <v>3584</v>
      </c>
      <c r="C11" s="50">
        <v>9</v>
      </c>
      <c r="D11" s="50" t="s">
        <v>4141</v>
      </c>
      <c r="E11" s="111">
        <v>45483</v>
      </c>
      <c r="F11" s="50">
        <v>1</v>
      </c>
      <c r="G11" s="50" t="s">
        <v>3621</v>
      </c>
      <c r="H11" s="201">
        <v>0</v>
      </c>
      <c r="I11" s="50">
        <v>4293430451808770</v>
      </c>
      <c r="J11" s="50">
        <v>31</v>
      </c>
      <c r="K11" s="50">
        <v>3163579860010</v>
      </c>
      <c r="L11" s="50">
        <v>0</v>
      </c>
      <c r="M11" s="50">
        <v>0</v>
      </c>
      <c r="N11" s="50">
        <v>202407</v>
      </c>
      <c r="O11" s="50" t="s">
        <v>3630</v>
      </c>
      <c r="P11" s="111">
        <v>750000000</v>
      </c>
      <c r="Q11" s="111">
        <v>15</v>
      </c>
      <c r="R11" s="111">
        <v>45483</v>
      </c>
      <c r="S11" s="50" t="s">
        <v>4142</v>
      </c>
    </row>
    <row r="12" spans="2:19" x14ac:dyDescent="0.35">
      <c r="B12" s="113" t="s">
        <v>3586</v>
      </c>
      <c r="C12" s="50">
        <v>10</v>
      </c>
      <c r="D12" s="50" t="s">
        <v>4143</v>
      </c>
      <c r="E12" s="111">
        <v>45483</v>
      </c>
      <c r="F12" s="50">
        <v>1</v>
      </c>
      <c r="G12" s="50" t="s">
        <v>3621</v>
      </c>
      <c r="H12" s="201">
        <v>0</v>
      </c>
      <c r="I12" s="50">
        <v>5166320263218330</v>
      </c>
      <c r="J12" s="201">
        <v>31</v>
      </c>
      <c r="K12" s="50">
        <v>5131570000010</v>
      </c>
      <c r="L12" s="50">
        <v>8</v>
      </c>
      <c r="M12" s="111">
        <v>45483</v>
      </c>
      <c r="N12" s="50" t="s">
        <v>4144</v>
      </c>
      <c r="O12" s="114">
        <v>999999999000000</v>
      </c>
      <c r="P12" s="111">
        <v>999999999000000</v>
      </c>
      <c r="Q12" s="111" t="s">
        <v>3699</v>
      </c>
      <c r="R12" s="111">
        <v>45483</v>
      </c>
      <c r="S12" s="173" t="s">
        <v>4140</v>
      </c>
    </row>
    <row r="13" spans="2:19" x14ac:dyDescent="0.35">
      <c r="B13" s="50" t="s">
        <v>3588</v>
      </c>
      <c r="C13" s="50">
        <v>11</v>
      </c>
      <c r="D13" s="50" t="s">
        <v>4145</v>
      </c>
      <c r="E13" s="111">
        <v>45483</v>
      </c>
      <c r="F13" s="50">
        <v>1</v>
      </c>
      <c r="G13" s="50" t="s">
        <v>3621</v>
      </c>
      <c r="H13" s="201">
        <v>0</v>
      </c>
      <c r="I13" s="50">
        <v>5166320263218330</v>
      </c>
      <c r="J13" s="201">
        <v>31</v>
      </c>
      <c r="K13" s="50">
        <v>5131570000010</v>
      </c>
      <c r="L13" s="50">
        <v>8</v>
      </c>
      <c r="M13" s="111">
        <v>45483</v>
      </c>
      <c r="N13" s="50">
        <v>202912</v>
      </c>
      <c r="O13" s="114">
        <v>999999999000000</v>
      </c>
      <c r="P13" s="111">
        <v>999999999000000</v>
      </c>
      <c r="Q13" s="111">
        <v>5</v>
      </c>
      <c r="R13" s="111">
        <v>45483</v>
      </c>
      <c r="S13" s="50" t="s">
        <v>4146</v>
      </c>
    </row>
    <row r="14" spans="2:19" x14ac:dyDescent="0.35">
      <c r="B14" s="50" t="s">
        <v>3590</v>
      </c>
      <c r="C14" s="50">
        <v>12</v>
      </c>
      <c r="D14" s="50" t="s">
        <v>4147</v>
      </c>
      <c r="E14" s="111">
        <v>45483</v>
      </c>
      <c r="F14" s="50">
        <v>1</v>
      </c>
      <c r="G14" s="209">
        <v>1</v>
      </c>
      <c r="H14" s="201">
        <v>0</v>
      </c>
      <c r="I14" s="50">
        <v>0</v>
      </c>
      <c r="J14" s="50">
        <v>0</v>
      </c>
      <c r="K14" s="50">
        <v>0</v>
      </c>
      <c r="L14" s="50">
        <v>0</v>
      </c>
      <c r="M14" s="50">
        <v>0</v>
      </c>
      <c r="N14" s="50">
        <v>0</v>
      </c>
      <c r="O14" s="50">
        <v>0</v>
      </c>
      <c r="P14" s="50">
        <v>0</v>
      </c>
      <c r="Q14" s="50">
        <v>0</v>
      </c>
      <c r="R14" s="50">
        <v>0</v>
      </c>
      <c r="S14" s="50">
        <v>0</v>
      </c>
    </row>
    <row r="15" spans="2:19" x14ac:dyDescent="0.35">
      <c r="B15" s="50" t="s">
        <v>3592</v>
      </c>
      <c r="C15" s="50">
        <v>13</v>
      </c>
      <c r="D15" s="50" t="s">
        <v>4148</v>
      </c>
      <c r="E15" s="111">
        <v>45483</v>
      </c>
      <c r="F15" s="50">
        <v>1</v>
      </c>
      <c r="G15" s="209">
        <v>1</v>
      </c>
      <c r="H15" s="201">
        <v>0</v>
      </c>
      <c r="I15" s="50" t="s">
        <v>3621</v>
      </c>
      <c r="J15" s="50" t="s">
        <v>3621</v>
      </c>
      <c r="K15" s="50" t="s">
        <v>3621</v>
      </c>
      <c r="L15" s="50" t="s">
        <v>3621</v>
      </c>
      <c r="M15" s="50">
        <v>0</v>
      </c>
      <c r="N15" s="50">
        <v>0</v>
      </c>
      <c r="O15" s="50" t="s">
        <v>3621</v>
      </c>
      <c r="P15" s="50" t="s">
        <v>3621</v>
      </c>
      <c r="Q15" s="50" t="s">
        <v>3621</v>
      </c>
      <c r="R15" s="50" t="s">
        <v>3621</v>
      </c>
      <c r="S15" s="50" t="s">
        <v>3621</v>
      </c>
    </row>
    <row r="16" spans="2:19" x14ac:dyDescent="0.35">
      <c r="B16" s="50" t="s">
        <v>3594</v>
      </c>
      <c r="C16" s="50">
        <v>14</v>
      </c>
      <c r="D16" s="50" t="s">
        <v>4149</v>
      </c>
      <c r="E16" s="111">
        <v>45483</v>
      </c>
      <c r="F16" s="50">
        <v>1</v>
      </c>
      <c r="G16" s="209">
        <v>1</v>
      </c>
      <c r="H16" s="201">
        <v>0</v>
      </c>
      <c r="I16" s="50" t="s">
        <v>3621</v>
      </c>
      <c r="J16" s="50">
        <v>0</v>
      </c>
      <c r="K16" s="50">
        <v>0</v>
      </c>
      <c r="L16" s="50" t="s">
        <v>3621</v>
      </c>
      <c r="M16" s="50" t="s">
        <v>3621</v>
      </c>
      <c r="N16" s="50" t="s">
        <v>3621</v>
      </c>
      <c r="O16" s="50" t="s">
        <v>3621</v>
      </c>
      <c r="P16" s="50" t="s">
        <v>3621</v>
      </c>
      <c r="Q16" s="50">
        <v>0</v>
      </c>
      <c r="R16" s="50" t="s">
        <v>3621</v>
      </c>
      <c r="S16" s="50" t="s">
        <v>3621</v>
      </c>
    </row>
    <row r="17" spans="2:20" x14ac:dyDescent="0.35">
      <c r="B17" s="50" t="s">
        <v>3596</v>
      </c>
      <c r="C17" s="50">
        <v>15</v>
      </c>
      <c r="D17" s="50" t="s">
        <v>4150</v>
      </c>
      <c r="E17" s="111">
        <v>45483</v>
      </c>
      <c r="F17" s="50">
        <v>1</v>
      </c>
      <c r="G17" s="209">
        <v>1</v>
      </c>
      <c r="H17" s="201">
        <v>0</v>
      </c>
      <c r="I17" s="50" t="s">
        <v>3621</v>
      </c>
      <c r="J17" s="50" t="s">
        <v>3621</v>
      </c>
      <c r="K17" s="50" t="s">
        <v>3621</v>
      </c>
      <c r="L17" s="50" t="s">
        <v>3621</v>
      </c>
      <c r="M17" s="50" t="s">
        <v>3621</v>
      </c>
      <c r="N17" s="50" t="s">
        <v>3621</v>
      </c>
      <c r="O17" s="50" t="s">
        <v>3621</v>
      </c>
      <c r="P17" s="50" t="s">
        <v>3621</v>
      </c>
      <c r="Q17" s="50" t="s">
        <v>3621</v>
      </c>
      <c r="R17" s="50" t="s">
        <v>3621</v>
      </c>
      <c r="S17" s="50" t="s">
        <v>3621</v>
      </c>
    </row>
    <row r="18" spans="2:20" x14ac:dyDescent="0.35">
      <c r="B18" s="50" t="s">
        <v>3598</v>
      </c>
      <c r="C18" s="50">
        <v>16</v>
      </c>
      <c r="D18" s="50" t="s">
        <v>4150</v>
      </c>
      <c r="E18" s="111">
        <v>45483</v>
      </c>
      <c r="F18" s="50">
        <v>1</v>
      </c>
      <c r="G18" s="209">
        <v>1</v>
      </c>
      <c r="H18" s="201">
        <v>0</v>
      </c>
      <c r="I18" s="50" t="s">
        <v>3621</v>
      </c>
      <c r="J18" s="50" t="s">
        <v>3621</v>
      </c>
      <c r="K18" s="50" t="s">
        <v>3621</v>
      </c>
      <c r="L18" s="50" t="s">
        <v>3621</v>
      </c>
      <c r="M18" s="50" t="s">
        <v>3621</v>
      </c>
      <c r="N18" s="50" t="s">
        <v>3621</v>
      </c>
      <c r="O18" s="50" t="s">
        <v>3621</v>
      </c>
      <c r="P18" s="50" t="s">
        <v>3621</v>
      </c>
      <c r="Q18" s="50" t="s">
        <v>3621</v>
      </c>
      <c r="R18" s="50" t="s">
        <v>3621</v>
      </c>
      <c r="S18" s="50" t="s">
        <v>3621</v>
      </c>
    </row>
    <row r="19" spans="2:20" x14ac:dyDescent="0.35">
      <c r="B19" s="50" t="s">
        <v>3604</v>
      </c>
      <c r="C19" s="50">
        <v>19</v>
      </c>
      <c r="D19" s="50" t="s">
        <v>4151</v>
      </c>
      <c r="E19" s="111">
        <v>45483</v>
      </c>
      <c r="F19" s="50">
        <v>1</v>
      </c>
      <c r="G19" s="209" cm="1">
        <f t="array" ref="G19">SUMPRODUCT(--(ISNUMBER((SEARCH(I25:S25,I19:S19)))))/COUNTA(I19:S19)</f>
        <v>0.63636363636363635</v>
      </c>
      <c r="H19" s="111" t="s">
        <v>3621</v>
      </c>
      <c r="I19" s="50" t="s">
        <v>3655</v>
      </c>
      <c r="J19" s="50" t="s">
        <v>3655</v>
      </c>
      <c r="K19" s="50" t="s">
        <v>3655</v>
      </c>
      <c r="L19" s="50" t="s">
        <v>3655</v>
      </c>
      <c r="M19" s="50" t="s">
        <v>3655</v>
      </c>
      <c r="N19" s="50" t="s">
        <v>3655</v>
      </c>
      <c r="O19" s="50" t="s">
        <v>3656</v>
      </c>
      <c r="P19" s="50" t="s">
        <v>3656</v>
      </c>
      <c r="Q19" s="50" t="s">
        <v>3655</v>
      </c>
      <c r="R19" s="50" t="s">
        <v>3655</v>
      </c>
      <c r="S19" s="50" t="s">
        <v>3657</v>
      </c>
    </row>
    <row r="20" spans="2:20" x14ac:dyDescent="0.35">
      <c r="B20" s="50" t="s">
        <v>3607</v>
      </c>
      <c r="C20" s="50">
        <v>20</v>
      </c>
      <c r="D20" s="50" t="s">
        <v>4152</v>
      </c>
      <c r="E20" s="111">
        <v>45483</v>
      </c>
      <c r="F20" s="50">
        <v>1</v>
      </c>
      <c r="G20" s="209" cm="1">
        <f t="array" ref="G20">SUM(IF(I2:S2 = I24:S24, 1, 0))/ COUNTA(I2:S2)</f>
        <v>9.0909090909090912E-2</v>
      </c>
      <c r="H20" s="209" t="s">
        <v>3621</v>
      </c>
      <c r="I20" s="209" t="s">
        <v>3621</v>
      </c>
      <c r="J20" s="209" t="s">
        <v>3621</v>
      </c>
      <c r="K20" s="209" t="s">
        <v>3621</v>
      </c>
      <c r="L20" s="209" t="s">
        <v>3621</v>
      </c>
      <c r="M20" s="209" t="s">
        <v>3621</v>
      </c>
      <c r="N20" s="209" t="s">
        <v>3621</v>
      </c>
      <c r="O20" s="209" t="s">
        <v>3621</v>
      </c>
      <c r="P20" s="209" t="s">
        <v>3621</v>
      </c>
      <c r="Q20" s="209" t="s">
        <v>3621</v>
      </c>
      <c r="R20" s="209" t="s">
        <v>3621</v>
      </c>
      <c r="S20" s="209" t="s">
        <v>3621</v>
      </c>
    </row>
    <row r="21" spans="2:20" x14ac:dyDescent="0.35">
      <c r="B21" s="50" t="s">
        <v>3610</v>
      </c>
      <c r="C21" s="50">
        <v>21</v>
      </c>
      <c r="D21" s="50" t="s">
        <v>4152</v>
      </c>
      <c r="E21" s="111">
        <v>45483</v>
      </c>
      <c r="F21" s="50">
        <v>1</v>
      </c>
      <c r="G21" s="209" cm="1">
        <f t="array" ref="G21">SUM(IF(IF(G3:G20="null",1,G3:G20)=1,1,0))/COUNT(IF(G3:G20="null",1,1))</f>
        <v>0.83333333333333337</v>
      </c>
      <c r="H21" s="209" t="s">
        <v>3621</v>
      </c>
      <c r="I21" s="209" t="s">
        <v>3621</v>
      </c>
      <c r="J21" s="209" t="s">
        <v>3621</v>
      </c>
      <c r="K21" s="209" t="s">
        <v>3621</v>
      </c>
      <c r="L21" s="209" t="s">
        <v>3621</v>
      </c>
      <c r="M21" s="209" t="s">
        <v>3621</v>
      </c>
      <c r="N21" s="209" t="s">
        <v>3621</v>
      </c>
      <c r="O21" s="209" t="s">
        <v>3621</v>
      </c>
      <c r="P21" s="209" t="s">
        <v>3621</v>
      </c>
      <c r="Q21" s="209" t="s">
        <v>3621</v>
      </c>
      <c r="R21" s="209" t="s">
        <v>3621</v>
      </c>
      <c r="S21" s="209" t="s">
        <v>3621</v>
      </c>
    </row>
    <row r="22" spans="2:20" x14ac:dyDescent="0.35">
      <c r="B22" s="50"/>
      <c r="C22" s="50"/>
      <c r="D22" s="50"/>
      <c r="E22" s="111"/>
      <c r="F22" s="50"/>
      <c r="G22" s="50"/>
      <c r="H22" s="50"/>
      <c r="I22" s="50"/>
      <c r="J22" s="50"/>
      <c r="K22" s="50"/>
      <c r="L22" s="50"/>
      <c r="M22" s="50"/>
      <c r="N22" s="50"/>
      <c r="O22" s="50"/>
      <c r="P22" s="50"/>
      <c r="Q22" s="50"/>
      <c r="R22" s="50"/>
      <c r="S22" s="50"/>
    </row>
    <row r="23" spans="2:20" x14ac:dyDescent="0.35">
      <c r="B23" s="146" t="s">
        <v>3727</v>
      </c>
    </row>
    <row r="24" spans="2:20" x14ac:dyDescent="0.35">
      <c r="B24" s="144" t="s">
        <v>3613</v>
      </c>
      <c r="C24" s="145" t="s">
        <v>3614</v>
      </c>
      <c r="D24" s="145" t="s">
        <v>3615</v>
      </c>
      <c r="E24" s="145" t="s">
        <v>3616</v>
      </c>
      <c r="F24" s="145" t="s">
        <v>3617</v>
      </c>
      <c r="G24" s="145" t="s">
        <v>3618</v>
      </c>
      <c r="H24" s="145" t="s">
        <v>3619</v>
      </c>
      <c r="I24" s="145" t="str" cm="1">
        <f t="array" ref="I24:T24">TRANSPOSE(_xlfn.SORTBY(_xlfn._xlws.FILTER(Table3[NOME FÍSICO CAMPO],Table3[NOME FÍSICO TABELA]="prepaid_card"), _xlfn._xlws.FILTER(Table3[ORDEM], Table3[NOME FÍSICO TABELA]="prepaid_card"), 1))</f>
        <v>card_number</v>
      </c>
      <c r="J24" s="145" t="str">
        <v>bank_id</v>
      </c>
      <c r="K24" s="145" t="str">
        <v>contract_id</v>
      </c>
      <c r="L24" s="145" t="str">
        <v>card_holder_interv_type_code</v>
      </c>
      <c r="M24" s="145" t="str">
        <v>card_holder_interv_order_number</v>
      </c>
      <c r="N24" s="145" t="str">
        <v>card_activation_date</v>
      </c>
      <c r="O24" s="145" t="str">
        <v>card_expiration_date</v>
      </c>
      <c r="P24" s="145" t="str">
        <v>daily_atm_limit</v>
      </c>
      <c r="Q24" s="145" t="str">
        <v>daily_purchase_limit</v>
      </c>
      <c r="R24" s="145" t="str">
        <v>card_status_code</v>
      </c>
      <c r="S24" s="145" t="str">
        <v>data_date_part</v>
      </c>
      <c r="T24" t="str">
        <v>data_timestamp_part</v>
      </c>
    </row>
    <row r="25" spans="2:20" x14ac:dyDescent="0.35">
      <c r="B25" s="123" t="s">
        <v>3658</v>
      </c>
      <c r="C25" s="126">
        <v>21</v>
      </c>
      <c r="D25" s="120" t="s">
        <v>3659</v>
      </c>
      <c r="E25" s="119" t="s">
        <v>3660</v>
      </c>
      <c r="F25" s="119" t="s">
        <v>372</v>
      </c>
      <c r="G25" s="119" t="s">
        <v>372</v>
      </c>
      <c r="H25" s="119" t="s">
        <v>372</v>
      </c>
      <c r="I25" s="119" t="str" cm="1">
        <f t="array" ref="I25:T26">TRANSPOSE(_xlfn.SORTBY(_xlfn._xlws.FILTER(IF(Table3[FORMATO]:Table3[COMP_ CAMPO]&lt;&gt;"",Table3[FORMATO]:Table3[COMP_ CAMPO],9999999),Table3[NOME FÍSICO TABELA]="prepaid_card"), _xlfn._xlws.FILTER(Table3[ORDEM], Table3[NOME FÍSICO TABELA]="prepaid_card"), 1))</f>
        <v>STRING</v>
      </c>
      <c r="J25" s="119" t="str">
        <v>STRING</v>
      </c>
      <c r="K25" s="119" t="str">
        <v>STRING</v>
      </c>
      <c r="L25" s="119" t="str">
        <v>STRING</v>
      </c>
      <c r="M25" s="119" t="str">
        <v>BIGINT</v>
      </c>
      <c r="N25" s="119" t="str">
        <v>STRING</v>
      </c>
      <c r="O25" s="119" t="str">
        <v>STRING</v>
      </c>
      <c r="P25" s="119" t="str">
        <v>DECIMAL</v>
      </c>
      <c r="Q25" s="119" t="str">
        <v>DECIMAL</v>
      </c>
      <c r="R25" s="119" t="str">
        <v>STRING</v>
      </c>
      <c r="S25" s="119" t="str">
        <v>STRING</v>
      </c>
      <c r="T25" t="str">
        <v>TIMESTAMP</v>
      </c>
    </row>
    <row r="26" spans="2:20" x14ac:dyDescent="0.35">
      <c r="B26" s="123" t="s">
        <v>3661</v>
      </c>
      <c r="C26" s="126">
        <v>7</v>
      </c>
      <c r="D26" s="120" t="s">
        <v>3659</v>
      </c>
      <c r="E26" s="119" t="s">
        <v>3660</v>
      </c>
      <c r="F26" s="121" t="s">
        <v>372</v>
      </c>
      <c r="G26" s="121" t="s">
        <v>372</v>
      </c>
      <c r="H26" s="121" t="s">
        <v>372</v>
      </c>
      <c r="I26" s="167">
        <v>16</v>
      </c>
      <c r="J26" s="167">
        <v>4</v>
      </c>
      <c r="K26" s="167">
        <v>30</v>
      </c>
      <c r="L26" s="167">
        <v>4</v>
      </c>
      <c r="M26" s="167">
        <v>9999999</v>
      </c>
      <c r="N26" s="167">
        <v>10</v>
      </c>
      <c r="O26" s="167">
        <v>10</v>
      </c>
      <c r="P26" s="167">
        <v>23</v>
      </c>
      <c r="Q26" s="167">
        <v>23</v>
      </c>
      <c r="R26" s="167">
        <v>4</v>
      </c>
      <c r="S26" s="167">
        <v>10</v>
      </c>
      <c r="T26">
        <v>23</v>
      </c>
    </row>
    <row r="28" spans="2:20" x14ac:dyDescent="0.35">
      <c r="B28" s="156" t="s">
        <v>3662</v>
      </c>
    </row>
    <row r="29" spans="2:20" x14ac:dyDescent="0.35">
      <c r="B29" s="150" t="s">
        <v>3663</v>
      </c>
      <c r="C29" s="150" t="s">
        <v>3664</v>
      </c>
      <c r="D29" s="151" t="s">
        <v>3665</v>
      </c>
      <c r="E29" s="150" t="s">
        <v>3666</v>
      </c>
      <c r="F29" s="150" t="s">
        <v>3667</v>
      </c>
    </row>
    <row r="30" spans="2:20" x14ac:dyDescent="0.35">
      <c r="B30" s="134"/>
      <c r="C30" s="133"/>
      <c r="D30" s="139"/>
      <c r="E30" s="162"/>
      <c r="F30" s="15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B1:T30"/>
  <sheetViews>
    <sheetView showGridLines="0" topLeftCell="A2" workbookViewId="0">
      <selection activeCell="H9" sqref="H9"/>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7" width="30.7265625" bestFit="1" customWidth="1"/>
    <col min="18" max="18" width="28" bestFit="1" customWidth="1"/>
    <col min="19" max="19" width="30.7265625" bestFit="1" customWidth="1"/>
  </cols>
  <sheetData>
    <row r="1" spans="2:19" ht="26.25" customHeight="1" x14ac:dyDescent="0.35"/>
    <row r="2" spans="2:19" x14ac:dyDescent="0.35">
      <c r="B2" s="91" t="s">
        <v>3613</v>
      </c>
      <c r="C2" s="91" t="s">
        <v>3614</v>
      </c>
      <c r="D2" s="91" t="s">
        <v>3615</v>
      </c>
      <c r="E2" s="91" t="s">
        <v>3616</v>
      </c>
      <c r="F2" s="91" t="s">
        <v>3617</v>
      </c>
      <c r="G2" s="91" t="s">
        <v>3618</v>
      </c>
      <c r="H2" s="91" t="s">
        <v>3619</v>
      </c>
      <c r="I2" s="91" t="s">
        <v>1156</v>
      </c>
      <c r="J2" s="91" t="s">
        <v>4153</v>
      </c>
      <c r="K2" s="91" t="s">
        <v>4154</v>
      </c>
      <c r="L2" s="91" t="s">
        <v>4132</v>
      </c>
      <c r="M2" s="91" t="s">
        <v>1200</v>
      </c>
      <c r="N2" s="91" t="s">
        <v>1208</v>
      </c>
      <c r="O2" s="91" t="s">
        <v>1216</v>
      </c>
      <c r="P2" s="91" t="s">
        <v>1227</v>
      </c>
      <c r="Q2" s="91" t="s">
        <v>1235</v>
      </c>
      <c r="R2" s="91" t="s">
        <v>327</v>
      </c>
      <c r="S2" s="91" t="s">
        <v>334</v>
      </c>
    </row>
    <row r="3" spans="2:19" x14ac:dyDescent="0.35">
      <c r="B3" s="50" t="s">
        <v>3567</v>
      </c>
      <c r="C3" s="50">
        <v>1</v>
      </c>
      <c r="D3" s="50" t="s">
        <v>4155</v>
      </c>
      <c r="E3" s="111">
        <v>45485</v>
      </c>
      <c r="F3" s="50">
        <v>1</v>
      </c>
      <c r="G3" s="209">
        <v>1</v>
      </c>
      <c r="H3" s="201">
        <v>650320</v>
      </c>
      <c r="I3" s="50" t="s">
        <v>3621</v>
      </c>
      <c r="J3" s="50" t="s">
        <v>3621</v>
      </c>
      <c r="K3" s="50" t="s">
        <v>3621</v>
      </c>
      <c r="L3" s="50" t="s">
        <v>3621</v>
      </c>
      <c r="M3" s="50" t="s">
        <v>3621</v>
      </c>
      <c r="N3" s="50" t="s">
        <v>3621</v>
      </c>
      <c r="O3" s="50" t="s">
        <v>3621</v>
      </c>
      <c r="P3" s="50" t="s">
        <v>3621</v>
      </c>
      <c r="Q3" s="50" t="s">
        <v>3621</v>
      </c>
      <c r="R3" s="50" t="s">
        <v>3621</v>
      </c>
      <c r="S3" s="50" t="s">
        <v>3621</v>
      </c>
    </row>
    <row r="4" spans="2:19" x14ac:dyDescent="0.35">
      <c r="B4" s="50" t="s">
        <v>3569</v>
      </c>
      <c r="C4" s="50">
        <v>2</v>
      </c>
      <c r="D4" s="50" t="s">
        <v>4156</v>
      </c>
      <c r="E4" s="111">
        <v>45485</v>
      </c>
      <c r="F4" s="50">
        <v>1</v>
      </c>
      <c r="G4" s="209">
        <v>1</v>
      </c>
      <c r="H4" s="50">
        <v>0</v>
      </c>
      <c r="I4" s="50" t="s">
        <v>3621</v>
      </c>
      <c r="J4" s="50" t="s">
        <v>3621</v>
      </c>
      <c r="K4" s="50" t="s">
        <v>3621</v>
      </c>
      <c r="L4" s="50" t="s">
        <v>3621</v>
      </c>
      <c r="M4" s="50" t="s">
        <v>3621</v>
      </c>
      <c r="N4" s="50" t="s">
        <v>3621</v>
      </c>
      <c r="O4" s="50" t="s">
        <v>3621</v>
      </c>
      <c r="P4" s="50" t="s">
        <v>3621</v>
      </c>
      <c r="Q4" s="50" t="s">
        <v>3621</v>
      </c>
      <c r="R4" s="50" t="s">
        <v>3621</v>
      </c>
      <c r="S4" s="50" t="s">
        <v>3621</v>
      </c>
    </row>
    <row r="5" spans="2:19" x14ac:dyDescent="0.35">
      <c r="B5" s="50" t="s">
        <v>3571</v>
      </c>
      <c r="C5" s="50">
        <v>3</v>
      </c>
      <c r="D5" s="50" t="s">
        <v>4157</v>
      </c>
      <c r="E5" s="111">
        <v>45485</v>
      </c>
      <c r="F5" s="50">
        <v>1</v>
      </c>
      <c r="G5" s="209">
        <v>1</v>
      </c>
      <c r="H5" s="50">
        <v>0</v>
      </c>
      <c r="I5" s="50">
        <v>0</v>
      </c>
      <c r="J5" s="50" t="s">
        <v>3621</v>
      </c>
      <c r="K5" s="50" t="s">
        <v>3621</v>
      </c>
      <c r="L5" s="50" t="s">
        <v>3621</v>
      </c>
      <c r="M5" s="50" t="s">
        <v>3621</v>
      </c>
      <c r="N5" s="50" t="s">
        <v>3621</v>
      </c>
      <c r="O5" s="50" t="s">
        <v>3621</v>
      </c>
      <c r="P5" s="50" t="s">
        <v>3621</v>
      </c>
      <c r="Q5" s="50" t="s">
        <v>3621</v>
      </c>
      <c r="R5" s="50">
        <v>0</v>
      </c>
      <c r="S5" s="50" t="s">
        <v>3621</v>
      </c>
    </row>
    <row r="6" spans="2:19" x14ac:dyDescent="0.35">
      <c r="B6" s="113" t="s">
        <v>3573</v>
      </c>
      <c r="C6" s="50">
        <v>4</v>
      </c>
      <c r="D6" s="50" t="s">
        <v>3624</v>
      </c>
      <c r="E6" s="111" t="s">
        <v>3621</v>
      </c>
      <c r="F6" s="50">
        <v>1</v>
      </c>
      <c r="G6" s="50" t="s">
        <v>3621</v>
      </c>
      <c r="H6" s="50" t="s">
        <v>3621</v>
      </c>
      <c r="I6" s="50" t="s">
        <v>3621</v>
      </c>
      <c r="J6" s="50" t="s">
        <v>3621</v>
      </c>
      <c r="K6" s="50" t="s">
        <v>3621</v>
      </c>
      <c r="L6" s="50" t="s">
        <v>3621</v>
      </c>
      <c r="M6" s="50" t="s">
        <v>3621</v>
      </c>
      <c r="N6" s="50" t="s">
        <v>3621</v>
      </c>
      <c r="O6" s="50" t="s">
        <v>3621</v>
      </c>
      <c r="P6" s="50" t="s">
        <v>3621</v>
      </c>
      <c r="Q6" s="50" t="s">
        <v>3621</v>
      </c>
      <c r="R6" s="50" t="s">
        <v>3621</v>
      </c>
      <c r="S6" s="50" t="s">
        <v>3621</v>
      </c>
    </row>
    <row r="7" spans="2:19" x14ac:dyDescent="0.35">
      <c r="B7" s="50" t="s">
        <v>3575</v>
      </c>
      <c r="C7" s="50">
        <v>5</v>
      </c>
      <c r="D7" s="50" t="s">
        <v>3624</v>
      </c>
      <c r="E7" s="111" t="s">
        <v>3621</v>
      </c>
      <c r="F7" s="50">
        <v>1</v>
      </c>
      <c r="G7" s="50" t="s">
        <v>3621</v>
      </c>
      <c r="H7" s="50" t="s">
        <v>3621</v>
      </c>
      <c r="I7" s="50" t="s">
        <v>3621</v>
      </c>
      <c r="J7" s="50" t="s">
        <v>3621</v>
      </c>
      <c r="K7" s="50" t="s">
        <v>3621</v>
      </c>
      <c r="L7" s="50" t="s">
        <v>3621</v>
      </c>
      <c r="M7" s="50" t="s">
        <v>3621</v>
      </c>
      <c r="N7" s="50" t="s">
        <v>3621</v>
      </c>
      <c r="O7" s="50" t="s">
        <v>3621</v>
      </c>
      <c r="P7" s="50" t="s">
        <v>3621</v>
      </c>
      <c r="Q7" s="50" t="s">
        <v>3621</v>
      </c>
      <c r="R7" s="50" t="s">
        <v>3621</v>
      </c>
      <c r="S7" s="50" t="s">
        <v>3621</v>
      </c>
    </row>
    <row r="8" spans="2:19" x14ac:dyDescent="0.35">
      <c r="B8" s="113" t="s">
        <v>3576</v>
      </c>
      <c r="C8" s="50">
        <v>6</v>
      </c>
      <c r="D8" s="50" t="s">
        <v>4158</v>
      </c>
      <c r="E8" s="111">
        <v>45485</v>
      </c>
      <c r="F8" s="50">
        <v>1</v>
      </c>
      <c r="G8" s="209" cm="1">
        <f t="array" ref="G8">SUMPRODUCT(--(I8:S8&gt;0))/COUNTA(I8:S8)</f>
        <v>1</v>
      </c>
      <c r="H8" s="50">
        <v>0</v>
      </c>
      <c r="I8" s="50">
        <v>16</v>
      </c>
      <c r="J8" s="50">
        <v>2</v>
      </c>
      <c r="K8" s="50">
        <v>15</v>
      </c>
      <c r="L8" s="50">
        <v>1</v>
      </c>
      <c r="M8" s="50">
        <v>1</v>
      </c>
      <c r="N8" s="50">
        <v>7</v>
      </c>
      <c r="O8" s="50">
        <v>8</v>
      </c>
      <c r="P8" s="50">
        <v>8</v>
      </c>
      <c r="Q8" s="50">
        <v>3</v>
      </c>
      <c r="R8" s="50">
        <v>10</v>
      </c>
      <c r="S8" s="50">
        <v>23</v>
      </c>
    </row>
    <row r="9" spans="2:19" x14ac:dyDescent="0.35">
      <c r="B9" s="50" t="s">
        <v>3579</v>
      </c>
      <c r="C9" s="50">
        <v>7</v>
      </c>
      <c r="D9" s="50" t="s">
        <v>4159</v>
      </c>
      <c r="E9" s="111">
        <v>45485</v>
      </c>
      <c r="F9" s="50">
        <v>1</v>
      </c>
      <c r="G9" s="209" cm="1">
        <f t="array" ref="G9">SUMPRODUCT(--(I9:S9&lt;=I26:S26))/COUNTA(I26:S26)</f>
        <v>0.72727272727272729</v>
      </c>
      <c r="H9" s="50">
        <v>0</v>
      </c>
      <c r="I9" s="50">
        <v>16</v>
      </c>
      <c r="J9" s="50">
        <v>2</v>
      </c>
      <c r="K9" s="50">
        <v>15</v>
      </c>
      <c r="L9" s="50">
        <v>3</v>
      </c>
      <c r="M9" s="50">
        <v>10</v>
      </c>
      <c r="N9" s="50">
        <v>7</v>
      </c>
      <c r="O9" s="50">
        <v>13</v>
      </c>
      <c r="P9" s="50">
        <v>13</v>
      </c>
      <c r="Q9" s="50">
        <v>3</v>
      </c>
      <c r="R9" s="50">
        <v>10</v>
      </c>
      <c r="S9" s="50">
        <v>23</v>
      </c>
    </row>
    <row r="10" spans="2:19" x14ac:dyDescent="0.35">
      <c r="B10" s="50" t="s">
        <v>3582</v>
      </c>
      <c r="C10" s="50">
        <v>8</v>
      </c>
      <c r="D10" s="50" t="s">
        <v>4160</v>
      </c>
      <c r="E10" s="111">
        <v>45485</v>
      </c>
      <c r="F10" s="50">
        <v>1</v>
      </c>
      <c r="G10" s="50" t="s">
        <v>3621</v>
      </c>
      <c r="H10" s="50">
        <v>0</v>
      </c>
      <c r="I10" s="50">
        <v>4001900051800820</v>
      </c>
      <c r="J10" s="50">
        <v>31</v>
      </c>
      <c r="K10" s="50">
        <v>1100827510011</v>
      </c>
      <c r="L10" s="50">
        <v>0</v>
      </c>
      <c r="M10" s="50">
        <v>0</v>
      </c>
      <c r="N10" s="111" t="s">
        <v>4139</v>
      </c>
      <c r="O10" s="50" t="s">
        <v>3630</v>
      </c>
      <c r="P10" s="111" t="s">
        <v>3630</v>
      </c>
      <c r="Q10" s="111" t="s">
        <v>3699</v>
      </c>
      <c r="R10" s="111">
        <v>45485</v>
      </c>
      <c r="S10" s="114" t="s">
        <v>4161</v>
      </c>
    </row>
    <row r="11" spans="2:19" x14ac:dyDescent="0.35">
      <c r="B11" s="50" t="s">
        <v>3584</v>
      </c>
      <c r="C11" s="50">
        <v>9</v>
      </c>
      <c r="D11" s="50" t="s">
        <v>4162</v>
      </c>
      <c r="E11" s="111">
        <v>45485</v>
      </c>
      <c r="F11" s="50">
        <v>1</v>
      </c>
      <c r="G11" s="50" t="s">
        <v>3621</v>
      </c>
      <c r="H11" s="50">
        <v>0</v>
      </c>
      <c r="I11" s="50">
        <v>4001900051800820</v>
      </c>
      <c r="J11" s="50"/>
      <c r="K11" s="50">
        <v>1100827510011</v>
      </c>
      <c r="L11" s="50">
        <v>0</v>
      </c>
      <c r="M11" s="50">
        <v>0</v>
      </c>
      <c r="N11" s="111" t="s">
        <v>4139</v>
      </c>
      <c r="O11" s="50">
        <v>0</v>
      </c>
      <c r="P11" s="50">
        <v>0</v>
      </c>
      <c r="Q11" s="50">
        <v>15</v>
      </c>
      <c r="R11" s="111">
        <v>45485</v>
      </c>
      <c r="S11" s="50" t="s">
        <v>4163</v>
      </c>
    </row>
    <row r="12" spans="2:19" x14ac:dyDescent="0.35">
      <c r="B12" s="113" t="s">
        <v>3586</v>
      </c>
      <c r="C12" s="50">
        <v>10</v>
      </c>
      <c r="D12" s="50" t="s">
        <v>4164</v>
      </c>
      <c r="E12" s="111">
        <v>45485</v>
      </c>
      <c r="F12" s="50">
        <v>1</v>
      </c>
      <c r="G12" s="50" t="s">
        <v>3621</v>
      </c>
      <c r="H12" s="50">
        <v>0</v>
      </c>
      <c r="I12" s="50">
        <v>5492260069819360</v>
      </c>
      <c r="J12" s="201">
        <v>31</v>
      </c>
      <c r="K12" s="50">
        <v>5131606960011</v>
      </c>
      <c r="L12" s="50">
        <v>99</v>
      </c>
      <c r="M12" s="111">
        <v>45488</v>
      </c>
      <c r="N12" s="111" t="s">
        <v>4165</v>
      </c>
      <c r="O12" s="114">
        <v>150000000000</v>
      </c>
      <c r="P12" s="209">
        <v>150000000000</v>
      </c>
      <c r="Q12" s="111" t="s">
        <v>3699</v>
      </c>
      <c r="R12" s="111">
        <v>45485</v>
      </c>
      <c r="S12" s="173" t="s">
        <v>4161</v>
      </c>
    </row>
    <row r="13" spans="2:19" x14ac:dyDescent="0.35">
      <c r="B13" s="50" t="s">
        <v>3588</v>
      </c>
      <c r="C13" s="50">
        <v>11</v>
      </c>
      <c r="D13" s="50" t="s">
        <v>4166</v>
      </c>
      <c r="E13" s="111">
        <v>45485</v>
      </c>
      <c r="F13" s="50">
        <v>1</v>
      </c>
      <c r="G13" s="50" t="s">
        <v>3621</v>
      </c>
      <c r="H13" s="50">
        <v>0</v>
      </c>
      <c r="I13" s="50">
        <v>5492260069819360</v>
      </c>
      <c r="J13" s="201"/>
      <c r="K13" s="50">
        <v>5131606960011</v>
      </c>
      <c r="L13" s="50">
        <v>99</v>
      </c>
      <c r="M13" s="111">
        <v>20240715</v>
      </c>
      <c r="N13" s="111" t="s">
        <v>4165</v>
      </c>
      <c r="O13" s="50">
        <v>9000</v>
      </c>
      <c r="P13" s="50">
        <v>998</v>
      </c>
      <c r="Q13" s="50">
        <v>5</v>
      </c>
      <c r="R13" s="111">
        <v>45485</v>
      </c>
      <c r="S13" s="50" t="s">
        <v>4167</v>
      </c>
    </row>
    <row r="14" spans="2:19" x14ac:dyDescent="0.35">
      <c r="B14" s="50" t="s">
        <v>3590</v>
      </c>
      <c r="C14" s="50">
        <v>12</v>
      </c>
      <c r="D14" s="50" t="s">
        <v>4168</v>
      </c>
      <c r="E14" s="111">
        <v>45485</v>
      </c>
      <c r="F14" s="50">
        <v>1</v>
      </c>
      <c r="G14" s="209">
        <v>1</v>
      </c>
      <c r="H14" s="50">
        <v>0</v>
      </c>
      <c r="I14" s="50">
        <v>0</v>
      </c>
      <c r="J14" s="50">
        <v>0</v>
      </c>
      <c r="K14" s="50">
        <v>0</v>
      </c>
      <c r="L14" s="50">
        <v>0</v>
      </c>
      <c r="M14" s="50">
        <v>0</v>
      </c>
      <c r="N14" s="50">
        <v>0</v>
      </c>
      <c r="O14" s="50">
        <v>0</v>
      </c>
      <c r="P14" s="50">
        <v>0</v>
      </c>
      <c r="Q14" s="50">
        <v>0</v>
      </c>
      <c r="R14" s="50">
        <v>0</v>
      </c>
      <c r="S14" s="50">
        <v>0</v>
      </c>
    </row>
    <row r="15" spans="2:19" x14ac:dyDescent="0.35">
      <c r="B15" s="50" t="s">
        <v>3592</v>
      </c>
      <c r="C15" s="50">
        <v>13</v>
      </c>
      <c r="D15" s="50" t="s">
        <v>4169</v>
      </c>
      <c r="E15" s="111">
        <v>45485</v>
      </c>
      <c r="F15" s="50">
        <v>1</v>
      </c>
      <c r="G15" s="209">
        <v>1</v>
      </c>
      <c r="H15" s="50">
        <v>0</v>
      </c>
      <c r="I15" s="50" t="s">
        <v>3621</v>
      </c>
      <c r="J15" s="50" t="s">
        <v>3621</v>
      </c>
      <c r="K15" s="50" t="s">
        <v>3621</v>
      </c>
      <c r="L15" s="50" t="s">
        <v>3621</v>
      </c>
      <c r="M15" s="50">
        <v>0</v>
      </c>
      <c r="N15" s="50">
        <v>0</v>
      </c>
      <c r="O15" s="50" t="s">
        <v>3621</v>
      </c>
      <c r="P15" s="50" t="s">
        <v>3621</v>
      </c>
      <c r="Q15" s="50" t="s">
        <v>3621</v>
      </c>
      <c r="R15" s="50" t="s">
        <v>3621</v>
      </c>
      <c r="S15" s="50" t="s">
        <v>3621</v>
      </c>
    </row>
    <row r="16" spans="2:19" x14ac:dyDescent="0.35">
      <c r="B16" s="50" t="s">
        <v>3594</v>
      </c>
      <c r="C16" s="50">
        <v>14</v>
      </c>
      <c r="D16" s="50" t="s">
        <v>4170</v>
      </c>
      <c r="E16" s="111">
        <v>45485</v>
      </c>
      <c r="F16" s="50">
        <v>1</v>
      </c>
      <c r="G16" s="209">
        <v>1</v>
      </c>
      <c r="H16" s="50">
        <v>0</v>
      </c>
      <c r="I16" s="50" t="s">
        <v>3621</v>
      </c>
      <c r="J16" s="50">
        <v>0</v>
      </c>
      <c r="K16" s="50">
        <v>0</v>
      </c>
      <c r="L16" s="50" t="s">
        <v>3621</v>
      </c>
      <c r="M16" s="50" t="s">
        <v>3621</v>
      </c>
      <c r="N16" s="50" t="s">
        <v>3621</v>
      </c>
      <c r="O16" s="50" t="s">
        <v>3621</v>
      </c>
      <c r="P16" s="50" t="s">
        <v>3621</v>
      </c>
      <c r="Q16" s="50">
        <v>0</v>
      </c>
      <c r="R16" s="50" t="s">
        <v>3621</v>
      </c>
      <c r="S16" s="50" t="s">
        <v>3621</v>
      </c>
    </row>
    <row r="17" spans="2:20" x14ac:dyDescent="0.35">
      <c r="B17" s="50" t="s">
        <v>3596</v>
      </c>
      <c r="C17" s="50">
        <v>15</v>
      </c>
      <c r="D17" s="50" t="s">
        <v>4171</v>
      </c>
      <c r="E17" s="111">
        <v>45485</v>
      </c>
      <c r="F17" s="50">
        <v>1</v>
      </c>
      <c r="G17" s="209">
        <v>1</v>
      </c>
      <c r="H17" s="50">
        <v>0</v>
      </c>
      <c r="I17" s="50" t="s">
        <v>3621</v>
      </c>
      <c r="J17" s="50" t="s">
        <v>3621</v>
      </c>
      <c r="K17" s="50" t="s">
        <v>3621</v>
      </c>
      <c r="L17" s="50" t="s">
        <v>3621</v>
      </c>
      <c r="M17" s="50" t="s">
        <v>3621</v>
      </c>
      <c r="N17" s="50" t="s">
        <v>3621</v>
      </c>
      <c r="O17" s="50" t="s">
        <v>3621</v>
      </c>
      <c r="P17" s="50" t="s">
        <v>3621</v>
      </c>
      <c r="Q17" s="50" t="s">
        <v>3621</v>
      </c>
      <c r="R17" s="50" t="s">
        <v>3621</v>
      </c>
      <c r="S17" s="50" t="s">
        <v>3621</v>
      </c>
    </row>
    <row r="18" spans="2:20" x14ac:dyDescent="0.35">
      <c r="B18" s="50" t="s">
        <v>3598</v>
      </c>
      <c r="C18" s="50">
        <v>16</v>
      </c>
      <c r="D18" s="50" t="s">
        <v>4171</v>
      </c>
      <c r="E18" s="111">
        <v>45485</v>
      </c>
      <c r="F18" s="50">
        <v>1</v>
      </c>
      <c r="G18" s="209">
        <v>1</v>
      </c>
      <c r="H18" s="50">
        <v>0</v>
      </c>
      <c r="I18" s="50" t="s">
        <v>3621</v>
      </c>
      <c r="J18" s="50" t="s">
        <v>3621</v>
      </c>
      <c r="K18" s="50" t="s">
        <v>3621</v>
      </c>
      <c r="L18" s="50" t="s">
        <v>3621</v>
      </c>
      <c r="M18" s="50" t="s">
        <v>3621</v>
      </c>
      <c r="N18" s="50" t="s">
        <v>3621</v>
      </c>
      <c r="O18" s="50" t="s">
        <v>3621</v>
      </c>
      <c r="P18" s="50" t="s">
        <v>3621</v>
      </c>
      <c r="Q18" s="50" t="s">
        <v>3621</v>
      </c>
      <c r="R18" s="50" t="s">
        <v>3621</v>
      </c>
      <c r="S18" s="50" t="s">
        <v>3621</v>
      </c>
    </row>
    <row r="19" spans="2:20" x14ac:dyDescent="0.35">
      <c r="B19" s="50" t="s">
        <v>3604</v>
      </c>
      <c r="C19" s="50">
        <v>19</v>
      </c>
      <c r="D19" s="50" t="s">
        <v>4172</v>
      </c>
      <c r="E19" s="111">
        <v>45485</v>
      </c>
      <c r="F19" s="50">
        <v>1</v>
      </c>
      <c r="G19" s="209" cm="1">
        <f t="array" ref="G19">SUMPRODUCT(--(ISNUMBER((SEARCH(I25:S25,I19:S19)))))/COUNTA(I19:S19)</f>
        <v>0.63636363636363635</v>
      </c>
      <c r="H19" s="50" t="s">
        <v>3621</v>
      </c>
      <c r="I19" s="50" t="s">
        <v>3655</v>
      </c>
      <c r="J19" s="50" t="s">
        <v>3655</v>
      </c>
      <c r="K19" s="50" t="s">
        <v>3655</v>
      </c>
      <c r="L19" s="50" t="s">
        <v>3655</v>
      </c>
      <c r="M19" s="50" t="s">
        <v>3655</v>
      </c>
      <c r="N19" s="50" t="s">
        <v>3655</v>
      </c>
      <c r="O19" s="50" t="s">
        <v>3656</v>
      </c>
      <c r="P19" s="50" t="s">
        <v>3656</v>
      </c>
      <c r="Q19" s="50" t="s">
        <v>3655</v>
      </c>
      <c r="R19" s="50" t="s">
        <v>3655</v>
      </c>
      <c r="S19" s="50" t="s">
        <v>3657</v>
      </c>
    </row>
    <row r="20" spans="2:20" x14ac:dyDescent="0.35">
      <c r="B20" s="50" t="s">
        <v>3607</v>
      </c>
      <c r="C20" s="50">
        <v>20</v>
      </c>
      <c r="D20" s="50" t="s">
        <v>4173</v>
      </c>
      <c r="E20" s="111">
        <v>45485</v>
      </c>
      <c r="F20" s="50">
        <v>1</v>
      </c>
      <c r="G20" s="209" cm="1">
        <f t="array" ref="G20">SUM(IF(I2:S2 = I24:S24, 1, 0))/ COUNTA(I2:S2)</f>
        <v>9.0909090909090912E-2</v>
      </c>
      <c r="H20" s="50" t="s">
        <v>3621</v>
      </c>
      <c r="I20" s="50"/>
      <c r="J20" s="50"/>
      <c r="K20" s="50"/>
      <c r="L20" s="50"/>
      <c r="M20" s="50"/>
      <c r="N20" s="50"/>
      <c r="O20" s="50"/>
      <c r="P20" s="50"/>
      <c r="Q20" s="50"/>
      <c r="R20" s="50"/>
      <c r="S20" s="50"/>
    </row>
    <row r="21" spans="2:20" x14ac:dyDescent="0.35">
      <c r="B21" s="50" t="s">
        <v>3610</v>
      </c>
      <c r="C21" s="50">
        <v>21</v>
      </c>
      <c r="D21" s="50" t="s">
        <v>4173</v>
      </c>
      <c r="E21" s="111">
        <v>45485</v>
      </c>
      <c r="F21" s="50">
        <v>1</v>
      </c>
      <c r="G21" s="209" cm="1">
        <f t="array" ref="G21">SUM(IF(IF(G3:G20="null",1,G3:G20)=1,1,0))/COUNT(IF(G3:G20="null",1,1))</f>
        <v>0.83333333333333337</v>
      </c>
      <c r="H21" s="50" t="s">
        <v>3621</v>
      </c>
      <c r="I21" s="50"/>
      <c r="J21" s="50"/>
      <c r="K21" s="50"/>
      <c r="L21" s="50"/>
      <c r="M21" s="50"/>
      <c r="N21" s="50"/>
      <c r="O21" s="50"/>
      <c r="P21" s="50"/>
      <c r="Q21" s="50"/>
      <c r="R21" s="50"/>
      <c r="S21" s="50"/>
    </row>
    <row r="22" spans="2:20" x14ac:dyDescent="0.35">
      <c r="B22" s="50"/>
      <c r="C22" s="50"/>
      <c r="D22" s="50"/>
      <c r="E22" s="111"/>
      <c r="F22" s="50"/>
      <c r="G22" s="50"/>
      <c r="H22" s="50"/>
      <c r="I22" s="50"/>
      <c r="J22" s="50"/>
      <c r="K22" s="50"/>
      <c r="L22" s="50"/>
      <c r="M22" s="50"/>
      <c r="N22" s="50"/>
      <c r="O22" s="50"/>
      <c r="P22" s="50"/>
      <c r="Q22" s="50"/>
      <c r="R22" s="50"/>
      <c r="S22" s="50"/>
    </row>
    <row r="23" spans="2:20" x14ac:dyDescent="0.35">
      <c r="B23" s="146" t="s">
        <v>3727</v>
      </c>
    </row>
    <row r="24" spans="2:20" x14ac:dyDescent="0.35">
      <c r="B24" s="144" t="s">
        <v>3613</v>
      </c>
      <c r="C24" s="145" t="s">
        <v>3614</v>
      </c>
      <c r="D24" s="145" t="s">
        <v>3615</v>
      </c>
      <c r="E24" s="145" t="s">
        <v>3616</v>
      </c>
      <c r="F24" s="145" t="s">
        <v>3617</v>
      </c>
      <c r="G24" s="145" t="s">
        <v>3618</v>
      </c>
      <c r="H24" s="145" t="s">
        <v>3619</v>
      </c>
      <c r="I24" s="145" t="str" cm="1">
        <f t="array" ref="I24:T24">TRANSPOSE(_xlfn.SORTBY(_xlfn._xlws.FILTER(Table3[NOME FÍSICO CAMPO],Table3[NOME FÍSICO TABELA]="credit_card"), _xlfn._xlws.FILTER(Table3[ORDEM], Table3[NOME FÍSICO TABELA]="credit_card"), 1))</f>
        <v>card_number</v>
      </c>
      <c r="J24" s="145" t="str">
        <v>card_account_bank_id</v>
      </c>
      <c r="K24" s="145" t="str">
        <v>card_account_id</v>
      </c>
      <c r="L24" s="145" t="str">
        <v>card_holder_interv_type_code</v>
      </c>
      <c r="M24" s="145" t="str">
        <v>card_holder_interv_order_number</v>
      </c>
      <c r="N24" s="145" t="str">
        <v>card_activation_date</v>
      </c>
      <c r="O24" s="145" t="str">
        <v>card_expiration_date</v>
      </c>
      <c r="P24" s="145" t="str">
        <v>daily_atm_limit</v>
      </c>
      <c r="Q24" s="145" t="str">
        <v>daily_purchase_limit</v>
      </c>
      <c r="R24" s="145" t="str">
        <v>card_status_code</v>
      </c>
      <c r="S24" s="145" t="str">
        <v>data_date_part</v>
      </c>
      <c r="T24" t="str">
        <v>data_timestamp_part</v>
      </c>
    </row>
    <row r="25" spans="2:20" x14ac:dyDescent="0.35">
      <c r="B25" s="123" t="s">
        <v>3658</v>
      </c>
      <c r="C25" s="126">
        <v>21</v>
      </c>
      <c r="D25" s="120" t="s">
        <v>3659</v>
      </c>
      <c r="E25" s="119" t="s">
        <v>3660</v>
      </c>
      <c r="F25" s="119" t="s">
        <v>372</v>
      </c>
      <c r="G25" s="119" t="s">
        <v>372</v>
      </c>
      <c r="H25" s="119" t="s">
        <v>372</v>
      </c>
      <c r="I25" s="119" t="str" cm="1">
        <f t="array" ref="I25:T26">TRANSPOSE(_xlfn.SORTBY(_xlfn._xlws.FILTER(IF(Table3[FORMATO]:Table3[COMP_ CAMPO]&lt;&gt;"",Table3[FORMATO]:Table3[COMP_ CAMPO],9999999),Table3[NOME FÍSICO TABELA]="credit_card"), _xlfn._xlws.FILTER(Table3[ORDEM], Table3[NOME FÍSICO TABELA]="credit_card"), 1))</f>
        <v>STRING</v>
      </c>
      <c r="J25" s="119" t="str">
        <v>STRING</v>
      </c>
      <c r="K25" s="119" t="str">
        <v>STRING</v>
      </c>
      <c r="L25" s="119" t="str">
        <v>STRING</v>
      </c>
      <c r="M25" s="119" t="str">
        <v>BIGINT</v>
      </c>
      <c r="N25" s="119" t="str">
        <v>STRING</v>
      </c>
      <c r="O25" s="119" t="str">
        <v>STRING</v>
      </c>
      <c r="P25" s="119" t="str">
        <v>DECIMAL</v>
      </c>
      <c r="Q25" s="119" t="str">
        <v>DECIMAL</v>
      </c>
      <c r="R25" s="119" t="str">
        <v>STRING</v>
      </c>
      <c r="S25" s="119" t="str">
        <v>STRING</v>
      </c>
      <c r="T25" t="str">
        <v>TIMESTAMP</v>
      </c>
    </row>
    <row r="26" spans="2:20" x14ac:dyDescent="0.35">
      <c r="B26" s="123" t="s">
        <v>3661</v>
      </c>
      <c r="C26" s="126">
        <v>7</v>
      </c>
      <c r="D26" s="120" t="s">
        <v>3659</v>
      </c>
      <c r="E26" s="119" t="s">
        <v>3660</v>
      </c>
      <c r="F26" s="121" t="s">
        <v>372</v>
      </c>
      <c r="G26" s="121" t="s">
        <v>372</v>
      </c>
      <c r="H26" s="121" t="s">
        <v>372</v>
      </c>
      <c r="I26" s="167">
        <v>16</v>
      </c>
      <c r="J26" s="167">
        <v>4</v>
      </c>
      <c r="K26" s="167">
        <v>30</v>
      </c>
      <c r="L26" s="167">
        <v>4</v>
      </c>
      <c r="M26" s="167">
        <v>9999999</v>
      </c>
      <c r="N26" s="167">
        <v>10</v>
      </c>
      <c r="O26" s="167">
        <v>10</v>
      </c>
      <c r="P26" s="167">
        <v>23</v>
      </c>
      <c r="Q26" s="167">
        <v>23</v>
      </c>
      <c r="R26" s="167">
        <v>4</v>
      </c>
      <c r="S26" s="167">
        <v>10</v>
      </c>
      <c r="T26">
        <v>23</v>
      </c>
    </row>
    <row r="28" spans="2:20" x14ac:dyDescent="0.35">
      <c r="B28" s="156" t="s">
        <v>3662</v>
      </c>
    </row>
    <row r="29" spans="2:20" x14ac:dyDescent="0.35">
      <c r="B29" s="150" t="s">
        <v>3663</v>
      </c>
      <c r="C29" s="150" t="s">
        <v>3664</v>
      </c>
      <c r="D29" s="151" t="s">
        <v>3665</v>
      </c>
      <c r="E29" s="150" t="s">
        <v>3666</v>
      </c>
      <c r="F29" s="150" t="s">
        <v>3667</v>
      </c>
    </row>
    <row r="30" spans="2:20" x14ac:dyDescent="0.35">
      <c r="B30" s="134"/>
      <c r="C30" s="133"/>
      <c r="D30" s="139"/>
      <c r="E30" s="162"/>
      <c r="F30" s="15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B1:X30"/>
  <sheetViews>
    <sheetView showGridLines="0" topLeftCell="A24" workbookViewId="0">
      <selection activeCell="A14" sqref="A14"/>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4" width="30.7265625" bestFit="1" customWidth="1"/>
    <col min="15" max="15" width="39.54296875" bestFit="1" customWidth="1"/>
    <col min="16" max="17" width="30.7265625" bestFit="1" customWidth="1"/>
    <col min="18" max="18" width="28" bestFit="1" customWidth="1"/>
    <col min="19" max="19" width="30.7265625" bestFit="1" customWidth="1"/>
    <col min="20" max="20" width="33.26953125" bestFit="1" customWidth="1"/>
    <col min="21" max="21" width="20.453125" bestFit="1" customWidth="1"/>
    <col min="22" max="22" width="17.453125" bestFit="1" customWidth="1"/>
    <col min="23" max="23" width="26.81640625" bestFit="1" customWidth="1"/>
  </cols>
  <sheetData>
    <row r="1" spans="2:23" ht="26.25" customHeight="1" x14ac:dyDescent="0.35"/>
    <row r="2" spans="2:23" x14ac:dyDescent="0.35">
      <c r="B2" s="91" t="s">
        <v>3613</v>
      </c>
      <c r="C2" s="91" t="s">
        <v>3614</v>
      </c>
      <c r="D2" s="91" t="s">
        <v>3615</v>
      </c>
      <c r="E2" s="91" t="s">
        <v>3616</v>
      </c>
      <c r="F2" s="91" t="s">
        <v>3617</v>
      </c>
      <c r="G2" s="91" t="s">
        <v>3618</v>
      </c>
      <c r="H2" s="91" t="s">
        <v>3619</v>
      </c>
      <c r="I2" s="145" t="s">
        <v>121</v>
      </c>
      <c r="J2" s="145" t="s">
        <v>137</v>
      </c>
      <c r="K2" s="145" t="s">
        <v>149</v>
      </c>
      <c r="L2" s="145" t="s">
        <v>156</v>
      </c>
      <c r="M2" s="145" t="s">
        <v>168</v>
      </c>
      <c r="N2" s="145" t="s">
        <v>177</v>
      </c>
      <c r="O2" s="145" t="s">
        <v>188</v>
      </c>
      <c r="P2" s="145" t="s">
        <v>199</v>
      </c>
      <c r="Q2" s="145" t="s">
        <v>211</v>
      </c>
      <c r="R2" s="145" t="s">
        <v>223</v>
      </c>
      <c r="S2" t="s">
        <v>294</v>
      </c>
      <c r="T2" t="s">
        <v>305</v>
      </c>
      <c r="U2" s="91" t="s">
        <v>318</v>
      </c>
      <c r="V2" s="91" t="s">
        <v>327</v>
      </c>
      <c r="W2" s="237" t="s">
        <v>334</v>
      </c>
    </row>
    <row r="3" spans="2:23" x14ac:dyDescent="0.35">
      <c r="B3" s="50" t="s">
        <v>3567</v>
      </c>
      <c r="C3" s="50">
        <v>1</v>
      </c>
      <c r="D3" s="50" t="s">
        <v>4174</v>
      </c>
      <c r="E3" s="111">
        <v>45485</v>
      </c>
      <c r="F3" s="50">
        <v>2</v>
      </c>
      <c r="G3" s="225">
        <v>1</v>
      </c>
      <c r="H3" s="241">
        <v>2097675</v>
      </c>
      <c r="I3" s="50" t="s">
        <v>3621</v>
      </c>
      <c r="J3" s="50" t="s">
        <v>3621</v>
      </c>
      <c r="K3" s="50" t="s">
        <v>3621</v>
      </c>
      <c r="L3" s="50" t="s">
        <v>3621</v>
      </c>
      <c r="M3" s="50" t="s">
        <v>3621</v>
      </c>
      <c r="N3" s="50" t="s">
        <v>3621</v>
      </c>
      <c r="O3" s="50" t="s">
        <v>3621</v>
      </c>
      <c r="P3" s="50" t="s">
        <v>3621</v>
      </c>
      <c r="Q3" s="50" t="s">
        <v>3621</v>
      </c>
      <c r="R3" s="50" t="s">
        <v>3621</v>
      </c>
      <c r="S3" s="50" t="s">
        <v>3621</v>
      </c>
      <c r="T3" s="50" t="s">
        <v>3621</v>
      </c>
      <c r="U3" s="50" t="s">
        <v>3621</v>
      </c>
      <c r="V3" s="50" t="s">
        <v>3621</v>
      </c>
      <c r="W3" s="50" t="s">
        <v>3621</v>
      </c>
    </row>
    <row r="4" spans="2:23" x14ac:dyDescent="0.35">
      <c r="B4" s="50" t="s">
        <v>3569</v>
      </c>
      <c r="C4" s="50">
        <v>2</v>
      </c>
      <c r="D4" s="50" t="s">
        <v>4175</v>
      </c>
      <c r="E4" s="111">
        <v>45485</v>
      </c>
      <c r="F4" s="50">
        <v>2</v>
      </c>
      <c r="G4" s="225">
        <v>1</v>
      </c>
      <c r="H4" s="201">
        <v>0</v>
      </c>
      <c r="I4" s="50" t="s">
        <v>3621</v>
      </c>
      <c r="J4" s="50" t="s">
        <v>3621</v>
      </c>
      <c r="K4" s="50" t="s">
        <v>3621</v>
      </c>
      <c r="L4" s="50" t="s">
        <v>3621</v>
      </c>
      <c r="M4" s="50" t="s">
        <v>3621</v>
      </c>
      <c r="N4" s="50" t="s">
        <v>3621</v>
      </c>
      <c r="O4" s="50" t="s">
        <v>3621</v>
      </c>
      <c r="P4" s="50" t="s">
        <v>3621</v>
      </c>
      <c r="Q4" s="50" t="s">
        <v>3621</v>
      </c>
      <c r="R4" s="50" t="s">
        <v>3621</v>
      </c>
      <c r="S4" s="50" t="s">
        <v>3621</v>
      </c>
      <c r="T4" s="50" t="s">
        <v>3621</v>
      </c>
      <c r="U4" s="50" t="s">
        <v>3621</v>
      </c>
      <c r="V4" s="50" t="s">
        <v>3621</v>
      </c>
      <c r="W4" s="50" t="s">
        <v>3621</v>
      </c>
    </row>
    <row r="5" spans="2:23" x14ac:dyDescent="0.35">
      <c r="B5" s="50" t="s">
        <v>3571</v>
      </c>
      <c r="C5" s="50">
        <v>3</v>
      </c>
      <c r="D5" s="50" t="s">
        <v>4176</v>
      </c>
      <c r="E5" s="111">
        <v>45485</v>
      </c>
      <c r="F5" s="50">
        <v>2</v>
      </c>
      <c r="G5" s="225">
        <v>1</v>
      </c>
      <c r="H5" s="201">
        <v>0</v>
      </c>
      <c r="I5" s="50">
        <v>0</v>
      </c>
      <c r="J5" s="50">
        <v>0</v>
      </c>
      <c r="K5" s="50" t="s">
        <v>3621</v>
      </c>
      <c r="L5" s="50" t="s">
        <v>3621</v>
      </c>
      <c r="M5" s="50" t="s">
        <v>3621</v>
      </c>
      <c r="N5" s="50" t="s">
        <v>3621</v>
      </c>
      <c r="O5" s="50" t="s">
        <v>3621</v>
      </c>
      <c r="P5" s="50" t="s">
        <v>3621</v>
      </c>
      <c r="Q5" s="50" t="s">
        <v>3621</v>
      </c>
      <c r="R5" s="50" t="s">
        <v>3621</v>
      </c>
      <c r="S5" s="50" t="s">
        <v>3621</v>
      </c>
      <c r="T5" s="50" t="s">
        <v>3621</v>
      </c>
      <c r="U5" s="50" t="s">
        <v>3621</v>
      </c>
      <c r="V5" s="50">
        <v>0</v>
      </c>
      <c r="W5" s="50" t="s">
        <v>3621</v>
      </c>
    </row>
    <row r="6" spans="2:23" x14ac:dyDescent="0.35">
      <c r="B6" s="113" t="s">
        <v>3573</v>
      </c>
      <c r="C6" s="50">
        <v>4</v>
      </c>
      <c r="D6" s="50" t="s">
        <v>3624</v>
      </c>
      <c r="E6" s="111" t="s">
        <v>3621</v>
      </c>
      <c r="F6" s="50">
        <v>2</v>
      </c>
      <c r="G6" s="225" t="s">
        <v>3621</v>
      </c>
      <c r="H6" s="50" t="s">
        <v>3621</v>
      </c>
      <c r="I6" s="50" t="s">
        <v>3621</v>
      </c>
      <c r="J6" s="50" t="s">
        <v>3621</v>
      </c>
      <c r="K6" s="50" t="s">
        <v>3621</v>
      </c>
      <c r="L6" s="50" t="s">
        <v>3621</v>
      </c>
      <c r="M6" s="50" t="s">
        <v>3621</v>
      </c>
      <c r="N6" s="50" t="s">
        <v>3621</v>
      </c>
      <c r="O6" s="50" t="s">
        <v>3621</v>
      </c>
      <c r="P6" s="50" t="s">
        <v>3621</v>
      </c>
      <c r="Q6" s="50" t="s">
        <v>3621</v>
      </c>
      <c r="R6" s="50" t="s">
        <v>3621</v>
      </c>
      <c r="S6" s="50" t="s">
        <v>3621</v>
      </c>
      <c r="T6" s="50" t="s">
        <v>3621</v>
      </c>
      <c r="U6" s="50" t="s">
        <v>3621</v>
      </c>
      <c r="V6" s="50" t="s">
        <v>3621</v>
      </c>
      <c r="W6" s="50" t="s">
        <v>3621</v>
      </c>
    </row>
    <row r="7" spans="2:23" x14ac:dyDescent="0.35">
      <c r="B7" s="50" t="s">
        <v>3575</v>
      </c>
      <c r="C7" s="50">
        <v>5</v>
      </c>
      <c r="D7" s="50" t="s">
        <v>3624</v>
      </c>
      <c r="E7" s="111" t="s">
        <v>3621</v>
      </c>
      <c r="F7" s="50">
        <v>2</v>
      </c>
      <c r="G7" s="225" t="s">
        <v>3621</v>
      </c>
      <c r="H7" s="50" t="s">
        <v>3621</v>
      </c>
      <c r="I7" s="50" t="s">
        <v>3621</v>
      </c>
      <c r="J7" s="50" t="s">
        <v>3621</v>
      </c>
      <c r="K7" s="50" t="s">
        <v>3621</v>
      </c>
      <c r="L7" s="50" t="s">
        <v>3621</v>
      </c>
      <c r="M7" s="50" t="s">
        <v>3621</v>
      </c>
      <c r="N7" s="50" t="s">
        <v>3621</v>
      </c>
      <c r="O7" s="50" t="s">
        <v>3621</v>
      </c>
      <c r="P7" s="50" t="s">
        <v>3621</v>
      </c>
      <c r="Q7" s="50" t="s">
        <v>3621</v>
      </c>
      <c r="R7" s="50" t="s">
        <v>3621</v>
      </c>
      <c r="S7" s="50" t="s">
        <v>3621</v>
      </c>
      <c r="T7" s="50" t="s">
        <v>3621</v>
      </c>
      <c r="U7" s="50" t="s">
        <v>3621</v>
      </c>
      <c r="V7" s="50" t="s">
        <v>3621</v>
      </c>
      <c r="W7" s="50" t="s">
        <v>3621</v>
      </c>
    </row>
    <row r="8" spans="2:23" x14ac:dyDescent="0.35">
      <c r="B8" s="113" t="s">
        <v>3576</v>
      </c>
      <c r="C8" s="50">
        <v>6</v>
      </c>
      <c r="D8" s="50" t="s">
        <v>4177</v>
      </c>
      <c r="E8" s="111">
        <v>45485</v>
      </c>
      <c r="F8" s="50">
        <v>2</v>
      </c>
      <c r="G8" s="225" cm="1">
        <f t="array" ref="G8">SUMPRODUCT(--(I8:V8&gt;0))/COUNTA(I8:V8)</f>
        <v>1</v>
      </c>
      <c r="H8" s="201">
        <v>0</v>
      </c>
      <c r="I8" s="50">
        <v>2</v>
      </c>
      <c r="J8" s="50">
        <v>15</v>
      </c>
      <c r="K8" s="50">
        <v>3</v>
      </c>
      <c r="L8" s="50">
        <v>3</v>
      </c>
      <c r="M8" s="50">
        <v>3</v>
      </c>
      <c r="N8" s="50">
        <v>2</v>
      </c>
      <c r="O8" s="50">
        <v>15</v>
      </c>
      <c r="P8" s="50">
        <v>10</v>
      </c>
      <c r="Q8" s="50">
        <v>10</v>
      </c>
      <c r="R8" s="50">
        <v>3</v>
      </c>
      <c r="S8" s="50">
        <v>3</v>
      </c>
      <c r="T8" s="50">
        <v>3</v>
      </c>
      <c r="U8" s="50">
        <v>2</v>
      </c>
      <c r="V8" s="50">
        <v>10</v>
      </c>
      <c r="W8" s="50">
        <v>23</v>
      </c>
    </row>
    <row r="9" spans="2:23" x14ac:dyDescent="0.35">
      <c r="B9" s="50" t="s">
        <v>3579</v>
      </c>
      <c r="C9" s="50">
        <v>7</v>
      </c>
      <c r="D9" s="50" t="s">
        <v>4178</v>
      </c>
      <c r="E9" s="111">
        <v>45485</v>
      </c>
      <c r="F9" s="50">
        <v>2</v>
      </c>
      <c r="G9" s="225" cm="1">
        <f t="array" ref="G9">SUMPRODUCT(--(I9:W9&lt;=I26:W26))/COUNTA(I26:W26)</f>
        <v>1</v>
      </c>
      <c r="H9" s="201">
        <v>0</v>
      </c>
      <c r="I9" s="50">
        <v>2</v>
      </c>
      <c r="J9" s="50">
        <v>15</v>
      </c>
      <c r="K9" s="50">
        <v>3</v>
      </c>
      <c r="L9" s="50">
        <v>3</v>
      </c>
      <c r="M9" s="50">
        <v>3</v>
      </c>
      <c r="N9" s="50">
        <v>2</v>
      </c>
      <c r="O9" s="50">
        <v>15</v>
      </c>
      <c r="P9" s="50">
        <v>10</v>
      </c>
      <c r="Q9" s="50">
        <v>10</v>
      </c>
      <c r="R9" s="50">
        <v>3</v>
      </c>
      <c r="S9" s="50">
        <v>3</v>
      </c>
      <c r="T9" s="50">
        <v>3</v>
      </c>
      <c r="U9" s="50">
        <v>2</v>
      </c>
      <c r="V9" s="50">
        <v>10</v>
      </c>
      <c r="W9" s="50">
        <v>23</v>
      </c>
    </row>
    <row r="10" spans="2:23" x14ac:dyDescent="0.35">
      <c r="B10" s="50" t="s">
        <v>3582</v>
      </c>
      <c r="C10" s="50">
        <v>8</v>
      </c>
      <c r="D10" s="50" t="s">
        <v>4179</v>
      </c>
      <c r="E10" s="111">
        <v>45485</v>
      </c>
      <c r="F10" s="50">
        <v>2</v>
      </c>
      <c r="G10" s="225" t="s">
        <v>3621</v>
      </c>
      <c r="H10" s="201">
        <v>0</v>
      </c>
      <c r="I10" s="50">
        <v>31</v>
      </c>
      <c r="J10" s="50">
        <v>1100750280010</v>
      </c>
      <c r="K10" s="50" t="s">
        <v>3699</v>
      </c>
      <c r="L10" s="50">
        <v>10</v>
      </c>
      <c r="M10" s="50">
        <v>14</v>
      </c>
      <c r="N10" s="111">
        <v>31</v>
      </c>
      <c r="O10" s="50">
        <v>20113001</v>
      </c>
      <c r="P10" s="111">
        <v>33879</v>
      </c>
      <c r="Q10" s="111">
        <v>2958465</v>
      </c>
      <c r="R10" s="111">
        <v>978</v>
      </c>
      <c r="S10" s="50" t="s">
        <v>3699</v>
      </c>
      <c r="T10" s="50" t="s">
        <v>3699</v>
      </c>
      <c r="U10" s="111" t="s">
        <v>3752</v>
      </c>
      <c r="V10" s="111">
        <v>45485</v>
      </c>
      <c r="W10" s="50" t="s">
        <v>4180</v>
      </c>
    </row>
    <row r="11" spans="2:23" x14ac:dyDescent="0.35">
      <c r="B11" s="50" t="s">
        <v>3584</v>
      </c>
      <c r="C11" s="50">
        <v>9</v>
      </c>
      <c r="D11" s="50" t="s">
        <v>4181</v>
      </c>
      <c r="E11" s="111">
        <v>45485</v>
      </c>
      <c r="F11" s="50">
        <v>2</v>
      </c>
      <c r="G11" s="225" t="s">
        <v>3621</v>
      </c>
      <c r="H11" s="201">
        <v>0</v>
      </c>
      <c r="I11" s="50">
        <v>31</v>
      </c>
      <c r="J11" s="50">
        <v>1100750280010</v>
      </c>
      <c r="K11" s="50"/>
      <c r="L11" s="50">
        <v>10</v>
      </c>
      <c r="M11" s="50">
        <v>14</v>
      </c>
      <c r="N11" s="111">
        <v>31</v>
      </c>
      <c r="O11" s="50">
        <v>20113001</v>
      </c>
      <c r="P11" s="111">
        <v>33879</v>
      </c>
      <c r="Q11" s="111">
        <v>2958465</v>
      </c>
      <c r="R11" s="111">
        <v>978</v>
      </c>
      <c r="S11" s="50">
        <v>0</v>
      </c>
      <c r="T11" s="50" t="s">
        <v>4182</v>
      </c>
      <c r="U11" s="111" t="s">
        <v>3752</v>
      </c>
      <c r="V11" s="111">
        <v>45485</v>
      </c>
      <c r="W11" s="50" t="s">
        <v>4183</v>
      </c>
    </row>
    <row r="12" spans="2:23" x14ac:dyDescent="0.35">
      <c r="B12" s="113" t="s">
        <v>3586</v>
      </c>
      <c r="C12" s="50">
        <v>10</v>
      </c>
      <c r="D12" s="50" t="s">
        <v>4184</v>
      </c>
      <c r="E12" s="111">
        <v>45485</v>
      </c>
      <c r="F12" s="50">
        <v>2</v>
      </c>
      <c r="G12" s="225" t="s">
        <v>3621</v>
      </c>
      <c r="H12" s="201">
        <v>0</v>
      </c>
      <c r="I12" s="50">
        <v>31</v>
      </c>
      <c r="J12" s="201">
        <v>5131606970010</v>
      </c>
      <c r="K12" s="50" t="s">
        <v>3699</v>
      </c>
      <c r="L12" s="50">
        <v>10</v>
      </c>
      <c r="M12" s="111" t="s">
        <v>4185</v>
      </c>
      <c r="N12" s="111">
        <v>31</v>
      </c>
      <c r="O12" s="114">
        <v>239702322521020</v>
      </c>
      <c r="P12" s="111">
        <v>45488</v>
      </c>
      <c r="Q12" s="111">
        <v>2958465</v>
      </c>
      <c r="R12" s="111">
        <v>978</v>
      </c>
      <c r="S12" s="50" t="s">
        <v>3699</v>
      </c>
      <c r="T12" s="50" t="s">
        <v>3699</v>
      </c>
      <c r="U12" s="111" t="s">
        <v>3752</v>
      </c>
      <c r="V12" s="111">
        <v>45485</v>
      </c>
      <c r="W12" s="50" t="s">
        <v>4180</v>
      </c>
    </row>
    <row r="13" spans="2:23" x14ac:dyDescent="0.35">
      <c r="B13" s="50" t="s">
        <v>3588</v>
      </c>
      <c r="C13" s="50">
        <v>11</v>
      </c>
      <c r="D13" s="50" t="s">
        <v>4186</v>
      </c>
      <c r="E13" s="111">
        <v>45485</v>
      </c>
      <c r="F13" s="50">
        <v>2</v>
      </c>
      <c r="G13" s="225" t="s">
        <v>3621</v>
      </c>
      <c r="H13" s="201">
        <v>0</v>
      </c>
      <c r="I13" s="50">
        <v>31</v>
      </c>
      <c r="J13" s="201">
        <v>5131606970010</v>
      </c>
      <c r="K13" s="50"/>
      <c r="L13" s="50">
        <v>10</v>
      </c>
      <c r="M13" s="111" t="s">
        <v>4185</v>
      </c>
      <c r="N13" s="111">
        <v>31</v>
      </c>
      <c r="O13" s="50">
        <v>239702322521020</v>
      </c>
      <c r="P13" s="111">
        <v>45488</v>
      </c>
      <c r="Q13" s="111">
        <v>2958465</v>
      </c>
      <c r="R13" s="111">
        <v>978</v>
      </c>
      <c r="S13" s="50">
        <v>3</v>
      </c>
      <c r="T13" s="50" t="s">
        <v>4187</v>
      </c>
      <c r="U13" s="111" t="s">
        <v>3752</v>
      </c>
      <c r="V13" s="111">
        <v>45485</v>
      </c>
      <c r="W13" s="50" t="s">
        <v>4188</v>
      </c>
    </row>
    <row r="14" spans="2:23" x14ac:dyDescent="0.35">
      <c r="B14" s="50" t="s">
        <v>3590</v>
      </c>
      <c r="C14" s="50">
        <v>12</v>
      </c>
      <c r="D14" s="50" t="s">
        <v>4189</v>
      </c>
      <c r="E14" s="111">
        <v>45485</v>
      </c>
      <c r="F14" s="50">
        <v>2</v>
      </c>
      <c r="G14" s="225">
        <v>0.9375</v>
      </c>
      <c r="H14" s="201">
        <v>0</v>
      </c>
      <c r="I14" s="50">
        <v>0</v>
      </c>
      <c r="J14" s="50">
        <v>0</v>
      </c>
      <c r="K14" s="50">
        <v>0</v>
      </c>
      <c r="L14" s="50">
        <v>0</v>
      </c>
      <c r="M14" s="50">
        <v>0</v>
      </c>
      <c r="N14" s="50">
        <v>0</v>
      </c>
      <c r="O14" s="50">
        <v>0</v>
      </c>
      <c r="P14" s="50">
        <v>0</v>
      </c>
      <c r="Q14" s="50">
        <v>0</v>
      </c>
      <c r="R14" s="50">
        <v>0</v>
      </c>
      <c r="S14" s="50">
        <v>0</v>
      </c>
      <c r="T14" s="50">
        <v>2097008</v>
      </c>
      <c r="U14" s="50">
        <v>0</v>
      </c>
      <c r="V14" s="111">
        <v>0</v>
      </c>
      <c r="W14" s="50">
        <v>0</v>
      </c>
    </row>
    <row r="15" spans="2:23" x14ac:dyDescent="0.35">
      <c r="B15" s="50" t="s">
        <v>3592</v>
      </c>
      <c r="C15" s="50">
        <v>13</v>
      </c>
      <c r="D15" s="50" t="s">
        <v>4190</v>
      </c>
      <c r="E15" s="111">
        <v>45485</v>
      </c>
      <c r="F15" s="50">
        <v>2</v>
      </c>
      <c r="G15" s="225">
        <v>1</v>
      </c>
      <c r="H15" s="201">
        <v>0</v>
      </c>
      <c r="I15" s="50" t="s">
        <v>3621</v>
      </c>
      <c r="J15" s="50" t="s">
        <v>3621</v>
      </c>
      <c r="K15" s="50" t="s">
        <v>3621</v>
      </c>
      <c r="L15" s="50" t="s">
        <v>3621</v>
      </c>
      <c r="M15" s="50" t="s">
        <v>3621</v>
      </c>
      <c r="N15" s="50" t="s">
        <v>3621</v>
      </c>
      <c r="O15" s="50" t="s">
        <v>3621</v>
      </c>
      <c r="P15" s="50">
        <v>0</v>
      </c>
      <c r="Q15" s="50">
        <v>0</v>
      </c>
      <c r="R15" s="50" t="s">
        <v>3621</v>
      </c>
      <c r="S15" s="50" t="s">
        <v>3621</v>
      </c>
      <c r="T15" s="50" t="s">
        <v>3621</v>
      </c>
      <c r="U15" s="50" t="s">
        <v>3621</v>
      </c>
      <c r="V15" s="50" t="s">
        <v>3621</v>
      </c>
      <c r="W15" s="50" t="s">
        <v>3621</v>
      </c>
    </row>
    <row r="16" spans="2:23" x14ac:dyDescent="0.35">
      <c r="B16" s="50" t="s">
        <v>3594</v>
      </c>
      <c r="C16" s="50">
        <v>14</v>
      </c>
      <c r="D16" s="50" t="s">
        <v>4191</v>
      </c>
      <c r="E16" s="111">
        <v>45485</v>
      </c>
      <c r="F16" s="50">
        <v>2</v>
      </c>
      <c r="G16" s="225">
        <v>1</v>
      </c>
      <c r="H16" s="201">
        <v>0</v>
      </c>
      <c r="I16" s="50">
        <v>0</v>
      </c>
      <c r="J16" s="50">
        <v>0</v>
      </c>
      <c r="K16" s="50">
        <v>0</v>
      </c>
      <c r="L16" s="50">
        <v>0</v>
      </c>
      <c r="M16" s="50">
        <v>0</v>
      </c>
      <c r="N16" s="50">
        <v>0</v>
      </c>
      <c r="O16" s="50">
        <v>0</v>
      </c>
      <c r="P16" s="50" t="s">
        <v>3621</v>
      </c>
      <c r="Q16" s="50" t="s">
        <v>3621</v>
      </c>
      <c r="R16" s="50">
        <v>0</v>
      </c>
      <c r="S16" s="50">
        <v>0</v>
      </c>
      <c r="T16" s="50">
        <v>0</v>
      </c>
      <c r="U16" s="50">
        <v>0</v>
      </c>
      <c r="V16" s="50" t="s">
        <v>3621</v>
      </c>
      <c r="W16" s="50" t="s">
        <v>3621</v>
      </c>
    </row>
    <row r="17" spans="2:24" x14ac:dyDescent="0.35">
      <c r="B17" s="50" t="s">
        <v>3596</v>
      </c>
      <c r="C17" s="50">
        <v>15</v>
      </c>
      <c r="D17" s="50" t="s">
        <v>4192</v>
      </c>
      <c r="E17" s="111">
        <v>45485</v>
      </c>
      <c r="F17" s="50">
        <v>2</v>
      </c>
      <c r="G17" s="225">
        <v>1</v>
      </c>
      <c r="H17" s="201">
        <v>0</v>
      </c>
      <c r="I17" s="50" t="s">
        <v>3621</v>
      </c>
      <c r="J17" s="50" t="s">
        <v>3621</v>
      </c>
      <c r="K17" s="50" t="s">
        <v>3621</v>
      </c>
      <c r="L17" s="50" t="s">
        <v>3621</v>
      </c>
      <c r="M17" s="50" t="s">
        <v>3621</v>
      </c>
      <c r="N17" s="50" t="s">
        <v>3621</v>
      </c>
      <c r="O17" s="50" t="s">
        <v>3621</v>
      </c>
      <c r="P17" s="50" t="s">
        <v>3621</v>
      </c>
      <c r="Q17" s="50" t="s">
        <v>3621</v>
      </c>
      <c r="R17" s="50" t="s">
        <v>3621</v>
      </c>
      <c r="S17" s="50" t="s">
        <v>3621</v>
      </c>
      <c r="T17" s="50" t="s">
        <v>3621</v>
      </c>
      <c r="U17" s="50" t="s">
        <v>3621</v>
      </c>
      <c r="V17" s="50" t="s">
        <v>3621</v>
      </c>
      <c r="W17" s="50" t="s">
        <v>3621</v>
      </c>
    </row>
    <row r="18" spans="2:24" x14ac:dyDescent="0.35">
      <c r="B18" s="50" t="s">
        <v>3598</v>
      </c>
      <c r="C18" s="50">
        <v>16</v>
      </c>
      <c r="D18" s="50" t="s">
        <v>4192</v>
      </c>
      <c r="E18" s="111">
        <v>45485</v>
      </c>
      <c r="F18" s="50">
        <v>2</v>
      </c>
      <c r="G18" s="225">
        <v>1</v>
      </c>
      <c r="H18" s="201">
        <v>0</v>
      </c>
      <c r="I18" s="50" t="s">
        <v>3621</v>
      </c>
      <c r="J18" s="50" t="s">
        <v>3621</v>
      </c>
      <c r="K18" s="50" t="s">
        <v>3621</v>
      </c>
      <c r="L18" s="50" t="s">
        <v>3621</v>
      </c>
      <c r="M18" s="50" t="s">
        <v>3621</v>
      </c>
      <c r="N18" s="50" t="s">
        <v>3621</v>
      </c>
      <c r="O18" s="50" t="s">
        <v>3621</v>
      </c>
      <c r="P18" s="50" t="s">
        <v>3621</v>
      </c>
      <c r="Q18" s="50" t="s">
        <v>3621</v>
      </c>
      <c r="R18" s="50" t="s">
        <v>3621</v>
      </c>
      <c r="S18" s="50" t="s">
        <v>3621</v>
      </c>
      <c r="T18" s="50" t="s">
        <v>3621</v>
      </c>
      <c r="U18" s="50" t="s">
        <v>3621</v>
      </c>
      <c r="V18" s="50" t="s">
        <v>3621</v>
      </c>
      <c r="W18" s="50" t="s">
        <v>3621</v>
      </c>
    </row>
    <row r="19" spans="2:24" x14ac:dyDescent="0.35">
      <c r="B19" s="50" t="s">
        <v>3604</v>
      </c>
      <c r="C19" s="50">
        <v>19</v>
      </c>
      <c r="D19" s="50" t="s">
        <v>4193</v>
      </c>
      <c r="E19" s="111">
        <v>45485</v>
      </c>
      <c r="F19" s="50">
        <v>2</v>
      </c>
      <c r="G19" s="225" cm="1">
        <f t="array" ref="G19">SUMPRODUCT(--(ISNUMBER((SEARCH(I25:W25,I19:V19)))))/COUNTA(I19:V19)</f>
        <v>1</v>
      </c>
      <c r="H19" s="50" t="s">
        <v>3621</v>
      </c>
      <c r="I19" s="50" t="s">
        <v>3655</v>
      </c>
      <c r="J19" s="50" t="s">
        <v>3655</v>
      </c>
      <c r="K19" s="50" t="s">
        <v>3655</v>
      </c>
      <c r="L19" s="50" t="s">
        <v>3655</v>
      </c>
      <c r="M19" s="50" t="s">
        <v>3655</v>
      </c>
      <c r="N19" s="50" t="s">
        <v>3655</v>
      </c>
      <c r="O19" s="50" t="s">
        <v>3655</v>
      </c>
      <c r="P19" s="50" t="s">
        <v>3655</v>
      </c>
      <c r="Q19" s="50" t="s">
        <v>3655</v>
      </c>
      <c r="R19" s="50" t="s">
        <v>3655</v>
      </c>
      <c r="S19" s="50" t="s">
        <v>3655</v>
      </c>
      <c r="T19" s="50" t="s">
        <v>3655</v>
      </c>
      <c r="U19" s="50" t="s">
        <v>3655</v>
      </c>
      <c r="V19" s="50" t="s">
        <v>3655</v>
      </c>
      <c r="W19" s="50" t="s">
        <v>3657</v>
      </c>
    </row>
    <row r="20" spans="2:24" x14ac:dyDescent="0.35">
      <c r="B20" s="50" t="s">
        <v>3607</v>
      </c>
      <c r="C20" s="50">
        <v>20</v>
      </c>
      <c r="D20" s="50" t="s">
        <v>4193</v>
      </c>
      <c r="E20" s="111">
        <v>45485</v>
      </c>
      <c r="F20" s="50">
        <v>2</v>
      </c>
      <c r="G20" s="225" cm="1">
        <f t="array" ref="G20">SUM(IF(I2:W2 = I24:W24, 1, 0))/ COUNTA(I2:W2)</f>
        <v>1</v>
      </c>
      <c r="H20" s="50" t="s">
        <v>3621</v>
      </c>
      <c r="I20" s="50" t="s">
        <v>3655</v>
      </c>
      <c r="J20" s="50" t="s">
        <v>3655</v>
      </c>
      <c r="K20" s="50" t="s">
        <v>3655</v>
      </c>
      <c r="L20" s="50" t="s">
        <v>3655</v>
      </c>
      <c r="M20" s="50" t="s">
        <v>3655</v>
      </c>
      <c r="N20" s="50" t="s">
        <v>3655</v>
      </c>
      <c r="O20" s="50" t="s">
        <v>3655</v>
      </c>
      <c r="P20" s="50" t="s">
        <v>3655</v>
      </c>
      <c r="Q20" s="50" t="s">
        <v>3655</v>
      </c>
      <c r="R20" s="50" t="s">
        <v>3655</v>
      </c>
      <c r="S20" s="50" t="s">
        <v>3655</v>
      </c>
      <c r="T20" s="50" t="s">
        <v>3655</v>
      </c>
      <c r="U20" s="50" t="s">
        <v>3655</v>
      </c>
      <c r="V20" s="50" t="s">
        <v>3655</v>
      </c>
      <c r="W20" s="50" t="s">
        <v>3657</v>
      </c>
    </row>
    <row r="21" spans="2:24" x14ac:dyDescent="0.35">
      <c r="B21" s="50" t="s">
        <v>3610</v>
      </c>
      <c r="C21" s="50">
        <v>21</v>
      </c>
      <c r="D21" s="50"/>
      <c r="E21" s="111"/>
      <c r="F21" s="50">
        <v>1</v>
      </c>
      <c r="G21" s="225" cm="1">
        <f t="array" ref="G21">SUM(IF(IF(G3:G20="null",1,G3:G20)=1,1,0))/COUNT(IF(G3:G20="null",1,1))</f>
        <v>0.94444444444444442</v>
      </c>
      <c r="H21" s="50" t="s">
        <v>3621</v>
      </c>
      <c r="I21" s="50"/>
      <c r="J21" s="50"/>
      <c r="K21" s="50"/>
      <c r="L21" s="50"/>
      <c r="M21" s="50"/>
      <c r="N21" s="50"/>
      <c r="O21" s="50"/>
      <c r="P21" s="50"/>
      <c r="Q21" s="50"/>
      <c r="R21" s="50"/>
      <c r="S21" s="50"/>
      <c r="T21" s="50"/>
      <c r="U21" s="50"/>
      <c r="V21" s="50"/>
      <c r="W21" s="50"/>
    </row>
    <row r="22" spans="2:24" x14ac:dyDescent="0.35">
      <c r="B22" s="50"/>
      <c r="C22" s="50"/>
      <c r="D22" s="50"/>
      <c r="E22" s="111"/>
      <c r="F22" s="50"/>
      <c r="G22" s="50"/>
      <c r="H22" s="50"/>
      <c r="I22" s="50"/>
      <c r="J22" s="50"/>
      <c r="K22" s="50"/>
      <c r="L22" s="50"/>
      <c r="M22" s="50"/>
      <c r="N22" s="50"/>
      <c r="O22" s="50"/>
      <c r="P22" s="50"/>
      <c r="Q22" s="50"/>
      <c r="R22" s="50"/>
      <c r="S22" s="50"/>
    </row>
    <row r="23" spans="2:24" x14ac:dyDescent="0.35">
      <c r="B23" s="146" t="s">
        <v>3727</v>
      </c>
    </row>
    <row r="24" spans="2:24" x14ac:dyDescent="0.35">
      <c r="B24" s="144" t="s">
        <v>3613</v>
      </c>
      <c r="C24" s="145" t="s">
        <v>3614</v>
      </c>
      <c r="D24" s="145" t="s">
        <v>3615</v>
      </c>
      <c r="E24" s="145" t="s">
        <v>3616</v>
      </c>
      <c r="F24" s="145" t="s">
        <v>3617</v>
      </c>
      <c r="G24" s="145" t="s">
        <v>3618</v>
      </c>
      <c r="H24" s="145" t="s">
        <v>3619</v>
      </c>
      <c r="I24" s="145" t="str" cm="1">
        <f t="array" ref="I24:W24">TRANSPOSE(_xlfn.SORTBY(_xlfn._xlws.FILTER(Table3[NOME FÍSICO CAMPO],Table3[NOME FÍSICO TABELA]="debit_card_account"), _xlfn._xlws.FILTER(Table3[ORDEM], Table3[NOME FÍSICO TABELA]="debit_card_account"), 1))</f>
        <v>bank_id</v>
      </c>
      <c r="J24" s="145" t="str">
        <v>contract_id</v>
      </c>
      <c r="K24" s="145" t="str">
        <v>product_family_id</v>
      </c>
      <c r="L24" s="145" t="str">
        <v>product_id</v>
      </c>
      <c r="M24" s="145" t="str">
        <v>subproduct_id</v>
      </c>
      <c r="N24" s="145" t="str">
        <v>main_current_account_bank_id</v>
      </c>
      <c r="O24" s="145" t="str">
        <v>main_current_account_contract_id</v>
      </c>
      <c r="P24" s="145" t="str">
        <v>opening_date</v>
      </c>
      <c r="Q24" s="145" t="str">
        <v>current_maturity_date</v>
      </c>
      <c r="R24" s="145" t="str">
        <v>currency_code</v>
      </c>
      <c r="S24" s="145" t="str">
        <v>contract_status_code</v>
      </c>
      <c r="T24" s="236" t="str">
        <v>contract_opening_channel_code</v>
      </c>
      <c r="U24" s="236" t="str">
        <v>source_code</v>
      </c>
      <c r="V24" s="236" t="str">
        <v>data_date_part</v>
      </c>
      <c r="W24" s="240" t="str">
        <v>data_timestamp_part</v>
      </c>
      <c r="X24" s="239"/>
    </row>
    <row r="25" spans="2:24" x14ac:dyDescent="0.35">
      <c r="B25" s="123" t="s">
        <v>3658</v>
      </c>
      <c r="C25" s="126">
        <v>21</v>
      </c>
      <c r="D25" s="120" t="s">
        <v>3659</v>
      </c>
      <c r="E25" s="119" t="s">
        <v>3660</v>
      </c>
      <c r="F25" s="119" t="s">
        <v>372</v>
      </c>
      <c r="G25" s="119" t="s">
        <v>372</v>
      </c>
      <c r="H25" s="119" t="s">
        <v>372</v>
      </c>
      <c r="I25" s="119" t="str" cm="1">
        <f t="array" ref="I25:W26">TRANSPOSE(_xlfn.SORTBY(_xlfn._xlws.FILTER(IF(Table3[FORMATO]:Table3[COMP_ CAMPO]&lt;&gt;"",Table3[FORMATO]:Table3[COMP_ CAMPO],9999999),Table3[NOME FÍSICO TABELA]="debit_card_account"), _xlfn._xlws.FILTER(Table3[ORDEM], Table3[NOME FÍSICO TABELA]="debit_card_account"), 1))</f>
        <v>STRING</v>
      </c>
      <c r="J25" s="119" t="str">
        <v>STRING</v>
      </c>
      <c r="K25" s="119" t="str">
        <v>STRING</v>
      </c>
      <c r="L25" s="119" t="str">
        <v>STRING</v>
      </c>
      <c r="M25" s="119" t="str">
        <v>STRING</v>
      </c>
      <c r="N25" s="119" t="str">
        <v>STRING</v>
      </c>
      <c r="O25" s="119" t="str">
        <v>STRING</v>
      </c>
      <c r="P25" s="119" t="str">
        <v>STRING</v>
      </c>
      <c r="Q25" s="119" t="str">
        <v>STRING</v>
      </c>
      <c r="R25" s="119" t="str">
        <v>STRING</v>
      </c>
      <c r="S25" s="119" t="str">
        <v>STRING</v>
      </c>
      <c r="T25" s="119" t="str">
        <v>STRING</v>
      </c>
      <c r="U25" s="119" t="str">
        <v>STRING</v>
      </c>
      <c r="V25" s="119" t="str">
        <v>STRING</v>
      </c>
      <c r="W25" s="125" t="str">
        <v>TIMESTAMP</v>
      </c>
    </row>
    <row r="26" spans="2:24" x14ac:dyDescent="0.35">
      <c r="B26" s="123" t="s">
        <v>3661</v>
      </c>
      <c r="C26" s="126">
        <v>7</v>
      </c>
      <c r="D26" s="120" t="s">
        <v>3659</v>
      </c>
      <c r="E26" s="119" t="s">
        <v>3660</v>
      </c>
      <c r="F26" s="121" t="s">
        <v>372</v>
      </c>
      <c r="G26" s="121" t="s">
        <v>372</v>
      </c>
      <c r="H26" s="121" t="s">
        <v>372</v>
      </c>
      <c r="I26" s="167">
        <v>4</v>
      </c>
      <c r="J26" s="167">
        <v>15</v>
      </c>
      <c r="K26" s="167">
        <v>4</v>
      </c>
      <c r="L26" s="167">
        <v>4</v>
      </c>
      <c r="M26" s="167">
        <v>4</v>
      </c>
      <c r="N26" s="167">
        <v>4</v>
      </c>
      <c r="O26" s="167">
        <v>30</v>
      </c>
      <c r="P26" s="167">
        <v>10</v>
      </c>
      <c r="Q26" s="167">
        <v>10</v>
      </c>
      <c r="R26" s="167">
        <v>4</v>
      </c>
      <c r="S26" s="167">
        <v>4</v>
      </c>
      <c r="T26" s="167">
        <v>4</v>
      </c>
      <c r="U26" s="167">
        <v>2</v>
      </c>
      <c r="V26" s="167">
        <v>10</v>
      </c>
      <c r="W26" s="168">
        <v>23</v>
      </c>
      <c r="X26" s="109"/>
    </row>
    <row r="28" spans="2:24" x14ac:dyDescent="0.35">
      <c r="B28" s="156" t="s">
        <v>3662</v>
      </c>
    </row>
    <row r="29" spans="2:24" x14ac:dyDescent="0.35">
      <c r="B29" s="150" t="s">
        <v>3663</v>
      </c>
      <c r="C29" s="150" t="s">
        <v>3664</v>
      </c>
      <c r="D29" s="151" t="s">
        <v>3665</v>
      </c>
      <c r="E29" s="150" t="s">
        <v>3666</v>
      </c>
      <c r="F29" s="150" t="s">
        <v>3667</v>
      </c>
    </row>
    <row r="30" spans="2:24" ht="43.5" x14ac:dyDescent="0.35">
      <c r="B30" s="134" t="s">
        <v>3668</v>
      </c>
      <c r="C30" s="133" t="s">
        <v>305</v>
      </c>
      <c r="D30" s="139" t="s">
        <v>4194</v>
      </c>
      <c r="E30" s="162" t="s">
        <v>4195</v>
      </c>
      <c r="F30" s="152" t="s">
        <v>3674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B1:T30"/>
  <sheetViews>
    <sheetView showGridLines="0" topLeftCell="B28" workbookViewId="0">
      <selection activeCell="N36" sqref="N36"/>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16.1796875"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7" width="30.7265625" bestFit="1" customWidth="1"/>
    <col min="18" max="18" width="28" bestFit="1" customWidth="1"/>
    <col min="19" max="19" width="30.7265625" bestFit="1" customWidth="1"/>
  </cols>
  <sheetData>
    <row r="1" spans="2:19" ht="26.25" customHeight="1" x14ac:dyDescent="0.35"/>
    <row r="2" spans="2:19" x14ac:dyDescent="0.35">
      <c r="B2" s="91" t="s">
        <v>3613</v>
      </c>
      <c r="C2" s="91" t="s">
        <v>3614</v>
      </c>
      <c r="D2" s="91" t="s">
        <v>3615</v>
      </c>
      <c r="E2" s="91" t="s">
        <v>3616</v>
      </c>
      <c r="F2" s="91" t="s">
        <v>3617</v>
      </c>
      <c r="G2" s="91" t="s">
        <v>3618</v>
      </c>
      <c r="H2" s="91" t="s">
        <v>3619</v>
      </c>
      <c r="I2" s="91" t="s">
        <v>1156</v>
      </c>
      <c r="J2" s="91" t="s">
        <v>4130</v>
      </c>
      <c r="K2" s="91" t="s">
        <v>4131</v>
      </c>
      <c r="L2" s="91" t="s">
        <v>4132</v>
      </c>
      <c r="M2" s="91" t="s">
        <v>1200</v>
      </c>
      <c r="N2" s="91" t="s">
        <v>1208</v>
      </c>
      <c r="O2" s="91" t="s">
        <v>1216</v>
      </c>
      <c r="P2" s="91" t="s">
        <v>1227</v>
      </c>
      <c r="Q2" s="91" t="s">
        <v>1235</v>
      </c>
      <c r="R2" s="91" t="s">
        <v>327</v>
      </c>
      <c r="S2" s="91" t="s">
        <v>334</v>
      </c>
    </row>
    <row r="3" spans="2:19" x14ac:dyDescent="0.35">
      <c r="B3" s="50" t="s">
        <v>3567</v>
      </c>
      <c r="C3" s="50">
        <v>1</v>
      </c>
      <c r="D3" s="50" t="s">
        <v>4196</v>
      </c>
      <c r="E3" s="111">
        <v>45483</v>
      </c>
      <c r="F3" s="50">
        <v>1</v>
      </c>
      <c r="G3" s="114">
        <v>1</v>
      </c>
      <c r="H3" s="201">
        <v>1722768</v>
      </c>
      <c r="I3" s="50" t="s">
        <v>3621</v>
      </c>
      <c r="J3" s="50" t="s">
        <v>3621</v>
      </c>
      <c r="K3" s="50" t="s">
        <v>3621</v>
      </c>
      <c r="L3" s="50" t="s">
        <v>3621</v>
      </c>
      <c r="M3" s="50" t="s">
        <v>3621</v>
      </c>
      <c r="N3" s="50" t="s">
        <v>3621</v>
      </c>
      <c r="O3" s="50" t="s">
        <v>3621</v>
      </c>
      <c r="P3" s="50" t="s">
        <v>3621</v>
      </c>
      <c r="Q3" s="50" t="s">
        <v>3621</v>
      </c>
      <c r="R3" s="50" t="s">
        <v>3621</v>
      </c>
      <c r="S3" s="50" t="s">
        <v>3621</v>
      </c>
    </row>
    <row r="4" spans="2:19" x14ac:dyDescent="0.35">
      <c r="B4" s="50" t="s">
        <v>3569</v>
      </c>
      <c r="C4" s="50">
        <v>2</v>
      </c>
      <c r="D4" s="50" t="s">
        <v>4197</v>
      </c>
      <c r="E4" s="111">
        <v>45483</v>
      </c>
      <c r="F4" s="50">
        <v>1</v>
      </c>
      <c r="G4" s="114">
        <v>1</v>
      </c>
      <c r="H4" s="50">
        <v>0</v>
      </c>
      <c r="I4" s="50" t="s">
        <v>3621</v>
      </c>
      <c r="J4" s="50" t="s">
        <v>3621</v>
      </c>
      <c r="K4" s="50" t="s">
        <v>3621</v>
      </c>
      <c r="L4" s="50" t="s">
        <v>3621</v>
      </c>
      <c r="M4" s="50" t="s">
        <v>3621</v>
      </c>
      <c r="N4" s="50" t="s">
        <v>3621</v>
      </c>
      <c r="O4" s="50" t="s">
        <v>3621</v>
      </c>
      <c r="P4" s="50" t="s">
        <v>3621</v>
      </c>
      <c r="Q4" s="50" t="s">
        <v>3621</v>
      </c>
      <c r="R4" s="50" t="s">
        <v>3621</v>
      </c>
      <c r="S4" s="50" t="s">
        <v>3621</v>
      </c>
    </row>
    <row r="5" spans="2:19" x14ac:dyDescent="0.35">
      <c r="B5" s="50" t="s">
        <v>3571</v>
      </c>
      <c r="C5" s="50">
        <v>3</v>
      </c>
      <c r="D5" s="50" t="s">
        <v>4198</v>
      </c>
      <c r="E5" s="111">
        <v>45483</v>
      </c>
      <c r="F5" s="50">
        <v>1</v>
      </c>
      <c r="G5" s="114">
        <v>1</v>
      </c>
      <c r="H5" s="50">
        <v>0</v>
      </c>
      <c r="I5" s="50">
        <v>0</v>
      </c>
      <c r="J5" s="50" t="s">
        <v>3621</v>
      </c>
      <c r="K5" s="50" t="s">
        <v>3621</v>
      </c>
      <c r="L5" s="50" t="s">
        <v>3621</v>
      </c>
      <c r="M5" s="50" t="s">
        <v>3621</v>
      </c>
      <c r="N5" s="50" t="s">
        <v>3621</v>
      </c>
      <c r="O5" s="50" t="s">
        <v>3621</v>
      </c>
      <c r="P5" s="50" t="s">
        <v>3621</v>
      </c>
      <c r="Q5" s="50" t="s">
        <v>3621</v>
      </c>
      <c r="R5" s="50">
        <v>0</v>
      </c>
      <c r="S5" s="50" t="s">
        <v>3621</v>
      </c>
    </row>
    <row r="6" spans="2:19" x14ac:dyDescent="0.35">
      <c r="B6" s="113" t="s">
        <v>3573</v>
      </c>
      <c r="C6" s="50">
        <v>4</v>
      </c>
      <c r="D6" s="50" t="s">
        <v>3624</v>
      </c>
      <c r="E6" s="111" t="s">
        <v>3621</v>
      </c>
      <c r="F6" s="50">
        <v>1</v>
      </c>
      <c r="G6" s="50" t="s">
        <v>3621</v>
      </c>
      <c r="H6" s="50" t="s">
        <v>3621</v>
      </c>
      <c r="I6" s="50" t="s">
        <v>3621</v>
      </c>
      <c r="J6" s="50" t="s">
        <v>3621</v>
      </c>
      <c r="K6" s="50" t="s">
        <v>3621</v>
      </c>
      <c r="L6" s="50" t="s">
        <v>3621</v>
      </c>
      <c r="M6" s="50" t="s">
        <v>3621</v>
      </c>
      <c r="N6" s="50" t="s">
        <v>3621</v>
      </c>
      <c r="O6" s="50" t="s">
        <v>3621</v>
      </c>
      <c r="P6" s="50" t="s">
        <v>3621</v>
      </c>
      <c r="Q6" s="50" t="s">
        <v>3621</v>
      </c>
      <c r="R6" s="50" t="s">
        <v>3621</v>
      </c>
      <c r="S6" s="50" t="s">
        <v>3621</v>
      </c>
    </row>
    <row r="7" spans="2:19" x14ac:dyDescent="0.35">
      <c r="B7" s="50" t="s">
        <v>3575</v>
      </c>
      <c r="C7" s="50">
        <v>5</v>
      </c>
      <c r="D7" s="50" t="s">
        <v>3624</v>
      </c>
      <c r="E7" s="111" t="s">
        <v>3621</v>
      </c>
      <c r="F7" s="50">
        <v>1</v>
      </c>
      <c r="G7" s="50" t="s">
        <v>3621</v>
      </c>
      <c r="H7" s="50" t="s">
        <v>3621</v>
      </c>
      <c r="I7" s="50" t="s">
        <v>3621</v>
      </c>
      <c r="J7" s="50" t="s">
        <v>3621</v>
      </c>
      <c r="K7" s="50" t="s">
        <v>3621</v>
      </c>
      <c r="L7" s="50" t="s">
        <v>3621</v>
      </c>
      <c r="M7" s="50" t="s">
        <v>3621</v>
      </c>
      <c r="N7" s="50" t="s">
        <v>3621</v>
      </c>
      <c r="O7" s="50" t="s">
        <v>3621</v>
      </c>
      <c r="P7" s="50" t="s">
        <v>3621</v>
      </c>
      <c r="Q7" s="50" t="s">
        <v>3621</v>
      </c>
      <c r="R7" s="50" t="s">
        <v>3621</v>
      </c>
      <c r="S7" s="50" t="s">
        <v>3621</v>
      </c>
    </row>
    <row r="8" spans="2:19" x14ac:dyDescent="0.35">
      <c r="B8" s="113" t="s">
        <v>3576</v>
      </c>
      <c r="C8" s="50">
        <v>6</v>
      </c>
      <c r="D8" s="50" t="s">
        <v>4199</v>
      </c>
      <c r="E8" s="111">
        <v>45483</v>
      </c>
      <c r="F8" s="50">
        <v>1</v>
      </c>
      <c r="G8" s="209" cm="1">
        <f t="array" ref="G8">SUMPRODUCT(--(I8:S8&gt;0))/COUNTA(I8:S8)</f>
        <v>1</v>
      </c>
      <c r="H8" s="201">
        <v>0</v>
      </c>
      <c r="I8" s="50">
        <v>16</v>
      </c>
      <c r="J8" s="50">
        <v>2</v>
      </c>
      <c r="K8" s="50">
        <v>15</v>
      </c>
      <c r="L8" s="50">
        <v>1</v>
      </c>
      <c r="M8" s="50">
        <v>1</v>
      </c>
      <c r="N8" s="50">
        <v>7</v>
      </c>
      <c r="O8" s="50">
        <v>8</v>
      </c>
      <c r="P8" s="50">
        <v>8</v>
      </c>
      <c r="Q8" s="50">
        <v>3</v>
      </c>
      <c r="R8" s="50">
        <v>10</v>
      </c>
      <c r="S8" s="50">
        <v>23</v>
      </c>
    </row>
    <row r="9" spans="2:19" x14ac:dyDescent="0.35">
      <c r="B9" s="50" t="s">
        <v>3579</v>
      </c>
      <c r="C9" s="50">
        <v>7</v>
      </c>
      <c r="D9" s="50" t="s">
        <v>4200</v>
      </c>
      <c r="E9" s="111">
        <v>45483</v>
      </c>
      <c r="F9" s="50">
        <v>1</v>
      </c>
      <c r="G9" s="209" cm="1">
        <f t="array" ref="G9">SUMPRODUCT(--(I9:S9&lt;=I26:S26))/COUNTA(I26:S26)</f>
        <v>0.72727272727272729</v>
      </c>
      <c r="H9" s="201">
        <v>0</v>
      </c>
      <c r="I9" s="50">
        <v>16</v>
      </c>
      <c r="J9" s="50">
        <v>2</v>
      </c>
      <c r="K9" s="50">
        <v>15</v>
      </c>
      <c r="L9" s="50">
        <v>3</v>
      </c>
      <c r="M9" s="50">
        <v>10</v>
      </c>
      <c r="N9" s="50">
        <v>7</v>
      </c>
      <c r="O9" s="50">
        <v>16</v>
      </c>
      <c r="P9" s="50">
        <v>16</v>
      </c>
      <c r="Q9" s="50">
        <v>3</v>
      </c>
      <c r="R9" s="50">
        <v>10</v>
      </c>
      <c r="S9" s="50">
        <v>23</v>
      </c>
    </row>
    <row r="10" spans="2:19" x14ac:dyDescent="0.35">
      <c r="B10" s="50" t="s">
        <v>3582</v>
      </c>
      <c r="C10" s="50">
        <v>8</v>
      </c>
      <c r="D10" s="50" t="s">
        <v>4201</v>
      </c>
      <c r="E10" s="111">
        <v>45483</v>
      </c>
      <c r="F10" s="50">
        <v>1</v>
      </c>
      <c r="G10" s="50" t="s">
        <v>3621</v>
      </c>
      <c r="H10" s="201">
        <v>0</v>
      </c>
      <c r="I10" s="50">
        <v>4008110051813620</v>
      </c>
      <c r="J10" s="50">
        <v>31</v>
      </c>
      <c r="K10" s="50">
        <v>1100751730010</v>
      </c>
      <c r="L10" s="50">
        <v>0</v>
      </c>
      <c r="M10" s="50">
        <v>0</v>
      </c>
      <c r="N10" s="111" t="s">
        <v>4139</v>
      </c>
      <c r="O10" s="50" t="s">
        <v>3630</v>
      </c>
      <c r="P10" s="111" t="s">
        <v>3630</v>
      </c>
      <c r="Q10" s="111" t="s">
        <v>3699</v>
      </c>
      <c r="R10" s="111">
        <v>45483</v>
      </c>
      <c r="S10" s="114" t="s">
        <v>4202</v>
      </c>
    </row>
    <row r="11" spans="2:19" x14ac:dyDescent="0.35">
      <c r="B11" s="50" t="s">
        <v>3584</v>
      </c>
      <c r="C11" s="50">
        <v>9</v>
      </c>
      <c r="D11" s="50" t="s">
        <v>4203</v>
      </c>
      <c r="E11" s="111">
        <v>45483</v>
      </c>
      <c r="F11" s="50">
        <v>1</v>
      </c>
      <c r="G11" s="50" t="s">
        <v>3621</v>
      </c>
      <c r="H11" s="201">
        <v>0</v>
      </c>
      <c r="I11" s="50">
        <v>4008110051813620</v>
      </c>
      <c r="J11" s="50">
        <v>31</v>
      </c>
      <c r="K11" s="50">
        <v>1100751730010</v>
      </c>
      <c r="L11" s="50">
        <v>0</v>
      </c>
      <c r="M11" s="50">
        <v>0</v>
      </c>
      <c r="N11" s="111" t="s">
        <v>4139</v>
      </c>
      <c r="O11" s="50" t="s">
        <v>3630</v>
      </c>
      <c r="P11" s="50" t="s">
        <v>3630</v>
      </c>
      <c r="Q11" s="50">
        <v>15</v>
      </c>
      <c r="R11" s="111">
        <v>45483</v>
      </c>
      <c r="S11" s="50" t="s">
        <v>4204</v>
      </c>
    </row>
    <row r="12" spans="2:19" x14ac:dyDescent="0.35">
      <c r="B12" s="113" t="s">
        <v>3586</v>
      </c>
      <c r="C12" s="50">
        <v>10</v>
      </c>
      <c r="D12" s="50" t="s">
        <v>4205</v>
      </c>
      <c r="E12" s="111">
        <v>45483</v>
      </c>
      <c r="F12" s="50">
        <v>1</v>
      </c>
      <c r="G12" s="50" t="s">
        <v>3621</v>
      </c>
      <c r="H12" s="201">
        <v>0</v>
      </c>
      <c r="I12" s="50">
        <v>5890770069838630</v>
      </c>
      <c r="J12" s="201">
        <v>31</v>
      </c>
      <c r="K12" s="50">
        <v>5131570010010</v>
      </c>
      <c r="L12" s="50">
        <v>97</v>
      </c>
      <c r="M12" s="111">
        <v>45484</v>
      </c>
      <c r="N12" s="111" t="s">
        <v>4206</v>
      </c>
      <c r="O12" s="114">
        <v>999999999000000</v>
      </c>
      <c r="P12" s="209">
        <v>999999999000000</v>
      </c>
      <c r="Q12" s="111" t="s">
        <v>3699</v>
      </c>
      <c r="R12" s="111">
        <v>45483</v>
      </c>
      <c r="S12" s="173" t="s">
        <v>4202</v>
      </c>
    </row>
    <row r="13" spans="2:19" x14ac:dyDescent="0.35">
      <c r="B13" s="50" t="s">
        <v>3588</v>
      </c>
      <c r="C13" s="50">
        <v>11</v>
      </c>
      <c r="D13" s="50" t="s">
        <v>4207</v>
      </c>
      <c r="E13" s="111">
        <v>45483</v>
      </c>
      <c r="F13" s="50">
        <v>1</v>
      </c>
      <c r="G13" s="50" t="s">
        <v>3621</v>
      </c>
      <c r="H13" s="201">
        <v>0</v>
      </c>
      <c r="I13" s="50">
        <v>5890770069838630</v>
      </c>
      <c r="J13" s="201">
        <v>31</v>
      </c>
      <c r="K13" s="50">
        <v>5131570010010</v>
      </c>
      <c r="L13" s="50">
        <v>97</v>
      </c>
      <c r="M13" s="111">
        <v>20240711</v>
      </c>
      <c r="N13" s="111" t="s">
        <v>4206</v>
      </c>
      <c r="O13" s="114">
        <v>999999999000000</v>
      </c>
      <c r="P13" s="111">
        <v>999999999000000</v>
      </c>
      <c r="Q13" s="50">
        <v>5</v>
      </c>
      <c r="R13" s="111">
        <v>45483</v>
      </c>
      <c r="S13" s="50" t="s">
        <v>4208</v>
      </c>
    </row>
    <row r="14" spans="2:19" x14ac:dyDescent="0.35">
      <c r="B14" s="50" t="s">
        <v>3590</v>
      </c>
      <c r="C14" s="50">
        <v>12</v>
      </c>
      <c r="D14" s="50" t="s">
        <v>4209</v>
      </c>
      <c r="E14" s="111">
        <v>45483</v>
      </c>
      <c r="F14" s="50">
        <v>1</v>
      </c>
      <c r="G14" s="209">
        <v>1</v>
      </c>
      <c r="H14" s="201">
        <v>0</v>
      </c>
      <c r="I14" s="50">
        <v>0</v>
      </c>
      <c r="J14" s="50">
        <v>0</v>
      </c>
      <c r="K14" s="50">
        <v>0</v>
      </c>
      <c r="L14" s="50">
        <v>0</v>
      </c>
      <c r="M14" s="50">
        <v>0</v>
      </c>
      <c r="N14" s="50">
        <v>0</v>
      </c>
      <c r="O14" s="50">
        <v>0</v>
      </c>
      <c r="P14" s="50">
        <v>0</v>
      </c>
      <c r="Q14" s="50">
        <v>0</v>
      </c>
      <c r="R14" s="50">
        <v>0</v>
      </c>
      <c r="S14" s="50">
        <v>0</v>
      </c>
    </row>
    <row r="15" spans="2:19" x14ac:dyDescent="0.35">
      <c r="B15" s="50" t="s">
        <v>3592</v>
      </c>
      <c r="C15" s="50">
        <v>13</v>
      </c>
      <c r="D15" s="50" t="s">
        <v>4210</v>
      </c>
      <c r="E15" s="111">
        <v>45483</v>
      </c>
      <c r="F15" s="50">
        <v>1</v>
      </c>
      <c r="G15" s="209">
        <v>1</v>
      </c>
      <c r="H15" s="201">
        <v>0</v>
      </c>
      <c r="I15" s="50" t="s">
        <v>3621</v>
      </c>
      <c r="J15" s="50" t="s">
        <v>3621</v>
      </c>
      <c r="K15" s="50" t="s">
        <v>3621</v>
      </c>
      <c r="L15" s="50" t="s">
        <v>3621</v>
      </c>
      <c r="M15" s="50">
        <v>0</v>
      </c>
      <c r="N15" s="50">
        <v>0</v>
      </c>
      <c r="O15" s="50" t="s">
        <v>3621</v>
      </c>
      <c r="P15" s="50" t="s">
        <v>3621</v>
      </c>
      <c r="Q15" s="50" t="s">
        <v>3621</v>
      </c>
      <c r="R15" s="50" t="s">
        <v>3621</v>
      </c>
      <c r="S15" s="50" t="s">
        <v>3621</v>
      </c>
    </row>
    <row r="16" spans="2:19" x14ac:dyDescent="0.35">
      <c r="B16" s="50" t="s">
        <v>3594</v>
      </c>
      <c r="C16" s="50">
        <v>14</v>
      </c>
      <c r="D16" s="50" t="s">
        <v>4211</v>
      </c>
      <c r="E16" s="111">
        <v>45483</v>
      </c>
      <c r="F16" s="50">
        <v>1</v>
      </c>
      <c r="G16" s="209">
        <v>1</v>
      </c>
      <c r="H16" s="201">
        <v>0</v>
      </c>
      <c r="I16" s="50">
        <v>0</v>
      </c>
      <c r="J16" s="50">
        <v>0</v>
      </c>
      <c r="K16" s="50">
        <v>0</v>
      </c>
      <c r="L16" s="50">
        <v>0</v>
      </c>
      <c r="M16" s="50" t="s">
        <v>3621</v>
      </c>
      <c r="N16" s="50" t="s">
        <v>3621</v>
      </c>
      <c r="O16" s="50" t="s">
        <v>3621</v>
      </c>
      <c r="P16" s="50" t="s">
        <v>3621</v>
      </c>
      <c r="Q16" s="50">
        <v>0</v>
      </c>
      <c r="R16" s="50" t="s">
        <v>3621</v>
      </c>
      <c r="S16" s="50" t="s">
        <v>3621</v>
      </c>
    </row>
    <row r="17" spans="2:20" x14ac:dyDescent="0.35">
      <c r="B17" s="50" t="s">
        <v>3596</v>
      </c>
      <c r="C17" s="50">
        <v>15</v>
      </c>
      <c r="D17" s="50" t="s">
        <v>4212</v>
      </c>
      <c r="E17" s="111">
        <v>45483</v>
      </c>
      <c r="F17" s="50">
        <v>1</v>
      </c>
      <c r="G17" s="209">
        <v>1</v>
      </c>
      <c r="H17" s="201">
        <v>0</v>
      </c>
      <c r="I17" s="50" t="s">
        <v>3621</v>
      </c>
      <c r="J17" s="50" t="s">
        <v>3621</v>
      </c>
      <c r="K17" s="50" t="s">
        <v>3621</v>
      </c>
      <c r="L17" s="50" t="s">
        <v>3621</v>
      </c>
      <c r="M17" s="50" t="s">
        <v>3621</v>
      </c>
      <c r="N17" s="50" t="s">
        <v>3621</v>
      </c>
      <c r="O17" s="50" t="s">
        <v>3621</v>
      </c>
      <c r="P17" s="50" t="s">
        <v>3621</v>
      </c>
      <c r="Q17" s="50" t="s">
        <v>3621</v>
      </c>
      <c r="R17" s="50" t="s">
        <v>3621</v>
      </c>
      <c r="S17" s="50" t="s">
        <v>3621</v>
      </c>
    </row>
    <row r="18" spans="2:20" x14ac:dyDescent="0.35">
      <c r="B18" s="50" t="s">
        <v>3598</v>
      </c>
      <c r="C18" s="50">
        <v>16</v>
      </c>
      <c r="D18" s="50" t="s">
        <v>4212</v>
      </c>
      <c r="E18" s="111">
        <v>45483</v>
      </c>
      <c r="F18" s="50">
        <v>1</v>
      </c>
      <c r="G18" s="209">
        <v>1</v>
      </c>
      <c r="H18" s="201">
        <v>0</v>
      </c>
      <c r="I18" s="50" t="s">
        <v>3621</v>
      </c>
      <c r="J18" s="50" t="s">
        <v>3621</v>
      </c>
      <c r="K18" s="50" t="s">
        <v>3621</v>
      </c>
      <c r="L18" s="50" t="s">
        <v>3621</v>
      </c>
      <c r="M18" s="50" t="s">
        <v>3621</v>
      </c>
      <c r="N18" s="50" t="s">
        <v>3621</v>
      </c>
      <c r="O18" s="50" t="s">
        <v>3621</v>
      </c>
      <c r="P18" s="50" t="s">
        <v>3621</v>
      </c>
      <c r="Q18" s="50" t="s">
        <v>3621</v>
      </c>
      <c r="R18" s="50" t="s">
        <v>3621</v>
      </c>
      <c r="S18" s="50" t="s">
        <v>3621</v>
      </c>
    </row>
    <row r="19" spans="2:20" x14ac:dyDescent="0.35">
      <c r="B19" s="50" t="s">
        <v>3604</v>
      </c>
      <c r="C19" s="50">
        <v>19</v>
      </c>
      <c r="D19" s="50" t="s">
        <v>4213</v>
      </c>
      <c r="E19" s="111">
        <v>45483</v>
      </c>
      <c r="F19" s="50">
        <v>1</v>
      </c>
      <c r="G19" s="209" cm="1">
        <f t="array" ref="G19">SUMPRODUCT(--(ISNUMBER((SEARCH(I25:S25,I19:S19)))))/COUNTA(I19:S19)</f>
        <v>0.63636363636363635</v>
      </c>
      <c r="H19" s="50" t="s">
        <v>3621</v>
      </c>
      <c r="I19" s="50" t="s">
        <v>3655</v>
      </c>
      <c r="J19" s="50" t="s">
        <v>3655</v>
      </c>
      <c r="K19" s="50" t="s">
        <v>3655</v>
      </c>
      <c r="L19" s="50" t="s">
        <v>3655</v>
      </c>
      <c r="M19" s="50" t="s">
        <v>3655</v>
      </c>
      <c r="N19" s="50" t="s">
        <v>3655</v>
      </c>
      <c r="O19" s="50" t="s">
        <v>3656</v>
      </c>
      <c r="P19" s="50" t="s">
        <v>3656</v>
      </c>
      <c r="Q19" s="50" t="s">
        <v>3655</v>
      </c>
      <c r="R19" s="50" t="s">
        <v>3655</v>
      </c>
      <c r="S19" s="50" t="s">
        <v>3657</v>
      </c>
    </row>
    <row r="20" spans="2:20" x14ac:dyDescent="0.35">
      <c r="B20" s="50" t="s">
        <v>3607</v>
      </c>
      <c r="C20" s="50">
        <v>20</v>
      </c>
      <c r="D20" s="50" t="s">
        <v>4214</v>
      </c>
      <c r="E20" s="111">
        <v>45483</v>
      </c>
      <c r="F20" s="50">
        <v>1</v>
      </c>
      <c r="G20" s="209" cm="1">
        <f t="array" ref="G20">SUM(IF(I2:S2 = I24:S24, 1, 0))/ COUNTA(I2:S2)</f>
        <v>9.0909090909090912E-2</v>
      </c>
      <c r="H20" s="50" t="s">
        <v>3621</v>
      </c>
      <c r="I20" s="50"/>
      <c r="J20" s="50"/>
      <c r="K20" s="50"/>
      <c r="L20" s="50"/>
      <c r="M20" s="50"/>
      <c r="N20" s="50"/>
      <c r="O20" s="50"/>
      <c r="P20" s="50"/>
      <c r="Q20" s="50"/>
      <c r="R20" s="50"/>
      <c r="S20" s="50"/>
    </row>
    <row r="21" spans="2:20" x14ac:dyDescent="0.35">
      <c r="B21" s="50" t="s">
        <v>3610</v>
      </c>
      <c r="C21" s="50">
        <v>21</v>
      </c>
      <c r="D21" s="50" t="s">
        <v>4214</v>
      </c>
      <c r="E21" s="111">
        <v>45483</v>
      </c>
      <c r="F21" s="50">
        <v>1</v>
      </c>
      <c r="G21" s="209" cm="1">
        <f t="array" ref="G21">SUM(IF(IF(G3:G20="null",1,G3:G20)=1,1,0))/COUNT(IF(G3:G20="null",1,1))</f>
        <v>0.83333333333333337</v>
      </c>
      <c r="H21" s="50" t="s">
        <v>3621</v>
      </c>
      <c r="I21" s="50"/>
      <c r="J21" s="50"/>
      <c r="K21" s="50"/>
      <c r="L21" s="50"/>
      <c r="M21" s="50"/>
      <c r="N21" s="50"/>
      <c r="O21" s="50"/>
      <c r="P21" s="50"/>
      <c r="Q21" s="50"/>
      <c r="R21" s="50"/>
      <c r="S21" s="50"/>
    </row>
    <row r="22" spans="2:20" x14ac:dyDescent="0.35">
      <c r="B22" s="50"/>
      <c r="C22" s="50"/>
      <c r="D22" s="50"/>
      <c r="E22" s="111"/>
      <c r="F22" s="50"/>
      <c r="G22" s="50"/>
      <c r="H22" s="50"/>
      <c r="I22" s="50"/>
      <c r="J22" s="50"/>
      <c r="K22" s="50"/>
      <c r="L22" s="50"/>
      <c r="M22" s="50"/>
      <c r="N22" s="50"/>
      <c r="O22" s="50"/>
      <c r="P22" s="50"/>
      <c r="Q22" s="50"/>
      <c r="R22" s="50"/>
      <c r="S22" s="50"/>
    </row>
    <row r="23" spans="2:20" x14ac:dyDescent="0.35">
      <c r="B23" s="146" t="s">
        <v>3727</v>
      </c>
    </row>
    <row r="24" spans="2:20" x14ac:dyDescent="0.35">
      <c r="B24" s="144" t="s">
        <v>3613</v>
      </c>
      <c r="C24" s="145" t="s">
        <v>3614</v>
      </c>
      <c r="D24" s="145" t="s">
        <v>3615</v>
      </c>
      <c r="E24" s="145" t="s">
        <v>3616</v>
      </c>
      <c r="F24" s="145" t="s">
        <v>3617</v>
      </c>
      <c r="G24" s="145" t="s">
        <v>3618</v>
      </c>
      <c r="H24" s="145" t="s">
        <v>3619</v>
      </c>
      <c r="I24" s="145" t="str" cm="1">
        <f t="array" ref="I24:T24">TRANSPOSE(_xlfn.SORTBY(_xlfn._xlws.FILTER(Table3[NOME FÍSICO CAMPO],Table3[NOME FÍSICO TABELA]="debit_card"), _xlfn._xlws.FILTER(Table3[ORDEM], Table3[NOME FÍSICO TABELA]="debit_card"), 1))</f>
        <v>card_number</v>
      </c>
      <c r="J24" s="145" t="str">
        <v>bank_id</v>
      </c>
      <c r="K24" s="145" t="str">
        <v>contract_id</v>
      </c>
      <c r="L24" s="145" t="str">
        <v>card_holder_interv_type_code</v>
      </c>
      <c r="M24" s="145" t="str">
        <v>card_holder_interv_order_number</v>
      </c>
      <c r="N24" s="145" t="str">
        <v>card_activation_date</v>
      </c>
      <c r="O24" s="145" t="str">
        <v>card_expiration_date</v>
      </c>
      <c r="P24" s="145" t="str">
        <v>daily_atm_limit</v>
      </c>
      <c r="Q24" s="145" t="str">
        <v>daily_purchase_limit</v>
      </c>
      <c r="R24" s="145" t="str">
        <v>card_status_code</v>
      </c>
      <c r="S24" s="145" t="str">
        <v>data_date_part</v>
      </c>
      <c r="T24" t="str">
        <v>data_timestamp_part</v>
      </c>
    </row>
    <row r="25" spans="2:20" x14ac:dyDescent="0.35">
      <c r="B25" s="123" t="s">
        <v>3658</v>
      </c>
      <c r="C25" s="126">
        <v>21</v>
      </c>
      <c r="D25" s="120" t="s">
        <v>3659</v>
      </c>
      <c r="E25" s="119" t="s">
        <v>3660</v>
      </c>
      <c r="F25" s="119" t="s">
        <v>372</v>
      </c>
      <c r="G25" s="119" t="s">
        <v>372</v>
      </c>
      <c r="H25" s="119" t="s">
        <v>372</v>
      </c>
      <c r="I25" s="119" t="str" cm="1">
        <f t="array" ref="I25:T26">TRANSPOSE(_xlfn.SORTBY(_xlfn._xlws.FILTER(IF(Table3[FORMATO]:Table3[COMP_ CAMPO]&lt;&gt;"",Table3[FORMATO]:Table3[COMP_ CAMPO],9999999),Table3[NOME FÍSICO TABELA]="debit_card"), _xlfn._xlws.FILTER(Table3[ORDEM], Table3[NOME FÍSICO TABELA]="debit_card"), 1))</f>
        <v>STRING</v>
      </c>
      <c r="J25" s="119" t="str">
        <v>STRING</v>
      </c>
      <c r="K25" s="119" t="str">
        <v>STRING</v>
      </c>
      <c r="L25" s="119" t="str">
        <v>STRING</v>
      </c>
      <c r="M25" s="119" t="str">
        <v>BIGINT</v>
      </c>
      <c r="N25" s="119" t="str">
        <v>STRING</v>
      </c>
      <c r="O25" s="119" t="str">
        <v>STRING</v>
      </c>
      <c r="P25" s="119" t="str">
        <v>DECIMAL</v>
      </c>
      <c r="Q25" s="119" t="str">
        <v>DECIMAL</v>
      </c>
      <c r="R25" s="119" t="str">
        <v>STRING</v>
      </c>
      <c r="S25" s="119" t="str">
        <v>STRING</v>
      </c>
      <c r="T25" t="str">
        <v>TIMESTAMP</v>
      </c>
    </row>
    <row r="26" spans="2:20" x14ac:dyDescent="0.35">
      <c r="B26" s="123" t="s">
        <v>3661</v>
      </c>
      <c r="C26" s="126">
        <v>7</v>
      </c>
      <c r="D26" s="120" t="s">
        <v>3659</v>
      </c>
      <c r="E26" s="119" t="s">
        <v>3660</v>
      </c>
      <c r="F26" s="121" t="s">
        <v>372</v>
      </c>
      <c r="G26" s="121" t="s">
        <v>372</v>
      </c>
      <c r="H26" s="121" t="s">
        <v>372</v>
      </c>
      <c r="I26" s="167">
        <v>16</v>
      </c>
      <c r="J26" s="167">
        <v>4</v>
      </c>
      <c r="K26" s="167">
        <v>30</v>
      </c>
      <c r="L26" s="167">
        <v>4</v>
      </c>
      <c r="M26" s="167">
        <v>9999999</v>
      </c>
      <c r="N26" s="167">
        <v>10</v>
      </c>
      <c r="O26" s="167">
        <v>10</v>
      </c>
      <c r="P26" s="167">
        <v>23</v>
      </c>
      <c r="Q26" s="167">
        <v>23</v>
      </c>
      <c r="R26" s="167">
        <v>4</v>
      </c>
      <c r="S26" s="167">
        <v>10</v>
      </c>
      <c r="T26">
        <v>23</v>
      </c>
    </row>
    <row r="28" spans="2:20" x14ac:dyDescent="0.35">
      <c r="B28" s="156" t="s">
        <v>3662</v>
      </c>
    </row>
    <row r="29" spans="2:20" x14ac:dyDescent="0.35">
      <c r="B29" s="150" t="s">
        <v>3663</v>
      </c>
      <c r="C29" s="150" t="s">
        <v>3664</v>
      </c>
      <c r="D29" s="151" t="s">
        <v>3665</v>
      </c>
      <c r="E29" s="150" t="s">
        <v>3666</v>
      </c>
      <c r="F29" s="150" t="s">
        <v>3667</v>
      </c>
    </row>
    <row r="30" spans="2:20" x14ac:dyDescent="0.35">
      <c r="B30" s="134"/>
      <c r="C30" s="133"/>
      <c r="D30" s="139"/>
      <c r="E30" s="162"/>
      <c r="F30" s="15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B1:U30"/>
  <sheetViews>
    <sheetView showGridLines="0" topLeftCell="A13" workbookViewId="0">
      <selection activeCell="G19" sqref="G19"/>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4" width="30.7265625" bestFit="1" customWidth="1"/>
    <col min="15" max="15" width="39.54296875" bestFit="1" customWidth="1"/>
    <col min="16" max="17" width="30.7265625" bestFit="1" customWidth="1"/>
    <col min="18" max="18" width="28" bestFit="1" customWidth="1"/>
    <col min="19" max="19" width="30.7265625" bestFit="1" customWidth="1"/>
    <col min="20" max="20" width="33.26953125" bestFit="1" customWidth="1"/>
    <col min="21" max="21" width="20.453125" bestFit="1" customWidth="1"/>
  </cols>
  <sheetData>
    <row r="1" spans="2:21" ht="26.25" customHeight="1" x14ac:dyDescent="0.35"/>
    <row r="2" spans="2:21" x14ac:dyDescent="0.35">
      <c r="B2" s="91" t="s">
        <v>3613</v>
      </c>
      <c r="C2" s="91" t="s">
        <v>3614</v>
      </c>
      <c r="D2" s="91" t="s">
        <v>3615</v>
      </c>
      <c r="E2" s="91" t="s">
        <v>3616</v>
      </c>
      <c r="F2" s="91" t="s">
        <v>3617</v>
      </c>
      <c r="G2" s="91" t="s">
        <v>3618</v>
      </c>
      <c r="H2" s="91" t="s">
        <v>3619</v>
      </c>
      <c r="I2" s="145" t="s">
        <v>121</v>
      </c>
      <c r="J2" s="145" t="s">
        <v>1175</v>
      </c>
      <c r="K2" s="145" t="s">
        <v>149</v>
      </c>
      <c r="L2" s="145" t="s">
        <v>156</v>
      </c>
      <c r="M2" s="145" t="s">
        <v>168</v>
      </c>
      <c r="N2" s="145" t="s">
        <v>177</v>
      </c>
      <c r="O2" s="145" t="s">
        <v>188</v>
      </c>
      <c r="P2" s="145" t="s">
        <v>199</v>
      </c>
      <c r="Q2" s="145" t="s">
        <v>211</v>
      </c>
      <c r="R2" s="145" t="s">
        <v>223</v>
      </c>
      <c r="S2" s="145" t="s">
        <v>1282</v>
      </c>
      <c r="T2" t="s">
        <v>327</v>
      </c>
      <c r="U2" t="s">
        <v>334</v>
      </c>
    </row>
    <row r="3" spans="2:21" x14ac:dyDescent="0.35">
      <c r="B3" s="50" t="s">
        <v>3567</v>
      </c>
      <c r="C3" s="50">
        <v>1</v>
      </c>
      <c r="D3" s="50" t="s">
        <v>4215</v>
      </c>
      <c r="E3" s="111">
        <v>45490</v>
      </c>
      <c r="F3" s="50">
        <v>1</v>
      </c>
      <c r="G3" s="209">
        <v>1</v>
      </c>
      <c r="H3" s="241">
        <v>759069</v>
      </c>
      <c r="I3" s="50" t="s">
        <v>3621</v>
      </c>
      <c r="J3" s="50" t="s">
        <v>3621</v>
      </c>
      <c r="K3" s="50" t="s">
        <v>3621</v>
      </c>
      <c r="L3" s="50" t="s">
        <v>3621</v>
      </c>
      <c r="M3" s="50" t="s">
        <v>3621</v>
      </c>
      <c r="N3" s="50" t="s">
        <v>3621</v>
      </c>
      <c r="O3" s="50" t="s">
        <v>3621</v>
      </c>
      <c r="P3" s="50" t="s">
        <v>3621</v>
      </c>
      <c r="Q3" s="50" t="s">
        <v>3621</v>
      </c>
      <c r="R3" s="50" t="s">
        <v>3621</v>
      </c>
      <c r="S3" s="50" t="s">
        <v>3621</v>
      </c>
      <c r="T3" s="50" t="s">
        <v>3621</v>
      </c>
      <c r="U3" s="50" t="s">
        <v>3621</v>
      </c>
    </row>
    <row r="4" spans="2:21" x14ac:dyDescent="0.35">
      <c r="B4" s="50" t="s">
        <v>3569</v>
      </c>
      <c r="C4" s="50">
        <v>2</v>
      </c>
      <c r="D4" s="50" t="s">
        <v>4216</v>
      </c>
      <c r="E4" s="111">
        <v>45490</v>
      </c>
      <c r="F4" s="50">
        <v>1</v>
      </c>
      <c r="G4" s="209">
        <v>1</v>
      </c>
      <c r="H4" s="201">
        <v>0</v>
      </c>
      <c r="I4" s="50" t="s">
        <v>3621</v>
      </c>
      <c r="J4" s="50" t="s">
        <v>3621</v>
      </c>
      <c r="K4" s="50" t="s">
        <v>3621</v>
      </c>
      <c r="L4" s="50" t="s">
        <v>3621</v>
      </c>
      <c r="M4" s="50" t="s">
        <v>3621</v>
      </c>
      <c r="N4" s="50" t="s">
        <v>3621</v>
      </c>
      <c r="O4" s="50" t="s">
        <v>3621</v>
      </c>
      <c r="P4" s="50" t="s">
        <v>3621</v>
      </c>
      <c r="Q4" s="50" t="s">
        <v>3621</v>
      </c>
      <c r="R4" s="50" t="s">
        <v>3621</v>
      </c>
      <c r="S4" s="50" t="s">
        <v>3621</v>
      </c>
      <c r="T4" s="50" t="s">
        <v>3621</v>
      </c>
      <c r="U4" s="50" t="s">
        <v>3621</v>
      </c>
    </row>
    <row r="5" spans="2:21" x14ac:dyDescent="0.35">
      <c r="B5" s="50" t="s">
        <v>3571</v>
      </c>
      <c r="C5" s="50">
        <v>3</v>
      </c>
      <c r="D5" s="50" t="s">
        <v>4217</v>
      </c>
      <c r="E5" s="111">
        <v>45490</v>
      </c>
      <c r="F5" s="50">
        <v>1</v>
      </c>
      <c r="G5" s="209">
        <v>1</v>
      </c>
      <c r="H5" s="201">
        <v>0</v>
      </c>
      <c r="I5" s="50">
        <v>0</v>
      </c>
      <c r="J5" s="50">
        <v>0</v>
      </c>
      <c r="K5" s="50" t="s">
        <v>3621</v>
      </c>
      <c r="L5" s="50" t="s">
        <v>3621</v>
      </c>
      <c r="M5" s="50" t="s">
        <v>3621</v>
      </c>
      <c r="N5" s="50" t="s">
        <v>3621</v>
      </c>
      <c r="O5" s="50" t="s">
        <v>3621</v>
      </c>
      <c r="P5" s="50" t="s">
        <v>3621</v>
      </c>
      <c r="Q5" s="50" t="s">
        <v>3621</v>
      </c>
      <c r="R5" s="50" t="s">
        <v>3621</v>
      </c>
      <c r="S5" s="50" t="s">
        <v>3621</v>
      </c>
      <c r="T5" s="50">
        <v>0</v>
      </c>
      <c r="U5" s="50" t="s">
        <v>3621</v>
      </c>
    </row>
    <row r="6" spans="2:21" x14ac:dyDescent="0.35">
      <c r="B6" s="113" t="s">
        <v>3573</v>
      </c>
      <c r="C6" s="50">
        <v>4</v>
      </c>
      <c r="D6" s="50" t="s">
        <v>3624</v>
      </c>
      <c r="E6" s="111" t="s">
        <v>3621</v>
      </c>
      <c r="F6" s="50">
        <v>1</v>
      </c>
      <c r="G6" s="111" t="s">
        <v>3621</v>
      </c>
      <c r="H6" s="201" t="s">
        <v>3621</v>
      </c>
      <c r="I6" s="50" t="s">
        <v>3621</v>
      </c>
      <c r="J6" s="50" t="s">
        <v>3621</v>
      </c>
      <c r="K6" s="50" t="s">
        <v>3621</v>
      </c>
      <c r="L6" s="50" t="s">
        <v>3621</v>
      </c>
      <c r="M6" s="50" t="s">
        <v>3621</v>
      </c>
      <c r="N6" s="50" t="s">
        <v>3621</v>
      </c>
      <c r="O6" s="50" t="s">
        <v>3621</v>
      </c>
      <c r="P6" s="50" t="s">
        <v>3621</v>
      </c>
      <c r="Q6" s="50" t="s">
        <v>3621</v>
      </c>
      <c r="R6" s="50" t="s">
        <v>3621</v>
      </c>
      <c r="S6" s="50" t="s">
        <v>3621</v>
      </c>
      <c r="T6" s="50" t="s">
        <v>3621</v>
      </c>
      <c r="U6" s="50" t="s">
        <v>3621</v>
      </c>
    </row>
    <row r="7" spans="2:21" x14ac:dyDescent="0.35">
      <c r="B7" s="50" t="s">
        <v>3575</v>
      </c>
      <c r="C7" s="50">
        <v>5</v>
      </c>
      <c r="D7" s="50" t="s">
        <v>3624</v>
      </c>
      <c r="E7" s="111" t="s">
        <v>3621</v>
      </c>
      <c r="F7" s="50">
        <v>1</v>
      </c>
      <c r="G7" s="111" t="s">
        <v>3621</v>
      </c>
      <c r="H7" s="201" t="s">
        <v>3621</v>
      </c>
      <c r="I7" s="50" t="s">
        <v>3621</v>
      </c>
      <c r="J7" s="50" t="s">
        <v>3621</v>
      </c>
      <c r="K7" s="50" t="s">
        <v>3621</v>
      </c>
      <c r="L7" s="50" t="s">
        <v>3621</v>
      </c>
      <c r="M7" s="50" t="s">
        <v>3621</v>
      </c>
      <c r="N7" s="50" t="s">
        <v>3621</v>
      </c>
      <c r="O7" s="50" t="s">
        <v>3621</v>
      </c>
      <c r="P7" s="50" t="s">
        <v>3621</v>
      </c>
      <c r="Q7" s="50" t="s">
        <v>3621</v>
      </c>
      <c r="R7" s="50" t="s">
        <v>3621</v>
      </c>
      <c r="S7" s="50" t="s">
        <v>3621</v>
      </c>
      <c r="T7" s="50" t="s">
        <v>3621</v>
      </c>
      <c r="U7" s="50" t="s">
        <v>3621</v>
      </c>
    </row>
    <row r="8" spans="2:21" x14ac:dyDescent="0.35">
      <c r="B8" s="113" t="s">
        <v>3576</v>
      </c>
      <c r="C8" s="50">
        <v>6</v>
      </c>
      <c r="D8" s="50" t="s">
        <v>4218</v>
      </c>
      <c r="E8" s="111">
        <v>45490</v>
      </c>
      <c r="F8" s="50">
        <v>1</v>
      </c>
      <c r="G8" s="209" cm="1">
        <f t="array" ref="G8">SUMPRODUCT(--(I8:U8&gt;0))/COUNTA(I8:U8)</f>
        <v>1</v>
      </c>
      <c r="H8" s="201">
        <v>0</v>
      </c>
      <c r="I8" s="50">
        <v>2</v>
      </c>
      <c r="J8" s="50">
        <v>15</v>
      </c>
      <c r="K8" s="50">
        <v>3</v>
      </c>
      <c r="L8" s="50">
        <v>3</v>
      </c>
      <c r="M8" s="50">
        <v>3</v>
      </c>
      <c r="N8" s="50">
        <v>2</v>
      </c>
      <c r="O8" s="50">
        <v>30</v>
      </c>
      <c r="P8" s="50">
        <v>10</v>
      </c>
      <c r="Q8" s="50">
        <v>10</v>
      </c>
      <c r="R8" s="50">
        <v>3</v>
      </c>
      <c r="S8" s="50">
        <v>3</v>
      </c>
      <c r="T8" s="50">
        <v>10</v>
      </c>
      <c r="U8" s="50">
        <v>23</v>
      </c>
    </row>
    <row r="9" spans="2:21" x14ac:dyDescent="0.35">
      <c r="B9" s="50" t="s">
        <v>3579</v>
      </c>
      <c r="C9" s="50">
        <v>7</v>
      </c>
      <c r="D9" s="50" t="s">
        <v>4219</v>
      </c>
      <c r="E9" s="111">
        <v>45490</v>
      </c>
      <c r="F9" s="50">
        <v>1</v>
      </c>
      <c r="G9" s="209" cm="1">
        <f t="array" ref="G9">SUMPRODUCT(--(I9:U9&lt;=I26:U26))/COUNTA(I26:U26)</f>
        <v>1</v>
      </c>
      <c r="H9" s="201">
        <v>0</v>
      </c>
      <c r="I9" s="50">
        <v>2</v>
      </c>
      <c r="J9" s="50">
        <v>15</v>
      </c>
      <c r="K9" s="50">
        <v>3</v>
      </c>
      <c r="L9" s="50">
        <v>3</v>
      </c>
      <c r="M9" s="50">
        <v>3</v>
      </c>
      <c r="N9" s="50">
        <v>2</v>
      </c>
      <c r="O9" s="50">
        <v>30</v>
      </c>
      <c r="P9" s="50">
        <v>10</v>
      </c>
      <c r="Q9" s="50">
        <v>10</v>
      </c>
      <c r="R9" s="50">
        <v>3</v>
      </c>
      <c r="S9" s="50">
        <v>3</v>
      </c>
      <c r="T9" s="50">
        <v>10</v>
      </c>
      <c r="U9" s="50">
        <v>23</v>
      </c>
    </row>
    <row r="10" spans="2:21" x14ac:dyDescent="0.35">
      <c r="B10" s="50" t="s">
        <v>3582</v>
      </c>
      <c r="C10" s="50">
        <v>8</v>
      </c>
      <c r="D10" s="50" t="s">
        <v>4220</v>
      </c>
      <c r="E10" s="111">
        <v>45490</v>
      </c>
      <c r="F10" s="50">
        <v>1</v>
      </c>
      <c r="G10" s="111" t="s">
        <v>3621</v>
      </c>
      <c r="H10" s="201">
        <v>0</v>
      </c>
      <c r="I10" s="50">
        <v>31</v>
      </c>
      <c r="J10" s="50">
        <v>1100827510011</v>
      </c>
      <c r="K10" s="50" t="s">
        <v>3699</v>
      </c>
      <c r="L10" s="50">
        <v>11</v>
      </c>
      <c r="M10" s="50" t="s">
        <v>4221</v>
      </c>
      <c r="N10" s="50">
        <v>31</v>
      </c>
      <c r="O10" s="50">
        <v>2.079771E+21</v>
      </c>
      <c r="P10" s="111">
        <v>35711</v>
      </c>
      <c r="Q10" s="111">
        <v>2958465</v>
      </c>
      <c r="R10" s="111">
        <v>978</v>
      </c>
      <c r="S10" s="114" t="s">
        <v>3699</v>
      </c>
      <c r="T10" s="111">
        <v>45490</v>
      </c>
      <c r="U10" s="50" t="s">
        <v>4222</v>
      </c>
    </row>
    <row r="11" spans="2:21" x14ac:dyDescent="0.35">
      <c r="B11" s="50" t="s">
        <v>3584</v>
      </c>
      <c r="C11" s="50">
        <v>9</v>
      </c>
      <c r="D11" s="50" t="s">
        <v>4223</v>
      </c>
      <c r="E11" s="111">
        <v>45490</v>
      </c>
      <c r="F11" s="50">
        <v>1</v>
      </c>
      <c r="G11" s="111" t="s">
        <v>3621</v>
      </c>
      <c r="H11" s="201">
        <v>0</v>
      </c>
      <c r="I11" s="50">
        <v>31</v>
      </c>
      <c r="J11" s="50">
        <v>1100827510011</v>
      </c>
      <c r="K11" s="50">
        <v>31</v>
      </c>
      <c r="L11" s="50">
        <v>11</v>
      </c>
      <c r="M11" s="50" t="s">
        <v>4221</v>
      </c>
      <c r="N11" s="111">
        <v>31</v>
      </c>
      <c r="O11" s="50">
        <v>2.079771E+21</v>
      </c>
      <c r="P11" s="111">
        <v>35711</v>
      </c>
      <c r="Q11" s="111">
        <v>2958465</v>
      </c>
      <c r="R11" s="111">
        <v>978</v>
      </c>
      <c r="S11" s="50">
        <v>0</v>
      </c>
      <c r="T11" s="111">
        <v>45490</v>
      </c>
      <c r="U11" s="50" t="s">
        <v>4224</v>
      </c>
    </row>
    <row r="12" spans="2:21" x14ac:dyDescent="0.35">
      <c r="B12" s="113" t="s">
        <v>3586</v>
      </c>
      <c r="C12" s="50">
        <v>10</v>
      </c>
      <c r="D12" s="50" t="s">
        <v>4225</v>
      </c>
      <c r="E12" s="111">
        <v>45490</v>
      </c>
      <c r="F12" s="50">
        <v>1</v>
      </c>
      <c r="G12" s="111" t="s">
        <v>3621</v>
      </c>
      <c r="H12" s="201">
        <v>0</v>
      </c>
      <c r="I12" s="50">
        <v>31</v>
      </c>
      <c r="J12" s="201">
        <v>5131651710011</v>
      </c>
      <c r="K12" s="50" t="s">
        <v>3699</v>
      </c>
      <c r="L12" s="50">
        <v>11</v>
      </c>
      <c r="M12" s="111" t="s">
        <v>4226</v>
      </c>
      <c r="N12" s="50">
        <v>31</v>
      </c>
      <c r="O12" s="114">
        <v>9.9999999999999903E+29</v>
      </c>
      <c r="P12" s="209">
        <v>45491</v>
      </c>
      <c r="Q12" s="111">
        <v>2958465</v>
      </c>
      <c r="R12" s="111">
        <v>978</v>
      </c>
      <c r="S12" s="173" t="s">
        <v>3699</v>
      </c>
      <c r="T12" s="111">
        <v>45490</v>
      </c>
      <c r="U12" s="50" t="s">
        <v>4222</v>
      </c>
    </row>
    <row r="13" spans="2:21" x14ac:dyDescent="0.35">
      <c r="B13" s="50" t="s">
        <v>3588</v>
      </c>
      <c r="C13" s="50">
        <v>11</v>
      </c>
      <c r="D13" s="50" t="s">
        <v>4227</v>
      </c>
      <c r="E13" s="111">
        <v>45490</v>
      </c>
      <c r="F13" s="50">
        <v>1</v>
      </c>
      <c r="G13" s="111" t="s">
        <v>3621</v>
      </c>
      <c r="H13" s="201">
        <v>0</v>
      </c>
      <c r="I13" s="50">
        <v>31</v>
      </c>
      <c r="J13" s="201">
        <v>5131651710011</v>
      </c>
      <c r="K13" s="50">
        <v>31</v>
      </c>
      <c r="L13" s="50">
        <v>11</v>
      </c>
      <c r="M13" s="111" t="s">
        <v>4226</v>
      </c>
      <c r="N13" s="111">
        <v>31</v>
      </c>
      <c r="O13" s="50">
        <v>9.9999999999999903E+29</v>
      </c>
      <c r="P13" s="111">
        <v>45491</v>
      </c>
      <c r="Q13" s="111">
        <v>2958465</v>
      </c>
      <c r="R13" s="111">
        <v>978</v>
      </c>
      <c r="S13" s="50">
        <v>4</v>
      </c>
      <c r="T13" s="111">
        <v>45490</v>
      </c>
      <c r="U13" s="50" t="s">
        <v>4228</v>
      </c>
    </row>
    <row r="14" spans="2:21" x14ac:dyDescent="0.35">
      <c r="B14" s="50" t="s">
        <v>3590</v>
      </c>
      <c r="C14" s="50">
        <v>12</v>
      </c>
      <c r="D14" s="50" t="s">
        <v>4229</v>
      </c>
      <c r="E14" s="111">
        <v>45490</v>
      </c>
      <c r="F14" s="50">
        <v>1</v>
      </c>
      <c r="G14" s="209">
        <v>1</v>
      </c>
      <c r="H14" s="201">
        <v>0</v>
      </c>
      <c r="I14" s="50">
        <v>0</v>
      </c>
      <c r="J14" s="50">
        <v>0</v>
      </c>
      <c r="K14" s="50">
        <v>0</v>
      </c>
      <c r="L14" s="50">
        <v>0</v>
      </c>
      <c r="M14" s="50">
        <v>0</v>
      </c>
      <c r="N14" s="50">
        <v>0</v>
      </c>
      <c r="O14" s="50">
        <v>0</v>
      </c>
      <c r="P14" s="50">
        <v>0</v>
      </c>
      <c r="Q14" s="50">
        <v>0</v>
      </c>
      <c r="R14" s="50">
        <v>0</v>
      </c>
      <c r="S14" s="50">
        <v>0</v>
      </c>
      <c r="T14" s="50">
        <v>0</v>
      </c>
      <c r="U14" s="50">
        <v>0</v>
      </c>
    </row>
    <row r="15" spans="2:21" x14ac:dyDescent="0.35">
      <c r="B15" s="50" t="s">
        <v>3592</v>
      </c>
      <c r="C15" s="50">
        <v>13</v>
      </c>
      <c r="D15" s="50" t="s">
        <v>4230</v>
      </c>
      <c r="E15" s="111">
        <v>45490</v>
      </c>
      <c r="F15" s="50">
        <v>1</v>
      </c>
      <c r="G15" s="209">
        <v>1</v>
      </c>
      <c r="H15" s="201">
        <v>0</v>
      </c>
      <c r="I15" s="50" t="s">
        <v>3621</v>
      </c>
      <c r="J15" s="50" t="s">
        <v>3621</v>
      </c>
      <c r="K15" s="50" t="s">
        <v>3621</v>
      </c>
      <c r="L15" s="50" t="s">
        <v>3621</v>
      </c>
      <c r="M15" s="50" t="s">
        <v>3621</v>
      </c>
      <c r="N15" s="50" t="s">
        <v>3621</v>
      </c>
      <c r="O15" s="50" t="s">
        <v>3621</v>
      </c>
      <c r="P15" s="50">
        <v>0</v>
      </c>
      <c r="Q15" s="50">
        <v>0</v>
      </c>
      <c r="R15" s="50" t="s">
        <v>3621</v>
      </c>
      <c r="S15" s="50" t="s">
        <v>3621</v>
      </c>
      <c r="T15" s="50" t="s">
        <v>3621</v>
      </c>
      <c r="U15" s="50" t="s">
        <v>3621</v>
      </c>
    </row>
    <row r="16" spans="2:21" x14ac:dyDescent="0.35">
      <c r="B16" s="50" t="s">
        <v>3594</v>
      </c>
      <c r="C16" s="50">
        <v>14</v>
      </c>
      <c r="D16" s="50" t="s">
        <v>4231</v>
      </c>
      <c r="E16" s="111">
        <v>45490</v>
      </c>
      <c r="F16" s="50">
        <v>1</v>
      </c>
      <c r="G16" s="209">
        <v>1</v>
      </c>
      <c r="H16" s="201">
        <v>0</v>
      </c>
      <c r="I16" s="50">
        <v>0</v>
      </c>
      <c r="J16" s="50">
        <v>0</v>
      </c>
      <c r="K16" s="50">
        <v>0</v>
      </c>
      <c r="L16" s="50">
        <v>0</v>
      </c>
      <c r="M16" s="50">
        <v>0</v>
      </c>
      <c r="N16" s="50">
        <v>0</v>
      </c>
      <c r="O16" s="50">
        <v>0</v>
      </c>
      <c r="P16" s="50" t="s">
        <v>3621</v>
      </c>
      <c r="Q16" s="50" t="s">
        <v>3621</v>
      </c>
      <c r="R16" s="50">
        <v>0</v>
      </c>
      <c r="S16" s="50">
        <v>0</v>
      </c>
      <c r="T16" s="50" t="s">
        <v>3621</v>
      </c>
      <c r="U16" s="50" t="s">
        <v>3621</v>
      </c>
    </row>
    <row r="17" spans="2:21" x14ac:dyDescent="0.35">
      <c r="B17" s="50" t="s">
        <v>3596</v>
      </c>
      <c r="C17" s="50">
        <v>15</v>
      </c>
      <c r="D17" s="50" t="s">
        <v>4232</v>
      </c>
      <c r="E17" s="111">
        <v>45490</v>
      </c>
      <c r="F17" s="50">
        <v>1</v>
      </c>
      <c r="G17" s="209">
        <v>1</v>
      </c>
      <c r="H17" s="201">
        <v>0</v>
      </c>
      <c r="I17" s="50" t="s">
        <v>3621</v>
      </c>
      <c r="J17" s="50" t="s">
        <v>3621</v>
      </c>
      <c r="K17" s="50" t="s">
        <v>3621</v>
      </c>
      <c r="L17" s="50" t="s">
        <v>3621</v>
      </c>
      <c r="M17" s="50" t="s">
        <v>3621</v>
      </c>
      <c r="N17" s="50" t="s">
        <v>3621</v>
      </c>
      <c r="O17" s="50" t="s">
        <v>3621</v>
      </c>
      <c r="P17" s="50" t="s">
        <v>3621</v>
      </c>
      <c r="Q17" s="50" t="s">
        <v>3621</v>
      </c>
      <c r="R17" s="50" t="s">
        <v>3621</v>
      </c>
      <c r="S17" s="50" t="s">
        <v>3621</v>
      </c>
      <c r="T17" s="50" t="s">
        <v>3621</v>
      </c>
      <c r="U17" s="50" t="s">
        <v>3621</v>
      </c>
    </row>
    <row r="18" spans="2:21" x14ac:dyDescent="0.35">
      <c r="B18" s="50" t="s">
        <v>3598</v>
      </c>
      <c r="C18" s="50">
        <v>16</v>
      </c>
      <c r="D18" s="50" t="s">
        <v>4232</v>
      </c>
      <c r="E18" s="111">
        <v>45490</v>
      </c>
      <c r="F18" s="50">
        <v>1</v>
      </c>
      <c r="G18" s="209">
        <v>1</v>
      </c>
      <c r="H18" s="201">
        <v>0</v>
      </c>
      <c r="I18" s="50" t="s">
        <v>3621</v>
      </c>
      <c r="J18" s="50" t="s">
        <v>3621</v>
      </c>
      <c r="K18" s="50" t="s">
        <v>3621</v>
      </c>
      <c r="L18" s="50" t="s">
        <v>3621</v>
      </c>
      <c r="M18" s="50" t="s">
        <v>3621</v>
      </c>
      <c r="N18" s="50" t="s">
        <v>3621</v>
      </c>
      <c r="O18" s="50" t="s">
        <v>3621</v>
      </c>
      <c r="P18" s="50" t="s">
        <v>3621</v>
      </c>
      <c r="Q18" s="50" t="s">
        <v>3621</v>
      </c>
      <c r="R18" s="50" t="s">
        <v>3621</v>
      </c>
      <c r="S18" s="50" t="s">
        <v>3621</v>
      </c>
      <c r="T18" s="50" t="s">
        <v>3621</v>
      </c>
      <c r="U18" s="50" t="s">
        <v>3621</v>
      </c>
    </row>
    <row r="19" spans="2:21" x14ac:dyDescent="0.35">
      <c r="B19" s="50" t="s">
        <v>3604</v>
      </c>
      <c r="C19" s="50">
        <v>19</v>
      </c>
      <c r="D19" s="50" t="s">
        <v>4233</v>
      </c>
      <c r="E19" s="111">
        <v>45490</v>
      </c>
      <c r="F19" s="50">
        <v>1</v>
      </c>
      <c r="G19" s="209" cm="1">
        <f t="array" ref="G19">SUMPRODUCT(--(ISNUMBER((SEARCH(I25:U25,I19:U19)))))/COUNTA(I19:U19)</f>
        <v>1</v>
      </c>
      <c r="H19" s="201">
        <v>0</v>
      </c>
      <c r="I19" s="50" t="s">
        <v>3655</v>
      </c>
      <c r="J19" s="50" t="s">
        <v>3655</v>
      </c>
      <c r="K19" s="50" t="s">
        <v>3655</v>
      </c>
      <c r="L19" s="50" t="s">
        <v>3655</v>
      </c>
      <c r="M19" s="50" t="s">
        <v>3655</v>
      </c>
      <c r="N19" s="50" t="s">
        <v>3655</v>
      </c>
      <c r="O19" s="50" t="s">
        <v>3655</v>
      </c>
      <c r="P19" s="50" t="s">
        <v>3655</v>
      </c>
      <c r="Q19" s="50" t="s">
        <v>3655</v>
      </c>
      <c r="R19" s="50" t="s">
        <v>3655</v>
      </c>
      <c r="S19" s="50" t="s">
        <v>3655</v>
      </c>
      <c r="T19" s="50" t="s">
        <v>3655</v>
      </c>
      <c r="U19" s="50" t="s">
        <v>3657</v>
      </c>
    </row>
    <row r="20" spans="2:21" x14ac:dyDescent="0.35">
      <c r="B20" s="50" t="s">
        <v>3607</v>
      </c>
      <c r="C20" s="50">
        <v>20</v>
      </c>
      <c r="D20" s="50" t="s">
        <v>4233</v>
      </c>
      <c r="E20" s="111">
        <v>45490</v>
      </c>
      <c r="F20" s="50">
        <v>1</v>
      </c>
      <c r="G20" s="209" cm="1">
        <f t="array" ref="G20">SUM(IF(I2:S2 = I24:S24, 1, 0))/ COUNTA(I2:S2)</f>
        <v>1</v>
      </c>
      <c r="H20" s="50" t="s">
        <v>3621</v>
      </c>
      <c r="I20" s="50"/>
      <c r="J20" s="50"/>
      <c r="K20" s="50"/>
      <c r="L20" s="50"/>
      <c r="M20" s="50"/>
      <c r="N20" s="50"/>
      <c r="O20" s="50"/>
      <c r="P20" s="50"/>
      <c r="Q20" s="50"/>
      <c r="R20" s="50"/>
      <c r="S20" s="50"/>
      <c r="T20" s="50"/>
      <c r="U20" s="50"/>
    </row>
    <row r="21" spans="2:21" x14ac:dyDescent="0.35">
      <c r="B21" s="50" t="s">
        <v>3610</v>
      </c>
      <c r="C21" s="50">
        <v>21</v>
      </c>
      <c r="D21" s="50" t="s">
        <v>4233</v>
      </c>
      <c r="E21" s="111">
        <v>45490</v>
      </c>
      <c r="F21" s="50">
        <v>1</v>
      </c>
      <c r="G21" s="209" cm="1">
        <f t="array" ref="G21">SUM(IF(IF(G3:G20="null",1,G3:G20)=1,1,0))/COUNT(IF(G3:G20="null",1,1))</f>
        <v>1</v>
      </c>
      <c r="H21" s="50" t="s">
        <v>3621</v>
      </c>
      <c r="I21" s="50"/>
      <c r="J21" s="50"/>
      <c r="K21" s="50"/>
      <c r="L21" s="50"/>
      <c r="M21" s="50"/>
      <c r="N21" s="50"/>
      <c r="O21" s="50"/>
      <c r="P21" s="50"/>
      <c r="Q21" s="50"/>
      <c r="R21" s="50"/>
      <c r="S21" s="50"/>
      <c r="T21" s="50"/>
      <c r="U21" s="50"/>
    </row>
    <row r="22" spans="2:21" x14ac:dyDescent="0.35">
      <c r="B22" s="50"/>
      <c r="C22" s="50"/>
      <c r="D22" s="50"/>
      <c r="E22" s="111"/>
      <c r="F22" s="50"/>
      <c r="G22" s="50"/>
      <c r="H22" s="50"/>
      <c r="I22" s="50"/>
      <c r="J22" s="50"/>
      <c r="K22" s="50"/>
      <c r="L22" s="50"/>
      <c r="M22" s="50"/>
      <c r="N22" s="50"/>
      <c r="O22" s="50"/>
      <c r="P22" s="50"/>
      <c r="Q22" s="50"/>
      <c r="R22" s="50"/>
      <c r="S22" s="50"/>
    </row>
    <row r="23" spans="2:21" x14ac:dyDescent="0.35">
      <c r="B23" s="146" t="s">
        <v>3727</v>
      </c>
    </row>
    <row r="24" spans="2:21" x14ac:dyDescent="0.35">
      <c r="B24" s="144" t="s">
        <v>3613</v>
      </c>
      <c r="C24" s="145" t="s">
        <v>3614</v>
      </c>
      <c r="D24" s="145" t="s">
        <v>3615</v>
      </c>
      <c r="E24" s="145" t="s">
        <v>3616</v>
      </c>
      <c r="F24" s="145" t="s">
        <v>3617</v>
      </c>
      <c r="G24" s="145" t="s">
        <v>3618</v>
      </c>
      <c r="H24" s="145" t="s">
        <v>3619</v>
      </c>
      <c r="I24" s="145" t="str" cm="1">
        <f t="array" ref="I24:U24">TRANSPOSE(_xlfn.SORTBY(_xlfn._xlws.FILTER(Table3[NOME FÍSICO CAMPO],Table3[NOME FÍSICO TABELA]="credit_card_account"), _xlfn._xlws.FILTER(Table3[ORDEM], Table3[NOME FÍSICO TABELA]="credit_card_account"), 1))</f>
        <v>bank_id</v>
      </c>
      <c r="J24" s="145" t="str">
        <v>card_account_id</v>
      </c>
      <c r="K24" s="145" t="str">
        <v>product_family_id</v>
      </c>
      <c r="L24" s="145" t="str">
        <v>product_id</v>
      </c>
      <c r="M24" s="145" t="str">
        <v>subproduct_id</v>
      </c>
      <c r="N24" s="145" t="str">
        <v>main_current_account_bank_id</v>
      </c>
      <c r="O24" s="145" t="str">
        <v>main_current_account_contract_id</v>
      </c>
      <c r="P24" s="145" t="str">
        <v>opening_date</v>
      </c>
      <c r="Q24" s="145" t="str">
        <v>current_maturity_date</v>
      </c>
      <c r="R24" s="145" t="str">
        <v>currency_code</v>
      </c>
      <c r="S24" s="145" t="str">
        <v>card_account_status_code</v>
      </c>
      <c r="T24" s="145" t="str">
        <v>data_date_part</v>
      </c>
      <c r="U24" s="145" t="str">
        <v>data_timestamp_part</v>
      </c>
    </row>
    <row r="25" spans="2:21" x14ac:dyDescent="0.35">
      <c r="B25" s="123" t="s">
        <v>3658</v>
      </c>
      <c r="C25" s="126">
        <v>21</v>
      </c>
      <c r="D25" s="120" t="s">
        <v>3659</v>
      </c>
      <c r="E25" s="119" t="s">
        <v>3660</v>
      </c>
      <c r="F25" s="119" t="s">
        <v>372</v>
      </c>
      <c r="G25" s="119" t="s">
        <v>372</v>
      </c>
      <c r="H25" s="119" t="s">
        <v>372</v>
      </c>
      <c r="I25" s="119" t="str" cm="1">
        <f t="array" ref="I25:U26">TRANSPOSE(_xlfn.SORTBY(_xlfn._xlws.FILTER(IF(Table3[FORMATO]:Table3[COMP_ CAMPO]&lt;&gt;"",Table3[FORMATO]:Table3[COMP_ CAMPO],9999999),Table3[NOME FÍSICO TABELA]="credit_card_account"), _xlfn._xlws.FILTER(Table3[ORDEM], Table3[NOME FÍSICO TABELA]="credit_card_account"), 1))</f>
        <v>STRING</v>
      </c>
      <c r="J25" s="119" t="str">
        <v>STRING</v>
      </c>
      <c r="K25" s="119" t="str">
        <v>STRING</v>
      </c>
      <c r="L25" s="119" t="str">
        <v>STRING</v>
      </c>
      <c r="M25" s="119" t="str">
        <v>STRING</v>
      </c>
      <c r="N25" s="119" t="str">
        <v>STRING</v>
      </c>
      <c r="O25" s="119" t="str">
        <v>STRING</v>
      </c>
      <c r="P25" s="119" t="str">
        <v>STRING</v>
      </c>
      <c r="Q25" s="119" t="str">
        <v>STRING</v>
      </c>
      <c r="R25" s="119" t="str">
        <v>STRING</v>
      </c>
      <c r="S25" s="119" t="str">
        <v>STRING</v>
      </c>
      <c r="T25" s="119" t="str">
        <v>STRING</v>
      </c>
      <c r="U25" s="119" t="str">
        <v>TIMESTAMP</v>
      </c>
    </row>
    <row r="26" spans="2:21" x14ac:dyDescent="0.35">
      <c r="B26" s="123" t="s">
        <v>3661</v>
      </c>
      <c r="C26" s="126">
        <v>7</v>
      </c>
      <c r="D26" s="120" t="s">
        <v>3659</v>
      </c>
      <c r="E26" s="119" t="s">
        <v>3660</v>
      </c>
      <c r="F26" s="121" t="s">
        <v>372</v>
      </c>
      <c r="G26" s="121" t="s">
        <v>372</v>
      </c>
      <c r="H26" s="121" t="s">
        <v>372</v>
      </c>
      <c r="I26" s="167">
        <v>4</v>
      </c>
      <c r="J26" s="167">
        <v>15</v>
      </c>
      <c r="K26" s="167">
        <v>4</v>
      </c>
      <c r="L26" s="167">
        <v>4</v>
      </c>
      <c r="M26" s="167">
        <v>4</v>
      </c>
      <c r="N26" s="167">
        <v>4</v>
      </c>
      <c r="O26" s="167">
        <v>30</v>
      </c>
      <c r="P26" s="167">
        <v>10</v>
      </c>
      <c r="Q26" s="167">
        <v>10</v>
      </c>
      <c r="R26" s="167">
        <v>4</v>
      </c>
      <c r="S26" s="167">
        <v>4</v>
      </c>
      <c r="T26" s="167">
        <v>10</v>
      </c>
      <c r="U26" s="167">
        <v>23</v>
      </c>
    </row>
    <row r="28" spans="2:21" x14ac:dyDescent="0.35">
      <c r="B28" s="156" t="s">
        <v>3662</v>
      </c>
    </row>
    <row r="29" spans="2:21" x14ac:dyDescent="0.35">
      <c r="B29" s="150" t="s">
        <v>3663</v>
      </c>
      <c r="C29" s="150" t="s">
        <v>3664</v>
      </c>
      <c r="D29" s="151" t="s">
        <v>3665</v>
      </c>
      <c r="E29" s="150" t="s">
        <v>3666</v>
      </c>
      <c r="F29" s="150" t="s">
        <v>3667</v>
      </c>
    </row>
    <row r="30" spans="2:21" x14ac:dyDescent="0.35">
      <c r="B30" s="134"/>
      <c r="C30" s="133"/>
      <c r="D30" s="139"/>
      <c r="E30" s="162"/>
      <c r="F30" s="15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B1:X30"/>
  <sheetViews>
    <sheetView showGridLines="0" topLeftCell="A25" workbookViewId="0">
      <selection activeCell="G18" sqref="G18"/>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4" width="30.7265625" bestFit="1" customWidth="1"/>
    <col min="15" max="15" width="39.54296875" bestFit="1" customWidth="1"/>
    <col min="16" max="17" width="30.7265625" bestFit="1" customWidth="1"/>
    <col min="18" max="18" width="28" bestFit="1" customWidth="1"/>
    <col min="19" max="19" width="30.7265625" bestFit="1" customWidth="1"/>
    <col min="20" max="20" width="33.26953125" bestFit="1" customWidth="1"/>
    <col min="21" max="21" width="20.453125" bestFit="1" customWidth="1"/>
    <col min="22" max="22" width="17.453125" bestFit="1" customWidth="1"/>
    <col min="23" max="23" width="26.81640625" bestFit="1" customWidth="1"/>
    <col min="24" max="24" width="25.1796875" customWidth="1"/>
  </cols>
  <sheetData>
    <row r="1" spans="2:23" ht="26.25" customHeight="1" x14ac:dyDescent="0.35"/>
    <row r="2" spans="2:23" x14ac:dyDescent="0.35">
      <c r="B2" s="91" t="s">
        <v>3613</v>
      </c>
      <c r="C2" s="91" t="s">
        <v>3614</v>
      </c>
      <c r="D2" s="91" t="s">
        <v>3615</v>
      </c>
      <c r="E2" s="91" t="s">
        <v>3616</v>
      </c>
      <c r="F2" s="91" t="s">
        <v>3617</v>
      </c>
      <c r="G2" s="91" t="s">
        <v>3618</v>
      </c>
      <c r="H2" s="91" t="s">
        <v>3619</v>
      </c>
      <c r="I2" s="145" t="s">
        <v>121</v>
      </c>
      <c r="J2" s="145" t="s">
        <v>137</v>
      </c>
      <c r="K2" s="145" t="s">
        <v>149</v>
      </c>
      <c r="L2" s="145" t="s">
        <v>156</v>
      </c>
      <c r="M2" s="145" t="s">
        <v>168</v>
      </c>
      <c r="N2" s="145" t="s">
        <v>177</v>
      </c>
      <c r="O2" s="145" t="s">
        <v>188</v>
      </c>
      <c r="P2" s="145" t="s">
        <v>199</v>
      </c>
      <c r="Q2" s="145" t="s">
        <v>211</v>
      </c>
      <c r="R2" s="145" t="s">
        <v>223</v>
      </c>
      <c r="S2" t="s">
        <v>294</v>
      </c>
      <c r="T2" t="s">
        <v>305</v>
      </c>
      <c r="U2" s="91" t="s">
        <v>318</v>
      </c>
      <c r="V2" s="91" t="s">
        <v>327</v>
      </c>
      <c r="W2" s="91" t="s">
        <v>334</v>
      </c>
    </row>
    <row r="3" spans="2:23" x14ac:dyDescent="0.35">
      <c r="B3" s="50" t="s">
        <v>3567</v>
      </c>
      <c r="C3" s="50">
        <v>1</v>
      </c>
      <c r="D3" s="50" t="s">
        <v>4234</v>
      </c>
      <c r="E3" s="111">
        <v>45492</v>
      </c>
      <c r="F3" s="50">
        <v>1</v>
      </c>
      <c r="G3" s="209">
        <v>1</v>
      </c>
      <c r="H3" s="207">
        <v>2843480</v>
      </c>
      <c r="I3" s="50" t="s">
        <v>3621</v>
      </c>
      <c r="J3" s="50" t="s">
        <v>3621</v>
      </c>
      <c r="K3" s="50" t="s">
        <v>3621</v>
      </c>
      <c r="L3" s="50" t="s">
        <v>3621</v>
      </c>
      <c r="M3" s="50" t="s">
        <v>3621</v>
      </c>
      <c r="N3" s="50" t="s">
        <v>3621</v>
      </c>
      <c r="O3" s="50" t="s">
        <v>3621</v>
      </c>
      <c r="P3" s="50" t="s">
        <v>3621</v>
      </c>
      <c r="Q3" s="50" t="s">
        <v>3621</v>
      </c>
      <c r="R3" s="50" t="s">
        <v>3621</v>
      </c>
      <c r="S3" s="50" t="s">
        <v>3621</v>
      </c>
      <c r="T3" s="50" t="s">
        <v>3621</v>
      </c>
      <c r="U3" s="50" t="s">
        <v>3621</v>
      </c>
      <c r="V3" s="50" t="s">
        <v>3621</v>
      </c>
      <c r="W3" s="50" t="s">
        <v>3621</v>
      </c>
    </row>
    <row r="4" spans="2:23" x14ac:dyDescent="0.35">
      <c r="B4" s="50" t="s">
        <v>3569</v>
      </c>
      <c r="C4" s="50">
        <v>2</v>
      </c>
      <c r="D4" s="50" t="s">
        <v>4235</v>
      </c>
      <c r="E4" s="111">
        <v>45492</v>
      </c>
      <c r="F4" s="50">
        <v>1</v>
      </c>
      <c r="G4" s="209">
        <v>1</v>
      </c>
      <c r="H4" s="50">
        <v>0</v>
      </c>
      <c r="I4" s="50" t="s">
        <v>3621</v>
      </c>
      <c r="J4" s="50" t="s">
        <v>3621</v>
      </c>
      <c r="K4" s="50" t="s">
        <v>3621</v>
      </c>
      <c r="L4" s="50" t="s">
        <v>3621</v>
      </c>
      <c r="M4" s="50" t="s">
        <v>3621</v>
      </c>
      <c r="N4" s="50" t="s">
        <v>3621</v>
      </c>
      <c r="O4" s="50" t="s">
        <v>3621</v>
      </c>
      <c r="P4" s="50" t="s">
        <v>3621</v>
      </c>
      <c r="Q4" s="50" t="s">
        <v>3621</v>
      </c>
      <c r="R4" s="50" t="s">
        <v>3621</v>
      </c>
      <c r="S4" s="50" t="s">
        <v>3621</v>
      </c>
      <c r="T4" s="50" t="s">
        <v>3621</v>
      </c>
      <c r="U4" s="50" t="s">
        <v>3621</v>
      </c>
      <c r="V4" s="50" t="s">
        <v>3621</v>
      </c>
      <c r="W4" s="50" t="s">
        <v>3621</v>
      </c>
    </row>
    <row r="5" spans="2:23" x14ac:dyDescent="0.35">
      <c r="B5" s="50" t="s">
        <v>3571</v>
      </c>
      <c r="C5" s="50">
        <v>3</v>
      </c>
      <c r="D5" s="50" t="s">
        <v>4236</v>
      </c>
      <c r="E5" s="111">
        <v>45492</v>
      </c>
      <c r="F5" s="50">
        <v>1</v>
      </c>
      <c r="G5" s="209">
        <v>1</v>
      </c>
      <c r="H5" s="50">
        <v>0</v>
      </c>
      <c r="I5" s="50">
        <v>0</v>
      </c>
      <c r="J5" s="50">
        <v>0</v>
      </c>
      <c r="K5" s="50" t="s">
        <v>3621</v>
      </c>
      <c r="L5" s="50" t="s">
        <v>3621</v>
      </c>
      <c r="M5" s="50" t="s">
        <v>3621</v>
      </c>
      <c r="N5" s="50" t="s">
        <v>3621</v>
      </c>
      <c r="O5" s="50" t="s">
        <v>3621</v>
      </c>
      <c r="P5" s="50" t="s">
        <v>3621</v>
      </c>
      <c r="Q5" s="50" t="s">
        <v>3621</v>
      </c>
      <c r="R5" s="50" t="s">
        <v>3621</v>
      </c>
      <c r="S5" s="50" t="s">
        <v>3621</v>
      </c>
      <c r="T5" s="50" t="s">
        <v>3621</v>
      </c>
      <c r="U5" s="50" t="s">
        <v>3621</v>
      </c>
      <c r="V5" s="50">
        <v>0</v>
      </c>
      <c r="W5" s="50" t="s">
        <v>3621</v>
      </c>
    </row>
    <row r="6" spans="2:23" x14ac:dyDescent="0.35">
      <c r="B6" s="113" t="s">
        <v>3573</v>
      </c>
      <c r="C6" s="50">
        <v>4</v>
      </c>
      <c r="D6" s="50" t="s">
        <v>3624</v>
      </c>
      <c r="E6" s="111" t="s">
        <v>3621</v>
      </c>
      <c r="F6" s="50">
        <v>1</v>
      </c>
      <c r="G6" s="50" t="s">
        <v>3621</v>
      </c>
      <c r="H6" s="50" t="s">
        <v>3621</v>
      </c>
      <c r="I6" s="50" t="s">
        <v>3621</v>
      </c>
      <c r="J6" s="50" t="s">
        <v>3621</v>
      </c>
      <c r="K6" s="50" t="s">
        <v>3621</v>
      </c>
      <c r="L6" s="50" t="s">
        <v>3621</v>
      </c>
      <c r="M6" s="50" t="s">
        <v>3621</v>
      </c>
      <c r="N6" s="50" t="s">
        <v>3621</v>
      </c>
      <c r="O6" s="50" t="s">
        <v>3621</v>
      </c>
      <c r="P6" s="50" t="s">
        <v>3621</v>
      </c>
      <c r="Q6" s="50" t="s">
        <v>3621</v>
      </c>
      <c r="R6" s="50" t="s">
        <v>3621</v>
      </c>
      <c r="S6" s="50" t="s">
        <v>3621</v>
      </c>
      <c r="T6" s="50" t="s">
        <v>3621</v>
      </c>
      <c r="U6" s="50" t="s">
        <v>3621</v>
      </c>
      <c r="V6" s="50" t="s">
        <v>3621</v>
      </c>
      <c r="W6" s="50" t="s">
        <v>3621</v>
      </c>
    </row>
    <row r="7" spans="2:23" x14ac:dyDescent="0.35">
      <c r="B7" s="50" t="s">
        <v>3575</v>
      </c>
      <c r="C7" s="50">
        <v>5</v>
      </c>
      <c r="D7" s="50" t="s">
        <v>3624</v>
      </c>
      <c r="E7" s="111" t="s">
        <v>3621</v>
      </c>
      <c r="F7" s="50">
        <v>1</v>
      </c>
      <c r="G7" s="50" t="s">
        <v>3621</v>
      </c>
      <c r="H7" s="50" t="s">
        <v>3621</v>
      </c>
      <c r="I7" s="50" t="s">
        <v>3621</v>
      </c>
      <c r="J7" s="50" t="s">
        <v>3621</v>
      </c>
      <c r="K7" s="50" t="s">
        <v>3621</v>
      </c>
      <c r="L7" s="50" t="s">
        <v>3621</v>
      </c>
      <c r="M7" s="50" t="s">
        <v>3621</v>
      </c>
      <c r="N7" s="50" t="s">
        <v>3621</v>
      </c>
      <c r="O7" s="50" t="s">
        <v>3621</v>
      </c>
      <c r="P7" s="50" t="s">
        <v>3621</v>
      </c>
      <c r="Q7" s="50" t="s">
        <v>3621</v>
      </c>
      <c r="R7" s="50" t="s">
        <v>3621</v>
      </c>
      <c r="S7" s="50" t="s">
        <v>3621</v>
      </c>
      <c r="T7" s="50" t="s">
        <v>3621</v>
      </c>
      <c r="U7" s="50" t="s">
        <v>3621</v>
      </c>
      <c r="V7" s="50" t="s">
        <v>3621</v>
      </c>
      <c r="W7" s="50" t="s">
        <v>3621</v>
      </c>
    </row>
    <row r="8" spans="2:23" x14ac:dyDescent="0.35">
      <c r="B8" s="113" t="s">
        <v>3576</v>
      </c>
      <c r="C8" s="50">
        <v>6</v>
      </c>
      <c r="D8" s="50" t="s">
        <v>4237</v>
      </c>
      <c r="E8" s="111">
        <v>45492</v>
      </c>
      <c r="F8" s="50">
        <v>1</v>
      </c>
      <c r="G8" s="209" cm="1">
        <f t="array" ref="G8">SUMPRODUCT(--(I8:U8&gt;0))/COUNTA(I8:U8)</f>
        <v>1</v>
      </c>
      <c r="H8" s="50">
        <v>0</v>
      </c>
      <c r="I8" s="50">
        <v>2</v>
      </c>
      <c r="J8" s="50">
        <v>15</v>
      </c>
      <c r="K8" s="50">
        <v>3</v>
      </c>
      <c r="L8" s="50">
        <v>3</v>
      </c>
      <c r="M8" s="50">
        <v>3</v>
      </c>
      <c r="N8" s="50">
        <v>2</v>
      </c>
      <c r="O8" s="50">
        <v>15</v>
      </c>
      <c r="P8" s="50">
        <v>10</v>
      </c>
      <c r="Q8" s="50">
        <v>10</v>
      </c>
      <c r="R8" s="50">
        <v>3</v>
      </c>
      <c r="S8" s="50">
        <v>3</v>
      </c>
      <c r="T8" s="50">
        <v>3</v>
      </c>
      <c r="U8" s="50">
        <v>2</v>
      </c>
      <c r="V8" s="50">
        <v>10</v>
      </c>
      <c r="W8" s="50">
        <v>23</v>
      </c>
    </row>
    <row r="9" spans="2:23" x14ac:dyDescent="0.35">
      <c r="B9" s="50" t="s">
        <v>3579</v>
      </c>
      <c r="C9" s="50">
        <v>7</v>
      </c>
      <c r="D9" s="50" t="s">
        <v>4238</v>
      </c>
      <c r="E9" s="111">
        <v>45492</v>
      </c>
      <c r="F9" s="50">
        <v>1</v>
      </c>
      <c r="G9" s="209" cm="1">
        <f t="array" ref="G9">SUMPRODUCT(--(I9:W9&lt;=I26:W26))/COUNTA(I26:W26)</f>
        <v>1</v>
      </c>
      <c r="H9" s="50">
        <v>0</v>
      </c>
      <c r="I9" s="50">
        <v>2</v>
      </c>
      <c r="J9" s="50">
        <v>15</v>
      </c>
      <c r="K9" s="50">
        <v>3</v>
      </c>
      <c r="L9" s="50">
        <v>3</v>
      </c>
      <c r="M9" s="50">
        <v>3</v>
      </c>
      <c r="N9" s="50">
        <v>2</v>
      </c>
      <c r="O9" s="50">
        <v>15</v>
      </c>
      <c r="P9" s="50">
        <v>10</v>
      </c>
      <c r="Q9" s="50">
        <v>10</v>
      </c>
      <c r="R9" s="50">
        <v>3</v>
      </c>
      <c r="S9" s="50">
        <v>3</v>
      </c>
      <c r="T9" s="50">
        <v>3</v>
      </c>
      <c r="U9" s="50">
        <v>2</v>
      </c>
      <c r="V9" s="50">
        <v>10</v>
      </c>
      <c r="W9" s="50">
        <v>23</v>
      </c>
    </row>
    <row r="10" spans="2:23" x14ac:dyDescent="0.35">
      <c r="B10" s="50" t="s">
        <v>3582</v>
      </c>
      <c r="C10" s="50">
        <v>8</v>
      </c>
      <c r="D10" s="50" t="s">
        <v>4239</v>
      </c>
      <c r="E10" s="111">
        <v>45492</v>
      </c>
      <c r="F10" s="50">
        <v>1</v>
      </c>
      <c r="G10" s="50" t="s">
        <v>3621</v>
      </c>
      <c r="H10" s="50">
        <v>0</v>
      </c>
      <c r="I10" s="50">
        <v>31</v>
      </c>
      <c r="J10" s="50">
        <v>1104388490010</v>
      </c>
      <c r="K10" s="50" t="s">
        <v>3699</v>
      </c>
      <c r="L10" s="50">
        <v>10</v>
      </c>
      <c r="M10" s="50">
        <v>10</v>
      </c>
      <c r="N10" s="50">
        <v>31</v>
      </c>
      <c r="O10" s="50">
        <v>0</v>
      </c>
      <c r="P10" s="111">
        <v>37403</v>
      </c>
      <c r="Q10" s="111">
        <v>2958465</v>
      </c>
      <c r="R10" s="111">
        <v>978</v>
      </c>
      <c r="S10" s="50" t="s">
        <v>3699</v>
      </c>
      <c r="T10" s="50" t="s">
        <v>3699</v>
      </c>
      <c r="U10" s="111" t="s">
        <v>3752</v>
      </c>
      <c r="V10" s="111">
        <v>45492</v>
      </c>
      <c r="W10" s="50" t="s">
        <v>4240</v>
      </c>
    </row>
    <row r="11" spans="2:23" x14ac:dyDescent="0.35">
      <c r="B11" s="50" t="s">
        <v>3584</v>
      </c>
      <c r="C11" s="50">
        <v>9</v>
      </c>
      <c r="D11" s="50" t="s">
        <v>4241</v>
      </c>
      <c r="E11" s="111">
        <v>45492</v>
      </c>
      <c r="F11" s="50">
        <v>1</v>
      </c>
      <c r="G11" s="50" t="s">
        <v>3621</v>
      </c>
      <c r="H11" s="50">
        <v>0</v>
      </c>
      <c r="I11" s="50">
        <v>31</v>
      </c>
      <c r="J11" s="50">
        <v>1104388490010</v>
      </c>
      <c r="K11" s="50">
        <v>31</v>
      </c>
      <c r="L11" s="50">
        <v>10</v>
      </c>
      <c r="M11" s="50">
        <v>10</v>
      </c>
      <c r="N11" s="111">
        <v>31</v>
      </c>
      <c r="O11" s="50">
        <v>0</v>
      </c>
      <c r="P11" s="111">
        <v>37403</v>
      </c>
      <c r="Q11" s="111">
        <v>2958465</v>
      </c>
      <c r="R11" s="111">
        <v>978</v>
      </c>
      <c r="S11" s="50">
        <v>0</v>
      </c>
      <c r="T11" s="50" t="s">
        <v>4242</v>
      </c>
      <c r="U11" s="111" t="s">
        <v>3752</v>
      </c>
      <c r="V11" s="111">
        <v>45492</v>
      </c>
      <c r="W11" s="50" t="s">
        <v>4243</v>
      </c>
    </row>
    <row r="12" spans="2:23" x14ac:dyDescent="0.35">
      <c r="B12" s="113" t="s">
        <v>3586</v>
      </c>
      <c r="C12" s="50">
        <v>10</v>
      </c>
      <c r="D12" s="50" t="s">
        <v>4244</v>
      </c>
      <c r="E12" s="111">
        <v>45492</v>
      </c>
      <c r="F12" s="50">
        <v>1</v>
      </c>
      <c r="G12" s="50" t="s">
        <v>3621</v>
      </c>
      <c r="H12" s="50">
        <v>0</v>
      </c>
      <c r="I12" s="50">
        <v>31</v>
      </c>
      <c r="J12" s="201">
        <v>5131680060010</v>
      </c>
      <c r="K12" s="50" t="s">
        <v>3699</v>
      </c>
      <c r="L12" s="50">
        <v>11</v>
      </c>
      <c r="M12" s="111" t="s">
        <v>4245</v>
      </c>
      <c r="N12" s="50">
        <v>31</v>
      </c>
      <c r="O12" s="114">
        <v>999999999999999</v>
      </c>
      <c r="P12" s="209">
        <v>45495</v>
      </c>
      <c r="Q12" s="111">
        <v>2958465</v>
      </c>
      <c r="R12" s="111">
        <v>978</v>
      </c>
      <c r="S12" s="50" t="s">
        <v>3699</v>
      </c>
      <c r="T12" s="50" t="s">
        <v>3699</v>
      </c>
      <c r="U12" s="111" t="s">
        <v>3752</v>
      </c>
      <c r="V12" s="111">
        <v>45492</v>
      </c>
      <c r="W12" s="50" t="s">
        <v>4240</v>
      </c>
    </row>
    <row r="13" spans="2:23" x14ac:dyDescent="0.35">
      <c r="B13" s="50" t="s">
        <v>3588</v>
      </c>
      <c r="C13" s="50">
        <v>11</v>
      </c>
      <c r="D13" s="50" t="s">
        <v>4246</v>
      </c>
      <c r="E13" s="111">
        <v>45492</v>
      </c>
      <c r="F13" s="50">
        <v>1</v>
      </c>
      <c r="G13" s="50" t="s">
        <v>3621</v>
      </c>
      <c r="H13" s="50">
        <v>0</v>
      </c>
      <c r="I13" s="50">
        <v>31</v>
      </c>
      <c r="J13" s="201">
        <v>5131680060010</v>
      </c>
      <c r="K13" s="50">
        <v>31</v>
      </c>
      <c r="L13" s="50">
        <v>11</v>
      </c>
      <c r="M13" s="111" t="s">
        <v>4245</v>
      </c>
      <c r="N13" s="111">
        <v>31</v>
      </c>
      <c r="O13" s="50">
        <v>999999999999999</v>
      </c>
      <c r="P13" s="111">
        <v>45495</v>
      </c>
      <c r="Q13" s="111">
        <v>2958465</v>
      </c>
      <c r="R13" s="111">
        <v>978</v>
      </c>
      <c r="S13" s="50">
        <v>0</v>
      </c>
      <c r="T13" s="50" t="s">
        <v>4247</v>
      </c>
      <c r="U13" s="111" t="s">
        <v>3752</v>
      </c>
      <c r="V13" s="111">
        <v>45492</v>
      </c>
      <c r="W13" s="50" t="s">
        <v>4248</v>
      </c>
    </row>
    <row r="14" spans="2:23" x14ac:dyDescent="0.35">
      <c r="B14" s="50" t="s">
        <v>3590</v>
      </c>
      <c r="C14" s="50">
        <v>12</v>
      </c>
      <c r="D14" s="50" t="s">
        <v>4249</v>
      </c>
      <c r="E14" s="111">
        <v>45492</v>
      </c>
      <c r="F14" s="50">
        <v>1</v>
      </c>
      <c r="G14" s="209">
        <v>0.9375</v>
      </c>
      <c r="H14" s="50">
        <v>0</v>
      </c>
      <c r="I14" s="50">
        <v>0</v>
      </c>
      <c r="J14" s="50">
        <v>0</v>
      </c>
      <c r="K14" s="50">
        <v>0</v>
      </c>
      <c r="L14" s="50">
        <v>0</v>
      </c>
      <c r="M14" s="50">
        <v>0</v>
      </c>
      <c r="N14" s="50">
        <v>0</v>
      </c>
      <c r="O14" s="50">
        <v>0</v>
      </c>
      <c r="P14" s="50">
        <v>0</v>
      </c>
      <c r="Q14" s="50">
        <v>0</v>
      </c>
      <c r="R14" s="50">
        <v>0</v>
      </c>
      <c r="S14" s="50">
        <v>0</v>
      </c>
      <c r="T14" s="50">
        <v>2843450</v>
      </c>
      <c r="U14" s="50">
        <v>0</v>
      </c>
      <c r="V14" s="50">
        <v>0</v>
      </c>
      <c r="W14" s="50">
        <v>0</v>
      </c>
    </row>
    <row r="15" spans="2:23" x14ac:dyDescent="0.35">
      <c r="B15" s="50" t="s">
        <v>3592</v>
      </c>
      <c r="C15" s="50">
        <v>13</v>
      </c>
      <c r="D15" s="50" t="s">
        <v>4250</v>
      </c>
      <c r="E15" s="111">
        <v>45492</v>
      </c>
      <c r="F15" s="50">
        <v>1</v>
      </c>
      <c r="G15" s="209">
        <v>1</v>
      </c>
      <c r="H15" s="50">
        <v>0</v>
      </c>
      <c r="I15" s="50" t="s">
        <v>3621</v>
      </c>
      <c r="J15" s="50" t="s">
        <v>3621</v>
      </c>
      <c r="K15" s="50" t="s">
        <v>3621</v>
      </c>
      <c r="L15" s="50" t="s">
        <v>3621</v>
      </c>
      <c r="M15" s="50" t="s">
        <v>3621</v>
      </c>
      <c r="N15" s="50" t="s">
        <v>3621</v>
      </c>
      <c r="O15" s="50" t="s">
        <v>3621</v>
      </c>
      <c r="P15" s="50">
        <v>0</v>
      </c>
      <c r="Q15" s="50">
        <v>0</v>
      </c>
      <c r="R15" s="50" t="s">
        <v>3621</v>
      </c>
      <c r="S15" s="50" t="s">
        <v>3621</v>
      </c>
      <c r="T15" s="50" t="s">
        <v>3621</v>
      </c>
      <c r="U15" s="50" t="s">
        <v>3621</v>
      </c>
      <c r="V15" s="50" t="s">
        <v>3621</v>
      </c>
      <c r="W15" s="50" t="s">
        <v>3621</v>
      </c>
    </row>
    <row r="16" spans="2:23" x14ac:dyDescent="0.35">
      <c r="B16" s="50" t="s">
        <v>3594</v>
      </c>
      <c r="C16" s="50">
        <v>14</v>
      </c>
      <c r="D16" s="50" t="s">
        <v>4251</v>
      </c>
      <c r="E16" s="111">
        <v>45492</v>
      </c>
      <c r="F16" s="50">
        <v>1</v>
      </c>
      <c r="G16" s="209">
        <v>1</v>
      </c>
      <c r="H16" s="50">
        <v>0</v>
      </c>
      <c r="I16" s="50">
        <v>0</v>
      </c>
      <c r="J16" s="50">
        <v>0</v>
      </c>
      <c r="K16" s="50">
        <v>0</v>
      </c>
      <c r="L16" s="50">
        <v>0</v>
      </c>
      <c r="M16" s="50">
        <v>0</v>
      </c>
      <c r="N16" s="50">
        <v>0</v>
      </c>
      <c r="O16" s="50">
        <v>0</v>
      </c>
      <c r="P16" s="50" t="s">
        <v>3621</v>
      </c>
      <c r="Q16" s="50" t="s">
        <v>3621</v>
      </c>
      <c r="R16" s="50">
        <v>0</v>
      </c>
      <c r="S16" s="50">
        <v>0</v>
      </c>
      <c r="T16" s="50">
        <v>0</v>
      </c>
      <c r="U16" s="50">
        <v>0</v>
      </c>
      <c r="V16" s="50" t="s">
        <v>3621</v>
      </c>
      <c r="W16" s="50" t="s">
        <v>3621</v>
      </c>
    </row>
    <row r="17" spans="2:24" x14ac:dyDescent="0.35">
      <c r="B17" s="50" t="s">
        <v>3596</v>
      </c>
      <c r="C17" s="50">
        <v>15</v>
      </c>
      <c r="D17" s="50" t="s">
        <v>4252</v>
      </c>
      <c r="E17" s="111">
        <v>45492</v>
      </c>
      <c r="F17" s="50">
        <v>1</v>
      </c>
      <c r="G17" s="209">
        <v>1</v>
      </c>
      <c r="H17" s="50">
        <v>0</v>
      </c>
      <c r="I17" s="50" t="s">
        <v>3621</v>
      </c>
      <c r="J17" s="50" t="s">
        <v>3621</v>
      </c>
      <c r="K17" s="50" t="s">
        <v>3621</v>
      </c>
      <c r="L17" s="50" t="s">
        <v>3621</v>
      </c>
      <c r="M17" s="50" t="s">
        <v>3621</v>
      </c>
      <c r="N17" s="50" t="s">
        <v>3621</v>
      </c>
      <c r="O17" s="50" t="s">
        <v>3621</v>
      </c>
      <c r="P17" s="50" t="s">
        <v>3621</v>
      </c>
      <c r="Q17" s="50" t="s">
        <v>3621</v>
      </c>
      <c r="R17" s="50" t="s">
        <v>3621</v>
      </c>
      <c r="S17" s="50" t="s">
        <v>3621</v>
      </c>
      <c r="T17" s="50" t="s">
        <v>3621</v>
      </c>
      <c r="U17" s="50" t="s">
        <v>3621</v>
      </c>
      <c r="V17" s="50" t="s">
        <v>3621</v>
      </c>
      <c r="W17" s="50" t="s">
        <v>3621</v>
      </c>
    </row>
    <row r="18" spans="2:24" x14ac:dyDescent="0.35">
      <c r="B18" s="50" t="s">
        <v>3598</v>
      </c>
      <c r="C18" s="50">
        <v>16</v>
      </c>
      <c r="D18" s="50" t="s">
        <v>4252</v>
      </c>
      <c r="E18" s="111">
        <v>45492</v>
      </c>
      <c r="F18" s="50">
        <v>1</v>
      </c>
      <c r="G18" s="209">
        <v>1</v>
      </c>
      <c r="H18" s="50">
        <v>0</v>
      </c>
      <c r="I18" s="50" t="s">
        <v>3621</v>
      </c>
      <c r="J18" s="50" t="s">
        <v>3621</v>
      </c>
      <c r="K18" s="50" t="s">
        <v>3621</v>
      </c>
      <c r="L18" s="50" t="s">
        <v>3621</v>
      </c>
      <c r="M18" s="50" t="s">
        <v>3621</v>
      </c>
      <c r="N18" s="50" t="s">
        <v>3621</v>
      </c>
      <c r="O18" s="50" t="s">
        <v>3621</v>
      </c>
      <c r="P18" s="50" t="s">
        <v>3621</v>
      </c>
      <c r="Q18" s="50" t="s">
        <v>3621</v>
      </c>
      <c r="R18" s="50" t="s">
        <v>3621</v>
      </c>
      <c r="S18" s="50" t="s">
        <v>3621</v>
      </c>
      <c r="T18" s="50" t="s">
        <v>3621</v>
      </c>
      <c r="U18" s="50" t="s">
        <v>3621</v>
      </c>
      <c r="V18" s="50" t="s">
        <v>3621</v>
      </c>
      <c r="W18" s="50" t="s">
        <v>3621</v>
      </c>
    </row>
    <row r="19" spans="2:24" x14ac:dyDescent="0.35">
      <c r="B19" s="50" t="s">
        <v>3604</v>
      </c>
      <c r="C19" s="50">
        <v>19</v>
      </c>
      <c r="D19" s="50" t="s">
        <v>4253</v>
      </c>
      <c r="E19" s="111">
        <v>45492</v>
      </c>
      <c r="F19" s="50">
        <v>1</v>
      </c>
      <c r="G19" s="209" cm="1">
        <f t="array" ref="G19">SUM(IF(I2:V2 = I24:V24, 1, 0))/ COUNTA(I2:V2)</f>
        <v>1</v>
      </c>
      <c r="H19" s="50" t="s">
        <v>3621</v>
      </c>
      <c r="I19" s="50" t="s">
        <v>3655</v>
      </c>
      <c r="J19" s="50" t="s">
        <v>3655</v>
      </c>
      <c r="K19" s="50" t="s">
        <v>3655</v>
      </c>
      <c r="L19" s="50" t="s">
        <v>3655</v>
      </c>
      <c r="M19" s="50" t="s">
        <v>3655</v>
      </c>
      <c r="N19" s="50" t="s">
        <v>3655</v>
      </c>
      <c r="O19" s="50" t="s">
        <v>3655</v>
      </c>
      <c r="P19" s="50" t="s">
        <v>3655</v>
      </c>
      <c r="Q19" s="50" t="s">
        <v>3655</v>
      </c>
      <c r="R19" s="50" t="s">
        <v>3655</v>
      </c>
      <c r="S19" s="50" t="s">
        <v>3655</v>
      </c>
      <c r="T19" s="50" t="s">
        <v>3655</v>
      </c>
      <c r="U19" s="50" t="s">
        <v>3655</v>
      </c>
      <c r="V19" s="50" t="s">
        <v>3655</v>
      </c>
      <c r="W19" s="50" t="s">
        <v>3657</v>
      </c>
    </row>
    <row r="20" spans="2:24" x14ac:dyDescent="0.35">
      <c r="B20" s="50" t="s">
        <v>3607</v>
      </c>
      <c r="C20" s="50">
        <v>20</v>
      </c>
      <c r="D20" s="50" t="s">
        <v>4254</v>
      </c>
      <c r="E20" s="111">
        <v>45492</v>
      </c>
      <c r="F20" s="50">
        <v>1</v>
      </c>
      <c r="G20" s="209" cm="1">
        <f t="array" ref="G20">SUM(IF(I2:W2 = I24:W24, 1, 0))/ COUNTA(I2:W2)</f>
        <v>1</v>
      </c>
      <c r="H20" s="50" t="s">
        <v>3621</v>
      </c>
      <c r="I20" s="50"/>
      <c r="J20" s="50"/>
      <c r="K20" s="50"/>
      <c r="L20" s="50"/>
      <c r="M20" s="50"/>
      <c r="N20" s="50"/>
      <c r="O20" s="50"/>
      <c r="P20" s="50"/>
      <c r="Q20" s="50"/>
      <c r="R20" s="50"/>
      <c r="S20" s="50"/>
      <c r="T20" s="50"/>
      <c r="U20" s="50"/>
      <c r="V20" s="50"/>
      <c r="W20" s="50"/>
    </row>
    <row r="21" spans="2:24" x14ac:dyDescent="0.35">
      <c r="B21" s="50" t="s">
        <v>3610</v>
      </c>
      <c r="C21" s="50">
        <v>21</v>
      </c>
      <c r="D21" s="50" t="s">
        <v>4255</v>
      </c>
      <c r="E21" s="111">
        <v>45492</v>
      </c>
      <c r="F21" s="50">
        <v>1</v>
      </c>
      <c r="G21" s="209" cm="1">
        <f t="array" ref="G21">SUM(IF(IF(G3:G20="null",1,G3:G20)=1,1,0))/COUNT(IF(G3:G20="null",1,1))</f>
        <v>0.94444444444444442</v>
      </c>
      <c r="H21" s="50" t="s">
        <v>3621</v>
      </c>
      <c r="I21" s="50"/>
      <c r="J21" s="50"/>
      <c r="K21" s="50"/>
      <c r="L21" s="50"/>
      <c r="M21" s="50"/>
      <c r="N21" s="50"/>
      <c r="O21" s="50"/>
      <c r="P21" s="50"/>
      <c r="Q21" s="50"/>
      <c r="R21" s="50"/>
      <c r="S21" s="50"/>
      <c r="T21" s="50"/>
      <c r="U21" s="50"/>
      <c r="V21" s="50"/>
      <c r="W21" s="50"/>
    </row>
    <row r="22" spans="2:24" x14ac:dyDescent="0.35">
      <c r="B22" s="50"/>
      <c r="C22" s="50"/>
      <c r="D22" s="50"/>
      <c r="E22" s="111"/>
      <c r="F22" s="50"/>
      <c r="G22" s="50"/>
      <c r="H22" s="50"/>
      <c r="I22" s="50"/>
      <c r="J22" s="50"/>
      <c r="K22" s="50"/>
      <c r="L22" s="50"/>
      <c r="M22" s="50"/>
      <c r="N22" s="50"/>
      <c r="O22" s="50"/>
      <c r="P22" s="50"/>
      <c r="Q22" s="50"/>
      <c r="R22" s="50"/>
      <c r="S22" s="50"/>
    </row>
    <row r="23" spans="2:24" x14ac:dyDescent="0.35">
      <c r="B23" s="146" t="s">
        <v>3727</v>
      </c>
    </row>
    <row r="24" spans="2:24" x14ac:dyDescent="0.35">
      <c r="B24" s="144" t="s">
        <v>3613</v>
      </c>
      <c r="C24" s="145" t="s">
        <v>3614</v>
      </c>
      <c r="D24" s="145" t="s">
        <v>3615</v>
      </c>
      <c r="E24" s="145" t="s">
        <v>3616</v>
      </c>
      <c r="F24" s="145" t="s">
        <v>3617</v>
      </c>
      <c r="G24" s="145" t="s">
        <v>3618</v>
      </c>
      <c r="H24" s="145" t="s">
        <v>3619</v>
      </c>
      <c r="I24" s="145" t="str" cm="1">
        <f t="array" ref="I24:W24">TRANSPOSE(_xlfn.SORTBY(_xlfn._xlws.FILTER(Table3[NOME FÍSICO CAMPO],Table3[NOME FÍSICO TABELA]="prepaid_card_account"), _xlfn._xlws.FILTER(Table3[ORDEM], Table3[NOME FÍSICO TABELA]="prepaid_card_account"), 1))</f>
        <v>bank_id</v>
      </c>
      <c r="J24" s="145" t="str">
        <v>contract_id</v>
      </c>
      <c r="K24" s="145" t="str">
        <v>product_family_id</v>
      </c>
      <c r="L24" s="145" t="str">
        <v>product_id</v>
      </c>
      <c r="M24" s="145" t="str">
        <v>subproduct_id</v>
      </c>
      <c r="N24" s="145" t="str">
        <v>main_current_account_bank_id</v>
      </c>
      <c r="O24" s="145" t="str">
        <v>main_current_account_contract_id</v>
      </c>
      <c r="P24" s="145" t="str">
        <v>opening_date</v>
      </c>
      <c r="Q24" s="145" t="str">
        <v>current_maturity_date</v>
      </c>
      <c r="R24" s="145" t="str">
        <v>currency_code</v>
      </c>
      <c r="S24" s="145" t="str">
        <v>contract_status_code</v>
      </c>
      <c r="T24" s="145" t="str">
        <v>contract_opening_channel_code</v>
      </c>
      <c r="U24" s="145" t="str">
        <v>source_code</v>
      </c>
      <c r="V24" s="145" t="str">
        <v>data_date_part</v>
      </c>
      <c r="W24" s="142" t="str">
        <v>data_timestamp_part</v>
      </c>
      <c r="X24" s="233"/>
    </row>
    <row r="25" spans="2:24" x14ac:dyDescent="0.35">
      <c r="B25" s="123" t="s">
        <v>3658</v>
      </c>
      <c r="C25" s="126">
        <v>21</v>
      </c>
      <c r="D25" s="120" t="s">
        <v>3659</v>
      </c>
      <c r="E25" s="119" t="s">
        <v>3660</v>
      </c>
      <c r="F25" s="119" t="s">
        <v>372</v>
      </c>
      <c r="G25" s="119" t="s">
        <v>372</v>
      </c>
      <c r="H25" s="119" t="s">
        <v>372</v>
      </c>
      <c r="I25" s="119" t="str" cm="1">
        <f t="array" ref="I25:W26">TRANSPOSE(_xlfn.SORTBY(_xlfn._xlws.FILTER(IF(Table3[FORMATO]:Table3[COMP_ CAMPO]&lt;&gt;"",Table3[FORMATO]:Table3[COMP_ CAMPO],9999999),Table3[NOME FÍSICO TABELA]="prepaid_card_account"), _xlfn._xlws.FILTER(Table3[ORDEM], Table3[NOME FÍSICO TABELA]="prepaid_card_account"), 1))</f>
        <v>STRING</v>
      </c>
      <c r="J25" s="119" t="str">
        <v>STRING</v>
      </c>
      <c r="K25" s="119" t="str">
        <v>STRING</v>
      </c>
      <c r="L25" s="119" t="str">
        <v>STRING</v>
      </c>
      <c r="M25" s="119" t="str">
        <v>STRING</v>
      </c>
      <c r="N25" s="119" t="str">
        <v>STRING</v>
      </c>
      <c r="O25" s="119" t="str">
        <v>STRING</v>
      </c>
      <c r="P25" s="119" t="str">
        <v>STRING</v>
      </c>
      <c r="Q25" s="119" t="str">
        <v>STRING</v>
      </c>
      <c r="R25" s="119" t="str">
        <v>STRING</v>
      </c>
      <c r="S25" s="119" t="str">
        <v>STRING</v>
      </c>
      <c r="T25" s="119" t="str">
        <v>STRING</v>
      </c>
      <c r="U25" s="119" t="str">
        <v>STRING</v>
      </c>
      <c r="V25" s="119" t="str">
        <v>STRING</v>
      </c>
      <c r="W25" s="125" t="str">
        <v>TIMESTAMP</v>
      </c>
    </row>
    <row r="26" spans="2:24" x14ac:dyDescent="0.35">
      <c r="B26" s="123" t="s">
        <v>3661</v>
      </c>
      <c r="C26" s="126">
        <v>7</v>
      </c>
      <c r="D26" s="120" t="s">
        <v>3659</v>
      </c>
      <c r="E26" s="119" t="s">
        <v>3660</v>
      </c>
      <c r="F26" s="121" t="s">
        <v>372</v>
      </c>
      <c r="G26" s="121" t="s">
        <v>372</v>
      </c>
      <c r="H26" s="121" t="s">
        <v>372</v>
      </c>
      <c r="I26" s="167">
        <v>4</v>
      </c>
      <c r="J26" s="167">
        <v>15</v>
      </c>
      <c r="K26" s="167">
        <v>4</v>
      </c>
      <c r="L26" s="167">
        <v>4</v>
      </c>
      <c r="M26" s="167">
        <v>4</v>
      </c>
      <c r="N26" s="167">
        <v>4</v>
      </c>
      <c r="O26" s="167">
        <v>30</v>
      </c>
      <c r="P26" s="167">
        <v>10</v>
      </c>
      <c r="Q26" s="167">
        <v>10</v>
      </c>
      <c r="R26" s="167">
        <v>4</v>
      </c>
      <c r="S26" s="167">
        <v>4</v>
      </c>
      <c r="T26" s="167">
        <v>4</v>
      </c>
      <c r="U26" s="167">
        <v>2</v>
      </c>
      <c r="V26" s="167">
        <v>10</v>
      </c>
      <c r="W26" s="168">
        <v>23</v>
      </c>
      <c r="X26" s="109"/>
    </row>
    <row r="28" spans="2:24" x14ac:dyDescent="0.35">
      <c r="B28" s="156" t="s">
        <v>3662</v>
      </c>
    </row>
    <row r="29" spans="2:24" x14ac:dyDescent="0.35">
      <c r="B29" s="150" t="s">
        <v>3663</v>
      </c>
      <c r="C29" s="150" t="s">
        <v>3664</v>
      </c>
      <c r="D29" s="151" t="s">
        <v>3665</v>
      </c>
      <c r="E29" s="150" t="s">
        <v>3666</v>
      </c>
      <c r="F29" s="150" t="s">
        <v>3667</v>
      </c>
    </row>
    <row r="30" spans="2:24" ht="43.5" x14ac:dyDescent="0.35">
      <c r="B30" s="134" t="s">
        <v>3668</v>
      </c>
      <c r="C30" s="133" t="s">
        <v>305</v>
      </c>
      <c r="D30" s="139" t="s">
        <v>4256</v>
      </c>
      <c r="E30" s="162" t="s">
        <v>4257</v>
      </c>
      <c r="F30" s="152" t="s">
        <v>3674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B1:AY49"/>
  <sheetViews>
    <sheetView showGridLines="0" topLeftCell="A44" workbookViewId="0">
      <selection activeCell="A14" sqref="A14"/>
    </sheetView>
  </sheetViews>
  <sheetFormatPr defaultRowHeight="14.5" x14ac:dyDescent="0.35"/>
  <cols>
    <col min="2" max="2" width="30.7265625" bestFit="1" customWidth="1"/>
    <col min="3" max="3" width="35" customWidth="1"/>
    <col min="4" max="4" width="48.453125" customWidth="1"/>
    <col min="5" max="5" width="30.453125" bestFit="1" customWidth="1"/>
    <col min="6" max="6" width="20.26953125" customWidth="1"/>
    <col min="7" max="7" width="16.1796875" customWidth="1"/>
    <col min="8" max="8" width="16.453125" bestFit="1" customWidth="1"/>
    <col min="9" max="9" width="18.453125" bestFit="1" customWidth="1"/>
    <col min="10" max="10" width="32.26953125" bestFit="1" customWidth="1"/>
    <col min="11" max="11" width="30.7265625" bestFit="1" customWidth="1"/>
    <col min="12" max="12" width="24.453125" bestFit="1" customWidth="1"/>
    <col min="13" max="13" width="27.7265625" bestFit="1" customWidth="1"/>
    <col min="14" max="14" width="30.7265625" bestFit="1" customWidth="1"/>
    <col min="15" max="15" width="39.54296875" bestFit="1" customWidth="1"/>
    <col min="16" max="17" width="30.7265625" bestFit="1" customWidth="1"/>
    <col min="18" max="18" width="28" bestFit="1" customWidth="1"/>
    <col min="19" max="19" width="30.7265625" bestFit="1" customWidth="1"/>
    <col min="20" max="20" width="23.453125" customWidth="1"/>
    <col min="21" max="21" width="31.54296875" customWidth="1"/>
    <col min="22" max="22" width="33.1796875" customWidth="1"/>
    <col min="23" max="23" width="25.453125" customWidth="1"/>
    <col min="24" max="24" width="26.26953125" customWidth="1"/>
    <col min="25" max="25" width="30.81640625" customWidth="1"/>
    <col min="26" max="26" width="31.54296875" customWidth="1"/>
    <col min="27" max="27" width="24.1796875" customWidth="1"/>
    <col min="28" max="28" width="20" customWidth="1"/>
    <col min="29" max="29" width="29.1796875" customWidth="1"/>
    <col min="30" max="30" width="19.1796875" customWidth="1"/>
    <col min="31" max="31" width="21" customWidth="1"/>
    <col min="32" max="32" width="30.54296875" customWidth="1"/>
    <col min="33" max="33" width="31.453125" bestFit="1" customWidth="1"/>
    <col min="34" max="34" width="27.1796875" customWidth="1"/>
    <col min="35" max="35" width="31.81640625" customWidth="1"/>
    <col min="36" max="36" width="32.54296875" customWidth="1"/>
    <col min="37" max="37" width="30.1796875" customWidth="1"/>
    <col min="38" max="38" width="21.81640625" customWidth="1"/>
    <col min="39" max="39" width="40.26953125" customWidth="1"/>
    <col min="40" max="40" width="28.54296875" customWidth="1"/>
    <col min="41" max="41" width="35.1796875" customWidth="1"/>
    <col min="42" max="42" width="27.81640625" customWidth="1"/>
    <col min="43" max="43" width="23.453125" customWidth="1"/>
    <col min="44" max="44" width="30.7265625" customWidth="1"/>
    <col min="45" max="45" width="30.1796875" customWidth="1"/>
    <col min="46" max="46" width="30.7265625" customWidth="1"/>
    <col min="47" max="47" width="32.54296875" customWidth="1"/>
    <col min="48" max="48" width="26.26953125" customWidth="1"/>
    <col min="49" max="49" width="14.1796875" customWidth="1"/>
    <col min="50" max="50" width="11.81640625" customWidth="1"/>
    <col min="51" max="51" width="35.1796875" customWidth="1"/>
  </cols>
  <sheetData>
    <row r="1" spans="2:51" ht="26.25" customHeight="1" x14ac:dyDescent="0.35"/>
    <row r="2" spans="2:51" x14ac:dyDescent="0.35">
      <c r="B2" s="91" t="s">
        <v>3613</v>
      </c>
      <c r="C2" s="91" t="s">
        <v>3614</v>
      </c>
      <c r="D2" s="91" t="s">
        <v>3615</v>
      </c>
      <c r="E2" s="91" t="s">
        <v>3616</v>
      </c>
      <c r="F2" s="91" t="s">
        <v>3617</v>
      </c>
      <c r="G2" s="91" t="s">
        <v>3618</v>
      </c>
      <c r="H2" s="91" t="s">
        <v>3619</v>
      </c>
      <c r="I2" s="91" t="s">
        <v>121</v>
      </c>
      <c r="J2" s="91" t="s">
        <v>137</v>
      </c>
      <c r="K2" s="91" t="s">
        <v>149</v>
      </c>
      <c r="L2" s="91" t="s">
        <v>156</v>
      </c>
      <c r="M2" s="91" t="s">
        <v>168</v>
      </c>
      <c r="N2" s="91" t="s">
        <v>177</v>
      </c>
      <c r="O2" s="91" t="s">
        <v>188</v>
      </c>
      <c r="P2" s="91" t="s">
        <v>4153</v>
      </c>
      <c r="Q2" s="91" t="s">
        <v>4154</v>
      </c>
      <c r="R2" s="91" t="s">
        <v>199</v>
      </c>
      <c r="S2" s="91" t="s">
        <v>211</v>
      </c>
      <c r="T2" s="91" t="s">
        <v>223</v>
      </c>
      <c r="U2" s="91" t="s">
        <v>239</v>
      </c>
      <c r="V2" s="91" t="s">
        <v>1358</v>
      </c>
      <c r="W2" s="91" t="s">
        <v>1369</v>
      </c>
      <c r="X2" s="91" t="s">
        <v>1377</v>
      </c>
      <c r="Y2" s="91" t="s">
        <v>1384</v>
      </c>
      <c r="Z2" s="91" t="s">
        <v>248</v>
      </c>
      <c r="AA2" s="91" t="s">
        <v>261</v>
      </c>
      <c r="AB2" s="91" t="s">
        <v>880</v>
      </c>
      <c r="AC2" s="91" t="s">
        <v>1412</v>
      </c>
      <c r="AD2" s="91" t="s">
        <v>649</v>
      </c>
      <c r="AE2" s="91" t="s">
        <v>272</v>
      </c>
      <c r="AF2" s="91" t="s">
        <v>283</v>
      </c>
      <c r="AG2" s="91" t="s">
        <v>715</v>
      </c>
      <c r="AH2" s="91" t="s">
        <v>1449</v>
      </c>
      <c r="AI2" s="91" t="s">
        <v>1458</v>
      </c>
      <c r="AJ2" s="91" t="s">
        <v>1467</v>
      </c>
      <c r="AK2" s="91" t="s">
        <v>1473</v>
      </c>
      <c r="AL2" s="91" t="s">
        <v>1481</v>
      </c>
      <c r="AM2" s="91" t="s">
        <v>429</v>
      </c>
      <c r="AN2" s="91" t="s">
        <v>439</v>
      </c>
      <c r="AO2" s="91" t="s">
        <v>1501</v>
      </c>
      <c r="AP2" s="91" t="s">
        <v>1508</v>
      </c>
      <c r="AQ2" s="91" t="s">
        <v>1515</v>
      </c>
      <c r="AR2" s="91" t="s">
        <v>1522</v>
      </c>
      <c r="AS2" s="91" t="s">
        <v>785</v>
      </c>
      <c r="AT2" s="91" t="s">
        <v>1531</v>
      </c>
      <c r="AU2" s="91" t="s">
        <v>294</v>
      </c>
      <c r="AV2" s="91" t="s">
        <v>305</v>
      </c>
      <c r="AW2" s="91" t="s">
        <v>318</v>
      </c>
      <c r="AX2" s="91" t="s">
        <v>327</v>
      </c>
      <c r="AY2" s="91" t="s">
        <v>334</v>
      </c>
    </row>
    <row r="3" spans="2:51" x14ac:dyDescent="0.35">
      <c r="B3" s="50" t="s">
        <v>3567</v>
      </c>
      <c r="C3" s="50">
        <v>1</v>
      </c>
      <c r="D3" s="50" t="s">
        <v>4258</v>
      </c>
      <c r="E3" s="111">
        <v>45485</v>
      </c>
      <c r="F3" s="50">
        <v>2</v>
      </c>
      <c r="G3" s="225" t="s">
        <v>4259</v>
      </c>
      <c r="H3" s="198" t="s">
        <v>4260</v>
      </c>
      <c r="I3" s="50" t="s">
        <v>3621</v>
      </c>
      <c r="J3" s="50" t="s">
        <v>3621</v>
      </c>
      <c r="K3" s="50" t="s">
        <v>3621</v>
      </c>
      <c r="L3" s="50" t="s">
        <v>3621</v>
      </c>
      <c r="M3" s="50" t="s">
        <v>3621</v>
      </c>
      <c r="N3" s="50" t="s">
        <v>3621</v>
      </c>
      <c r="O3" s="50" t="s">
        <v>3621</v>
      </c>
      <c r="P3" s="50" t="s">
        <v>3621</v>
      </c>
      <c r="Q3" s="50" t="s">
        <v>3621</v>
      </c>
      <c r="R3" s="50" t="s">
        <v>3621</v>
      </c>
      <c r="S3" s="50" t="s">
        <v>3621</v>
      </c>
      <c r="T3" s="50" t="s">
        <v>3621</v>
      </c>
      <c r="U3" s="50" t="s">
        <v>3621</v>
      </c>
      <c r="V3" s="50" t="s">
        <v>3621</v>
      </c>
      <c r="W3" s="50" t="s">
        <v>3621</v>
      </c>
      <c r="X3" s="50" t="s">
        <v>3621</v>
      </c>
      <c r="Y3" s="50" t="s">
        <v>3621</v>
      </c>
      <c r="Z3" s="50" t="s">
        <v>3621</v>
      </c>
      <c r="AA3" s="50" t="s">
        <v>3621</v>
      </c>
      <c r="AB3" s="50" t="s">
        <v>3621</v>
      </c>
      <c r="AC3" s="50" t="s">
        <v>3621</v>
      </c>
      <c r="AD3" s="50" t="s">
        <v>3621</v>
      </c>
      <c r="AE3" s="50" t="s">
        <v>3621</v>
      </c>
      <c r="AF3" s="50" t="s">
        <v>3621</v>
      </c>
      <c r="AG3" s="50" t="s">
        <v>3621</v>
      </c>
      <c r="AH3" s="50" t="s">
        <v>3621</v>
      </c>
      <c r="AI3" s="50" t="s">
        <v>3621</v>
      </c>
      <c r="AJ3" s="50" t="s">
        <v>3621</v>
      </c>
      <c r="AK3" s="50" t="s">
        <v>3621</v>
      </c>
      <c r="AL3" s="50" t="s">
        <v>3621</v>
      </c>
      <c r="AM3" s="50" t="s">
        <v>3621</v>
      </c>
      <c r="AN3" s="50" t="s">
        <v>3621</v>
      </c>
      <c r="AO3" s="50" t="s">
        <v>3621</v>
      </c>
      <c r="AP3" s="50" t="s">
        <v>3621</v>
      </c>
      <c r="AQ3" s="50" t="s">
        <v>3621</v>
      </c>
      <c r="AR3" s="50" t="s">
        <v>3621</v>
      </c>
      <c r="AS3" s="50" t="s">
        <v>3621</v>
      </c>
      <c r="AT3" s="50" t="s">
        <v>3621</v>
      </c>
      <c r="AU3" s="50" t="s">
        <v>3621</v>
      </c>
      <c r="AV3" s="50" t="s">
        <v>3621</v>
      </c>
      <c r="AW3" s="50" t="s">
        <v>3621</v>
      </c>
      <c r="AX3" s="50" t="s">
        <v>3621</v>
      </c>
      <c r="AY3" s="50" t="s">
        <v>3621</v>
      </c>
    </row>
    <row r="4" spans="2:51" x14ac:dyDescent="0.35">
      <c r="B4" s="50" t="s">
        <v>3569</v>
      </c>
      <c r="C4" s="50">
        <v>2</v>
      </c>
      <c r="D4" s="50" t="s">
        <v>4261</v>
      </c>
      <c r="E4" s="111">
        <v>45485</v>
      </c>
      <c r="F4" s="50">
        <v>2</v>
      </c>
      <c r="G4" s="225">
        <v>1</v>
      </c>
      <c r="H4" s="50" t="s">
        <v>3630</v>
      </c>
      <c r="I4" s="50" t="s">
        <v>3621</v>
      </c>
      <c r="J4" s="50" t="s">
        <v>3621</v>
      </c>
      <c r="K4" s="50" t="s">
        <v>3621</v>
      </c>
      <c r="L4" s="50" t="s">
        <v>3621</v>
      </c>
      <c r="M4" s="50" t="s">
        <v>3621</v>
      </c>
      <c r="N4" s="50" t="s">
        <v>3621</v>
      </c>
      <c r="O4" s="50" t="s">
        <v>3621</v>
      </c>
      <c r="P4" s="50" t="s">
        <v>3621</v>
      </c>
      <c r="Q4" s="50" t="s">
        <v>3621</v>
      </c>
      <c r="R4" s="50" t="s">
        <v>3621</v>
      </c>
      <c r="S4" s="50" t="s">
        <v>3621</v>
      </c>
      <c r="T4" s="50" t="s">
        <v>3621</v>
      </c>
      <c r="U4" s="50" t="s">
        <v>3621</v>
      </c>
      <c r="V4" s="50" t="s">
        <v>3621</v>
      </c>
      <c r="W4" s="50" t="s">
        <v>3621</v>
      </c>
      <c r="X4" s="50" t="s">
        <v>3621</v>
      </c>
      <c r="Y4" s="50" t="s">
        <v>3621</v>
      </c>
      <c r="Z4" s="50" t="s">
        <v>3621</v>
      </c>
      <c r="AA4" s="50" t="s">
        <v>3621</v>
      </c>
      <c r="AB4" s="50" t="s">
        <v>3621</v>
      </c>
      <c r="AC4" s="50" t="s">
        <v>3621</v>
      </c>
      <c r="AD4" s="50" t="s">
        <v>3621</v>
      </c>
      <c r="AE4" s="50" t="s">
        <v>3621</v>
      </c>
      <c r="AF4" s="50" t="s">
        <v>3621</v>
      </c>
      <c r="AG4" s="50" t="s">
        <v>3621</v>
      </c>
      <c r="AH4" s="50" t="s">
        <v>3621</v>
      </c>
      <c r="AI4" s="50" t="s">
        <v>3621</v>
      </c>
      <c r="AJ4" s="50" t="s">
        <v>3621</v>
      </c>
      <c r="AK4" s="50" t="s">
        <v>3621</v>
      </c>
      <c r="AL4" s="50" t="s">
        <v>3621</v>
      </c>
      <c r="AM4" s="50" t="s">
        <v>3621</v>
      </c>
      <c r="AN4" s="50" t="s">
        <v>3621</v>
      </c>
      <c r="AO4" s="50" t="s">
        <v>3621</v>
      </c>
      <c r="AP4" s="50" t="s">
        <v>3621</v>
      </c>
      <c r="AQ4" s="50" t="s">
        <v>3621</v>
      </c>
      <c r="AR4" s="50" t="s">
        <v>3621</v>
      </c>
      <c r="AS4" s="50" t="s">
        <v>3621</v>
      </c>
      <c r="AT4" s="50" t="s">
        <v>3621</v>
      </c>
      <c r="AU4" s="50" t="s">
        <v>3621</v>
      </c>
      <c r="AV4" s="50" t="s">
        <v>3621</v>
      </c>
      <c r="AW4" s="50" t="s">
        <v>3621</v>
      </c>
      <c r="AX4" s="50" t="s">
        <v>3621</v>
      </c>
      <c r="AY4" s="50" t="s">
        <v>3621</v>
      </c>
    </row>
    <row r="5" spans="2:51" x14ac:dyDescent="0.35">
      <c r="B5" s="50" t="s">
        <v>3571</v>
      </c>
      <c r="C5" s="50">
        <v>3</v>
      </c>
      <c r="D5" s="50" t="s">
        <v>4262</v>
      </c>
      <c r="E5" s="111">
        <v>45485</v>
      </c>
      <c r="F5" s="50">
        <v>2</v>
      </c>
      <c r="G5" s="225">
        <v>1</v>
      </c>
      <c r="H5" s="50" t="s">
        <v>3630</v>
      </c>
      <c r="I5" s="50">
        <v>0</v>
      </c>
      <c r="J5" s="50">
        <v>0</v>
      </c>
      <c r="K5" s="50" t="s">
        <v>3621</v>
      </c>
      <c r="L5" s="50" t="s">
        <v>3621</v>
      </c>
      <c r="M5" s="50" t="s">
        <v>3621</v>
      </c>
      <c r="N5" s="50" t="s">
        <v>3621</v>
      </c>
      <c r="O5" s="50" t="s">
        <v>3621</v>
      </c>
      <c r="P5" s="50" t="s">
        <v>3621</v>
      </c>
      <c r="Q5" s="50" t="s">
        <v>3621</v>
      </c>
      <c r="R5" s="50" t="s">
        <v>3621</v>
      </c>
      <c r="S5" s="50" t="s">
        <v>3621</v>
      </c>
      <c r="T5" s="50" t="s">
        <v>3621</v>
      </c>
      <c r="U5" s="50" t="s">
        <v>3621</v>
      </c>
      <c r="V5" s="50" t="s">
        <v>3621</v>
      </c>
      <c r="W5" s="50" t="s">
        <v>3621</v>
      </c>
      <c r="X5" s="50" t="s">
        <v>3621</v>
      </c>
      <c r="Y5" s="50" t="s">
        <v>3621</v>
      </c>
      <c r="Z5" s="50" t="s">
        <v>3621</v>
      </c>
      <c r="AA5" s="50" t="s">
        <v>3621</v>
      </c>
      <c r="AB5" s="50" t="s">
        <v>3621</v>
      </c>
      <c r="AC5" s="50" t="s">
        <v>3621</v>
      </c>
      <c r="AD5" s="50" t="s">
        <v>3621</v>
      </c>
      <c r="AE5" s="50" t="s">
        <v>3621</v>
      </c>
      <c r="AF5" s="50" t="s">
        <v>3621</v>
      </c>
      <c r="AG5" s="50" t="s">
        <v>3621</v>
      </c>
      <c r="AH5" s="50" t="s">
        <v>3621</v>
      </c>
      <c r="AI5" s="50" t="s">
        <v>3621</v>
      </c>
      <c r="AJ5" s="50" t="s">
        <v>3621</v>
      </c>
      <c r="AK5" s="50" t="s">
        <v>3621</v>
      </c>
      <c r="AL5" s="50" t="s">
        <v>3621</v>
      </c>
      <c r="AM5" s="50" t="s">
        <v>3621</v>
      </c>
      <c r="AN5" s="50" t="s">
        <v>3621</v>
      </c>
      <c r="AO5" s="50" t="s">
        <v>3621</v>
      </c>
      <c r="AP5" s="50" t="s">
        <v>3621</v>
      </c>
      <c r="AQ5" s="50" t="s">
        <v>3621</v>
      </c>
      <c r="AR5" s="50" t="s">
        <v>3621</v>
      </c>
      <c r="AS5" s="50" t="s">
        <v>3621</v>
      </c>
      <c r="AT5" s="50" t="s">
        <v>3621</v>
      </c>
      <c r="AU5" s="50" t="s">
        <v>3621</v>
      </c>
      <c r="AV5" s="50" t="s">
        <v>3621</v>
      </c>
      <c r="AW5" s="50" t="s">
        <v>3621</v>
      </c>
      <c r="AX5" s="50">
        <v>0</v>
      </c>
      <c r="AY5" s="50" t="s">
        <v>3621</v>
      </c>
    </row>
    <row r="6" spans="2:51" x14ac:dyDescent="0.35">
      <c r="B6" s="113" t="s">
        <v>3573</v>
      </c>
      <c r="C6" s="50">
        <v>4</v>
      </c>
      <c r="D6" s="50" t="s">
        <v>3624</v>
      </c>
      <c r="E6" s="111" t="s">
        <v>3621</v>
      </c>
      <c r="F6" s="50">
        <v>2</v>
      </c>
      <c r="G6" s="111" t="s">
        <v>3621</v>
      </c>
      <c r="H6" s="50"/>
      <c r="I6" s="50" t="s">
        <v>3621</v>
      </c>
      <c r="J6" s="50" t="s">
        <v>3621</v>
      </c>
      <c r="K6" s="50" t="s">
        <v>3621</v>
      </c>
      <c r="L6" s="50" t="s">
        <v>3621</v>
      </c>
      <c r="M6" s="50" t="s">
        <v>3621</v>
      </c>
      <c r="N6" s="50" t="s">
        <v>3621</v>
      </c>
      <c r="O6" s="50" t="s">
        <v>3621</v>
      </c>
      <c r="P6" s="50" t="s">
        <v>3621</v>
      </c>
      <c r="Q6" s="50" t="s">
        <v>3621</v>
      </c>
      <c r="R6" s="50" t="s">
        <v>3621</v>
      </c>
      <c r="S6" s="50" t="s">
        <v>3621</v>
      </c>
      <c r="T6" s="50" t="s">
        <v>3621</v>
      </c>
      <c r="U6" s="50" t="s">
        <v>3621</v>
      </c>
      <c r="V6" s="50" t="s">
        <v>3621</v>
      </c>
      <c r="W6" s="50" t="s">
        <v>3621</v>
      </c>
      <c r="X6" s="50" t="s">
        <v>3621</v>
      </c>
      <c r="Y6" s="50" t="s">
        <v>3621</v>
      </c>
      <c r="Z6" s="50" t="s">
        <v>3621</v>
      </c>
      <c r="AA6" s="50" t="s">
        <v>3621</v>
      </c>
      <c r="AB6" s="50" t="s">
        <v>3621</v>
      </c>
      <c r="AC6" s="50" t="s">
        <v>3621</v>
      </c>
      <c r="AD6" s="50" t="s">
        <v>3621</v>
      </c>
      <c r="AE6" s="50" t="s">
        <v>3621</v>
      </c>
      <c r="AF6" s="50" t="s">
        <v>3621</v>
      </c>
      <c r="AG6" s="50" t="s">
        <v>3621</v>
      </c>
      <c r="AH6" s="50" t="s">
        <v>3621</v>
      </c>
      <c r="AI6" s="50" t="s">
        <v>3621</v>
      </c>
      <c r="AJ6" s="50" t="s">
        <v>3621</v>
      </c>
      <c r="AK6" s="50" t="s">
        <v>3621</v>
      </c>
      <c r="AL6" s="50" t="s">
        <v>3621</v>
      </c>
      <c r="AM6" s="50" t="s">
        <v>3621</v>
      </c>
      <c r="AN6" s="50" t="s">
        <v>3621</v>
      </c>
      <c r="AO6" s="50" t="s">
        <v>3621</v>
      </c>
      <c r="AP6" s="50" t="s">
        <v>3621</v>
      </c>
      <c r="AQ6" s="50" t="s">
        <v>3621</v>
      </c>
      <c r="AR6" s="50" t="s">
        <v>3621</v>
      </c>
      <c r="AS6" s="50" t="s">
        <v>3621</v>
      </c>
      <c r="AT6" s="50" t="s">
        <v>3621</v>
      </c>
      <c r="AU6" s="50" t="s">
        <v>3621</v>
      </c>
      <c r="AV6" s="50" t="s">
        <v>3621</v>
      </c>
      <c r="AW6" s="50" t="s">
        <v>3621</v>
      </c>
      <c r="AX6" s="50" t="s">
        <v>3621</v>
      </c>
      <c r="AY6" s="50" t="s">
        <v>3621</v>
      </c>
    </row>
    <row r="7" spans="2:51" x14ac:dyDescent="0.35">
      <c r="B7" s="50" t="s">
        <v>3575</v>
      </c>
      <c r="C7" s="50">
        <v>5</v>
      </c>
      <c r="D7" s="50" t="s">
        <v>3624</v>
      </c>
      <c r="E7" s="111" t="s">
        <v>3621</v>
      </c>
      <c r="F7" s="50">
        <v>2</v>
      </c>
      <c r="G7" s="111" t="s">
        <v>3621</v>
      </c>
      <c r="H7" s="50"/>
      <c r="I7" s="50" t="s">
        <v>3621</v>
      </c>
      <c r="J7" s="50" t="s">
        <v>3621</v>
      </c>
      <c r="K7" s="50" t="s">
        <v>3621</v>
      </c>
      <c r="L7" s="50" t="s">
        <v>3621</v>
      </c>
      <c r="M7" s="50" t="s">
        <v>3621</v>
      </c>
      <c r="N7" s="50" t="s">
        <v>3621</v>
      </c>
      <c r="O7" s="50" t="s">
        <v>3621</v>
      </c>
      <c r="P7" s="50" t="s">
        <v>3621</v>
      </c>
      <c r="Q7" s="50" t="s">
        <v>3621</v>
      </c>
      <c r="R7" s="50" t="s">
        <v>3621</v>
      </c>
      <c r="S7" s="50" t="s">
        <v>3621</v>
      </c>
      <c r="T7" s="50" t="s">
        <v>3621</v>
      </c>
      <c r="U7" s="50" t="s">
        <v>3621</v>
      </c>
      <c r="V7" s="50" t="s">
        <v>3621</v>
      </c>
      <c r="W7" s="50" t="s">
        <v>3621</v>
      </c>
      <c r="X7" s="50" t="s">
        <v>3621</v>
      </c>
      <c r="Y7" s="50" t="s">
        <v>3621</v>
      </c>
      <c r="Z7" s="50" t="s">
        <v>3621</v>
      </c>
      <c r="AA7" s="50" t="s">
        <v>3621</v>
      </c>
      <c r="AB7" s="50" t="s">
        <v>3621</v>
      </c>
      <c r="AC7" s="50" t="s">
        <v>3621</v>
      </c>
      <c r="AD7" s="50" t="s">
        <v>3621</v>
      </c>
      <c r="AE7" s="50" t="s">
        <v>3621</v>
      </c>
      <c r="AF7" s="50" t="s">
        <v>3621</v>
      </c>
      <c r="AG7" s="50" t="s">
        <v>3621</v>
      </c>
      <c r="AH7" s="50" t="s">
        <v>3621</v>
      </c>
      <c r="AI7" s="50" t="s">
        <v>3621</v>
      </c>
      <c r="AJ7" s="50" t="s">
        <v>3621</v>
      </c>
      <c r="AK7" s="50" t="s">
        <v>3621</v>
      </c>
      <c r="AL7" s="50" t="s">
        <v>3621</v>
      </c>
      <c r="AM7" s="50" t="s">
        <v>3621</v>
      </c>
      <c r="AN7" s="50" t="s">
        <v>3621</v>
      </c>
      <c r="AO7" s="50" t="s">
        <v>3621</v>
      </c>
      <c r="AP7" s="50" t="s">
        <v>3621</v>
      </c>
      <c r="AQ7" s="50" t="s">
        <v>3621</v>
      </c>
      <c r="AR7" s="50" t="s">
        <v>3621</v>
      </c>
      <c r="AS7" s="50" t="s">
        <v>3621</v>
      </c>
      <c r="AT7" s="50" t="s">
        <v>3621</v>
      </c>
      <c r="AU7" s="50" t="s">
        <v>3621</v>
      </c>
      <c r="AV7" s="50" t="s">
        <v>3621</v>
      </c>
      <c r="AW7" s="50" t="s">
        <v>3621</v>
      </c>
      <c r="AX7" s="50" t="s">
        <v>3621</v>
      </c>
      <c r="AY7" s="50" t="s">
        <v>3621</v>
      </c>
    </row>
    <row r="8" spans="2:51" x14ac:dyDescent="0.35">
      <c r="B8" s="113" t="s">
        <v>3576</v>
      </c>
      <c r="C8" s="50">
        <v>6</v>
      </c>
      <c r="D8" s="50" t="s">
        <v>4263</v>
      </c>
      <c r="E8" s="111">
        <v>45485</v>
      </c>
      <c r="F8" s="50">
        <v>2</v>
      </c>
      <c r="G8" s="225" cm="1">
        <f t="array" ref="G8">SUMPRODUCT(--(I8:AY8&gt;0))/COUNTA(I8:AY8)</f>
        <v>1</v>
      </c>
      <c r="H8" s="50" t="s">
        <v>3630</v>
      </c>
      <c r="I8" s="50">
        <v>2</v>
      </c>
      <c r="J8" s="50">
        <v>30</v>
      </c>
      <c r="K8" s="50">
        <v>3</v>
      </c>
      <c r="L8" s="50">
        <v>3</v>
      </c>
      <c r="M8" s="50">
        <v>3</v>
      </c>
      <c r="N8" s="50">
        <v>2</v>
      </c>
      <c r="O8" s="50">
        <v>4</v>
      </c>
      <c r="P8" s="50">
        <v>2</v>
      </c>
      <c r="Q8" s="50">
        <v>4</v>
      </c>
      <c r="R8" s="50">
        <v>10</v>
      </c>
      <c r="S8" s="50">
        <v>10</v>
      </c>
      <c r="T8" s="50">
        <v>3</v>
      </c>
      <c r="U8" s="50">
        <v>1</v>
      </c>
      <c r="V8" s="50">
        <v>1</v>
      </c>
      <c r="W8" s="50">
        <v>4</v>
      </c>
      <c r="X8" s="50">
        <v>4</v>
      </c>
      <c r="Y8" s="50">
        <v>1</v>
      </c>
      <c r="Z8" s="50">
        <v>8</v>
      </c>
      <c r="AA8" s="50">
        <v>8</v>
      </c>
      <c r="AB8" s="50">
        <v>8</v>
      </c>
      <c r="AC8" s="50">
        <v>8</v>
      </c>
      <c r="AD8" s="50">
        <v>8</v>
      </c>
      <c r="AE8" s="50">
        <v>8</v>
      </c>
      <c r="AF8" s="50">
        <v>8</v>
      </c>
      <c r="AG8" s="50">
        <v>4</v>
      </c>
      <c r="AH8" s="50">
        <v>4</v>
      </c>
      <c r="AI8" s="50">
        <v>4</v>
      </c>
      <c r="AJ8" s="50">
        <v>4</v>
      </c>
      <c r="AK8" s="50">
        <v>4</v>
      </c>
      <c r="AL8" s="50">
        <v>4</v>
      </c>
      <c r="AM8" s="50">
        <v>4</v>
      </c>
      <c r="AN8" s="50">
        <v>4</v>
      </c>
      <c r="AO8" s="50">
        <v>1</v>
      </c>
      <c r="AP8" s="50">
        <v>3</v>
      </c>
      <c r="AQ8" s="50">
        <v>8</v>
      </c>
      <c r="AR8" s="50">
        <v>3</v>
      </c>
      <c r="AS8" s="50">
        <v>8</v>
      </c>
      <c r="AT8" s="50">
        <v>1</v>
      </c>
      <c r="AU8" s="50">
        <v>3</v>
      </c>
      <c r="AV8" s="50">
        <v>3</v>
      </c>
      <c r="AW8" s="50">
        <v>2</v>
      </c>
      <c r="AX8" s="50">
        <v>10</v>
      </c>
      <c r="AY8" s="50">
        <v>23</v>
      </c>
    </row>
    <row r="9" spans="2:51" x14ac:dyDescent="0.35">
      <c r="B9" s="50" t="s">
        <v>3579</v>
      </c>
      <c r="C9" s="50">
        <v>7</v>
      </c>
      <c r="D9" s="50" t="s">
        <v>4264</v>
      </c>
      <c r="E9" s="111">
        <v>45485</v>
      </c>
      <c r="F9" s="50">
        <v>2</v>
      </c>
      <c r="G9" s="225" t="e" cm="1">
        <f t="array" ref="G9">SUMPRODUCT(--(I9:AY9&lt;=I26:AY26))/COUNTA(I26:AY26)</f>
        <v>#DIV/0!</v>
      </c>
      <c r="H9" s="50" t="s">
        <v>3630</v>
      </c>
      <c r="I9" s="50">
        <v>2</v>
      </c>
      <c r="J9" s="50">
        <v>30</v>
      </c>
      <c r="K9" s="50">
        <v>3</v>
      </c>
      <c r="L9" s="50">
        <v>3</v>
      </c>
      <c r="M9" s="50">
        <v>3</v>
      </c>
      <c r="N9" s="50">
        <v>4</v>
      </c>
      <c r="O9" s="50">
        <v>30</v>
      </c>
      <c r="P9" s="50">
        <v>4</v>
      </c>
      <c r="Q9" s="50">
        <v>15</v>
      </c>
      <c r="R9" s="50">
        <v>10</v>
      </c>
      <c r="S9" s="50">
        <v>10</v>
      </c>
      <c r="T9" s="50">
        <v>3</v>
      </c>
      <c r="U9" s="50">
        <v>1</v>
      </c>
      <c r="V9" s="50">
        <v>4</v>
      </c>
      <c r="W9" s="50">
        <v>11</v>
      </c>
      <c r="X9" s="50">
        <v>10</v>
      </c>
      <c r="Y9" s="50">
        <v>4</v>
      </c>
      <c r="Z9" s="50">
        <v>13</v>
      </c>
      <c r="AA9" s="50">
        <v>13</v>
      </c>
      <c r="AB9" s="50">
        <v>13</v>
      </c>
      <c r="AC9" s="50">
        <v>12</v>
      </c>
      <c r="AD9" s="50">
        <v>11</v>
      </c>
      <c r="AE9" s="50">
        <v>12</v>
      </c>
      <c r="AF9" s="50">
        <v>12</v>
      </c>
      <c r="AG9" s="50">
        <v>4</v>
      </c>
      <c r="AH9" s="50">
        <v>11</v>
      </c>
      <c r="AI9" s="50">
        <v>10</v>
      </c>
      <c r="AJ9" s="50">
        <v>11</v>
      </c>
      <c r="AK9" s="50">
        <v>10</v>
      </c>
      <c r="AL9" s="50">
        <v>12</v>
      </c>
      <c r="AM9" s="50">
        <v>10</v>
      </c>
      <c r="AN9" s="50">
        <v>12</v>
      </c>
      <c r="AO9" s="50">
        <v>4</v>
      </c>
      <c r="AP9" s="50">
        <v>3</v>
      </c>
      <c r="AQ9" s="50">
        <v>9</v>
      </c>
      <c r="AR9" s="50">
        <v>3</v>
      </c>
      <c r="AS9" s="50">
        <v>9</v>
      </c>
      <c r="AT9" s="50">
        <v>1</v>
      </c>
      <c r="AU9" s="50">
        <v>3</v>
      </c>
      <c r="AV9" s="50">
        <v>3</v>
      </c>
      <c r="AW9" s="50">
        <v>2</v>
      </c>
      <c r="AX9" s="50">
        <v>10</v>
      </c>
      <c r="AY9" s="50">
        <v>23</v>
      </c>
    </row>
    <row r="10" spans="2:51" x14ac:dyDescent="0.35">
      <c r="B10" s="50" t="s">
        <v>3582</v>
      </c>
      <c r="C10" s="50">
        <v>8</v>
      </c>
      <c r="D10" s="50" t="s">
        <v>4265</v>
      </c>
      <c r="E10" s="111">
        <v>45485</v>
      </c>
      <c r="F10" s="50">
        <v>2</v>
      </c>
      <c r="G10" s="111" t="s">
        <v>3621</v>
      </c>
      <c r="H10" s="50" t="s">
        <v>3630</v>
      </c>
      <c r="I10" s="50">
        <v>31</v>
      </c>
      <c r="J10" s="50">
        <v>3.1101216902910999E+26</v>
      </c>
      <c r="K10" s="50" t="s">
        <v>4266</v>
      </c>
      <c r="L10" s="50">
        <v>11</v>
      </c>
      <c r="M10" s="50" t="s">
        <v>4221</v>
      </c>
      <c r="N10" s="111" t="e">
        <v>#N/A</v>
      </c>
      <c r="O10" s="50" t="e">
        <v>#N/A</v>
      </c>
      <c r="P10" s="111" t="e">
        <v>#N/A</v>
      </c>
      <c r="Q10" s="111" t="e">
        <v>#N/A</v>
      </c>
      <c r="R10" s="111">
        <v>35711</v>
      </c>
      <c r="S10" s="114">
        <v>39366</v>
      </c>
      <c r="T10" s="50">
        <v>978</v>
      </c>
      <c r="U10" s="50">
        <v>0</v>
      </c>
      <c r="V10" s="50" t="e">
        <v>#N/A</v>
      </c>
      <c r="W10" s="50" t="e">
        <v>#N/A</v>
      </c>
      <c r="X10" s="50" t="e">
        <v>#N/A</v>
      </c>
      <c r="Y10" s="50" t="e">
        <v>#N/A</v>
      </c>
      <c r="Z10" s="50" t="s">
        <v>3630</v>
      </c>
      <c r="AA10" s="50" t="s">
        <v>3630</v>
      </c>
      <c r="AB10" s="50" t="s">
        <v>3630</v>
      </c>
      <c r="AC10" s="114">
        <v>-8696880000</v>
      </c>
      <c r="AD10" s="50" t="s">
        <v>3630</v>
      </c>
      <c r="AE10" s="114">
        <v>-199340000</v>
      </c>
      <c r="AF10" s="50" t="s">
        <v>3630</v>
      </c>
      <c r="AG10" s="50" t="e">
        <v>#N/A</v>
      </c>
      <c r="AH10" s="50" t="e">
        <v>#N/A</v>
      </c>
      <c r="AI10" s="50" t="e">
        <v>#N/A</v>
      </c>
      <c r="AJ10" s="114" t="e">
        <v>#N/A</v>
      </c>
      <c r="AK10" s="50" t="e">
        <v>#N/A</v>
      </c>
      <c r="AL10" s="50" t="e">
        <v>#N/A</v>
      </c>
      <c r="AM10" s="50" t="e">
        <v>#N/A</v>
      </c>
      <c r="AN10" s="50" t="e">
        <v>#N/A</v>
      </c>
      <c r="AO10" s="50" t="e">
        <v>#N/A</v>
      </c>
      <c r="AP10" s="50" t="s">
        <v>4267</v>
      </c>
      <c r="AQ10" s="50" t="s">
        <v>3630</v>
      </c>
      <c r="AR10" s="50" t="s">
        <v>4267</v>
      </c>
      <c r="AS10" s="50" t="s">
        <v>3630</v>
      </c>
      <c r="AT10" s="50">
        <v>0</v>
      </c>
      <c r="AU10" s="50" t="s">
        <v>3631</v>
      </c>
      <c r="AV10" s="50" t="s">
        <v>4268</v>
      </c>
      <c r="AW10" s="50" t="s">
        <v>3752</v>
      </c>
      <c r="AX10" s="111">
        <v>45503</v>
      </c>
      <c r="AY10" s="50" t="s">
        <v>4269</v>
      </c>
    </row>
    <row r="11" spans="2:51" x14ac:dyDescent="0.35">
      <c r="B11" s="50" t="s">
        <v>3584</v>
      </c>
      <c r="C11" s="50">
        <v>9</v>
      </c>
      <c r="D11" s="50" t="s">
        <v>4270</v>
      </c>
      <c r="E11" s="111">
        <v>45485</v>
      </c>
      <c r="F11" s="50">
        <v>2</v>
      </c>
      <c r="G11" s="111" t="s">
        <v>3621</v>
      </c>
      <c r="H11" s="50" t="s">
        <v>3630</v>
      </c>
      <c r="I11" s="50">
        <v>31</v>
      </c>
      <c r="J11" s="50">
        <v>3.1101216902910999E+26</v>
      </c>
      <c r="K11" s="50"/>
      <c r="L11" s="50">
        <v>11</v>
      </c>
      <c r="M11" s="50" t="s">
        <v>4221</v>
      </c>
      <c r="N11" s="111"/>
      <c r="O11" s="50" t="e">
        <v>#N/A</v>
      </c>
      <c r="P11" s="50"/>
      <c r="Q11" s="50" t="e">
        <v>#N/A</v>
      </c>
      <c r="R11" s="111">
        <v>35711</v>
      </c>
      <c r="S11" s="111">
        <v>39366</v>
      </c>
      <c r="T11" s="50">
        <v>978</v>
      </c>
      <c r="U11" s="50">
        <v>0</v>
      </c>
      <c r="V11" s="50" t="e">
        <v>#N/A</v>
      </c>
      <c r="W11" s="50">
        <v>0</v>
      </c>
      <c r="X11" s="50" t="s">
        <v>4271</v>
      </c>
      <c r="Y11" s="50">
        <v>3</v>
      </c>
      <c r="Z11" s="50">
        <v>0</v>
      </c>
      <c r="AA11" s="50">
        <v>0</v>
      </c>
      <c r="AB11" s="114" t="s">
        <v>3630</v>
      </c>
      <c r="AC11" s="50" t="s">
        <v>4272</v>
      </c>
      <c r="AD11" s="114" t="s">
        <v>3630</v>
      </c>
      <c r="AE11" s="114">
        <v>-199340000</v>
      </c>
      <c r="AF11" s="50" t="s">
        <v>3630</v>
      </c>
      <c r="AG11" s="50" t="e">
        <v>#N/A</v>
      </c>
      <c r="AH11" s="50" t="s">
        <v>3630</v>
      </c>
      <c r="AI11" s="50" t="e">
        <v>#N/A</v>
      </c>
      <c r="AJ11" s="114">
        <v>5300000</v>
      </c>
      <c r="AK11" s="50" t="e">
        <v>#N/A</v>
      </c>
      <c r="AL11" s="50" t="s">
        <v>3630</v>
      </c>
      <c r="AM11" s="50" t="e">
        <v>#N/A</v>
      </c>
      <c r="AN11" s="50" t="s">
        <v>3630</v>
      </c>
      <c r="AO11" s="50">
        <v>1</v>
      </c>
      <c r="AP11" s="50" t="e">
        <v>#N/A</v>
      </c>
      <c r="AQ11" s="50" t="s">
        <v>4271</v>
      </c>
      <c r="AR11" s="50" t="e">
        <v>#N/A</v>
      </c>
      <c r="AS11" s="50" t="s">
        <v>4271</v>
      </c>
      <c r="AT11" s="50">
        <v>0</v>
      </c>
      <c r="AU11" s="50">
        <v>0</v>
      </c>
      <c r="AV11" s="50" t="s">
        <v>3636</v>
      </c>
      <c r="AW11" s="50" t="s">
        <v>3752</v>
      </c>
      <c r="AX11" s="111">
        <v>45503</v>
      </c>
      <c r="AY11" s="50" t="s">
        <v>4273</v>
      </c>
    </row>
    <row r="12" spans="2:51" x14ac:dyDescent="0.35">
      <c r="B12" s="113" t="s">
        <v>3586</v>
      </c>
      <c r="C12" s="50">
        <v>10</v>
      </c>
      <c r="D12" s="50" t="s">
        <v>4274</v>
      </c>
      <c r="E12" s="111">
        <v>45485</v>
      </c>
      <c r="F12" s="50">
        <v>2</v>
      </c>
      <c r="G12" s="111" t="s">
        <v>3621</v>
      </c>
      <c r="H12" s="50" t="s">
        <v>3630</v>
      </c>
      <c r="I12" s="50">
        <v>31</v>
      </c>
      <c r="J12" s="201">
        <v>5.1317900200110001E+27</v>
      </c>
      <c r="K12" s="50" t="s">
        <v>4266</v>
      </c>
      <c r="L12" s="50">
        <v>29</v>
      </c>
      <c r="M12" s="111" t="s">
        <v>4226</v>
      </c>
      <c r="N12" s="111">
        <v>31</v>
      </c>
      <c r="O12" s="114">
        <v>9.9999999999999903E+29</v>
      </c>
      <c r="P12" s="209">
        <v>31</v>
      </c>
      <c r="Q12" s="111">
        <v>5131790020011</v>
      </c>
      <c r="R12" s="111">
        <v>45504</v>
      </c>
      <c r="S12" s="173" t="s">
        <v>4275</v>
      </c>
      <c r="T12" s="50">
        <v>978</v>
      </c>
      <c r="U12" s="50">
        <v>1</v>
      </c>
      <c r="V12" s="50">
        <v>3</v>
      </c>
      <c r="W12" s="114">
        <v>93000000</v>
      </c>
      <c r="X12" s="114">
        <v>95000000</v>
      </c>
      <c r="Y12" s="50">
        <v>9</v>
      </c>
      <c r="Z12" s="111">
        <v>500000000000</v>
      </c>
      <c r="AA12" s="111">
        <v>500000000000</v>
      </c>
      <c r="AB12" s="114">
        <v>494947820000</v>
      </c>
      <c r="AC12" s="114">
        <v>69623160000</v>
      </c>
      <c r="AD12" s="114">
        <v>9727520000</v>
      </c>
      <c r="AE12" s="114">
        <v>67544900000</v>
      </c>
      <c r="AF12" s="114">
        <v>20457260000</v>
      </c>
      <c r="AG12" s="111" t="e">
        <v>#N/A</v>
      </c>
      <c r="AH12" s="114">
        <v>998700000</v>
      </c>
      <c r="AI12" s="111">
        <v>45504</v>
      </c>
      <c r="AJ12" s="114">
        <v>998700000</v>
      </c>
      <c r="AK12" s="111">
        <v>45504</v>
      </c>
      <c r="AL12" s="114">
        <v>9998590000</v>
      </c>
      <c r="AM12" s="111">
        <v>45504</v>
      </c>
      <c r="AN12" s="114">
        <v>9999300000</v>
      </c>
      <c r="AO12" s="50">
        <v>9</v>
      </c>
      <c r="AP12" s="50" t="s">
        <v>4267</v>
      </c>
      <c r="AQ12" s="114">
        <v>28000000</v>
      </c>
      <c r="AR12" s="50" t="s">
        <v>4267</v>
      </c>
      <c r="AS12" s="114">
        <v>28000000</v>
      </c>
      <c r="AT12" s="50">
        <v>1</v>
      </c>
      <c r="AU12" s="50" t="s">
        <v>3640</v>
      </c>
      <c r="AV12" s="50" t="s">
        <v>4276</v>
      </c>
      <c r="AW12" s="50" t="s">
        <v>3641</v>
      </c>
      <c r="AX12" s="111">
        <v>45503</v>
      </c>
      <c r="AY12" s="50" t="s">
        <v>4269</v>
      </c>
    </row>
    <row r="13" spans="2:51" x14ac:dyDescent="0.35">
      <c r="B13" s="50" t="s">
        <v>3588</v>
      </c>
      <c r="C13" s="50">
        <v>11</v>
      </c>
      <c r="D13" s="50" t="s">
        <v>4277</v>
      </c>
      <c r="E13" s="111">
        <v>45485</v>
      </c>
      <c r="F13" s="50">
        <v>2</v>
      </c>
      <c r="G13" s="111" t="s">
        <v>3621</v>
      </c>
      <c r="H13" s="50" t="s">
        <v>3630</v>
      </c>
      <c r="I13" s="50">
        <v>31</v>
      </c>
      <c r="J13" s="201">
        <v>5.1317900200110001E+27</v>
      </c>
      <c r="K13" s="50"/>
      <c r="L13" s="50">
        <v>29</v>
      </c>
      <c r="M13" s="111" t="s">
        <v>4226</v>
      </c>
      <c r="N13" s="111">
        <v>31</v>
      </c>
      <c r="O13" s="114">
        <v>9.9999999999999903E+29</v>
      </c>
      <c r="P13" s="111">
        <v>31</v>
      </c>
      <c r="Q13" s="50">
        <v>5131790020011</v>
      </c>
      <c r="R13" s="111">
        <v>45504</v>
      </c>
      <c r="S13" s="111">
        <v>2958465</v>
      </c>
      <c r="T13" s="50" t="s">
        <v>3639</v>
      </c>
      <c r="U13" s="50">
        <v>1</v>
      </c>
      <c r="V13" s="50">
        <v>3</v>
      </c>
      <c r="W13" s="50">
        <v>93</v>
      </c>
      <c r="X13" s="50" t="s">
        <v>4278</v>
      </c>
      <c r="Y13" s="114">
        <v>36</v>
      </c>
      <c r="Z13" s="111" t="s">
        <v>4279</v>
      </c>
      <c r="AA13" s="111" t="s">
        <v>4279</v>
      </c>
      <c r="AB13" s="114">
        <v>494947820000</v>
      </c>
      <c r="AC13" s="50" t="s">
        <v>4280</v>
      </c>
      <c r="AD13" s="114">
        <v>9727520000</v>
      </c>
      <c r="AE13" s="114">
        <v>67544900000</v>
      </c>
      <c r="AF13" s="114">
        <v>20457260000</v>
      </c>
      <c r="AG13" s="111" t="e">
        <v>#N/A</v>
      </c>
      <c r="AH13" s="114">
        <v>2096690000</v>
      </c>
      <c r="AI13" s="114">
        <v>45488</v>
      </c>
      <c r="AJ13" s="114">
        <v>2093980000</v>
      </c>
      <c r="AK13" s="50" t="e">
        <v>#N/A</v>
      </c>
      <c r="AL13" s="114" t="s">
        <v>3630</v>
      </c>
      <c r="AM13" s="111">
        <v>45504</v>
      </c>
      <c r="AN13" s="114">
        <v>2093980000</v>
      </c>
      <c r="AO13" s="114">
        <v>36</v>
      </c>
      <c r="AP13" s="50" t="s">
        <v>4267</v>
      </c>
      <c r="AQ13" s="50" t="s">
        <v>4281</v>
      </c>
      <c r="AR13" s="50" t="s">
        <v>4267</v>
      </c>
      <c r="AS13" s="50" t="s">
        <v>4281</v>
      </c>
      <c r="AT13" s="50">
        <v>1</v>
      </c>
      <c r="AU13" s="50" t="s">
        <v>4282</v>
      </c>
      <c r="AV13" s="50" t="s">
        <v>3636</v>
      </c>
      <c r="AW13" s="50" t="s">
        <v>3641</v>
      </c>
      <c r="AX13" s="111">
        <v>45503</v>
      </c>
      <c r="AY13" s="50" t="s">
        <v>4283</v>
      </c>
    </row>
    <row r="14" spans="2:51" x14ac:dyDescent="0.35">
      <c r="B14" s="50" t="s">
        <v>3590</v>
      </c>
      <c r="C14" s="50">
        <v>12</v>
      </c>
      <c r="D14" s="50" t="s">
        <v>4284</v>
      </c>
      <c r="E14" s="111">
        <v>45485</v>
      </c>
      <c r="F14" s="50">
        <v>2</v>
      </c>
      <c r="G14" s="225" t="s">
        <v>4285</v>
      </c>
      <c r="H14" s="50" t="s">
        <v>3630</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0</v>
      </c>
      <c r="Z14" s="50">
        <v>0</v>
      </c>
      <c r="AA14" s="50">
        <v>0</v>
      </c>
      <c r="AB14" s="50">
        <v>168835</v>
      </c>
      <c r="AC14" s="50">
        <v>0</v>
      </c>
      <c r="AD14" s="50">
        <v>760260</v>
      </c>
      <c r="AE14" s="50">
        <v>0</v>
      </c>
      <c r="AF14" s="50">
        <v>0</v>
      </c>
      <c r="AG14" s="50">
        <v>789515</v>
      </c>
      <c r="AH14" s="50">
        <v>0</v>
      </c>
      <c r="AI14" s="50">
        <v>98683</v>
      </c>
      <c r="AJ14" s="50">
        <v>772125</v>
      </c>
      <c r="AK14" s="50">
        <v>599336</v>
      </c>
      <c r="AL14" s="50">
        <v>599336</v>
      </c>
      <c r="AM14" s="50">
        <v>384042</v>
      </c>
      <c r="AN14" s="50">
        <v>384042</v>
      </c>
      <c r="AO14" s="50">
        <v>3404</v>
      </c>
      <c r="AP14" s="50">
        <v>504</v>
      </c>
      <c r="AQ14" s="50">
        <v>504</v>
      </c>
      <c r="AR14" s="50">
        <v>504</v>
      </c>
      <c r="AS14" s="50">
        <v>504</v>
      </c>
      <c r="AT14" s="50">
        <v>0</v>
      </c>
      <c r="AU14" s="50">
        <v>20794</v>
      </c>
      <c r="AV14" s="50">
        <v>242895</v>
      </c>
      <c r="AW14" s="50">
        <v>0</v>
      </c>
      <c r="AX14" s="50">
        <v>0</v>
      </c>
      <c r="AY14" s="50">
        <v>0</v>
      </c>
    </row>
    <row r="15" spans="2:51" x14ac:dyDescent="0.35">
      <c r="B15" s="50" t="s">
        <v>3592</v>
      </c>
      <c r="C15" s="50">
        <v>13</v>
      </c>
      <c r="D15" s="50" t="s">
        <v>4286</v>
      </c>
      <c r="E15" s="111">
        <v>45485</v>
      </c>
      <c r="F15" s="50">
        <v>2</v>
      </c>
      <c r="G15" s="225">
        <v>1</v>
      </c>
      <c r="H15" s="50" t="s">
        <v>3630</v>
      </c>
      <c r="I15" s="50" t="s">
        <v>3621</v>
      </c>
      <c r="J15" s="50" t="s">
        <v>3621</v>
      </c>
      <c r="K15" s="50" t="s">
        <v>3621</v>
      </c>
      <c r="L15" s="50" t="s">
        <v>3621</v>
      </c>
      <c r="M15" s="50" t="s">
        <v>3621</v>
      </c>
      <c r="N15" s="50" t="s">
        <v>3621</v>
      </c>
      <c r="O15" s="50" t="s">
        <v>3621</v>
      </c>
      <c r="P15" s="50" t="s">
        <v>3621</v>
      </c>
      <c r="Q15" s="50" t="s">
        <v>3621</v>
      </c>
      <c r="R15" s="50">
        <v>0</v>
      </c>
      <c r="S15" s="50">
        <v>0</v>
      </c>
      <c r="T15" s="50" t="s">
        <v>3621</v>
      </c>
      <c r="U15" s="50" t="s">
        <v>3621</v>
      </c>
      <c r="V15" s="50" t="s">
        <v>3621</v>
      </c>
      <c r="W15" s="50" t="s">
        <v>3621</v>
      </c>
      <c r="X15" s="50" t="s">
        <v>3621</v>
      </c>
      <c r="Y15" s="50" t="s">
        <v>3621</v>
      </c>
      <c r="Z15" s="50" t="s">
        <v>3621</v>
      </c>
      <c r="AA15" s="50" t="s">
        <v>3621</v>
      </c>
      <c r="AB15" s="50" t="s">
        <v>3621</v>
      </c>
      <c r="AC15" s="50" t="s">
        <v>3621</v>
      </c>
      <c r="AD15" s="50" t="s">
        <v>3621</v>
      </c>
      <c r="AE15" s="50" t="s">
        <v>3621</v>
      </c>
      <c r="AF15" s="50" t="s">
        <v>3621</v>
      </c>
      <c r="AG15" s="50">
        <v>0</v>
      </c>
      <c r="AH15" s="50" t="s">
        <v>3621</v>
      </c>
      <c r="AI15" s="50">
        <v>0</v>
      </c>
      <c r="AJ15" s="50" t="s">
        <v>3621</v>
      </c>
      <c r="AK15" s="50">
        <v>0</v>
      </c>
      <c r="AL15" s="50" t="s">
        <v>3621</v>
      </c>
      <c r="AM15" s="50">
        <v>0</v>
      </c>
      <c r="AN15" s="50" t="s">
        <v>3621</v>
      </c>
      <c r="AO15" s="50" t="s">
        <v>3621</v>
      </c>
      <c r="AP15" s="50" t="s">
        <v>3621</v>
      </c>
      <c r="AQ15" s="50" t="s">
        <v>3621</v>
      </c>
      <c r="AR15" s="50" t="s">
        <v>3621</v>
      </c>
      <c r="AS15" s="50" t="s">
        <v>3621</v>
      </c>
      <c r="AT15" s="50" t="s">
        <v>3621</v>
      </c>
      <c r="AU15" s="50" t="s">
        <v>3621</v>
      </c>
      <c r="AV15" s="50" t="s">
        <v>3621</v>
      </c>
      <c r="AW15" s="50" t="s">
        <v>3621</v>
      </c>
      <c r="AX15" s="50">
        <v>0</v>
      </c>
      <c r="AY15" s="50" t="s">
        <v>3621</v>
      </c>
    </row>
    <row r="16" spans="2:51" x14ac:dyDescent="0.35">
      <c r="B16" s="50" t="s">
        <v>3594</v>
      </c>
      <c r="C16" s="50">
        <v>14</v>
      </c>
      <c r="D16" s="50" t="s">
        <v>4287</v>
      </c>
      <c r="E16" s="111">
        <v>45485</v>
      </c>
      <c r="F16" s="50">
        <v>2</v>
      </c>
      <c r="G16" s="225">
        <v>1</v>
      </c>
      <c r="H16" s="50" t="s">
        <v>3630</v>
      </c>
      <c r="I16" s="50" t="s">
        <v>3621</v>
      </c>
      <c r="J16" s="50" t="s">
        <v>3621</v>
      </c>
      <c r="K16" s="50">
        <v>0</v>
      </c>
      <c r="L16" s="50">
        <v>0</v>
      </c>
      <c r="M16" s="50">
        <v>0</v>
      </c>
      <c r="N16" s="50">
        <v>0</v>
      </c>
      <c r="O16" s="50">
        <v>0</v>
      </c>
      <c r="P16" s="50">
        <v>0</v>
      </c>
      <c r="Q16" s="50">
        <v>0</v>
      </c>
      <c r="R16" s="50">
        <v>0</v>
      </c>
      <c r="S16" s="50">
        <v>0</v>
      </c>
      <c r="T16" s="50">
        <v>0</v>
      </c>
      <c r="U16" s="50" t="s">
        <v>3621</v>
      </c>
      <c r="V16" s="50">
        <v>0</v>
      </c>
      <c r="W16" s="50" t="s">
        <v>3621</v>
      </c>
      <c r="X16" s="50" t="s">
        <v>3621</v>
      </c>
      <c r="Y16" s="50" t="s">
        <v>3621</v>
      </c>
      <c r="Z16" s="50" t="s">
        <v>3621</v>
      </c>
      <c r="AA16" s="50" t="s">
        <v>3621</v>
      </c>
      <c r="AB16" s="50" t="s">
        <v>3621</v>
      </c>
      <c r="AC16" s="50" t="s">
        <v>3621</v>
      </c>
      <c r="AD16" s="50" t="s">
        <v>3621</v>
      </c>
      <c r="AE16" s="50" t="s">
        <v>3621</v>
      </c>
      <c r="AF16" s="50" t="s">
        <v>3621</v>
      </c>
      <c r="AG16" s="50">
        <v>0</v>
      </c>
      <c r="AH16" s="50" t="s">
        <v>3621</v>
      </c>
      <c r="AI16" s="50">
        <v>0</v>
      </c>
      <c r="AJ16" s="50" t="s">
        <v>3621</v>
      </c>
      <c r="AK16" s="50">
        <v>0</v>
      </c>
      <c r="AL16" s="50" t="s">
        <v>3621</v>
      </c>
      <c r="AM16" s="50">
        <v>0</v>
      </c>
      <c r="AN16" s="50" t="s">
        <v>3621</v>
      </c>
      <c r="AO16" s="50" t="s">
        <v>3621</v>
      </c>
      <c r="AP16" s="50">
        <v>0</v>
      </c>
      <c r="AQ16" s="50" t="s">
        <v>3621</v>
      </c>
      <c r="AR16" s="50">
        <v>0</v>
      </c>
      <c r="AS16" s="50" t="s">
        <v>3621</v>
      </c>
      <c r="AT16" s="50" t="s">
        <v>3621</v>
      </c>
      <c r="AU16" s="50">
        <v>0</v>
      </c>
      <c r="AV16" s="50">
        <v>0</v>
      </c>
      <c r="AW16" s="50">
        <v>0</v>
      </c>
      <c r="AX16" s="50" t="s">
        <v>3621</v>
      </c>
      <c r="AY16" s="50" t="s">
        <v>3621</v>
      </c>
    </row>
    <row r="17" spans="2:51" x14ac:dyDescent="0.35">
      <c r="B17" s="50" t="s">
        <v>3596</v>
      </c>
      <c r="C17" s="50">
        <v>15</v>
      </c>
      <c r="D17" s="50" t="s">
        <v>4288</v>
      </c>
      <c r="E17" s="111">
        <v>45485</v>
      </c>
      <c r="F17" s="50">
        <v>2</v>
      </c>
      <c r="G17" s="225" t="s">
        <v>4259</v>
      </c>
      <c r="H17" s="198" t="s">
        <v>4289</v>
      </c>
      <c r="I17" s="50" t="s">
        <v>3621</v>
      </c>
      <c r="J17" s="50" t="s">
        <v>3621</v>
      </c>
      <c r="K17" s="50" t="s">
        <v>3621</v>
      </c>
      <c r="L17" s="50" t="s">
        <v>3621</v>
      </c>
      <c r="M17" s="50" t="s">
        <v>3621</v>
      </c>
      <c r="N17" s="50" t="s">
        <v>3621</v>
      </c>
      <c r="O17" s="50" t="s">
        <v>3621</v>
      </c>
      <c r="P17" s="50" t="s">
        <v>3621</v>
      </c>
      <c r="Q17" s="50" t="s">
        <v>3621</v>
      </c>
      <c r="R17" s="50" t="s">
        <v>3621</v>
      </c>
      <c r="S17" s="50" t="s">
        <v>3621</v>
      </c>
      <c r="T17" s="50" t="s">
        <v>3621</v>
      </c>
      <c r="U17" s="50" t="s">
        <v>3621</v>
      </c>
      <c r="V17" s="50" t="s">
        <v>3621</v>
      </c>
      <c r="W17" s="50" t="s">
        <v>3621</v>
      </c>
      <c r="X17" s="50" t="s">
        <v>3621</v>
      </c>
      <c r="Y17" s="50" t="s">
        <v>3621</v>
      </c>
      <c r="Z17" s="50" t="s">
        <v>3621</v>
      </c>
      <c r="AA17" s="50" t="s">
        <v>3621</v>
      </c>
      <c r="AB17" s="50" t="s">
        <v>3621</v>
      </c>
      <c r="AC17" s="50" t="s">
        <v>3621</v>
      </c>
      <c r="AD17" s="50" t="s">
        <v>3621</v>
      </c>
      <c r="AE17" s="50" t="s">
        <v>3621</v>
      </c>
      <c r="AF17" s="50" t="s">
        <v>3621</v>
      </c>
      <c r="AG17" s="50" t="s">
        <v>3621</v>
      </c>
      <c r="AH17" s="50" t="s">
        <v>3621</v>
      </c>
      <c r="AI17" s="50" t="s">
        <v>3621</v>
      </c>
      <c r="AJ17" s="50" t="s">
        <v>3621</v>
      </c>
      <c r="AK17" s="50" t="s">
        <v>3621</v>
      </c>
      <c r="AL17" s="50" t="s">
        <v>3621</v>
      </c>
      <c r="AM17" s="50" t="s">
        <v>3621</v>
      </c>
      <c r="AN17" s="50" t="s">
        <v>3621</v>
      </c>
      <c r="AO17" s="50" t="s">
        <v>3621</v>
      </c>
      <c r="AP17" s="50" t="s">
        <v>3621</v>
      </c>
      <c r="AQ17" s="50" t="s">
        <v>3621</v>
      </c>
      <c r="AR17" s="50" t="s">
        <v>3621</v>
      </c>
      <c r="AS17" s="50" t="s">
        <v>3621</v>
      </c>
      <c r="AT17" s="50" t="s">
        <v>3621</v>
      </c>
      <c r="AU17" s="50" t="s">
        <v>3621</v>
      </c>
      <c r="AV17" s="50" t="s">
        <v>3621</v>
      </c>
      <c r="AW17" s="50" t="s">
        <v>3621</v>
      </c>
      <c r="AX17" s="50" t="s">
        <v>3621</v>
      </c>
      <c r="AY17" s="50" t="s">
        <v>3621</v>
      </c>
    </row>
    <row r="18" spans="2:51" x14ac:dyDescent="0.35">
      <c r="B18" s="50" t="s">
        <v>3598</v>
      </c>
      <c r="C18" s="50">
        <v>16</v>
      </c>
      <c r="D18" s="50" t="s">
        <v>4288</v>
      </c>
      <c r="E18" s="111">
        <v>45485</v>
      </c>
      <c r="F18" s="50">
        <v>2</v>
      </c>
      <c r="G18" s="225">
        <v>1</v>
      </c>
      <c r="H18" s="50" t="s">
        <v>3630</v>
      </c>
      <c r="I18" s="50" t="s">
        <v>3621</v>
      </c>
      <c r="J18" s="50" t="s">
        <v>3621</v>
      </c>
      <c r="K18" s="50" t="s">
        <v>3621</v>
      </c>
      <c r="L18" s="50" t="s">
        <v>3621</v>
      </c>
      <c r="M18" s="50" t="s">
        <v>3621</v>
      </c>
      <c r="N18" s="50" t="s">
        <v>3621</v>
      </c>
      <c r="O18" s="50" t="s">
        <v>3621</v>
      </c>
      <c r="P18" s="50" t="s">
        <v>3621</v>
      </c>
      <c r="Q18" s="50" t="s">
        <v>3621</v>
      </c>
      <c r="R18" s="50" t="s">
        <v>3621</v>
      </c>
      <c r="S18" s="50" t="s">
        <v>3621</v>
      </c>
      <c r="T18" s="50" t="s">
        <v>3621</v>
      </c>
      <c r="U18" s="50" t="s">
        <v>3621</v>
      </c>
      <c r="V18" s="50" t="s">
        <v>3621</v>
      </c>
      <c r="W18" s="50" t="s">
        <v>3621</v>
      </c>
      <c r="X18" s="50" t="s">
        <v>3621</v>
      </c>
      <c r="Y18" s="50" t="s">
        <v>3621</v>
      </c>
      <c r="Z18" s="50" t="s">
        <v>3621</v>
      </c>
      <c r="AA18" s="50" t="s">
        <v>3621</v>
      </c>
      <c r="AB18" s="50" t="s">
        <v>3621</v>
      </c>
      <c r="AC18" s="50" t="s">
        <v>3621</v>
      </c>
      <c r="AD18" s="50" t="s">
        <v>3621</v>
      </c>
      <c r="AE18" s="50" t="s">
        <v>3621</v>
      </c>
      <c r="AF18" s="50" t="s">
        <v>3621</v>
      </c>
      <c r="AG18" s="50" t="s">
        <v>3621</v>
      </c>
      <c r="AH18" s="50" t="s">
        <v>3621</v>
      </c>
      <c r="AI18" s="50" t="s">
        <v>3621</v>
      </c>
      <c r="AJ18" s="50" t="s">
        <v>3621</v>
      </c>
      <c r="AK18" s="50" t="s">
        <v>3621</v>
      </c>
      <c r="AL18" s="50" t="s">
        <v>3621</v>
      </c>
      <c r="AM18" s="50" t="s">
        <v>3621</v>
      </c>
      <c r="AN18" s="50" t="s">
        <v>3621</v>
      </c>
      <c r="AO18" s="50" t="s">
        <v>3621</v>
      </c>
      <c r="AP18" s="50" t="s">
        <v>3621</v>
      </c>
      <c r="AQ18" s="50" t="s">
        <v>3621</v>
      </c>
      <c r="AR18" s="50" t="s">
        <v>3621</v>
      </c>
      <c r="AS18" s="50" t="s">
        <v>3621</v>
      </c>
      <c r="AT18" s="50" t="s">
        <v>3621</v>
      </c>
      <c r="AU18" s="50" t="s">
        <v>3621</v>
      </c>
      <c r="AV18" s="50" t="s">
        <v>3621</v>
      </c>
      <c r="AW18" s="50" t="s">
        <v>3621</v>
      </c>
      <c r="AX18" s="50" t="s">
        <v>3621</v>
      </c>
      <c r="AY18" s="50" t="s">
        <v>3621</v>
      </c>
    </row>
    <row r="19" spans="2:51" x14ac:dyDescent="0.35">
      <c r="B19" s="229" t="s">
        <v>4290</v>
      </c>
      <c r="C19" s="50">
        <v>19</v>
      </c>
      <c r="D19" s="50" t="s">
        <v>4291</v>
      </c>
      <c r="E19" s="111">
        <v>45485</v>
      </c>
      <c r="F19" s="50">
        <v>2</v>
      </c>
      <c r="G19" s="225" t="e" cm="1" vm="1">
        <f t="array" ref="G19">SUM(IF(I2:AY2 = I24:AY24, 1, 0))/ COUNTA(I2:AY2)</f>
        <v>#VALUE!</v>
      </c>
      <c r="H19" s="50" t="s">
        <v>3630</v>
      </c>
      <c r="I19" s="50" t="s">
        <v>3655</v>
      </c>
      <c r="J19" s="50" t="s">
        <v>3655</v>
      </c>
      <c r="K19" s="50" t="s">
        <v>3655</v>
      </c>
      <c r="L19" s="50" t="s">
        <v>3655</v>
      </c>
      <c r="M19" s="50" t="s">
        <v>3655</v>
      </c>
      <c r="N19" s="50" t="s">
        <v>3655</v>
      </c>
      <c r="O19" s="50" t="s">
        <v>3655</v>
      </c>
      <c r="P19" s="50" t="s">
        <v>3655</v>
      </c>
      <c r="Q19" s="50" t="s">
        <v>3655</v>
      </c>
      <c r="R19" s="50" t="s">
        <v>3655</v>
      </c>
      <c r="S19" s="50" t="s">
        <v>3655</v>
      </c>
      <c r="T19" s="50" t="s">
        <v>3655</v>
      </c>
      <c r="U19" s="50" t="s">
        <v>3655</v>
      </c>
      <c r="V19" s="50" t="s">
        <v>3655</v>
      </c>
      <c r="W19" s="50" t="s">
        <v>3655</v>
      </c>
      <c r="X19" s="50" t="s">
        <v>3655</v>
      </c>
      <c r="Y19" s="50" t="s">
        <v>3655</v>
      </c>
      <c r="Z19" s="50" t="s">
        <v>3656</v>
      </c>
      <c r="AA19" s="50" t="s">
        <v>3656</v>
      </c>
      <c r="AB19" s="50" t="s">
        <v>3656</v>
      </c>
      <c r="AC19" s="50" t="s">
        <v>3656</v>
      </c>
      <c r="AD19" s="50" t="s">
        <v>3656</v>
      </c>
      <c r="AE19" s="50" t="s">
        <v>3656</v>
      </c>
      <c r="AF19" s="50" t="s">
        <v>3656</v>
      </c>
      <c r="AG19" s="50" t="s">
        <v>3655</v>
      </c>
      <c r="AH19" s="50" t="s">
        <v>3655</v>
      </c>
      <c r="AI19" s="50" t="s">
        <v>3655</v>
      </c>
      <c r="AJ19" s="50" t="s">
        <v>3655</v>
      </c>
      <c r="AK19" s="50" t="s">
        <v>3655</v>
      </c>
      <c r="AL19" s="50" t="s">
        <v>3655</v>
      </c>
      <c r="AM19" s="50" t="s">
        <v>3655</v>
      </c>
      <c r="AN19" s="50" t="s">
        <v>3655</v>
      </c>
      <c r="AO19" s="50" t="s">
        <v>3655</v>
      </c>
      <c r="AP19" s="50" t="s">
        <v>3655</v>
      </c>
      <c r="AQ19" s="50" t="s">
        <v>3656</v>
      </c>
      <c r="AR19" s="50" t="s">
        <v>3655</v>
      </c>
      <c r="AS19" s="50" t="s">
        <v>3656</v>
      </c>
      <c r="AT19" s="50" t="s">
        <v>3655</v>
      </c>
      <c r="AU19" s="50" t="s">
        <v>3655</v>
      </c>
      <c r="AV19" s="50" t="s">
        <v>3655</v>
      </c>
      <c r="AW19" s="50" t="s">
        <v>3655</v>
      </c>
      <c r="AX19" s="50" t="s">
        <v>3655</v>
      </c>
      <c r="AY19" s="50" t="s">
        <v>3657</v>
      </c>
    </row>
    <row r="20" spans="2:51" x14ac:dyDescent="0.35">
      <c r="B20" s="50" t="s">
        <v>3607</v>
      </c>
      <c r="C20" s="50">
        <v>20</v>
      </c>
      <c r="D20" s="50" t="s">
        <v>4292</v>
      </c>
      <c r="E20" s="111">
        <v>45503</v>
      </c>
      <c r="F20" s="50">
        <v>2</v>
      </c>
      <c r="G20" s="209" t="e" cm="1" vm="1">
        <f t="array" ref="G20">SUM(IF(I2:AY2 = I24:AY24, 1, 0))/ COUNTA(I2:AY2)</f>
        <v>#VALUE!</v>
      </c>
      <c r="H20" s="50" t="s">
        <v>3621</v>
      </c>
      <c r="I20" s="50" t="s">
        <v>3621</v>
      </c>
      <c r="J20" s="50" t="s">
        <v>3621</v>
      </c>
      <c r="K20" s="50" t="s">
        <v>3621</v>
      </c>
      <c r="L20" s="50" t="s">
        <v>3621</v>
      </c>
      <c r="M20" s="50" t="s">
        <v>3621</v>
      </c>
      <c r="N20" s="50" t="s">
        <v>3621</v>
      </c>
      <c r="O20" s="50" t="s">
        <v>3621</v>
      </c>
      <c r="P20" s="50" t="s">
        <v>3621</v>
      </c>
      <c r="Q20" s="50" t="s">
        <v>3621</v>
      </c>
      <c r="R20" s="50" t="s">
        <v>3621</v>
      </c>
      <c r="S20" s="50" t="s">
        <v>3621</v>
      </c>
      <c r="T20" s="50" t="s">
        <v>3621</v>
      </c>
      <c r="U20" s="50" t="s">
        <v>3621</v>
      </c>
      <c r="V20" s="50" t="s">
        <v>3621</v>
      </c>
      <c r="W20" s="50" t="s">
        <v>3621</v>
      </c>
      <c r="X20" s="50" t="s">
        <v>3621</v>
      </c>
      <c r="Y20" s="50" t="s">
        <v>3621</v>
      </c>
      <c r="Z20" s="50" t="s">
        <v>3621</v>
      </c>
      <c r="AA20" s="50" t="s">
        <v>3621</v>
      </c>
      <c r="AB20" s="50" t="s">
        <v>3621</v>
      </c>
      <c r="AC20" s="50" t="s">
        <v>3621</v>
      </c>
      <c r="AD20" s="50" t="s">
        <v>3621</v>
      </c>
      <c r="AE20" s="50" t="s">
        <v>3621</v>
      </c>
      <c r="AF20" s="50" t="s">
        <v>3621</v>
      </c>
      <c r="AG20" s="50" t="s">
        <v>3621</v>
      </c>
      <c r="AH20" s="50" t="s">
        <v>3621</v>
      </c>
      <c r="AI20" s="50" t="s">
        <v>3621</v>
      </c>
      <c r="AJ20" s="50" t="s">
        <v>3621</v>
      </c>
      <c r="AK20" s="50" t="s">
        <v>3621</v>
      </c>
      <c r="AL20" s="50" t="s">
        <v>3621</v>
      </c>
      <c r="AM20" s="50" t="s">
        <v>3621</v>
      </c>
      <c r="AN20" s="50" t="s">
        <v>3621</v>
      </c>
      <c r="AO20" s="50" t="s">
        <v>3621</v>
      </c>
      <c r="AP20" s="50" t="s">
        <v>3621</v>
      </c>
      <c r="AQ20" s="50" t="s">
        <v>3621</v>
      </c>
      <c r="AR20" s="50" t="s">
        <v>3621</v>
      </c>
      <c r="AS20" s="50" t="s">
        <v>3621</v>
      </c>
      <c r="AT20" s="50" t="s">
        <v>3621</v>
      </c>
      <c r="AU20" s="50" t="s">
        <v>3621</v>
      </c>
      <c r="AV20" s="50" t="s">
        <v>3621</v>
      </c>
      <c r="AW20" s="50" t="s">
        <v>3621</v>
      </c>
      <c r="AX20" s="50" t="s">
        <v>3621</v>
      </c>
      <c r="AY20" s="50" t="s">
        <v>3621</v>
      </c>
    </row>
    <row r="21" spans="2:51" x14ac:dyDescent="0.35">
      <c r="B21" s="50" t="s">
        <v>3610</v>
      </c>
      <c r="C21" s="50">
        <v>21</v>
      </c>
      <c r="D21" s="50" t="s">
        <v>4292</v>
      </c>
      <c r="E21" s="111">
        <v>45503</v>
      </c>
      <c r="F21" s="50">
        <v>2</v>
      </c>
      <c r="G21" s="209" t="e" cm="1">
        <f t="array" ref="G21">SUM(IF(IF(G3:G20="null",1,G3:G20)=1,1,0))/COUNT(IF(G3:G20="null",1,1))</f>
        <v>#DIV/0!</v>
      </c>
      <c r="H21" s="50" t="s">
        <v>3621</v>
      </c>
      <c r="I21" s="50" t="s">
        <v>3621</v>
      </c>
      <c r="J21" s="50" t="s">
        <v>3621</v>
      </c>
      <c r="K21" s="50" t="s">
        <v>3621</v>
      </c>
      <c r="L21" s="50" t="s">
        <v>3621</v>
      </c>
      <c r="M21" s="50" t="s">
        <v>3621</v>
      </c>
      <c r="N21" s="50" t="s">
        <v>3621</v>
      </c>
      <c r="O21" s="50" t="s">
        <v>3621</v>
      </c>
      <c r="P21" s="50" t="s">
        <v>3621</v>
      </c>
      <c r="Q21" s="50" t="s">
        <v>3621</v>
      </c>
      <c r="R21" s="50" t="s">
        <v>3621</v>
      </c>
      <c r="S21" s="50" t="s">
        <v>3621</v>
      </c>
      <c r="T21" s="50" t="s">
        <v>3621</v>
      </c>
      <c r="U21" s="50" t="s">
        <v>3621</v>
      </c>
      <c r="V21" s="50" t="s">
        <v>3621</v>
      </c>
      <c r="W21" s="50" t="s">
        <v>3621</v>
      </c>
      <c r="X21" s="50" t="s">
        <v>3621</v>
      </c>
      <c r="Y21" s="50" t="s">
        <v>3621</v>
      </c>
      <c r="Z21" s="50" t="s">
        <v>3621</v>
      </c>
      <c r="AA21" s="50" t="s">
        <v>3621</v>
      </c>
      <c r="AB21" s="50" t="s">
        <v>3621</v>
      </c>
      <c r="AC21" s="50" t="s">
        <v>3621</v>
      </c>
      <c r="AD21" s="50" t="s">
        <v>3621</v>
      </c>
      <c r="AE21" s="50" t="s">
        <v>3621</v>
      </c>
      <c r="AF21" s="50" t="s">
        <v>3621</v>
      </c>
      <c r="AG21" s="50" t="s">
        <v>3621</v>
      </c>
      <c r="AH21" s="50" t="s">
        <v>3621</v>
      </c>
      <c r="AI21" s="50" t="s">
        <v>3621</v>
      </c>
      <c r="AJ21" s="50" t="s">
        <v>3621</v>
      </c>
      <c r="AK21" s="50" t="s">
        <v>3621</v>
      </c>
      <c r="AL21" s="50" t="s">
        <v>3621</v>
      </c>
      <c r="AM21" s="50" t="s">
        <v>3621</v>
      </c>
      <c r="AN21" s="50" t="s">
        <v>3621</v>
      </c>
      <c r="AO21" s="50" t="s">
        <v>3621</v>
      </c>
      <c r="AP21" s="50" t="s">
        <v>3621</v>
      </c>
      <c r="AQ21" s="50" t="s">
        <v>3621</v>
      </c>
      <c r="AR21" s="50" t="s">
        <v>3621</v>
      </c>
      <c r="AS21" s="50" t="s">
        <v>3621</v>
      </c>
      <c r="AT21" s="50" t="s">
        <v>3621</v>
      </c>
      <c r="AU21" s="50" t="s">
        <v>3621</v>
      </c>
      <c r="AV21" s="50" t="s">
        <v>3621</v>
      </c>
      <c r="AW21" s="50" t="s">
        <v>3621</v>
      </c>
      <c r="AX21" s="50" t="s">
        <v>3621</v>
      </c>
      <c r="AY21" s="50" t="s">
        <v>3621</v>
      </c>
    </row>
    <row r="22" spans="2:51" x14ac:dyDescent="0.35">
      <c r="B22" s="50"/>
      <c r="C22" s="50"/>
      <c r="D22" s="50"/>
      <c r="E22" s="111"/>
      <c r="F22" s="50"/>
      <c r="G22" s="50"/>
      <c r="H22" s="50"/>
      <c r="I22" s="50"/>
      <c r="J22" s="50"/>
      <c r="K22" s="50"/>
      <c r="L22" s="50"/>
      <c r="M22" s="50"/>
      <c r="N22" s="50"/>
      <c r="O22" s="50"/>
      <c r="P22" s="50"/>
      <c r="Q22" s="50"/>
      <c r="R22" s="50"/>
      <c r="S22" s="50"/>
    </row>
    <row r="23" spans="2:51" x14ac:dyDescent="0.35">
      <c r="B23" s="146" t="s">
        <v>3727</v>
      </c>
    </row>
    <row r="24" spans="2:51" x14ac:dyDescent="0.35">
      <c r="B24" s="144" t="s">
        <v>3613</v>
      </c>
      <c r="C24" s="145" t="s">
        <v>3614</v>
      </c>
      <c r="D24" s="145" t="s">
        <v>3615</v>
      </c>
      <c r="E24" s="145" t="s">
        <v>3616</v>
      </c>
      <c r="F24" s="145" t="s">
        <v>3617</v>
      </c>
      <c r="G24" s="145" t="s">
        <v>3618</v>
      </c>
      <c r="H24" s="145" t="s">
        <v>3619</v>
      </c>
      <c r="I24" s="145" t="e" cm="1" vm="2">
        <f t="array" ref="I24">TRANSPOSE(_xlfn.SORTBY(_xlfn._xlws.FILTER(Table3[NOME FÍSICO CAMPO],Table3[NOME FÍSICO TABELA]="credit_card_account_plan"), _xlfn._xlws.FILTER(Table3[ORDEM], Table3[NOME FÍSICO TABELA]="credit_card_account_plan"), 1))</f>
        <v>#VALUE!</v>
      </c>
      <c r="J24" s="145"/>
      <c r="K24" s="145"/>
      <c r="L24" s="145"/>
      <c r="M24" s="145"/>
      <c r="N24" s="145"/>
      <c r="O24" s="145"/>
      <c r="P24" s="145"/>
      <c r="Q24" s="145"/>
      <c r="R24" s="145"/>
      <c r="S24" s="145"/>
      <c r="T24" s="145"/>
      <c r="U24" s="145"/>
      <c r="V24" s="145"/>
      <c r="W24" s="145"/>
      <c r="X24" s="145"/>
      <c r="Y24" s="145"/>
      <c r="Z24" s="145"/>
      <c r="AA24" s="145"/>
      <c r="AB24" s="145"/>
      <c r="AC24" s="145"/>
      <c r="AD24" s="145"/>
      <c r="AE24" s="145"/>
      <c r="AF24" s="145"/>
      <c r="AG24" s="145"/>
      <c r="AH24" s="145"/>
      <c r="AI24" s="145"/>
      <c r="AJ24" s="145"/>
      <c r="AK24" s="145"/>
      <c r="AL24" s="145"/>
      <c r="AM24" s="145"/>
      <c r="AN24" s="145"/>
      <c r="AO24" s="145"/>
      <c r="AP24" s="145"/>
      <c r="AQ24" s="145"/>
      <c r="AR24" s="145"/>
      <c r="AS24" s="145"/>
      <c r="AT24" s="145"/>
      <c r="AU24" s="145"/>
      <c r="AV24" s="145"/>
      <c r="AW24" s="145"/>
      <c r="AX24" s="145"/>
      <c r="AY24" s="142"/>
    </row>
    <row r="25" spans="2:51" x14ac:dyDescent="0.35">
      <c r="B25" s="123" t="s">
        <v>3658</v>
      </c>
      <c r="C25" s="126">
        <v>21</v>
      </c>
      <c r="D25" s="120" t="s">
        <v>3659</v>
      </c>
      <c r="E25" s="119" t="s">
        <v>3660</v>
      </c>
      <c r="F25" s="119" t="s">
        <v>372</v>
      </c>
      <c r="G25" s="119" t="s">
        <v>372</v>
      </c>
      <c r="H25" s="119" t="s">
        <v>372</v>
      </c>
      <c r="I25" s="119" t="e" cm="1" vm="2">
        <f t="array" ref="I25">TRANSPOSE(_xlfn.SORTBY(_xlfn._xlws.FILTER(IF(Table3[FORMATO]:Table3[COMP_ CAMPO]&lt;&gt;"",Table3[FORMATO]:Table3[COMP_ CAMPO],9999999),Table3[NOME FÍSICO TABELA]="credit_card_account_plan"), _xlfn._xlws.FILTER(Table3[ORDEM], Table3[NOME FÍSICO TABELA]="credit_card_account_plan"), 1))</f>
        <v>#VALUE!</v>
      </c>
      <c r="J25" s="119"/>
      <c r="K25" s="119"/>
      <c r="L25" s="119"/>
      <c r="M25" s="119"/>
      <c r="N25" s="119"/>
      <c r="O25" s="119"/>
      <c r="P25" s="119"/>
      <c r="Q25" s="119"/>
      <c r="R25" s="119"/>
      <c r="S25" s="119"/>
      <c r="T25" s="119"/>
      <c r="U25" s="119"/>
      <c r="V25" s="119"/>
      <c r="W25" s="119"/>
      <c r="X25" s="119"/>
      <c r="Y25" s="119"/>
      <c r="Z25" s="119"/>
      <c r="AA25" s="119"/>
      <c r="AB25" s="119"/>
      <c r="AC25" s="119"/>
      <c r="AD25" s="119"/>
      <c r="AE25" s="119"/>
      <c r="AF25" s="119"/>
      <c r="AG25" s="250"/>
      <c r="AH25" s="250"/>
      <c r="AI25" s="119"/>
      <c r="AJ25" s="119"/>
      <c r="AK25" s="119"/>
      <c r="AL25" s="119"/>
      <c r="AM25" s="119"/>
      <c r="AN25" s="119"/>
      <c r="AO25" s="119"/>
      <c r="AP25" s="119"/>
      <c r="AQ25" s="119"/>
      <c r="AR25" s="119"/>
      <c r="AS25" s="119"/>
      <c r="AT25" s="119"/>
      <c r="AU25" s="119"/>
      <c r="AV25" s="119"/>
      <c r="AW25" s="119"/>
      <c r="AX25" s="119"/>
      <c r="AY25" s="125"/>
    </row>
    <row r="26" spans="2:51" x14ac:dyDescent="0.35">
      <c r="B26" s="123" t="s">
        <v>3661</v>
      </c>
      <c r="C26" s="126">
        <v>7</v>
      </c>
      <c r="D26" s="120" t="s">
        <v>3659</v>
      </c>
      <c r="E26" s="119" t="s">
        <v>3660</v>
      </c>
      <c r="F26" s="121" t="s">
        <v>372</v>
      </c>
      <c r="G26" s="121" t="s">
        <v>372</v>
      </c>
      <c r="H26" s="121" t="s">
        <v>372</v>
      </c>
      <c r="I26" s="167"/>
      <c r="J26" s="167"/>
      <c r="K26" s="167"/>
      <c r="L26" s="167"/>
      <c r="M26" s="167"/>
      <c r="N26" s="167"/>
      <c r="O26" s="167"/>
      <c r="P26" s="167"/>
      <c r="Q26" s="167"/>
      <c r="R26" s="167"/>
      <c r="S26" s="167"/>
      <c r="T26" s="167"/>
      <c r="U26" s="167"/>
      <c r="V26" s="167"/>
      <c r="W26" s="167"/>
      <c r="X26" s="167"/>
      <c r="Y26" s="167"/>
      <c r="Z26" s="167"/>
      <c r="AA26" s="167"/>
      <c r="AB26" s="167"/>
      <c r="AC26" s="167"/>
      <c r="AD26" s="167"/>
      <c r="AE26" s="167"/>
      <c r="AF26" s="167"/>
      <c r="AG26" s="167"/>
      <c r="AH26" s="167"/>
      <c r="AI26" s="167"/>
      <c r="AJ26" s="167"/>
      <c r="AK26" s="167"/>
      <c r="AL26" s="167"/>
      <c r="AM26" s="167"/>
      <c r="AN26" s="167"/>
      <c r="AO26" s="167"/>
      <c r="AP26" s="167"/>
      <c r="AQ26" s="167"/>
      <c r="AR26" s="167"/>
      <c r="AS26" s="167"/>
      <c r="AT26" s="167"/>
      <c r="AU26" s="167"/>
      <c r="AV26" s="167"/>
      <c r="AW26" s="167"/>
      <c r="AX26" s="167"/>
      <c r="AY26" s="168"/>
    </row>
    <row r="28" spans="2:51" x14ac:dyDescent="0.35">
      <c r="B28" s="156" t="s">
        <v>3662</v>
      </c>
    </row>
    <row r="29" spans="2:51" x14ac:dyDescent="0.35">
      <c r="B29" s="150" t="s">
        <v>3663</v>
      </c>
      <c r="C29" s="150" t="s">
        <v>3664</v>
      </c>
      <c r="D29" s="151" t="s">
        <v>3665</v>
      </c>
      <c r="E29" s="150" t="s">
        <v>3666</v>
      </c>
      <c r="F29" s="150" t="s">
        <v>3667</v>
      </c>
    </row>
    <row r="30" spans="2:51" ht="43.5" x14ac:dyDescent="0.35">
      <c r="B30" s="153" t="s">
        <v>3668</v>
      </c>
      <c r="C30" s="154" t="s">
        <v>4293</v>
      </c>
      <c r="D30" s="253" t="s">
        <v>4294</v>
      </c>
      <c r="E30" s="254" t="s">
        <v>4295</v>
      </c>
      <c r="F30" s="205" t="s">
        <v>3677</v>
      </c>
      <c r="H30" s="251"/>
      <c r="J30" t="s">
        <v>4296</v>
      </c>
      <c r="K30">
        <v>20748</v>
      </c>
    </row>
    <row r="31" spans="2:51" ht="43.5" x14ac:dyDescent="0.35">
      <c r="B31" s="153" t="s">
        <v>3668</v>
      </c>
      <c r="C31" s="154" t="s">
        <v>649</v>
      </c>
      <c r="D31" s="253" t="s">
        <v>4297</v>
      </c>
      <c r="E31" s="254" t="s">
        <v>4298</v>
      </c>
      <c r="F31" s="205" t="s">
        <v>3674</v>
      </c>
      <c r="H31" s="252"/>
      <c r="J31" t="s">
        <v>4299</v>
      </c>
      <c r="K31">
        <v>760260</v>
      </c>
      <c r="L31">
        <f>K31+K30</f>
        <v>781008</v>
      </c>
    </row>
    <row r="32" spans="2:51" ht="29" x14ac:dyDescent="0.35">
      <c r="B32" s="153" t="s">
        <v>3668</v>
      </c>
      <c r="C32" s="131" t="s">
        <v>715</v>
      </c>
      <c r="D32" s="255" t="s">
        <v>4300</v>
      </c>
      <c r="E32" s="162" t="s">
        <v>4301</v>
      </c>
      <c r="F32" s="152" t="s">
        <v>3674</v>
      </c>
      <c r="J32" t="s">
        <v>4302</v>
      </c>
      <c r="K32">
        <v>8461</v>
      </c>
      <c r="L32">
        <f>K31+K32</f>
        <v>768721</v>
      </c>
      <c r="M32">
        <f>L31+K32</f>
        <v>789469</v>
      </c>
    </row>
    <row r="33" spans="2:12" ht="72.5" x14ac:dyDescent="0.35">
      <c r="B33" s="153" t="s">
        <v>3668</v>
      </c>
      <c r="C33" s="131" t="s">
        <v>1458</v>
      </c>
      <c r="D33" s="255" t="s">
        <v>4303</v>
      </c>
      <c r="E33" s="162" t="s">
        <v>4304</v>
      </c>
      <c r="F33" s="205" t="s">
        <v>3671</v>
      </c>
      <c r="J33" t="s">
        <v>4305</v>
      </c>
      <c r="K33">
        <v>26</v>
      </c>
    </row>
    <row r="34" spans="2:12" ht="101.5" x14ac:dyDescent="0.35">
      <c r="B34" s="153" t="s">
        <v>3668</v>
      </c>
      <c r="C34" s="131" t="s">
        <v>1467</v>
      </c>
      <c r="D34" s="255" t="s">
        <v>4306</v>
      </c>
      <c r="E34" s="162" t="s">
        <v>4307</v>
      </c>
      <c r="F34" s="152" t="s">
        <v>3671</v>
      </c>
      <c r="J34" t="s">
        <v>4308</v>
      </c>
      <c r="K34">
        <v>478</v>
      </c>
      <c r="L34">
        <f>K32+K34</f>
        <v>8939</v>
      </c>
    </row>
    <row r="35" spans="2:12" ht="72.5" x14ac:dyDescent="0.35">
      <c r="B35" s="127" t="s">
        <v>3668</v>
      </c>
      <c r="C35" s="131" t="s">
        <v>1473</v>
      </c>
      <c r="D35" s="255" t="s">
        <v>4309</v>
      </c>
      <c r="E35" s="162" t="s">
        <v>4310</v>
      </c>
      <c r="F35" s="152" t="s">
        <v>3838</v>
      </c>
      <c r="K35">
        <f>SUM(K30:K34)</f>
        <v>789973</v>
      </c>
    </row>
    <row r="36" spans="2:12" ht="72.5" x14ac:dyDescent="0.35">
      <c r="B36" s="127" t="s">
        <v>3668</v>
      </c>
      <c r="C36" s="131" t="s">
        <v>1481</v>
      </c>
      <c r="D36" s="255" t="s">
        <v>4309</v>
      </c>
      <c r="E36" s="162" t="s">
        <v>4311</v>
      </c>
      <c r="F36" s="152" t="s">
        <v>3838</v>
      </c>
    </row>
    <row r="37" spans="2:12" ht="116" x14ac:dyDescent="0.35">
      <c r="B37" s="127" t="s">
        <v>3668</v>
      </c>
      <c r="C37" s="131" t="s">
        <v>429</v>
      </c>
      <c r="D37" s="255" t="s">
        <v>4312</v>
      </c>
      <c r="E37" s="162" t="s">
        <v>4313</v>
      </c>
      <c r="F37" s="152" t="s">
        <v>3671</v>
      </c>
    </row>
    <row r="38" spans="2:12" ht="116" x14ac:dyDescent="0.35">
      <c r="B38" s="127" t="s">
        <v>3668</v>
      </c>
      <c r="C38" s="131" t="s">
        <v>439</v>
      </c>
      <c r="D38" s="255" t="s">
        <v>4312</v>
      </c>
      <c r="E38" s="162" t="s">
        <v>4313</v>
      </c>
      <c r="F38" s="152" t="s">
        <v>4314</v>
      </c>
    </row>
    <row r="39" spans="2:12" ht="43.5" x14ac:dyDescent="0.35">
      <c r="B39" s="134" t="s">
        <v>3668</v>
      </c>
      <c r="C39" s="133" t="s">
        <v>1501</v>
      </c>
      <c r="D39" s="256" t="s">
        <v>4315</v>
      </c>
      <c r="E39" s="162" t="s">
        <v>4316</v>
      </c>
      <c r="F39" s="152" t="s">
        <v>3674</v>
      </c>
    </row>
    <row r="40" spans="2:12" ht="87" x14ac:dyDescent="0.35">
      <c r="B40" s="127" t="s">
        <v>3668</v>
      </c>
      <c r="C40" s="131" t="s">
        <v>1508</v>
      </c>
      <c r="D40" s="256" t="s">
        <v>4317</v>
      </c>
      <c r="E40" s="162" t="s">
        <v>4318</v>
      </c>
      <c r="F40" s="205" t="s">
        <v>3671</v>
      </c>
    </row>
    <row r="41" spans="2:12" ht="87" x14ac:dyDescent="0.35">
      <c r="B41" s="127" t="s">
        <v>3668</v>
      </c>
      <c r="C41" s="131" t="s">
        <v>1515</v>
      </c>
      <c r="D41" s="256" t="s">
        <v>4319</v>
      </c>
      <c r="E41" s="162" t="s">
        <v>4318</v>
      </c>
      <c r="F41" s="205" t="s">
        <v>3671</v>
      </c>
    </row>
    <row r="42" spans="2:12" ht="87" x14ac:dyDescent="0.35">
      <c r="B42" s="127" t="s">
        <v>3668</v>
      </c>
      <c r="C42" s="131" t="s">
        <v>1522</v>
      </c>
      <c r="D42" s="256" t="s">
        <v>4320</v>
      </c>
      <c r="E42" s="162" t="s">
        <v>4318</v>
      </c>
      <c r="F42" s="205" t="s">
        <v>3671</v>
      </c>
    </row>
    <row r="43" spans="2:12" ht="87" x14ac:dyDescent="0.35">
      <c r="B43" s="127" t="s">
        <v>3668</v>
      </c>
      <c r="C43" s="131" t="s">
        <v>785</v>
      </c>
      <c r="D43" s="256" t="s">
        <v>4321</v>
      </c>
      <c r="E43" s="162" t="s">
        <v>4318</v>
      </c>
      <c r="F43" s="205" t="s">
        <v>3671</v>
      </c>
    </row>
    <row r="44" spans="2:12" ht="101.5" x14ac:dyDescent="0.35">
      <c r="B44" s="153" t="s">
        <v>3668</v>
      </c>
      <c r="C44" s="154" t="s">
        <v>305</v>
      </c>
      <c r="D44" s="257" t="s">
        <v>4322</v>
      </c>
      <c r="E44" s="163" t="s">
        <v>4323</v>
      </c>
      <c r="F44" s="205" t="s">
        <v>3677</v>
      </c>
    </row>
    <row r="45" spans="2:12" ht="29" x14ac:dyDescent="0.35">
      <c r="B45" s="127" t="s">
        <v>3678</v>
      </c>
      <c r="C45" s="131" t="s">
        <v>3895</v>
      </c>
      <c r="D45" s="139" t="s">
        <v>4324</v>
      </c>
      <c r="E45" s="162" t="s">
        <v>4325</v>
      </c>
      <c r="F45" s="205" t="s">
        <v>3677</v>
      </c>
    </row>
    <row r="46" spans="2:12" ht="72.5" x14ac:dyDescent="0.35">
      <c r="B46" s="153" t="s">
        <v>3736</v>
      </c>
      <c r="C46" s="131" t="s">
        <v>3895</v>
      </c>
      <c r="D46" s="257" t="s">
        <v>4326</v>
      </c>
      <c r="E46" s="163" t="s">
        <v>4327</v>
      </c>
      <c r="F46" s="205" t="s">
        <v>4328</v>
      </c>
    </row>
    <row r="49" spans="11:11" x14ac:dyDescent="0.35">
      <c r="K49" s="4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B1:BB56"/>
  <sheetViews>
    <sheetView showGridLines="0" topLeftCell="B55" workbookViewId="0">
      <selection activeCell="I14" sqref="I14"/>
    </sheetView>
  </sheetViews>
  <sheetFormatPr defaultRowHeight="14.5" x14ac:dyDescent="0.35"/>
  <cols>
    <col min="2" max="2" width="30.7265625" bestFit="1" customWidth="1"/>
    <col min="3" max="3" width="35" customWidth="1"/>
    <col min="4" max="4" width="48.453125" customWidth="1"/>
    <col min="5" max="5" width="35.7265625" customWidth="1"/>
    <col min="6" max="6" width="20.26953125" customWidth="1"/>
    <col min="7" max="7" width="16.1796875" customWidth="1"/>
    <col min="8" max="8" width="16.453125" bestFit="1" customWidth="1"/>
    <col min="9" max="9" width="18.453125" bestFit="1" customWidth="1"/>
    <col min="10" max="11" width="30.7265625" bestFit="1" customWidth="1"/>
    <col min="12" max="12" width="34" customWidth="1"/>
    <col min="13" max="13" width="27.7265625" bestFit="1" customWidth="1"/>
    <col min="14" max="17" width="30.7265625" bestFit="1" customWidth="1"/>
    <col min="18" max="18" width="28" bestFit="1" customWidth="1"/>
    <col min="19" max="19" width="30.7265625" bestFit="1" customWidth="1"/>
    <col min="20" max="20" width="23.453125" customWidth="1"/>
    <col min="21" max="21" width="31.54296875" customWidth="1"/>
    <col min="22" max="22" width="33.1796875" customWidth="1"/>
    <col min="23" max="23" width="25.453125" customWidth="1"/>
    <col min="24" max="24" width="26.26953125" customWidth="1"/>
    <col min="25" max="25" width="30.81640625" customWidth="1"/>
    <col min="26" max="26" width="31.54296875" customWidth="1"/>
    <col min="27" max="27" width="24.1796875" customWidth="1"/>
    <col min="28" max="28" width="20" customWidth="1"/>
    <col min="29" max="29" width="29.1796875" customWidth="1"/>
    <col min="30" max="30" width="19.1796875" customWidth="1"/>
    <col min="31" max="31" width="21" customWidth="1"/>
    <col min="32" max="32" width="30.54296875" customWidth="1"/>
    <col min="33" max="33" width="24.7265625" customWidth="1"/>
    <col min="34" max="34" width="27.1796875" customWidth="1"/>
    <col min="35" max="35" width="31.81640625" customWidth="1"/>
    <col min="36" max="36" width="32.54296875" customWidth="1"/>
    <col min="37" max="37" width="30.1796875" customWidth="1"/>
    <col min="38" max="38" width="21.81640625" customWidth="1"/>
    <col min="39" max="39" width="40.26953125" customWidth="1"/>
    <col min="40" max="40" width="28.54296875" customWidth="1"/>
    <col min="41" max="41" width="35.1796875" customWidth="1"/>
    <col min="42" max="42" width="27.81640625" customWidth="1"/>
    <col min="43" max="43" width="23.453125" customWidth="1"/>
    <col min="44" max="44" width="30.7265625" customWidth="1"/>
    <col min="45" max="45" width="30.1796875" customWidth="1"/>
    <col min="46" max="46" width="30.7265625" customWidth="1"/>
    <col min="47" max="47" width="32.54296875" customWidth="1"/>
    <col min="48" max="48" width="26.26953125" customWidth="1"/>
    <col min="49" max="49" width="14.1796875" customWidth="1"/>
    <col min="50" max="50" width="11.81640625" customWidth="1"/>
    <col min="51" max="51" width="35.1796875" customWidth="1"/>
    <col min="54" max="54" width="19.26953125" customWidth="1"/>
  </cols>
  <sheetData>
    <row r="1" spans="2:54" ht="26.25" customHeight="1" x14ac:dyDescent="0.35"/>
    <row r="2" spans="2:54" x14ac:dyDescent="0.35">
      <c r="B2" s="91" t="s">
        <v>3613</v>
      </c>
      <c r="C2" s="91" t="s">
        <v>3614</v>
      </c>
      <c r="D2" s="91" t="s">
        <v>3615</v>
      </c>
      <c r="E2" s="91" t="s">
        <v>4329</v>
      </c>
      <c r="F2" s="91" t="s">
        <v>3617</v>
      </c>
      <c r="G2" s="91" t="s">
        <v>3618</v>
      </c>
      <c r="H2" s="91" t="s">
        <v>3619</v>
      </c>
      <c r="I2" s="91" t="s">
        <v>121</v>
      </c>
      <c r="J2" s="91" t="s">
        <v>137</v>
      </c>
      <c r="K2" s="91" t="s">
        <v>149</v>
      </c>
      <c r="L2" s="91" t="s">
        <v>156</v>
      </c>
      <c r="M2" s="91" t="s">
        <v>168</v>
      </c>
      <c r="N2" s="91" t="s">
        <v>177</v>
      </c>
      <c r="O2" s="91" t="s">
        <v>188</v>
      </c>
      <c r="P2" s="91" t="s">
        <v>199</v>
      </c>
      <c r="Q2" s="91" t="s">
        <v>211</v>
      </c>
      <c r="R2" s="91" t="s">
        <v>223</v>
      </c>
      <c r="S2" s="91" t="s">
        <v>239</v>
      </c>
      <c r="T2" s="91" t="s">
        <v>2344</v>
      </c>
      <c r="U2" s="91" t="s">
        <v>2591</v>
      </c>
      <c r="V2" s="91" t="s">
        <v>261</v>
      </c>
      <c r="W2" s="91" t="s">
        <v>965</v>
      </c>
      <c r="X2" s="91" t="s">
        <v>649</v>
      </c>
      <c r="Y2" s="91" t="s">
        <v>272</v>
      </c>
      <c r="Z2" s="91" t="s">
        <v>283</v>
      </c>
      <c r="AA2" s="91" t="s">
        <v>715</v>
      </c>
      <c r="AB2" s="91" t="s">
        <v>1449</v>
      </c>
      <c r="AC2" s="91" t="s">
        <v>4330</v>
      </c>
      <c r="AD2" s="91" t="s">
        <v>1458</v>
      </c>
      <c r="AE2" s="91" t="s">
        <v>1467</v>
      </c>
      <c r="AF2" s="91" t="s">
        <v>1473</v>
      </c>
      <c r="AG2" s="91" t="s">
        <v>1481</v>
      </c>
      <c r="AH2" s="91" t="s">
        <v>429</v>
      </c>
      <c r="AI2" s="91" t="s">
        <v>439</v>
      </c>
      <c r="AJ2" s="91" t="s">
        <v>1501</v>
      </c>
      <c r="AK2" s="91" t="s">
        <v>2678</v>
      </c>
      <c r="AL2" s="91" t="s">
        <v>1969</v>
      </c>
      <c r="AM2" s="91" t="s">
        <v>1977</v>
      </c>
      <c r="AN2" s="91" t="s">
        <v>1988</v>
      </c>
      <c r="AO2" s="91" t="s">
        <v>1998</v>
      </c>
      <c r="AP2" s="91" t="s">
        <v>1515</v>
      </c>
      <c r="AQ2" s="91" t="s">
        <v>2715</v>
      </c>
      <c r="AR2" s="91" t="s">
        <v>1522</v>
      </c>
      <c r="AS2" s="91" t="s">
        <v>756</v>
      </c>
      <c r="AT2" s="91" t="s">
        <v>766</v>
      </c>
      <c r="AU2" s="91" t="s">
        <v>776</v>
      </c>
      <c r="AV2" s="91" t="s">
        <v>785</v>
      </c>
      <c r="AW2" s="91" t="s">
        <v>2731</v>
      </c>
      <c r="AX2" s="91" t="s">
        <v>294</v>
      </c>
      <c r="AY2" s="91" t="s">
        <v>305</v>
      </c>
      <c r="AZ2" s="91" t="s">
        <v>318</v>
      </c>
      <c r="BA2" s="91" t="s">
        <v>327</v>
      </c>
      <c r="BB2" s="91" t="s">
        <v>334</v>
      </c>
    </row>
    <row r="3" spans="2:54" x14ac:dyDescent="0.35">
      <c r="B3" s="50" t="s">
        <v>3567</v>
      </c>
      <c r="C3" s="50">
        <v>1</v>
      </c>
      <c r="D3" s="50" t="s">
        <v>4331</v>
      </c>
      <c r="E3" s="111">
        <v>45492</v>
      </c>
      <c r="F3" s="50">
        <v>6</v>
      </c>
      <c r="G3" s="225">
        <v>1</v>
      </c>
      <c r="H3" s="114">
        <v>994692</v>
      </c>
      <c r="I3" s="50" t="s">
        <v>3621</v>
      </c>
      <c r="J3" s="50" t="s">
        <v>3621</v>
      </c>
      <c r="K3" s="50" t="s">
        <v>3621</v>
      </c>
      <c r="L3" s="50" t="s">
        <v>3621</v>
      </c>
      <c r="M3" s="50" t="s">
        <v>3621</v>
      </c>
      <c r="N3" s="50" t="s">
        <v>3621</v>
      </c>
      <c r="O3" s="50" t="s">
        <v>3621</v>
      </c>
      <c r="P3" s="50" t="s">
        <v>3621</v>
      </c>
      <c r="Q3" s="50" t="s">
        <v>3621</v>
      </c>
      <c r="R3" s="50" t="s">
        <v>3621</v>
      </c>
      <c r="S3" s="50" t="s">
        <v>3621</v>
      </c>
      <c r="T3" s="50" t="s">
        <v>3621</v>
      </c>
      <c r="U3" s="50" t="s">
        <v>3621</v>
      </c>
      <c r="V3" s="50" t="s">
        <v>3621</v>
      </c>
      <c r="W3" s="50" t="s">
        <v>3621</v>
      </c>
      <c r="X3" s="50" t="s">
        <v>3621</v>
      </c>
      <c r="Y3" s="50" t="s">
        <v>3621</v>
      </c>
      <c r="Z3" s="50" t="s">
        <v>3621</v>
      </c>
      <c r="AA3" s="50" t="s">
        <v>3621</v>
      </c>
      <c r="AB3" s="50" t="s">
        <v>3621</v>
      </c>
      <c r="AC3" s="50" t="s">
        <v>3621</v>
      </c>
      <c r="AD3" s="50" t="s">
        <v>3621</v>
      </c>
      <c r="AE3" s="50" t="s">
        <v>3621</v>
      </c>
      <c r="AF3" s="50" t="s">
        <v>3621</v>
      </c>
      <c r="AG3" s="50" t="s">
        <v>3621</v>
      </c>
      <c r="AH3" s="50" t="s">
        <v>3621</v>
      </c>
      <c r="AI3" s="50" t="s">
        <v>3621</v>
      </c>
      <c r="AJ3" s="50" t="s">
        <v>3621</v>
      </c>
      <c r="AK3" s="50" t="s">
        <v>3621</v>
      </c>
      <c r="AL3" s="50" t="s">
        <v>3621</v>
      </c>
      <c r="AM3" s="50" t="s">
        <v>3621</v>
      </c>
      <c r="AN3" s="50" t="s">
        <v>3621</v>
      </c>
      <c r="AO3" s="50" t="s">
        <v>3621</v>
      </c>
      <c r="AP3" s="50" t="s">
        <v>3621</v>
      </c>
      <c r="AQ3" s="50" t="s">
        <v>3621</v>
      </c>
      <c r="AR3" s="50" t="s">
        <v>3621</v>
      </c>
      <c r="AS3" s="50" t="s">
        <v>3621</v>
      </c>
      <c r="AT3" s="50" t="s">
        <v>3621</v>
      </c>
      <c r="AU3" s="50" t="s">
        <v>3621</v>
      </c>
      <c r="AV3" s="50" t="s">
        <v>3621</v>
      </c>
      <c r="AW3" s="50" t="s">
        <v>3621</v>
      </c>
      <c r="AX3" s="50" t="s">
        <v>3621</v>
      </c>
      <c r="AY3" s="50" t="s">
        <v>3621</v>
      </c>
      <c r="AZ3" s="50" t="s">
        <v>3621</v>
      </c>
      <c r="BA3" s="50" t="s">
        <v>3621</v>
      </c>
      <c r="BB3" s="50" t="s">
        <v>3621</v>
      </c>
    </row>
    <row r="4" spans="2:54" x14ac:dyDescent="0.35">
      <c r="B4" s="50" t="s">
        <v>3569</v>
      </c>
      <c r="C4" s="50">
        <v>2</v>
      </c>
      <c r="D4" s="50" t="s">
        <v>4332</v>
      </c>
      <c r="E4" s="111">
        <v>45492</v>
      </c>
      <c r="F4" s="50">
        <v>6</v>
      </c>
      <c r="G4" s="225">
        <v>1</v>
      </c>
      <c r="H4" s="50">
        <v>0</v>
      </c>
      <c r="I4" s="50" t="s">
        <v>3621</v>
      </c>
      <c r="J4" s="50" t="s">
        <v>3621</v>
      </c>
      <c r="K4" s="50" t="s">
        <v>3621</v>
      </c>
      <c r="L4" s="50" t="s">
        <v>3621</v>
      </c>
      <c r="M4" s="50" t="s">
        <v>3621</v>
      </c>
      <c r="N4" s="50" t="s">
        <v>3621</v>
      </c>
      <c r="O4" s="50" t="s">
        <v>3621</v>
      </c>
      <c r="P4" s="50" t="s">
        <v>3621</v>
      </c>
      <c r="Q4" s="50" t="s">
        <v>3621</v>
      </c>
      <c r="R4" s="50" t="s">
        <v>3621</v>
      </c>
      <c r="S4" s="50" t="s">
        <v>3621</v>
      </c>
      <c r="T4" s="50" t="s">
        <v>3621</v>
      </c>
      <c r="U4" s="50" t="s">
        <v>3621</v>
      </c>
      <c r="V4" s="50" t="s">
        <v>3621</v>
      </c>
      <c r="W4" s="50" t="s">
        <v>3621</v>
      </c>
      <c r="X4" s="50" t="s">
        <v>3621</v>
      </c>
      <c r="Y4" s="50" t="s">
        <v>3621</v>
      </c>
      <c r="Z4" s="50" t="s">
        <v>3621</v>
      </c>
      <c r="AA4" s="50" t="s">
        <v>3621</v>
      </c>
      <c r="AB4" s="50" t="s">
        <v>3621</v>
      </c>
      <c r="AC4" s="50" t="s">
        <v>3621</v>
      </c>
      <c r="AD4" s="50" t="s">
        <v>3621</v>
      </c>
      <c r="AE4" s="50" t="s">
        <v>3621</v>
      </c>
      <c r="AF4" s="50" t="s">
        <v>3621</v>
      </c>
      <c r="AG4" s="50" t="s">
        <v>3621</v>
      </c>
      <c r="AH4" s="50" t="s">
        <v>3621</v>
      </c>
      <c r="AI4" s="50" t="s">
        <v>3621</v>
      </c>
      <c r="AJ4" s="50" t="s">
        <v>3621</v>
      </c>
      <c r="AK4" s="50" t="s">
        <v>3621</v>
      </c>
      <c r="AL4" s="50" t="s">
        <v>3621</v>
      </c>
      <c r="AM4" s="50" t="s">
        <v>3621</v>
      </c>
      <c r="AN4" s="50" t="s">
        <v>3621</v>
      </c>
      <c r="AO4" s="50" t="s">
        <v>3621</v>
      </c>
      <c r="AP4" s="50" t="s">
        <v>3621</v>
      </c>
      <c r="AQ4" s="50" t="s">
        <v>3621</v>
      </c>
      <c r="AR4" s="50" t="s">
        <v>3621</v>
      </c>
      <c r="AS4" s="50" t="s">
        <v>3621</v>
      </c>
      <c r="AT4" s="50" t="s">
        <v>3621</v>
      </c>
      <c r="AU4" s="50" t="s">
        <v>3621</v>
      </c>
      <c r="AV4" s="50" t="s">
        <v>3621</v>
      </c>
      <c r="AW4" s="50" t="s">
        <v>3621</v>
      </c>
      <c r="AX4" s="50" t="s">
        <v>3621</v>
      </c>
      <c r="AY4" s="50" t="s">
        <v>3621</v>
      </c>
      <c r="AZ4" s="50" t="s">
        <v>3621</v>
      </c>
      <c r="BA4" s="50" t="s">
        <v>3621</v>
      </c>
      <c r="BB4" s="50" t="s">
        <v>3621</v>
      </c>
    </row>
    <row r="5" spans="2:54" x14ac:dyDescent="0.35">
      <c r="B5" s="50" t="s">
        <v>3571</v>
      </c>
      <c r="C5" s="50">
        <v>3</v>
      </c>
      <c r="D5" s="50" t="s">
        <v>4333</v>
      </c>
      <c r="E5" s="111">
        <v>45492</v>
      </c>
      <c r="F5" s="50">
        <v>6</v>
      </c>
      <c r="G5" s="225">
        <v>1</v>
      </c>
      <c r="H5" s="50">
        <v>0</v>
      </c>
      <c r="I5" s="50">
        <v>0</v>
      </c>
      <c r="J5" s="50">
        <v>0</v>
      </c>
      <c r="K5" s="50" t="s">
        <v>3621</v>
      </c>
      <c r="L5" s="50" t="s">
        <v>3621</v>
      </c>
      <c r="M5" s="50" t="s">
        <v>3621</v>
      </c>
      <c r="N5" s="50" t="s">
        <v>3621</v>
      </c>
      <c r="O5" s="50" t="s">
        <v>3621</v>
      </c>
      <c r="P5" s="50" t="s">
        <v>3621</v>
      </c>
      <c r="Q5" s="50" t="s">
        <v>3621</v>
      </c>
      <c r="R5" s="50" t="s">
        <v>3621</v>
      </c>
      <c r="S5" s="50" t="s">
        <v>3621</v>
      </c>
      <c r="T5" s="50" t="s">
        <v>3621</v>
      </c>
      <c r="U5" s="50" t="s">
        <v>3621</v>
      </c>
      <c r="V5" s="50" t="s">
        <v>3621</v>
      </c>
      <c r="W5" s="50" t="s">
        <v>3621</v>
      </c>
      <c r="X5" s="50" t="s">
        <v>3621</v>
      </c>
      <c r="Y5" s="50" t="s">
        <v>3621</v>
      </c>
      <c r="Z5" s="50" t="s">
        <v>3621</v>
      </c>
      <c r="AA5" s="50" t="s">
        <v>3621</v>
      </c>
      <c r="AB5" s="50" t="s">
        <v>3621</v>
      </c>
      <c r="AC5" s="50" t="s">
        <v>3621</v>
      </c>
      <c r="AD5" s="50" t="s">
        <v>3621</v>
      </c>
      <c r="AE5" s="50" t="s">
        <v>3621</v>
      </c>
      <c r="AF5" s="50" t="s">
        <v>3621</v>
      </c>
      <c r="AG5" s="50" t="s">
        <v>3621</v>
      </c>
      <c r="AH5" s="50" t="s">
        <v>3621</v>
      </c>
      <c r="AI5" s="50" t="s">
        <v>3621</v>
      </c>
      <c r="AJ5" s="50" t="s">
        <v>3621</v>
      </c>
      <c r="AK5" s="50" t="s">
        <v>3621</v>
      </c>
      <c r="AL5" s="50" t="s">
        <v>3621</v>
      </c>
      <c r="AM5" s="50" t="s">
        <v>3621</v>
      </c>
      <c r="AN5" s="50" t="s">
        <v>3621</v>
      </c>
      <c r="AO5" s="50" t="s">
        <v>3621</v>
      </c>
      <c r="AP5" s="50" t="s">
        <v>3621</v>
      </c>
      <c r="AQ5" s="50" t="s">
        <v>3621</v>
      </c>
      <c r="AR5" s="50" t="s">
        <v>3621</v>
      </c>
      <c r="AS5" s="50" t="s">
        <v>3621</v>
      </c>
      <c r="AT5" s="50" t="s">
        <v>3621</v>
      </c>
      <c r="AU5" s="50" t="s">
        <v>3621</v>
      </c>
      <c r="AV5" s="50" t="s">
        <v>3621</v>
      </c>
      <c r="AW5" s="50" t="s">
        <v>3621</v>
      </c>
      <c r="AX5" s="50" t="s">
        <v>3621</v>
      </c>
      <c r="AY5" s="50" t="s">
        <v>3621</v>
      </c>
      <c r="AZ5" s="50" t="s">
        <v>3621</v>
      </c>
      <c r="BA5" s="50">
        <v>0</v>
      </c>
      <c r="BB5" s="50" t="s">
        <v>3621</v>
      </c>
    </row>
    <row r="6" spans="2:54" x14ac:dyDescent="0.35">
      <c r="B6" s="113" t="s">
        <v>3573</v>
      </c>
      <c r="C6" s="50">
        <v>4</v>
      </c>
      <c r="D6" s="50" t="s">
        <v>3624</v>
      </c>
      <c r="E6" s="111" t="s">
        <v>3621</v>
      </c>
      <c r="F6" s="50">
        <v>6</v>
      </c>
      <c r="G6" s="50" t="s">
        <v>3621</v>
      </c>
      <c r="H6" s="50" t="s">
        <v>3621</v>
      </c>
      <c r="I6" s="50" t="s">
        <v>3621</v>
      </c>
      <c r="J6" s="50" t="s">
        <v>3621</v>
      </c>
      <c r="K6" s="50" t="s">
        <v>3621</v>
      </c>
      <c r="L6" s="50" t="s">
        <v>3621</v>
      </c>
      <c r="M6" s="50" t="s">
        <v>3621</v>
      </c>
      <c r="N6" s="50" t="s">
        <v>3621</v>
      </c>
      <c r="O6" s="50" t="s">
        <v>3621</v>
      </c>
      <c r="P6" s="50" t="s">
        <v>3621</v>
      </c>
      <c r="Q6" s="50" t="s">
        <v>3621</v>
      </c>
      <c r="R6" s="50" t="s">
        <v>3621</v>
      </c>
      <c r="S6" s="50" t="s">
        <v>3621</v>
      </c>
      <c r="T6" s="50" t="s">
        <v>3621</v>
      </c>
      <c r="U6" s="50" t="s">
        <v>3621</v>
      </c>
      <c r="V6" s="50" t="s">
        <v>3621</v>
      </c>
      <c r="W6" s="50" t="s">
        <v>3621</v>
      </c>
      <c r="X6" s="50" t="s">
        <v>3621</v>
      </c>
      <c r="Y6" s="50" t="s">
        <v>3621</v>
      </c>
      <c r="Z6" s="50" t="s">
        <v>3621</v>
      </c>
      <c r="AA6" s="50" t="s">
        <v>3621</v>
      </c>
      <c r="AB6" s="50" t="s">
        <v>3621</v>
      </c>
      <c r="AC6" s="50" t="s">
        <v>3621</v>
      </c>
      <c r="AD6" s="50" t="s">
        <v>3621</v>
      </c>
      <c r="AE6" s="50" t="s">
        <v>3621</v>
      </c>
      <c r="AF6" s="50" t="s">
        <v>3621</v>
      </c>
      <c r="AG6" s="50" t="s">
        <v>3621</v>
      </c>
      <c r="AH6" s="50" t="s">
        <v>3621</v>
      </c>
      <c r="AI6" s="50" t="s">
        <v>3621</v>
      </c>
      <c r="AJ6" s="50" t="s">
        <v>3621</v>
      </c>
      <c r="AK6" s="50" t="s">
        <v>3621</v>
      </c>
      <c r="AL6" s="50" t="s">
        <v>3621</v>
      </c>
      <c r="AM6" s="50" t="s">
        <v>3621</v>
      </c>
      <c r="AN6" s="50" t="s">
        <v>3621</v>
      </c>
      <c r="AO6" s="50" t="s">
        <v>3621</v>
      </c>
      <c r="AP6" s="50" t="s">
        <v>3621</v>
      </c>
      <c r="AQ6" s="50" t="s">
        <v>3621</v>
      </c>
      <c r="AR6" s="50" t="s">
        <v>3621</v>
      </c>
      <c r="AS6" s="50" t="s">
        <v>3621</v>
      </c>
      <c r="AT6" s="50" t="s">
        <v>3621</v>
      </c>
      <c r="AU6" s="50" t="s">
        <v>3621</v>
      </c>
      <c r="AV6" s="50" t="s">
        <v>3621</v>
      </c>
      <c r="AW6" s="50" t="s">
        <v>3621</v>
      </c>
      <c r="AX6" s="50" t="s">
        <v>3621</v>
      </c>
      <c r="AY6" s="50" t="s">
        <v>3621</v>
      </c>
      <c r="AZ6" s="50" t="s">
        <v>3621</v>
      </c>
      <c r="BA6" s="50" t="s">
        <v>3621</v>
      </c>
      <c r="BB6" s="50" t="s">
        <v>3621</v>
      </c>
    </row>
    <row r="7" spans="2:54" x14ac:dyDescent="0.35">
      <c r="B7" s="50" t="s">
        <v>3575</v>
      </c>
      <c r="C7" s="50">
        <v>5</v>
      </c>
      <c r="D7" s="50" t="s">
        <v>3624</v>
      </c>
      <c r="E7" s="111" t="s">
        <v>3621</v>
      </c>
      <c r="F7" s="50">
        <v>6</v>
      </c>
      <c r="G7" s="50" t="s">
        <v>3621</v>
      </c>
      <c r="H7" s="50" t="s">
        <v>3621</v>
      </c>
      <c r="I7" s="50" t="s">
        <v>3621</v>
      </c>
      <c r="J7" s="50" t="s">
        <v>3621</v>
      </c>
      <c r="K7" s="50" t="s">
        <v>3621</v>
      </c>
      <c r="L7" s="50" t="s">
        <v>3621</v>
      </c>
      <c r="M7" s="50" t="s">
        <v>3621</v>
      </c>
      <c r="N7" s="50" t="s">
        <v>3621</v>
      </c>
      <c r="O7" s="50" t="s">
        <v>3621</v>
      </c>
      <c r="P7" s="50" t="s">
        <v>3621</v>
      </c>
      <c r="Q7" s="50" t="s">
        <v>3621</v>
      </c>
      <c r="R7" s="50" t="s">
        <v>3621</v>
      </c>
      <c r="S7" s="50" t="s">
        <v>3621</v>
      </c>
      <c r="T7" s="50" t="s">
        <v>3621</v>
      </c>
      <c r="U7" s="50" t="s">
        <v>3621</v>
      </c>
      <c r="V7" s="50" t="s">
        <v>3621</v>
      </c>
      <c r="W7" s="50" t="s">
        <v>3621</v>
      </c>
      <c r="X7" s="50" t="s">
        <v>3621</v>
      </c>
      <c r="Y7" s="50" t="s">
        <v>3621</v>
      </c>
      <c r="Z7" s="50" t="s">
        <v>3621</v>
      </c>
      <c r="AA7" s="50" t="s">
        <v>3621</v>
      </c>
      <c r="AB7" s="50" t="s">
        <v>3621</v>
      </c>
      <c r="AC7" s="50" t="s">
        <v>3621</v>
      </c>
      <c r="AD7" s="50" t="s">
        <v>3621</v>
      </c>
      <c r="AE7" s="50" t="s">
        <v>3621</v>
      </c>
      <c r="AF7" s="50" t="s">
        <v>3621</v>
      </c>
      <c r="AG7" s="50" t="s">
        <v>3621</v>
      </c>
      <c r="AH7" s="50" t="s">
        <v>3621</v>
      </c>
      <c r="AI7" s="50" t="s">
        <v>3621</v>
      </c>
      <c r="AJ7" s="50" t="s">
        <v>3621</v>
      </c>
      <c r="AK7" s="50" t="s">
        <v>3621</v>
      </c>
      <c r="AL7" s="50" t="s">
        <v>3621</v>
      </c>
      <c r="AM7" s="50" t="s">
        <v>3621</v>
      </c>
      <c r="AN7" s="50" t="s">
        <v>3621</v>
      </c>
      <c r="AO7" s="50" t="s">
        <v>3621</v>
      </c>
      <c r="AP7" s="50" t="s">
        <v>3621</v>
      </c>
      <c r="AQ7" s="50" t="s">
        <v>3621</v>
      </c>
      <c r="AR7" s="50" t="s">
        <v>3621</v>
      </c>
      <c r="AS7" s="50" t="s">
        <v>3621</v>
      </c>
      <c r="AT7" s="50" t="s">
        <v>3621</v>
      </c>
      <c r="AU7" s="50" t="s">
        <v>3621</v>
      </c>
      <c r="AV7" s="50" t="s">
        <v>3621</v>
      </c>
      <c r="AW7" s="50" t="s">
        <v>3621</v>
      </c>
      <c r="AX7" s="50" t="s">
        <v>3621</v>
      </c>
      <c r="AY7" s="50" t="s">
        <v>3621</v>
      </c>
      <c r="AZ7" s="50" t="s">
        <v>3621</v>
      </c>
      <c r="BA7" s="50" t="s">
        <v>3621</v>
      </c>
      <c r="BB7" s="50" t="s">
        <v>3621</v>
      </c>
    </row>
    <row r="8" spans="2:54" x14ac:dyDescent="0.35">
      <c r="B8" s="113" t="s">
        <v>3576</v>
      </c>
      <c r="C8" s="50">
        <v>6</v>
      </c>
      <c r="D8" s="50" t="s">
        <v>4334</v>
      </c>
      <c r="E8" s="111">
        <v>45492</v>
      </c>
      <c r="F8" s="50">
        <v>6</v>
      </c>
      <c r="G8" s="225" cm="1">
        <f t="array" ref="G8">SUMPRODUCT(--(I8:BB8&gt;0))/COUNTA(I8:BB8)</f>
        <v>1</v>
      </c>
      <c r="H8" s="50">
        <v>0</v>
      </c>
      <c r="I8" s="50">
        <v>2</v>
      </c>
      <c r="J8" s="50">
        <v>30</v>
      </c>
      <c r="K8" s="50">
        <v>3</v>
      </c>
      <c r="L8" s="50">
        <v>3</v>
      </c>
      <c r="M8" s="50">
        <v>3</v>
      </c>
      <c r="N8" s="50">
        <v>2</v>
      </c>
      <c r="O8" s="50">
        <v>30</v>
      </c>
      <c r="P8" s="50">
        <v>10</v>
      </c>
      <c r="Q8" s="50">
        <v>10</v>
      </c>
      <c r="R8" s="50">
        <v>3</v>
      </c>
      <c r="S8" s="50">
        <v>1</v>
      </c>
      <c r="T8" s="50">
        <v>1</v>
      </c>
      <c r="U8" s="50">
        <v>8</v>
      </c>
      <c r="V8" s="50">
        <v>8</v>
      </c>
      <c r="W8" s="50">
        <v>8</v>
      </c>
      <c r="X8" s="50">
        <v>8</v>
      </c>
      <c r="Y8" s="50">
        <v>8</v>
      </c>
      <c r="Z8" s="50">
        <v>8</v>
      </c>
      <c r="AA8" s="50">
        <v>10</v>
      </c>
      <c r="AB8" s="50">
        <v>8</v>
      </c>
      <c r="AC8" s="50">
        <v>8</v>
      </c>
      <c r="AD8" s="50">
        <v>10</v>
      </c>
      <c r="AE8" s="50">
        <v>8</v>
      </c>
      <c r="AF8" s="50">
        <v>10</v>
      </c>
      <c r="AG8" s="50">
        <v>8</v>
      </c>
      <c r="AH8" s="50">
        <v>10</v>
      </c>
      <c r="AI8" s="50">
        <v>8</v>
      </c>
      <c r="AJ8" s="50">
        <v>1</v>
      </c>
      <c r="AK8" s="50">
        <v>1</v>
      </c>
      <c r="AL8" s="50">
        <v>3</v>
      </c>
      <c r="AM8" s="50">
        <v>2</v>
      </c>
      <c r="AN8" s="50">
        <v>8</v>
      </c>
      <c r="AO8" s="50">
        <v>8</v>
      </c>
      <c r="AP8" s="50">
        <v>8</v>
      </c>
      <c r="AQ8" s="50">
        <v>8</v>
      </c>
      <c r="AR8" s="50">
        <v>3</v>
      </c>
      <c r="AS8" s="50">
        <v>2</v>
      </c>
      <c r="AT8" s="50">
        <v>8</v>
      </c>
      <c r="AU8" s="50">
        <v>8</v>
      </c>
      <c r="AV8" s="50">
        <v>8</v>
      </c>
      <c r="AW8" s="50">
        <v>8</v>
      </c>
      <c r="AX8" s="50">
        <v>3</v>
      </c>
      <c r="AY8" s="50">
        <v>3</v>
      </c>
      <c r="AZ8" s="50">
        <v>2</v>
      </c>
      <c r="BA8" s="50">
        <v>10</v>
      </c>
      <c r="BB8" s="50">
        <v>23</v>
      </c>
    </row>
    <row r="9" spans="2:54" x14ac:dyDescent="0.35">
      <c r="B9" s="50" t="s">
        <v>3579</v>
      </c>
      <c r="C9" s="50">
        <v>7</v>
      </c>
      <c r="D9" s="50" t="s">
        <v>4335</v>
      </c>
      <c r="E9" s="111">
        <v>45492</v>
      </c>
      <c r="F9" s="50">
        <v>6</v>
      </c>
      <c r="G9" s="225" cm="1">
        <f t="array" ref="G9">SUMPRODUCT(--(I9:BB9 &lt;= I28:BB28))/COUNTA(I28:BB28)</f>
        <v>1</v>
      </c>
      <c r="H9" s="50">
        <v>0</v>
      </c>
      <c r="I9" s="50">
        <v>2</v>
      </c>
      <c r="J9" s="50">
        <v>30</v>
      </c>
      <c r="K9" s="50">
        <v>3</v>
      </c>
      <c r="L9" s="50">
        <v>3</v>
      </c>
      <c r="M9" s="50">
        <v>3</v>
      </c>
      <c r="N9" s="50">
        <v>2</v>
      </c>
      <c r="O9" s="50">
        <v>30</v>
      </c>
      <c r="P9" s="50">
        <v>10</v>
      </c>
      <c r="Q9" s="50">
        <v>10</v>
      </c>
      <c r="R9" s="50">
        <v>3</v>
      </c>
      <c r="S9" s="50">
        <v>1</v>
      </c>
      <c r="T9" s="50">
        <v>4</v>
      </c>
      <c r="U9" s="50">
        <v>17</v>
      </c>
      <c r="V9" s="50">
        <v>17</v>
      </c>
      <c r="W9" s="50">
        <v>17</v>
      </c>
      <c r="X9" s="50">
        <v>17</v>
      </c>
      <c r="Y9" s="50">
        <v>14</v>
      </c>
      <c r="Z9" s="50">
        <v>15</v>
      </c>
      <c r="AA9" s="50">
        <v>10</v>
      </c>
      <c r="AB9" s="50">
        <v>15</v>
      </c>
      <c r="AC9" s="50">
        <v>13</v>
      </c>
      <c r="AD9" s="50">
        <v>10</v>
      </c>
      <c r="AE9" s="50">
        <v>15</v>
      </c>
      <c r="AF9" s="50">
        <v>10</v>
      </c>
      <c r="AG9" s="50">
        <v>14</v>
      </c>
      <c r="AH9" s="50">
        <v>10</v>
      </c>
      <c r="AI9" s="50">
        <v>15</v>
      </c>
      <c r="AJ9" s="50">
        <v>4</v>
      </c>
      <c r="AK9" s="50">
        <v>1</v>
      </c>
      <c r="AL9" s="50">
        <v>3</v>
      </c>
      <c r="AM9" s="50">
        <v>4</v>
      </c>
      <c r="AN9" s="50">
        <v>11</v>
      </c>
      <c r="AO9" s="50">
        <v>10</v>
      </c>
      <c r="AP9" s="50">
        <v>9</v>
      </c>
      <c r="AQ9" s="50">
        <v>9</v>
      </c>
      <c r="AR9" s="50">
        <v>3</v>
      </c>
      <c r="AS9" s="50">
        <v>4</v>
      </c>
      <c r="AT9" s="50">
        <v>11</v>
      </c>
      <c r="AU9" s="50">
        <v>10</v>
      </c>
      <c r="AV9" s="50">
        <v>9</v>
      </c>
      <c r="AW9" s="50">
        <v>9</v>
      </c>
      <c r="AX9" s="50">
        <v>3</v>
      </c>
      <c r="AY9" s="50">
        <v>3</v>
      </c>
      <c r="AZ9" s="50">
        <v>2</v>
      </c>
      <c r="BA9" s="50">
        <v>10</v>
      </c>
      <c r="BB9" s="50">
        <v>23</v>
      </c>
    </row>
    <row r="10" spans="2:54" x14ac:dyDescent="0.35">
      <c r="B10" s="50" t="s">
        <v>3582</v>
      </c>
      <c r="C10" s="50">
        <v>8</v>
      </c>
      <c r="D10" s="50" t="s">
        <v>4336</v>
      </c>
      <c r="E10" s="111">
        <v>45492</v>
      </c>
      <c r="F10" s="50">
        <v>6</v>
      </c>
      <c r="G10" s="50" t="s">
        <v>3621</v>
      </c>
      <c r="H10" s="50" t="s">
        <v>3621</v>
      </c>
      <c r="I10" s="50">
        <v>31</v>
      </c>
      <c r="J10" s="50">
        <v>2.317541E+21</v>
      </c>
      <c r="K10" s="50" t="s">
        <v>4337</v>
      </c>
      <c r="L10" s="50">
        <v>96</v>
      </c>
      <c r="M10" s="50">
        <v>1</v>
      </c>
      <c r="N10" s="111">
        <v>31</v>
      </c>
      <c r="O10" s="50">
        <v>1.3033148999999999E+22</v>
      </c>
      <c r="P10" s="111" t="s">
        <v>3629</v>
      </c>
      <c r="Q10" s="111" t="s">
        <v>3629</v>
      </c>
      <c r="R10" s="111">
        <v>578</v>
      </c>
      <c r="S10" s="114">
        <v>0</v>
      </c>
      <c r="T10" s="50">
        <v>0</v>
      </c>
      <c r="U10" s="50" t="s">
        <v>3630</v>
      </c>
      <c r="V10" s="50" t="s">
        <v>3630</v>
      </c>
      <c r="W10" s="50" t="s">
        <v>3630</v>
      </c>
      <c r="X10" s="50" t="s">
        <v>3630</v>
      </c>
      <c r="Y10" s="50" t="s">
        <v>3630</v>
      </c>
      <c r="Z10" s="50" t="s">
        <v>3630</v>
      </c>
      <c r="AA10" s="111" t="s">
        <v>3629</v>
      </c>
      <c r="AB10" s="114">
        <v>-28990000</v>
      </c>
      <c r="AC10" s="114" t="s">
        <v>3630</v>
      </c>
      <c r="AD10" s="111">
        <v>35480</v>
      </c>
      <c r="AE10" s="114">
        <v>-81710000</v>
      </c>
      <c r="AF10" s="111">
        <v>36984</v>
      </c>
      <c r="AG10" s="50" t="s">
        <v>3630</v>
      </c>
      <c r="AH10" s="111">
        <v>38499</v>
      </c>
      <c r="AI10" s="50" t="s">
        <v>4338</v>
      </c>
      <c r="AJ10" s="114">
        <v>1</v>
      </c>
      <c r="AK10" s="50"/>
      <c r="AL10" s="50" t="s">
        <v>4267</v>
      </c>
      <c r="AM10" s="50" t="e">
        <v>#N/A</v>
      </c>
      <c r="AN10" s="114">
        <v>-10000000</v>
      </c>
      <c r="AO10" s="50" t="s">
        <v>3630</v>
      </c>
      <c r="AP10" s="50" t="s">
        <v>3630</v>
      </c>
      <c r="AQ10" s="50" t="s">
        <v>3630</v>
      </c>
      <c r="AR10" s="50" t="s">
        <v>4267</v>
      </c>
      <c r="AS10" s="50" t="e">
        <v>#N/A</v>
      </c>
      <c r="AT10" s="114">
        <v>-11000000</v>
      </c>
      <c r="AU10" s="50" t="s">
        <v>4339</v>
      </c>
      <c r="AV10" s="50" t="s">
        <v>4340</v>
      </c>
      <c r="AW10" s="50" t="s">
        <v>3630</v>
      </c>
      <c r="AX10" s="111" t="s">
        <v>3631</v>
      </c>
      <c r="AY10" s="50" t="s">
        <v>4268</v>
      </c>
      <c r="AZ10" s="50" t="s">
        <v>4341</v>
      </c>
      <c r="BA10" s="111">
        <v>45491</v>
      </c>
      <c r="BB10" s="50" t="s">
        <v>4342</v>
      </c>
    </row>
    <row r="11" spans="2:54" x14ac:dyDescent="0.35">
      <c r="B11" s="50" t="s">
        <v>3584</v>
      </c>
      <c r="C11" s="50">
        <v>9</v>
      </c>
      <c r="D11" s="50" t="s">
        <v>4343</v>
      </c>
      <c r="E11" s="111">
        <v>45492</v>
      </c>
      <c r="F11" s="50">
        <v>6</v>
      </c>
      <c r="G11" s="50" t="s">
        <v>3621</v>
      </c>
      <c r="H11" s="50" t="s">
        <v>3621</v>
      </c>
      <c r="I11" s="50">
        <v>31</v>
      </c>
      <c r="J11" s="50">
        <v>2.317541E+21</v>
      </c>
      <c r="K11" s="50"/>
      <c r="L11" s="50">
        <v>96</v>
      </c>
      <c r="M11" s="50">
        <v>1</v>
      </c>
      <c r="N11" s="111"/>
      <c r="O11" s="50">
        <v>1.3033148999999999E+22</v>
      </c>
      <c r="P11" s="111" t="s">
        <v>3629</v>
      </c>
      <c r="Q11" s="111" t="s">
        <v>3629</v>
      </c>
      <c r="R11" s="111">
        <v>578</v>
      </c>
      <c r="S11" s="111">
        <v>0</v>
      </c>
      <c r="T11" s="50">
        <v>0</v>
      </c>
      <c r="U11" s="50" t="s">
        <v>3630</v>
      </c>
      <c r="V11" s="50" t="s">
        <v>3630</v>
      </c>
      <c r="W11" s="50" t="s">
        <v>3630</v>
      </c>
      <c r="X11" s="50" t="s">
        <v>3630</v>
      </c>
      <c r="Y11" s="50" t="s">
        <v>3630</v>
      </c>
      <c r="Z11" s="50" t="s">
        <v>3630</v>
      </c>
      <c r="AA11" s="111" t="s">
        <v>3629</v>
      </c>
      <c r="AB11" s="114">
        <v>-28990000</v>
      </c>
      <c r="AC11" s="50" t="s">
        <v>3630</v>
      </c>
      <c r="AD11" s="114">
        <v>35480</v>
      </c>
      <c r="AE11" s="114">
        <v>-81710000</v>
      </c>
      <c r="AF11" s="111">
        <v>36984</v>
      </c>
      <c r="AG11" s="50" t="s">
        <v>3630</v>
      </c>
      <c r="AH11" s="111">
        <v>38499</v>
      </c>
      <c r="AI11" s="50" t="s">
        <v>4338</v>
      </c>
      <c r="AJ11" s="114">
        <v>1</v>
      </c>
      <c r="AK11" s="50"/>
      <c r="AL11" s="50" t="s">
        <v>4267</v>
      </c>
      <c r="AM11" s="50" t="e">
        <v>#N/A</v>
      </c>
      <c r="AN11" s="114">
        <v>-10000000</v>
      </c>
      <c r="AO11" s="50" t="s">
        <v>3630</v>
      </c>
      <c r="AP11" s="50" t="s">
        <v>3630</v>
      </c>
      <c r="AQ11" s="50" t="s">
        <v>3630</v>
      </c>
      <c r="AR11" s="50" t="s">
        <v>4267</v>
      </c>
      <c r="AS11" s="50" t="e">
        <v>#N/A</v>
      </c>
      <c r="AT11" s="114">
        <v>-11000000</v>
      </c>
      <c r="AU11" s="50" t="s">
        <v>4339</v>
      </c>
      <c r="AV11" s="50" t="s">
        <v>4340</v>
      </c>
      <c r="AW11" s="50" t="s">
        <v>3630</v>
      </c>
      <c r="AX11" s="111">
        <v>0</v>
      </c>
      <c r="AY11" s="50" t="s">
        <v>3744</v>
      </c>
      <c r="AZ11" s="50" t="s">
        <v>4341</v>
      </c>
      <c r="BA11" s="111">
        <v>45491</v>
      </c>
      <c r="BB11" s="50" t="s">
        <v>4344</v>
      </c>
    </row>
    <row r="12" spans="2:54" x14ac:dyDescent="0.35">
      <c r="B12" s="113" t="s">
        <v>3586</v>
      </c>
      <c r="C12" s="50">
        <v>10</v>
      </c>
      <c r="D12" s="50" t="s">
        <v>4345</v>
      </c>
      <c r="E12" s="111">
        <v>45492</v>
      </c>
      <c r="F12" s="50">
        <v>6</v>
      </c>
      <c r="G12" s="50" t="s">
        <v>3621</v>
      </c>
      <c r="H12" s="50" t="s">
        <v>3621</v>
      </c>
      <c r="I12" s="50">
        <v>31</v>
      </c>
      <c r="J12" s="201">
        <v>6.8350096000050594E+29</v>
      </c>
      <c r="K12" s="50" t="s">
        <v>4337</v>
      </c>
      <c r="L12" s="50">
        <v>96</v>
      </c>
      <c r="M12" s="111" t="s">
        <v>4346</v>
      </c>
      <c r="N12" s="111">
        <v>31</v>
      </c>
      <c r="O12" s="114">
        <v>2.3950569509102E+29</v>
      </c>
      <c r="P12" s="209">
        <v>110541</v>
      </c>
      <c r="Q12" s="111">
        <v>100616</v>
      </c>
      <c r="R12" s="111">
        <v>978</v>
      </c>
      <c r="S12" s="173" t="s">
        <v>4347</v>
      </c>
      <c r="T12" s="50">
        <v>1122</v>
      </c>
      <c r="U12" s="114">
        <v>2300000000000000</v>
      </c>
      <c r="V12" s="114">
        <v>2300000000000000</v>
      </c>
      <c r="W12" s="114">
        <v>2300000000000000</v>
      </c>
      <c r="X12" s="114">
        <v>2300000000000000</v>
      </c>
      <c r="Y12" s="114">
        <v>1642170000000</v>
      </c>
      <c r="Z12" s="111">
        <v>12775341410000</v>
      </c>
      <c r="AA12" s="111">
        <v>2958465</v>
      </c>
      <c r="AB12" s="114">
        <v>320000000000</v>
      </c>
      <c r="AC12" s="114">
        <v>500000000000</v>
      </c>
      <c r="AD12" s="114">
        <v>45493</v>
      </c>
      <c r="AE12" s="114">
        <v>84490862880000</v>
      </c>
      <c r="AF12" s="114">
        <v>45491</v>
      </c>
      <c r="AG12" s="111">
        <v>2026000000000</v>
      </c>
      <c r="AH12" s="114">
        <v>45492</v>
      </c>
      <c r="AI12" s="111">
        <v>10900000000000</v>
      </c>
      <c r="AJ12" s="114">
        <v>1001</v>
      </c>
      <c r="AK12" s="111" t="s">
        <v>3869</v>
      </c>
      <c r="AL12" s="114" t="s">
        <v>3700</v>
      </c>
      <c r="AM12" s="111" t="s">
        <v>4348</v>
      </c>
      <c r="AN12" s="114">
        <v>2480712000</v>
      </c>
      <c r="AO12" s="114">
        <v>126000000</v>
      </c>
      <c r="AP12" s="114">
        <v>99999999</v>
      </c>
      <c r="AQ12" s="114">
        <v>13241605</v>
      </c>
      <c r="AR12" s="50" t="s">
        <v>3700</v>
      </c>
      <c r="AS12" s="114" t="s">
        <v>4348</v>
      </c>
      <c r="AT12" s="114">
        <v>2431200000</v>
      </c>
      <c r="AU12" s="114">
        <v>120000000</v>
      </c>
      <c r="AV12" s="114">
        <v>20722600</v>
      </c>
      <c r="AW12" s="114">
        <v>13241605</v>
      </c>
      <c r="AX12" s="111" t="s">
        <v>3860</v>
      </c>
      <c r="AY12" s="50" t="s">
        <v>4276</v>
      </c>
      <c r="AZ12" s="50" t="s">
        <v>3641</v>
      </c>
      <c r="BA12" s="111">
        <v>45492</v>
      </c>
      <c r="BB12" s="50" t="s">
        <v>4342</v>
      </c>
    </row>
    <row r="13" spans="2:54" x14ac:dyDescent="0.35">
      <c r="B13" s="50" t="s">
        <v>3588</v>
      </c>
      <c r="C13" s="50">
        <v>11</v>
      </c>
      <c r="D13" s="50" t="s">
        <v>4349</v>
      </c>
      <c r="E13" s="111">
        <v>45492</v>
      </c>
      <c r="F13" s="50">
        <v>6</v>
      </c>
      <c r="G13" s="50" t="s">
        <v>3621</v>
      </c>
      <c r="H13" s="50" t="s">
        <v>3621</v>
      </c>
      <c r="I13" s="50">
        <v>31</v>
      </c>
      <c r="J13" s="201">
        <v>6.8350096000050594E+29</v>
      </c>
      <c r="K13" s="50"/>
      <c r="L13" s="50">
        <v>96</v>
      </c>
      <c r="M13" s="111" t="s">
        <v>4346</v>
      </c>
      <c r="N13" s="111"/>
      <c r="O13" s="114">
        <v>2.3950569509102E+29</v>
      </c>
      <c r="P13" s="111">
        <v>110541</v>
      </c>
      <c r="Q13" s="111">
        <v>100616</v>
      </c>
      <c r="R13" s="111">
        <v>978</v>
      </c>
      <c r="S13" s="111">
        <v>1</v>
      </c>
      <c r="T13" s="50">
        <v>1122</v>
      </c>
      <c r="U13" s="114">
        <v>2300000000000000</v>
      </c>
      <c r="V13" s="114">
        <v>2300000000000000</v>
      </c>
      <c r="W13" s="114">
        <v>2300000000000000</v>
      </c>
      <c r="X13" s="114">
        <v>2300000000000000</v>
      </c>
      <c r="Y13" s="114">
        <v>1642170000000</v>
      </c>
      <c r="Z13" s="111">
        <v>12775341410000</v>
      </c>
      <c r="AA13" s="111">
        <v>2958465</v>
      </c>
      <c r="AB13" s="114">
        <v>320000000000</v>
      </c>
      <c r="AC13" s="114">
        <v>500000000000</v>
      </c>
      <c r="AD13" s="114">
        <v>45493</v>
      </c>
      <c r="AE13" s="114">
        <v>84490862880000</v>
      </c>
      <c r="AF13" s="114">
        <v>45491</v>
      </c>
      <c r="AG13" s="111">
        <v>2026000000000</v>
      </c>
      <c r="AH13" s="114">
        <v>45492</v>
      </c>
      <c r="AI13" s="114">
        <v>10900000000000</v>
      </c>
      <c r="AJ13" s="114">
        <v>99</v>
      </c>
      <c r="AK13" s="50" t="s">
        <v>3869</v>
      </c>
      <c r="AL13" s="114" t="s">
        <v>3700</v>
      </c>
      <c r="AM13" s="111" t="s">
        <v>4348</v>
      </c>
      <c r="AN13" s="114">
        <v>2480712000</v>
      </c>
      <c r="AO13" s="114">
        <v>126000000</v>
      </c>
      <c r="AP13" s="114">
        <v>99999999</v>
      </c>
      <c r="AQ13" s="114">
        <v>13241605</v>
      </c>
      <c r="AR13" s="50" t="s">
        <v>3700</v>
      </c>
      <c r="AS13" s="50" t="s">
        <v>4348</v>
      </c>
      <c r="AT13" s="114">
        <v>2431200000</v>
      </c>
      <c r="AU13" s="114">
        <v>120000000</v>
      </c>
      <c r="AV13" s="114">
        <v>20722600</v>
      </c>
      <c r="AW13" s="114">
        <v>13241605</v>
      </c>
      <c r="AX13" s="111" t="s">
        <v>4350</v>
      </c>
      <c r="AY13" s="50" t="s">
        <v>3744</v>
      </c>
      <c r="AZ13" s="50" t="s">
        <v>3641</v>
      </c>
      <c r="BA13" s="111">
        <v>45492</v>
      </c>
      <c r="BB13" s="50" t="s">
        <v>4351</v>
      </c>
    </row>
    <row r="14" spans="2:54" x14ac:dyDescent="0.35">
      <c r="B14" s="50" t="s">
        <v>3590</v>
      </c>
      <c r="C14" s="50">
        <v>12</v>
      </c>
      <c r="D14" s="50" t="s">
        <v>4352</v>
      </c>
      <c r="E14" s="111">
        <v>45492</v>
      </c>
      <c r="F14" s="50">
        <v>6</v>
      </c>
      <c r="G14" s="225">
        <v>0.47826099999999999</v>
      </c>
      <c r="H14" s="50">
        <v>0</v>
      </c>
      <c r="I14" s="50">
        <v>0</v>
      </c>
      <c r="J14" s="50">
        <v>0</v>
      </c>
      <c r="K14" s="50">
        <v>0</v>
      </c>
      <c r="L14" s="50">
        <v>0</v>
      </c>
      <c r="M14" s="50">
        <v>0</v>
      </c>
      <c r="N14" s="50">
        <v>0</v>
      </c>
      <c r="O14" s="50">
        <v>125</v>
      </c>
      <c r="P14" s="50">
        <v>0</v>
      </c>
      <c r="Q14" s="50">
        <v>0</v>
      </c>
      <c r="R14" s="50">
        <v>0</v>
      </c>
      <c r="S14" s="50">
        <v>0</v>
      </c>
      <c r="T14" s="50">
        <v>32</v>
      </c>
      <c r="U14" s="50">
        <v>0</v>
      </c>
      <c r="V14" s="50">
        <v>0</v>
      </c>
      <c r="W14" s="50">
        <v>0</v>
      </c>
      <c r="X14" s="50">
        <v>18</v>
      </c>
      <c r="Y14" s="50">
        <v>0</v>
      </c>
      <c r="Z14" s="50">
        <v>3</v>
      </c>
      <c r="AA14" s="50">
        <v>0</v>
      </c>
      <c r="AB14" s="50">
        <v>914346</v>
      </c>
      <c r="AC14" s="50">
        <v>25</v>
      </c>
      <c r="AD14" s="50">
        <v>210140</v>
      </c>
      <c r="AE14" s="50">
        <v>210140</v>
      </c>
      <c r="AF14" s="50">
        <v>928764</v>
      </c>
      <c r="AG14" s="50">
        <v>962101</v>
      </c>
      <c r="AH14" s="50">
        <v>288913</v>
      </c>
      <c r="AI14" s="50">
        <v>865663</v>
      </c>
      <c r="AJ14" s="50">
        <v>776653</v>
      </c>
      <c r="AK14" s="50">
        <v>366326</v>
      </c>
      <c r="AL14" s="50">
        <v>0</v>
      </c>
      <c r="AM14" s="50">
        <v>0</v>
      </c>
      <c r="AN14" s="50">
        <v>287066</v>
      </c>
      <c r="AO14" s="50">
        <v>664129</v>
      </c>
      <c r="AP14" s="50">
        <v>540317</v>
      </c>
      <c r="AQ14" s="50">
        <v>8700</v>
      </c>
      <c r="AR14" s="50">
        <v>0</v>
      </c>
      <c r="AS14" s="50">
        <v>0</v>
      </c>
      <c r="AT14" s="50">
        <v>297063</v>
      </c>
      <c r="AU14" s="50">
        <v>641484</v>
      </c>
      <c r="AV14" s="50">
        <v>522387</v>
      </c>
      <c r="AW14" s="50">
        <v>25</v>
      </c>
      <c r="AX14" s="50">
        <v>87567</v>
      </c>
      <c r="AY14" s="50">
        <v>565350</v>
      </c>
      <c r="AZ14" s="50">
        <v>0</v>
      </c>
      <c r="BA14" s="50">
        <v>0</v>
      </c>
      <c r="BB14" s="50">
        <v>0</v>
      </c>
    </row>
    <row r="15" spans="2:54" x14ac:dyDescent="0.35">
      <c r="B15" s="50" t="s">
        <v>3592</v>
      </c>
      <c r="C15" s="50">
        <v>13</v>
      </c>
      <c r="D15" s="50" t="s">
        <v>4353</v>
      </c>
      <c r="E15" s="111">
        <v>45492</v>
      </c>
      <c r="F15" s="50">
        <v>6</v>
      </c>
      <c r="G15" s="225">
        <v>1</v>
      </c>
      <c r="H15" s="50">
        <v>0</v>
      </c>
      <c r="I15" s="50" t="s">
        <v>3621</v>
      </c>
      <c r="J15" s="50" t="s">
        <v>3621</v>
      </c>
      <c r="K15" s="50" t="s">
        <v>3621</v>
      </c>
      <c r="L15" s="50" t="s">
        <v>3621</v>
      </c>
      <c r="M15" s="50" t="s">
        <v>3621</v>
      </c>
      <c r="N15" s="50" t="s">
        <v>3621</v>
      </c>
      <c r="O15" s="50" t="s">
        <v>3621</v>
      </c>
      <c r="P15" s="50">
        <v>0</v>
      </c>
      <c r="Q15" s="50">
        <v>0</v>
      </c>
      <c r="R15" s="50" t="s">
        <v>3621</v>
      </c>
      <c r="S15" s="50" t="s">
        <v>3621</v>
      </c>
      <c r="T15" s="50" t="s">
        <v>3621</v>
      </c>
      <c r="U15" s="50" t="s">
        <v>3621</v>
      </c>
      <c r="V15" s="50" t="s">
        <v>3621</v>
      </c>
      <c r="W15" s="50" t="s">
        <v>3621</v>
      </c>
      <c r="X15" s="50" t="s">
        <v>3621</v>
      </c>
      <c r="Y15" s="50" t="s">
        <v>3621</v>
      </c>
      <c r="Z15" s="50" t="s">
        <v>3621</v>
      </c>
      <c r="AA15" s="50">
        <v>0</v>
      </c>
      <c r="AB15" s="50" t="s">
        <v>3621</v>
      </c>
      <c r="AC15" s="50" t="s">
        <v>3621</v>
      </c>
      <c r="AD15" s="50">
        <v>0</v>
      </c>
      <c r="AE15" s="50" t="s">
        <v>3621</v>
      </c>
      <c r="AF15" s="50">
        <v>0</v>
      </c>
      <c r="AG15" s="50" t="s">
        <v>3621</v>
      </c>
      <c r="AH15" s="50">
        <v>0</v>
      </c>
      <c r="AI15" s="50" t="s">
        <v>3621</v>
      </c>
      <c r="AJ15" s="50" t="s">
        <v>3621</v>
      </c>
      <c r="AK15" s="50" t="s">
        <v>3621</v>
      </c>
      <c r="AL15" s="50" t="s">
        <v>3621</v>
      </c>
      <c r="AM15" s="50" t="s">
        <v>3621</v>
      </c>
      <c r="AN15" s="50" t="s">
        <v>3621</v>
      </c>
      <c r="AO15" s="50" t="s">
        <v>3621</v>
      </c>
      <c r="AP15" s="50" t="s">
        <v>3621</v>
      </c>
      <c r="AQ15" s="50" t="s">
        <v>3621</v>
      </c>
      <c r="AR15" s="50" t="s">
        <v>3621</v>
      </c>
      <c r="AS15" s="50" t="s">
        <v>3621</v>
      </c>
      <c r="AT15" s="50" t="s">
        <v>3621</v>
      </c>
      <c r="AU15" s="50" t="s">
        <v>3621</v>
      </c>
      <c r="AV15" s="50" t="s">
        <v>3621</v>
      </c>
      <c r="AW15" s="50" t="s">
        <v>3621</v>
      </c>
      <c r="AX15" s="50" t="s">
        <v>3621</v>
      </c>
      <c r="AY15" s="50" t="s">
        <v>3621</v>
      </c>
      <c r="AZ15" s="50" t="s">
        <v>3621</v>
      </c>
      <c r="BA15" s="50" t="s">
        <v>3621</v>
      </c>
      <c r="BB15" s="50" t="s">
        <v>3621</v>
      </c>
    </row>
    <row r="16" spans="2:54" x14ac:dyDescent="0.35">
      <c r="B16" s="50" t="s">
        <v>3594</v>
      </c>
      <c r="C16" s="50">
        <v>14</v>
      </c>
      <c r="D16" s="50" t="s">
        <v>4354</v>
      </c>
      <c r="E16" s="111">
        <v>45492</v>
      </c>
      <c r="F16" s="50">
        <v>6</v>
      </c>
      <c r="G16" s="225">
        <v>1</v>
      </c>
      <c r="H16" s="50">
        <v>0</v>
      </c>
      <c r="I16" s="50" t="s">
        <v>3621</v>
      </c>
      <c r="J16" s="50" t="s">
        <v>3621</v>
      </c>
      <c r="K16" s="50">
        <v>0</v>
      </c>
      <c r="L16" s="50">
        <v>0</v>
      </c>
      <c r="M16" s="50">
        <v>0</v>
      </c>
      <c r="N16" s="50" t="s">
        <v>3621</v>
      </c>
      <c r="O16" s="50" t="s">
        <v>3621</v>
      </c>
      <c r="P16" s="50" t="s">
        <v>3621</v>
      </c>
      <c r="Q16" s="50" t="s">
        <v>3621</v>
      </c>
      <c r="R16" s="50">
        <v>0</v>
      </c>
      <c r="S16" s="50" t="s">
        <v>3621</v>
      </c>
      <c r="T16" s="50" t="s">
        <v>3621</v>
      </c>
      <c r="U16" s="50" t="s">
        <v>3621</v>
      </c>
      <c r="V16" s="50" t="s">
        <v>3621</v>
      </c>
      <c r="W16" s="50" t="s">
        <v>3621</v>
      </c>
      <c r="X16" s="50" t="s">
        <v>3621</v>
      </c>
      <c r="Y16" s="50" t="s">
        <v>3621</v>
      </c>
      <c r="Z16" s="50" t="s">
        <v>3621</v>
      </c>
      <c r="AA16" s="50" t="s">
        <v>3621</v>
      </c>
      <c r="AB16" s="50" t="s">
        <v>3621</v>
      </c>
      <c r="AC16" s="50" t="s">
        <v>3621</v>
      </c>
      <c r="AD16" s="50" t="s">
        <v>3621</v>
      </c>
      <c r="AE16" s="50" t="s">
        <v>3621</v>
      </c>
      <c r="AF16" s="50" t="s">
        <v>3621</v>
      </c>
      <c r="AG16" s="50" t="s">
        <v>3621</v>
      </c>
      <c r="AH16" s="50" t="s">
        <v>3621</v>
      </c>
      <c r="AI16" s="50" t="s">
        <v>3621</v>
      </c>
      <c r="AJ16" s="50" t="s">
        <v>3621</v>
      </c>
      <c r="AK16" s="50" t="s">
        <v>3621</v>
      </c>
      <c r="AL16" s="50" t="s">
        <v>3621</v>
      </c>
      <c r="AM16" s="50">
        <v>0</v>
      </c>
      <c r="AN16" s="50" t="s">
        <v>3621</v>
      </c>
      <c r="AO16" s="50" t="s">
        <v>3621</v>
      </c>
      <c r="AP16" s="50" t="s">
        <v>3621</v>
      </c>
      <c r="AQ16" s="50" t="s">
        <v>3621</v>
      </c>
      <c r="AR16" s="50">
        <v>0</v>
      </c>
      <c r="AS16" s="50">
        <v>0</v>
      </c>
      <c r="AT16" s="50" t="s">
        <v>3621</v>
      </c>
      <c r="AU16" s="50" t="s">
        <v>3621</v>
      </c>
      <c r="AV16" s="50" t="s">
        <v>3621</v>
      </c>
      <c r="AW16" s="50" t="s">
        <v>3621</v>
      </c>
      <c r="AX16" s="50">
        <v>0</v>
      </c>
      <c r="AY16" s="50">
        <v>0</v>
      </c>
      <c r="AZ16" s="50">
        <v>0</v>
      </c>
      <c r="BA16" s="50">
        <v>0</v>
      </c>
      <c r="BB16" s="50" t="s">
        <v>3621</v>
      </c>
    </row>
    <row r="17" spans="2:54" x14ac:dyDescent="0.35">
      <c r="B17" s="50" t="s">
        <v>3596</v>
      </c>
      <c r="C17" s="50">
        <v>15</v>
      </c>
      <c r="D17" s="50" t="s">
        <v>4355</v>
      </c>
      <c r="E17" s="111">
        <v>45492</v>
      </c>
      <c r="F17" s="50">
        <v>6</v>
      </c>
      <c r="G17" s="225">
        <v>1</v>
      </c>
      <c r="H17" s="50">
        <v>0</v>
      </c>
      <c r="I17" s="50" t="s">
        <v>3621</v>
      </c>
      <c r="J17" s="50" t="s">
        <v>3621</v>
      </c>
      <c r="K17" s="50" t="s">
        <v>3621</v>
      </c>
      <c r="L17" s="50" t="s">
        <v>3621</v>
      </c>
      <c r="M17" s="50" t="s">
        <v>3621</v>
      </c>
      <c r="N17" s="50" t="s">
        <v>3621</v>
      </c>
      <c r="O17" s="50" t="s">
        <v>3621</v>
      </c>
      <c r="P17" s="50" t="s">
        <v>3621</v>
      </c>
      <c r="Q17" s="50" t="s">
        <v>3621</v>
      </c>
      <c r="R17" s="50" t="s">
        <v>3621</v>
      </c>
      <c r="S17" s="50" t="s">
        <v>3621</v>
      </c>
      <c r="T17" s="50" t="s">
        <v>3621</v>
      </c>
      <c r="U17" s="50" t="s">
        <v>3621</v>
      </c>
      <c r="V17" s="50" t="s">
        <v>3621</v>
      </c>
      <c r="W17" s="50" t="s">
        <v>3621</v>
      </c>
      <c r="X17" s="50" t="s">
        <v>3621</v>
      </c>
      <c r="Y17" s="50" t="s">
        <v>3621</v>
      </c>
      <c r="Z17" s="50" t="s">
        <v>3621</v>
      </c>
      <c r="AA17" s="50" t="s">
        <v>3621</v>
      </c>
      <c r="AB17" s="50" t="s">
        <v>3621</v>
      </c>
      <c r="AC17" s="50" t="s">
        <v>3621</v>
      </c>
      <c r="AD17" s="50" t="s">
        <v>3621</v>
      </c>
      <c r="AE17" s="50" t="s">
        <v>3621</v>
      </c>
      <c r="AF17" s="50" t="s">
        <v>3621</v>
      </c>
      <c r="AG17" s="50" t="s">
        <v>3621</v>
      </c>
      <c r="AH17" s="50" t="s">
        <v>3621</v>
      </c>
      <c r="AI17" s="50" t="s">
        <v>3621</v>
      </c>
      <c r="AJ17" s="50" t="s">
        <v>3621</v>
      </c>
      <c r="AK17" s="50" t="s">
        <v>3621</v>
      </c>
      <c r="AL17" s="50" t="s">
        <v>3621</v>
      </c>
      <c r="AM17" s="50" t="s">
        <v>3621</v>
      </c>
      <c r="AN17" s="50" t="s">
        <v>3621</v>
      </c>
      <c r="AO17" s="50" t="s">
        <v>3621</v>
      </c>
      <c r="AP17" s="50" t="s">
        <v>3621</v>
      </c>
      <c r="AQ17" s="50" t="s">
        <v>3621</v>
      </c>
      <c r="AR17" s="50" t="s">
        <v>3621</v>
      </c>
      <c r="AS17" s="50" t="s">
        <v>3621</v>
      </c>
      <c r="AT17" s="50" t="s">
        <v>3621</v>
      </c>
      <c r="AU17" s="50" t="s">
        <v>3621</v>
      </c>
      <c r="AV17" s="50" t="s">
        <v>3621</v>
      </c>
      <c r="AW17" s="50" t="s">
        <v>3621</v>
      </c>
      <c r="AX17" s="50" t="s">
        <v>3621</v>
      </c>
      <c r="AY17" s="50" t="s">
        <v>3621</v>
      </c>
      <c r="AZ17" s="50" t="s">
        <v>3621</v>
      </c>
      <c r="BA17" s="50" t="s">
        <v>3621</v>
      </c>
      <c r="BB17" s="50" t="s">
        <v>3621</v>
      </c>
    </row>
    <row r="18" spans="2:54" x14ac:dyDescent="0.35">
      <c r="B18" s="50" t="s">
        <v>3598</v>
      </c>
      <c r="C18" s="50">
        <v>16</v>
      </c>
      <c r="D18" s="50" t="s">
        <v>4355</v>
      </c>
      <c r="E18" s="111">
        <v>45492</v>
      </c>
      <c r="F18" s="50">
        <v>6</v>
      </c>
      <c r="G18" s="225">
        <v>1</v>
      </c>
      <c r="H18" s="50">
        <v>0</v>
      </c>
      <c r="I18" s="50" t="s">
        <v>3621</v>
      </c>
      <c r="J18" s="50" t="s">
        <v>3621</v>
      </c>
      <c r="K18" s="50" t="s">
        <v>3621</v>
      </c>
      <c r="L18" s="50" t="s">
        <v>3621</v>
      </c>
      <c r="M18" s="50" t="s">
        <v>3621</v>
      </c>
      <c r="N18" s="50" t="s">
        <v>3621</v>
      </c>
      <c r="O18" s="50" t="s">
        <v>3621</v>
      </c>
      <c r="P18" s="50" t="s">
        <v>3621</v>
      </c>
      <c r="Q18" s="50" t="s">
        <v>3621</v>
      </c>
      <c r="R18" s="50" t="s">
        <v>3621</v>
      </c>
      <c r="S18" s="50" t="s">
        <v>3621</v>
      </c>
      <c r="T18" s="50" t="s">
        <v>3621</v>
      </c>
      <c r="U18" s="50" t="s">
        <v>3621</v>
      </c>
      <c r="V18" s="50" t="s">
        <v>3621</v>
      </c>
      <c r="W18" s="50" t="s">
        <v>3621</v>
      </c>
      <c r="X18" s="50" t="s">
        <v>3621</v>
      </c>
      <c r="Y18" s="50" t="s">
        <v>3621</v>
      </c>
      <c r="Z18" s="50" t="s">
        <v>3621</v>
      </c>
      <c r="AA18" s="50" t="s">
        <v>3621</v>
      </c>
      <c r="AB18" s="50" t="s">
        <v>3621</v>
      </c>
      <c r="AC18" s="50" t="s">
        <v>3621</v>
      </c>
      <c r="AD18" s="50" t="s">
        <v>3621</v>
      </c>
      <c r="AE18" s="50" t="s">
        <v>3621</v>
      </c>
      <c r="AF18" s="50" t="s">
        <v>3621</v>
      </c>
      <c r="AG18" s="50" t="s">
        <v>3621</v>
      </c>
      <c r="AH18" s="50" t="s">
        <v>3621</v>
      </c>
      <c r="AI18" s="50" t="s">
        <v>3621</v>
      </c>
      <c r="AJ18" s="50" t="s">
        <v>3621</v>
      </c>
      <c r="AK18" s="50" t="s">
        <v>3621</v>
      </c>
      <c r="AL18" s="50" t="s">
        <v>3621</v>
      </c>
      <c r="AM18" s="50" t="s">
        <v>3621</v>
      </c>
      <c r="AN18" s="50" t="s">
        <v>3621</v>
      </c>
      <c r="AO18" s="50" t="s">
        <v>3621</v>
      </c>
      <c r="AP18" s="50" t="s">
        <v>3621</v>
      </c>
      <c r="AQ18" s="50" t="s">
        <v>3621</v>
      </c>
      <c r="AR18" s="50" t="s">
        <v>3621</v>
      </c>
      <c r="AS18" s="50" t="s">
        <v>3621</v>
      </c>
      <c r="AT18" s="50" t="s">
        <v>3621</v>
      </c>
      <c r="AU18" s="50" t="s">
        <v>3621</v>
      </c>
      <c r="AV18" s="50" t="s">
        <v>3621</v>
      </c>
      <c r="AW18" s="50" t="s">
        <v>3621</v>
      </c>
      <c r="AX18" s="50" t="s">
        <v>3621</v>
      </c>
      <c r="AY18" s="50" t="s">
        <v>3621</v>
      </c>
      <c r="AZ18" s="50" t="s">
        <v>3621</v>
      </c>
      <c r="BA18" s="50" t="s">
        <v>3621</v>
      </c>
      <c r="BB18" s="50" t="s">
        <v>3621</v>
      </c>
    </row>
    <row r="19" spans="2:54" x14ac:dyDescent="0.35">
      <c r="B19" s="50" t="s">
        <v>3600</v>
      </c>
      <c r="C19" s="50">
        <v>17</v>
      </c>
      <c r="D19" s="50" t="s">
        <v>4356</v>
      </c>
      <c r="E19" s="111">
        <v>45492</v>
      </c>
      <c r="F19" s="50">
        <v>6</v>
      </c>
      <c r="G19" s="209">
        <v>0.72939600000000004</v>
      </c>
      <c r="H19" s="201">
        <v>269168</v>
      </c>
      <c r="I19" s="50" t="s">
        <v>3621</v>
      </c>
      <c r="J19" s="50" t="s">
        <v>3621</v>
      </c>
      <c r="K19" s="50" t="s">
        <v>3621</v>
      </c>
      <c r="L19" s="50" t="s">
        <v>3621</v>
      </c>
      <c r="M19" s="50" t="s">
        <v>3621</v>
      </c>
      <c r="N19" s="50" t="s">
        <v>3621</v>
      </c>
      <c r="O19" s="50" t="s">
        <v>3621</v>
      </c>
      <c r="P19" s="50" t="s">
        <v>3621</v>
      </c>
      <c r="Q19" s="50" t="s">
        <v>3621</v>
      </c>
      <c r="R19" s="50" t="s">
        <v>3621</v>
      </c>
      <c r="S19" s="50" t="s">
        <v>3621</v>
      </c>
      <c r="T19" s="50" t="s">
        <v>3621</v>
      </c>
      <c r="U19" s="50" t="s">
        <v>3621</v>
      </c>
      <c r="V19" s="50" t="s">
        <v>3621</v>
      </c>
      <c r="W19" s="50" t="s">
        <v>3621</v>
      </c>
      <c r="X19" s="50" t="s">
        <v>3621</v>
      </c>
      <c r="Y19" s="50" t="s">
        <v>3621</v>
      </c>
      <c r="Z19" s="50" t="s">
        <v>3621</v>
      </c>
      <c r="AA19" s="50" t="s">
        <v>3621</v>
      </c>
      <c r="AB19" s="50" t="s">
        <v>3621</v>
      </c>
      <c r="AC19" s="50" t="s">
        <v>3621</v>
      </c>
      <c r="AD19" s="50" t="s">
        <v>3621</v>
      </c>
      <c r="AE19" s="50" t="s">
        <v>3621</v>
      </c>
      <c r="AF19" s="50" t="s">
        <v>3621</v>
      </c>
      <c r="AG19" s="50" t="s">
        <v>3621</v>
      </c>
      <c r="AH19" s="50" t="s">
        <v>3621</v>
      </c>
      <c r="AI19" s="50" t="s">
        <v>3621</v>
      </c>
      <c r="AJ19" s="50" t="s">
        <v>3621</v>
      </c>
      <c r="AK19" s="50" t="s">
        <v>3621</v>
      </c>
      <c r="AL19" s="50" t="s">
        <v>3621</v>
      </c>
      <c r="AM19" s="50" t="s">
        <v>3621</v>
      </c>
      <c r="AN19" s="50" t="s">
        <v>3621</v>
      </c>
      <c r="AO19" s="50" t="s">
        <v>3621</v>
      </c>
      <c r="AP19" s="50" t="s">
        <v>3621</v>
      </c>
      <c r="AQ19" s="50" t="s">
        <v>3621</v>
      </c>
      <c r="AR19" s="50" t="s">
        <v>3621</v>
      </c>
      <c r="AS19" s="50" t="s">
        <v>3621</v>
      </c>
      <c r="AT19" s="50" t="s">
        <v>3621</v>
      </c>
      <c r="AU19" s="50" t="s">
        <v>3621</v>
      </c>
      <c r="AV19" s="50" t="s">
        <v>3621</v>
      </c>
      <c r="AW19" s="50" t="s">
        <v>3621</v>
      </c>
      <c r="AX19" s="50" t="s">
        <v>3621</v>
      </c>
      <c r="AY19" s="50" t="s">
        <v>3621</v>
      </c>
      <c r="AZ19" s="50" t="s">
        <v>3621</v>
      </c>
      <c r="BA19" s="50" t="s">
        <v>3621</v>
      </c>
      <c r="BB19" s="50" t="s">
        <v>3621</v>
      </c>
    </row>
    <row r="20" spans="2:54" x14ac:dyDescent="0.35">
      <c r="B20" s="50" t="s">
        <v>3602</v>
      </c>
      <c r="C20" s="113">
        <v>18</v>
      </c>
      <c r="D20" s="50" t="s">
        <v>4356</v>
      </c>
      <c r="E20" s="111">
        <v>45492</v>
      </c>
      <c r="F20" s="50">
        <v>6</v>
      </c>
      <c r="G20" s="209">
        <v>0.99998100000000001</v>
      </c>
      <c r="H20" s="114">
        <v>27</v>
      </c>
      <c r="I20" s="50" t="s">
        <v>3621</v>
      </c>
      <c r="J20" s="50" t="s">
        <v>3621</v>
      </c>
      <c r="K20" s="50" t="s">
        <v>3621</v>
      </c>
      <c r="L20" s="50" t="s">
        <v>3621</v>
      </c>
      <c r="M20" s="50" t="s">
        <v>3621</v>
      </c>
      <c r="N20" s="50" t="s">
        <v>3621</v>
      </c>
      <c r="O20" s="50" t="s">
        <v>3621</v>
      </c>
      <c r="P20" s="50" t="s">
        <v>3621</v>
      </c>
      <c r="Q20" s="50" t="s">
        <v>3621</v>
      </c>
      <c r="R20" s="50" t="s">
        <v>3621</v>
      </c>
      <c r="S20" s="50" t="s">
        <v>3621</v>
      </c>
      <c r="T20" s="50" t="s">
        <v>3621</v>
      </c>
      <c r="U20" s="50" t="s">
        <v>3621</v>
      </c>
      <c r="V20" s="50" t="s">
        <v>3621</v>
      </c>
      <c r="W20" s="50" t="s">
        <v>3621</v>
      </c>
      <c r="X20" s="50" t="s">
        <v>3621</v>
      </c>
      <c r="Y20" s="50" t="s">
        <v>3621</v>
      </c>
      <c r="Z20" s="50" t="s">
        <v>3621</v>
      </c>
      <c r="AA20" s="50" t="s">
        <v>3621</v>
      </c>
      <c r="AB20" s="50" t="s">
        <v>3621</v>
      </c>
      <c r="AC20" s="50" t="s">
        <v>3621</v>
      </c>
      <c r="AD20" s="50" t="s">
        <v>3621</v>
      </c>
      <c r="AE20" s="50" t="s">
        <v>3621</v>
      </c>
      <c r="AF20" s="50" t="s">
        <v>3621</v>
      </c>
      <c r="AG20" s="50" t="s">
        <v>3621</v>
      </c>
      <c r="AH20" s="50" t="s">
        <v>3621</v>
      </c>
      <c r="AI20" s="50" t="s">
        <v>3621</v>
      </c>
      <c r="AJ20" s="50" t="s">
        <v>3621</v>
      </c>
      <c r="AK20" s="50" t="s">
        <v>3621</v>
      </c>
      <c r="AL20" s="50" t="s">
        <v>3621</v>
      </c>
      <c r="AM20" s="50" t="s">
        <v>3621</v>
      </c>
      <c r="AN20" s="50" t="s">
        <v>3621</v>
      </c>
      <c r="AO20" s="50" t="s">
        <v>3621</v>
      </c>
      <c r="AP20" s="50" t="s">
        <v>3621</v>
      </c>
      <c r="AQ20" s="50" t="s">
        <v>3621</v>
      </c>
      <c r="AR20" s="50" t="s">
        <v>3621</v>
      </c>
      <c r="AS20" s="50" t="s">
        <v>3621</v>
      </c>
      <c r="AT20" s="50" t="s">
        <v>3621</v>
      </c>
      <c r="AU20" s="50" t="s">
        <v>3621</v>
      </c>
      <c r="AV20" s="50" t="s">
        <v>3621</v>
      </c>
      <c r="AW20" s="50" t="s">
        <v>3621</v>
      </c>
      <c r="AX20" s="50" t="s">
        <v>3621</v>
      </c>
      <c r="AY20" s="50" t="s">
        <v>3621</v>
      </c>
      <c r="AZ20" s="50" t="s">
        <v>3621</v>
      </c>
      <c r="BA20" s="50" t="s">
        <v>3621</v>
      </c>
      <c r="BB20" s="50" t="s">
        <v>3621</v>
      </c>
    </row>
    <row r="21" spans="2:54" x14ac:dyDescent="0.35">
      <c r="B21" s="229" t="s">
        <v>4290</v>
      </c>
      <c r="C21" s="50">
        <v>19</v>
      </c>
      <c r="D21" s="50" t="s">
        <v>4356</v>
      </c>
      <c r="E21" s="111">
        <v>45492</v>
      </c>
      <c r="F21" s="50">
        <v>6</v>
      </c>
      <c r="G21" s="225" cm="1">
        <f t="array" ref="G21">SUMPRODUCT(--(ISNUMBER((SEARCH(I27:BB27,I21:BB21)))))/COUNTA(I21:BB21)</f>
        <v>1</v>
      </c>
      <c r="H21" s="50">
        <v>0</v>
      </c>
      <c r="I21" s="50" t="s">
        <v>3655</v>
      </c>
      <c r="J21" s="50" t="s">
        <v>3655</v>
      </c>
      <c r="K21" s="50" t="s">
        <v>3655</v>
      </c>
      <c r="L21" s="50" t="s">
        <v>3655</v>
      </c>
      <c r="M21" s="50" t="s">
        <v>3655</v>
      </c>
      <c r="N21" s="50" t="s">
        <v>3655</v>
      </c>
      <c r="O21" s="50" t="s">
        <v>3655</v>
      </c>
      <c r="P21" s="50" t="s">
        <v>3655</v>
      </c>
      <c r="Q21" s="50" t="s">
        <v>3655</v>
      </c>
      <c r="R21" s="50" t="s">
        <v>3655</v>
      </c>
      <c r="S21" s="50" t="s">
        <v>3655</v>
      </c>
      <c r="T21" s="50" t="s">
        <v>4039</v>
      </c>
      <c r="U21" s="50" t="s">
        <v>3656</v>
      </c>
      <c r="V21" s="50" t="s">
        <v>3656</v>
      </c>
      <c r="W21" s="50" t="s">
        <v>3656</v>
      </c>
      <c r="X21" s="50" t="s">
        <v>3656</v>
      </c>
      <c r="Y21" s="50" t="s">
        <v>3656</v>
      </c>
      <c r="Z21" s="50" t="s">
        <v>3656</v>
      </c>
      <c r="AA21" s="50" t="s">
        <v>3655</v>
      </c>
      <c r="AB21" s="50" t="s">
        <v>3656</v>
      </c>
      <c r="AC21" s="50" t="s">
        <v>3656</v>
      </c>
      <c r="AD21" s="50" t="s">
        <v>3655</v>
      </c>
      <c r="AE21" s="50" t="s">
        <v>3656</v>
      </c>
      <c r="AF21" s="50" t="s">
        <v>3655</v>
      </c>
      <c r="AG21" s="50" t="s">
        <v>3656</v>
      </c>
      <c r="AH21" s="50" t="s">
        <v>3655</v>
      </c>
      <c r="AI21" s="50" t="s">
        <v>3656</v>
      </c>
      <c r="AJ21" s="50" t="s">
        <v>4039</v>
      </c>
      <c r="AK21" s="50" t="s">
        <v>3655</v>
      </c>
      <c r="AL21" s="50" t="s">
        <v>3655</v>
      </c>
      <c r="AM21" s="50" t="s">
        <v>3655</v>
      </c>
      <c r="AN21" s="50" t="s">
        <v>3656</v>
      </c>
      <c r="AO21" s="50" t="s">
        <v>3656</v>
      </c>
      <c r="AP21" s="50" t="s">
        <v>3656</v>
      </c>
      <c r="AQ21" s="50" t="s">
        <v>3656</v>
      </c>
      <c r="AR21" s="50" t="s">
        <v>3655</v>
      </c>
      <c r="AS21" s="50" t="s">
        <v>3655</v>
      </c>
      <c r="AT21" s="50" t="s">
        <v>3656</v>
      </c>
      <c r="AU21" s="50" t="s">
        <v>3656</v>
      </c>
      <c r="AV21" s="50" t="s">
        <v>3656</v>
      </c>
      <c r="AW21" s="50" t="s">
        <v>3656</v>
      </c>
      <c r="AX21" s="50" t="s">
        <v>3655</v>
      </c>
      <c r="AY21" s="50" t="s">
        <v>3655</v>
      </c>
      <c r="AZ21" s="50" t="s">
        <v>3655</v>
      </c>
      <c r="BA21" s="50" t="s">
        <v>3655</v>
      </c>
      <c r="BB21" s="50" t="s">
        <v>3657</v>
      </c>
    </row>
    <row r="22" spans="2:54" x14ac:dyDescent="0.35">
      <c r="B22" s="50" t="s">
        <v>3607</v>
      </c>
      <c r="C22" s="50">
        <v>20</v>
      </c>
      <c r="D22" s="50" t="s">
        <v>4356</v>
      </c>
      <c r="E22" s="111">
        <v>45492</v>
      </c>
      <c r="F22" s="50">
        <v>6</v>
      </c>
      <c r="G22" s="209" cm="1">
        <f t="array" ref="G22">SUM(IF(I2:BB2 = I26:BB26, 1, 0))/ COUNTA(I2:BB2)</f>
        <v>0.95652173913043481</v>
      </c>
      <c r="H22" s="50" t="s">
        <v>3621</v>
      </c>
      <c r="I22" s="50" t="s">
        <v>3621</v>
      </c>
      <c r="J22" s="50" t="s">
        <v>3621</v>
      </c>
      <c r="K22" s="50" t="s">
        <v>3621</v>
      </c>
      <c r="L22" s="50" t="s">
        <v>3621</v>
      </c>
      <c r="M22" s="50" t="s">
        <v>3621</v>
      </c>
      <c r="N22" s="50" t="s">
        <v>3621</v>
      </c>
      <c r="O22" s="50" t="s">
        <v>3621</v>
      </c>
      <c r="P22" s="50" t="s">
        <v>3621</v>
      </c>
      <c r="Q22" s="50" t="s">
        <v>3621</v>
      </c>
      <c r="R22" s="50" t="s">
        <v>3621</v>
      </c>
      <c r="S22" s="50" t="s">
        <v>3621</v>
      </c>
      <c r="T22" s="50" t="s">
        <v>3621</v>
      </c>
      <c r="U22" s="50" t="s">
        <v>3621</v>
      </c>
      <c r="V22" s="50" t="s">
        <v>3621</v>
      </c>
      <c r="W22" s="50" t="s">
        <v>3621</v>
      </c>
      <c r="X22" s="50" t="s">
        <v>3621</v>
      </c>
      <c r="Y22" s="50" t="s">
        <v>3621</v>
      </c>
      <c r="Z22" s="50" t="s">
        <v>3621</v>
      </c>
      <c r="AA22" s="50" t="s">
        <v>3621</v>
      </c>
      <c r="AB22" s="50" t="s">
        <v>3621</v>
      </c>
      <c r="AC22" s="50" t="s">
        <v>3621</v>
      </c>
      <c r="AD22" s="50" t="s">
        <v>3621</v>
      </c>
      <c r="AE22" s="50" t="s">
        <v>3621</v>
      </c>
      <c r="AF22" s="50" t="s">
        <v>3621</v>
      </c>
      <c r="AG22" s="50" t="s">
        <v>3621</v>
      </c>
      <c r="AH22" s="50" t="s">
        <v>3621</v>
      </c>
      <c r="AI22" s="50" t="s">
        <v>3621</v>
      </c>
      <c r="AJ22" s="50" t="s">
        <v>3621</v>
      </c>
      <c r="AK22" s="50" t="s">
        <v>3621</v>
      </c>
      <c r="AL22" s="50" t="s">
        <v>3621</v>
      </c>
      <c r="AM22" s="50" t="s">
        <v>3621</v>
      </c>
      <c r="AN22" s="50" t="s">
        <v>3621</v>
      </c>
      <c r="AO22" s="50" t="s">
        <v>3621</v>
      </c>
      <c r="AP22" s="50" t="s">
        <v>3621</v>
      </c>
      <c r="AQ22" s="50" t="s">
        <v>3621</v>
      </c>
      <c r="AR22" s="50" t="s">
        <v>3621</v>
      </c>
      <c r="AS22" s="50" t="s">
        <v>3621</v>
      </c>
      <c r="AT22" s="50" t="s">
        <v>3621</v>
      </c>
      <c r="AU22" s="50" t="s">
        <v>3621</v>
      </c>
      <c r="AV22" s="50" t="s">
        <v>3621</v>
      </c>
      <c r="AW22" s="50" t="s">
        <v>3621</v>
      </c>
      <c r="AX22" s="50" t="s">
        <v>3621</v>
      </c>
      <c r="AY22" s="50" t="s">
        <v>3621</v>
      </c>
      <c r="AZ22" s="50" t="s">
        <v>3621</v>
      </c>
      <c r="BA22" s="50" t="s">
        <v>3621</v>
      </c>
      <c r="BB22" s="50" t="s">
        <v>3621</v>
      </c>
    </row>
    <row r="23" spans="2:54" x14ac:dyDescent="0.35">
      <c r="B23" s="50" t="s">
        <v>3610</v>
      </c>
      <c r="C23" s="50">
        <v>21</v>
      </c>
      <c r="D23" s="50" t="s">
        <v>4356</v>
      </c>
      <c r="E23" s="111">
        <v>45492</v>
      </c>
      <c r="F23" s="50">
        <v>6</v>
      </c>
      <c r="G23" s="209" cm="1">
        <f t="array" ref="G23">SUM(IF(IF(G3:G22="null",1,G3:G22)=1,1,0))/COUNT(IF(G3:G22="null",1,1))</f>
        <v>0.8</v>
      </c>
      <c r="H23" s="50" t="s">
        <v>3621</v>
      </c>
      <c r="I23" s="50" t="s">
        <v>3621</v>
      </c>
      <c r="J23" s="50" t="s">
        <v>3621</v>
      </c>
      <c r="K23" s="50" t="s">
        <v>3621</v>
      </c>
      <c r="L23" s="50" t="s">
        <v>3621</v>
      </c>
      <c r="M23" s="50" t="s">
        <v>3621</v>
      </c>
      <c r="N23" s="50" t="s">
        <v>3621</v>
      </c>
      <c r="O23" s="50" t="s">
        <v>3621</v>
      </c>
      <c r="P23" s="50" t="s">
        <v>3621</v>
      </c>
      <c r="Q23" s="50" t="s">
        <v>3621</v>
      </c>
      <c r="R23" s="50" t="s">
        <v>3621</v>
      </c>
      <c r="S23" s="50" t="s">
        <v>3621</v>
      </c>
      <c r="T23" s="50" t="s">
        <v>3621</v>
      </c>
      <c r="U23" s="50" t="s">
        <v>3621</v>
      </c>
      <c r="V23" s="50" t="s">
        <v>3621</v>
      </c>
      <c r="W23" s="50" t="s">
        <v>3621</v>
      </c>
      <c r="X23" s="50" t="s">
        <v>3621</v>
      </c>
      <c r="Y23" s="50" t="s">
        <v>3621</v>
      </c>
      <c r="Z23" s="50" t="s">
        <v>3621</v>
      </c>
      <c r="AA23" s="50" t="s">
        <v>3621</v>
      </c>
      <c r="AB23" s="50" t="s">
        <v>3621</v>
      </c>
      <c r="AC23" s="50" t="s">
        <v>3621</v>
      </c>
      <c r="AD23" s="50" t="s">
        <v>3621</v>
      </c>
      <c r="AE23" s="50" t="s">
        <v>3621</v>
      </c>
      <c r="AF23" s="50" t="s">
        <v>3621</v>
      </c>
      <c r="AG23" s="50" t="s">
        <v>3621</v>
      </c>
      <c r="AH23" s="50" t="s">
        <v>3621</v>
      </c>
      <c r="AI23" s="50" t="s">
        <v>3621</v>
      </c>
      <c r="AJ23" s="50" t="s">
        <v>3621</v>
      </c>
      <c r="AK23" s="50" t="s">
        <v>3621</v>
      </c>
      <c r="AL23" s="50" t="s">
        <v>3621</v>
      </c>
      <c r="AM23" s="50" t="s">
        <v>3621</v>
      </c>
      <c r="AN23" s="50" t="s">
        <v>3621</v>
      </c>
      <c r="AO23" s="50" t="s">
        <v>3621</v>
      </c>
      <c r="AP23" s="50" t="s">
        <v>3621</v>
      </c>
      <c r="AQ23" s="50" t="s">
        <v>3621</v>
      </c>
      <c r="AR23" s="50" t="s">
        <v>3621</v>
      </c>
      <c r="AS23" s="50" t="s">
        <v>3621</v>
      </c>
      <c r="AT23" s="50" t="s">
        <v>3621</v>
      </c>
      <c r="AU23" s="50" t="s">
        <v>3621</v>
      </c>
      <c r="AV23" s="50" t="s">
        <v>3621</v>
      </c>
      <c r="AW23" s="50" t="s">
        <v>3621</v>
      </c>
      <c r="AX23" s="50" t="s">
        <v>3621</v>
      </c>
      <c r="AY23" s="50" t="s">
        <v>3621</v>
      </c>
      <c r="AZ23" s="50" t="s">
        <v>3621</v>
      </c>
      <c r="BA23" s="50" t="s">
        <v>3621</v>
      </c>
      <c r="BB23" s="50" t="s">
        <v>3621</v>
      </c>
    </row>
    <row r="24" spans="2:54" x14ac:dyDescent="0.35">
      <c r="B24" s="50"/>
      <c r="C24" s="50"/>
      <c r="D24" s="50"/>
      <c r="E24" s="111"/>
      <c r="F24" s="50"/>
      <c r="G24" s="50"/>
      <c r="H24" s="50"/>
      <c r="I24" s="50"/>
      <c r="J24" s="50"/>
      <c r="K24" s="50"/>
      <c r="L24" s="50"/>
      <c r="M24" s="50"/>
      <c r="N24" s="50"/>
      <c r="O24" s="50"/>
      <c r="P24" s="50"/>
      <c r="Q24" s="50"/>
      <c r="R24" s="50"/>
      <c r="S24" s="50"/>
    </row>
    <row r="25" spans="2:54" x14ac:dyDescent="0.35">
      <c r="B25" s="146" t="s">
        <v>3727</v>
      </c>
    </row>
    <row r="26" spans="2:54" x14ac:dyDescent="0.35">
      <c r="B26" s="144" t="s">
        <v>3613</v>
      </c>
      <c r="C26" s="145" t="s">
        <v>3614</v>
      </c>
      <c r="D26" s="145" t="s">
        <v>3615</v>
      </c>
      <c r="E26" s="145" t="s">
        <v>3616</v>
      </c>
      <c r="F26" s="145" t="s">
        <v>3617</v>
      </c>
      <c r="G26" s="145" t="s">
        <v>3618</v>
      </c>
      <c r="H26" s="145" t="s">
        <v>3619</v>
      </c>
      <c r="I26" s="145" t="str" cm="1">
        <f t="array" ref="I26:BB26">TRANSPOSE(_xlfn.SORTBY(_xlfn._xlws.FILTER(Table3[NOME FÍSICO CAMPO],Table3[NOME FÍSICO TABELA]="loan"), _xlfn._xlws.FILTER(Table3[ORDEM], Table3[NOME FÍSICO TABELA]="loan"), 1))</f>
        <v>bank_id</v>
      </c>
      <c r="J26" s="145" t="str">
        <v>contract_id</v>
      </c>
      <c r="K26" s="145" t="str">
        <v>product_family_id</v>
      </c>
      <c r="L26" s="145" t="str">
        <v>product_id</v>
      </c>
      <c r="M26" s="145" t="str">
        <v>subproduct_id</v>
      </c>
      <c r="N26" s="145" t="str">
        <v>main_current_account_bank_id</v>
      </c>
      <c r="O26" s="145" t="str">
        <v>main_current_account_contract_id</v>
      </c>
      <c r="P26" s="145" t="str">
        <v>opening_date</v>
      </c>
      <c r="Q26" s="145" t="str">
        <v>current_maturity_date</v>
      </c>
      <c r="R26" s="145" t="str">
        <v>currency_code</v>
      </c>
      <c r="S26" s="145" t="str">
        <v>litigation_indicator</v>
      </c>
      <c r="T26" s="145" t="str">
        <v>total_num_past_due_installments</v>
      </c>
      <c r="U26" s="145" t="str">
        <v>current_asked_amount</v>
      </c>
      <c r="V26" s="145" t="str">
        <v>current_authorized_amount</v>
      </c>
      <c r="W26" s="145" t="str">
        <v>cur_advance_principal_amt</v>
      </c>
      <c r="X26" s="145" t="str">
        <v>cur_outsng_principal_balance</v>
      </c>
      <c r="Y26" s="145" t="str">
        <v>current_overdue_principal_bal</v>
      </c>
      <c r="Z26" s="145" t="str">
        <v>cur_debt_litigation_princip_bal</v>
      </c>
      <c r="AA26" s="145" t="str">
        <v>next_regular_amort_due_date</v>
      </c>
      <c r="AB26" s="145" t="str">
        <v>next_regular_amortization_amount</v>
      </c>
      <c r="AC26" s="145" t="str">
        <v>next_subsidized_reg_amort_amount</v>
      </c>
      <c r="AD26" s="258" t="str">
        <v>last_settled_amort_due_date</v>
      </c>
      <c r="AE26" s="145" t="str">
        <v>last_settled_amort_princip_amt</v>
      </c>
      <c r="AF26" s="145" t="str">
        <v>last_early_amort_pay_date</v>
      </c>
      <c r="AG26" s="145" t="str">
        <v>last_early_amort_principal_amt</v>
      </c>
      <c r="AH26" s="145" t="str">
        <v>last_regular_amort_pay_date</v>
      </c>
      <c r="AI26" s="145" t="str">
        <v>last_regular_amort_princip_amt</v>
      </c>
      <c r="AJ26" s="145" t="str">
        <v>last_regular_amort_install_num</v>
      </c>
      <c r="AK26" s="145" t="str">
        <v>subsidized_rate_type_code</v>
      </c>
      <c r="AL26" s="145" t="str">
        <v>initial_active_rate_type_code</v>
      </c>
      <c r="AM26" s="145" t="str">
        <v>initial_active_indexing</v>
      </c>
      <c r="AN26" s="145" t="str">
        <v>initial_active_index_rate</v>
      </c>
      <c r="AO26" s="145" t="str">
        <v>initial_active_spread</v>
      </c>
      <c r="AP26" s="145" t="str">
        <v>initial_active_interest_rate</v>
      </c>
      <c r="AQ26" s="145" t="str">
        <v>init_active_subsid_interest_rate</v>
      </c>
      <c r="AR26" s="145" t="str">
        <v>cur_active_rate_type_code</v>
      </c>
      <c r="AS26" s="145" t="str">
        <v>current_active_indexing</v>
      </c>
      <c r="AT26" s="145" t="str">
        <v>current_active_index_rate</v>
      </c>
      <c r="AU26" s="145" t="str">
        <v>current_active_spread</v>
      </c>
      <c r="AV26" s="145" t="str">
        <v>current_active_interest_rate</v>
      </c>
      <c r="AW26" s="145" t="str">
        <v>cur_active_subsid_interest_rate</v>
      </c>
      <c r="AX26" s="145" t="str">
        <v>contract_status_code</v>
      </c>
      <c r="AY26" s="145" t="str">
        <v>contract_opening_channel_code</v>
      </c>
      <c r="AZ26" s="145" t="str">
        <v>source_code</v>
      </c>
      <c r="BA26" s="145" t="str">
        <v>data_date_part</v>
      </c>
      <c r="BB26" s="142" t="str">
        <v>data_timestamp_part</v>
      </c>
    </row>
    <row r="27" spans="2:54" x14ac:dyDescent="0.35">
      <c r="B27" s="123" t="s">
        <v>3658</v>
      </c>
      <c r="C27" s="126">
        <v>21</v>
      </c>
      <c r="D27" s="120" t="s">
        <v>3659</v>
      </c>
      <c r="E27" s="119" t="s">
        <v>3660</v>
      </c>
      <c r="F27" s="119" t="s">
        <v>372</v>
      </c>
      <c r="G27" s="119" t="s">
        <v>372</v>
      </c>
      <c r="H27" s="119" t="s">
        <v>372</v>
      </c>
      <c r="I27" s="119" t="str" cm="1">
        <f t="array" ref="I27:BB28">TRANSPOSE(_xlfn.SORTBY(_xlfn._xlws.FILTER(IF(Table3[FORMATO]:Table3[COMP_ CAMPO]&lt;&gt;"",Table3[FORMATO]:Table3[COMP_ CAMPO],9999999),Table3[NOME FÍSICO TABELA]="loan"), _xlfn._xlws.FILTER(Table3[ORDEM], Table3[NOME FÍSICO TABELA]="loan"), 1))</f>
        <v>STRING</v>
      </c>
      <c r="J27" s="119" t="str">
        <v>STRING</v>
      </c>
      <c r="K27" s="119" t="str">
        <v>STRING</v>
      </c>
      <c r="L27" s="119" t="str">
        <v>STRING</v>
      </c>
      <c r="M27" s="119" t="str">
        <v>STRING</v>
      </c>
      <c r="N27" s="119" t="str">
        <v>STRING</v>
      </c>
      <c r="O27" s="119" t="str">
        <v>STRING</v>
      </c>
      <c r="P27" s="119" t="str">
        <v>STRING</v>
      </c>
      <c r="Q27" s="119" t="str">
        <v>STRING</v>
      </c>
      <c r="R27" s="119" t="str">
        <v>STRING</v>
      </c>
      <c r="S27" s="119" t="str">
        <v>STRING</v>
      </c>
      <c r="T27" s="119" t="str">
        <v>INT</v>
      </c>
      <c r="U27" s="119" t="str">
        <v>DECIMAL</v>
      </c>
      <c r="V27" s="119" t="str">
        <v>DECIMAL</v>
      </c>
      <c r="W27" s="119" t="str">
        <v>DECIMAL</v>
      </c>
      <c r="X27" s="119" t="str">
        <v>DECIMAL</v>
      </c>
      <c r="Y27" s="119" t="str">
        <v>DECIMAL</v>
      </c>
      <c r="Z27" s="119" t="str">
        <v>DECIMAL</v>
      </c>
      <c r="AA27" s="119" t="str">
        <v>STRING</v>
      </c>
      <c r="AB27" s="119" t="str">
        <v>DECIMAL</v>
      </c>
      <c r="AC27" s="119" t="str">
        <v>DECIMAL</v>
      </c>
      <c r="AD27" s="259" t="str">
        <v>STRING</v>
      </c>
      <c r="AE27" s="119" t="str">
        <v>DECIMAL</v>
      </c>
      <c r="AF27" s="119" t="str">
        <v>STRING</v>
      </c>
      <c r="AG27" s="250" t="str">
        <v>DECIMAL</v>
      </c>
      <c r="AH27" s="250" t="str">
        <v>STRING</v>
      </c>
      <c r="AI27" s="119" t="str">
        <v>DECIMAL</v>
      </c>
      <c r="AJ27" s="119" t="str">
        <v>INT</v>
      </c>
      <c r="AK27" s="119" t="str">
        <v>STRING</v>
      </c>
      <c r="AL27" s="119" t="str">
        <v>STRING</v>
      </c>
      <c r="AM27" s="119" t="str">
        <v>STRING</v>
      </c>
      <c r="AN27" s="119" t="str">
        <v>DECIMAL</v>
      </c>
      <c r="AO27" s="119" t="str">
        <v>DECIMAL</v>
      </c>
      <c r="AP27" s="119" t="str">
        <v>DECIMAL</v>
      </c>
      <c r="AQ27" s="119" t="str">
        <v>DECIMAL</v>
      </c>
      <c r="AR27" s="119" t="str">
        <v>STRING</v>
      </c>
      <c r="AS27" s="119" t="str">
        <v>STRING</v>
      </c>
      <c r="AT27" s="119" t="str">
        <v>DECIMAL</v>
      </c>
      <c r="AU27" s="119" t="str">
        <v>DECIMAL</v>
      </c>
      <c r="AV27" s="119" t="str">
        <v>DECIMAL</v>
      </c>
      <c r="AW27" s="119" t="str">
        <v>DECIMAL</v>
      </c>
      <c r="AX27" s="119" t="str">
        <v>STRING</v>
      </c>
      <c r="AY27" s="121" t="str">
        <v>STRING</v>
      </c>
      <c r="AZ27" s="121" t="str">
        <v>STRING</v>
      </c>
      <c r="BA27" s="121" t="str">
        <v>STRING</v>
      </c>
      <c r="BB27" s="125" t="str">
        <v>TIMESTAMP</v>
      </c>
    </row>
    <row r="28" spans="2:54" x14ac:dyDescent="0.35">
      <c r="B28" s="123" t="s">
        <v>3661</v>
      </c>
      <c r="C28" s="126">
        <v>7</v>
      </c>
      <c r="D28" s="120" t="s">
        <v>3659</v>
      </c>
      <c r="E28" s="119" t="s">
        <v>3660</v>
      </c>
      <c r="F28" s="121" t="s">
        <v>372</v>
      </c>
      <c r="G28" s="121" t="s">
        <v>372</v>
      </c>
      <c r="H28" s="121" t="s">
        <v>372</v>
      </c>
      <c r="I28" s="167">
        <v>4</v>
      </c>
      <c r="J28" s="167">
        <v>30</v>
      </c>
      <c r="K28" s="167">
        <v>4</v>
      </c>
      <c r="L28" s="167">
        <v>4</v>
      </c>
      <c r="M28" s="167">
        <v>4</v>
      </c>
      <c r="N28" s="167">
        <v>4</v>
      </c>
      <c r="O28" s="167">
        <v>30</v>
      </c>
      <c r="P28" s="167">
        <v>10</v>
      </c>
      <c r="Q28" s="167">
        <v>10</v>
      </c>
      <c r="R28" s="167">
        <v>4</v>
      </c>
      <c r="S28" s="167">
        <v>4</v>
      </c>
      <c r="T28" s="167">
        <v>9999999</v>
      </c>
      <c r="U28" s="167">
        <v>23</v>
      </c>
      <c r="V28" s="167">
        <v>23</v>
      </c>
      <c r="W28" s="167">
        <v>23</v>
      </c>
      <c r="X28" s="167">
        <v>23</v>
      </c>
      <c r="Y28" s="167">
        <v>23</v>
      </c>
      <c r="Z28" s="167">
        <v>23</v>
      </c>
      <c r="AA28" s="167">
        <v>10</v>
      </c>
      <c r="AB28" s="167">
        <v>23</v>
      </c>
      <c r="AC28" s="167">
        <v>23</v>
      </c>
      <c r="AD28" s="260">
        <v>10</v>
      </c>
      <c r="AE28" s="167">
        <v>23</v>
      </c>
      <c r="AF28" s="167">
        <v>10</v>
      </c>
      <c r="AG28" s="167">
        <v>23</v>
      </c>
      <c r="AH28" s="167">
        <v>10</v>
      </c>
      <c r="AI28" s="167">
        <v>23</v>
      </c>
      <c r="AJ28" s="167">
        <v>9999999</v>
      </c>
      <c r="AK28" s="167">
        <v>4</v>
      </c>
      <c r="AL28" s="167">
        <v>4</v>
      </c>
      <c r="AM28" s="167">
        <v>20</v>
      </c>
      <c r="AN28" s="167">
        <v>23</v>
      </c>
      <c r="AO28" s="167">
        <v>23</v>
      </c>
      <c r="AP28" s="167">
        <v>23</v>
      </c>
      <c r="AQ28" s="167">
        <v>23</v>
      </c>
      <c r="AR28" s="167">
        <v>3</v>
      </c>
      <c r="AS28" s="167">
        <v>20</v>
      </c>
      <c r="AT28" s="167">
        <v>23</v>
      </c>
      <c r="AU28" s="167">
        <v>23</v>
      </c>
      <c r="AV28" s="167">
        <v>23</v>
      </c>
      <c r="AW28" s="167">
        <v>23</v>
      </c>
      <c r="AX28" s="167">
        <v>4</v>
      </c>
      <c r="AY28" s="167">
        <v>4</v>
      </c>
      <c r="AZ28" s="167">
        <v>2</v>
      </c>
      <c r="BA28" s="167">
        <v>10</v>
      </c>
      <c r="BB28" s="168">
        <v>23</v>
      </c>
    </row>
    <row r="30" spans="2:54" x14ac:dyDescent="0.35">
      <c r="B30" s="156" t="s">
        <v>3662</v>
      </c>
    </row>
    <row r="31" spans="2:54" x14ac:dyDescent="0.35">
      <c r="B31" s="150" t="s">
        <v>3663</v>
      </c>
      <c r="C31" s="150" t="s">
        <v>3664</v>
      </c>
      <c r="D31" s="151" t="s">
        <v>3665</v>
      </c>
      <c r="E31" s="150" t="s">
        <v>3666</v>
      </c>
      <c r="F31" s="150" t="s">
        <v>3667</v>
      </c>
      <c r="H31" t="s">
        <v>4357</v>
      </c>
    </row>
    <row r="32" spans="2:54" ht="43.5" x14ac:dyDescent="0.35">
      <c r="B32" s="153" t="s">
        <v>3668</v>
      </c>
      <c r="C32" s="154" t="s">
        <v>188</v>
      </c>
      <c r="D32" s="253" t="s">
        <v>4358</v>
      </c>
      <c r="E32" s="254" t="s">
        <v>4359</v>
      </c>
      <c r="F32" s="205" t="s">
        <v>3677</v>
      </c>
      <c r="H32" s="268" t="s">
        <v>4360</v>
      </c>
      <c r="J32" s="49"/>
      <c r="L32" s="49"/>
    </row>
    <row r="33" spans="2:12" ht="29" x14ac:dyDescent="0.35">
      <c r="B33" s="153" t="s">
        <v>3668</v>
      </c>
      <c r="C33" s="131" t="s">
        <v>2344</v>
      </c>
      <c r="D33" s="255" t="s">
        <v>4361</v>
      </c>
      <c r="E33" s="162" t="s">
        <v>4362</v>
      </c>
      <c r="F33" s="152" t="s">
        <v>3674</v>
      </c>
      <c r="H33" s="252"/>
      <c r="J33" s="49"/>
      <c r="L33" s="49"/>
    </row>
    <row r="34" spans="2:12" ht="101.5" x14ac:dyDescent="0.35">
      <c r="B34" s="153" t="s">
        <v>3668</v>
      </c>
      <c r="C34" s="131" t="s">
        <v>4363</v>
      </c>
      <c r="D34" s="255" t="s">
        <v>4364</v>
      </c>
      <c r="E34" s="162" t="s">
        <v>4365</v>
      </c>
      <c r="F34" s="205" t="s">
        <v>3841</v>
      </c>
    </row>
    <row r="35" spans="2:12" ht="43.5" x14ac:dyDescent="0.35">
      <c r="B35" s="153" t="s">
        <v>3668</v>
      </c>
      <c r="C35" s="131" t="s">
        <v>4366</v>
      </c>
      <c r="D35" s="255" t="s">
        <v>4367</v>
      </c>
      <c r="E35" s="162" t="s">
        <v>4108</v>
      </c>
      <c r="F35" s="152" t="s">
        <v>3677</v>
      </c>
    </row>
    <row r="36" spans="2:12" ht="116" x14ac:dyDescent="0.35">
      <c r="B36" s="269" t="s">
        <v>3668</v>
      </c>
      <c r="C36" s="190" t="s">
        <v>4368</v>
      </c>
      <c r="D36" s="270" t="s">
        <v>4369</v>
      </c>
      <c r="E36" s="271" t="s">
        <v>4370</v>
      </c>
      <c r="F36" s="193" t="s">
        <v>4371</v>
      </c>
    </row>
    <row r="37" spans="2:12" ht="43.5" x14ac:dyDescent="0.35">
      <c r="B37" s="153" t="s">
        <v>3668</v>
      </c>
      <c r="C37" s="190" t="s">
        <v>4330</v>
      </c>
      <c r="D37" s="270" t="s">
        <v>4372</v>
      </c>
      <c r="E37" s="271" t="s">
        <v>4359</v>
      </c>
      <c r="F37" s="193" t="s">
        <v>3677</v>
      </c>
    </row>
    <row r="38" spans="2:12" ht="101.5" x14ac:dyDescent="0.35">
      <c r="B38" s="153" t="s">
        <v>3668</v>
      </c>
      <c r="C38" s="131" t="s">
        <v>1458</v>
      </c>
      <c r="D38" s="255" t="s">
        <v>4373</v>
      </c>
      <c r="E38" s="162" t="s">
        <v>4374</v>
      </c>
      <c r="F38" s="152" t="s">
        <v>4375</v>
      </c>
    </row>
    <row r="39" spans="2:12" ht="101.5" x14ac:dyDescent="0.35">
      <c r="B39" s="153" t="s">
        <v>3668</v>
      </c>
      <c r="C39" s="131" t="s">
        <v>1467</v>
      </c>
      <c r="D39" s="255" t="s">
        <v>4373</v>
      </c>
      <c r="E39" s="162" t="s">
        <v>4374</v>
      </c>
      <c r="F39" s="152" t="s">
        <v>4375</v>
      </c>
    </row>
    <row r="40" spans="2:12" ht="87" x14ac:dyDescent="0.35">
      <c r="B40" s="153" t="s">
        <v>3668</v>
      </c>
      <c r="C40" s="131" t="s">
        <v>1473</v>
      </c>
      <c r="D40" s="255" t="s">
        <v>4376</v>
      </c>
      <c r="E40" s="162" t="s">
        <v>4377</v>
      </c>
      <c r="F40" s="152" t="s">
        <v>3671</v>
      </c>
    </row>
    <row r="41" spans="2:12" ht="145" x14ac:dyDescent="0.35">
      <c r="B41" s="153" t="s">
        <v>3668</v>
      </c>
      <c r="C41" s="133" t="s">
        <v>1481</v>
      </c>
      <c r="D41" s="256" t="s">
        <v>4378</v>
      </c>
      <c r="E41" s="162" t="s">
        <v>4379</v>
      </c>
      <c r="F41" s="152" t="s">
        <v>4113</v>
      </c>
      <c r="H41" s="50"/>
    </row>
    <row r="42" spans="2:12" ht="130.5" x14ac:dyDescent="0.35">
      <c r="B42" s="153" t="s">
        <v>3668</v>
      </c>
      <c r="C42" s="131" t="s">
        <v>429</v>
      </c>
      <c r="D42" s="266" t="s">
        <v>4380</v>
      </c>
      <c r="E42" s="113" t="s">
        <v>4381</v>
      </c>
      <c r="F42" s="205" t="s">
        <v>4113</v>
      </c>
    </row>
    <row r="43" spans="2:12" ht="246.5" x14ac:dyDescent="0.35">
      <c r="B43" s="153" t="s">
        <v>3668</v>
      </c>
      <c r="C43" s="131" t="s">
        <v>439</v>
      </c>
      <c r="D43" s="266" t="s">
        <v>4382</v>
      </c>
      <c r="E43" s="162" t="s">
        <v>4383</v>
      </c>
      <c r="F43" s="205" t="s">
        <v>4044</v>
      </c>
    </row>
    <row r="44" spans="2:12" ht="261" x14ac:dyDescent="0.35">
      <c r="B44" s="153" t="s">
        <v>3668</v>
      </c>
      <c r="C44" s="131" t="s">
        <v>1501</v>
      </c>
      <c r="D44" s="266" t="s">
        <v>4384</v>
      </c>
      <c r="E44" s="272" t="s">
        <v>4385</v>
      </c>
      <c r="F44" s="205" t="s">
        <v>4386</v>
      </c>
    </row>
    <row r="45" spans="2:12" ht="87" x14ac:dyDescent="0.35">
      <c r="B45" s="153" t="s">
        <v>3668</v>
      </c>
      <c r="C45" s="131" t="s">
        <v>1988</v>
      </c>
      <c r="D45" s="256" t="s">
        <v>4387</v>
      </c>
      <c r="E45" s="162" t="s">
        <v>4388</v>
      </c>
      <c r="F45" s="205" t="s">
        <v>4389</v>
      </c>
      <c r="I45" s="265"/>
    </row>
    <row r="46" spans="2:12" ht="87" x14ac:dyDescent="0.35">
      <c r="B46" s="153" t="s">
        <v>3668</v>
      </c>
      <c r="C46" s="154" t="s">
        <v>1998</v>
      </c>
      <c r="D46" s="257" t="s">
        <v>4390</v>
      </c>
      <c r="E46" s="163" t="s">
        <v>4391</v>
      </c>
      <c r="F46" s="205" t="s">
        <v>3838</v>
      </c>
      <c r="I46" s="265"/>
    </row>
    <row r="47" spans="2:12" ht="72.5" x14ac:dyDescent="0.35">
      <c r="B47" s="153" t="s">
        <v>3668</v>
      </c>
      <c r="C47" s="131" t="s">
        <v>1515</v>
      </c>
      <c r="D47" s="257" t="s">
        <v>4392</v>
      </c>
      <c r="E47" s="162" t="s">
        <v>4393</v>
      </c>
      <c r="F47" s="205" t="s">
        <v>4389</v>
      </c>
      <c r="I47" s="50"/>
      <c r="J47" s="50"/>
      <c r="K47" s="50"/>
    </row>
    <row r="48" spans="2:12" ht="43.5" x14ac:dyDescent="0.35">
      <c r="B48" s="153" t="s">
        <v>3668</v>
      </c>
      <c r="C48" s="131" t="s">
        <v>2715</v>
      </c>
      <c r="D48" s="257" t="s">
        <v>4394</v>
      </c>
      <c r="E48" s="163" t="s">
        <v>4395</v>
      </c>
      <c r="F48" s="205" t="s">
        <v>3677</v>
      </c>
      <c r="I48" s="265"/>
    </row>
    <row r="49" spans="2:11" ht="130.5" x14ac:dyDescent="0.35">
      <c r="B49" s="153" t="s">
        <v>3668</v>
      </c>
      <c r="C49" s="131" t="s">
        <v>766</v>
      </c>
      <c r="D49" s="256" t="s">
        <v>4396</v>
      </c>
      <c r="E49" s="162" t="s">
        <v>4397</v>
      </c>
      <c r="F49" s="205" t="s">
        <v>4398</v>
      </c>
      <c r="I49" s="265"/>
    </row>
    <row r="50" spans="2:11" ht="87" x14ac:dyDescent="0.35">
      <c r="B50" s="153" t="s">
        <v>3668</v>
      </c>
      <c r="C50" s="131" t="s">
        <v>776</v>
      </c>
      <c r="D50" s="257" t="s">
        <v>4390</v>
      </c>
      <c r="E50" s="163" t="s">
        <v>4399</v>
      </c>
      <c r="F50" s="205" t="s">
        <v>3838</v>
      </c>
    </row>
    <row r="51" spans="2:11" ht="87" x14ac:dyDescent="0.35">
      <c r="B51" s="153" t="s">
        <v>3668</v>
      </c>
      <c r="C51" s="131" t="s">
        <v>785</v>
      </c>
      <c r="D51" s="257" t="s">
        <v>4400</v>
      </c>
      <c r="E51" s="162" t="s">
        <v>4401</v>
      </c>
      <c r="F51" s="205" t="s">
        <v>3838</v>
      </c>
      <c r="I51" s="50"/>
      <c r="J51" s="50"/>
    </row>
    <row r="52" spans="2:11" ht="43.5" x14ac:dyDescent="0.35">
      <c r="B52" s="153" t="s">
        <v>3668</v>
      </c>
      <c r="C52" s="154" t="s">
        <v>2731</v>
      </c>
      <c r="D52" s="257" t="s">
        <v>4402</v>
      </c>
      <c r="E52" s="163" t="s">
        <v>4403</v>
      </c>
      <c r="F52" s="205" t="s">
        <v>3677</v>
      </c>
      <c r="K52" s="49"/>
    </row>
    <row r="53" spans="2:11" ht="29" x14ac:dyDescent="0.35">
      <c r="B53" s="153" t="s">
        <v>3668</v>
      </c>
      <c r="C53" s="154" t="s">
        <v>305</v>
      </c>
      <c r="D53" s="257" t="s">
        <v>4404</v>
      </c>
      <c r="E53" s="163" t="s">
        <v>4405</v>
      </c>
      <c r="F53" s="205" t="s">
        <v>3677</v>
      </c>
    </row>
    <row r="54" spans="2:11" ht="58" x14ac:dyDescent="0.35">
      <c r="B54" s="189" t="s">
        <v>3668</v>
      </c>
      <c r="C54" s="190" t="s">
        <v>294</v>
      </c>
      <c r="D54" s="273" t="s">
        <v>4406</v>
      </c>
      <c r="E54" s="271" t="s">
        <v>4407</v>
      </c>
      <c r="F54" s="193" t="s">
        <v>3677</v>
      </c>
    </row>
    <row r="55" spans="2:11" ht="304.5" x14ac:dyDescent="0.35">
      <c r="B55" s="269" t="s">
        <v>3678</v>
      </c>
      <c r="C55" s="274" t="s">
        <v>4408</v>
      </c>
      <c r="D55" s="275" t="s">
        <v>4409</v>
      </c>
      <c r="E55" s="276" t="s">
        <v>4410</v>
      </c>
      <c r="F55" s="277" t="s">
        <v>4411</v>
      </c>
    </row>
    <row r="56" spans="2:11" ht="116" x14ac:dyDescent="0.35">
      <c r="B56" s="269" t="s">
        <v>3736</v>
      </c>
      <c r="C56" s="278" t="s">
        <v>4412</v>
      </c>
      <c r="D56" s="275" t="s">
        <v>4413</v>
      </c>
      <c r="E56" s="276" t="s">
        <v>4414</v>
      </c>
      <c r="F56" s="277" t="s">
        <v>3671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B1:AO38"/>
  <sheetViews>
    <sheetView showGridLines="0" topLeftCell="Q19" workbookViewId="0">
      <selection activeCell="T31" sqref="T31"/>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9.816406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1.26953125" customWidth="1"/>
    <col min="19" max="19" width="26.81640625" bestFit="1" customWidth="1"/>
    <col min="20" max="20" width="37.7265625" customWidth="1"/>
    <col min="21" max="21" width="43.26953125" customWidth="1"/>
    <col min="22" max="23" width="30.7265625" bestFit="1" customWidth="1"/>
    <col min="24" max="24" width="40.1796875" customWidth="1"/>
    <col min="25" max="25" width="36.26953125" customWidth="1"/>
    <col min="26" max="26" width="42.1796875" customWidth="1"/>
    <col min="27" max="27" width="30.7265625" bestFit="1" customWidth="1"/>
    <col min="28" max="28" width="34.81640625" customWidth="1"/>
    <col min="29" max="29" width="26.81640625" bestFit="1" customWidth="1"/>
    <col min="30" max="30" width="30.7265625" bestFit="1" customWidth="1"/>
    <col min="31" max="31" width="25.1796875" bestFit="1" customWidth="1"/>
    <col min="32" max="32" width="45.7265625" bestFit="1" customWidth="1"/>
    <col min="33" max="33" width="31.26953125" bestFit="1" customWidth="1"/>
    <col min="34" max="34" width="33.453125" bestFit="1" customWidth="1"/>
    <col min="35" max="35" width="29.7265625" bestFit="1" customWidth="1"/>
    <col min="36" max="36" width="29.453125" customWidth="1"/>
    <col min="37" max="37" width="32.26953125" customWidth="1"/>
    <col min="38" max="38" width="41.1796875" customWidth="1"/>
    <col min="39" max="39" width="21.54296875" customWidth="1"/>
    <col min="40" max="40" width="27.7265625" customWidth="1"/>
    <col min="41" max="41" width="46.453125" customWidth="1"/>
  </cols>
  <sheetData>
    <row r="1" spans="2:40" ht="27.75" customHeight="1" x14ac:dyDescent="0.35"/>
    <row r="2" spans="2:40" x14ac:dyDescent="0.35">
      <c r="B2" s="91" t="s">
        <v>3738</v>
      </c>
      <c r="C2" s="91" t="s">
        <v>3614</v>
      </c>
      <c r="D2" s="91" t="s">
        <v>3615</v>
      </c>
      <c r="E2" s="91" t="s">
        <v>3616</v>
      </c>
      <c r="F2" s="91" t="s">
        <v>3617</v>
      </c>
      <c r="G2" s="91" t="s">
        <v>3618</v>
      </c>
      <c r="H2" s="91" t="s">
        <v>3619</v>
      </c>
      <c r="I2" s="91" t="s">
        <v>121</v>
      </c>
      <c r="J2" s="91" t="s">
        <v>137</v>
      </c>
      <c r="K2" s="91" t="s">
        <v>149</v>
      </c>
      <c r="L2" s="91" t="s">
        <v>156</v>
      </c>
      <c r="M2" s="91" t="s">
        <v>168</v>
      </c>
      <c r="N2" s="91" t="s">
        <v>177</v>
      </c>
      <c r="O2" s="91" t="s">
        <v>188</v>
      </c>
      <c r="P2" s="91" t="s">
        <v>199</v>
      </c>
      <c r="Q2" s="91" t="s">
        <v>211</v>
      </c>
      <c r="R2" s="91" t="s">
        <v>223</v>
      </c>
      <c r="S2" s="91" t="s">
        <v>2906</v>
      </c>
      <c r="T2" s="91" t="s">
        <v>1618</v>
      </c>
      <c r="U2" s="91" t="s">
        <v>2917</v>
      </c>
      <c r="V2" s="91" t="s">
        <v>2172</v>
      </c>
      <c r="W2" s="91" t="s">
        <v>2176</v>
      </c>
      <c r="X2" s="91" t="s">
        <v>2179</v>
      </c>
      <c r="Y2" s="91" t="s">
        <v>2183</v>
      </c>
      <c r="Z2" s="91" t="s">
        <v>2186</v>
      </c>
      <c r="AA2" s="91" t="s">
        <v>2190</v>
      </c>
      <c r="AB2" s="91" t="s">
        <v>2194</v>
      </c>
      <c r="AC2" s="91" t="s">
        <v>2197</v>
      </c>
      <c r="AD2" s="91" t="s">
        <v>2201</v>
      </c>
      <c r="AE2" s="91" t="s">
        <v>2204</v>
      </c>
      <c r="AF2" s="91" t="s">
        <v>294</v>
      </c>
      <c r="AG2" s="91" t="s">
        <v>305</v>
      </c>
      <c r="AH2" s="91" t="s">
        <v>318</v>
      </c>
      <c r="AI2" s="91" t="s">
        <v>327</v>
      </c>
      <c r="AJ2" s="91" t="s">
        <v>334</v>
      </c>
      <c r="AK2" s="91"/>
      <c r="AL2" s="91"/>
      <c r="AM2" s="91"/>
      <c r="AN2" s="91"/>
    </row>
    <row r="3" spans="2:40" x14ac:dyDescent="0.35">
      <c r="B3" s="50" t="s">
        <v>3567</v>
      </c>
      <c r="C3" s="50">
        <v>1</v>
      </c>
      <c r="D3" s="50" t="s">
        <v>4415</v>
      </c>
      <c r="E3" s="111">
        <v>45495</v>
      </c>
      <c r="F3" s="50">
        <v>3</v>
      </c>
      <c r="G3" s="114">
        <v>1</v>
      </c>
      <c r="H3" s="50">
        <v>269078</v>
      </c>
      <c r="I3" s="50" t="s">
        <v>3621</v>
      </c>
      <c r="J3" s="50" t="s">
        <v>3621</v>
      </c>
      <c r="K3" s="50" t="s">
        <v>3621</v>
      </c>
      <c r="L3" s="50" t="s">
        <v>3621</v>
      </c>
      <c r="M3" s="50" t="s">
        <v>3621</v>
      </c>
      <c r="N3" s="50" t="s">
        <v>3621</v>
      </c>
      <c r="O3" s="50" t="s">
        <v>3621</v>
      </c>
      <c r="P3" s="50" t="s">
        <v>3621</v>
      </c>
      <c r="Q3" s="50" t="s">
        <v>3621</v>
      </c>
      <c r="R3" s="50" t="s">
        <v>3621</v>
      </c>
      <c r="S3" s="50" t="s">
        <v>3621</v>
      </c>
      <c r="T3" s="50" t="s">
        <v>3621</v>
      </c>
      <c r="U3" s="262" t="s">
        <v>3621</v>
      </c>
      <c r="V3" s="262" t="s">
        <v>3621</v>
      </c>
      <c r="W3" s="262" t="s">
        <v>3621</v>
      </c>
      <c r="X3" s="262" t="s">
        <v>3621</v>
      </c>
      <c r="Y3" s="262" t="s">
        <v>3621</v>
      </c>
      <c r="Z3" s="262" t="s">
        <v>3621</v>
      </c>
      <c r="AA3" s="262" t="s">
        <v>3621</v>
      </c>
      <c r="AB3" s="262" t="s">
        <v>3621</v>
      </c>
      <c r="AC3" s="262" t="s">
        <v>3621</v>
      </c>
      <c r="AD3" s="262" t="s">
        <v>3621</v>
      </c>
      <c r="AE3" s="262" t="s">
        <v>3621</v>
      </c>
      <c r="AF3" s="50" t="s">
        <v>3621</v>
      </c>
      <c r="AG3" s="50" t="s">
        <v>3621</v>
      </c>
      <c r="AH3" s="50" t="s">
        <v>3621</v>
      </c>
      <c r="AI3" s="50" t="s">
        <v>3621</v>
      </c>
      <c r="AJ3" s="50" t="s">
        <v>3621</v>
      </c>
      <c r="AK3" s="50"/>
      <c r="AL3" s="50"/>
      <c r="AM3" s="50"/>
      <c r="AN3" s="50"/>
    </row>
    <row r="4" spans="2:40" x14ac:dyDescent="0.35">
      <c r="B4" s="50" t="s">
        <v>3569</v>
      </c>
      <c r="C4" s="50">
        <v>2</v>
      </c>
      <c r="D4" s="50" t="s">
        <v>4416</v>
      </c>
      <c r="E4" s="111">
        <v>45495</v>
      </c>
      <c r="F4" s="50">
        <v>3</v>
      </c>
      <c r="G4" s="50">
        <v>0.99996300000000005</v>
      </c>
      <c r="H4" s="114">
        <v>10</v>
      </c>
      <c r="I4" s="50" t="s">
        <v>3621</v>
      </c>
      <c r="J4" s="50" t="s">
        <v>3621</v>
      </c>
      <c r="K4" s="50" t="s">
        <v>3621</v>
      </c>
      <c r="L4" s="50" t="s">
        <v>3621</v>
      </c>
      <c r="M4" s="50" t="s">
        <v>3621</v>
      </c>
      <c r="N4" s="50" t="s">
        <v>3621</v>
      </c>
      <c r="O4" s="50" t="s">
        <v>3621</v>
      </c>
      <c r="P4" s="50" t="s">
        <v>3621</v>
      </c>
      <c r="Q4" s="50" t="s">
        <v>3621</v>
      </c>
      <c r="R4" s="50" t="s">
        <v>3621</v>
      </c>
      <c r="S4" s="50" t="s">
        <v>3621</v>
      </c>
      <c r="T4" s="50" t="s">
        <v>3621</v>
      </c>
      <c r="U4" s="262" t="s">
        <v>3621</v>
      </c>
      <c r="V4" s="262" t="s">
        <v>3621</v>
      </c>
      <c r="W4" s="262" t="s">
        <v>3621</v>
      </c>
      <c r="X4" s="262" t="s">
        <v>3621</v>
      </c>
      <c r="Y4" s="262" t="s">
        <v>3621</v>
      </c>
      <c r="Z4" s="262" t="s">
        <v>3621</v>
      </c>
      <c r="AA4" s="262" t="s">
        <v>3621</v>
      </c>
      <c r="AB4" s="262" t="s">
        <v>3621</v>
      </c>
      <c r="AC4" s="262" t="s">
        <v>3621</v>
      </c>
      <c r="AD4" s="262" t="s">
        <v>3621</v>
      </c>
      <c r="AE4" s="262" t="s">
        <v>3621</v>
      </c>
      <c r="AF4" s="50" t="s">
        <v>3621</v>
      </c>
      <c r="AG4" s="50" t="s">
        <v>3621</v>
      </c>
      <c r="AH4" s="50" t="s">
        <v>3621</v>
      </c>
      <c r="AI4" s="50" t="s">
        <v>3621</v>
      </c>
      <c r="AJ4" s="50" t="s">
        <v>3621</v>
      </c>
      <c r="AK4" s="50"/>
      <c r="AL4" s="50"/>
      <c r="AM4" s="50"/>
      <c r="AN4" s="50"/>
    </row>
    <row r="5" spans="2:40" x14ac:dyDescent="0.35">
      <c r="B5" s="50" t="s">
        <v>3571</v>
      </c>
      <c r="C5" s="50">
        <v>3</v>
      </c>
      <c r="D5" s="50" t="s">
        <v>4417</v>
      </c>
      <c r="E5" s="111">
        <v>45495</v>
      </c>
      <c r="F5" s="50">
        <v>3</v>
      </c>
      <c r="G5" s="114">
        <v>1</v>
      </c>
      <c r="H5" s="50" t="s">
        <v>3630</v>
      </c>
      <c r="I5" s="50">
        <v>0</v>
      </c>
      <c r="J5" s="50">
        <v>0</v>
      </c>
      <c r="K5" s="50" t="s">
        <v>3621</v>
      </c>
      <c r="L5" s="50" t="s">
        <v>3621</v>
      </c>
      <c r="M5" s="50" t="s">
        <v>3621</v>
      </c>
      <c r="N5" s="50" t="s">
        <v>3621</v>
      </c>
      <c r="O5" s="50" t="s">
        <v>3621</v>
      </c>
      <c r="P5" s="50" t="s">
        <v>3621</v>
      </c>
      <c r="Q5" s="50" t="s">
        <v>3621</v>
      </c>
      <c r="R5" s="50" t="s">
        <v>3621</v>
      </c>
      <c r="S5" s="50" t="s">
        <v>3621</v>
      </c>
      <c r="T5" s="50" t="s">
        <v>3621</v>
      </c>
      <c r="U5" s="262" t="s">
        <v>3621</v>
      </c>
      <c r="V5" s="262" t="s">
        <v>3621</v>
      </c>
      <c r="W5" s="262" t="s">
        <v>3621</v>
      </c>
      <c r="X5" s="262" t="s">
        <v>3621</v>
      </c>
      <c r="Y5" s="262" t="s">
        <v>3621</v>
      </c>
      <c r="Z5" s="262" t="s">
        <v>3621</v>
      </c>
      <c r="AA5" s="262" t="s">
        <v>3621</v>
      </c>
      <c r="AB5" s="262" t="s">
        <v>3621</v>
      </c>
      <c r="AC5" s="262" t="s">
        <v>3621</v>
      </c>
      <c r="AD5" s="262" t="s">
        <v>3621</v>
      </c>
      <c r="AE5" s="262" t="s">
        <v>3621</v>
      </c>
      <c r="AF5" s="50" t="s">
        <v>3621</v>
      </c>
      <c r="AG5" s="50" t="s">
        <v>3621</v>
      </c>
      <c r="AH5" s="50" t="s">
        <v>3621</v>
      </c>
      <c r="AI5" s="50">
        <v>0</v>
      </c>
      <c r="AJ5" s="50" t="s">
        <v>3621</v>
      </c>
      <c r="AK5" s="50"/>
      <c r="AL5" s="50"/>
      <c r="AM5" s="50"/>
      <c r="AN5" s="50"/>
    </row>
    <row r="6" spans="2:40" x14ac:dyDescent="0.35">
      <c r="B6" s="113" t="s">
        <v>3573</v>
      </c>
      <c r="C6" s="50">
        <v>4</v>
      </c>
      <c r="D6" s="50" t="s">
        <v>3624</v>
      </c>
      <c r="E6" s="111" t="s">
        <v>3621</v>
      </c>
      <c r="F6" s="50">
        <v>3</v>
      </c>
      <c r="G6" s="50" t="s">
        <v>3621</v>
      </c>
      <c r="H6" s="50"/>
      <c r="I6" s="50" t="s">
        <v>3621</v>
      </c>
      <c r="J6" s="50" t="s">
        <v>3621</v>
      </c>
      <c r="K6" s="50" t="s">
        <v>3621</v>
      </c>
      <c r="L6" s="50" t="s">
        <v>3621</v>
      </c>
      <c r="M6" s="50" t="s">
        <v>3621</v>
      </c>
      <c r="N6" s="50" t="s">
        <v>3621</v>
      </c>
      <c r="O6" s="50" t="s">
        <v>3621</v>
      </c>
      <c r="P6" s="50" t="s">
        <v>3621</v>
      </c>
      <c r="Q6" s="50" t="s">
        <v>3621</v>
      </c>
      <c r="R6" s="50" t="s">
        <v>3621</v>
      </c>
      <c r="S6" s="50" t="s">
        <v>3621</v>
      </c>
      <c r="T6" s="50" t="s">
        <v>3621</v>
      </c>
      <c r="U6" s="262" t="s">
        <v>3621</v>
      </c>
      <c r="V6" s="262" t="s">
        <v>3621</v>
      </c>
      <c r="W6" s="262" t="s">
        <v>3621</v>
      </c>
      <c r="X6" s="262" t="s">
        <v>3621</v>
      </c>
      <c r="Y6" s="262" t="s">
        <v>3621</v>
      </c>
      <c r="Z6" s="262" t="s">
        <v>3621</v>
      </c>
      <c r="AA6" s="262" t="s">
        <v>3621</v>
      </c>
      <c r="AB6" s="262" t="s">
        <v>3621</v>
      </c>
      <c r="AC6" s="262" t="s">
        <v>3621</v>
      </c>
      <c r="AD6" s="262" t="s">
        <v>3621</v>
      </c>
      <c r="AE6" s="262" t="s">
        <v>3621</v>
      </c>
      <c r="AF6" s="50" t="s">
        <v>3621</v>
      </c>
      <c r="AG6" s="50" t="s">
        <v>3621</v>
      </c>
      <c r="AH6" s="50" t="s">
        <v>3621</v>
      </c>
      <c r="AI6" s="50" t="s">
        <v>3621</v>
      </c>
      <c r="AJ6" s="50" t="s">
        <v>3621</v>
      </c>
      <c r="AK6" s="50"/>
      <c r="AL6" s="50"/>
      <c r="AM6" s="50"/>
      <c r="AN6" s="50"/>
    </row>
    <row r="7" spans="2:40" x14ac:dyDescent="0.35">
      <c r="B7" s="50" t="s">
        <v>3575</v>
      </c>
      <c r="C7" s="50">
        <v>5</v>
      </c>
      <c r="D7" s="50" t="s">
        <v>3624</v>
      </c>
      <c r="E7" s="111" t="s">
        <v>3621</v>
      </c>
      <c r="F7" s="50">
        <v>3</v>
      </c>
      <c r="G7" s="50" t="s">
        <v>3621</v>
      </c>
      <c r="H7" s="50"/>
      <c r="I7" s="50" t="s">
        <v>3621</v>
      </c>
      <c r="J7" s="50" t="s">
        <v>3621</v>
      </c>
      <c r="K7" s="50" t="s">
        <v>3621</v>
      </c>
      <c r="L7" s="50" t="s">
        <v>3621</v>
      </c>
      <c r="M7" s="50" t="s">
        <v>3621</v>
      </c>
      <c r="N7" s="50" t="s">
        <v>3621</v>
      </c>
      <c r="O7" s="50" t="s">
        <v>3621</v>
      </c>
      <c r="P7" s="50" t="s">
        <v>3621</v>
      </c>
      <c r="Q7" s="50" t="s">
        <v>3621</v>
      </c>
      <c r="R7" s="50" t="s">
        <v>3621</v>
      </c>
      <c r="S7" s="50" t="s">
        <v>3621</v>
      </c>
      <c r="T7" s="50" t="s">
        <v>3621</v>
      </c>
      <c r="U7" s="262" t="s">
        <v>3621</v>
      </c>
      <c r="V7" s="262" t="s">
        <v>3621</v>
      </c>
      <c r="W7" s="262" t="s">
        <v>3621</v>
      </c>
      <c r="X7" s="262" t="s">
        <v>3621</v>
      </c>
      <c r="Y7" s="262" t="s">
        <v>3621</v>
      </c>
      <c r="Z7" s="262" t="s">
        <v>3621</v>
      </c>
      <c r="AA7" s="262" t="s">
        <v>3621</v>
      </c>
      <c r="AB7" s="262" t="s">
        <v>3621</v>
      </c>
      <c r="AC7" s="262" t="s">
        <v>3621</v>
      </c>
      <c r="AD7" s="262" t="s">
        <v>3621</v>
      </c>
      <c r="AE7" s="262" t="s">
        <v>3621</v>
      </c>
      <c r="AF7" s="50" t="s">
        <v>3621</v>
      </c>
      <c r="AG7" s="50" t="s">
        <v>3621</v>
      </c>
      <c r="AH7" s="50" t="s">
        <v>3621</v>
      </c>
      <c r="AI7" s="50" t="s">
        <v>3621</v>
      </c>
      <c r="AJ7" s="50" t="s">
        <v>3621</v>
      </c>
      <c r="AK7" s="50"/>
      <c r="AL7" s="50"/>
      <c r="AM7" s="50"/>
      <c r="AN7" s="50"/>
    </row>
    <row r="8" spans="2:40" x14ac:dyDescent="0.35">
      <c r="B8" s="113" t="s">
        <v>3576</v>
      </c>
      <c r="C8" s="50">
        <v>6</v>
      </c>
      <c r="D8" s="50" t="s">
        <v>4418</v>
      </c>
      <c r="E8" s="111">
        <v>45495</v>
      </c>
      <c r="F8" s="50">
        <v>3</v>
      </c>
      <c r="G8" s="225" cm="1">
        <f t="array" ref="G8">SUMPRODUCT(--(I8:AJ8&gt;0))/COUNTA(I8:AJ8)</f>
        <v>1</v>
      </c>
      <c r="H8" s="50" t="s">
        <v>3630</v>
      </c>
      <c r="I8" s="50">
        <v>2</v>
      </c>
      <c r="J8" s="50">
        <v>30</v>
      </c>
      <c r="K8" s="50">
        <v>3</v>
      </c>
      <c r="L8" s="50">
        <v>3</v>
      </c>
      <c r="M8" s="50">
        <v>3</v>
      </c>
      <c r="N8" s="50">
        <v>2</v>
      </c>
      <c r="O8" s="50">
        <v>30</v>
      </c>
      <c r="P8" s="50">
        <v>10</v>
      </c>
      <c r="Q8" s="50">
        <v>10</v>
      </c>
      <c r="R8" s="50">
        <v>3</v>
      </c>
      <c r="S8" s="114">
        <v>8</v>
      </c>
      <c r="T8" s="114">
        <v>8</v>
      </c>
      <c r="U8" s="262">
        <v>26</v>
      </c>
      <c r="V8" s="262">
        <v>27</v>
      </c>
      <c r="W8" s="262">
        <v>24</v>
      </c>
      <c r="X8" s="262">
        <v>26</v>
      </c>
      <c r="Y8" s="262">
        <v>22</v>
      </c>
      <c r="Z8" s="262">
        <v>29</v>
      </c>
      <c r="AA8" s="262">
        <v>26</v>
      </c>
      <c r="AB8" s="262">
        <v>24</v>
      </c>
      <c r="AC8" s="262">
        <v>26</v>
      </c>
      <c r="AD8" s="262">
        <v>22</v>
      </c>
      <c r="AE8" s="262">
        <v>29</v>
      </c>
      <c r="AF8" s="50">
        <v>3</v>
      </c>
      <c r="AG8" s="50" t="s">
        <v>3744</v>
      </c>
      <c r="AH8" s="50">
        <v>2</v>
      </c>
      <c r="AI8" s="50">
        <v>10</v>
      </c>
      <c r="AJ8" s="50">
        <v>22</v>
      </c>
      <c r="AK8" s="50"/>
      <c r="AL8" s="50"/>
      <c r="AM8" s="50"/>
      <c r="AN8" s="50"/>
    </row>
    <row r="9" spans="2:40" x14ac:dyDescent="0.35">
      <c r="B9" s="50" t="s">
        <v>3579</v>
      </c>
      <c r="C9" s="50">
        <v>7</v>
      </c>
      <c r="D9" s="50" t="s">
        <v>4419</v>
      </c>
      <c r="E9" s="111">
        <v>45495</v>
      </c>
      <c r="F9" s="50">
        <v>3</v>
      </c>
      <c r="G9" s="225" cm="1">
        <f t="array" ref="G9">SUMPRODUCT(--(I9:AJ9 &lt;= I28:AJ28))/COUNTA(I28:AJ28)</f>
        <v>0.6071428571428571</v>
      </c>
      <c r="H9" s="50" t="s">
        <v>3630</v>
      </c>
      <c r="I9" s="50">
        <v>2</v>
      </c>
      <c r="J9" s="50">
        <v>30</v>
      </c>
      <c r="K9" s="50">
        <v>3</v>
      </c>
      <c r="L9" s="50">
        <v>3</v>
      </c>
      <c r="M9" s="50">
        <v>3</v>
      </c>
      <c r="N9" s="50">
        <v>2</v>
      </c>
      <c r="O9" s="50">
        <v>30</v>
      </c>
      <c r="P9" s="50">
        <v>10</v>
      </c>
      <c r="Q9" s="50">
        <v>10</v>
      </c>
      <c r="R9" s="50">
        <v>3</v>
      </c>
      <c r="S9" s="50">
        <v>16</v>
      </c>
      <c r="T9" s="50">
        <v>16</v>
      </c>
      <c r="U9" s="262">
        <v>26</v>
      </c>
      <c r="V9" s="262">
        <v>27</v>
      </c>
      <c r="W9" s="262">
        <v>24</v>
      </c>
      <c r="X9" s="262">
        <v>26</v>
      </c>
      <c r="Y9" s="262">
        <v>22</v>
      </c>
      <c r="Z9" s="262">
        <v>29</v>
      </c>
      <c r="AA9" s="262">
        <v>26</v>
      </c>
      <c r="AB9" s="262">
        <v>24</v>
      </c>
      <c r="AC9" s="262">
        <v>26</v>
      </c>
      <c r="AD9" s="262">
        <v>22</v>
      </c>
      <c r="AE9" s="262">
        <v>29</v>
      </c>
      <c r="AF9" s="50">
        <v>3</v>
      </c>
      <c r="AG9" s="50" t="s">
        <v>3744</v>
      </c>
      <c r="AH9" s="50">
        <v>2</v>
      </c>
      <c r="AI9" s="50">
        <v>10</v>
      </c>
      <c r="AJ9" s="50">
        <v>22</v>
      </c>
      <c r="AK9" s="50"/>
      <c r="AL9" s="50"/>
      <c r="AM9" s="50"/>
      <c r="AN9" s="50"/>
    </row>
    <row r="10" spans="2:40" x14ac:dyDescent="0.35">
      <c r="B10" s="50" t="s">
        <v>3582</v>
      </c>
      <c r="C10" s="50">
        <v>8</v>
      </c>
      <c r="D10" s="50" t="s">
        <v>4420</v>
      </c>
      <c r="E10" s="111">
        <v>45495</v>
      </c>
      <c r="F10" s="50">
        <v>3</v>
      </c>
      <c r="G10" s="50" t="s">
        <v>3621</v>
      </c>
      <c r="H10" s="50" t="s">
        <v>3630</v>
      </c>
      <c r="I10" s="50">
        <v>31</v>
      </c>
      <c r="J10" s="50">
        <v>2.4845061000001999E+22</v>
      </c>
      <c r="K10" s="50" t="s">
        <v>4421</v>
      </c>
      <c r="L10" s="50">
        <v>61</v>
      </c>
      <c r="M10" s="50">
        <v>0</v>
      </c>
      <c r="N10" s="50">
        <v>31</v>
      </c>
      <c r="O10" s="50">
        <v>2.1208001000000002E+22</v>
      </c>
      <c r="P10" s="111">
        <v>26384</v>
      </c>
      <c r="Q10" s="111">
        <v>40121</v>
      </c>
      <c r="R10" s="114">
        <v>36</v>
      </c>
      <c r="S10" s="114" t="s">
        <v>3630</v>
      </c>
      <c r="T10" s="114" t="s">
        <v>3630</v>
      </c>
      <c r="U10" s="263" t="s">
        <v>2917</v>
      </c>
      <c r="V10" s="263" t="s">
        <v>2172</v>
      </c>
      <c r="W10" s="262" t="s">
        <v>2176</v>
      </c>
      <c r="X10" s="263" t="s">
        <v>2179</v>
      </c>
      <c r="Y10" s="263" t="s">
        <v>2183</v>
      </c>
      <c r="Z10" s="262" t="s">
        <v>2186</v>
      </c>
      <c r="AA10" s="262" t="s">
        <v>2190</v>
      </c>
      <c r="AB10" s="262" t="s">
        <v>2194</v>
      </c>
      <c r="AC10" s="262" t="s">
        <v>2197</v>
      </c>
      <c r="AD10" s="262" t="s">
        <v>2201</v>
      </c>
      <c r="AE10" s="262" t="s">
        <v>2204</v>
      </c>
      <c r="AF10" s="50" t="s">
        <v>3631</v>
      </c>
      <c r="AG10" s="50" t="s">
        <v>3744</v>
      </c>
      <c r="AH10" s="50" t="s">
        <v>4422</v>
      </c>
      <c r="AI10" s="111">
        <v>45495</v>
      </c>
      <c r="AJ10" s="50" t="s">
        <v>4423</v>
      </c>
      <c r="AK10" s="50"/>
      <c r="AL10" s="50"/>
      <c r="AM10" s="111"/>
      <c r="AN10" s="111"/>
    </row>
    <row r="11" spans="2:40" x14ac:dyDescent="0.35">
      <c r="B11" s="50" t="s">
        <v>3584</v>
      </c>
      <c r="C11" s="50">
        <v>9</v>
      </c>
      <c r="D11" s="50" t="s">
        <v>4424</v>
      </c>
      <c r="E11" s="111">
        <v>45495</v>
      </c>
      <c r="F11" s="50">
        <v>3</v>
      </c>
      <c r="G11" s="50" t="s">
        <v>3621</v>
      </c>
      <c r="H11" s="50" t="s">
        <v>3630</v>
      </c>
      <c r="I11" s="50">
        <v>31</v>
      </c>
      <c r="J11" s="50">
        <v>2.4845061000001999E+22</v>
      </c>
      <c r="K11" s="50"/>
      <c r="L11" s="50">
        <v>61</v>
      </c>
      <c r="M11" s="50">
        <v>0</v>
      </c>
      <c r="N11" s="111"/>
      <c r="O11" s="50">
        <v>2.1208001000000002E+22</v>
      </c>
      <c r="P11" s="111">
        <v>26384</v>
      </c>
      <c r="Q11" s="111">
        <v>40121</v>
      </c>
      <c r="R11" s="50">
        <v>36</v>
      </c>
      <c r="S11" s="50" t="s">
        <v>3706</v>
      </c>
      <c r="T11" s="50" t="s">
        <v>3706</v>
      </c>
      <c r="U11" s="262" t="s">
        <v>2917</v>
      </c>
      <c r="V11" s="262" t="s">
        <v>2172</v>
      </c>
      <c r="W11" s="262" t="s">
        <v>2176</v>
      </c>
      <c r="X11" s="263" t="s">
        <v>2179</v>
      </c>
      <c r="Y11" s="263" t="s">
        <v>2183</v>
      </c>
      <c r="Z11" s="262" t="s">
        <v>2186</v>
      </c>
      <c r="AA11" s="262" t="s">
        <v>2190</v>
      </c>
      <c r="AB11" s="262" t="s">
        <v>2194</v>
      </c>
      <c r="AC11" s="262" t="s">
        <v>2197</v>
      </c>
      <c r="AD11" s="262" t="s">
        <v>2201</v>
      </c>
      <c r="AE11" s="262" t="s">
        <v>2204</v>
      </c>
      <c r="AF11" s="50" t="s">
        <v>3646</v>
      </c>
      <c r="AG11" s="50" t="s">
        <v>3744</v>
      </c>
      <c r="AH11" s="50" t="s">
        <v>4422</v>
      </c>
      <c r="AI11" s="111">
        <v>45495</v>
      </c>
      <c r="AJ11" s="50" t="s">
        <v>4425</v>
      </c>
      <c r="AK11" s="50"/>
      <c r="AL11" s="50"/>
      <c r="AM11" s="111"/>
      <c r="AN11" s="111"/>
    </row>
    <row r="12" spans="2:40" x14ac:dyDescent="0.35">
      <c r="B12" s="113" t="s">
        <v>3586</v>
      </c>
      <c r="C12" s="50">
        <v>10</v>
      </c>
      <c r="D12" s="50" t="s">
        <v>4426</v>
      </c>
      <c r="E12" s="111">
        <v>45495</v>
      </c>
      <c r="F12" s="50">
        <v>3</v>
      </c>
      <c r="G12" s="50" t="s">
        <v>3621</v>
      </c>
      <c r="H12" s="50" t="s">
        <v>3630</v>
      </c>
      <c r="I12" s="50">
        <v>31</v>
      </c>
      <c r="J12" s="50">
        <v>5.4060000086906101E+29</v>
      </c>
      <c r="K12" s="50" t="s">
        <v>4421</v>
      </c>
      <c r="L12" s="50">
        <v>269</v>
      </c>
      <c r="M12" s="50" t="s">
        <v>4427</v>
      </c>
      <c r="N12" s="50">
        <v>31</v>
      </c>
      <c r="O12" s="50">
        <v>2.39700506824024E+29</v>
      </c>
      <c r="P12" s="111">
        <v>45495</v>
      </c>
      <c r="Q12" s="111">
        <v>50908</v>
      </c>
      <c r="R12" s="50">
        <v>978</v>
      </c>
      <c r="S12" s="209">
        <v>99995000000</v>
      </c>
      <c r="T12" s="114">
        <v>120000000000000</v>
      </c>
      <c r="U12" s="263" t="s">
        <v>2917</v>
      </c>
      <c r="V12" s="263" t="s">
        <v>2172</v>
      </c>
      <c r="W12" s="263" t="s">
        <v>2176</v>
      </c>
      <c r="X12" s="263" t="s">
        <v>2179</v>
      </c>
      <c r="Y12" s="263" t="s">
        <v>2183</v>
      </c>
      <c r="Z12" s="263" t="s">
        <v>2186</v>
      </c>
      <c r="AA12" s="262" t="s">
        <v>2190</v>
      </c>
      <c r="AB12" s="262" t="s">
        <v>2194</v>
      </c>
      <c r="AC12" s="264" t="s">
        <v>2197</v>
      </c>
      <c r="AD12" s="262" t="s">
        <v>2201</v>
      </c>
      <c r="AE12" s="262" t="s">
        <v>2204</v>
      </c>
      <c r="AF12" s="50" t="s">
        <v>3631</v>
      </c>
      <c r="AG12" s="50" t="s">
        <v>3744</v>
      </c>
      <c r="AH12" s="111" t="s">
        <v>4422</v>
      </c>
      <c r="AI12" s="111">
        <v>45495</v>
      </c>
      <c r="AJ12" s="50" t="s">
        <v>4423</v>
      </c>
      <c r="AK12" s="50"/>
      <c r="AL12" s="50"/>
      <c r="AM12" s="111"/>
      <c r="AN12" s="111"/>
    </row>
    <row r="13" spans="2:40" x14ac:dyDescent="0.35">
      <c r="B13" s="50" t="s">
        <v>3588</v>
      </c>
      <c r="C13" s="50">
        <v>11</v>
      </c>
      <c r="D13" s="50" t="s">
        <v>4428</v>
      </c>
      <c r="E13" s="111">
        <v>45495</v>
      </c>
      <c r="F13" s="50">
        <v>3</v>
      </c>
      <c r="G13" s="50" t="s">
        <v>3621</v>
      </c>
      <c r="H13" s="50" t="s">
        <v>3630</v>
      </c>
      <c r="I13" s="50">
        <v>31</v>
      </c>
      <c r="J13" s="50">
        <v>5.4060000086906101E+29</v>
      </c>
      <c r="K13" s="50"/>
      <c r="L13" s="50">
        <v>269</v>
      </c>
      <c r="M13" s="50" t="s">
        <v>4427</v>
      </c>
      <c r="N13" s="111"/>
      <c r="O13" s="50">
        <v>2.39700506824024E+29</v>
      </c>
      <c r="P13" s="111">
        <v>45495</v>
      </c>
      <c r="Q13" s="111">
        <v>50908</v>
      </c>
      <c r="R13" s="50">
        <v>978</v>
      </c>
      <c r="S13" s="111" t="s">
        <v>4429</v>
      </c>
      <c r="T13" s="114" t="s">
        <v>4429</v>
      </c>
      <c r="U13" s="262" t="s">
        <v>2917</v>
      </c>
      <c r="V13" s="262" t="s">
        <v>2172</v>
      </c>
      <c r="W13" s="262" t="s">
        <v>2176</v>
      </c>
      <c r="X13" s="263" t="s">
        <v>2179</v>
      </c>
      <c r="Y13" s="263" t="s">
        <v>2183</v>
      </c>
      <c r="Z13" s="263" t="s">
        <v>2186</v>
      </c>
      <c r="AA13" s="262" t="s">
        <v>2190</v>
      </c>
      <c r="AB13" s="262" t="s">
        <v>2194</v>
      </c>
      <c r="AC13" s="264" t="s">
        <v>2197</v>
      </c>
      <c r="AD13" s="262" t="s">
        <v>2201</v>
      </c>
      <c r="AE13" s="262" t="s">
        <v>2204</v>
      </c>
      <c r="AF13" s="50" t="s">
        <v>3646</v>
      </c>
      <c r="AG13" s="50" t="s">
        <v>3744</v>
      </c>
      <c r="AH13" s="111" t="s">
        <v>4422</v>
      </c>
      <c r="AI13" s="111">
        <v>45495</v>
      </c>
      <c r="AJ13" s="50" t="s">
        <v>4430</v>
      </c>
      <c r="AK13" s="50"/>
      <c r="AL13" s="50"/>
      <c r="AM13" s="111"/>
      <c r="AN13" s="111"/>
    </row>
    <row r="14" spans="2:40" x14ac:dyDescent="0.35">
      <c r="B14" s="50" t="s">
        <v>3590</v>
      </c>
      <c r="C14" s="50">
        <v>12</v>
      </c>
      <c r="D14" s="50" t="s">
        <v>4431</v>
      </c>
      <c r="E14" s="111">
        <v>45495</v>
      </c>
      <c r="F14" s="50">
        <v>3</v>
      </c>
      <c r="G14" s="50">
        <v>0.89285700000000001</v>
      </c>
      <c r="H14" s="50" t="s">
        <v>3630</v>
      </c>
      <c r="I14" s="50">
        <v>0</v>
      </c>
      <c r="J14" s="50">
        <v>0</v>
      </c>
      <c r="K14" s="50">
        <v>0</v>
      </c>
      <c r="L14" s="50">
        <v>0</v>
      </c>
      <c r="M14" s="50">
        <v>0</v>
      </c>
      <c r="N14" s="50">
        <v>0</v>
      </c>
      <c r="O14" s="50">
        <v>6</v>
      </c>
      <c r="P14" s="50">
        <v>0</v>
      </c>
      <c r="Q14" s="50">
        <v>0</v>
      </c>
      <c r="R14" s="50">
        <v>251</v>
      </c>
      <c r="S14" s="50">
        <v>251</v>
      </c>
      <c r="T14" s="50">
        <v>251</v>
      </c>
      <c r="U14" s="263">
        <v>0</v>
      </c>
      <c r="V14" s="263">
        <v>0</v>
      </c>
      <c r="W14" s="263">
        <v>0</v>
      </c>
      <c r="X14" s="262">
        <v>0</v>
      </c>
      <c r="Y14" s="262">
        <v>0</v>
      </c>
      <c r="Z14" s="262">
        <v>0</v>
      </c>
      <c r="AA14" s="262">
        <v>0</v>
      </c>
      <c r="AB14" s="262">
        <v>0</v>
      </c>
      <c r="AC14" s="262">
        <v>0</v>
      </c>
      <c r="AD14" s="262">
        <v>0</v>
      </c>
      <c r="AE14" s="262">
        <v>0</v>
      </c>
      <c r="AF14" s="50">
        <v>0</v>
      </c>
      <c r="AG14" s="50">
        <v>269078</v>
      </c>
      <c r="AH14" s="50">
        <v>0</v>
      </c>
      <c r="AI14" s="50">
        <v>0</v>
      </c>
      <c r="AJ14" s="50">
        <v>0</v>
      </c>
      <c r="AK14" s="50"/>
      <c r="AL14" s="50"/>
      <c r="AM14" s="50"/>
      <c r="AN14" s="50"/>
    </row>
    <row r="15" spans="2:40" x14ac:dyDescent="0.35">
      <c r="B15" s="50" t="s">
        <v>3592</v>
      </c>
      <c r="C15" s="50">
        <v>13</v>
      </c>
      <c r="D15" s="50" t="s">
        <v>4432</v>
      </c>
      <c r="E15" s="111">
        <v>45495</v>
      </c>
      <c r="F15" s="50">
        <v>3</v>
      </c>
      <c r="G15" s="114">
        <v>1</v>
      </c>
      <c r="H15" s="50" t="s">
        <v>3630</v>
      </c>
      <c r="I15" s="50" t="s">
        <v>3621</v>
      </c>
      <c r="J15" s="50" t="s">
        <v>3621</v>
      </c>
      <c r="K15" s="50" t="s">
        <v>3621</v>
      </c>
      <c r="L15" s="50" t="s">
        <v>3621</v>
      </c>
      <c r="M15" s="50" t="s">
        <v>3621</v>
      </c>
      <c r="N15" s="111" t="s">
        <v>3621</v>
      </c>
      <c r="O15" s="111" t="s">
        <v>3621</v>
      </c>
      <c r="P15" s="50">
        <v>0</v>
      </c>
      <c r="Q15" s="50">
        <v>0</v>
      </c>
      <c r="R15" s="50" t="s">
        <v>3621</v>
      </c>
      <c r="S15" s="111" t="s">
        <v>3621</v>
      </c>
      <c r="T15" s="111" t="s">
        <v>3621</v>
      </c>
      <c r="U15" s="262" t="s">
        <v>3621</v>
      </c>
      <c r="V15" s="262" t="s">
        <v>3621</v>
      </c>
      <c r="W15" s="262" t="s">
        <v>3621</v>
      </c>
      <c r="X15" s="262" t="s">
        <v>3621</v>
      </c>
      <c r="Y15" s="262" t="s">
        <v>3621</v>
      </c>
      <c r="Z15" s="262" t="s">
        <v>3621</v>
      </c>
      <c r="AA15" s="262" t="s">
        <v>3621</v>
      </c>
      <c r="AB15" s="262" t="s">
        <v>3621</v>
      </c>
      <c r="AC15" s="264" t="s">
        <v>3621</v>
      </c>
      <c r="AD15" s="262" t="s">
        <v>3621</v>
      </c>
      <c r="AE15" s="262" t="s">
        <v>3621</v>
      </c>
      <c r="AF15" s="50" t="s">
        <v>3621</v>
      </c>
      <c r="AG15" s="50" t="s">
        <v>3621</v>
      </c>
      <c r="AH15" s="111" t="s">
        <v>3621</v>
      </c>
      <c r="AI15" s="50" t="s">
        <v>3621</v>
      </c>
      <c r="AJ15" s="50" t="s">
        <v>3621</v>
      </c>
      <c r="AK15" s="50"/>
      <c r="AL15" s="50"/>
      <c r="AM15" s="50"/>
      <c r="AN15" s="111"/>
    </row>
    <row r="16" spans="2:40" x14ac:dyDescent="0.35">
      <c r="B16" s="50" t="s">
        <v>3594</v>
      </c>
      <c r="C16" s="50">
        <v>14</v>
      </c>
      <c r="D16" s="50" t="s">
        <v>4433</v>
      </c>
      <c r="E16" s="111">
        <v>45495</v>
      </c>
      <c r="F16" s="50">
        <v>3</v>
      </c>
      <c r="G16" s="114">
        <v>1</v>
      </c>
      <c r="H16" s="50" t="s">
        <v>3630</v>
      </c>
      <c r="I16" s="50">
        <v>0</v>
      </c>
      <c r="J16" s="50">
        <v>0</v>
      </c>
      <c r="K16" s="50">
        <v>0</v>
      </c>
      <c r="L16" s="50">
        <v>0</v>
      </c>
      <c r="M16" s="50">
        <v>0</v>
      </c>
      <c r="N16" s="50">
        <v>0</v>
      </c>
      <c r="O16" s="50">
        <v>0</v>
      </c>
      <c r="P16" s="50" t="s">
        <v>3621</v>
      </c>
      <c r="Q16" s="50" t="s">
        <v>3621</v>
      </c>
      <c r="R16" s="50">
        <v>0</v>
      </c>
      <c r="S16" s="50" t="s">
        <v>3621</v>
      </c>
      <c r="T16" s="50" t="s">
        <v>3621</v>
      </c>
      <c r="U16" s="262" t="s">
        <v>3621</v>
      </c>
      <c r="V16" s="262" t="s">
        <v>3621</v>
      </c>
      <c r="W16" s="262" t="s">
        <v>3621</v>
      </c>
      <c r="X16" s="262" t="s">
        <v>3621</v>
      </c>
      <c r="Y16" s="262" t="s">
        <v>3621</v>
      </c>
      <c r="Z16" s="262" t="s">
        <v>3621</v>
      </c>
      <c r="AA16" s="262" t="s">
        <v>3621</v>
      </c>
      <c r="AB16" s="262" t="s">
        <v>3621</v>
      </c>
      <c r="AC16" s="262" t="s">
        <v>3621</v>
      </c>
      <c r="AD16" s="262" t="s">
        <v>3621</v>
      </c>
      <c r="AE16" s="262" t="s">
        <v>3621</v>
      </c>
      <c r="AF16" s="50">
        <v>0</v>
      </c>
      <c r="AG16" s="50">
        <v>0</v>
      </c>
      <c r="AH16" s="50">
        <v>0</v>
      </c>
      <c r="AI16" s="50" t="s">
        <v>3621</v>
      </c>
      <c r="AJ16" s="50" t="s">
        <v>3621</v>
      </c>
      <c r="AK16" s="50"/>
      <c r="AL16" s="50"/>
      <c r="AM16" s="50"/>
      <c r="AN16" s="50"/>
    </row>
    <row r="17" spans="2:41" x14ac:dyDescent="0.35">
      <c r="B17" s="50" t="s">
        <v>3596</v>
      </c>
      <c r="C17" s="50">
        <v>15</v>
      </c>
      <c r="D17" s="50" t="s">
        <v>4434</v>
      </c>
      <c r="E17" s="111">
        <v>45495</v>
      </c>
      <c r="F17" s="50">
        <v>3</v>
      </c>
      <c r="G17" s="114">
        <v>1</v>
      </c>
      <c r="H17" s="114" t="s">
        <v>3630</v>
      </c>
      <c r="I17" s="50" t="s">
        <v>3621</v>
      </c>
      <c r="J17" s="50" t="s">
        <v>3621</v>
      </c>
      <c r="K17" s="50" t="s">
        <v>3621</v>
      </c>
      <c r="L17" s="50" t="s">
        <v>3621</v>
      </c>
      <c r="M17" s="50" t="s">
        <v>3621</v>
      </c>
      <c r="N17" s="113" t="s">
        <v>3621</v>
      </c>
      <c r="O17" s="113" t="s">
        <v>3621</v>
      </c>
      <c r="P17" s="113" t="s">
        <v>3621</v>
      </c>
      <c r="Q17" s="113" t="s">
        <v>3621</v>
      </c>
      <c r="R17" s="113" t="s">
        <v>3621</v>
      </c>
      <c r="S17" s="50" t="s">
        <v>3621</v>
      </c>
      <c r="T17" s="113" t="s">
        <v>3621</v>
      </c>
      <c r="U17" s="262" t="s">
        <v>3621</v>
      </c>
      <c r="V17" s="262" t="s">
        <v>3621</v>
      </c>
      <c r="W17" s="262" t="s">
        <v>3621</v>
      </c>
      <c r="X17" s="262" t="s">
        <v>3621</v>
      </c>
      <c r="Y17" s="262" t="s">
        <v>3621</v>
      </c>
      <c r="Z17" s="262" t="s">
        <v>3621</v>
      </c>
      <c r="AA17" s="262" t="s">
        <v>3621</v>
      </c>
      <c r="AB17" s="262" t="s">
        <v>3621</v>
      </c>
      <c r="AC17" s="262" t="s">
        <v>3621</v>
      </c>
      <c r="AD17" s="262" t="s">
        <v>3621</v>
      </c>
      <c r="AE17" s="262" t="s">
        <v>3621</v>
      </c>
      <c r="AF17" s="50" t="s">
        <v>3621</v>
      </c>
      <c r="AG17" s="50" t="s">
        <v>3621</v>
      </c>
      <c r="AH17" s="50" t="s">
        <v>3621</v>
      </c>
      <c r="AI17" s="50" t="s">
        <v>3621</v>
      </c>
      <c r="AJ17" s="50" t="s">
        <v>3621</v>
      </c>
      <c r="AK17" s="50"/>
      <c r="AL17" s="50"/>
      <c r="AM17" s="50"/>
      <c r="AN17" s="50"/>
    </row>
    <row r="18" spans="2:41" x14ac:dyDescent="0.35">
      <c r="B18" s="50" t="s">
        <v>3598</v>
      </c>
      <c r="C18" s="50">
        <v>16</v>
      </c>
      <c r="D18" s="50" t="s">
        <v>4434</v>
      </c>
      <c r="E18" s="111">
        <v>45495</v>
      </c>
      <c r="F18" s="50">
        <v>3</v>
      </c>
      <c r="G18" s="114">
        <v>1</v>
      </c>
      <c r="H18" s="114" t="s">
        <v>3630</v>
      </c>
      <c r="I18" s="50" t="s">
        <v>3621</v>
      </c>
      <c r="J18" s="50" t="s">
        <v>3621</v>
      </c>
      <c r="K18" s="50" t="s">
        <v>3621</v>
      </c>
      <c r="L18" s="50" t="s">
        <v>3621</v>
      </c>
      <c r="M18" s="50" t="s">
        <v>3621</v>
      </c>
      <c r="N18" s="113" t="s">
        <v>3621</v>
      </c>
      <c r="O18" s="113" t="s">
        <v>3621</v>
      </c>
      <c r="P18" s="50" t="s">
        <v>3621</v>
      </c>
      <c r="Q18" s="50" t="s">
        <v>3621</v>
      </c>
      <c r="R18" s="113" t="s">
        <v>3621</v>
      </c>
      <c r="S18" s="113" t="s">
        <v>3621</v>
      </c>
      <c r="T18" s="50" t="s">
        <v>3621</v>
      </c>
      <c r="U18" s="262" t="s">
        <v>3621</v>
      </c>
      <c r="V18" s="262" t="s">
        <v>3621</v>
      </c>
      <c r="W18" s="262" t="s">
        <v>3621</v>
      </c>
      <c r="X18" s="262" t="s">
        <v>3621</v>
      </c>
      <c r="Y18" s="262" t="s">
        <v>3621</v>
      </c>
      <c r="Z18" s="262" t="s">
        <v>3621</v>
      </c>
      <c r="AA18" s="262" t="s">
        <v>3621</v>
      </c>
      <c r="AB18" s="262" t="s">
        <v>3621</v>
      </c>
      <c r="AC18" s="262" t="s">
        <v>3621</v>
      </c>
      <c r="AD18" s="262" t="s">
        <v>3621</v>
      </c>
      <c r="AE18" s="262" t="s">
        <v>3621</v>
      </c>
      <c r="AF18" s="50" t="s">
        <v>3621</v>
      </c>
      <c r="AG18" s="50" t="s">
        <v>3621</v>
      </c>
      <c r="AH18" s="50" t="s">
        <v>3621</v>
      </c>
      <c r="AI18" s="50" t="s">
        <v>3621</v>
      </c>
      <c r="AJ18" s="50" t="s">
        <v>3621</v>
      </c>
      <c r="AK18" s="50"/>
      <c r="AL18" s="50"/>
      <c r="AM18" s="50"/>
      <c r="AN18" s="50"/>
    </row>
    <row r="19" spans="2:41" x14ac:dyDescent="0.35">
      <c r="B19" s="50" t="s">
        <v>3600</v>
      </c>
      <c r="C19" s="50">
        <v>17</v>
      </c>
      <c r="D19" s="50" t="s">
        <v>4435</v>
      </c>
      <c r="E19" s="111">
        <v>45495</v>
      </c>
      <c r="F19" s="50">
        <v>3</v>
      </c>
      <c r="G19" s="50">
        <v>0.98260000000000003</v>
      </c>
      <c r="H19" s="228">
        <v>4682000000</v>
      </c>
      <c r="I19" s="50" t="s">
        <v>3621</v>
      </c>
      <c r="J19" s="50" t="s">
        <v>3621</v>
      </c>
      <c r="K19" s="50" t="s">
        <v>3621</v>
      </c>
      <c r="L19" s="50" t="s">
        <v>3621</v>
      </c>
      <c r="M19" s="50" t="s">
        <v>3621</v>
      </c>
      <c r="N19" s="50" t="s">
        <v>3621</v>
      </c>
      <c r="O19" s="50" t="s">
        <v>3621</v>
      </c>
      <c r="P19" s="50" t="s">
        <v>3621</v>
      </c>
      <c r="Q19" s="113" t="s">
        <v>3621</v>
      </c>
      <c r="R19" s="50" t="s">
        <v>3621</v>
      </c>
      <c r="S19" s="50" t="s">
        <v>3621</v>
      </c>
      <c r="T19" s="50" t="s">
        <v>3621</v>
      </c>
      <c r="U19" s="262" t="s">
        <v>3621</v>
      </c>
      <c r="V19" s="262" t="s">
        <v>3621</v>
      </c>
      <c r="W19" s="262" t="s">
        <v>3621</v>
      </c>
      <c r="X19" s="262" t="s">
        <v>3621</v>
      </c>
      <c r="Y19" s="262" t="s">
        <v>3621</v>
      </c>
      <c r="Z19" s="262" t="s">
        <v>3621</v>
      </c>
      <c r="AA19" s="262" t="s">
        <v>3621</v>
      </c>
      <c r="AB19" s="262" t="s">
        <v>3621</v>
      </c>
      <c r="AC19" s="262" t="s">
        <v>3621</v>
      </c>
      <c r="AD19" s="262" t="s">
        <v>3621</v>
      </c>
      <c r="AE19" s="262" t="s">
        <v>3621</v>
      </c>
      <c r="AF19" s="50" t="s">
        <v>3621</v>
      </c>
      <c r="AG19" s="50" t="s">
        <v>3621</v>
      </c>
      <c r="AH19" s="50" t="s">
        <v>3621</v>
      </c>
      <c r="AI19" s="50" t="s">
        <v>3621</v>
      </c>
      <c r="AJ19" s="50" t="s">
        <v>3621</v>
      </c>
      <c r="AK19" s="50"/>
      <c r="AL19" s="50"/>
      <c r="AM19" s="50"/>
      <c r="AN19" s="50"/>
    </row>
    <row r="20" spans="2:41" x14ac:dyDescent="0.35">
      <c r="B20" s="50" t="s">
        <v>3602</v>
      </c>
      <c r="C20" s="50">
        <v>18</v>
      </c>
      <c r="D20" s="50" t="s">
        <v>4435</v>
      </c>
      <c r="E20" s="111">
        <v>45495</v>
      </c>
      <c r="F20" s="50">
        <v>3</v>
      </c>
      <c r="G20" s="114">
        <v>1</v>
      </c>
      <c r="H20" s="209" t="s">
        <v>3630</v>
      </c>
      <c r="I20" s="50" t="s">
        <v>3621</v>
      </c>
      <c r="J20" s="50" t="s">
        <v>3621</v>
      </c>
      <c r="K20" s="50" t="s">
        <v>3621</v>
      </c>
      <c r="L20" s="50" t="s">
        <v>3621</v>
      </c>
      <c r="M20" s="50" t="s">
        <v>3621</v>
      </c>
      <c r="N20" s="50" t="s">
        <v>3621</v>
      </c>
      <c r="O20" s="50" t="s">
        <v>3621</v>
      </c>
      <c r="P20" s="50" t="s">
        <v>3621</v>
      </c>
      <c r="Q20" s="50" t="s">
        <v>3621</v>
      </c>
      <c r="R20" s="50" t="s">
        <v>3621</v>
      </c>
      <c r="S20" s="50" t="s">
        <v>3621</v>
      </c>
      <c r="T20" s="50" t="s">
        <v>3621</v>
      </c>
      <c r="U20" s="262" t="s">
        <v>3621</v>
      </c>
      <c r="V20" s="262" t="s">
        <v>3621</v>
      </c>
      <c r="W20" s="262" t="s">
        <v>3621</v>
      </c>
      <c r="X20" s="262" t="s">
        <v>3621</v>
      </c>
      <c r="Y20" s="262" t="s">
        <v>3621</v>
      </c>
      <c r="Z20" s="262" t="s">
        <v>3621</v>
      </c>
      <c r="AA20" s="262" t="s">
        <v>3621</v>
      </c>
      <c r="AB20" s="262" t="s">
        <v>3621</v>
      </c>
      <c r="AC20" s="262" t="s">
        <v>3621</v>
      </c>
      <c r="AD20" s="262" t="s">
        <v>3621</v>
      </c>
      <c r="AE20" s="262" t="s">
        <v>3621</v>
      </c>
      <c r="AF20" s="50" t="s">
        <v>3621</v>
      </c>
      <c r="AG20" s="50" t="s">
        <v>3621</v>
      </c>
      <c r="AH20" s="50" t="s">
        <v>3621</v>
      </c>
      <c r="AI20" s="50" t="s">
        <v>3621</v>
      </c>
      <c r="AJ20" s="50" t="s">
        <v>3621</v>
      </c>
      <c r="AK20" s="50"/>
      <c r="AL20" s="50"/>
      <c r="AM20" s="50"/>
      <c r="AN20" s="50"/>
    </row>
    <row r="21" spans="2:41" x14ac:dyDescent="0.35">
      <c r="B21" s="50" t="s">
        <v>3604</v>
      </c>
      <c r="C21" s="50">
        <v>19</v>
      </c>
      <c r="D21" s="50" t="s">
        <v>4436</v>
      </c>
      <c r="E21" s="111">
        <v>45495</v>
      </c>
      <c r="F21" s="50">
        <v>3</v>
      </c>
      <c r="G21" s="225" cm="1">
        <f t="array" ref="G21">SUMPRODUCT(--(ISNUMBER((SEARCH(I27:AJ27,I21:AJ21)))))/COUNTA(I21:AJ21)</f>
        <v>0.7142857142857143</v>
      </c>
      <c r="H21" s="50" t="s">
        <v>3630</v>
      </c>
      <c r="I21" s="50" t="s">
        <v>3655</v>
      </c>
      <c r="J21" s="50" t="s">
        <v>3655</v>
      </c>
      <c r="K21" s="50" t="s">
        <v>3655</v>
      </c>
      <c r="L21" s="50" t="s">
        <v>3655</v>
      </c>
      <c r="M21" s="50" t="s">
        <v>3655</v>
      </c>
      <c r="N21" s="50" t="s">
        <v>3655</v>
      </c>
      <c r="O21" s="50" t="s">
        <v>3655</v>
      </c>
      <c r="P21" s="113" t="s">
        <v>3655</v>
      </c>
      <c r="Q21" s="113" t="s">
        <v>3655</v>
      </c>
      <c r="R21" s="50" t="s">
        <v>3655</v>
      </c>
      <c r="S21" s="50" t="s">
        <v>3655</v>
      </c>
      <c r="T21" s="50" t="s">
        <v>3656</v>
      </c>
      <c r="U21" s="262" t="s">
        <v>3655</v>
      </c>
      <c r="V21" s="262" t="s">
        <v>3655</v>
      </c>
      <c r="W21" s="262" t="s">
        <v>3655</v>
      </c>
      <c r="X21" s="262" t="s">
        <v>3655</v>
      </c>
      <c r="Y21" s="262" t="s">
        <v>3655</v>
      </c>
      <c r="Z21" s="262" t="s">
        <v>3655</v>
      </c>
      <c r="AA21" s="262" t="s">
        <v>3655</v>
      </c>
      <c r="AB21" s="262" t="s">
        <v>3655</v>
      </c>
      <c r="AC21" s="262" t="s">
        <v>3655</v>
      </c>
      <c r="AD21" s="262" t="s">
        <v>3655</v>
      </c>
      <c r="AE21" s="262" t="s">
        <v>3655</v>
      </c>
      <c r="AF21" s="50" t="s">
        <v>3655</v>
      </c>
      <c r="AG21" s="50" t="s">
        <v>3655</v>
      </c>
      <c r="AH21" s="50" t="s">
        <v>3655</v>
      </c>
      <c r="AI21" s="50" t="s">
        <v>3655</v>
      </c>
      <c r="AJ21" s="50" t="s">
        <v>3657</v>
      </c>
      <c r="AK21" s="50"/>
      <c r="AL21" s="50"/>
      <c r="AM21" s="50"/>
      <c r="AN21" s="50"/>
    </row>
    <row r="22" spans="2:41" x14ac:dyDescent="0.35">
      <c r="B22" s="50" t="s">
        <v>3607</v>
      </c>
      <c r="C22" s="50">
        <v>20</v>
      </c>
      <c r="D22" s="50"/>
      <c r="E22" s="111"/>
      <c r="F22" s="50"/>
      <c r="G22" s="209" cm="1">
        <f t="array" ref="G22">SUM(IF(I2:AJ2 = I26:AJ26, 1, 0))/ COUNTA(I2:AJ2)</f>
        <v>0.75</v>
      </c>
      <c r="H22" s="50"/>
      <c r="I22" s="50"/>
      <c r="J22" s="50"/>
      <c r="K22" s="50"/>
      <c r="L22" s="50"/>
      <c r="M22" s="50"/>
      <c r="N22" s="50"/>
      <c r="O22" s="50"/>
      <c r="P22" s="50"/>
      <c r="Q22" s="50"/>
      <c r="R22" s="50"/>
      <c r="S22" s="50"/>
      <c r="T22" s="50"/>
      <c r="U22" s="262"/>
      <c r="V22" s="262"/>
      <c r="W22" s="262"/>
      <c r="X22" s="262"/>
      <c r="Y22" s="262"/>
      <c r="Z22" s="262"/>
      <c r="AA22" s="262"/>
      <c r="AB22" s="262"/>
      <c r="AC22" s="262"/>
      <c r="AD22" s="262"/>
      <c r="AE22" s="262"/>
      <c r="AF22" s="50"/>
      <c r="AG22" s="50"/>
      <c r="AH22" s="50"/>
      <c r="AI22" s="50"/>
      <c r="AJ22" s="50"/>
      <c r="AK22" s="50"/>
      <c r="AL22" s="50"/>
      <c r="AM22" s="50"/>
      <c r="AN22" s="50"/>
    </row>
    <row r="23" spans="2:41" x14ac:dyDescent="0.35">
      <c r="B23" s="50" t="s">
        <v>3610</v>
      </c>
      <c r="C23" s="50">
        <v>21</v>
      </c>
      <c r="D23" s="50"/>
      <c r="E23" s="111"/>
      <c r="F23" s="50"/>
      <c r="G23" s="209" cm="1">
        <f t="array" ref="G23">SUM(IF(IF(G3:G22="null",1,G3:G22)=1,1,0))/COUNT(IF(G3:G22="null",1,1))</f>
        <v>0.7</v>
      </c>
      <c r="H23" s="50"/>
      <c r="I23" s="50"/>
      <c r="J23" s="50"/>
      <c r="K23" s="50"/>
      <c r="L23" s="50"/>
      <c r="M23" s="50"/>
      <c r="N23" s="50"/>
      <c r="O23" s="50"/>
      <c r="P23" s="50"/>
      <c r="Q23" s="50"/>
      <c r="R23" s="50"/>
      <c r="S23" s="50"/>
      <c r="T23" s="50"/>
      <c r="U23" s="262"/>
      <c r="V23" s="262"/>
      <c r="W23" s="262"/>
      <c r="X23" s="262"/>
      <c r="Y23" s="262"/>
      <c r="Z23" s="262"/>
      <c r="AA23" s="262"/>
      <c r="AB23" s="262"/>
      <c r="AC23" s="262"/>
      <c r="AD23" s="262"/>
      <c r="AE23" s="262"/>
      <c r="AF23" s="50"/>
      <c r="AG23" s="50"/>
      <c r="AH23" s="50"/>
      <c r="AI23" s="50"/>
      <c r="AJ23" s="50"/>
      <c r="AK23" s="50"/>
      <c r="AL23" s="50"/>
      <c r="AM23" s="50"/>
      <c r="AN23" s="50"/>
    </row>
    <row r="25" spans="2:41" x14ac:dyDescent="0.35">
      <c r="B25" s="146" t="s">
        <v>3727</v>
      </c>
    </row>
    <row r="26" spans="2:41" x14ac:dyDescent="0.35">
      <c r="B26" s="144" t="s">
        <v>3613</v>
      </c>
      <c r="C26" s="145" t="s">
        <v>3614</v>
      </c>
      <c r="D26" s="145" t="s">
        <v>3615</v>
      </c>
      <c r="E26" s="145" t="s">
        <v>3616</v>
      </c>
      <c r="F26" s="145" t="s">
        <v>3617</v>
      </c>
      <c r="G26" s="145" t="s">
        <v>3618</v>
      </c>
      <c r="H26" s="145" t="s">
        <v>3619</v>
      </c>
      <c r="I26" s="145" t="str" cm="1">
        <f t="array" ref="I26:AJ26">TRANSPOSE(_xlfn.SORTBY(_xlfn._xlws.FILTER(Table3[NOME FÍSICO CAMPO],Table3[NOME FÍSICO TABELA]="saving_account"), _xlfn._xlws.FILTER(Table3[ORDEM], Table3[NOME FÍSICO TABELA]="saving_account"), 1))</f>
        <v>bank_id</v>
      </c>
      <c r="J26" s="145" t="str">
        <v>contract_id</v>
      </c>
      <c r="K26" s="145" t="str">
        <v>opening_date</v>
      </c>
      <c r="L26" s="145" t="str">
        <v>product_family_id</v>
      </c>
      <c r="M26" s="145" t="str">
        <v>product_id</v>
      </c>
      <c r="N26" s="145" t="str">
        <v>subproduct_id</v>
      </c>
      <c r="O26" s="145" t="str">
        <v>main_current_account_bank_id</v>
      </c>
      <c r="P26" s="145" t="str">
        <v>main_current_account_contract_id</v>
      </c>
      <c r="Q26" s="145" t="str">
        <v>current_maturity_date</v>
      </c>
      <c r="R26" s="145" t="str">
        <v>currency_code</v>
      </c>
      <c r="S26" s="145" t="str">
        <v>initial_deposit_amount</v>
      </c>
      <c r="T26" s="145" t="str">
        <v>current_ledger_balance</v>
      </c>
      <c r="U26" s="145" t="str">
        <v>early_withdraw_penalty_fee</v>
      </c>
      <c r="V26" s="145" t="str">
        <v>init_passive_rate_type_code</v>
      </c>
      <c r="W26" s="145" t="str">
        <v>initial_passive_indexing</v>
      </c>
      <c r="X26" s="145" t="str">
        <v>initial_passive_index_rate</v>
      </c>
      <c r="Y26" s="145" t="str">
        <v>initial_passive_spread</v>
      </c>
      <c r="Z26" s="145" t="str">
        <v>initial_passive_interest_rate</v>
      </c>
      <c r="AA26" s="145" t="str">
        <v>cur_passive_rate_type_code</v>
      </c>
      <c r="AB26" s="145" t="str">
        <v>current_passive_indexing</v>
      </c>
      <c r="AC26" s="145" t="str">
        <v>current_passive_index_rate</v>
      </c>
      <c r="AD26" s="145" t="str">
        <v>current_passive_spread</v>
      </c>
      <c r="AE26" s="145" t="str">
        <v>current_passive_interest_rate</v>
      </c>
      <c r="AF26" s="145" t="str">
        <v>contract_status_code</v>
      </c>
      <c r="AG26" s="145" t="str">
        <v>contract_opening_channel_code</v>
      </c>
      <c r="AH26" s="145" t="str">
        <v>source_code</v>
      </c>
      <c r="AI26" s="145" t="str">
        <v>data_date_part</v>
      </c>
      <c r="AJ26" s="142" t="str">
        <v>data_timestamp_part</v>
      </c>
      <c r="AK26" s="233"/>
      <c r="AL26" s="233"/>
      <c r="AM26" s="233"/>
      <c r="AN26" s="233"/>
      <c r="AO26" s="233"/>
    </row>
    <row r="27" spans="2:41" x14ac:dyDescent="0.35">
      <c r="B27" s="123" t="s">
        <v>3658</v>
      </c>
      <c r="C27" s="109">
        <v>21</v>
      </c>
      <c r="D27" s="108" t="s">
        <v>3659</v>
      </c>
      <c r="E27" t="s">
        <v>3660</v>
      </c>
      <c r="F27" t="s">
        <v>372</v>
      </c>
      <c r="G27" t="s">
        <v>372</v>
      </c>
      <c r="H27" t="s">
        <v>372</v>
      </c>
      <c r="I27" t="str" cm="1">
        <f t="array" ref="I27:AJ28">TRANSPOSE(_xlfn.SORTBY(_xlfn._xlws.FILTER(IF(Table3[FORMATO]:Table3[COMP_ CAMPO]&lt;&gt;"",Table3[FORMATO]:Table3[COMP_ CAMPO],9999999),Table3[NOME FÍSICO TABELA]="saving_account"), _xlfn._xlws.FILTER(Table3[ORDEM], Table3[NOME FÍSICO TABELA]="saving_account"), 1))</f>
        <v>STRING</v>
      </c>
      <c r="J27" t="str">
        <v>STRING</v>
      </c>
      <c r="K27" t="str">
        <v>STRING</v>
      </c>
      <c r="L27" t="str">
        <v>STRING</v>
      </c>
      <c r="M27" t="str">
        <v>STRING</v>
      </c>
      <c r="N27" t="str">
        <v>STRING</v>
      </c>
      <c r="O27" t="str">
        <v>STRING</v>
      </c>
      <c r="P27" t="str">
        <v>STRING</v>
      </c>
      <c r="Q27" t="str">
        <v>STRING</v>
      </c>
      <c r="R27" t="str">
        <v>STRING</v>
      </c>
      <c r="S27" t="str">
        <v>DECIMAL</v>
      </c>
      <c r="T27" t="str">
        <v>DECIMAL</v>
      </c>
      <c r="U27" t="str">
        <v>DECIMAL</v>
      </c>
      <c r="V27" t="str">
        <v>STRING</v>
      </c>
      <c r="W27" t="str">
        <v>STRING</v>
      </c>
      <c r="X27" t="str">
        <v>DECIMAL</v>
      </c>
      <c r="Y27" t="str">
        <v>DECIMAL</v>
      </c>
      <c r="Z27" t="str">
        <v>DECIMAL</v>
      </c>
      <c r="AA27" t="str">
        <v>STRING</v>
      </c>
      <c r="AB27" t="str">
        <v>STRING</v>
      </c>
      <c r="AC27" t="str">
        <v>DECIMAL</v>
      </c>
      <c r="AD27" t="str">
        <v>DECIMAL</v>
      </c>
      <c r="AE27" t="str">
        <v>DECIMAL</v>
      </c>
      <c r="AF27" t="str">
        <v>STRING</v>
      </c>
      <c r="AG27" t="str">
        <v>STRING</v>
      </c>
      <c r="AH27" t="str">
        <v>STRING</v>
      </c>
      <c r="AI27" t="str">
        <v>STRING</v>
      </c>
      <c r="AJ27" s="261" t="str">
        <v>TIMESTAMP</v>
      </c>
    </row>
    <row r="28" spans="2:41" x14ac:dyDescent="0.35">
      <c r="B28" s="123" t="s">
        <v>3661</v>
      </c>
      <c r="C28" s="167">
        <v>7</v>
      </c>
      <c r="D28" s="122" t="s">
        <v>3659</v>
      </c>
      <c r="E28" s="121" t="s">
        <v>3660</v>
      </c>
      <c r="F28" s="121" t="s">
        <v>372</v>
      </c>
      <c r="G28" s="121" t="s">
        <v>372</v>
      </c>
      <c r="H28" s="121" t="s">
        <v>372</v>
      </c>
      <c r="I28" s="167">
        <v>4</v>
      </c>
      <c r="J28" s="167">
        <v>30</v>
      </c>
      <c r="K28" s="167">
        <v>10</v>
      </c>
      <c r="L28" s="167">
        <v>4</v>
      </c>
      <c r="M28" s="167">
        <v>4</v>
      </c>
      <c r="N28" s="167">
        <v>4</v>
      </c>
      <c r="O28" s="167">
        <v>4</v>
      </c>
      <c r="P28" s="167">
        <v>30</v>
      </c>
      <c r="Q28" s="167">
        <v>10</v>
      </c>
      <c r="R28" s="167">
        <v>4</v>
      </c>
      <c r="S28" s="167">
        <v>23</v>
      </c>
      <c r="T28" s="167">
        <v>23</v>
      </c>
      <c r="U28" s="167">
        <v>23</v>
      </c>
      <c r="V28" s="167">
        <v>4</v>
      </c>
      <c r="W28" s="167">
        <v>20</v>
      </c>
      <c r="X28" s="167">
        <v>23</v>
      </c>
      <c r="Y28" s="167">
        <v>23</v>
      </c>
      <c r="Z28" s="167">
        <v>23</v>
      </c>
      <c r="AA28" s="167">
        <v>4</v>
      </c>
      <c r="AB28" s="167">
        <v>20</v>
      </c>
      <c r="AC28" s="167">
        <v>23</v>
      </c>
      <c r="AD28" s="167">
        <v>23</v>
      </c>
      <c r="AE28" s="167">
        <v>23</v>
      </c>
      <c r="AF28" s="167">
        <v>4</v>
      </c>
      <c r="AG28" s="167">
        <v>4</v>
      </c>
      <c r="AH28" s="167">
        <v>2</v>
      </c>
      <c r="AI28" s="167">
        <v>27</v>
      </c>
      <c r="AJ28" s="168">
        <v>28</v>
      </c>
      <c r="AK28" s="109"/>
      <c r="AL28" s="109"/>
      <c r="AM28" s="109"/>
      <c r="AN28" s="109"/>
      <c r="AO28" s="109"/>
    </row>
    <row r="30" spans="2:41" x14ac:dyDescent="0.35">
      <c r="B30" s="156" t="s">
        <v>3662</v>
      </c>
    </row>
    <row r="31" spans="2:41" x14ac:dyDescent="0.35">
      <c r="B31" s="150" t="s">
        <v>3663</v>
      </c>
      <c r="C31" s="150" t="s">
        <v>3664</v>
      </c>
      <c r="D31" s="151" t="s">
        <v>3665</v>
      </c>
      <c r="E31" s="150" t="s">
        <v>3666</v>
      </c>
      <c r="F31" s="150" t="s">
        <v>3667</v>
      </c>
    </row>
    <row r="32" spans="2:41" ht="29" x14ac:dyDescent="0.35">
      <c r="B32" s="127" t="s">
        <v>3668</v>
      </c>
      <c r="C32" s="131" t="s">
        <v>188</v>
      </c>
      <c r="D32" s="53" t="s">
        <v>4437</v>
      </c>
      <c r="E32" s="169" t="s">
        <v>4438</v>
      </c>
      <c r="F32" s="152" t="s">
        <v>3674</v>
      </c>
    </row>
    <row r="33" spans="2:16" ht="29" x14ac:dyDescent="0.35">
      <c r="B33" s="127" t="s">
        <v>3668</v>
      </c>
      <c r="C33" s="131" t="s">
        <v>223</v>
      </c>
      <c r="D33" s="53" t="s">
        <v>4439</v>
      </c>
      <c r="E33" s="169" t="s">
        <v>4440</v>
      </c>
      <c r="F33" s="152" t="s">
        <v>3674</v>
      </c>
    </row>
    <row r="34" spans="2:16" ht="29" x14ac:dyDescent="0.35">
      <c r="B34" s="127" t="s">
        <v>3668</v>
      </c>
      <c r="C34" s="131" t="s">
        <v>2906</v>
      </c>
      <c r="D34" s="53" t="s">
        <v>4439</v>
      </c>
      <c r="E34" s="169" t="s">
        <v>4440</v>
      </c>
      <c r="F34" s="152" t="s">
        <v>3674</v>
      </c>
    </row>
    <row r="35" spans="2:16" ht="29" x14ac:dyDescent="0.35">
      <c r="B35" s="127" t="s">
        <v>3668</v>
      </c>
      <c r="C35" s="131" t="s">
        <v>1618</v>
      </c>
      <c r="D35" s="53" t="s">
        <v>4439</v>
      </c>
      <c r="E35" s="169" t="s">
        <v>4440</v>
      </c>
      <c r="F35" s="152" t="s">
        <v>3674</v>
      </c>
    </row>
    <row r="36" spans="2:16" ht="29" x14ac:dyDescent="0.35">
      <c r="B36" s="127" t="s">
        <v>3668</v>
      </c>
      <c r="C36" s="131" t="s">
        <v>305</v>
      </c>
      <c r="D36" s="53" t="s">
        <v>4441</v>
      </c>
      <c r="E36" s="169" t="s">
        <v>4442</v>
      </c>
      <c r="F36" s="152" t="s">
        <v>3677</v>
      </c>
    </row>
    <row r="37" spans="2:16" ht="43.5" x14ac:dyDescent="0.35">
      <c r="B37" s="127" t="s">
        <v>3683</v>
      </c>
      <c r="C37" s="131" t="s">
        <v>4443</v>
      </c>
      <c r="D37" s="53" t="s">
        <v>4444</v>
      </c>
      <c r="E37" s="169" t="s">
        <v>4445</v>
      </c>
      <c r="F37" s="152" t="s">
        <v>3677</v>
      </c>
      <c r="I37" s="174"/>
      <c r="J37" s="174"/>
      <c r="K37" s="174"/>
      <c r="L37" s="174"/>
      <c r="M37" s="174"/>
      <c r="N37" s="174"/>
      <c r="O37" s="174"/>
      <c r="P37" s="174"/>
    </row>
    <row r="38" spans="2:16" ht="29" x14ac:dyDescent="0.35">
      <c r="B38" s="127" t="s">
        <v>3678</v>
      </c>
      <c r="C38" s="131" t="s">
        <v>4443</v>
      </c>
      <c r="D38" s="53" t="s">
        <v>4446</v>
      </c>
      <c r="E38" s="169" t="s">
        <v>4447</v>
      </c>
      <c r="F38" s="152" t="s">
        <v>3674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tint="0.59999389629810485"/>
  </sheetPr>
  <dimension ref="B1:AN46"/>
  <sheetViews>
    <sheetView showGridLines="0" workbookViewId="0">
      <selection activeCell="G9" sqref="G9"/>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11.4531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1.26953125" customWidth="1"/>
    <col min="19" max="19" width="26.81640625" bestFit="1" customWidth="1"/>
    <col min="20" max="20" width="37.7265625" customWidth="1"/>
    <col min="21" max="21" width="43.26953125" customWidth="1"/>
    <col min="22" max="23" width="30.7265625" bestFit="1" customWidth="1"/>
    <col min="24" max="24" width="40.1796875" customWidth="1"/>
    <col min="25" max="25" width="36.26953125" customWidth="1"/>
    <col min="26" max="26" width="42.1796875" customWidth="1"/>
    <col min="27" max="27" width="30.7265625" bestFit="1" customWidth="1"/>
    <col min="28" max="28" width="34.81640625" customWidth="1"/>
    <col min="29" max="29" width="26.81640625" bestFit="1" customWidth="1"/>
    <col min="30" max="30" width="30.7265625" bestFit="1" customWidth="1"/>
    <col min="31" max="31" width="25.1796875" bestFit="1" customWidth="1"/>
    <col min="32" max="32" width="45.7265625" bestFit="1" customWidth="1"/>
    <col min="33" max="33" width="31.26953125" bestFit="1" customWidth="1"/>
    <col min="34" max="34" width="33.453125" bestFit="1" customWidth="1"/>
    <col min="35" max="35" width="29.7265625" bestFit="1" customWidth="1"/>
    <col min="36" max="36" width="32.26953125" customWidth="1"/>
    <col min="37" max="37" width="41.1796875" customWidth="1"/>
    <col min="38" max="38" width="21.54296875" customWidth="1"/>
    <col min="39" max="39" width="27.7265625" customWidth="1"/>
    <col min="40" max="40" width="46.453125" customWidth="1"/>
  </cols>
  <sheetData>
    <row r="1" spans="2:40" ht="27.75" customHeight="1" x14ac:dyDescent="0.35"/>
    <row r="2" spans="2:40" x14ac:dyDescent="0.35">
      <c r="B2" s="91" t="s">
        <v>3738</v>
      </c>
      <c r="C2" s="91" t="s">
        <v>3614</v>
      </c>
      <c r="D2" s="91" t="s">
        <v>3615</v>
      </c>
      <c r="E2" s="91" t="s">
        <v>3616</v>
      </c>
      <c r="F2" s="91" t="s">
        <v>3617</v>
      </c>
      <c r="G2" s="91" t="s">
        <v>3618</v>
      </c>
      <c r="H2" s="91" t="s">
        <v>3619</v>
      </c>
      <c r="I2" s="91" t="s">
        <v>121</v>
      </c>
      <c r="J2" s="91" t="s">
        <v>137</v>
      </c>
      <c r="K2" s="91" t="s">
        <v>149</v>
      </c>
      <c r="L2" s="91" t="s">
        <v>156</v>
      </c>
      <c r="M2" s="91" t="s">
        <v>168</v>
      </c>
      <c r="N2" s="91" t="s">
        <v>199</v>
      </c>
      <c r="O2" s="91" t="s">
        <v>211</v>
      </c>
      <c r="P2" s="91" t="s">
        <v>223</v>
      </c>
      <c r="Q2" s="91" t="s">
        <v>239</v>
      </c>
      <c r="R2" s="91" t="s">
        <v>1605</v>
      </c>
      <c r="S2" s="91" t="s">
        <v>1611</v>
      </c>
      <c r="T2" s="91" t="s">
        <v>1618</v>
      </c>
      <c r="U2" s="91" t="s">
        <v>283</v>
      </c>
      <c r="V2" s="91" t="s">
        <v>4123</v>
      </c>
      <c r="W2" s="91" t="s">
        <v>1977</v>
      </c>
      <c r="X2" s="91" t="s">
        <v>1988</v>
      </c>
      <c r="Y2" s="91" t="s">
        <v>1998</v>
      </c>
      <c r="Z2" s="91" t="s">
        <v>1515</v>
      </c>
      <c r="AA2" s="91" t="s">
        <v>1522</v>
      </c>
      <c r="AB2" s="91" t="s">
        <v>756</v>
      </c>
      <c r="AC2" s="91" t="s">
        <v>766</v>
      </c>
      <c r="AD2" s="91" t="s">
        <v>776</v>
      </c>
      <c r="AE2" s="91" t="s">
        <v>785</v>
      </c>
      <c r="AF2" s="91" t="s">
        <v>294</v>
      </c>
      <c r="AG2" s="91" t="s">
        <v>305</v>
      </c>
      <c r="AH2" s="91" t="s">
        <v>318</v>
      </c>
      <c r="AI2" s="91" t="s">
        <v>327</v>
      </c>
      <c r="AJ2" s="91" t="s">
        <v>334</v>
      </c>
      <c r="AK2" s="91"/>
      <c r="AL2" s="91"/>
      <c r="AM2" s="91"/>
      <c r="AN2" s="91"/>
    </row>
    <row r="3" spans="2:40" x14ac:dyDescent="0.35">
      <c r="B3" s="50" t="s">
        <v>3567</v>
      </c>
      <c r="C3" s="50">
        <v>1</v>
      </c>
      <c r="D3" s="50" t="s">
        <v>4448</v>
      </c>
      <c r="E3" s="111">
        <v>45548</v>
      </c>
      <c r="F3" s="50">
        <v>1</v>
      </c>
      <c r="G3" s="279">
        <v>1</v>
      </c>
      <c r="H3" s="241">
        <v>956041</v>
      </c>
      <c r="I3" s="50" t="s">
        <v>3621</v>
      </c>
      <c r="J3" s="50" t="s">
        <v>3621</v>
      </c>
      <c r="K3" s="50" t="s">
        <v>3621</v>
      </c>
      <c r="L3" s="50" t="s">
        <v>3621</v>
      </c>
      <c r="M3" s="50" t="s">
        <v>3621</v>
      </c>
      <c r="N3" s="50" t="s">
        <v>3621</v>
      </c>
      <c r="O3" s="50" t="s">
        <v>3621</v>
      </c>
      <c r="P3" s="50" t="s">
        <v>3621</v>
      </c>
      <c r="Q3" s="50" t="s">
        <v>3621</v>
      </c>
      <c r="R3" s="50" t="s">
        <v>3621</v>
      </c>
      <c r="S3" s="50" t="s">
        <v>3621</v>
      </c>
      <c r="T3" s="50" t="s">
        <v>3621</v>
      </c>
      <c r="U3" s="50" t="s">
        <v>3621</v>
      </c>
      <c r="V3" s="262" t="s">
        <v>3621</v>
      </c>
      <c r="W3" s="262" t="s">
        <v>3621</v>
      </c>
      <c r="X3" s="262" t="s">
        <v>3621</v>
      </c>
      <c r="Y3" s="262" t="s">
        <v>3621</v>
      </c>
      <c r="Z3" s="262" t="s">
        <v>3621</v>
      </c>
      <c r="AA3" s="262" t="s">
        <v>3621</v>
      </c>
      <c r="AB3" s="262" t="s">
        <v>3621</v>
      </c>
      <c r="AC3" s="262" t="s">
        <v>3621</v>
      </c>
      <c r="AD3" s="262" t="s">
        <v>3621</v>
      </c>
      <c r="AE3" s="262" t="s">
        <v>3621</v>
      </c>
      <c r="AF3" s="50" t="s">
        <v>3621</v>
      </c>
      <c r="AG3" s="50" t="s">
        <v>3621</v>
      </c>
      <c r="AH3" s="50" t="s">
        <v>3621</v>
      </c>
      <c r="AI3" s="50" t="s">
        <v>3621</v>
      </c>
      <c r="AJ3" s="50" t="s">
        <v>3621</v>
      </c>
      <c r="AK3" s="50"/>
      <c r="AL3" s="50"/>
      <c r="AM3" s="50"/>
      <c r="AN3" s="50"/>
    </row>
    <row r="4" spans="2:40" x14ac:dyDescent="0.35">
      <c r="B4" s="50" t="s">
        <v>3569</v>
      </c>
      <c r="C4" s="50">
        <v>2</v>
      </c>
      <c r="D4" s="50" t="s">
        <v>4449</v>
      </c>
      <c r="E4" s="111">
        <v>45548</v>
      </c>
      <c r="F4" s="50">
        <v>1</v>
      </c>
      <c r="G4" s="279">
        <v>1</v>
      </c>
      <c r="H4" s="201">
        <v>0</v>
      </c>
      <c r="I4" s="50" t="s">
        <v>3621</v>
      </c>
      <c r="J4" s="50" t="s">
        <v>3621</v>
      </c>
      <c r="K4" s="50" t="s">
        <v>3621</v>
      </c>
      <c r="L4" s="50" t="s">
        <v>3621</v>
      </c>
      <c r="M4" s="50" t="s">
        <v>3621</v>
      </c>
      <c r="N4" s="50" t="s">
        <v>3621</v>
      </c>
      <c r="O4" s="50" t="s">
        <v>3621</v>
      </c>
      <c r="P4" s="50" t="s">
        <v>3621</v>
      </c>
      <c r="Q4" s="50" t="s">
        <v>3621</v>
      </c>
      <c r="R4" s="50" t="s">
        <v>3621</v>
      </c>
      <c r="S4" s="50" t="s">
        <v>3621</v>
      </c>
      <c r="T4" s="50" t="s">
        <v>3621</v>
      </c>
      <c r="U4" s="50" t="s">
        <v>3621</v>
      </c>
      <c r="V4" s="262" t="s">
        <v>3621</v>
      </c>
      <c r="W4" s="262" t="s">
        <v>3621</v>
      </c>
      <c r="X4" s="262" t="s">
        <v>3621</v>
      </c>
      <c r="Y4" s="262" t="s">
        <v>3621</v>
      </c>
      <c r="Z4" s="262" t="s">
        <v>3621</v>
      </c>
      <c r="AA4" s="262" t="s">
        <v>3621</v>
      </c>
      <c r="AB4" s="262" t="s">
        <v>3621</v>
      </c>
      <c r="AC4" s="262" t="s">
        <v>3621</v>
      </c>
      <c r="AD4" s="262" t="s">
        <v>3621</v>
      </c>
      <c r="AE4" s="262" t="s">
        <v>3621</v>
      </c>
      <c r="AF4" s="50" t="s">
        <v>3621</v>
      </c>
      <c r="AG4" s="50" t="s">
        <v>3621</v>
      </c>
      <c r="AH4" s="50" t="s">
        <v>3621</v>
      </c>
      <c r="AI4" s="50" t="s">
        <v>3621</v>
      </c>
      <c r="AJ4" s="50" t="s">
        <v>3621</v>
      </c>
      <c r="AK4" s="50"/>
      <c r="AL4" s="50"/>
      <c r="AM4" s="50"/>
      <c r="AN4" s="50"/>
    </row>
    <row r="5" spans="2:40" x14ac:dyDescent="0.35">
      <c r="B5" s="50" t="s">
        <v>3571</v>
      </c>
      <c r="C5" s="50">
        <v>3</v>
      </c>
      <c r="D5" s="50" t="s">
        <v>4450</v>
      </c>
      <c r="E5" s="111">
        <v>45548</v>
      </c>
      <c r="F5" s="50">
        <v>1</v>
      </c>
      <c r="G5" s="279">
        <v>1</v>
      </c>
      <c r="H5" s="201">
        <v>0</v>
      </c>
      <c r="I5" s="50">
        <v>0</v>
      </c>
      <c r="J5" s="50">
        <v>0</v>
      </c>
      <c r="K5" s="50" t="s">
        <v>3621</v>
      </c>
      <c r="L5" s="50" t="s">
        <v>3621</v>
      </c>
      <c r="M5" s="50" t="s">
        <v>3621</v>
      </c>
      <c r="N5" s="50" t="s">
        <v>3621</v>
      </c>
      <c r="O5" s="50" t="s">
        <v>3621</v>
      </c>
      <c r="P5" s="50" t="s">
        <v>3621</v>
      </c>
      <c r="Q5" s="50" t="s">
        <v>3621</v>
      </c>
      <c r="R5" s="50" t="s">
        <v>3621</v>
      </c>
      <c r="S5" s="50" t="s">
        <v>3621</v>
      </c>
      <c r="T5" s="50" t="s">
        <v>3621</v>
      </c>
      <c r="U5" s="50" t="s">
        <v>3621</v>
      </c>
      <c r="V5" s="262" t="s">
        <v>3621</v>
      </c>
      <c r="W5" s="262" t="s">
        <v>3621</v>
      </c>
      <c r="X5" s="262" t="s">
        <v>3621</v>
      </c>
      <c r="Y5" s="262" t="s">
        <v>3621</v>
      </c>
      <c r="Z5" s="262" t="s">
        <v>3621</v>
      </c>
      <c r="AA5" s="262" t="s">
        <v>3621</v>
      </c>
      <c r="AB5" s="262" t="s">
        <v>3621</v>
      </c>
      <c r="AC5" s="262" t="s">
        <v>3621</v>
      </c>
      <c r="AD5" s="262" t="s">
        <v>3621</v>
      </c>
      <c r="AE5" s="262" t="s">
        <v>3621</v>
      </c>
      <c r="AF5" s="50" t="s">
        <v>3621</v>
      </c>
      <c r="AG5" s="50" t="s">
        <v>3621</v>
      </c>
      <c r="AH5" s="50" t="s">
        <v>3621</v>
      </c>
      <c r="AI5" s="50">
        <v>0</v>
      </c>
      <c r="AJ5" s="50" t="s">
        <v>3621</v>
      </c>
      <c r="AK5" s="50"/>
      <c r="AL5" s="50"/>
      <c r="AM5" s="50"/>
      <c r="AN5" s="50"/>
    </row>
    <row r="6" spans="2:40" x14ac:dyDescent="0.35">
      <c r="B6" s="113" t="s">
        <v>3573</v>
      </c>
      <c r="C6" s="50">
        <v>4</v>
      </c>
      <c r="D6" s="50" t="s">
        <v>3624</v>
      </c>
      <c r="E6" s="111" t="s">
        <v>3621</v>
      </c>
      <c r="F6" s="50">
        <v>1</v>
      </c>
      <c r="G6" s="111" t="s">
        <v>3621</v>
      </c>
      <c r="H6" s="201" t="s">
        <v>3621</v>
      </c>
      <c r="I6" s="50" t="s">
        <v>3621</v>
      </c>
      <c r="J6" s="50" t="s">
        <v>3621</v>
      </c>
      <c r="K6" s="50" t="s">
        <v>3621</v>
      </c>
      <c r="L6" s="50" t="s">
        <v>3621</v>
      </c>
      <c r="M6" s="50" t="s">
        <v>3621</v>
      </c>
      <c r="N6" s="50" t="s">
        <v>3621</v>
      </c>
      <c r="O6" s="50" t="s">
        <v>3621</v>
      </c>
      <c r="P6" s="50" t="s">
        <v>3621</v>
      </c>
      <c r="Q6" s="50" t="s">
        <v>3621</v>
      </c>
      <c r="R6" s="50" t="s">
        <v>3621</v>
      </c>
      <c r="S6" s="50" t="s">
        <v>3621</v>
      </c>
      <c r="T6" s="50" t="s">
        <v>3621</v>
      </c>
      <c r="U6" s="50" t="s">
        <v>3621</v>
      </c>
      <c r="V6" s="262" t="s">
        <v>3621</v>
      </c>
      <c r="W6" s="262" t="s">
        <v>3621</v>
      </c>
      <c r="X6" s="262" t="s">
        <v>3621</v>
      </c>
      <c r="Y6" s="262" t="s">
        <v>3621</v>
      </c>
      <c r="Z6" s="262" t="s">
        <v>3621</v>
      </c>
      <c r="AA6" s="262" t="s">
        <v>3621</v>
      </c>
      <c r="AB6" s="262" t="s">
        <v>3621</v>
      </c>
      <c r="AC6" s="262" t="s">
        <v>3621</v>
      </c>
      <c r="AD6" s="262" t="s">
        <v>3621</v>
      </c>
      <c r="AE6" s="262" t="s">
        <v>3621</v>
      </c>
      <c r="AF6" s="50" t="s">
        <v>3621</v>
      </c>
      <c r="AG6" s="50" t="s">
        <v>3621</v>
      </c>
      <c r="AH6" s="50" t="s">
        <v>3621</v>
      </c>
      <c r="AI6" s="50" t="s">
        <v>3621</v>
      </c>
      <c r="AJ6" s="50" t="s">
        <v>3621</v>
      </c>
      <c r="AK6" s="50"/>
      <c r="AL6" s="50"/>
      <c r="AM6" s="50"/>
      <c r="AN6" s="50"/>
    </row>
    <row r="7" spans="2:40" x14ac:dyDescent="0.35">
      <c r="B7" s="50" t="s">
        <v>3575</v>
      </c>
      <c r="C7" s="50">
        <v>5</v>
      </c>
      <c r="D7" s="50" t="s">
        <v>3624</v>
      </c>
      <c r="E7" s="111" t="s">
        <v>3621</v>
      </c>
      <c r="F7" s="50">
        <v>1</v>
      </c>
      <c r="G7" s="111" t="s">
        <v>3621</v>
      </c>
      <c r="H7" s="201" t="s">
        <v>3621</v>
      </c>
      <c r="I7" s="50" t="s">
        <v>3621</v>
      </c>
      <c r="J7" s="50" t="s">
        <v>3621</v>
      </c>
      <c r="K7" s="50" t="s">
        <v>3621</v>
      </c>
      <c r="L7" s="50" t="s">
        <v>3621</v>
      </c>
      <c r="M7" s="50" t="s">
        <v>3621</v>
      </c>
      <c r="N7" s="50" t="s">
        <v>3621</v>
      </c>
      <c r="O7" s="50" t="s">
        <v>3621</v>
      </c>
      <c r="P7" s="50" t="s">
        <v>3621</v>
      </c>
      <c r="Q7" s="50" t="s">
        <v>3621</v>
      </c>
      <c r="R7" s="50" t="s">
        <v>3621</v>
      </c>
      <c r="S7" s="50" t="s">
        <v>3621</v>
      </c>
      <c r="T7" s="50" t="s">
        <v>3621</v>
      </c>
      <c r="U7" s="50" t="s">
        <v>3621</v>
      </c>
      <c r="V7" s="262" t="s">
        <v>3621</v>
      </c>
      <c r="W7" s="262" t="s">
        <v>3621</v>
      </c>
      <c r="X7" s="262" t="s">
        <v>3621</v>
      </c>
      <c r="Y7" s="262" t="s">
        <v>3621</v>
      </c>
      <c r="Z7" s="262" t="s">
        <v>3621</v>
      </c>
      <c r="AA7" s="262" t="s">
        <v>3621</v>
      </c>
      <c r="AB7" s="262" t="s">
        <v>3621</v>
      </c>
      <c r="AC7" s="262" t="s">
        <v>3621</v>
      </c>
      <c r="AD7" s="262" t="s">
        <v>3621</v>
      </c>
      <c r="AE7" s="262" t="s">
        <v>3621</v>
      </c>
      <c r="AF7" s="50" t="s">
        <v>3621</v>
      </c>
      <c r="AG7" s="50" t="s">
        <v>3621</v>
      </c>
      <c r="AH7" s="50" t="s">
        <v>3621</v>
      </c>
      <c r="AI7" s="50" t="s">
        <v>3621</v>
      </c>
      <c r="AJ7" s="50" t="s">
        <v>3621</v>
      </c>
      <c r="AK7" s="50"/>
      <c r="AL7" s="50"/>
      <c r="AM7" s="50"/>
      <c r="AN7" s="50"/>
    </row>
    <row r="8" spans="2:40" x14ac:dyDescent="0.35">
      <c r="B8" s="113" t="s">
        <v>3576</v>
      </c>
      <c r="C8" s="50">
        <v>6</v>
      </c>
      <c r="D8" s="50" t="s">
        <v>4451</v>
      </c>
      <c r="E8" s="111">
        <v>45548</v>
      </c>
      <c r="F8" s="50">
        <v>1</v>
      </c>
      <c r="G8" s="225" cm="1">
        <f t="array" ref="G8">SUMPRODUCT(--(I8:AJ8&gt;0))/COUNTA(I8:AJ8)</f>
        <v>1</v>
      </c>
      <c r="H8" s="201">
        <v>0</v>
      </c>
      <c r="I8" s="50">
        <v>2</v>
      </c>
      <c r="J8" s="50">
        <v>30</v>
      </c>
      <c r="K8" s="50">
        <v>3</v>
      </c>
      <c r="L8" s="50">
        <v>3</v>
      </c>
      <c r="M8" s="50">
        <v>3</v>
      </c>
      <c r="N8" s="50">
        <v>10</v>
      </c>
      <c r="O8" s="50">
        <v>10</v>
      </c>
      <c r="P8" s="50">
        <v>3</v>
      </c>
      <c r="Q8" s="50">
        <v>1</v>
      </c>
      <c r="R8" s="50">
        <v>8</v>
      </c>
      <c r="S8" s="114">
        <v>8</v>
      </c>
      <c r="T8" s="114">
        <v>8</v>
      </c>
      <c r="U8" s="114">
        <v>8</v>
      </c>
      <c r="V8" s="262">
        <v>32</v>
      </c>
      <c r="W8" s="262">
        <v>23</v>
      </c>
      <c r="X8" s="262">
        <v>25</v>
      </c>
      <c r="Y8" s="262">
        <v>21</v>
      </c>
      <c r="Z8" s="262">
        <v>28</v>
      </c>
      <c r="AA8" s="262">
        <v>25</v>
      </c>
      <c r="AB8" s="262">
        <v>23</v>
      </c>
      <c r="AC8" s="262">
        <v>25</v>
      </c>
      <c r="AD8" s="262">
        <v>21</v>
      </c>
      <c r="AE8" s="262">
        <v>28</v>
      </c>
      <c r="AF8" s="50">
        <v>3</v>
      </c>
      <c r="AG8" s="50">
        <v>3</v>
      </c>
      <c r="AH8" s="50">
        <v>2</v>
      </c>
      <c r="AI8" s="50">
        <v>10</v>
      </c>
      <c r="AJ8" s="50">
        <v>23</v>
      </c>
      <c r="AK8" s="50"/>
      <c r="AL8" s="50"/>
      <c r="AM8" s="50"/>
      <c r="AN8" s="50"/>
    </row>
    <row r="9" spans="2:40" x14ac:dyDescent="0.35">
      <c r="B9" s="50" t="s">
        <v>3579</v>
      </c>
      <c r="C9" s="50">
        <v>7</v>
      </c>
      <c r="D9" s="50" t="s">
        <v>4452</v>
      </c>
      <c r="E9" s="111">
        <v>45548</v>
      </c>
      <c r="F9" s="50">
        <v>1</v>
      </c>
      <c r="G9" s="225" cm="1">
        <f t="array" ref="G9">SUMPRODUCT(--(I9:AJ9 &lt;= I28:AJ28))/COUNTA(I28:AJ28)</f>
        <v>0.7142857142857143</v>
      </c>
      <c r="H9" s="201">
        <v>0</v>
      </c>
      <c r="I9" s="50">
        <v>2</v>
      </c>
      <c r="J9" s="50">
        <v>30</v>
      </c>
      <c r="K9" s="50">
        <v>3</v>
      </c>
      <c r="L9" s="50">
        <v>3</v>
      </c>
      <c r="M9" s="50">
        <v>3</v>
      </c>
      <c r="N9" s="50">
        <v>10</v>
      </c>
      <c r="O9" s="50">
        <v>10</v>
      </c>
      <c r="P9" s="50">
        <v>3</v>
      </c>
      <c r="Q9" s="50">
        <v>1</v>
      </c>
      <c r="R9" s="50">
        <v>17</v>
      </c>
      <c r="S9" s="50">
        <v>17</v>
      </c>
      <c r="T9" s="50">
        <v>18</v>
      </c>
      <c r="U9" s="50">
        <v>13</v>
      </c>
      <c r="V9" s="262">
        <v>32</v>
      </c>
      <c r="W9" s="262">
        <v>23</v>
      </c>
      <c r="X9" s="262">
        <v>25</v>
      </c>
      <c r="Y9" s="262">
        <v>21</v>
      </c>
      <c r="Z9" s="262">
        <v>28</v>
      </c>
      <c r="AA9" s="262">
        <v>25</v>
      </c>
      <c r="AB9" s="262">
        <v>23</v>
      </c>
      <c r="AC9" s="262">
        <v>25</v>
      </c>
      <c r="AD9" s="262">
        <v>21</v>
      </c>
      <c r="AE9" s="262">
        <v>28</v>
      </c>
      <c r="AF9" s="50">
        <v>3</v>
      </c>
      <c r="AG9" s="50">
        <v>3</v>
      </c>
      <c r="AH9" s="50">
        <v>2</v>
      </c>
      <c r="AI9" s="50">
        <v>10</v>
      </c>
      <c r="AJ9" s="50">
        <v>23</v>
      </c>
      <c r="AK9" s="50"/>
      <c r="AL9" s="50"/>
      <c r="AM9" s="50"/>
      <c r="AN9" s="50"/>
    </row>
    <row r="10" spans="2:40" x14ac:dyDescent="0.35">
      <c r="B10" s="50" t="s">
        <v>3582</v>
      </c>
      <c r="C10" s="50">
        <v>8</v>
      </c>
      <c r="D10" s="50" t="s">
        <v>4453</v>
      </c>
      <c r="E10" s="111">
        <v>45548</v>
      </c>
      <c r="F10" s="50">
        <v>1</v>
      </c>
      <c r="G10" s="111" t="s">
        <v>3621</v>
      </c>
      <c r="H10" s="201">
        <v>0</v>
      </c>
      <c r="I10" s="50">
        <v>31</v>
      </c>
      <c r="J10" s="50">
        <v>1.3033148999999999E+22</v>
      </c>
      <c r="K10" s="50" t="s">
        <v>4454</v>
      </c>
      <c r="L10" s="50">
        <v>25</v>
      </c>
      <c r="M10" s="50">
        <v>0</v>
      </c>
      <c r="N10" s="111">
        <v>26456</v>
      </c>
      <c r="O10" s="111">
        <v>35577</v>
      </c>
      <c r="P10" s="50">
        <v>124</v>
      </c>
      <c r="Q10" s="50">
        <v>0</v>
      </c>
      <c r="R10" s="114">
        <v>-423629766230000</v>
      </c>
      <c r="S10" s="209" t="s">
        <v>3630</v>
      </c>
      <c r="T10" s="114">
        <v>-2157898676640000</v>
      </c>
      <c r="U10" s="114" t="s">
        <v>3630</v>
      </c>
      <c r="V10" s="263" t="s">
        <v>4123</v>
      </c>
      <c r="W10" s="263" t="s">
        <v>1977</v>
      </c>
      <c r="X10" s="262" t="s">
        <v>1988</v>
      </c>
      <c r="Y10" s="263" t="s">
        <v>1998</v>
      </c>
      <c r="Z10" s="263" t="s">
        <v>1515</v>
      </c>
      <c r="AA10" s="262" t="s">
        <v>1522</v>
      </c>
      <c r="AB10" s="262" t="s">
        <v>756</v>
      </c>
      <c r="AC10" s="262" t="s">
        <v>766</v>
      </c>
      <c r="AD10" s="262" t="s">
        <v>776</v>
      </c>
      <c r="AE10" s="262" t="s">
        <v>785</v>
      </c>
      <c r="AF10" s="50" t="s">
        <v>3631</v>
      </c>
      <c r="AG10" s="50" t="s">
        <v>3632</v>
      </c>
      <c r="AH10" s="50" t="s">
        <v>3749</v>
      </c>
      <c r="AI10" s="111">
        <v>45548</v>
      </c>
      <c r="AJ10" s="111" t="s">
        <v>4455</v>
      </c>
      <c r="AK10" s="50"/>
      <c r="AL10" s="50"/>
      <c r="AM10" s="111"/>
      <c r="AN10" s="111"/>
    </row>
    <row r="11" spans="2:40" x14ac:dyDescent="0.35">
      <c r="B11" s="50" t="s">
        <v>3584</v>
      </c>
      <c r="C11" s="50">
        <v>9</v>
      </c>
      <c r="D11" s="50" t="s">
        <v>4456</v>
      </c>
      <c r="E11" s="111">
        <v>45548</v>
      </c>
      <c r="F11" s="50">
        <v>1</v>
      </c>
      <c r="G11" s="111" t="s">
        <v>3621</v>
      </c>
      <c r="H11" s="201">
        <v>0</v>
      </c>
      <c r="I11" s="50">
        <v>31</v>
      </c>
      <c r="J11" s="50">
        <v>1.3033148999999999E+22</v>
      </c>
      <c r="K11" s="50" t="s">
        <v>4457</v>
      </c>
      <c r="L11" s="50">
        <v>25</v>
      </c>
      <c r="M11" s="50">
        <v>0</v>
      </c>
      <c r="N11" s="111">
        <v>26456</v>
      </c>
      <c r="O11" s="111">
        <v>35577</v>
      </c>
      <c r="P11" s="50">
        <v>124</v>
      </c>
      <c r="Q11" s="50">
        <v>0</v>
      </c>
      <c r="R11" s="114">
        <v>-423629766230000</v>
      </c>
      <c r="S11" s="50" t="s">
        <v>3630</v>
      </c>
      <c r="T11" s="114">
        <v>-2157898676640000</v>
      </c>
      <c r="U11" s="50" t="s">
        <v>3630</v>
      </c>
      <c r="V11" s="262" t="s">
        <v>4123</v>
      </c>
      <c r="W11" s="262" t="s">
        <v>1977</v>
      </c>
      <c r="X11" s="262" t="s">
        <v>1988</v>
      </c>
      <c r="Y11" s="263" t="s">
        <v>1998</v>
      </c>
      <c r="Z11" s="263" t="s">
        <v>1515</v>
      </c>
      <c r="AA11" s="262" t="s">
        <v>1522</v>
      </c>
      <c r="AB11" s="262" t="s">
        <v>756</v>
      </c>
      <c r="AC11" s="262" t="s">
        <v>766</v>
      </c>
      <c r="AD11" s="262" t="s">
        <v>776</v>
      </c>
      <c r="AE11" s="262" t="s">
        <v>785</v>
      </c>
      <c r="AF11" s="50">
        <v>0</v>
      </c>
      <c r="AG11" s="50"/>
      <c r="AH11" s="50" t="s">
        <v>3749</v>
      </c>
      <c r="AI11" s="111">
        <v>45548</v>
      </c>
      <c r="AJ11" s="111" t="s">
        <v>4458</v>
      </c>
      <c r="AK11" s="50"/>
      <c r="AL11" s="50"/>
      <c r="AM11" s="111"/>
      <c r="AN11" s="111"/>
    </row>
    <row r="12" spans="2:40" x14ac:dyDescent="0.35">
      <c r="B12" s="113" t="s">
        <v>3586</v>
      </c>
      <c r="C12" s="50">
        <v>10</v>
      </c>
      <c r="D12" s="50" t="s">
        <v>4459</v>
      </c>
      <c r="E12" s="111">
        <v>45548</v>
      </c>
      <c r="F12" s="50">
        <v>1</v>
      </c>
      <c r="G12" s="111" t="s">
        <v>3621</v>
      </c>
      <c r="H12" s="201">
        <v>0</v>
      </c>
      <c r="I12" s="50">
        <v>31</v>
      </c>
      <c r="J12" s="50">
        <v>5.3150000011502503E+29</v>
      </c>
      <c r="K12" s="50" t="s">
        <v>4454</v>
      </c>
      <c r="L12" s="50">
        <v>43</v>
      </c>
      <c r="M12" s="50" t="s">
        <v>4460</v>
      </c>
      <c r="N12" s="111">
        <v>45548</v>
      </c>
      <c r="O12" s="111">
        <v>2958465</v>
      </c>
      <c r="P12" s="50">
        <v>978</v>
      </c>
      <c r="Q12" s="50">
        <v>1</v>
      </c>
      <c r="R12" s="114">
        <v>423629766230000</v>
      </c>
      <c r="S12" s="209">
        <v>2134731276340000</v>
      </c>
      <c r="T12" s="114">
        <v>423629766230000</v>
      </c>
      <c r="U12" s="114">
        <v>328950890000</v>
      </c>
      <c r="V12" s="263" t="s">
        <v>4123</v>
      </c>
      <c r="W12" s="263" t="s">
        <v>1977</v>
      </c>
      <c r="X12" s="263" t="s">
        <v>1988</v>
      </c>
      <c r="Y12" s="263" t="s">
        <v>1998</v>
      </c>
      <c r="Z12" s="263" t="s">
        <v>1515</v>
      </c>
      <c r="AA12" s="263" t="s">
        <v>1522</v>
      </c>
      <c r="AB12" s="262" t="s">
        <v>756</v>
      </c>
      <c r="AC12" s="262" t="s">
        <v>766</v>
      </c>
      <c r="AD12" s="264" t="s">
        <v>776</v>
      </c>
      <c r="AE12" s="262" t="s">
        <v>785</v>
      </c>
      <c r="AF12" s="50" t="s">
        <v>3640</v>
      </c>
      <c r="AG12" s="50" t="s">
        <v>3632</v>
      </c>
      <c r="AH12" s="50" t="s">
        <v>3641</v>
      </c>
      <c r="AI12" s="111">
        <v>45548</v>
      </c>
      <c r="AJ12" s="111" t="s">
        <v>4455</v>
      </c>
      <c r="AK12" s="50"/>
      <c r="AL12" s="50"/>
      <c r="AM12" s="111"/>
      <c r="AN12" s="111"/>
    </row>
    <row r="13" spans="2:40" x14ac:dyDescent="0.35">
      <c r="B13" s="50" t="s">
        <v>3588</v>
      </c>
      <c r="C13" s="50">
        <v>11</v>
      </c>
      <c r="D13" s="50" t="s">
        <v>4461</v>
      </c>
      <c r="E13" s="111">
        <v>45548</v>
      </c>
      <c r="F13" s="50">
        <v>1</v>
      </c>
      <c r="G13" s="111" t="s">
        <v>3621</v>
      </c>
      <c r="H13" s="201">
        <v>0</v>
      </c>
      <c r="I13" s="50">
        <v>31</v>
      </c>
      <c r="J13" s="50">
        <v>5.3150000011502503E+29</v>
      </c>
      <c r="K13" s="50" t="s">
        <v>4462</v>
      </c>
      <c r="L13" s="50">
        <v>43</v>
      </c>
      <c r="M13" s="50" t="s">
        <v>4460</v>
      </c>
      <c r="N13" s="111">
        <v>45548</v>
      </c>
      <c r="O13" s="111">
        <v>2958465</v>
      </c>
      <c r="P13" s="50">
        <v>978</v>
      </c>
      <c r="Q13" s="50">
        <v>1</v>
      </c>
      <c r="R13" s="114">
        <v>423629766230000</v>
      </c>
      <c r="S13" s="111">
        <v>2134731276340000</v>
      </c>
      <c r="T13" s="114">
        <v>423629766230000</v>
      </c>
      <c r="U13" s="114">
        <v>328950890000</v>
      </c>
      <c r="V13" s="262" t="s">
        <v>4123</v>
      </c>
      <c r="W13" s="262" t="s">
        <v>1977</v>
      </c>
      <c r="X13" s="262" t="s">
        <v>1988</v>
      </c>
      <c r="Y13" s="263" t="s">
        <v>1998</v>
      </c>
      <c r="Z13" s="263" t="s">
        <v>1515</v>
      </c>
      <c r="AA13" s="263" t="s">
        <v>1522</v>
      </c>
      <c r="AB13" s="262" t="s">
        <v>756</v>
      </c>
      <c r="AC13" s="262" t="s">
        <v>766</v>
      </c>
      <c r="AD13" s="264" t="s">
        <v>776</v>
      </c>
      <c r="AE13" s="262" t="s">
        <v>785</v>
      </c>
      <c r="AF13" s="50">
        <v>5</v>
      </c>
      <c r="AG13" s="50"/>
      <c r="AH13" s="50" t="s">
        <v>3641</v>
      </c>
      <c r="AI13" s="111">
        <v>45548</v>
      </c>
      <c r="AJ13" s="111" t="s">
        <v>4463</v>
      </c>
      <c r="AK13" s="50"/>
      <c r="AL13" s="50"/>
      <c r="AM13" s="111"/>
      <c r="AN13" s="111"/>
    </row>
    <row r="14" spans="2:40" x14ac:dyDescent="0.35">
      <c r="B14" s="50" t="s">
        <v>3590</v>
      </c>
      <c r="C14" s="50">
        <v>12</v>
      </c>
      <c r="D14" s="50" t="s">
        <v>4464</v>
      </c>
      <c r="E14" s="111">
        <v>45548</v>
      </c>
      <c r="F14" s="50">
        <v>1</v>
      </c>
      <c r="G14" s="279">
        <v>1</v>
      </c>
      <c r="H14" s="201">
        <v>0</v>
      </c>
      <c r="I14" s="50">
        <v>0</v>
      </c>
      <c r="J14" s="50">
        <v>0</v>
      </c>
      <c r="K14" s="50">
        <v>0</v>
      </c>
      <c r="L14" s="50">
        <v>0</v>
      </c>
      <c r="M14" s="50">
        <v>0</v>
      </c>
      <c r="N14" s="50">
        <v>0</v>
      </c>
      <c r="O14" s="50">
        <v>0</v>
      </c>
      <c r="P14" s="50">
        <v>0</v>
      </c>
      <c r="Q14" s="50">
        <v>0</v>
      </c>
      <c r="R14" s="50">
        <v>0</v>
      </c>
      <c r="S14" s="50">
        <v>0</v>
      </c>
      <c r="T14" s="50">
        <v>0</v>
      </c>
      <c r="U14" s="50">
        <v>0</v>
      </c>
      <c r="V14" s="263">
        <v>0</v>
      </c>
      <c r="W14" s="263">
        <v>0</v>
      </c>
      <c r="X14" s="263">
        <v>0</v>
      </c>
      <c r="Y14" s="262">
        <v>0</v>
      </c>
      <c r="Z14" s="262">
        <v>0</v>
      </c>
      <c r="AA14" s="262">
        <v>0</v>
      </c>
      <c r="AB14" s="262">
        <v>0</v>
      </c>
      <c r="AC14" s="262">
        <v>0</v>
      </c>
      <c r="AD14" s="262">
        <v>0</v>
      </c>
      <c r="AE14" s="262">
        <v>0</v>
      </c>
      <c r="AF14" s="50">
        <v>0</v>
      </c>
      <c r="AG14" s="50">
        <v>0</v>
      </c>
      <c r="AH14" s="50">
        <v>0</v>
      </c>
      <c r="AI14" s="50">
        <v>0</v>
      </c>
      <c r="AJ14" s="50">
        <v>0</v>
      </c>
      <c r="AK14" s="50"/>
      <c r="AL14" s="50"/>
      <c r="AM14" s="50"/>
      <c r="AN14" s="50"/>
    </row>
    <row r="15" spans="2:40" x14ac:dyDescent="0.35">
      <c r="B15" s="50" t="s">
        <v>3592</v>
      </c>
      <c r="C15" s="50">
        <v>13</v>
      </c>
      <c r="D15" s="50" t="s">
        <v>4465</v>
      </c>
      <c r="E15" s="111">
        <v>45548</v>
      </c>
      <c r="F15" s="50">
        <v>1</v>
      </c>
      <c r="G15" s="279">
        <v>1</v>
      </c>
      <c r="H15" s="201">
        <v>0</v>
      </c>
      <c r="I15" s="50" t="s">
        <v>3621</v>
      </c>
      <c r="J15" s="50" t="s">
        <v>3621</v>
      </c>
      <c r="K15" s="50" t="s">
        <v>3621</v>
      </c>
      <c r="L15" s="50" t="s">
        <v>3621</v>
      </c>
      <c r="M15" s="50" t="s">
        <v>3621</v>
      </c>
      <c r="N15" s="111">
        <v>0</v>
      </c>
      <c r="O15" s="111">
        <v>0</v>
      </c>
      <c r="P15" s="50" t="s">
        <v>3621</v>
      </c>
      <c r="Q15" s="50" t="s">
        <v>3621</v>
      </c>
      <c r="R15" s="50" t="s">
        <v>3621</v>
      </c>
      <c r="S15" s="111" t="s">
        <v>3621</v>
      </c>
      <c r="T15" s="111" t="s">
        <v>3621</v>
      </c>
      <c r="U15" s="111" t="s">
        <v>3621</v>
      </c>
      <c r="V15" s="262" t="s">
        <v>3621</v>
      </c>
      <c r="W15" s="262" t="s">
        <v>3621</v>
      </c>
      <c r="X15" s="262" t="s">
        <v>3621</v>
      </c>
      <c r="Y15" s="262" t="s">
        <v>3621</v>
      </c>
      <c r="Z15" s="262" t="s">
        <v>3621</v>
      </c>
      <c r="AA15" s="262" t="s">
        <v>3621</v>
      </c>
      <c r="AB15" s="262" t="s">
        <v>3621</v>
      </c>
      <c r="AC15" s="262" t="s">
        <v>3621</v>
      </c>
      <c r="AD15" s="264" t="s">
        <v>3621</v>
      </c>
      <c r="AE15" s="262" t="s">
        <v>3621</v>
      </c>
      <c r="AF15" s="50" t="s">
        <v>3621</v>
      </c>
      <c r="AG15" s="50" t="s">
        <v>3621</v>
      </c>
      <c r="AH15" s="50" t="s">
        <v>3621</v>
      </c>
      <c r="AI15" s="111" t="s">
        <v>3621</v>
      </c>
      <c r="AJ15" s="50" t="s">
        <v>3621</v>
      </c>
      <c r="AK15" s="50"/>
      <c r="AL15" s="50"/>
      <c r="AM15" s="50"/>
      <c r="AN15" s="111"/>
    </row>
    <row r="16" spans="2:40" x14ac:dyDescent="0.35">
      <c r="B16" s="50" t="s">
        <v>3594</v>
      </c>
      <c r="C16" s="50">
        <v>14</v>
      </c>
      <c r="D16" s="50" t="s">
        <v>4466</v>
      </c>
      <c r="E16" s="111">
        <v>45548</v>
      </c>
      <c r="F16" s="50">
        <v>1</v>
      </c>
      <c r="G16" s="279">
        <v>1</v>
      </c>
      <c r="H16" s="201">
        <v>0</v>
      </c>
      <c r="I16" s="50">
        <v>0</v>
      </c>
      <c r="J16" s="50">
        <v>0</v>
      </c>
      <c r="K16" s="50">
        <v>0</v>
      </c>
      <c r="L16" s="50">
        <v>0</v>
      </c>
      <c r="M16" s="50">
        <v>0</v>
      </c>
      <c r="N16" s="50" t="s">
        <v>3621</v>
      </c>
      <c r="O16" s="50" t="s">
        <v>3621</v>
      </c>
      <c r="P16" s="50">
        <v>0</v>
      </c>
      <c r="Q16" s="50" t="s">
        <v>3621</v>
      </c>
      <c r="R16" s="50" t="s">
        <v>3621</v>
      </c>
      <c r="S16" s="50" t="s">
        <v>3621</v>
      </c>
      <c r="T16" s="50" t="s">
        <v>3621</v>
      </c>
      <c r="U16" s="50" t="s">
        <v>3621</v>
      </c>
      <c r="V16" s="262" t="s">
        <v>3621</v>
      </c>
      <c r="W16" s="262" t="s">
        <v>3621</v>
      </c>
      <c r="X16" s="262" t="s">
        <v>3621</v>
      </c>
      <c r="Y16" s="262" t="s">
        <v>3621</v>
      </c>
      <c r="Z16" s="262" t="s">
        <v>3621</v>
      </c>
      <c r="AA16" s="262">
        <v>0</v>
      </c>
      <c r="AB16" s="262" t="s">
        <v>3621</v>
      </c>
      <c r="AC16" s="262" t="s">
        <v>3621</v>
      </c>
      <c r="AD16" s="262" t="s">
        <v>3621</v>
      </c>
      <c r="AE16" s="262" t="s">
        <v>3621</v>
      </c>
      <c r="AF16" s="50">
        <v>0</v>
      </c>
      <c r="AG16" s="50">
        <v>0</v>
      </c>
      <c r="AH16" s="50">
        <v>0</v>
      </c>
      <c r="AI16" s="50" t="s">
        <v>3621</v>
      </c>
      <c r="AJ16" s="50" t="s">
        <v>3621</v>
      </c>
      <c r="AK16" s="50"/>
      <c r="AL16" s="50"/>
      <c r="AM16" s="50"/>
      <c r="AN16" s="50"/>
    </row>
    <row r="17" spans="2:40" x14ac:dyDescent="0.35">
      <c r="B17" s="50" t="s">
        <v>3596</v>
      </c>
      <c r="C17" s="50">
        <v>15</v>
      </c>
      <c r="D17" s="50" t="s">
        <v>4467</v>
      </c>
      <c r="E17" s="111">
        <v>45548</v>
      </c>
      <c r="F17" s="50">
        <v>1</v>
      </c>
      <c r="G17" s="279">
        <v>1</v>
      </c>
      <c r="H17" s="201">
        <v>0</v>
      </c>
      <c r="I17" s="50" t="s">
        <v>3621</v>
      </c>
      <c r="J17" s="50" t="s">
        <v>3621</v>
      </c>
      <c r="K17" s="50" t="s">
        <v>3621</v>
      </c>
      <c r="L17" s="50" t="s">
        <v>3621</v>
      </c>
      <c r="M17" s="50" t="s">
        <v>3621</v>
      </c>
      <c r="N17" s="113" t="s">
        <v>3621</v>
      </c>
      <c r="O17" s="113" t="s">
        <v>3621</v>
      </c>
      <c r="P17" s="113" t="s">
        <v>3621</v>
      </c>
      <c r="Q17" s="113" t="s">
        <v>3621</v>
      </c>
      <c r="R17" s="113" t="s">
        <v>3621</v>
      </c>
      <c r="S17" s="50" t="s">
        <v>3621</v>
      </c>
      <c r="T17" s="113" t="s">
        <v>3621</v>
      </c>
      <c r="U17" s="113" t="s">
        <v>3621</v>
      </c>
      <c r="V17" s="262" t="s">
        <v>3621</v>
      </c>
      <c r="W17" s="262" t="s">
        <v>3621</v>
      </c>
      <c r="X17" s="262" t="s">
        <v>3621</v>
      </c>
      <c r="Y17" s="262" t="s">
        <v>3621</v>
      </c>
      <c r="Z17" s="262" t="s">
        <v>3621</v>
      </c>
      <c r="AA17" s="262" t="s">
        <v>3621</v>
      </c>
      <c r="AB17" s="262" t="s">
        <v>3621</v>
      </c>
      <c r="AC17" s="262" t="s">
        <v>3621</v>
      </c>
      <c r="AD17" s="262" t="s">
        <v>3621</v>
      </c>
      <c r="AE17" s="262" t="s">
        <v>3621</v>
      </c>
      <c r="AF17" s="50" t="s">
        <v>3621</v>
      </c>
      <c r="AG17" s="50" t="s">
        <v>3621</v>
      </c>
      <c r="AH17" s="50" t="s">
        <v>3621</v>
      </c>
      <c r="AI17" s="50" t="s">
        <v>3621</v>
      </c>
      <c r="AJ17" s="50" t="s">
        <v>3621</v>
      </c>
      <c r="AK17" s="50"/>
      <c r="AL17" s="50"/>
      <c r="AM17" s="50"/>
      <c r="AN17" s="50"/>
    </row>
    <row r="18" spans="2:40" x14ac:dyDescent="0.35">
      <c r="B18" s="50" t="s">
        <v>3598</v>
      </c>
      <c r="C18" s="50">
        <v>16</v>
      </c>
      <c r="D18" s="50" t="s">
        <v>4467</v>
      </c>
      <c r="E18" s="111">
        <v>45548</v>
      </c>
      <c r="F18" s="50">
        <v>1</v>
      </c>
      <c r="G18" s="279">
        <v>1</v>
      </c>
      <c r="H18" s="201">
        <v>0</v>
      </c>
      <c r="I18" s="50" t="s">
        <v>3621</v>
      </c>
      <c r="J18" s="50" t="s">
        <v>3621</v>
      </c>
      <c r="K18" s="50" t="s">
        <v>3621</v>
      </c>
      <c r="L18" s="50" t="s">
        <v>3621</v>
      </c>
      <c r="M18" s="50" t="s">
        <v>3621</v>
      </c>
      <c r="N18" s="113" t="s">
        <v>3621</v>
      </c>
      <c r="O18" s="113" t="s">
        <v>3621</v>
      </c>
      <c r="P18" s="50" t="s">
        <v>3621</v>
      </c>
      <c r="Q18" s="50" t="s">
        <v>3621</v>
      </c>
      <c r="R18" s="113" t="s">
        <v>3621</v>
      </c>
      <c r="S18" s="113" t="s">
        <v>3621</v>
      </c>
      <c r="T18" s="50" t="s">
        <v>3621</v>
      </c>
      <c r="U18" s="50" t="s">
        <v>3621</v>
      </c>
      <c r="V18" s="262" t="s">
        <v>3621</v>
      </c>
      <c r="W18" s="262" t="s">
        <v>3621</v>
      </c>
      <c r="X18" s="262" t="s">
        <v>3621</v>
      </c>
      <c r="Y18" s="262" t="s">
        <v>3621</v>
      </c>
      <c r="Z18" s="262" t="s">
        <v>3621</v>
      </c>
      <c r="AA18" s="262" t="s">
        <v>3621</v>
      </c>
      <c r="AB18" s="262" t="s">
        <v>3621</v>
      </c>
      <c r="AC18" s="262" t="s">
        <v>3621</v>
      </c>
      <c r="AD18" s="262" t="s">
        <v>3621</v>
      </c>
      <c r="AE18" s="262" t="s">
        <v>3621</v>
      </c>
      <c r="AF18" s="50" t="s">
        <v>3621</v>
      </c>
      <c r="AG18" s="50" t="s">
        <v>3621</v>
      </c>
      <c r="AH18" s="50" t="s">
        <v>3621</v>
      </c>
      <c r="AI18" s="50" t="s">
        <v>3621</v>
      </c>
      <c r="AJ18" s="50" t="s">
        <v>3621</v>
      </c>
      <c r="AK18" s="50"/>
      <c r="AL18" s="50"/>
      <c r="AM18" s="50"/>
      <c r="AN18" s="50"/>
    </row>
    <row r="19" spans="2:40" x14ac:dyDescent="0.35">
      <c r="B19" s="50" t="s">
        <v>3600</v>
      </c>
      <c r="C19" s="50">
        <v>17</v>
      </c>
      <c r="D19" s="50" t="s">
        <v>4468</v>
      </c>
      <c r="E19" s="111">
        <v>45548</v>
      </c>
      <c r="F19" s="50">
        <v>1</v>
      </c>
      <c r="G19" s="279">
        <v>0.61778200000000005</v>
      </c>
      <c r="H19" s="241">
        <v>365684</v>
      </c>
      <c r="I19" s="50" t="s">
        <v>3621</v>
      </c>
      <c r="J19" s="50" t="s">
        <v>3621</v>
      </c>
      <c r="K19" s="50" t="s">
        <v>3621</v>
      </c>
      <c r="L19" s="50" t="s">
        <v>3621</v>
      </c>
      <c r="M19" s="50" t="s">
        <v>3621</v>
      </c>
      <c r="N19" s="50" t="s">
        <v>3621</v>
      </c>
      <c r="O19" s="50" t="s">
        <v>3621</v>
      </c>
      <c r="P19" s="50" t="s">
        <v>3621</v>
      </c>
      <c r="Q19" s="113" t="s">
        <v>3621</v>
      </c>
      <c r="R19" s="50" t="s">
        <v>3621</v>
      </c>
      <c r="S19" s="50" t="s">
        <v>3621</v>
      </c>
      <c r="T19" s="50" t="s">
        <v>3621</v>
      </c>
      <c r="U19" s="50" t="s">
        <v>3621</v>
      </c>
      <c r="V19" s="262" t="s">
        <v>3621</v>
      </c>
      <c r="W19" s="262" t="s">
        <v>3621</v>
      </c>
      <c r="X19" s="262" t="s">
        <v>3621</v>
      </c>
      <c r="Y19" s="262" t="s">
        <v>3621</v>
      </c>
      <c r="Z19" s="262" t="s">
        <v>3621</v>
      </c>
      <c r="AA19" s="262" t="s">
        <v>3621</v>
      </c>
      <c r="AB19" s="262" t="s">
        <v>3621</v>
      </c>
      <c r="AC19" s="262" t="s">
        <v>3621</v>
      </c>
      <c r="AD19" s="262" t="s">
        <v>3621</v>
      </c>
      <c r="AE19" s="262" t="s">
        <v>3621</v>
      </c>
      <c r="AF19" s="50" t="s">
        <v>3621</v>
      </c>
      <c r="AG19" s="50" t="s">
        <v>3621</v>
      </c>
      <c r="AH19" s="50" t="s">
        <v>3621</v>
      </c>
      <c r="AI19" s="50" t="s">
        <v>3621</v>
      </c>
      <c r="AJ19" s="50" t="s">
        <v>3621</v>
      </c>
      <c r="AK19" s="50"/>
      <c r="AL19" s="50"/>
      <c r="AM19" s="50"/>
      <c r="AN19" s="50"/>
    </row>
    <row r="20" spans="2:40" x14ac:dyDescent="0.35">
      <c r="B20" s="50" t="s">
        <v>3602</v>
      </c>
      <c r="C20" s="50">
        <v>18</v>
      </c>
      <c r="D20" s="50" t="s">
        <v>4468</v>
      </c>
      <c r="E20" s="111">
        <v>45548</v>
      </c>
      <c r="F20" s="50">
        <v>1</v>
      </c>
      <c r="G20" s="279">
        <v>1</v>
      </c>
      <c r="H20" s="201">
        <v>0</v>
      </c>
      <c r="I20" s="50" t="s">
        <v>3621</v>
      </c>
      <c r="J20" s="50" t="s">
        <v>3621</v>
      </c>
      <c r="K20" s="50" t="s">
        <v>3621</v>
      </c>
      <c r="L20" s="50" t="s">
        <v>3621</v>
      </c>
      <c r="M20" s="50" t="s">
        <v>3621</v>
      </c>
      <c r="N20" s="50" t="s">
        <v>3621</v>
      </c>
      <c r="O20" s="50" t="s">
        <v>3621</v>
      </c>
      <c r="P20" s="50" t="s">
        <v>3621</v>
      </c>
      <c r="Q20" s="50" t="s">
        <v>3621</v>
      </c>
      <c r="R20" s="50" t="s">
        <v>3621</v>
      </c>
      <c r="S20" s="50" t="s">
        <v>3621</v>
      </c>
      <c r="T20" s="50" t="s">
        <v>3621</v>
      </c>
      <c r="U20" s="50" t="s">
        <v>3621</v>
      </c>
      <c r="V20" s="262" t="s">
        <v>3621</v>
      </c>
      <c r="W20" s="262" t="s">
        <v>3621</v>
      </c>
      <c r="X20" s="262" t="s">
        <v>3621</v>
      </c>
      <c r="Y20" s="262" t="s">
        <v>3621</v>
      </c>
      <c r="Z20" s="262" t="s">
        <v>3621</v>
      </c>
      <c r="AA20" s="262" t="s">
        <v>3621</v>
      </c>
      <c r="AB20" s="262" t="s">
        <v>3621</v>
      </c>
      <c r="AC20" s="262" t="s">
        <v>3621</v>
      </c>
      <c r="AD20" s="262" t="s">
        <v>3621</v>
      </c>
      <c r="AE20" s="262" t="s">
        <v>3621</v>
      </c>
      <c r="AF20" s="50" t="s">
        <v>3621</v>
      </c>
      <c r="AG20" s="50" t="s">
        <v>3621</v>
      </c>
      <c r="AH20" s="50" t="s">
        <v>3621</v>
      </c>
      <c r="AI20" s="50" t="s">
        <v>3621</v>
      </c>
      <c r="AJ20" s="50" t="s">
        <v>3621</v>
      </c>
      <c r="AK20" s="50"/>
      <c r="AL20" s="50"/>
      <c r="AM20" s="50"/>
      <c r="AN20" s="50"/>
    </row>
    <row r="21" spans="2:40" x14ac:dyDescent="0.35">
      <c r="B21" s="50" t="s">
        <v>3604</v>
      </c>
      <c r="C21" s="50">
        <v>19</v>
      </c>
      <c r="D21" s="50" t="s">
        <v>4469</v>
      </c>
      <c r="E21" s="111">
        <v>45548</v>
      </c>
      <c r="F21" s="50">
        <v>1</v>
      </c>
      <c r="G21" s="225" cm="1">
        <f t="array" ref="G21">SUMPRODUCT(--(ISNUMBER((SEARCH(I27:AJ27,I21:AJ21)))))/COUNTA(I21:AJ21)</f>
        <v>0.7857142857142857</v>
      </c>
      <c r="H21" s="201">
        <v>0</v>
      </c>
      <c r="I21" s="50" t="s">
        <v>3655</v>
      </c>
      <c r="J21" s="50" t="s">
        <v>3655</v>
      </c>
      <c r="K21" s="50" t="s">
        <v>3655</v>
      </c>
      <c r="L21" s="50" t="s">
        <v>3655</v>
      </c>
      <c r="M21" s="50" t="s">
        <v>3655</v>
      </c>
      <c r="N21" s="50" t="s">
        <v>3655</v>
      </c>
      <c r="O21" s="50" t="s">
        <v>3655</v>
      </c>
      <c r="P21" s="113" t="s">
        <v>3655</v>
      </c>
      <c r="Q21" s="113" t="s">
        <v>3655</v>
      </c>
      <c r="R21" s="50" t="s">
        <v>3656</v>
      </c>
      <c r="S21" s="50" t="s">
        <v>3656</v>
      </c>
      <c r="T21" s="50" t="s">
        <v>3656</v>
      </c>
      <c r="U21" s="50" t="s">
        <v>3656</v>
      </c>
      <c r="V21" s="262" t="s">
        <v>3655</v>
      </c>
      <c r="W21" s="262" t="s">
        <v>3655</v>
      </c>
      <c r="X21" s="262" t="s">
        <v>3655</v>
      </c>
      <c r="Y21" s="262" t="s">
        <v>3655</v>
      </c>
      <c r="Z21" s="262" t="s">
        <v>3655</v>
      </c>
      <c r="AA21" s="262" t="s">
        <v>3655</v>
      </c>
      <c r="AB21" s="262" t="s">
        <v>3655</v>
      </c>
      <c r="AC21" s="262" t="s">
        <v>3655</v>
      </c>
      <c r="AD21" s="262" t="s">
        <v>3655</v>
      </c>
      <c r="AE21" s="262" t="s">
        <v>3655</v>
      </c>
      <c r="AF21" s="50" t="s">
        <v>3655</v>
      </c>
      <c r="AG21" s="50" t="s">
        <v>3655</v>
      </c>
      <c r="AH21" s="50" t="s">
        <v>3655</v>
      </c>
      <c r="AI21" s="50" t="s">
        <v>3655</v>
      </c>
      <c r="AJ21" s="50" t="s">
        <v>3657</v>
      </c>
      <c r="AK21" s="50"/>
      <c r="AL21" s="50"/>
      <c r="AM21" s="50"/>
      <c r="AN21" s="50"/>
    </row>
    <row r="22" spans="2:40" x14ac:dyDescent="0.35">
      <c r="B22" s="50" t="s">
        <v>3607</v>
      </c>
      <c r="C22" s="50">
        <v>20</v>
      </c>
      <c r="D22" s="50"/>
      <c r="E22" s="111"/>
      <c r="F22" s="50"/>
      <c r="G22" s="209" cm="1">
        <f t="array" ref="G22">SUM(IF(I2:AJ2 = I26:AJ26, 1, 0))/ COUNTA(I2:AJ2)</f>
        <v>0.6428571428571429</v>
      </c>
      <c r="H22" s="50"/>
      <c r="I22" s="50"/>
      <c r="J22" s="50"/>
      <c r="K22" s="50"/>
      <c r="L22" s="50"/>
      <c r="M22" s="50"/>
      <c r="N22" s="50"/>
      <c r="O22" s="50"/>
      <c r="P22" s="50"/>
      <c r="Q22" s="50"/>
      <c r="R22" s="50"/>
      <c r="S22" s="50"/>
      <c r="T22" s="50"/>
      <c r="U22" s="50"/>
      <c r="V22" s="262"/>
      <c r="W22" s="262"/>
      <c r="X22" s="262"/>
      <c r="Y22" s="262"/>
      <c r="Z22" s="262"/>
      <c r="AA22" s="262"/>
      <c r="AB22" s="262"/>
      <c r="AC22" s="262"/>
      <c r="AD22" s="262"/>
      <c r="AE22" s="262"/>
      <c r="AF22" s="50"/>
      <c r="AG22" s="50"/>
      <c r="AH22" s="50"/>
      <c r="AI22" s="50"/>
      <c r="AJ22" s="50"/>
      <c r="AK22" s="50"/>
      <c r="AL22" s="50"/>
      <c r="AM22" s="50"/>
      <c r="AN22" s="50"/>
    </row>
    <row r="23" spans="2:40" x14ac:dyDescent="0.35">
      <c r="B23" s="50" t="s">
        <v>3610</v>
      </c>
      <c r="C23" s="50">
        <v>21</v>
      </c>
      <c r="D23" s="50"/>
      <c r="E23" s="111"/>
      <c r="F23" s="50"/>
      <c r="G23" s="209" cm="1">
        <f t="array" ref="G23">SUM(IF(IF(G3:G22="null",1,G3:G22)=1,1,0))/COUNT(IF(G3:G22="null",1,1))</f>
        <v>0.8</v>
      </c>
      <c r="H23" s="50"/>
      <c r="I23" s="50"/>
      <c r="J23" s="50"/>
      <c r="K23" s="50"/>
      <c r="L23" s="50"/>
      <c r="M23" s="50"/>
      <c r="N23" s="50"/>
      <c r="O23" s="50"/>
      <c r="P23" s="50"/>
      <c r="Q23" s="50"/>
      <c r="R23" s="50"/>
      <c r="S23" s="50"/>
      <c r="T23" s="50"/>
      <c r="U23" s="50"/>
      <c r="V23" s="262"/>
      <c r="W23" s="262"/>
      <c r="X23" s="262"/>
      <c r="Y23" s="262"/>
      <c r="Z23" s="262"/>
      <c r="AA23" s="262"/>
      <c r="AB23" s="262"/>
      <c r="AC23" s="262"/>
      <c r="AD23" s="262"/>
      <c r="AE23" s="262"/>
      <c r="AF23" s="50"/>
      <c r="AG23" s="50"/>
      <c r="AH23" s="50"/>
      <c r="AI23" s="50"/>
      <c r="AJ23" s="50"/>
      <c r="AK23" s="50"/>
      <c r="AL23" s="50"/>
      <c r="AM23" s="50"/>
      <c r="AN23" s="50"/>
    </row>
    <row r="25" spans="2:40" x14ac:dyDescent="0.35">
      <c r="B25" s="146" t="s">
        <v>3727</v>
      </c>
    </row>
    <row r="26" spans="2:40" x14ac:dyDescent="0.35">
      <c r="B26" s="144" t="s">
        <v>3613</v>
      </c>
      <c r="C26" s="145" t="s">
        <v>3614</v>
      </c>
      <c r="D26" s="145" t="s">
        <v>3615</v>
      </c>
      <c r="E26" s="145" t="s">
        <v>3616</v>
      </c>
      <c r="F26" s="145" t="s">
        <v>3617</v>
      </c>
      <c r="G26" s="145" t="s">
        <v>3618</v>
      </c>
      <c r="H26" s="145" t="s">
        <v>3619</v>
      </c>
      <c r="I26" s="145" t="str" cm="1">
        <f t="array" ref="I26:AJ26">TRANSPOSE(_xlfn.SORTBY(_xlfn._xlws.FILTER(Table3[NOME FÍSICO CAMPO],Table3[NOME FÍSICO TABELA]="nostrovostro_account"), _xlfn._xlws.FILTER(Table3[ORDEM], Table3[NOME FÍSICO TABELA]="nostrovostro_account"), 1))</f>
        <v>bank_id</v>
      </c>
      <c r="J26" s="145" t="str">
        <v>contract_id</v>
      </c>
      <c r="K26" s="145" t="str">
        <v>product_family_id</v>
      </c>
      <c r="L26" s="145" t="str">
        <v>product_id</v>
      </c>
      <c r="M26" s="145" t="str">
        <v>subproduct_id</v>
      </c>
      <c r="N26" s="145" t="str">
        <v>opening_date</v>
      </c>
      <c r="O26" s="145" t="str">
        <v>current_maturity_date</v>
      </c>
      <c r="P26" s="145" t="str">
        <v>currency_code</v>
      </c>
      <c r="Q26" s="145" t="str">
        <v>litigation_indicator</v>
      </c>
      <c r="R26" s="145" t="str">
        <v>current_ledger_balance</v>
      </c>
      <c r="S26" s="145" t="str">
        <v>current_reserved_balance</v>
      </c>
      <c r="T26" s="145" t="str">
        <v>current_available_balance</v>
      </c>
      <c r="U26" s="145" t="str">
        <v>cur_debt_litigation_princip_bal</v>
      </c>
      <c r="V26" s="145" t="str">
        <v>initial_rate_type_code</v>
      </c>
      <c r="W26" s="145" t="str">
        <v>initial_indexing</v>
      </c>
      <c r="X26" s="145" t="str">
        <v>initial_index_rate</v>
      </c>
      <c r="Y26" s="145" t="str">
        <v>initial_spread</v>
      </c>
      <c r="Z26" s="145" t="str">
        <v>initial_interest_rate</v>
      </c>
      <c r="AA26" s="145" t="str">
        <v>current_rate_type_code</v>
      </c>
      <c r="AB26" s="145" t="str">
        <v>current_indexing</v>
      </c>
      <c r="AC26" s="145" t="str">
        <v>current_index_rate</v>
      </c>
      <c r="AD26" s="145" t="str">
        <v>current_spread</v>
      </c>
      <c r="AE26" s="145" t="str">
        <v>current_interest_rate</v>
      </c>
      <c r="AF26" s="145" t="str">
        <v>contract_status_code</v>
      </c>
      <c r="AG26" s="145" t="str">
        <v>contract_opening_channel_code</v>
      </c>
      <c r="AH26" s="145" t="str">
        <v>source_code</v>
      </c>
      <c r="AI26" s="145" t="str">
        <v>data_date_part</v>
      </c>
      <c r="AJ26" s="310" t="str">
        <v>data_timestamp_part</v>
      </c>
      <c r="AK26" s="233"/>
      <c r="AL26" s="233"/>
      <c r="AM26" s="233"/>
      <c r="AN26" s="233"/>
    </row>
    <row r="27" spans="2:40" x14ac:dyDescent="0.35">
      <c r="B27" s="123" t="s">
        <v>3658</v>
      </c>
      <c r="C27" s="109">
        <v>21</v>
      </c>
      <c r="D27" s="108" t="s">
        <v>3659</v>
      </c>
      <c r="E27" t="s">
        <v>3660</v>
      </c>
      <c r="F27" t="s">
        <v>372</v>
      </c>
      <c r="G27" t="s">
        <v>372</v>
      </c>
      <c r="H27" t="s">
        <v>372</v>
      </c>
      <c r="I27" t="str" cm="1">
        <f t="array" ref="I27:AJ28">TRANSPOSE(_xlfn.SORTBY(_xlfn._xlws.FILTER(IF(Table3[FORMATO]:Table3[COMP_ CAMPO]&lt;&gt;"",Table3[FORMATO]:Table3[COMP_ CAMPO],9999999),Table3[NOME FÍSICO TABELA]="nostrovostro_account"), _xlfn._xlws.FILTER(Table3[ORDEM], Table3[NOME FÍSICO TABELA]="nostrovostro_account"), 1))</f>
        <v>STRING</v>
      </c>
      <c r="J27" t="str">
        <v>STRING</v>
      </c>
      <c r="K27" t="str">
        <v>STRING</v>
      </c>
      <c r="L27" t="str">
        <v>STRING</v>
      </c>
      <c r="M27" t="str">
        <v>STRING</v>
      </c>
      <c r="N27" t="str">
        <v>STRING</v>
      </c>
      <c r="O27" t="str">
        <v>STRING</v>
      </c>
      <c r="P27" t="str">
        <v>STRING</v>
      </c>
      <c r="Q27" t="str">
        <v>STRING</v>
      </c>
      <c r="R27" t="str">
        <v>DECIMAL</v>
      </c>
      <c r="S27" t="str">
        <v>DECIMAL</v>
      </c>
      <c r="T27" t="str">
        <v>DECIMAL</v>
      </c>
      <c r="U27" t="str">
        <v>DECIMAL</v>
      </c>
      <c r="V27" t="str">
        <v>STRING</v>
      </c>
      <c r="W27" t="str">
        <v>STRING</v>
      </c>
      <c r="X27" t="str">
        <v>DECIMAL</v>
      </c>
      <c r="Y27" t="str">
        <v>DECIMAL</v>
      </c>
      <c r="Z27" t="str">
        <v>DECIMAL</v>
      </c>
      <c r="AA27" t="str">
        <v>STRING</v>
      </c>
      <c r="AB27" t="str">
        <v>STRING</v>
      </c>
      <c r="AC27" t="str">
        <v>DECIMAL</v>
      </c>
      <c r="AD27" t="str">
        <v>DECIMAL</v>
      </c>
      <c r="AE27" t="str">
        <v>DECIMAL</v>
      </c>
      <c r="AF27" t="str">
        <v>STRING</v>
      </c>
      <c r="AG27" t="str">
        <v>STRING</v>
      </c>
      <c r="AH27" t="str">
        <v>STRING</v>
      </c>
      <c r="AI27" t="str">
        <v>STRING</v>
      </c>
      <c r="AJ27" s="311" t="str">
        <v>TIMESTAMP</v>
      </c>
    </row>
    <row r="28" spans="2:40" x14ac:dyDescent="0.35">
      <c r="B28" s="123" t="s">
        <v>3661</v>
      </c>
      <c r="C28" s="167">
        <v>7</v>
      </c>
      <c r="D28" s="122" t="s">
        <v>3659</v>
      </c>
      <c r="E28" s="121" t="s">
        <v>3660</v>
      </c>
      <c r="F28" s="121" t="s">
        <v>372</v>
      </c>
      <c r="G28" s="121" t="s">
        <v>372</v>
      </c>
      <c r="H28" s="121" t="s">
        <v>372</v>
      </c>
      <c r="I28" s="167">
        <v>4</v>
      </c>
      <c r="J28" s="167">
        <v>30</v>
      </c>
      <c r="K28" s="167">
        <v>4</v>
      </c>
      <c r="L28" s="167">
        <v>4</v>
      </c>
      <c r="M28" s="167">
        <v>4</v>
      </c>
      <c r="N28" s="167">
        <v>10</v>
      </c>
      <c r="O28" s="167">
        <v>10</v>
      </c>
      <c r="P28" s="167">
        <v>4</v>
      </c>
      <c r="Q28" s="167">
        <v>4</v>
      </c>
      <c r="R28" s="167">
        <v>23</v>
      </c>
      <c r="S28" s="167">
        <v>23</v>
      </c>
      <c r="T28" s="167">
        <v>23</v>
      </c>
      <c r="U28" s="167">
        <v>23</v>
      </c>
      <c r="V28" s="167">
        <v>4</v>
      </c>
      <c r="W28" s="167">
        <v>4</v>
      </c>
      <c r="X28" s="167">
        <v>23</v>
      </c>
      <c r="Y28" s="167">
        <v>23</v>
      </c>
      <c r="Z28" s="167">
        <v>23</v>
      </c>
      <c r="AA28" s="167">
        <v>4</v>
      </c>
      <c r="AB28" s="167">
        <v>4</v>
      </c>
      <c r="AC28" s="167">
        <v>23</v>
      </c>
      <c r="AD28" s="167">
        <v>23</v>
      </c>
      <c r="AE28" s="167">
        <v>23</v>
      </c>
      <c r="AF28" s="167">
        <v>4</v>
      </c>
      <c r="AG28" s="167">
        <v>4</v>
      </c>
      <c r="AH28" s="167">
        <v>2</v>
      </c>
      <c r="AI28" s="167">
        <v>10</v>
      </c>
      <c r="AJ28" s="168">
        <v>23</v>
      </c>
      <c r="AK28" s="109"/>
      <c r="AL28" s="109"/>
      <c r="AM28" s="109"/>
      <c r="AN28" s="109"/>
    </row>
    <row r="30" spans="2:40" x14ac:dyDescent="0.35">
      <c r="B30" s="156" t="s">
        <v>3662</v>
      </c>
    </row>
    <row r="31" spans="2:40" x14ac:dyDescent="0.35">
      <c r="B31" s="150" t="s">
        <v>3663</v>
      </c>
      <c r="C31" s="150" t="s">
        <v>3664</v>
      </c>
      <c r="D31" s="151" t="s">
        <v>3665</v>
      </c>
      <c r="E31" s="150" t="s">
        <v>3666</v>
      </c>
      <c r="F31" s="150" t="s">
        <v>3667</v>
      </c>
    </row>
    <row r="32" spans="2:40" ht="43.5" x14ac:dyDescent="0.35">
      <c r="B32" s="127" t="s">
        <v>3678</v>
      </c>
      <c r="C32" s="131" t="s">
        <v>4443</v>
      </c>
      <c r="D32" s="53" t="s">
        <v>4470</v>
      </c>
      <c r="E32" s="169" t="s">
        <v>4471</v>
      </c>
      <c r="F32" s="152" t="s">
        <v>4472</v>
      </c>
    </row>
    <row r="33" spans="2:6" ht="43.5" x14ac:dyDescent="0.35">
      <c r="B33" s="153" t="s">
        <v>3771</v>
      </c>
      <c r="C33" s="154" t="s">
        <v>4123</v>
      </c>
      <c r="D33" s="155" t="s">
        <v>3772</v>
      </c>
      <c r="E33" s="113" t="s">
        <v>4473</v>
      </c>
      <c r="F33" s="205" t="s">
        <v>3674</v>
      </c>
    </row>
    <row r="34" spans="2:6" ht="43.5" x14ac:dyDescent="0.35">
      <c r="B34" s="153" t="s">
        <v>3771</v>
      </c>
      <c r="C34" s="154" t="s">
        <v>1977</v>
      </c>
      <c r="D34" s="155" t="s">
        <v>3772</v>
      </c>
      <c r="E34" s="113" t="s">
        <v>4473</v>
      </c>
      <c r="F34" s="205" t="s">
        <v>3674</v>
      </c>
    </row>
    <row r="35" spans="2:6" ht="43.5" x14ac:dyDescent="0.35">
      <c r="B35" s="153" t="s">
        <v>3771</v>
      </c>
      <c r="C35" s="154" t="s">
        <v>1988</v>
      </c>
      <c r="D35" s="155" t="s">
        <v>3772</v>
      </c>
      <c r="E35" s="113" t="s">
        <v>4473</v>
      </c>
      <c r="F35" s="205" t="s">
        <v>3674</v>
      </c>
    </row>
    <row r="36" spans="2:6" ht="43.5" x14ac:dyDescent="0.35">
      <c r="B36" s="153" t="s">
        <v>3771</v>
      </c>
      <c r="C36" s="154" t="s">
        <v>1515</v>
      </c>
      <c r="D36" s="155" t="s">
        <v>3772</v>
      </c>
      <c r="E36" s="113" t="s">
        <v>4473</v>
      </c>
      <c r="F36" s="205" t="s">
        <v>3674</v>
      </c>
    </row>
    <row r="37" spans="2:6" ht="43.5" x14ac:dyDescent="0.35">
      <c r="B37" s="153" t="s">
        <v>3771</v>
      </c>
      <c r="C37" s="154" t="s">
        <v>1522</v>
      </c>
      <c r="D37" s="155" t="s">
        <v>3772</v>
      </c>
      <c r="E37" s="113" t="s">
        <v>4473</v>
      </c>
      <c r="F37" s="205" t="s">
        <v>3674</v>
      </c>
    </row>
    <row r="38" spans="2:6" ht="43.5" x14ac:dyDescent="0.35">
      <c r="B38" s="153" t="s">
        <v>3771</v>
      </c>
      <c r="C38" s="154" t="s">
        <v>756</v>
      </c>
      <c r="D38" s="155" t="s">
        <v>3772</v>
      </c>
      <c r="E38" s="113" t="s">
        <v>4473</v>
      </c>
      <c r="F38" s="205" t="s">
        <v>3674</v>
      </c>
    </row>
    <row r="39" spans="2:6" ht="43.5" x14ac:dyDescent="0.35">
      <c r="B39" s="153" t="s">
        <v>3771</v>
      </c>
      <c r="C39" s="154" t="s">
        <v>766</v>
      </c>
      <c r="D39" s="155" t="s">
        <v>3772</v>
      </c>
      <c r="E39" s="113" t="s">
        <v>4473</v>
      </c>
      <c r="F39" s="205" t="s">
        <v>3674</v>
      </c>
    </row>
    <row r="40" spans="2:6" ht="43.5" x14ac:dyDescent="0.35">
      <c r="B40" s="153" t="s">
        <v>3771</v>
      </c>
      <c r="C40" s="154" t="s">
        <v>785</v>
      </c>
      <c r="D40" s="155" t="s">
        <v>3772</v>
      </c>
      <c r="E40" s="113" t="s">
        <v>4473</v>
      </c>
      <c r="F40" s="205" t="s">
        <v>3674</v>
      </c>
    </row>
    <row r="41" spans="2:6" ht="43.5" x14ac:dyDescent="0.35">
      <c r="B41" s="153" t="s">
        <v>3781</v>
      </c>
      <c r="C41" s="154" t="s">
        <v>1988</v>
      </c>
      <c r="D41" s="155" t="s">
        <v>3782</v>
      </c>
      <c r="E41" s="113" t="s">
        <v>4473</v>
      </c>
      <c r="F41" s="205" t="s">
        <v>3674</v>
      </c>
    </row>
    <row r="42" spans="2:6" ht="43.5" x14ac:dyDescent="0.35">
      <c r="B42" s="153" t="s">
        <v>3781</v>
      </c>
      <c r="C42" s="154" t="s">
        <v>1998</v>
      </c>
      <c r="D42" s="155" t="s">
        <v>3782</v>
      </c>
      <c r="E42" s="113" t="s">
        <v>4473</v>
      </c>
      <c r="F42" s="205" t="s">
        <v>3674</v>
      </c>
    </row>
    <row r="43" spans="2:6" ht="43.5" x14ac:dyDescent="0.35">
      <c r="B43" s="153" t="s">
        <v>3781</v>
      </c>
      <c r="C43" s="154" t="s">
        <v>1515</v>
      </c>
      <c r="D43" s="155" t="s">
        <v>3782</v>
      </c>
      <c r="E43" s="113" t="s">
        <v>4473</v>
      </c>
      <c r="F43" s="205" t="s">
        <v>3674</v>
      </c>
    </row>
    <row r="44" spans="2:6" ht="43.5" x14ac:dyDescent="0.35">
      <c r="B44" s="127" t="s">
        <v>3781</v>
      </c>
      <c r="C44" s="154" t="s">
        <v>766</v>
      </c>
      <c r="D44" s="53" t="s">
        <v>3782</v>
      </c>
      <c r="E44" s="113" t="s">
        <v>4473</v>
      </c>
      <c r="F44" s="205" t="s">
        <v>3674</v>
      </c>
    </row>
    <row r="45" spans="2:6" ht="43.5" x14ac:dyDescent="0.35">
      <c r="B45" s="127" t="s">
        <v>3781</v>
      </c>
      <c r="C45" s="131" t="s">
        <v>776</v>
      </c>
      <c r="D45" s="53" t="s">
        <v>3782</v>
      </c>
      <c r="E45" s="113" t="s">
        <v>4473</v>
      </c>
      <c r="F45" s="205" t="s">
        <v>3674</v>
      </c>
    </row>
    <row r="46" spans="2:6" ht="43.5" x14ac:dyDescent="0.35">
      <c r="B46" s="153" t="s">
        <v>3781</v>
      </c>
      <c r="C46" s="154" t="s">
        <v>785</v>
      </c>
      <c r="D46" s="155" t="s">
        <v>3782</v>
      </c>
      <c r="E46" s="113" t="s">
        <v>4473</v>
      </c>
      <c r="F46" s="205" t="s">
        <v>3674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B1:AN46"/>
  <sheetViews>
    <sheetView showGridLines="0" workbookViewId="0">
      <selection activeCell="G21" sqref="G21"/>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11.4531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1.26953125" customWidth="1"/>
    <col min="19" max="19" width="26.81640625" bestFit="1" customWidth="1"/>
    <col min="20" max="20" width="37.7265625" customWidth="1"/>
    <col min="21" max="21" width="43.26953125" customWidth="1"/>
    <col min="22" max="23" width="30.7265625" bestFit="1" customWidth="1"/>
    <col min="24" max="24" width="40.1796875" customWidth="1"/>
    <col min="25" max="25" width="36.26953125" customWidth="1"/>
    <col min="26" max="26" width="42.1796875" customWidth="1"/>
    <col min="27" max="27" width="30.7265625" bestFit="1" customWidth="1"/>
    <col min="28" max="28" width="34.81640625" customWidth="1"/>
    <col min="29" max="29" width="26.81640625" bestFit="1" customWidth="1"/>
    <col min="30" max="30" width="30.7265625" bestFit="1" customWidth="1"/>
    <col min="31" max="31" width="25.1796875" bestFit="1" customWidth="1"/>
    <col min="32" max="32" width="45.7265625" bestFit="1" customWidth="1"/>
    <col min="33" max="33" width="31.26953125" bestFit="1" customWidth="1"/>
    <col min="34" max="34" width="33.453125" bestFit="1" customWidth="1"/>
    <col min="35" max="35" width="29.7265625" bestFit="1" customWidth="1"/>
    <col min="36" max="36" width="32.26953125" customWidth="1"/>
    <col min="37" max="37" width="41.1796875" customWidth="1"/>
    <col min="38" max="38" width="21.54296875" customWidth="1"/>
    <col min="39" max="39" width="27.7265625" customWidth="1"/>
    <col min="40" max="40" width="46.453125" customWidth="1"/>
  </cols>
  <sheetData>
    <row r="1" spans="2:40" ht="27.75" customHeight="1" x14ac:dyDescent="0.35"/>
    <row r="2" spans="2:40" x14ac:dyDescent="0.35">
      <c r="B2" s="91" t="s">
        <v>3738</v>
      </c>
      <c r="C2" s="91" t="s">
        <v>3614</v>
      </c>
      <c r="D2" s="91" t="s">
        <v>3615</v>
      </c>
      <c r="E2" s="91" t="s">
        <v>3616</v>
      </c>
      <c r="F2" s="91" t="s">
        <v>3617</v>
      </c>
      <c r="G2" s="91" t="s">
        <v>3618</v>
      </c>
      <c r="H2" s="91" t="s">
        <v>3619</v>
      </c>
      <c r="I2" s="91" t="s">
        <v>121</v>
      </c>
      <c r="J2" s="91" t="s">
        <v>137</v>
      </c>
      <c r="K2" s="91" t="s">
        <v>149</v>
      </c>
      <c r="L2" s="91" t="s">
        <v>156</v>
      </c>
      <c r="M2" s="91" t="s">
        <v>168</v>
      </c>
      <c r="N2" s="91" t="s">
        <v>199</v>
      </c>
      <c r="O2" s="91" t="s">
        <v>211</v>
      </c>
      <c r="P2" s="91" t="s">
        <v>223</v>
      </c>
      <c r="Q2" s="91" t="s">
        <v>239</v>
      </c>
      <c r="R2" s="91" t="s">
        <v>1605</v>
      </c>
      <c r="S2" s="91" t="s">
        <v>1611</v>
      </c>
      <c r="T2" s="91" t="s">
        <v>1618</v>
      </c>
      <c r="U2" s="91" t="s">
        <v>283</v>
      </c>
      <c r="V2" s="91" t="s">
        <v>4123</v>
      </c>
      <c r="W2" s="91" t="s">
        <v>1977</v>
      </c>
      <c r="X2" s="91" t="s">
        <v>1988</v>
      </c>
      <c r="Y2" s="91" t="s">
        <v>1998</v>
      </c>
      <c r="Z2" s="91" t="s">
        <v>1515</v>
      </c>
      <c r="AA2" s="91" t="s">
        <v>1522</v>
      </c>
      <c r="AB2" s="91" t="s">
        <v>756</v>
      </c>
      <c r="AC2" s="91" t="s">
        <v>766</v>
      </c>
      <c r="AD2" s="91" t="s">
        <v>776</v>
      </c>
      <c r="AE2" s="91" t="s">
        <v>785</v>
      </c>
      <c r="AF2" s="91" t="s">
        <v>294</v>
      </c>
      <c r="AG2" s="91" t="s">
        <v>305</v>
      </c>
      <c r="AH2" s="91" t="s">
        <v>318</v>
      </c>
      <c r="AI2" s="91" t="s">
        <v>327</v>
      </c>
      <c r="AJ2" s="91" t="s">
        <v>334</v>
      </c>
      <c r="AK2" s="91"/>
      <c r="AL2" s="91"/>
      <c r="AM2" s="91"/>
      <c r="AN2" s="91"/>
    </row>
    <row r="3" spans="2:40" x14ac:dyDescent="0.35">
      <c r="B3" s="50" t="s">
        <v>3567</v>
      </c>
      <c r="C3" s="50">
        <v>1</v>
      </c>
      <c r="D3" s="50" t="s">
        <v>4474</v>
      </c>
      <c r="E3" s="111">
        <v>45538</v>
      </c>
      <c r="F3" s="50">
        <v>1</v>
      </c>
      <c r="G3" s="279" t="s">
        <v>4347</v>
      </c>
      <c r="H3" s="198" t="s">
        <v>4475</v>
      </c>
      <c r="I3" s="50" t="s">
        <v>3621</v>
      </c>
      <c r="J3" s="50" t="s">
        <v>3621</v>
      </c>
      <c r="K3" s="50" t="s">
        <v>3621</v>
      </c>
      <c r="L3" s="50" t="s">
        <v>3621</v>
      </c>
      <c r="M3" s="50" t="s">
        <v>3621</v>
      </c>
      <c r="N3" s="50" t="s">
        <v>3621</v>
      </c>
      <c r="O3" s="50" t="s">
        <v>3621</v>
      </c>
      <c r="P3" s="50" t="s">
        <v>3621</v>
      </c>
      <c r="Q3" s="50" t="s">
        <v>3621</v>
      </c>
      <c r="R3" s="50" t="s">
        <v>3621</v>
      </c>
      <c r="S3" s="50" t="s">
        <v>3621</v>
      </c>
      <c r="T3" s="50" t="s">
        <v>3621</v>
      </c>
      <c r="U3" s="50" t="s">
        <v>3621</v>
      </c>
      <c r="V3" s="262" t="s">
        <v>3621</v>
      </c>
      <c r="W3" s="262" t="s">
        <v>3621</v>
      </c>
      <c r="X3" s="262" t="s">
        <v>3621</v>
      </c>
      <c r="Y3" s="262" t="s">
        <v>3621</v>
      </c>
      <c r="Z3" s="262" t="s">
        <v>3621</v>
      </c>
      <c r="AA3" s="262" t="s">
        <v>3621</v>
      </c>
      <c r="AB3" s="262" t="s">
        <v>3621</v>
      </c>
      <c r="AC3" s="262" t="s">
        <v>3621</v>
      </c>
      <c r="AD3" s="262" t="s">
        <v>3621</v>
      </c>
      <c r="AE3" s="262" t="s">
        <v>3621</v>
      </c>
      <c r="AF3" s="50" t="s">
        <v>3621</v>
      </c>
      <c r="AG3" s="50" t="s">
        <v>3621</v>
      </c>
      <c r="AH3" s="50" t="s">
        <v>3621</v>
      </c>
      <c r="AI3" s="50" t="s">
        <v>3621</v>
      </c>
      <c r="AJ3" s="50" t="s">
        <v>3621</v>
      </c>
      <c r="AK3" s="50"/>
      <c r="AL3" s="50"/>
      <c r="AM3" s="50"/>
      <c r="AN3" s="50"/>
    </row>
    <row r="4" spans="2:40" x14ac:dyDescent="0.35">
      <c r="B4" s="50" t="s">
        <v>3569</v>
      </c>
      <c r="C4" s="50">
        <v>2</v>
      </c>
      <c r="D4" s="50" t="s">
        <v>4476</v>
      </c>
      <c r="E4" s="111">
        <v>45538</v>
      </c>
      <c r="F4" s="50">
        <v>1</v>
      </c>
      <c r="G4" s="279" t="s">
        <v>4347</v>
      </c>
      <c r="H4" s="114" t="s">
        <v>3630</v>
      </c>
      <c r="I4" s="50" t="s">
        <v>3621</v>
      </c>
      <c r="J4" s="50" t="s">
        <v>3621</v>
      </c>
      <c r="K4" s="50" t="s">
        <v>3621</v>
      </c>
      <c r="L4" s="50" t="s">
        <v>3621</v>
      </c>
      <c r="M4" s="50" t="s">
        <v>3621</v>
      </c>
      <c r="N4" s="50" t="s">
        <v>3621</v>
      </c>
      <c r="O4" s="50" t="s">
        <v>3621</v>
      </c>
      <c r="P4" s="50" t="s">
        <v>3621</v>
      </c>
      <c r="Q4" s="50" t="s">
        <v>3621</v>
      </c>
      <c r="R4" s="50" t="s">
        <v>3621</v>
      </c>
      <c r="S4" s="50" t="s">
        <v>3621</v>
      </c>
      <c r="T4" s="50" t="s">
        <v>3621</v>
      </c>
      <c r="U4" s="50" t="s">
        <v>3621</v>
      </c>
      <c r="V4" s="262" t="s">
        <v>3621</v>
      </c>
      <c r="W4" s="262" t="s">
        <v>3621</v>
      </c>
      <c r="X4" s="262" t="s">
        <v>3621</v>
      </c>
      <c r="Y4" s="262" t="s">
        <v>3621</v>
      </c>
      <c r="Z4" s="262" t="s">
        <v>3621</v>
      </c>
      <c r="AA4" s="262" t="s">
        <v>3621</v>
      </c>
      <c r="AB4" s="262" t="s">
        <v>3621</v>
      </c>
      <c r="AC4" s="262" t="s">
        <v>3621</v>
      </c>
      <c r="AD4" s="262" t="s">
        <v>3621</v>
      </c>
      <c r="AE4" s="262" t="s">
        <v>3621</v>
      </c>
      <c r="AF4" s="50" t="s">
        <v>3621</v>
      </c>
      <c r="AG4" s="50" t="s">
        <v>3621</v>
      </c>
      <c r="AH4" s="50" t="s">
        <v>3621</v>
      </c>
      <c r="AI4" s="50" t="s">
        <v>3621</v>
      </c>
      <c r="AJ4" s="50" t="s">
        <v>3621</v>
      </c>
      <c r="AK4" s="50"/>
      <c r="AL4" s="50"/>
      <c r="AM4" s="50"/>
      <c r="AN4" s="50"/>
    </row>
    <row r="5" spans="2:40" x14ac:dyDescent="0.35">
      <c r="B5" s="50" t="s">
        <v>3571</v>
      </c>
      <c r="C5" s="50">
        <v>3</v>
      </c>
      <c r="D5" s="50" t="s">
        <v>4477</v>
      </c>
      <c r="E5" s="111">
        <v>45538</v>
      </c>
      <c r="F5" s="50">
        <v>1</v>
      </c>
      <c r="G5" s="279" t="s">
        <v>4347</v>
      </c>
      <c r="H5" s="50" t="s">
        <v>3630</v>
      </c>
      <c r="I5" s="50">
        <v>0</v>
      </c>
      <c r="J5" s="50">
        <v>0</v>
      </c>
      <c r="K5" s="50" t="s">
        <v>3621</v>
      </c>
      <c r="L5" s="50" t="s">
        <v>3621</v>
      </c>
      <c r="M5" s="50" t="s">
        <v>3621</v>
      </c>
      <c r="N5" s="50" t="s">
        <v>3621</v>
      </c>
      <c r="O5" s="50" t="s">
        <v>3621</v>
      </c>
      <c r="P5" s="50" t="s">
        <v>3621</v>
      </c>
      <c r="Q5" s="50" t="s">
        <v>3621</v>
      </c>
      <c r="R5" s="50" t="s">
        <v>3621</v>
      </c>
      <c r="S5" s="50" t="s">
        <v>3621</v>
      </c>
      <c r="T5" s="50" t="s">
        <v>3621</v>
      </c>
      <c r="U5" s="50" t="s">
        <v>3621</v>
      </c>
      <c r="V5" s="262" t="s">
        <v>3621</v>
      </c>
      <c r="W5" s="262" t="s">
        <v>3621</v>
      </c>
      <c r="X5" s="262" t="s">
        <v>3621</v>
      </c>
      <c r="Y5" s="262" t="s">
        <v>3621</v>
      </c>
      <c r="Z5" s="262" t="s">
        <v>3621</v>
      </c>
      <c r="AA5" s="262" t="s">
        <v>3621</v>
      </c>
      <c r="AB5" s="262" t="s">
        <v>3621</v>
      </c>
      <c r="AC5" s="262" t="s">
        <v>3621</v>
      </c>
      <c r="AD5" s="262" t="s">
        <v>3621</v>
      </c>
      <c r="AE5" s="262" t="s">
        <v>3621</v>
      </c>
      <c r="AF5" s="50" t="s">
        <v>3621</v>
      </c>
      <c r="AG5" s="50" t="s">
        <v>3621</v>
      </c>
      <c r="AH5" s="50" t="s">
        <v>3621</v>
      </c>
      <c r="AI5" s="50">
        <v>0</v>
      </c>
      <c r="AJ5" s="50" t="s">
        <v>3621</v>
      </c>
      <c r="AK5" s="50"/>
      <c r="AL5" s="50"/>
      <c r="AM5" s="50"/>
      <c r="AN5" s="50"/>
    </row>
    <row r="6" spans="2:40" x14ac:dyDescent="0.35">
      <c r="B6" s="113" t="s">
        <v>3573</v>
      </c>
      <c r="C6" s="50">
        <v>4</v>
      </c>
      <c r="D6" s="50" t="s">
        <v>3624</v>
      </c>
      <c r="E6" s="111" t="s">
        <v>3621</v>
      </c>
      <c r="F6" s="50">
        <v>1</v>
      </c>
      <c r="G6" s="111" t="s">
        <v>3621</v>
      </c>
      <c r="H6" s="50" t="s">
        <v>3621</v>
      </c>
      <c r="I6" s="50" t="s">
        <v>3621</v>
      </c>
      <c r="J6" s="50" t="s">
        <v>3621</v>
      </c>
      <c r="K6" s="50" t="s">
        <v>3621</v>
      </c>
      <c r="L6" s="50" t="s">
        <v>3621</v>
      </c>
      <c r="M6" s="50" t="s">
        <v>3621</v>
      </c>
      <c r="N6" s="50" t="s">
        <v>3621</v>
      </c>
      <c r="O6" s="50" t="s">
        <v>3621</v>
      </c>
      <c r="P6" s="50" t="s">
        <v>3621</v>
      </c>
      <c r="Q6" s="50" t="s">
        <v>3621</v>
      </c>
      <c r="R6" s="50" t="s">
        <v>3621</v>
      </c>
      <c r="S6" s="50" t="s">
        <v>3621</v>
      </c>
      <c r="T6" s="50" t="s">
        <v>3621</v>
      </c>
      <c r="U6" s="50" t="s">
        <v>3621</v>
      </c>
      <c r="V6" s="262" t="s">
        <v>3621</v>
      </c>
      <c r="W6" s="262" t="s">
        <v>3621</v>
      </c>
      <c r="X6" s="262" t="s">
        <v>3621</v>
      </c>
      <c r="Y6" s="262" t="s">
        <v>3621</v>
      </c>
      <c r="Z6" s="262" t="s">
        <v>3621</v>
      </c>
      <c r="AA6" s="262" t="s">
        <v>3621</v>
      </c>
      <c r="AB6" s="262" t="s">
        <v>3621</v>
      </c>
      <c r="AC6" s="262" t="s">
        <v>3621</v>
      </c>
      <c r="AD6" s="262" t="s">
        <v>3621</v>
      </c>
      <c r="AE6" s="262" t="s">
        <v>3621</v>
      </c>
      <c r="AF6" s="50" t="s">
        <v>3621</v>
      </c>
      <c r="AG6" s="50" t="s">
        <v>3621</v>
      </c>
      <c r="AH6" s="50" t="s">
        <v>3621</v>
      </c>
      <c r="AI6" s="50" t="s">
        <v>3621</v>
      </c>
      <c r="AJ6" s="50" t="s">
        <v>3621</v>
      </c>
      <c r="AK6" s="50"/>
      <c r="AL6" s="50"/>
      <c r="AM6" s="50"/>
      <c r="AN6" s="50"/>
    </row>
    <row r="7" spans="2:40" x14ac:dyDescent="0.35">
      <c r="B7" s="50" t="s">
        <v>3575</v>
      </c>
      <c r="C7" s="50">
        <v>5</v>
      </c>
      <c r="D7" s="50" t="s">
        <v>3624</v>
      </c>
      <c r="E7" s="111" t="s">
        <v>3621</v>
      </c>
      <c r="F7" s="50">
        <v>1</v>
      </c>
      <c r="G7" s="111" t="s">
        <v>3621</v>
      </c>
      <c r="H7" s="50" t="s">
        <v>3621</v>
      </c>
      <c r="I7" s="50" t="s">
        <v>3621</v>
      </c>
      <c r="J7" s="50" t="s">
        <v>3621</v>
      </c>
      <c r="K7" s="50" t="s">
        <v>3621</v>
      </c>
      <c r="L7" s="50" t="s">
        <v>3621</v>
      </c>
      <c r="M7" s="50" t="s">
        <v>3621</v>
      </c>
      <c r="N7" s="50" t="s">
        <v>3621</v>
      </c>
      <c r="O7" s="50" t="s">
        <v>3621</v>
      </c>
      <c r="P7" s="50" t="s">
        <v>3621</v>
      </c>
      <c r="Q7" s="50" t="s">
        <v>3621</v>
      </c>
      <c r="R7" s="50" t="s">
        <v>3621</v>
      </c>
      <c r="S7" s="50" t="s">
        <v>3621</v>
      </c>
      <c r="T7" s="50" t="s">
        <v>3621</v>
      </c>
      <c r="U7" s="50" t="s">
        <v>3621</v>
      </c>
      <c r="V7" s="262" t="s">
        <v>3621</v>
      </c>
      <c r="W7" s="262" t="s">
        <v>3621</v>
      </c>
      <c r="X7" s="262" t="s">
        <v>3621</v>
      </c>
      <c r="Y7" s="262" t="s">
        <v>3621</v>
      </c>
      <c r="Z7" s="262" t="s">
        <v>3621</v>
      </c>
      <c r="AA7" s="262" t="s">
        <v>3621</v>
      </c>
      <c r="AB7" s="262" t="s">
        <v>3621</v>
      </c>
      <c r="AC7" s="262" t="s">
        <v>3621</v>
      </c>
      <c r="AD7" s="262" t="s">
        <v>3621</v>
      </c>
      <c r="AE7" s="262" t="s">
        <v>3621</v>
      </c>
      <c r="AF7" s="50" t="s">
        <v>3621</v>
      </c>
      <c r="AG7" s="50" t="s">
        <v>3621</v>
      </c>
      <c r="AH7" s="50" t="s">
        <v>3621</v>
      </c>
      <c r="AI7" s="50" t="s">
        <v>3621</v>
      </c>
      <c r="AJ7" s="50" t="s">
        <v>3621</v>
      </c>
      <c r="AK7" s="50"/>
      <c r="AL7" s="50"/>
      <c r="AM7" s="50"/>
      <c r="AN7" s="50"/>
    </row>
    <row r="8" spans="2:40" x14ac:dyDescent="0.35">
      <c r="B8" s="113" t="s">
        <v>3576</v>
      </c>
      <c r="C8" s="50">
        <v>6</v>
      </c>
      <c r="D8" s="50" t="s">
        <v>4478</v>
      </c>
      <c r="E8" s="111">
        <v>45538</v>
      </c>
      <c r="F8" s="50">
        <v>1</v>
      </c>
      <c r="G8" s="225" cm="1">
        <f t="array" ref="G8">SUMPRODUCT(--(I8:AJ8&gt;0))/COUNTA(I8:AJ8)</f>
        <v>1</v>
      </c>
      <c r="H8" s="50" t="s">
        <v>3630</v>
      </c>
      <c r="I8" s="50">
        <v>2</v>
      </c>
      <c r="J8" s="50">
        <v>30</v>
      </c>
      <c r="K8" s="50">
        <v>3</v>
      </c>
      <c r="L8" s="50">
        <v>3</v>
      </c>
      <c r="M8" s="50">
        <v>3</v>
      </c>
      <c r="N8" s="50">
        <v>10</v>
      </c>
      <c r="O8" s="50">
        <v>10</v>
      </c>
      <c r="P8" s="50">
        <v>3</v>
      </c>
      <c r="Q8" s="50">
        <v>1</v>
      </c>
      <c r="R8" s="50">
        <v>8</v>
      </c>
      <c r="S8" s="114">
        <v>8</v>
      </c>
      <c r="T8" s="114">
        <v>8</v>
      </c>
      <c r="U8" s="114">
        <v>8</v>
      </c>
      <c r="V8" s="262">
        <v>32</v>
      </c>
      <c r="W8" s="262">
        <v>23</v>
      </c>
      <c r="X8" s="262">
        <v>25</v>
      </c>
      <c r="Y8" s="262">
        <v>21</v>
      </c>
      <c r="Z8" s="262">
        <v>28</v>
      </c>
      <c r="AA8" s="262">
        <v>25</v>
      </c>
      <c r="AB8" s="262">
        <v>23</v>
      </c>
      <c r="AC8" s="262">
        <v>25</v>
      </c>
      <c r="AD8" s="262">
        <v>21</v>
      </c>
      <c r="AE8" s="262">
        <v>28</v>
      </c>
      <c r="AF8" s="50">
        <v>3</v>
      </c>
      <c r="AG8" s="50">
        <v>3</v>
      </c>
      <c r="AH8" s="50">
        <v>2</v>
      </c>
      <c r="AI8" s="50">
        <v>10</v>
      </c>
      <c r="AJ8" s="50">
        <v>22</v>
      </c>
      <c r="AK8" s="50"/>
      <c r="AL8" s="50"/>
      <c r="AM8" s="50"/>
      <c r="AN8" s="50"/>
    </row>
    <row r="9" spans="2:40" x14ac:dyDescent="0.35">
      <c r="B9" s="50" t="s">
        <v>3579</v>
      </c>
      <c r="C9" s="50">
        <v>7</v>
      </c>
      <c r="D9" s="50" t="s">
        <v>4479</v>
      </c>
      <c r="E9" s="111">
        <v>45538</v>
      </c>
      <c r="F9" s="50">
        <v>1</v>
      </c>
      <c r="G9" s="225" cm="1">
        <f t="array" ref="G9">SUMPRODUCT(--(I9:AJ9 &lt;= I28:AJ28))/COUNTA(I28:AJ28)</f>
        <v>1</v>
      </c>
      <c r="H9" s="50" t="s">
        <v>3630</v>
      </c>
      <c r="I9" s="50">
        <v>2</v>
      </c>
      <c r="J9" s="50">
        <v>30</v>
      </c>
      <c r="K9" s="50">
        <v>3</v>
      </c>
      <c r="L9" s="50">
        <v>3</v>
      </c>
      <c r="M9" s="50">
        <v>3</v>
      </c>
      <c r="N9" s="50">
        <v>10</v>
      </c>
      <c r="O9" s="50">
        <v>10</v>
      </c>
      <c r="P9" s="50">
        <v>3</v>
      </c>
      <c r="Q9" s="50">
        <v>1</v>
      </c>
      <c r="R9" s="50">
        <v>18</v>
      </c>
      <c r="S9" s="50">
        <v>8</v>
      </c>
      <c r="T9" s="50">
        <v>18</v>
      </c>
      <c r="U9" s="50">
        <v>8</v>
      </c>
      <c r="V9" s="262">
        <v>1</v>
      </c>
      <c r="W9" s="262">
        <v>1</v>
      </c>
      <c r="X9" s="262">
        <v>1</v>
      </c>
      <c r="Y9" s="262">
        <v>1</v>
      </c>
      <c r="Z9" s="262">
        <v>1</v>
      </c>
      <c r="AA9" s="262">
        <v>1</v>
      </c>
      <c r="AB9" s="262">
        <v>1</v>
      </c>
      <c r="AC9" s="262">
        <v>1</v>
      </c>
      <c r="AD9" s="262">
        <v>1</v>
      </c>
      <c r="AE9" s="262">
        <v>1</v>
      </c>
      <c r="AF9" s="50">
        <v>3</v>
      </c>
      <c r="AG9" s="50">
        <v>3</v>
      </c>
      <c r="AH9" s="50">
        <v>2</v>
      </c>
      <c r="AI9" s="50">
        <v>10</v>
      </c>
      <c r="AJ9" s="50">
        <v>22</v>
      </c>
      <c r="AK9" s="50"/>
      <c r="AL9" s="50"/>
      <c r="AM9" s="50"/>
      <c r="AN9" s="50"/>
    </row>
    <row r="10" spans="2:40" x14ac:dyDescent="0.35">
      <c r="B10" s="50" t="s">
        <v>3582</v>
      </c>
      <c r="C10" s="50">
        <v>8</v>
      </c>
      <c r="D10" s="50" t="s">
        <v>4480</v>
      </c>
      <c r="E10" s="111">
        <v>45538</v>
      </c>
      <c r="F10" s="50">
        <v>1</v>
      </c>
      <c r="G10" s="111" t="s">
        <v>3621</v>
      </c>
      <c r="H10" s="50" t="s">
        <v>3630</v>
      </c>
      <c r="I10" s="50">
        <v>31</v>
      </c>
      <c r="J10" s="50">
        <v>4.0142670650000004E+25</v>
      </c>
      <c r="K10" s="50" t="s">
        <v>4481</v>
      </c>
      <c r="L10" s="50">
        <v>29</v>
      </c>
      <c r="M10" s="50">
        <v>1</v>
      </c>
      <c r="N10" s="111">
        <v>28877</v>
      </c>
      <c r="O10" s="111">
        <v>2958465</v>
      </c>
      <c r="P10" s="50">
        <v>36</v>
      </c>
      <c r="Q10" s="50">
        <v>0</v>
      </c>
      <c r="R10" s="114">
        <v>-1419736369000000</v>
      </c>
      <c r="S10" s="209" t="s">
        <v>3630</v>
      </c>
      <c r="T10" s="114">
        <v>-1419736369000000</v>
      </c>
      <c r="U10" s="114" t="s">
        <v>3630</v>
      </c>
      <c r="V10" s="263" t="s">
        <v>4123</v>
      </c>
      <c r="W10" s="263" t="s">
        <v>1977</v>
      </c>
      <c r="X10" s="262" t="s">
        <v>1988</v>
      </c>
      <c r="Y10" s="263" t="s">
        <v>1998</v>
      </c>
      <c r="Z10" s="263" t="s">
        <v>1515</v>
      </c>
      <c r="AA10" s="262" t="s">
        <v>1522</v>
      </c>
      <c r="AB10" s="262" t="s">
        <v>756</v>
      </c>
      <c r="AC10" s="262" t="s">
        <v>766</v>
      </c>
      <c r="AD10" s="262" t="s">
        <v>776</v>
      </c>
      <c r="AE10" s="262" t="s">
        <v>785</v>
      </c>
      <c r="AF10" s="50" t="s">
        <v>3631</v>
      </c>
      <c r="AG10" s="50" t="s">
        <v>3632</v>
      </c>
      <c r="AH10" s="50" t="s">
        <v>3749</v>
      </c>
      <c r="AI10" s="111">
        <v>45538</v>
      </c>
      <c r="AJ10" s="111" t="s">
        <v>4482</v>
      </c>
      <c r="AK10" s="50"/>
      <c r="AL10" s="50"/>
      <c r="AM10" s="111"/>
      <c r="AN10" s="111"/>
    </row>
    <row r="11" spans="2:40" x14ac:dyDescent="0.35">
      <c r="B11" s="50" t="s">
        <v>3584</v>
      </c>
      <c r="C11" s="50">
        <v>9</v>
      </c>
      <c r="D11" s="50" t="s">
        <v>4483</v>
      </c>
      <c r="E11" s="111">
        <v>45538</v>
      </c>
      <c r="F11" s="50">
        <v>1</v>
      </c>
      <c r="G11" s="111" t="s">
        <v>3621</v>
      </c>
      <c r="H11" s="50" t="s">
        <v>3630</v>
      </c>
      <c r="I11" s="50"/>
      <c r="J11" s="50">
        <v>4.0142670650000004E+25</v>
      </c>
      <c r="K11" s="50" t="s">
        <v>4484</v>
      </c>
      <c r="L11" s="50">
        <v>29</v>
      </c>
      <c r="M11" s="50">
        <v>1</v>
      </c>
      <c r="N11" s="111">
        <v>28877</v>
      </c>
      <c r="O11" s="111" t="s">
        <v>3744</v>
      </c>
      <c r="P11" s="50">
        <v>36</v>
      </c>
      <c r="Q11" s="50">
        <v>0</v>
      </c>
      <c r="R11" s="114">
        <v>-1419736369000000</v>
      </c>
      <c r="S11" s="50" t="s">
        <v>3630</v>
      </c>
      <c r="T11" s="114">
        <v>-1419736369000000</v>
      </c>
      <c r="U11" s="50" t="s">
        <v>3630</v>
      </c>
      <c r="V11" s="262" t="s">
        <v>4123</v>
      </c>
      <c r="W11" s="262" t="s">
        <v>1977</v>
      </c>
      <c r="X11" s="262" t="s">
        <v>1988</v>
      </c>
      <c r="Y11" s="263" t="s">
        <v>1998</v>
      </c>
      <c r="Z11" s="263" t="s">
        <v>1515</v>
      </c>
      <c r="AA11" s="262" t="s">
        <v>1522</v>
      </c>
      <c r="AB11" s="262" t="s">
        <v>756</v>
      </c>
      <c r="AC11" s="262" t="s">
        <v>766</v>
      </c>
      <c r="AD11" s="262" t="s">
        <v>776</v>
      </c>
      <c r="AE11" s="262" t="s">
        <v>785</v>
      </c>
      <c r="AF11" s="50">
        <v>0</v>
      </c>
      <c r="AG11" s="50"/>
      <c r="AH11" s="50" t="s">
        <v>3749</v>
      </c>
      <c r="AI11" s="111">
        <v>45538</v>
      </c>
      <c r="AJ11" s="111" t="s">
        <v>4485</v>
      </c>
      <c r="AK11" s="50"/>
      <c r="AL11" s="50"/>
      <c r="AM11" s="111"/>
      <c r="AN11" s="111"/>
    </row>
    <row r="12" spans="2:40" x14ac:dyDescent="0.35">
      <c r="B12" s="113" t="s">
        <v>3586</v>
      </c>
      <c r="C12" s="50">
        <v>10</v>
      </c>
      <c r="D12" s="50" t="s">
        <v>4486</v>
      </c>
      <c r="E12" s="111">
        <v>45538</v>
      </c>
      <c r="F12" s="50">
        <v>1</v>
      </c>
      <c r="G12" s="111" t="s">
        <v>3621</v>
      </c>
      <c r="H12" s="50" t="s">
        <v>3630</v>
      </c>
      <c r="I12" s="50">
        <v>31</v>
      </c>
      <c r="J12" s="50">
        <v>2.5631600365802999E+29</v>
      </c>
      <c r="K12" s="50" t="s">
        <v>4481</v>
      </c>
      <c r="L12" s="50">
        <v>30</v>
      </c>
      <c r="M12" s="50">
        <v>340</v>
      </c>
      <c r="N12" s="111">
        <v>45135</v>
      </c>
      <c r="O12" s="111">
        <v>2958465</v>
      </c>
      <c r="P12" s="50">
        <v>985</v>
      </c>
      <c r="Q12" s="50">
        <v>0</v>
      </c>
      <c r="R12" s="114">
        <v>5007826750000</v>
      </c>
      <c r="S12" s="209" t="s">
        <v>3630</v>
      </c>
      <c r="T12" s="114">
        <v>5007826750000</v>
      </c>
      <c r="U12" s="114" t="s">
        <v>3630</v>
      </c>
      <c r="V12" s="263" t="s">
        <v>4123</v>
      </c>
      <c r="W12" s="263" t="s">
        <v>1977</v>
      </c>
      <c r="X12" s="263" t="s">
        <v>1988</v>
      </c>
      <c r="Y12" s="263" t="s">
        <v>1998</v>
      </c>
      <c r="Z12" s="263" t="s">
        <v>1515</v>
      </c>
      <c r="AA12" s="263" t="s">
        <v>1522</v>
      </c>
      <c r="AB12" s="262" t="s">
        <v>756</v>
      </c>
      <c r="AC12" s="262" t="s">
        <v>766</v>
      </c>
      <c r="AD12" s="264" t="s">
        <v>776</v>
      </c>
      <c r="AE12" s="262" t="s">
        <v>785</v>
      </c>
      <c r="AF12" s="50" t="s">
        <v>3631</v>
      </c>
      <c r="AG12" s="50" t="s">
        <v>3632</v>
      </c>
      <c r="AH12" s="50" t="s">
        <v>3749</v>
      </c>
      <c r="AI12" s="111">
        <v>45538</v>
      </c>
      <c r="AJ12" s="111" t="s">
        <v>4482</v>
      </c>
      <c r="AK12" s="50"/>
      <c r="AL12" s="50"/>
      <c r="AM12" s="111"/>
      <c r="AN12" s="111"/>
    </row>
    <row r="13" spans="2:40" x14ac:dyDescent="0.35">
      <c r="B13" s="50" t="s">
        <v>3588</v>
      </c>
      <c r="C13" s="50">
        <v>11</v>
      </c>
      <c r="D13" s="50" t="s">
        <v>4487</v>
      </c>
      <c r="E13" s="111">
        <v>45538</v>
      </c>
      <c r="F13" s="50">
        <v>1</v>
      </c>
      <c r="G13" s="111" t="s">
        <v>3621</v>
      </c>
      <c r="H13" s="50" t="s">
        <v>3630</v>
      </c>
      <c r="I13" s="50"/>
      <c r="J13" s="50">
        <v>2.5631600365802999E+29</v>
      </c>
      <c r="K13" s="50" t="s">
        <v>4484</v>
      </c>
      <c r="L13" s="50">
        <v>30</v>
      </c>
      <c r="M13" s="50">
        <v>340</v>
      </c>
      <c r="N13" s="111">
        <v>45135</v>
      </c>
      <c r="O13" s="111" t="s">
        <v>3744</v>
      </c>
      <c r="P13" s="50">
        <v>985</v>
      </c>
      <c r="Q13" s="50">
        <v>0</v>
      </c>
      <c r="R13" s="114">
        <v>5007826750000</v>
      </c>
      <c r="S13" s="111" t="s">
        <v>3630</v>
      </c>
      <c r="T13" s="114">
        <v>5007826750000</v>
      </c>
      <c r="U13" s="114" t="s">
        <v>3630</v>
      </c>
      <c r="V13" s="262" t="s">
        <v>4123</v>
      </c>
      <c r="W13" s="262" t="s">
        <v>1977</v>
      </c>
      <c r="X13" s="262" t="s">
        <v>1988</v>
      </c>
      <c r="Y13" s="263" t="s">
        <v>1998</v>
      </c>
      <c r="Z13" s="263" t="s">
        <v>1515</v>
      </c>
      <c r="AA13" s="263" t="s">
        <v>1522</v>
      </c>
      <c r="AB13" s="262" t="s">
        <v>756</v>
      </c>
      <c r="AC13" s="262" t="s">
        <v>766</v>
      </c>
      <c r="AD13" s="264" t="s">
        <v>776</v>
      </c>
      <c r="AE13" s="262" t="s">
        <v>785</v>
      </c>
      <c r="AF13" s="50">
        <v>0</v>
      </c>
      <c r="AG13" s="50"/>
      <c r="AH13" s="50" t="s">
        <v>3749</v>
      </c>
      <c r="AI13" s="111">
        <v>45538</v>
      </c>
      <c r="AJ13" s="111" t="s">
        <v>4488</v>
      </c>
      <c r="AK13" s="50"/>
      <c r="AL13" s="50"/>
      <c r="AM13" s="111"/>
      <c r="AN13" s="111"/>
    </row>
    <row r="14" spans="2:40" x14ac:dyDescent="0.35">
      <c r="B14" s="50" t="s">
        <v>3590</v>
      </c>
      <c r="C14" s="50">
        <v>12</v>
      </c>
      <c r="D14" s="50" t="s">
        <v>4489</v>
      </c>
      <c r="E14" s="111">
        <v>45538</v>
      </c>
      <c r="F14" s="50">
        <v>1</v>
      </c>
      <c r="G14" s="279" t="s">
        <v>4347</v>
      </c>
      <c r="H14" s="50" t="s">
        <v>3630</v>
      </c>
      <c r="I14" s="50">
        <v>0</v>
      </c>
      <c r="J14" s="50">
        <v>0</v>
      </c>
      <c r="K14" s="50">
        <v>0</v>
      </c>
      <c r="L14" s="50">
        <v>0</v>
      </c>
      <c r="M14" s="50">
        <v>0</v>
      </c>
      <c r="N14" s="50">
        <v>0</v>
      </c>
      <c r="O14" s="50">
        <v>0</v>
      </c>
      <c r="P14" s="50">
        <v>0</v>
      </c>
      <c r="Q14" s="50">
        <v>0</v>
      </c>
      <c r="R14" s="50">
        <v>0</v>
      </c>
      <c r="S14" s="50">
        <v>0</v>
      </c>
      <c r="T14" s="50">
        <v>0</v>
      </c>
      <c r="U14" s="50">
        <v>0</v>
      </c>
      <c r="V14" s="263">
        <v>0</v>
      </c>
      <c r="W14" s="263">
        <v>0</v>
      </c>
      <c r="X14" s="263">
        <v>0</v>
      </c>
      <c r="Y14" s="262">
        <v>0</v>
      </c>
      <c r="Z14" s="262">
        <v>0</v>
      </c>
      <c r="AA14" s="262">
        <v>0</v>
      </c>
      <c r="AB14" s="262">
        <v>0</v>
      </c>
      <c r="AC14" s="262">
        <v>0</v>
      </c>
      <c r="AD14" s="262">
        <v>0</v>
      </c>
      <c r="AE14" s="262">
        <v>0</v>
      </c>
      <c r="AF14" s="50">
        <v>0</v>
      </c>
      <c r="AG14" s="50">
        <v>0</v>
      </c>
      <c r="AH14" s="50">
        <v>0</v>
      </c>
      <c r="AI14" s="50">
        <v>0</v>
      </c>
      <c r="AJ14" s="50">
        <v>0</v>
      </c>
      <c r="AK14" s="50"/>
      <c r="AL14" s="50"/>
      <c r="AM14" s="50"/>
      <c r="AN14" s="50"/>
    </row>
    <row r="15" spans="2:40" x14ac:dyDescent="0.35">
      <c r="B15" s="50" t="s">
        <v>3592</v>
      </c>
      <c r="C15" s="50">
        <v>13</v>
      </c>
      <c r="D15" s="50" t="s">
        <v>4490</v>
      </c>
      <c r="E15" s="111">
        <v>45538</v>
      </c>
      <c r="F15" s="50">
        <v>1</v>
      </c>
      <c r="G15" s="279" t="s">
        <v>4347</v>
      </c>
      <c r="H15" s="50" t="s">
        <v>3630</v>
      </c>
      <c r="I15" s="50" t="s">
        <v>3621</v>
      </c>
      <c r="J15" s="50" t="s">
        <v>3621</v>
      </c>
      <c r="K15" s="50" t="s">
        <v>3621</v>
      </c>
      <c r="L15" s="50" t="s">
        <v>3621</v>
      </c>
      <c r="M15" s="50" t="s">
        <v>3621</v>
      </c>
      <c r="N15" s="111">
        <v>0</v>
      </c>
      <c r="O15" s="111">
        <v>0</v>
      </c>
      <c r="P15" s="50" t="s">
        <v>3621</v>
      </c>
      <c r="Q15" s="50" t="s">
        <v>3621</v>
      </c>
      <c r="R15" s="50" t="s">
        <v>3621</v>
      </c>
      <c r="S15" s="111" t="s">
        <v>3621</v>
      </c>
      <c r="T15" s="111" t="s">
        <v>3621</v>
      </c>
      <c r="U15" s="111" t="s">
        <v>3621</v>
      </c>
      <c r="V15" s="262" t="s">
        <v>3621</v>
      </c>
      <c r="W15" s="262" t="s">
        <v>3621</v>
      </c>
      <c r="X15" s="262" t="s">
        <v>3621</v>
      </c>
      <c r="Y15" s="262" t="s">
        <v>3621</v>
      </c>
      <c r="Z15" s="262" t="s">
        <v>3621</v>
      </c>
      <c r="AA15" s="262" t="s">
        <v>3621</v>
      </c>
      <c r="AB15" s="262" t="s">
        <v>3621</v>
      </c>
      <c r="AC15" s="262" t="s">
        <v>3621</v>
      </c>
      <c r="AD15" s="264" t="s">
        <v>3621</v>
      </c>
      <c r="AE15" s="262" t="s">
        <v>3621</v>
      </c>
      <c r="AF15" s="50" t="s">
        <v>3621</v>
      </c>
      <c r="AG15" s="50" t="s">
        <v>3621</v>
      </c>
      <c r="AH15" s="50" t="s">
        <v>3621</v>
      </c>
      <c r="AI15" s="111" t="s">
        <v>3621</v>
      </c>
      <c r="AJ15" s="50" t="s">
        <v>3621</v>
      </c>
      <c r="AK15" s="50"/>
      <c r="AL15" s="50"/>
      <c r="AM15" s="50"/>
      <c r="AN15" s="111"/>
    </row>
    <row r="16" spans="2:40" x14ac:dyDescent="0.35">
      <c r="B16" s="50" t="s">
        <v>3594</v>
      </c>
      <c r="C16" s="50">
        <v>14</v>
      </c>
      <c r="D16" s="50" t="s">
        <v>4491</v>
      </c>
      <c r="E16" s="111">
        <v>45538</v>
      </c>
      <c r="F16" s="50">
        <v>1</v>
      </c>
      <c r="G16" s="279" t="s">
        <v>4347</v>
      </c>
      <c r="H16" s="50" t="s">
        <v>3630</v>
      </c>
      <c r="I16" s="50">
        <v>0</v>
      </c>
      <c r="J16" s="50">
        <v>0</v>
      </c>
      <c r="K16" s="50">
        <v>0</v>
      </c>
      <c r="L16" s="50">
        <v>0</v>
      </c>
      <c r="M16" s="50">
        <v>0</v>
      </c>
      <c r="N16" s="50" t="s">
        <v>3621</v>
      </c>
      <c r="O16" s="50" t="s">
        <v>3621</v>
      </c>
      <c r="P16" s="50">
        <v>0</v>
      </c>
      <c r="Q16" s="50" t="s">
        <v>3621</v>
      </c>
      <c r="R16" s="50" t="s">
        <v>3621</v>
      </c>
      <c r="S16" s="50" t="s">
        <v>3621</v>
      </c>
      <c r="T16" s="50" t="s">
        <v>3621</v>
      </c>
      <c r="U16" s="50" t="s">
        <v>3621</v>
      </c>
      <c r="V16" s="262" t="s">
        <v>3621</v>
      </c>
      <c r="W16" s="262" t="s">
        <v>3621</v>
      </c>
      <c r="X16" s="262" t="s">
        <v>3621</v>
      </c>
      <c r="Y16" s="262" t="s">
        <v>3621</v>
      </c>
      <c r="Z16" s="262" t="s">
        <v>3621</v>
      </c>
      <c r="AA16" s="262">
        <v>0</v>
      </c>
      <c r="AB16" s="262" t="s">
        <v>3621</v>
      </c>
      <c r="AC16" s="262" t="s">
        <v>3621</v>
      </c>
      <c r="AD16" s="262" t="s">
        <v>3621</v>
      </c>
      <c r="AE16" s="262" t="s">
        <v>3621</v>
      </c>
      <c r="AF16" s="50">
        <v>0</v>
      </c>
      <c r="AG16" s="50">
        <v>0</v>
      </c>
      <c r="AH16" s="50">
        <v>0</v>
      </c>
      <c r="AI16" s="50" t="s">
        <v>3621</v>
      </c>
      <c r="AJ16" s="50" t="s">
        <v>3621</v>
      </c>
      <c r="AK16" s="50"/>
      <c r="AL16" s="50"/>
      <c r="AM16" s="50"/>
      <c r="AN16" s="50"/>
    </row>
    <row r="17" spans="2:40" x14ac:dyDescent="0.35">
      <c r="B17" s="50" t="s">
        <v>3596</v>
      </c>
      <c r="C17" s="50">
        <v>15</v>
      </c>
      <c r="D17" s="50" t="s">
        <v>4492</v>
      </c>
      <c r="E17" s="111">
        <v>45538</v>
      </c>
      <c r="F17" s="50">
        <v>1</v>
      </c>
      <c r="G17" s="279" t="s">
        <v>4347</v>
      </c>
      <c r="H17" s="50" t="s">
        <v>3630</v>
      </c>
      <c r="I17" s="50" t="s">
        <v>3621</v>
      </c>
      <c r="J17" s="50" t="s">
        <v>3621</v>
      </c>
      <c r="K17" s="50" t="s">
        <v>3621</v>
      </c>
      <c r="L17" s="50" t="s">
        <v>3621</v>
      </c>
      <c r="M17" s="50" t="s">
        <v>3621</v>
      </c>
      <c r="N17" s="113" t="s">
        <v>3621</v>
      </c>
      <c r="O17" s="113" t="s">
        <v>3621</v>
      </c>
      <c r="P17" s="113" t="s">
        <v>3621</v>
      </c>
      <c r="Q17" s="113" t="s">
        <v>3621</v>
      </c>
      <c r="R17" s="113" t="s">
        <v>3621</v>
      </c>
      <c r="S17" s="50" t="s">
        <v>3621</v>
      </c>
      <c r="T17" s="113" t="s">
        <v>3621</v>
      </c>
      <c r="U17" s="113" t="s">
        <v>3621</v>
      </c>
      <c r="V17" s="262" t="s">
        <v>3621</v>
      </c>
      <c r="W17" s="262" t="s">
        <v>3621</v>
      </c>
      <c r="X17" s="262" t="s">
        <v>3621</v>
      </c>
      <c r="Y17" s="262" t="s">
        <v>3621</v>
      </c>
      <c r="Z17" s="262" t="s">
        <v>3621</v>
      </c>
      <c r="AA17" s="262" t="s">
        <v>3621</v>
      </c>
      <c r="AB17" s="262" t="s">
        <v>3621</v>
      </c>
      <c r="AC17" s="262" t="s">
        <v>3621</v>
      </c>
      <c r="AD17" s="262" t="s">
        <v>3621</v>
      </c>
      <c r="AE17" s="262" t="s">
        <v>3621</v>
      </c>
      <c r="AF17" s="50" t="s">
        <v>3621</v>
      </c>
      <c r="AG17" s="50" t="s">
        <v>3621</v>
      </c>
      <c r="AH17" s="50" t="s">
        <v>3621</v>
      </c>
      <c r="AI17" s="50" t="s">
        <v>3621</v>
      </c>
      <c r="AJ17" s="50" t="s">
        <v>3621</v>
      </c>
      <c r="AK17" s="50"/>
      <c r="AL17" s="50"/>
      <c r="AM17" s="50"/>
      <c r="AN17" s="50"/>
    </row>
    <row r="18" spans="2:40" x14ac:dyDescent="0.35">
      <c r="B18" s="50" t="s">
        <v>3598</v>
      </c>
      <c r="C18" s="50">
        <v>16</v>
      </c>
      <c r="D18" s="50" t="s">
        <v>4492</v>
      </c>
      <c r="E18" s="111">
        <v>45538</v>
      </c>
      <c r="F18" s="50">
        <v>1</v>
      </c>
      <c r="G18" s="279" t="s">
        <v>4347</v>
      </c>
      <c r="H18" s="50" t="s">
        <v>3630</v>
      </c>
      <c r="I18" s="50" t="s">
        <v>3621</v>
      </c>
      <c r="J18" s="50" t="s">
        <v>3621</v>
      </c>
      <c r="K18" s="50" t="s">
        <v>3621</v>
      </c>
      <c r="L18" s="50" t="s">
        <v>3621</v>
      </c>
      <c r="M18" s="50" t="s">
        <v>3621</v>
      </c>
      <c r="N18" s="113" t="s">
        <v>3621</v>
      </c>
      <c r="O18" s="113" t="s">
        <v>3621</v>
      </c>
      <c r="P18" s="50" t="s">
        <v>3621</v>
      </c>
      <c r="Q18" s="50" t="s">
        <v>3621</v>
      </c>
      <c r="R18" s="113" t="s">
        <v>3621</v>
      </c>
      <c r="S18" s="113" t="s">
        <v>3621</v>
      </c>
      <c r="T18" s="50" t="s">
        <v>3621</v>
      </c>
      <c r="U18" s="50" t="s">
        <v>3621</v>
      </c>
      <c r="V18" s="262" t="s">
        <v>3621</v>
      </c>
      <c r="W18" s="262" t="s">
        <v>3621</v>
      </c>
      <c r="X18" s="262" t="s">
        <v>3621</v>
      </c>
      <c r="Y18" s="262" t="s">
        <v>3621</v>
      </c>
      <c r="Z18" s="262" t="s">
        <v>3621</v>
      </c>
      <c r="AA18" s="262" t="s">
        <v>3621</v>
      </c>
      <c r="AB18" s="262" t="s">
        <v>3621</v>
      </c>
      <c r="AC18" s="262" t="s">
        <v>3621</v>
      </c>
      <c r="AD18" s="262" t="s">
        <v>3621</v>
      </c>
      <c r="AE18" s="262" t="s">
        <v>3621</v>
      </c>
      <c r="AF18" s="50" t="s">
        <v>3621</v>
      </c>
      <c r="AG18" s="50" t="s">
        <v>3621</v>
      </c>
      <c r="AH18" s="50" t="s">
        <v>3621</v>
      </c>
      <c r="AI18" s="50" t="s">
        <v>3621</v>
      </c>
      <c r="AJ18" s="50" t="s">
        <v>3621</v>
      </c>
      <c r="AK18" s="50"/>
      <c r="AL18" s="50"/>
      <c r="AM18" s="50"/>
      <c r="AN18" s="50"/>
    </row>
    <row r="19" spans="2:40" x14ac:dyDescent="0.35">
      <c r="B19" s="50" t="s">
        <v>3600</v>
      </c>
      <c r="C19" s="50">
        <v>17</v>
      </c>
      <c r="D19" s="50" t="s">
        <v>4493</v>
      </c>
      <c r="E19" s="111">
        <v>45538</v>
      </c>
      <c r="F19" s="50">
        <v>1</v>
      </c>
      <c r="G19" s="279">
        <v>0.63</v>
      </c>
      <c r="H19" s="267" t="s">
        <v>4494</v>
      </c>
      <c r="I19" s="50" t="s">
        <v>3621</v>
      </c>
      <c r="J19" s="50" t="s">
        <v>3621</v>
      </c>
      <c r="K19" s="50" t="s">
        <v>3621</v>
      </c>
      <c r="L19" s="50" t="s">
        <v>3621</v>
      </c>
      <c r="M19" s="50" t="s">
        <v>3621</v>
      </c>
      <c r="N19" s="50" t="s">
        <v>3621</v>
      </c>
      <c r="O19" s="50" t="s">
        <v>3621</v>
      </c>
      <c r="P19" s="50" t="s">
        <v>3621</v>
      </c>
      <c r="Q19" s="113" t="s">
        <v>3621</v>
      </c>
      <c r="R19" s="50" t="s">
        <v>3621</v>
      </c>
      <c r="S19" s="50" t="s">
        <v>3621</v>
      </c>
      <c r="T19" s="50" t="s">
        <v>3621</v>
      </c>
      <c r="U19" s="50" t="s">
        <v>3621</v>
      </c>
      <c r="V19" s="262" t="s">
        <v>3621</v>
      </c>
      <c r="W19" s="262" t="s">
        <v>3621</v>
      </c>
      <c r="X19" s="262" t="s">
        <v>3621</v>
      </c>
      <c r="Y19" s="262" t="s">
        <v>3621</v>
      </c>
      <c r="Z19" s="262" t="s">
        <v>3621</v>
      </c>
      <c r="AA19" s="262" t="s">
        <v>3621</v>
      </c>
      <c r="AB19" s="262" t="s">
        <v>3621</v>
      </c>
      <c r="AC19" s="262" t="s">
        <v>3621</v>
      </c>
      <c r="AD19" s="262" t="s">
        <v>3621</v>
      </c>
      <c r="AE19" s="262" t="s">
        <v>3621</v>
      </c>
      <c r="AF19" s="50" t="s">
        <v>3621</v>
      </c>
      <c r="AG19" s="50" t="s">
        <v>3621</v>
      </c>
      <c r="AH19" s="50" t="s">
        <v>3621</v>
      </c>
      <c r="AI19" s="50" t="s">
        <v>3621</v>
      </c>
      <c r="AJ19" s="50" t="s">
        <v>3621</v>
      </c>
      <c r="AK19" s="50"/>
      <c r="AL19" s="50"/>
      <c r="AM19" s="50"/>
      <c r="AN19" s="50"/>
    </row>
    <row r="20" spans="2:40" x14ac:dyDescent="0.35">
      <c r="B20" s="50" t="s">
        <v>3602</v>
      </c>
      <c r="C20" s="50">
        <v>18</v>
      </c>
      <c r="D20" s="50" t="s">
        <v>4493</v>
      </c>
      <c r="E20" s="111">
        <v>45538</v>
      </c>
      <c r="F20" s="50">
        <v>1</v>
      </c>
      <c r="G20" s="279" t="s">
        <v>4347</v>
      </c>
      <c r="H20" s="209" t="s">
        <v>3630</v>
      </c>
      <c r="I20" s="50" t="s">
        <v>3621</v>
      </c>
      <c r="J20" s="50" t="s">
        <v>3621</v>
      </c>
      <c r="K20" s="50" t="s">
        <v>3621</v>
      </c>
      <c r="L20" s="50" t="s">
        <v>3621</v>
      </c>
      <c r="M20" s="50" t="s">
        <v>3621</v>
      </c>
      <c r="N20" s="50" t="s">
        <v>3621</v>
      </c>
      <c r="O20" s="50" t="s">
        <v>3621</v>
      </c>
      <c r="P20" s="50" t="s">
        <v>3621</v>
      </c>
      <c r="Q20" s="50" t="s">
        <v>3621</v>
      </c>
      <c r="R20" s="50" t="s">
        <v>3621</v>
      </c>
      <c r="S20" s="50" t="s">
        <v>3621</v>
      </c>
      <c r="T20" s="50" t="s">
        <v>3621</v>
      </c>
      <c r="U20" s="50" t="s">
        <v>3621</v>
      </c>
      <c r="V20" s="262" t="s">
        <v>3621</v>
      </c>
      <c r="W20" s="262" t="s">
        <v>3621</v>
      </c>
      <c r="X20" s="262" t="s">
        <v>3621</v>
      </c>
      <c r="Y20" s="262" t="s">
        <v>3621</v>
      </c>
      <c r="Z20" s="262" t="s">
        <v>3621</v>
      </c>
      <c r="AA20" s="262" t="s">
        <v>3621</v>
      </c>
      <c r="AB20" s="262" t="s">
        <v>3621</v>
      </c>
      <c r="AC20" s="262" t="s">
        <v>3621</v>
      </c>
      <c r="AD20" s="262" t="s">
        <v>3621</v>
      </c>
      <c r="AE20" s="262" t="s">
        <v>3621</v>
      </c>
      <c r="AF20" s="50" t="s">
        <v>3621</v>
      </c>
      <c r="AG20" s="50" t="s">
        <v>3621</v>
      </c>
      <c r="AH20" s="50" t="s">
        <v>3621</v>
      </c>
      <c r="AI20" s="50" t="s">
        <v>3621</v>
      </c>
      <c r="AJ20" s="50" t="s">
        <v>3621</v>
      </c>
      <c r="AK20" s="50"/>
      <c r="AL20" s="50"/>
      <c r="AM20" s="50"/>
      <c r="AN20" s="50"/>
    </row>
    <row r="21" spans="2:40" x14ac:dyDescent="0.35">
      <c r="B21" s="50" t="s">
        <v>3604</v>
      </c>
      <c r="C21" s="50">
        <v>19</v>
      </c>
      <c r="D21" s="50" t="s">
        <v>4495</v>
      </c>
      <c r="E21" s="111">
        <v>45538</v>
      </c>
      <c r="F21" s="50">
        <v>1</v>
      </c>
      <c r="G21" s="225" cm="1">
        <f t="array" ref="G21">SUMPRODUCT(--(ISNUMBER((SEARCH(I27:AJ27,I21:AJ21)))))/COUNTA(I21:AJ21)</f>
        <v>0.7857142857142857</v>
      </c>
      <c r="H21" s="50" t="s">
        <v>3630</v>
      </c>
      <c r="I21" s="50" t="s">
        <v>3655</v>
      </c>
      <c r="J21" s="50" t="s">
        <v>3655</v>
      </c>
      <c r="K21" s="50" t="s">
        <v>3655</v>
      </c>
      <c r="L21" s="50" t="s">
        <v>3655</v>
      </c>
      <c r="M21" s="50" t="s">
        <v>3655</v>
      </c>
      <c r="N21" s="50" t="s">
        <v>3655</v>
      </c>
      <c r="O21" s="50" t="s">
        <v>3655</v>
      </c>
      <c r="P21" s="113" t="s">
        <v>3655</v>
      </c>
      <c r="Q21" s="113" t="s">
        <v>3655</v>
      </c>
      <c r="R21" s="50" t="s">
        <v>3656</v>
      </c>
      <c r="S21" s="50" t="s">
        <v>3656</v>
      </c>
      <c r="T21" s="50" t="s">
        <v>3656</v>
      </c>
      <c r="U21" s="50" t="s">
        <v>3656</v>
      </c>
      <c r="V21" s="262" t="s">
        <v>3655</v>
      </c>
      <c r="W21" s="262" t="s">
        <v>3655</v>
      </c>
      <c r="X21" s="262" t="s">
        <v>3655</v>
      </c>
      <c r="Y21" s="262" t="s">
        <v>3655</v>
      </c>
      <c r="Z21" s="262" t="s">
        <v>3655</v>
      </c>
      <c r="AA21" s="262" t="s">
        <v>3655</v>
      </c>
      <c r="AB21" s="262" t="s">
        <v>3655</v>
      </c>
      <c r="AC21" s="262" t="s">
        <v>3655</v>
      </c>
      <c r="AD21" s="262" t="s">
        <v>3655</v>
      </c>
      <c r="AE21" s="262" t="s">
        <v>3655</v>
      </c>
      <c r="AF21" s="50" t="s">
        <v>3655</v>
      </c>
      <c r="AG21" s="50" t="s">
        <v>3655</v>
      </c>
      <c r="AH21" s="50" t="s">
        <v>3655</v>
      </c>
      <c r="AI21" s="50" t="s">
        <v>3655</v>
      </c>
      <c r="AJ21" s="50" t="s">
        <v>3657</v>
      </c>
      <c r="AK21" s="50"/>
      <c r="AL21" s="50"/>
      <c r="AM21" s="50"/>
      <c r="AN21" s="50"/>
    </row>
    <row r="22" spans="2:40" x14ac:dyDescent="0.35">
      <c r="B22" s="50" t="s">
        <v>3607</v>
      </c>
      <c r="C22" s="50">
        <v>20</v>
      </c>
      <c r="D22" s="50"/>
      <c r="E22" s="111"/>
      <c r="F22" s="50"/>
      <c r="G22" s="209" cm="1">
        <f t="array" ref="G22">SUM(IF(I2:AJ2 = I26:AJ26, 1, 0))/ COUNTA(I2:AJ2)</f>
        <v>0.6428571428571429</v>
      </c>
      <c r="H22" s="50"/>
      <c r="I22" s="50"/>
      <c r="J22" s="50"/>
      <c r="K22" s="50"/>
      <c r="L22" s="50"/>
      <c r="M22" s="50"/>
      <c r="N22" s="50"/>
      <c r="O22" s="50"/>
      <c r="P22" s="50"/>
      <c r="Q22" s="50"/>
      <c r="R22" s="50"/>
      <c r="S22" s="50"/>
      <c r="T22" s="50"/>
      <c r="U22" s="50"/>
      <c r="V22" s="262"/>
      <c r="W22" s="262"/>
      <c r="X22" s="262"/>
      <c r="Y22" s="262"/>
      <c r="Z22" s="262"/>
      <c r="AA22" s="262"/>
      <c r="AB22" s="262"/>
      <c r="AC22" s="262"/>
      <c r="AD22" s="262"/>
      <c r="AE22" s="262"/>
      <c r="AF22" s="50"/>
      <c r="AG22" s="50"/>
      <c r="AH22" s="50"/>
      <c r="AI22" s="50"/>
      <c r="AJ22" s="50"/>
      <c r="AK22" s="50"/>
      <c r="AL22" s="50"/>
      <c r="AM22" s="50"/>
      <c r="AN22" s="50"/>
    </row>
    <row r="23" spans="2:40" x14ac:dyDescent="0.35">
      <c r="B23" s="50" t="s">
        <v>3610</v>
      </c>
      <c r="C23" s="50">
        <v>21</v>
      </c>
      <c r="D23" s="50"/>
      <c r="E23" s="111"/>
      <c r="F23" s="50"/>
      <c r="G23" s="209" cm="1">
        <f t="array" ref="G23">SUM(IF(IF(G3:G22="null",1,G3:G22)=1,1,0))/COUNT(IF(G3:G22="null",1,1))</f>
        <v>0.4</v>
      </c>
      <c r="H23" s="50"/>
      <c r="I23" s="50"/>
      <c r="J23" s="50"/>
      <c r="K23" s="50"/>
      <c r="L23" s="50"/>
      <c r="M23" s="50"/>
      <c r="N23" s="50"/>
      <c r="O23" s="50"/>
      <c r="P23" s="50"/>
      <c r="Q23" s="50"/>
      <c r="R23" s="50"/>
      <c r="S23" s="50"/>
      <c r="T23" s="50"/>
      <c r="U23" s="50"/>
      <c r="V23" s="262"/>
      <c r="W23" s="262"/>
      <c r="X23" s="262"/>
      <c r="Y23" s="262"/>
      <c r="Z23" s="262"/>
      <c r="AA23" s="262"/>
      <c r="AB23" s="262"/>
      <c r="AC23" s="262"/>
      <c r="AD23" s="262"/>
      <c r="AE23" s="262"/>
      <c r="AF23" s="50"/>
      <c r="AG23" s="50"/>
      <c r="AH23" s="50"/>
      <c r="AI23" s="50"/>
      <c r="AJ23" s="50"/>
      <c r="AK23" s="50"/>
      <c r="AL23" s="50"/>
      <c r="AM23" s="50"/>
      <c r="AN23" s="50"/>
    </row>
    <row r="25" spans="2:40" x14ac:dyDescent="0.35">
      <c r="B25" s="146" t="s">
        <v>3727</v>
      </c>
    </row>
    <row r="26" spans="2:40" x14ac:dyDescent="0.35">
      <c r="B26" s="144" t="s">
        <v>3613</v>
      </c>
      <c r="C26" s="145" t="s">
        <v>3614</v>
      </c>
      <c r="D26" s="145" t="s">
        <v>3615</v>
      </c>
      <c r="E26" s="145" t="s">
        <v>3616</v>
      </c>
      <c r="F26" s="145" t="s">
        <v>3617</v>
      </c>
      <c r="G26" s="145" t="s">
        <v>3618</v>
      </c>
      <c r="H26" s="145" t="s">
        <v>3619</v>
      </c>
      <c r="I26" s="145" t="str" cm="1">
        <f t="array" ref="I26:AJ26">TRANSPOSE(_xlfn.SORTBY(_xlfn._xlws.FILTER(Table3[NOME FÍSICO CAMPO],Table3[NOME FÍSICO TABELA]="nostrovostro_account"), _xlfn._xlws.FILTER(Table3[ORDEM], Table3[NOME FÍSICO TABELA]="nostrovostro_account"), 1))</f>
        <v>bank_id</v>
      </c>
      <c r="J26" s="145" t="str">
        <v>contract_id</v>
      </c>
      <c r="K26" s="145" t="str">
        <v>product_family_id</v>
      </c>
      <c r="L26" s="145" t="str">
        <v>product_id</v>
      </c>
      <c r="M26" s="145" t="str">
        <v>subproduct_id</v>
      </c>
      <c r="N26" s="145" t="str">
        <v>opening_date</v>
      </c>
      <c r="O26" s="145" t="str">
        <v>current_maturity_date</v>
      </c>
      <c r="P26" s="145" t="str">
        <v>currency_code</v>
      </c>
      <c r="Q26" s="145" t="str">
        <v>litigation_indicator</v>
      </c>
      <c r="R26" s="145" t="str">
        <v>current_ledger_balance</v>
      </c>
      <c r="S26" s="145" t="str">
        <v>current_reserved_balance</v>
      </c>
      <c r="T26" s="145" t="str">
        <v>current_available_balance</v>
      </c>
      <c r="U26" s="145" t="str">
        <v>cur_debt_litigation_princip_bal</v>
      </c>
      <c r="V26" s="145" t="str">
        <v>initial_rate_type_code</v>
      </c>
      <c r="W26" s="145" t="str">
        <v>initial_indexing</v>
      </c>
      <c r="X26" s="145" t="str">
        <v>initial_index_rate</v>
      </c>
      <c r="Y26" s="145" t="str">
        <v>initial_spread</v>
      </c>
      <c r="Z26" s="145" t="str">
        <v>initial_interest_rate</v>
      </c>
      <c r="AA26" s="145" t="str">
        <v>current_rate_type_code</v>
      </c>
      <c r="AB26" s="145" t="str">
        <v>current_indexing</v>
      </c>
      <c r="AC26" s="145" t="str">
        <v>current_index_rate</v>
      </c>
      <c r="AD26" s="145" t="str">
        <v>current_spread</v>
      </c>
      <c r="AE26" s="145" t="str">
        <v>current_interest_rate</v>
      </c>
      <c r="AF26" s="145" t="str">
        <v>contract_status_code</v>
      </c>
      <c r="AG26" s="145" t="str">
        <v>contract_opening_channel_code</v>
      </c>
      <c r="AH26" s="145" t="str">
        <v>source_code</v>
      </c>
      <c r="AI26" s="145" t="str">
        <v>data_date_part</v>
      </c>
      <c r="AJ26" s="310" t="str">
        <v>data_timestamp_part</v>
      </c>
      <c r="AK26" s="233"/>
      <c r="AL26" s="233"/>
      <c r="AM26" s="233"/>
      <c r="AN26" s="233"/>
    </row>
    <row r="27" spans="2:40" x14ac:dyDescent="0.35">
      <c r="B27" s="123" t="s">
        <v>3658</v>
      </c>
      <c r="C27" s="109">
        <v>21</v>
      </c>
      <c r="D27" s="108" t="s">
        <v>3659</v>
      </c>
      <c r="E27" t="s">
        <v>3660</v>
      </c>
      <c r="F27" t="s">
        <v>372</v>
      </c>
      <c r="G27" t="s">
        <v>372</v>
      </c>
      <c r="H27" t="s">
        <v>372</v>
      </c>
      <c r="I27" t="str" cm="1">
        <f t="array" ref="I27:AJ28">TRANSPOSE(_xlfn.SORTBY(_xlfn._xlws.FILTER(IF(Table3[FORMATO]:Table3[COMP_ CAMPO]&lt;&gt;"",Table3[FORMATO]:Table3[COMP_ CAMPO],9999999),Table3[NOME FÍSICO TABELA]="nostrovostro_account"), _xlfn._xlws.FILTER(Table3[ORDEM], Table3[NOME FÍSICO TABELA]="nostrovostro_account"), 1))</f>
        <v>STRING</v>
      </c>
      <c r="J27" t="str">
        <v>STRING</v>
      </c>
      <c r="K27" t="str">
        <v>STRING</v>
      </c>
      <c r="L27" t="str">
        <v>STRING</v>
      </c>
      <c r="M27" t="str">
        <v>STRING</v>
      </c>
      <c r="N27" t="str">
        <v>STRING</v>
      </c>
      <c r="O27" t="str">
        <v>STRING</v>
      </c>
      <c r="P27" t="str">
        <v>STRING</v>
      </c>
      <c r="Q27" t="str">
        <v>STRING</v>
      </c>
      <c r="R27" t="str">
        <v>DECIMAL</v>
      </c>
      <c r="S27" t="str">
        <v>DECIMAL</v>
      </c>
      <c r="T27" t="str">
        <v>DECIMAL</v>
      </c>
      <c r="U27" t="str">
        <v>DECIMAL</v>
      </c>
      <c r="V27" t="str">
        <v>STRING</v>
      </c>
      <c r="W27" t="str">
        <v>STRING</v>
      </c>
      <c r="X27" t="str">
        <v>DECIMAL</v>
      </c>
      <c r="Y27" t="str">
        <v>DECIMAL</v>
      </c>
      <c r="Z27" t="str">
        <v>DECIMAL</v>
      </c>
      <c r="AA27" t="str">
        <v>STRING</v>
      </c>
      <c r="AB27" t="str">
        <v>STRING</v>
      </c>
      <c r="AC27" t="str">
        <v>DECIMAL</v>
      </c>
      <c r="AD27" t="str">
        <v>DECIMAL</v>
      </c>
      <c r="AE27" t="str">
        <v>DECIMAL</v>
      </c>
      <c r="AF27" t="str">
        <v>STRING</v>
      </c>
      <c r="AG27" t="str">
        <v>STRING</v>
      </c>
      <c r="AH27" t="str">
        <v>STRING</v>
      </c>
      <c r="AI27" t="str">
        <v>STRING</v>
      </c>
      <c r="AJ27" s="311" t="str">
        <v>TIMESTAMP</v>
      </c>
    </row>
    <row r="28" spans="2:40" x14ac:dyDescent="0.35">
      <c r="B28" s="123" t="s">
        <v>3661</v>
      </c>
      <c r="C28" s="167">
        <v>7</v>
      </c>
      <c r="D28" s="122" t="s">
        <v>3659</v>
      </c>
      <c r="E28" s="121" t="s">
        <v>3660</v>
      </c>
      <c r="F28" s="121" t="s">
        <v>372</v>
      </c>
      <c r="G28" s="121" t="s">
        <v>372</v>
      </c>
      <c r="H28" s="121" t="s">
        <v>372</v>
      </c>
      <c r="I28" s="167">
        <v>4</v>
      </c>
      <c r="J28" s="167">
        <v>30</v>
      </c>
      <c r="K28" s="167">
        <v>4</v>
      </c>
      <c r="L28" s="167">
        <v>4</v>
      </c>
      <c r="M28" s="167">
        <v>4</v>
      </c>
      <c r="N28" s="167">
        <v>10</v>
      </c>
      <c r="O28" s="167">
        <v>10</v>
      </c>
      <c r="P28" s="167">
        <v>4</v>
      </c>
      <c r="Q28" s="167">
        <v>4</v>
      </c>
      <c r="R28" s="167">
        <v>23</v>
      </c>
      <c r="S28" s="167">
        <v>23</v>
      </c>
      <c r="T28" s="167">
        <v>23</v>
      </c>
      <c r="U28" s="167">
        <v>23</v>
      </c>
      <c r="V28" s="167">
        <v>4</v>
      </c>
      <c r="W28" s="167">
        <v>4</v>
      </c>
      <c r="X28" s="167">
        <v>23</v>
      </c>
      <c r="Y28" s="167">
        <v>23</v>
      </c>
      <c r="Z28" s="167">
        <v>23</v>
      </c>
      <c r="AA28" s="167">
        <v>4</v>
      </c>
      <c r="AB28" s="167">
        <v>4</v>
      </c>
      <c r="AC28" s="167">
        <v>23</v>
      </c>
      <c r="AD28" s="167">
        <v>23</v>
      </c>
      <c r="AE28" s="167">
        <v>23</v>
      </c>
      <c r="AF28" s="167">
        <v>4</v>
      </c>
      <c r="AG28" s="167">
        <v>4</v>
      </c>
      <c r="AH28" s="167">
        <v>2</v>
      </c>
      <c r="AI28" s="167">
        <v>10</v>
      </c>
      <c r="AJ28" s="168">
        <v>23</v>
      </c>
      <c r="AK28" s="109"/>
      <c r="AL28" s="109"/>
      <c r="AM28" s="109"/>
      <c r="AN28" s="109"/>
    </row>
    <row r="30" spans="2:40" x14ac:dyDescent="0.35">
      <c r="B30" s="156" t="s">
        <v>3662</v>
      </c>
    </row>
    <row r="31" spans="2:40" x14ac:dyDescent="0.35">
      <c r="B31" s="150" t="s">
        <v>3663</v>
      </c>
      <c r="C31" s="150" t="s">
        <v>3664</v>
      </c>
      <c r="D31" s="151" t="s">
        <v>3665</v>
      </c>
      <c r="E31" s="150" t="s">
        <v>3666</v>
      </c>
      <c r="F31" s="150" t="s">
        <v>3667</v>
      </c>
    </row>
    <row r="32" spans="2:40" ht="29" x14ac:dyDescent="0.35">
      <c r="B32" s="127" t="s">
        <v>3678</v>
      </c>
      <c r="C32" s="131" t="s">
        <v>4443</v>
      </c>
      <c r="D32" s="53" t="s">
        <v>4496</v>
      </c>
      <c r="E32" s="169" t="s">
        <v>4497</v>
      </c>
      <c r="F32" s="152" t="s">
        <v>3674</v>
      </c>
    </row>
    <row r="33" spans="2:6" ht="43.5" x14ac:dyDescent="0.35">
      <c r="B33" s="153" t="s">
        <v>3771</v>
      </c>
      <c r="C33" s="154" t="s">
        <v>4123</v>
      </c>
      <c r="D33" s="155" t="s">
        <v>3772</v>
      </c>
      <c r="E33" s="113" t="s">
        <v>4498</v>
      </c>
      <c r="F33" s="205" t="s">
        <v>3674</v>
      </c>
    </row>
    <row r="34" spans="2:6" ht="43.5" x14ac:dyDescent="0.35">
      <c r="B34" s="153" t="s">
        <v>3771</v>
      </c>
      <c r="C34" s="154" t="s">
        <v>1977</v>
      </c>
      <c r="D34" s="155" t="s">
        <v>3772</v>
      </c>
      <c r="E34" s="113" t="s">
        <v>4498</v>
      </c>
      <c r="F34" s="205" t="s">
        <v>3674</v>
      </c>
    </row>
    <row r="35" spans="2:6" ht="43.5" x14ac:dyDescent="0.35">
      <c r="B35" s="153" t="s">
        <v>3771</v>
      </c>
      <c r="C35" s="154" t="s">
        <v>1988</v>
      </c>
      <c r="D35" s="155" t="s">
        <v>3772</v>
      </c>
      <c r="E35" s="113" t="s">
        <v>4498</v>
      </c>
      <c r="F35" s="205" t="s">
        <v>3674</v>
      </c>
    </row>
    <row r="36" spans="2:6" ht="43.5" x14ac:dyDescent="0.35">
      <c r="B36" s="153" t="s">
        <v>3771</v>
      </c>
      <c r="C36" s="154" t="s">
        <v>1515</v>
      </c>
      <c r="D36" s="155" t="s">
        <v>3772</v>
      </c>
      <c r="E36" s="113" t="s">
        <v>4498</v>
      </c>
      <c r="F36" s="205" t="s">
        <v>3674</v>
      </c>
    </row>
    <row r="37" spans="2:6" ht="43.5" x14ac:dyDescent="0.35">
      <c r="B37" s="153" t="s">
        <v>3771</v>
      </c>
      <c r="C37" s="154" t="s">
        <v>1522</v>
      </c>
      <c r="D37" s="155" t="s">
        <v>3772</v>
      </c>
      <c r="E37" s="113" t="s">
        <v>4498</v>
      </c>
      <c r="F37" s="205" t="s">
        <v>3674</v>
      </c>
    </row>
    <row r="38" spans="2:6" ht="43.5" x14ac:dyDescent="0.35">
      <c r="B38" s="153" t="s">
        <v>3771</v>
      </c>
      <c r="C38" s="154" t="s">
        <v>756</v>
      </c>
      <c r="D38" s="155" t="s">
        <v>3772</v>
      </c>
      <c r="E38" s="113" t="s">
        <v>4498</v>
      </c>
      <c r="F38" s="205" t="s">
        <v>3674</v>
      </c>
    </row>
    <row r="39" spans="2:6" ht="43.5" x14ac:dyDescent="0.35">
      <c r="B39" s="153" t="s">
        <v>3771</v>
      </c>
      <c r="C39" s="154" t="s">
        <v>766</v>
      </c>
      <c r="D39" s="155" t="s">
        <v>3772</v>
      </c>
      <c r="E39" s="113" t="s">
        <v>4498</v>
      </c>
      <c r="F39" s="205" t="s">
        <v>3674</v>
      </c>
    </row>
    <row r="40" spans="2:6" ht="43.5" x14ac:dyDescent="0.35">
      <c r="B40" s="153" t="s">
        <v>3771</v>
      </c>
      <c r="C40" s="154" t="s">
        <v>785</v>
      </c>
      <c r="D40" s="155" t="s">
        <v>3772</v>
      </c>
      <c r="E40" s="113" t="s">
        <v>4498</v>
      </c>
      <c r="F40" s="205" t="s">
        <v>3674</v>
      </c>
    </row>
    <row r="41" spans="2:6" ht="43.5" x14ac:dyDescent="0.35">
      <c r="B41" s="153" t="s">
        <v>3781</v>
      </c>
      <c r="C41" s="154" t="s">
        <v>1988</v>
      </c>
      <c r="D41" s="155" t="s">
        <v>3782</v>
      </c>
      <c r="E41" s="113" t="s">
        <v>4498</v>
      </c>
      <c r="F41" s="205" t="s">
        <v>3674</v>
      </c>
    </row>
    <row r="42" spans="2:6" ht="43.5" x14ac:dyDescent="0.35">
      <c r="B42" s="153" t="s">
        <v>3781</v>
      </c>
      <c r="C42" s="154" t="s">
        <v>1998</v>
      </c>
      <c r="D42" s="155" t="s">
        <v>3782</v>
      </c>
      <c r="E42" s="113" t="s">
        <v>4498</v>
      </c>
      <c r="F42" s="205" t="s">
        <v>3674</v>
      </c>
    </row>
    <row r="43" spans="2:6" ht="43.5" x14ac:dyDescent="0.35">
      <c r="B43" s="153" t="s">
        <v>3781</v>
      </c>
      <c r="C43" s="154" t="s">
        <v>1515</v>
      </c>
      <c r="D43" s="155" t="s">
        <v>3782</v>
      </c>
      <c r="E43" s="113" t="s">
        <v>4498</v>
      </c>
      <c r="F43" s="205" t="s">
        <v>3674</v>
      </c>
    </row>
    <row r="44" spans="2:6" ht="43.5" x14ac:dyDescent="0.35">
      <c r="B44" s="127" t="s">
        <v>3781</v>
      </c>
      <c r="C44" s="154" t="s">
        <v>766</v>
      </c>
      <c r="D44" s="53" t="s">
        <v>3782</v>
      </c>
      <c r="E44" s="113" t="s">
        <v>4498</v>
      </c>
      <c r="F44" s="205" t="s">
        <v>3674</v>
      </c>
    </row>
    <row r="45" spans="2:6" ht="43.5" x14ac:dyDescent="0.35">
      <c r="B45" s="127" t="s">
        <v>3781</v>
      </c>
      <c r="C45" s="131" t="s">
        <v>776</v>
      </c>
      <c r="D45" s="53" t="s">
        <v>3782</v>
      </c>
      <c r="E45" s="113" t="s">
        <v>4498</v>
      </c>
      <c r="F45" s="205" t="s">
        <v>3674</v>
      </c>
    </row>
    <row r="46" spans="2:6" ht="43.5" x14ac:dyDescent="0.35">
      <c r="B46" s="153" t="s">
        <v>3781</v>
      </c>
      <c r="C46" s="154" t="s">
        <v>785</v>
      </c>
      <c r="D46" s="155" t="s">
        <v>3782</v>
      </c>
      <c r="E46" s="113" t="s">
        <v>4498</v>
      </c>
      <c r="F46" s="205" t="s">
        <v>3674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B1:X33"/>
  <sheetViews>
    <sheetView showGridLines="0" topLeftCell="D1" workbookViewId="0">
      <selection activeCell="G8" sqref="G8:G9"/>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9.816406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1.26953125" customWidth="1"/>
    <col min="19" max="19" width="26.81640625" bestFit="1" customWidth="1"/>
    <col min="20" max="20" width="32.26953125" customWidth="1"/>
    <col min="21" max="21" width="41.1796875" customWidth="1"/>
    <col min="22" max="22" width="21.54296875" customWidth="1"/>
    <col min="23" max="23" width="27.7265625" customWidth="1"/>
    <col min="24" max="24" width="46.453125" customWidth="1"/>
  </cols>
  <sheetData>
    <row r="1" spans="2:15" ht="27.75" customHeight="1" x14ac:dyDescent="0.35"/>
    <row r="2" spans="2:15" x14ac:dyDescent="0.35">
      <c r="B2" s="91" t="s">
        <v>3738</v>
      </c>
      <c r="C2" s="91" t="s">
        <v>3614</v>
      </c>
      <c r="D2" s="91" t="s">
        <v>3615</v>
      </c>
      <c r="E2" s="91" t="s">
        <v>3616</v>
      </c>
      <c r="F2" s="91" t="s">
        <v>3617</v>
      </c>
      <c r="G2" s="91" t="s">
        <v>3618</v>
      </c>
      <c r="H2" s="91" t="s">
        <v>3619</v>
      </c>
      <c r="I2" s="91" t="s">
        <v>121</v>
      </c>
      <c r="J2" s="91" t="s">
        <v>137</v>
      </c>
      <c r="K2" s="91" t="s">
        <v>149</v>
      </c>
      <c r="L2" s="91" t="s">
        <v>156</v>
      </c>
      <c r="M2" s="91" t="s">
        <v>168</v>
      </c>
      <c r="N2" s="91" t="s">
        <v>199</v>
      </c>
      <c r="O2" s="91" t="s">
        <v>211</v>
      </c>
    </row>
    <row r="3" spans="2:15" x14ac:dyDescent="0.35">
      <c r="B3" s="50" t="s">
        <v>3567</v>
      </c>
      <c r="C3" s="50">
        <v>1</v>
      </c>
      <c r="D3" s="50" t="s">
        <v>4499</v>
      </c>
      <c r="E3" s="111">
        <v>45492</v>
      </c>
      <c r="F3" s="50">
        <v>1</v>
      </c>
      <c r="G3" s="279" t="s">
        <v>4500</v>
      </c>
      <c r="H3" s="198" t="s">
        <v>4501</v>
      </c>
      <c r="I3" s="50" t="s">
        <v>3621</v>
      </c>
      <c r="J3" s="50" t="s">
        <v>3621</v>
      </c>
      <c r="K3" s="50" t="s">
        <v>3621</v>
      </c>
      <c r="L3" s="50" t="s">
        <v>3621</v>
      </c>
      <c r="M3" s="50" t="s">
        <v>3621</v>
      </c>
      <c r="N3" s="50" t="s">
        <v>3621</v>
      </c>
      <c r="O3" s="50" t="s">
        <v>3621</v>
      </c>
    </row>
    <row r="4" spans="2:15" x14ac:dyDescent="0.35">
      <c r="B4" s="50" t="s">
        <v>3569</v>
      </c>
      <c r="C4" s="50">
        <v>2</v>
      </c>
      <c r="D4" s="50" t="s">
        <v>4502</v>
      </c>
      <c r="E4" s="111">
        <v>45492</v>
      </c>
      <c r="F4" s="50">
        <v>1</v>
      </c>
      <c r="G4" s="279" t="s">
        <v>4500</v>
      </c>
      <c r="H4" s="114">
        <v>0</v>
      </c>
      <c r="I4" s="50" t="s">
        <v>3621</v>
      </c>
      <c r="J4" s="50" t="s">
        <v>3621</v>
      </c>
      <c r="K4" s="50" t="s">
        <v>3621</v>
      </c>
      <c r="L4" s="50" t="s">
        <v>3621</v>
      </c>
      <c r="M4" s="50" t="s">
        <v>3621</v>
      </c>
      <c r="N4" s="50" t="s">
        <v>3621</v>
      </c>
      <c r="O4" s="50" t="s">
        <v>3621</v>
      </c>
    </row>
    <row r="5" spans="2:15" x14ac:dyDescent="0.35">
      <c r="B5" s="50" t="s">
        <v>3571</v>
      </c>
      <c r="C5" s="50">
        <v>3</v>
      </c>
      <c r="D5" s="50" t="s">
        <v>4503</v>
      </c>
      <c r="E5" s="111">
        <v>45492</v>
      </c>
      <c r="F5" s="50">
        <v>1</v>
      </c>
      <c r="G5" s="279" t="s">
        <v>4500</v>
      </c>
      <c r="H5" s="114">
        <v>0</v>
      </c>
      <c r="I5" s="50">
        <v>0</v>
      </c>
      <c r="J5" s="50">
        <v>0</v>
      </c>
      <c r="K5" s="50">
        <v>0</v>
      </c>
      <c r="L5" s="50">
        <v>0</v>
      </c>
      <c r="M5" s="50">
        <v>0</v>
      </c>
      <c r="N5" s="50">
        <v>0</v>
      </c>
      <c r="O5" s="50" t="s">
        <v>3621</v>
      </c>
    </row>
    <row r="6" spans="2:15" x14ac:dyDescent="0.35">
      <c r="B6" s="113" t="s">
        <v>3573</v>
      </c>
      <c r="C6" s="50">
        <v>4</v>
      </c>
      <c r="D6" s="50" t="s">
        <v>3624</v>
      </c>
      <c r="E6" s="111" t="s">
        <v>3621</v>
      </c>
      <c r="F6" s="50">
        <v>1</v>
      </c>
      <c r="G6" s="111" t="s">
        <v>3621</v>
      </c>
      <c r="H6" s="114">
        <v>0</v>
      </c>
      <c r="I6" s="50" t="s">
        <v>3621</v>
      </c>
      <c r="J6" s="50" t="s">
        <v>3621</v>
      </c>
      <c r="K6" s="50" t="s">
        <v>3621</v>
      </c>
      <c r="L6" s="50" t="s">
        <v>3621</v>
      </c>
      <c r="M6" s="50" t="s">
        <v>3621</v>
      </c>
      <c r="N6" s="50" t="s">
        <v>3621</v>
      </c>
      <c r="O6" s="50" t="s">
        <v>3621</v>
      </c>
    </row>
    <row r="7" spans="2:15" x14ac:dyDescent="0.35">
      <c r="B7" s="50" t="s">
        <v>3575</v>
      </c>
      <c r="C7" s="50">
        <v>5</v>
      </c>
      <c r="D7" s="50" t="s">
        <v>3624</v>
      </c>
      <c r="E7" s="111" t="s">
        <v>3621</v>
      </c>
      <c r="F7" s="50">
        <v>1</v>
      </c>
      <c r="G7" s="111" t="s">
        <v>3621</v>
      </c>
      <c r="H7" s="114">
        <v>0</v>
      </c>
      <c r="I7" s="50" t="s">
        <v>3621</v>
      </c>
      <c r="J7" s="50" t="s">
        <v>3621</v>
      </c>
      <c r="K7" s="50" t="s">
        <v>3621</v>
      </c>
      <c r="L7" s="50" t="s">
        <v>3621</v>
      </c>
      <c r="M7" s="50" t="s">
        <v>3621</v>
      </c>
      <c r="N7" s="50" t="s">
        <v>3621</v>
      </c>
      <c r="O7" s="50" t="s">
        <v>3621</v>
      </c>
    </row>
    <row r="8" spans="2:15" x14ac:dyDescent="0.35">
      <c r="B8" s="113" t="s">
        <v>3576</v>
      </c>
      <c r="C8" s="50">
        <v>6</v>
      </c>
      <c r="D8" s="50" t="s">
        <v>4504</v>
      </c>
      <c r="E8" s="111">
        <v>45492</v>
      </c>
      <c r="F8" s="50">
        <v>1</v>
      </c>
      <c r="G8" s="225" cm="1">
        <f t="array" ref="G8">SUMPRODUCT(--(I8:O8&gt;0))/COUNTA(I8:O8)</f>
        <v>1</v>
      </c>
      <c r="H8" s="114">
        <v>0</v>
      </c>
      <c r="I8" s="50">
        <v>2</v>
      </c>
      <c r="J8" s="50">
        <v>30</v>
      </c>
      <c r="K8" s="50">
        <v>3</v>
      </c>
      <c r="L8" s="50">
        <v>3</v>
      </c>
      <c r="M8" s="50">
        <v>3</v>
      </c>
      <c r="N8" s="50">
        <v>10</v>
      </c>
      <c r="O8" s="50">
        <v>23</v>
      </c>
    </row>
    <row r="9" spans="2:15" x14ac:dyDescent="0.35">
      <c r="B9" s="50" t="s">
        <v>3579</v>
      </c>
      <c r="C9" s="50">
        <v>7</v>
      </c>
      <c r="D9" s="50" t="s">
        <v>4505</v>
      </c>
      <c r="E9" s="111">
        <v>45492</v>
      </c>
      <c r="F9" s="50">
        <v>1</v>
      </c>
      <c r="G9" s="225" cm="1">
        <f t="array" ref="G9">SUMPRODUCT(--(I9:O9 &lt;= I28:O28))/COUNTA(I28:O28)</f>
        <v>0.7142857142857143</v>
      </c>
      <c r="H9" s="114">
        <v>0</v>
      </c>
      <c r="I9" s="50">
        <v>2</v>
      </c>
      <c r="J9" s="50">
        <v>30</v>
      </c>
      <c r="K9" s="50">
        <v>3</v>
      </c>
      <c r="L9" s="50">
        <v>3</v>
      </c>
      <c r="M9" s="50">
        <v>3</v>
      </c>
      <c r="N9" s="50">
        <v>10</v>
      </c>
      <c r="O9" s="50">
        <v>23</v>
      </c>
    </row>
    <row r="10" spans="2:15" x14ac:dyDescent="0.35">
      <c r="B10" s="50" t="s">
        <v>3582</v>
      </c>
      <c r="C10" s="50">
        <v>8</v>
      </c>
      <c r="D10" s="50" t="s">
        <v>4506</v>
      </c>
      <c r="E10" s="111">
        <v>45492</v>
      </c>
      <c r="F10" s="50">
        <v>1</v>
      </c>
      <c r="G10" s="111" t="s">
        <v>3621</v>
      </c>
      <c r="H10" s="114">
        <v>0</v>
      </c>
      <c r="I10" s="50">
        <v>31</v>
      </c>
      <c r="J10" s="50">
        <v>2.317541E+21</v>
      </c>
      <c r="K10" s="50" t="s">
        <v>4337</v>
      </c>
      <c r="L10" s="50">
        <v>96</v>
      </c>
      <c r="M10" s="50">
        <v>1</v>
      </c>
      <c r="N10" s="111">
        <v>45492</v>
      </c>
      <c r="O10" s="111" t="s">
        <v>4507</v>
      </c>
    </row>
    <row r="11" spans="2:15" x14ac:dyDescent="0.35">
      <c r="B11" s="50" t="s">
        <v>3584</v>
      </c>
      <c r="C11" s="50">
        <v>9</v>
      </c>
      <c r="D11" s="50" t="s">
        <v>4508</v>
      </c>
      <c r="E11" s="111">
        <v>45492</v>
      </c>
      <c r="F11" s="50">
        <v>1</v>
      </c>
      <c r="G11" s="111" t="s">
        <v>3621</v>
      </c>
      <c r="H11" s="114">
        <v>0</v>
      </c>
      <c r="I11" s="50">
        <v>31</v>
      </c>
      <c r="J11" s="50">
        <v>2.317541E+21</v>
      </c>
      <c r="K11" s="50" t="s">
        <v>4337</v>
      </c>
      <c r="L11" s="50">
        <v>96</v>
      </c>
      <c r="M11" s="50">
        <v>1</v>
      </c>
      <c r="N11" s="111">
        <v>45492</v>
      </c>
      <c r="O11" s="111" t="s">
        <v>4509</v>
      </c>
    </row>
    <row r="12" spans="2:15" x14ac:dyDescent="0.35">
      <c r="B12" s="113" t="s">
        <v>3586</v>
      </c>
      <c r="C12" s="50">
        <v>10</v>
      </c>
      <c r="D12" s="50" t="s">
        <v>4510</v>
      </c>
      <c r="E12" s="111">
        <v>45492</v>
      </c>
      <c r="F12" s="50">
        <v>1</v>
      </c>
      <c r="G12" s="111" t="s">
        <v>3621</v>
      </c>
      <c r="H12" s="114">
        <v>0</v>
      </c>
      <c r="I12" s="50">
        <v>31</v>
      </c>
      <c r="J12" s="50">
        <v>6.8350096000050594E+29</v>
      </c>
      <c r="K12" s="50" t="s">
        <v>4337</v>
      </c>
      <c r="L12" s="50">
        <v>96</v>
      </c>
      <c r="M12" s="50" t="s">
        <v>4346</v>
      </c>
      <c r="N12" s="111">
        <v>45492</v>
      </c>
      <c r="O12" s="111" t="s">
        <v>4507</v>
      </c>
    </row>
    <row r="13" spans="2:15" x14ac:dyDescent="0.35">
      <c r="B13" s="50" t="s">
        <v>3588</v>
      </c>
      <c r="C13" s="50">
        <v>11</v>
      </c>
      <c r="D13" s="50" t="s">
        <v>4511</v>
      </c>
      <c r="E13" s="111">
        <v>45492</v>
      </c>
      <c r="F13" s="50">
        <v>1</v>
      </c>
      <c r="G13" s="111" t="s">
        <v>3621</v>
      </c>
      <c r="H13" s="114">
        <v>0</v>
      </c>
      <c r="I13" s="50">
        <v>31</v>
      </c>
      <c r="J13" s="50">
        <v>6.8350096000050594E+29</v>
      </c>
      <c r="K13" s="50" t="s">
        <v>4337</v>
      </c>
      <c r="L13" s="50">
        <v>96</v>
      </c>
      <c r="M13" s="50" t="s">
        <v>4346</v>
      </c>
      <c r="N13" s="111">
        <v>45492</v>
      </c>
      <c r="O13" s="111" t="s">
        <v>4512</v>
      </c>
    </row>
    <row r="14" spans="2:15" x14ac:dyDescent="0.35">
      <c r="B14" s="50" t="s">
        <v>3590</v>
      </c>
      <c r="C14" s="50">
        <v>12</v>
      </c>
      <c r="D14" s="50" t="s">
        <v>4513</v>
      </c>
      <c r="E14" s="111">
        <v>45492</v>
      </c>
      <c r="F14" s="50">
        <v>1</v>
      </c>
      <c r="G14" s="279" t="s">
        <v>4500</v>
      </c>
      <c r="H14" s="114">
        <v>0</v>
      </c>
      <c r="I14" s="50">
        <v>0</v>
      </c>
      <c r="J14" s="50">
        <v>0</v>
      </c>
      <c r="K14" s="50">
        <v>0</v>
      </c>
      <c r="L14" s="50">
        <v>0</v>
      </c>
      <c r="M14" s="50">
        <v>0</v>
      </c>
      <c r="N14" s="50">
        <v>0</v>
      </c>
      <c r="O14" s="50">
        <v>0</v>
      </c>
    </row>
    <row r="15" spans="2:15" x14ac:dyDescent="0.35">
      <c r="B15" s="50" t="s">
        <v>3592</v>
      </c>
      <c r="C15" s="50">
        <v>13</v>
      </c>
      <c r="D15" s="50" t="s">
        <v>4514</v>
      </c>
      <c r="E15" s="111">
        <v>45492</v>
      </c>
      <c r="F15" s="50">
        <v>1</v>
      </c>
      <c r="G15" s="279" t="s">
        <v>4500</v>
      </c>
      <c r="H15" s="114">
        <v>0</v>
      </c>
      <c r="I15" s="50" t="s">
        <v>3621</v>
      </c>
      <c r="J15" s="50" t="s">
        <v>3621</v>
      </c>
      <c r="K15" s="50" t="s">
        <v>3621</v>
      </c>
      <c r="L15" s="50" t="s">
        <v>3621</v>
      </c>
      <c r="M15" s="50" t="s">
        <v>3621</v>
      </c>
      <c r="N15" s="111">
        <v>0</v>
      </c>
      <c r="O15" s="111" t="s">
        <v>3621</v>
      </c>
    </row>
    <row r="16" spans="2:15" x14ac:dyDescent="0.35">
      <c r="B16" s="50" t="s">
        <v>3594</v>
      </c>
      <c r="C16" s="50">
        <v>14</v>
      </c>
      <c r="D16" s="50" t="s">
        <v>4515</v>
      </c>
      <c r="E16" s="111">
        <v>45492</v>
      </c>
      <c r="F16" s="50">
        <v>1</v>
      </c>
      <c r="G16" s="279" t="s">
        <v>4500</v>
      </c>
      <c r="H16" s="114">
        <v>0</v>
      </c>
      <c r="I16" s="50">
        <v>0</v>
      </c>
      <c r="J16" s="50">
        <v>0</v>
      </c>
      <c r="K16" s="50">
        <v>0</v>
      </c>
      <c r="L16" s="50">
        <v>0</v>
      </c>
      <c r="M16" s="50">
        <v>0</v>
      </c>
      <c r="N16" s="50">
        <v>0</v>
      </c>
      <c r="O16" s="50" t="s">
        <v>3621</v>
      </c>
    </row>
    <row r="17" spans="2:24" x14ac:dyDescent="0.35">
      <c r="B17" s="50" t="s">
        <v>3596</v>
      </c>
      <c r="C17" s="50">
        <v>15</v>
      </c>
      <c r="D17" s="50" t="s">
        <v>4516</v>
      </c>
      <c r="E17" s="111">
        <v>45492</v>
      </c>
      <c r="F17" s="50">
        <v>1</v>
      </c>
      <c r="G17" s="279" t="s">
        <v>4500</v>
      </c>
      <c r="H17" s="114">
        <v>0</v>
      </c>
      <c r="I17" s="50" t="s">
        <v>3621</v>
      </c>
      <c r="J17" s="50" t="s">
        <v>3621</v>
      </c>
      <c r="K17" s="50" t="s">
        <v>3621</v>
      </c>
      <c r="L17" s="50" t="s">
        <v>3621</v>
      </c>
      <c r="M17" s="50" t="s">
        <v>3621</v>
      </c>
      <c r="N17" s="113" t="s">
        <v>3621</v>
      </c>
      <c r="O17" s="113" t="s">
        <v>3621</v>
      </c>
    </row>
    <row r="18" spans="2:24" x14ac:dyDescent="0.35">
      <c r="B18" s="50" t="s">
        <v>3598</v>
      </c>
      <c r="C18" s="50">
        <v>16</v>
      </c>
      <c r="D18" s="50" t="s">
        <v>4516</v>
      </c>
      <c r="E18" s="111">
        <v>45492</v>
      </c>
      <c r="F18" s="50">
        <v>1</v>
      </c>
      <c r="G18" s="279" t="s">
        <v>4500</v>
      </c>
      <c r="H18" s="114">
        <v>0</v>
      </c>
      <c r="I18" s="50" t="s">
        <v>3621</v>
      </c>
      <c r="J18" s="50" t="s">
        <v>3621</v>
      </c>
      <c r="K18" s="50" t="s">
        <v>3621</v>
      </c>
      <c r="L18" s="50" t="s">
        <v>3621</v>
      </c>
      <c r="M18" s="50" t="s">
        <v>3621</v>
      </c>
      <c r="N18" s="113" t="s">
        <v>3621</v>
      </c>
      <c r="O18" s="113" t="s">
        <v>3621</v>
      </c>
    </row>
    <row r="19" spans="2:24" x14ac:dyDescent="0.35">
      <c r="B19" s="50" t="s">
        <v>3600</v>
      </c>
      <c r="C19" s="50">
        <v>17</v>
      </c>
      <c r="D19" s="50" t="s">
        <v>4517</v>
      </c>
      <c r="E19" s="111">
        <v>45492</v>
      </c>
      <c r="F19" s="50">
        <v>1</v>
      </c>
      <c r="G19" s="279" t="s">
        <v>4500</v>
      </c>
      <c r="H19" s="114">
        <v>0</v>
      </c>
      <c r="I19" s="50" t="s">
        <v>3655</v>
      </c>
      <c r="J19" s="50" t="s">
        <v>3655</v>
      </c>
      <c r="K19" s="50" t="s">
        <v>3655</v>
      </c>
      <c r="L19" s="50" t="s">
        <v>3655</v>
      </c>
      <c r="M19" s="50" t="s">
        <v>3655</v>
      </c>
      <c r="N19" s="50" t="s">
        <v>3655</v>
      </c>
      <c r="O19" s="50" t="s">
        <v>3657</v>
      </c>
    </row>
    <row r="20" spans="2:24" x14ac:dyDescent="0.35">
      <c r="B20" s="50" t="s">
        <v>3602</v>
      </c>
      <c r="C20" s="50">
        <v>18</v>
      </c>
      <c r="D20" s="50" t="s">
        <v>4518</v>
      </c>
      <c r="E20" s="111">
        <v>45516</v>
      </c>
      <c r="F20" s="50">
        <v>1</v>
      </c>
      <c r="G20" s="279" t="s">
        <v>4500</v>
      </c>
      <c r="H20" s="114">
        <v>0</v>
      </c>
      <c r="I20" s="50" t="s">
        <v>3621</v>
      </c>
      <c r="J20" s="50" t="s">
        <v>3621</v>
      </c>
      <c r="K20" s="50" t="s">
        <v>3621</v>
      </c>
      <c r="L20" s="50" t="s">
        <v>3621</v>
      </c>
      <c r="M20" s="50" t="s">
        <v>3621</v>
      </c>
      <c r="N20" s="50" t="s">
        <v>3621</v>
      </c>
      <c r="O20" s="50" t="s">
        <v>3621</v>
      </c>
    </row>
    <row r="21" spans="2:24" x14ac:dyDescent="0.35">
      <c r="B21" s="50" t="s">
        <v>3604</v>
      </c>
      <c r="C21" s="50">
        <v>19</v>
      </c>
      <c r="D21" s="50" t="s">
        <v>4519</v>
      </c>
      <c r="E21" s="111">
        <v>45492</v>
      </c>
      <c r="F21" s="50">
        <v>1</v>
      </c>
      <c r="G21" s="279" cm="1">
        <f t="array" ref="G21">SUMPRODUCT(--(ISNUMBER((SEARCH(I27:O27,I21:O21)))))/COUNTA(I21:O21)</f>
        <v>0</v>
      </c>
      <c r="H21" s="114">
        <v>0</v>
      </c>
      <c r="I21" s="50" t="s">
        <v>3621</v>
      </c>
      <c r="J21" s="50" t="s">
        <v>3621</v>
      </c>
      <c r="K21" s="50" t="s">
        <v>3621</v>
      </c>
      <c r="L21" s="50" t="s">
        <v>3621</v>
      </c>
      <c r="M21" s="50" t="s">
        <v>3621</v>
      </c>
      <c r="N21" s="50" t="s">
        <v>3621</v>
      </c>
      <c r="O21" s="50" t="s">
        <v>3621</v>
      </c>
    </row>
    <row r="22" spans="2:24" x14ac:dyDescent="0.35">
      <c r="B22" s="50" t="s">
        <v>3607</v>
      </c>
      <c r="C22" s="50">
        <v>20</v>
      </c>
      <c r="D22" s="50"/>
      <c r="E22" s="111"/>
      <c r="F22" s="50"/>
      <c r="G22" s="209" cm="1">
        <f t="array" ref="G22">SUM(IF(I2:O2 = I26:O26, 1, 0))/ COUNTA(I2:O2)</f>
        <v>0.7142857142857143</v>
      </c>
      <c r="H22" s="50"/>
      <c r="I22" s="50"/>
      <c r="J22" s="50"/>
      <c r="K22" s="50"/>
      <c r="L22" s="50"/>
      <c r="M22" s="50"/>
      <c r="N22" s="50"/>
      <c r="O22" s="50"/>
    </row>
    <row r="23" spans="2:24" x14ac:dyDescent="0.35">
      <c r="B23" s="50" t="s">
        <v>3610</v>
      </c>
      <c r="C23" s="50">
        <v>21</v>
      </c>
      <c r="D23" s="50"/>
      <c r="E23" s="111"/>
      <c r="F23" s="50"/>
      <c r="G23" s="209" cm="1">
        <f t="array" ref="G23">SUM(IF(IF(G3:G22="null",1,G3:G22)=1,1,0))/COUNT(IF(G3:G22="null",1,1))</f>
        <v>0.35</v>
      </c>
      <c r="H23" s="50"/>
      <c r="I23" s="50"/>
      <c r="J23" s="50"/>
      <c r="K23" s="50"/>
      <c r="L23" s="50"/>
      <c r="M23" s="50"/>
      <c r="N23" s="50"/>
      <c r="O23" s="50"/>
    </row>
    <row r="25" spans="2:24" x14ac:dyDescent="0.35">
      <c r="B25" s="146" t="s">
        <v>3727</v>
      </c>
    </row>
    <row r="26" spans="2:24" x14ac:dyDescent="0.35">
      <c r="B26" s="144" t="s">
        <v>3613</v>
      </c>
      <c r="C26" s="145" t="s">
        <v>3614</v>
      </c>
      <c r="D26" s="145" t="s">
        <v>3615</v>
      </c>
      <c r="E26" s="145" t="s">
        <v>3616</v>
      </c>
      <c r="F26" s="145" t="s">
        <v>3617</v>
      </c>
      <c r="G26" s="145" t="s">
        <v>3618</v>
      </c>
      <c r="H26" s="145" t="s">
        <v>3619</v>
      </c>
      <c r="I26" s="145" t="str" cm="1">
        <f t="array" ref="I26:S26">TRANSPOSE(_xlfn.SORTBY(_xlfn._xlws.FILTER(Table3[NOME FÍSICO CAMPO],Table3[NOME FÍSICO TABELA]="contract"), _xlfn._xlws.FILTER(Table3[ORDEM], Table3[NOME FÍSICO TABELA]="contract"), 1))</f>
        <v>bank_id</v>
      </c>
      <c r="J26" s="145" t="str">
        <v>contract_id</v>
      </c>
      <c r="K26" s="145" t="str">
        <v>product_family_id</v>
      </c>
      <c r="L26" s="145" t="str">
        <v>product_id</v>
      </c>
      <c r="M26" s="145" t="str">
        <v>subproduct_id</v>
      </c>
      <c r="N26" s="145" t="str">
        <v>cbalcao</v>
      </c>
      <c r="O26" s="145" t="str">
        <v>cnumecta</v>
      </c>
      <c r="P26" s="145" t="str">
        <v>zdeposit</v>
      </c>
      <c r="Q26" s="145" t="str">
        <v>common_table_name</v>
      </c>
      <c r="R26" s="145" t="str">
        <v>data_date_part</v>
      </c>
      <c r="S26" s="145" t="str">
        <v>data_timestamp_part</v>
      </c>
      <c r="T26" s="233"/>
      <c r="U26" s="233"/>
      <c r="V26" s="233"/>
      <c r="W26" s="233"/>
      <c r="X26" s="233"/>
    </row>
    <row r="27" spans="2:24" x14ac:dyDescent="0.35">
      <c r="B27" s="123" t="s">
        <v>3658</v>
      </c>
      <c r="C27" s="109">
        <v>21</v>
      </c>
      <c r="D27" s="108" t="s">
        <v>3659</v>
      </c>
      <c r="E27" t="s">
        <v>3660</v>
      </c>
      <c r="F27" t="s">
        <v>372</v>
      </c>
      <c r="G27" t="s">
        <v>372</v>
      </c>
      <c r="H27" t="s">
        <v>372</v>
      </c>
      <c r="I27" t="str" cm="1">
        <f t="array" ref="I27:S28">TRANSPOSE(_xlfn.SORTBY(_xlfn._xlws.FILTER(IF(Table3[FORMATO]:Table3[COMP_ CAMPO]&lt;&gt;"",Table3[FORMATO]:Table3[COMP_ CAMPO],9999999),Table3[NOME FÍSICO TABELA]="contract"), _xlfn._xlws.FILTER(Table3[ORDEM], Table3[NOME FÍSICO TABELA]="contract"), 1))</f>
        <v>STRING</v>
      </c>
      <c r="J27" t="str">
        <v>STRING</v>
      </c>
      <c r="K27" t="str">
        <v>STRING</v>
      </c>
      <c r="L27" t="str">
        <v>STRING</v>
      </c>
      <c r="M27" t="str">
        <v>STRING</v>
      </c>
      <c r="N27" t="str">
        <v>STRING</v>
      </c>
      <c r="O27" t="str">
        <v>STRING</v>
      </c>
      <c r="P27" t="str">
        <v>STRING</v>
      </c>
      <c r="Q27" t="str">
        <v>STRING</v>
      </c>
      <c r="R27" t="str">
        <v>STRING</v>
      </c>
      <c r="S27" t="str">
        <v>TIMESTAMP</v>
      </c>
    </row>
    <row r="28" spans="2:24" x14ac:dyDescent="0.35">
      <c r="B28" s="123" t="s">
        <v>3661</v>
      </c>
      <c r="C28" s="167">
        <v>7</v>
      </c>
      <c r="D28" s="122" t="s">
        <v>3659</v>
      </c>
      <c r="E28" s="121" t="s">
        <v>3660</v>
      </c>
      <c r="F28" s="121" t="s">
        <v>372</v>
      </c>
      <c r="G28" s="121" t="s">
        <v>372</v>
      </c>
      <c r="H28" s="121" t="s">
        <v>372</v>
      </c>
      <c r="I28" s="167">
        <v>4</v>
      </c>
      <c r="J28" s="167">
        <v>30</v>
      </c>
      <c r="K28" s="167">
        <v>3</v>
      </c>
      <c r="L28" s="167">
        <v>20</v>
      </c>
      <c r="M28" s="167">
        <v>20</v>
      </c>
      <c r="N28" s="167">
        <v>4</v>
      </c>
      <c r="O28" s="167">
        <v>11</v>
      </c>
      <c r="P28" s="167">
        <v>15</v>
      </c>
      <c r="Q28" s="167">
        <v>20</v>
      </c>
      <c r="R28" s="167">
        <v>10</v>
      </c>
      <c r="S28" s="167">
        <v>23</v>
      </c>
      <c r="T28" s="109"/>
      <c r="U28" s="109"/>
      <c r="V28" s="109"/>
      <c r="W28" s="109"/>
      <c r="X28" s="109"/>
    </row>
    <row r="30" spans="2:24" x14ac:dyDescent="0.35">
      <c r="B30" s="156" t="s">
        <v>3662</v>
      </c>
    </row>
    <row r="31" spans="2:24" x14ac:dyDescent="0.35">
      <c r="B31" s="150" t="s">
        <v>3663</v>
      </c>
      <c r="C31" s="150" t="s">
        <v>3664</v>
      </c>
      <c r="D31" s="151" t="s">
        <v>3665</v>
      </c>
      <c r="E31" s="150" t="s">
        <v>3666</v>
      </c>
      <c r="F31" s="150" t="s">
        <v>3667</v>
      </c>
    </row>
    <row r="32" spans="2:24" ht="29" x14ac:dyDescent="0.35">
      <c r="B32" s="127" t="s">
        <v>3771</v>
      </c>
      <c r="C32" s="131" t="s">
        <v>4443</v>
      </c>
      <c r="D32" s="53" t="s">
        <v>4520</v>
      </c>
      <c r="E32" s="169" t="s">
        <v>4521</v>
      </c>
      <c r="F32" s="152" t="s">
        <v>3674</v>
      </c>
    </row>
    <row r="33" spans="2:6" ht="29" x14ac:dyDescent="0.35">
      <c r="B33" s="153" t="s">
        <v>3781</v>
      </c>
      <c r="C33" s="154" t="s">
        <v>4443</v>
      </c>
      <c r="D33" s="155" t="s">
        <v>4520</v>
      </c>
      <c r="E33" s="280" t="s">
        <v>4521</v>
      </c>
      <c r="F33" s="205" t="s">
        <v>3674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B1:S33"/>
  <sheetViews>
    <sheetView showGridLines="0" workbookViewId="0">
      <selection activeCell="D13" sqref="D13"/>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11.4531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27.7265625" customWidth="1"/>
    <col min="19" max="19" width="46.453125" customWidth="1"/>
  </cols>
  <sheetData>
    <row r="1" spans="2:18" ht="27.75" customHeight="1" x14ac:dyDescent="0.35"/>
    <row r="2" spans="2:18" x14ac:dyDescent="0.35">
      <c r="B2" s="91" t="s">
        <v>3738</v>
      </c>
      <c r="C2" s="91" t="s">
        <v>3614</v>
      </c>
      <c r="D2" s="91" t="s">
        <v>3615</v>
      </c>
      <c r="E2" s="91" t="s">
        <v>3616</v>
      </c>
      <c r="F2" s="91" t="s">
        <v>3617</v>
      </c>
      <c r="G2" s="91" t="s">
        <v>3618</v>
      </c>
      <c r="H2" s="91" t="s">
        <v>3619</v>
      </c>
      <c r="I2" s="91" t="s">
        <v>121</v>
      </c>
      <c r="J2" s="91" t="s">
        <v>137</v>
      </c>
      <c r="K2" s="145" t="s">
        <v>4522</v>
      </c>
      <c r="L2" s="145" t="s">
        <v>4523</v>
      </c>
      <c r="M2" s="91" t="s">
        <v>4524</v>
      </c>
      <c r="N2" s="91" t="s">
        <v>4525</v>
      </c>
      <c r="O2" s="91" t="s">
        <v>318</v>
      </c>
      <c r="P2" s="91" t="s">
        <v>327</v>
      </c>
      <c r="Q2" s="91" t="s">
        <v>334</v>
      </c>
      <c r="R2" s="91"/>
    </row>
    <row r="3" spans="2:18" x14ac:dyDescent="0.35">
      <c r="B3" s="50" t="s">
        <v>3567</v>
      </c>
      <c r="C3" s="50">
        <v>1</v>
      </c>
      <c r="D3" s="50" t="s">
        <v>4526</v>
      </c>
      <c r="E3" s="111">
        <v>45534</v>
      </c>
      <c r="F3" s="50">
        <v>1</v>
      </c>
      <c r="G3" s="279">
        <v>1</v>
      </c>
      <c r="H3" s="198">
        <v>10349</v>
      </c>
      <c r="I3" s="50" t="s">
        <v>3621</v>
      </c>
      <c r="J3" s="50" t="s">
        <v>3621</v>
      </c>
      <c r="K3" s="50" t="s">
        <v>3621</v>
      </c>
      <c r="L3" s="50" t="s">
        <v>3621</v>
      </c>
      <c r="M3" s="50" t="s">
        <v>3621</v>
      </c>
      <c r="N3" s="50" t="s">
        <v>3621</v>
      </c>
      <c r="O3" s="50" t="s">
        <v>3621</v>
      </c>
      <c r="P3" s="50" t="s">
        <v>3621</v>
      </c>
      <c r="Q3" s="50" t="s">
        <v>3621</v>
      </c>
      <c r="R3" s="50"/>
    </row>
    <row r="4" spans="2:18" x14ac:dyDescent="0.35">
      <c r="B4" s="50" t="s">
        <v>3569</v>
      </c>
      <c r="C4" s="50">
        <v>2</v>
      </c>
      <c r="D4" s="50" t="s">
        <v>4527</v>
      </c>
      <c r="E4" s="111">
        <v>45534</v>
      </c>
      <c r="F4" s="50">
        <v>1</v>
      </c>
      <c r="G4" s="279">
        <v>1</v>
      </c>
      <c r="H4" s="50" t="s">
        <v>3630</v>
      </c>
      <c r="I4" s="50" t="s">
        <v>3621</v>
      </c>
      <c r="J4" s="50" t="s">
        <v>3621</v>
      </c>
      <c r="K4" s="50" t="s">
        <v>3621</v>
      </c>
      <c r="L4" s="50" t="s">
        <v>3621</v>
      </c>
      <c r="M4" s="50" t="s">
        <v>3621</v>
      </c>
      <c r="N4" s="50" t="s">
        <v>3621</v>
      </c>
      <c r="O4" s="50" t="s">
        <v>3621</v>
      </c>
      <c r="P4" s="50" t="s">
        <v>3621</v>
      </c>
      <c r="Q4" s="50" t="s">
        <v>3621</v>
      </c>
      <c r="R4" s="50"/>
    </row>
    <row r="5" spans="2:18" x14ac:dyDescent="0.35">
      <c r="B5" s="50" t="s">
        <v>3571</v>
      </c>
      <c r="C5" s="50">
        <v>3</v>
      </c>
      <c r="D5" s="50" t="s">
        <v>4528</v>
      </c>
      <c r="E5" s="111">
        <v>45534</v>
      </c>
      <c r="F5" s="50">
        <v>1</v>
      </c>
      <c r="G5" s="279">
        <v>1</v>
      </c>
      <c r="H5" s="50" t="s">
        <v>3630</v>
      </c>
      <c r="I5" s="50">
        <v>0</v>
      </c>
      <c r="J5" s="50">
        <v>0</v>
      </c>
      <c r="K5" s="50">
        <v>0</v>
      </c>
      <c r="L5" s="50" t="s">
        <v>3621</v>
      </c>
      <c r="M5" s="50" t="s">
        <v>3621</v>
      </c>
      <c r="N5" s="50" t="s">
        <v>3621</v>
      </c>
      <c r="O5" s="50" t="s">
        <v>3621</v>
      </c>
      <c r="P5" s="50">
        <v>0</v>
      </c>
      <c r="Q5" s="50" t="s">
        <v>3621</v>
      </c>
      <c r="R5" s="50"/>
    </row>
    <row r="6" spans="2:18" x14ac:dyDescent="0.35">
      <c r="B6" s="113" t="s">
        <v>3573</v>
      </c>
      <c r="C6" s="50">
        <v>4</v>
      </c>
      <c r="D6" s="50" t="s">
        <v>3624</v>
      </c>
      <c r="E6" s="111" t="s">
        <v>3621</v>
      </c>
      <c r="F6" s="50">
        <v>1</v>
      </c>
      <c r="G6" s="111" t="s">
        <v>3621</v>
      </c>
      <c r="H6" s="50" t="s">
        <v>3621</v>
      </c>
      <c r="I6" s="50" t="s">
        <v>3621</v>
      </c>
      <c r="J6" s="50" t="s">
        <v>3621</v>
      </c>
      <c r="K6" s="50" t="s">
        <v>3621</v>
      </c>
      <c r="L6" s="50" t="s">
        <v>3621</v>
      </c>
      <c r="M6" s="50" t="s">
        <v>3621</v>
      </c>
      <c r="N6" s="50" t="s">
        <v>3621</v>
      </c>
      <c r="O6" s="50" t="s">
        <v>3621</v>
      </c>
      <c r="P6" s="50" t="s">
        <v>3621</v>
      </c>
      <c r="Q6" s="50" t="s">
        <v>3621</v>
      </c>
      <c r="R6" s="50"/>
    </row>
    <row r="7" spans="2:18" x14ac:dyDescent="0.35">
      <c r="B7" s="50" t="s">
        <v>3575</v>
      </c>
      <c r="C7" s="50">
        <v>5</v>
      </c>
      <c r="D7" s="50" t="s">
        <v>3624</v>
      </c>
      <c r="E7" s="111" t="s">
        <v>3621</v>
      </c>
      <c r="F7" s="50">
        <v>1</v>
      </c>
      <c r="G7" s="111" t="s">
        <v>3621</v>
      </c>
      <c r="H7" s="50" t="s">
        <v>3621</v>
      </c>
      <c r="I7" s="50" t="s">
        <v>3621</v>
      </c>
      <c r="J7" s="50" t="s">
        <v>3621</v>
      </c>
      <c r="K7" s="50" t="s">
        <v>3621</v>
      </c>
      <c r="L7" s="50" t="s">
        <v>3621</v>
      </c>
      <c r="M7" s="50" t="s">
        <v>3621</v>
      </c>
      <c r="N7" s="50" t="s">
        <v>3621</v>
      </c>
      <c r="O7" s="50" t="s">
        <v>3621</v>
      </c>
      <c r="P7" s="50" t="s">
        <v>3621</v>
      </c>
      <c r="Q7" s="50" t="s">
        <v>3621</v>
      </c>
      <c r="R7" s="50"/>
    </row>
    <row r="8" spans="2:18" x14ac:dyDescent="0.35">
      <c r="B8" s="113" t="s">
        <v>3576</v>
      </c>
      <c r="C8" s="50">
        <v>6</v>
      </c>
      <c r="D8" s="50" t="s">
        <v>4529</v>
      </c>
      <c r="E8" s="111">
        <v>45534</v>
      </c>
      <c r="F8" s="50">
        <v>1</v>
      </c>
      <c r="G8" s="225" cm="1">
        <f t="array" ref="G8">SUMPRODUCT(--(I8:O8&gt;0))/COUNTA(I8:O8)</f>
        <v>1</v>
      </c>
      <c r="H8" s="50" t="s">
        <v>3630</v>
      </c>
      <c r="I8" s="50">
        <v>2</v>
      </c>
      <c r="J8" s="50">
        <v>30</v>
      </c>
      <c r="K8" s="50">
        <v>1</v>
      </c>
      <c r="L8" s="50">
        <v>1</v>
      </c>
      <c r="M8" s="50">
        <v>1</v>
      </c>
      <c r="N8" s="50">
        <v>1</v>
      </c>
      <c r="O8" s="50">
        <v>2</v>
      </c>
      <c r="P8" s="50">
        <v>10</v>
      </c>
      <c r="Q8" s="50">
        <v>23</v>
      </c>
      <c r="R8" s="50"/>
    </row>
    <row r="9" spans="2:18" x14ac:dyDescent="0.35">
      <c r="B9" s="50" t="s">
        <v>3579</v>
      </c>
      <c r="C9" s="50">
        <v>7</v>
      </c>
      <c r="D9" s="50" t="s">
        <v>4530</v>
      </c>
      <c r="E9" s="111">
        <v>45534</v>
      </c>
      <c r="F9" s="50">
        <v>1</v>
      </c>
      <c r="G9" s="225" t="e" cm="1">
        <f t="array" ref="G9">SUMPRODUCT(--(I9:Q9 &lt;= I26:Q26))/COUNTA(I26:Q26)</f>
        <v>#DIV/0!</v>
      </c>
      <c r="H9" s="50" t="s">
        <v>3630</v>
      </c>
      <c r="I9" s="50">
        <v>2</v>
      </c>
      <c r="J9" s="50">
        <v>30</v>
      </c>
      <c r="K9" s="50">
        <v>2</v>
      </c>
      <c r="L9" s="50">
        <v>35</v>
      </c>
      <c r="M9" s="50">
        <v>28</v>
      </c>
      <c r="N9" s="50">
        <v>31</v>
      </c>
      <c r="O9" s="50">
        <v>2</v>
      </c>
      <c r="P9" s="50">
        <v>10</v>
      </c>
      <c r="Q9" s="50">
        <v>23</v>
      </c>
      <c r="R9" s="50"/>
    </row>
    <row r="10" spans="2:18" x14ac:dyDescent="0.35">
      <c r="B10" s="50" t="s">
        <v>3582</v>
      </c>
      <c r="C10" s="50">
        <v>8</v>
      </c>
      <c r="D10" s="50" t="s">
        <v>4531</v>
      </c>
      <c r="E10" s="111">
        <v>45534</v>
      </c>
      <c r="F10" s="50">
        <v>1</v>
      </c>
      <c r="G10" s="111" t="s">
        <v>3621</v>
      </c>
      <c r="H10" s="50" t="s">
        <v>3630</v>
      </c>
      <c r="I10" s="50">
        <v>31</v>
      </c>
      <c r="J10" s="50">
        <v>6.6350038000872803E+29</v>
      </c>
      <c r="K10" s="50">
        <v>0</v>
      </c>
      <c r="L10" s="50" t="s">
        <v>4532</v>
      </c>
      <c r="M10" s="50" t="s">
        <v>4532</v>
      </c>
      <c r="N10" s="111" t="s">
        <v>4532</v>
      </c>
      <c r="O10" s="111" t="s">
        <v>4533</v>
      </c>
      <c r="P10" s="111">
        <v>45534</v>
      </c>
      <c r="Q10" s="111" t="s">
        <v>4534</v>
      </c>
      <c r="R10" s="111"/>
    </row>
    <row r="11" spans="2:18" x14ac:dyDescent="0.35">
      <c r="B11" s="50" t="s">
        <v>3584</v>
      </c>
      <c r="C11" s="50">
        <v>9</v>
      </c>
      <c r="D11" s="50" t="s">
        <v>4535</v>
      </c>
      <c r="E11" s="111">
        <v>45534</v>
      </c>
      <c r="F11" s="50">
        <v>1</v>
      </c>
      <c r="G11" s="111" t="s">
        <v>3621</v>
      </c>
      <c r="H11" s="50" t="s">
        <v>3630</v>
      </c>
      <c r="I11" s="50"/>
      <c r="J11" s="50">
        <v>6.6350038000872803E+29</v>
      </c>
      <c r="K11" s="50">
        <v>0</v>
      </c>
      <c r="L11" s="50"/>
      <c r="M11" s="50"/>
      <c r="N11" s="111"/>
      <c r="O11" s="111" t="s">
        <v>4533</v>
      </c>
      <c r="P11" s="111">
        <v>45534</v>
      </c>
      <c r="Q11" s="111" t="s">
        <v>4536</v>
      </c>
      <c r="R11" s="111"/>
    </row>
    <row r="12" spans="2:18" x14ac:dyDescent="0.35">
      <c r="B12" s="113" t="s">
        <v>3586</v>
      </c>
      <c r="C12" s="50">
        <v>10</v>
      </c>
      <c r="D12" s="50" t="s">
        <v>4537</v>
      </c>
      <c r="E12" s="111">
        <v>45534</v>
      </c>
      <c r="F12" s="50">
        <v>1</v>
      </c>
      <c r="G12" s="111" t="s">
        <v>3621</v>
      </c>
      <c r="H12" s="50" t="s">
        <v>3630</v>
      </c>
      <c r="I12" s="50">
        <v>31</v>
      </c>
      <c r="J12" s="50">
        <v>8.8780038000002303E+29</v>
      </c>
      <c r="K12" s="50">
        <v>99</v>
      </c>
      <c r="L12" s="50" t="s">
        <v>4538</v>
      </c>
      <c r="M12" s="50" t="s">
        <v>4539</v>
      </c>
      <c r="N12" s="111" t="s">
        <v>4540</v>
      </c>
      <c r="O12" s="111" t="s">
        <v>4541</v>
      </c>
      <c r="P12" s="111">
        <v>45534</v>
      </c>
      <c r="Q12" s="111" t="s">
        <v>4534</v>
      </c>
      <c r="R12" s="111"/>
    </row>
    <row r="13" spans="2:18" x14ac:dyDescent="0.35">
      <c r="B13" s="50" t="s">
        <v>3588</v>
      </c>
      <c r="C13" s="50">
        <v>11</v>
      </c>
      <c r="D13" s="50" t="s">
        <v>4542</v>
      </c>
      <c r="E13" s="111">
        <v>45534</v>
      </c>
      <c r="F13" s="50">
        <v>1</v>
      </c>
      <c r="G13" s="111" t="s">
        <v>3621</v>
      </c>
      <c r="H13" s="50" t="s">
        <v>3630</v>
      </c>
      <c r="I13" s="50"/>
      <c r="J13" s="50">
        <v>8.8780038000002303E+29</v>
      </c>
      <c r="K13" s="50">
        <v>99</v>
      </c>
      <c r="L13" s="50" t="s">
        <v>4538</v>
      </c>
      <c r="M13" s="50" t="s">
        <v>4539</v>
      </c>
      <c r="N13" s="111" t="s">
        <v>4540</v>
      </c>
      <c r="O13" s="111" t="s">
        <v>4541</v>
      </c>
      <c r="P13" s="111">
        <v>45534</v>
      </c>
      <c r="Q13" s="111" t="s">
        <v>4543</v>
      </c>
      <c r="R13" s="111"/>
    </row>
    <row r="14" spans="2:18" x14ac:dyDescent="0.35">
      <c r="B14" s="50" t="s">
        <v>3590</v>
      </c>
      <c r="C14" s="50">
        <v>12</v>
      </c>
      <c r="D14" s="50" t="s">
        <v>4544</v>
      </c>
      <c r="E14" s="111">
        <v>45534</v>
      </c>
      <c r="F14" s="50">
        <v>1</v>
      </c>
      <c r="G14" s="279">
        <v>0.67</v>
      </c>
      <c r="H14" s="50" t="s">
        <v>3630</v>
      </c>
      <c r="I14" s="50">
        <v>0</v>
      </c>
      <c r="J14" s="50">
        <v>0</v>
      </c>
      <c r="K14" s="50">
        <v>0</v>
      </c>
      <c r="L14" s="50">
        <v>9224</v>
      </c>
      <c r="M14" s="50">
        <v>9807</v>
      </c>
      <c r="N14" s="50">
        <v>9168</v>
      </c>
      <c r="O14" s="50">
        <v>0</v>
      </c>
      <c r="P14" s="50">
        <v>0</v>
      </c>
      <c r="Q14" s="50">
        <v>0</v>
      </c>
      <c r="R14" s="50"/>
    </row>
    <row r="15" spans="2:18" x14ac:dyDescent="0.35">
      <c r="B15" s="50" t="s">
        <v>3592</v>
      </c>
      <c r="C15" s="50">
        <v>13</v>
      </c>
      <c r="D15" s="50" t="s">
        <v>4545</v>
      </c>
      <c r="E15" s="111">
        <v>45518</v>
      </c>
      <c r="F15" s="50">
        <v>1</v>
      </c>
      <c r="G15" s="279">
        <v>1</v>
      </c>
      <c r="H15" s="50" t="s">
        <v>3630</v>
      </c>
      <c r="I15" s="50">
        <v>0</v>
      </c>
      <c r="J15" s="50">
        <v>0</v>
      </c>
      <c r="K15" s="50">
        <v>0</v>
      </c>
      <c r="L15" s="50">
        <v>0</v>
      </c>
      <c r="M15" s="50" t="s">
        <v>3621</v>
      </c>
      <c r="N15" s="111">
        <v>0</v>
      </c>
      <c r="O15" s="111" t="s">
        <v>3621</v>
      </c>
      <c r="P15" s="50">
        <v>0</v>
      </c>
      <c r="Q15" s="50" t="s">
        <v>3621</v>
      </c>
      <c r="R15" s="111"/>
    </row>
    <row r="16" spans="2:18" x14ac:dyDescent="0.35">
      <c r="B16" s="50" t="s">
        <v>3594</v>
      </c>
      <c r="C16" s="50">
        <v>14</v>
      </c>
      <c r="D16" s="50" t="s">
        <v>4546</v>
      </c>
      <c r="E16" s="111">
        <v>45534</v>
      </c>
      <c r="F16" s="50">
        <v>1</v>
      </c>
      <c r="G16" s="279">
        <v>1</v>
      </c>
      <c r="H16" s="114" t="s">
        <v>3630</v>
      </c>
      <c r="I16" s="50">
        <v>0</v>
      </c>
      <c r="J16" s="50">
        <v>0</v>
      </c>
      <c r="K16" s="50">
        <v>0</v>
      </c>
      <c r="L16" s="50">
        <v>0</v>
      </c>
      <c r="M16" s="50" t="s">
        <v>3621</v>
      </c>
      <c r="N16" s="50" t="s">
        <v>3621</v>
      </c>
      <c r="O16" s="50">
        <v>0</v>
      </c>
      <c r="P16" s="50" t="s">
        <v>3621</v>
      </c>
      <c r="Q16" s="50" t="s">
        <v>3621</v>
      </c>
      <c r="R16" s="50"/>
    </row>
    <row r="17" spans="2:19" x14ac:dyDescent="0.35">
      <c r="B17" s="50" t="s">
        <v>3596</v>
      </c>
      <c r="C17" s="50">
        <v>15</v>
      </c>
      <c r="D17" s="50" t="s">
        <v>4547</v>
      </c>
      <c r="E17" s="111">
        <v>45534</v>
      </c>
      <c r="F17" s="50">
        <v>1</v>
      </c>
      <c r="G17" s="279">
        <v>1</v>
      </c>
      <c r="H17" s="50" t="s">
        <v>3630</v>
      </c>
      <c r="I17" s="50" t="s">
        <v>3621</v>
      </c>
      <c r="J17" s="50" t="s">
        <v>3621</v>
      </c>
      <c r="K17" s="50" t="s">
        <v>3621</v>
      </c>
      <c r="L17" s="50" t="s">
        <v>3621</v>
      </c>
      <c r="M17" s="50" t="s">
        <v>3621</v>
      </c>
      <c r="N17" s="50" t="s">
        <v>3621</v>
      </c>
      <c r="O17" s="50" t="s">
        <v>3621</v>
      </c>
      <c r="P17" s="50" t="s">
        <v>3621</v>
      </c>
      <c r="Q17" s="50" t="s">
        <v>3621</v>
      </c>
      <c r="R17" s="50"/>
    </row>
    <row r="18" spans="2:19" x14ac:dyDescent="0.35">
      <c r="B18" s="50" t="s">
        <v>3598</v>
      </c>
      <c r="C18" s="50">
        <v>16</v>
      </c>
      <c r="D18" s="50" t="s">
        <v>4547</v>
      </c>
      <c r="E18" s="111">
        <v>45534</v>
      </c>
      <c r="F18" s="50">
        <v>1</v>
      </c>
      <c r="G18" s="279">
        <v>1</v>
      </c>
      <c r="H18" s="114" t="s">
        <v>3630</v>
      </c>
      <c r="I18" s="50" t="s">
        <v>3621</v>
      </c>
      <c r="J18" s="50" t="s">
        <v>3621</v>
      </c>
      <c r="K18" s="50" t="s">
        <v>3621</v>
      </c>
      <c r="L18" s="50" t="s">
        <v>3621</v>
      </c>
      <c r="M18" s="50" t="s">
        <v>3621</v>
      </c>
      <c r="N18" s="113" t="s">
        <v>3621</v>
      </c>
      <c r="O18" s="113" t="s">
        <v>3621</v>
      </c>
      <c r="P18" s="113" t="s">
        <v>3621</v>
      </c>
      <c r="Q18" s="113" t="s">
        <v>3621</v>
      </c>
      <c r="R18" s="50"/>
    </row>
    <row r="19" spans="2:19" x14ac:dyDescent="0.35">
      <c r="B19" s="50" t="s">
        <v>3604</v>
      </c>
      <c r="C19" s="50">
        <v>19</v>
      </c>
      <c r="D19" s="50" t="s">
        <v>4548</v>
      </c>
      <c r="E19" s="111">
        <v>45534</v>
      </c>
      <c r="F19" s="50">
        <v>1</v>
      </c>
      <c r="G19" s="225" cm="1">
        <f t="array" ref="G19">SUMPRODUCT(--(ISNUMBER((SEARCH(I25:AJ25,I19:AJ19)))))/COUNTA(I19:AJ19)</f>
        <v>0.88888888888888884</v>
      </c>
      <c r="H19" s="114" t="s">
        <v>3630</v>
      </c>
      <c r="I19" s="50" t="s">
        <v>3655</v>
      </c>
      <c r="J19" s="50" t="s">
        <v>3655</v>
      </c>
      <c r="K19" s="50" t="s">
        <v>4549</v>
      </c>
      <c r="L19" s="50" t="s">
        <v>3655</v>
      </c>
      <c r="M19" s="50" t="s">
        <v>3655</v>
      </c>
      <c r="N19" s="113" t="s">
        <v>3655</v>
      </c>
      <c r="O19" s="113" t="s">
        <v>3655</v>
      </c>
      <c r="P19" s="50" t="s">
        <v>3655</v>
      </c>
      <c r="Q19" s="50" t="s">
        <v>3657</v>
      </c>
      <c r="R19" s="50"/>
    </row>
    <row r="20" spans="2:19" x14ac:dyDescent="0.35">
      <c r="B20" s="50" t="s">
        <v>3607</v>
      </c>
      <c r="C20" s="50">
        <v>20</v>
      </c>
      <c r="D20" s="50"/>
      <c r="E20" s="111"/>
      <c r="F20" s="50"/>
      <c r="G20" s="209" t="e" cm="1" vm="1">
        <f t="array" ref="G20">SUM(IF(I2:Q2 = I24:Q24, 1, 0))/ COUNTA(I2:Q2)</f>
        <v>#VALUE!</v>
      </c>
      <c r="H20" s="50"/>
      <c r="I20" s="50"/>
      <c r="J20" s="50"/>
      <c r="K20" s="50"/>
      <c r="L20" s="50"/>
      <c r="M20" s="50"/>
      <c r="N20" s="50"/>
      <c r="O20" s="50"/>
      <c r="P20" s="50"/>
      <c r="Q20" s="50"/>
      <c r="R20" s="50"/>
    </row>
    <row r="21" spans="2:19" x14ac:dyDescent="0.35">
      <c r="B21" s="50" t="s">
        <v>3610</v>
      </c>
      <c r="C21" s="50">
        <v>21</v>
      </c>
      <c r="D21" s="50"/>
      <c r="E21" s="111"/>
      <c r="F21" s="50"/>
      <c r="G21" s="209" t="e" cm="1">
        <f t="array" ref="G21">SUM(IF(IF(G3:G20="null",1,G3:G20)=1,1,0))/COUNT(IF(G3:G20="null",1,1))</f>
        <v>#DIV/0!</v>
      </c>
      <c r="H21" s="50"/>
      <c r="I21" s="50"/>
      <c r="J21" s="50"/>
      <c r="K21" s="50"/>
      <c r="L21" s="50"/>
      <c r="M21" s="50"/>
      <c r="N21" s="50"/>
      <c r="O21" s="50"/>
      <c r="P21" s="50"/>
      <c r="Q21" s="50"/>
      <c r="R21" s="50"/>
    </row>
    <row r="23" spans="2:19" x14ac:dyDescent="0.35">
      <c r="B23" s="146" t="s">
        <v>3727</v>
      </c>
    </row>
    <row r="24" spans="2:19" x14ac:dyDescent="0.35">
      <c r="B24" s="144" t="s">
        <v>3613</v>
      </c>
      <c r="C24" s="145" t="s">
        <v>3614</v>
      </c>
      <c r="D24" s="145" t="s">
        <v>3615</v>
      </c>
      <c r="E24" s="145" t="s">
        <v>3616</v>
      </c>
      <c r="F24" s="145" t="s">
        <v>3617</v>
      </c>
      <c r="G24" s="145" t="s">
        <v>3618</v>
      </c>
      <c r="H24" s="145" t="s">
        <v>3619</v>
      </c>
      <c r="I24" s="145" t="e" cm="1" vm="2">
        <f t="array" ref="I24">TRANSPOSE(_xlfn.SORTBY(_xlfn._xlws.FILTER(Table3[NOME FÍSICO CAMPO],Table3[NOME FÍSICO TABELA]="trade_finance_route"), _xlfn._xlws.FILTER(Table3[ORDEM], Table3[NOME FÍSICO TABELA]="trade_finance_route"), 1))</f>
        <v>#VALUE!</v>
      </c>
      <c r="J24" s="145"/>
      <c r="K24" s="145"/>
      <c r="L24" s="145"/>
      <c r="M24" s="145"/>
      <c r="N24" s="145"/>
      <c r="O24" s="145"/>
      <c r="P24" s="145"/>
      <c r="Q24" s="145"/>
      <c r="R24" s="233"/>
      <c r="S24" s="233"/>
    </row>
    <row r="25" spans="2:19" x14ac:dyDescent="0.35">
      <c r="B25" s="123" t="s">
        <v>3658</v>
      </c>
      <c r="C25" s="109">
        <v>21</v>
      </c>
      <c r="D25" s="108" t="s">
        <v>3659</v>
      </c>
      <c r="E25" t="s">
        <v>3660</v>
      </c>
      <c r="F25" t="s">
        <v>372</v>
      </c>
      <c r="G25" t="s">
        <v>372</v>
      </c>
      <c r="H25" t="s">
        <v>372</v>
      </c>
      <c r="I25" t="e" cm="1" vm="2">
        <f t="array" ref="I25">TRANSPOSE(_xlfn.SORTBY(_xlfn._xlws.FILTER(IF(Table3[FORMATO]:Table3[COMP_ CAMPO]&lt;&gt;"",Table3[FORMATO]:Table3[COMP_ CAMPO],9999999),Table3[NOME FÍSICO TABELA]="trade_finance_route"), _xlfn._xlws.FILTER(Table3[ORDEM], Table3[NOME FÍSICO TABELA]="trade_finance_route"), 1))</f>
        <v>#VALUE!</v>
      </c>
    </row>
    <row r="26" spans="2:19" x14ac:dyDescent="0.35">
      <c r="B26" s="123" t="s">
        <v>3661</v>
      </c>
      <c r="C26" s="167">
        <v>7</v>
      </c>
      <c r="D26" s="122" t="s">
        <v>3659</v>
      </c>
      <c r="E26" s="121" t="s">
        <v>3660</v>
      </c>
      <c r="F26" s="121" t="s">
        <v>372</v>
      </c>
      <c r="G26" s="121" t="s">
        <v>372</v>
      </c>
      <c r="H26" s="121" t="s">
        <v>372</v>
      </c>
      <c r="I26" s="167"/>
      <c r="J26" s="167"/>
      <c r="K26" s="167"/>
      <c r="L26" s="167"/>
      <c r="M26" s="167"/>
      <c r="N26" s="167"/>
      <c r="O26" s="167"/>
      <c r="P26" s="167"/>
      <c r="Q26" s="167"/>
      <c r="R26" s="109"/>
      <c r="S26" s="109"/>
    </row>
    <row r="28" spans="2:19" x14ac:dyDescent="0.35">
      <c r="B28" s="156" t="s">
        <v>3662</v>
      </c>
    </row>
    <row r="29" spans="2:19" x14ac:dyDescent="0.35">
      <c r="B29" s="150" t="s">
        <v>3663</v>
      </c>
      <c r="C29" s="150" t="s">
        <v>3664</v>
      </c>
      <c r="D29" s="151" t="s">
        <v>3665</v>
      </c>
      <c r="E29" s="150" t="s">
        <v>3666</v>
      </c>
      <c r="F29" s="150" t="s">
        <v>3667</v>
      </c>
    </row>
    <row r="30" spans="2:19" ht="87" x14ac:dyDescent="0.35">
      <c r="B30" s="127" t="s">
        <v>3668</v>
      </c>
      <c r="C30" s="131" t="s">
        <v>4523</v>
      </c>
      <c r="D30" s="53" t="s">
        <v>4550</v>
      </c>
      <c r="E30" s="169" t="s">
        <v>4551</v>
      </c>
      <c r="F30" s="152"/>
    </row>
    <row r="31" spans="2:19" ht="87" x14ac:dyDescent="0.35">
      <c r="B31" s="127" t="s">
        <v>4066</v>
      </c>
      <c r="C31" s="154" t="s">
        <v>4524</v>
      </c>
      <c r="D31" s="53" t="s">
        <v>4550</v>
      </c>
      <c r="E31" s="169" t="s">
        <v>4552</v>
      </c>
      <c r="F31" s="205"/>
    </row>
    <row r="32" spans="2:19" ht="87" x14ac:dyDescent="0.35">
      <c r="B32" s="127" t="s">
        <v>4553</v>
      </c>
      <c r="C32" s="154" t="s">
        <v>4525</v>
      </c>
      <c r="D32" s="53" t="s">
        <v>4550</v>
      </c>
      <c r="E32" s="169" t="s">
        <v>4554</v>
      </c>
      <c r="F32" s="205"/>
    </row>
    <row r="33" spans="2:6" ht="66" customHeight="1" x14ac:dyDescent="0.35">
      <c r="B33" s="314" t="s">
        <v>4555</v>
      </c>
      <c r="C33" s="315" t="s">
        <v>4443</v>
      </c>
      <c r="D33" s="316" t="s">
        <v>4556</v>
      </c>
      <c r="E33" s="317" t="s">
        <v>4557</v>
      </c>
      <c r="F33" s="318"/>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B1:AN48"/>
  <sheetViews>
    <sheetView showGridLines="0" workbookViewId="0">
      <selection activeCell="A14" sqref="A14:XFD14"/>
    </sheetView>
  </sheetViews>
  <sheetFormatPr defaultRowHeight="14.5" x14ac:dyDescent="0.35"/>
  <cols>
    <col min="2" max="2" width="30.7265625" bestFit="1" customWidth="1"/>
    <col min="3" max="3" width="32" customWidth="1"/>
    <col min="4" max="4" width="35.81640625" customWidth="1"/>
    <col min="5" max="5" width="30.453125" bestFit="1" customWidth="1"/>
    <col min="6" max="6" width="20.26953125" customWidth="1"/>
    <col min="7" max="7" width="11.453125" bestFit="1" customWidth="1"/>
    <col min="8" max="8" width="16.453125" bestFit="1" customWidth="1"/>
    <col min="9" max="9" width="18.453125" bestFit="1" customWidth="1"/>
    <col min="10" max="10" width="37.26953125" bestFit="1" customWidth="1"/>
    <col min="11" max="11" width="30.7265625" bestFit="1" customWidth="1"/>
    <col min="12" max="12" width="24.453125" bestFit="1" customWidth="1"/>
    <col min="13" max="13" width="27.7265625" bestFit="1" customWidth="1"/>
    <col min="14" max="14" width="30.7265625" bestFit="1" customWidth="1"/>
    <col min="15" max="15" width="39.54296875" bestFit="1" customWidth="1"/>
    <col min="16" max="17" width="30.7265625" bestFit="1" customWidth="1"/>
    <col min="18" max="18" width="28" bestFit="1" customWidth="1"/>
    <col min="19" max="19" width="30.7265625" bestFit="1" customWidth="1"/>
    <col min="20" max="20" width="33.26953125" bestFit="1" customWidth="1"/>
    <col min="21" max="21" width="20.453125" bestFit="1" customWidth="1"/>
    <col min="22" max="22" width="40.1796875" customWidth="1"/>
    <col min="23" max="23" width="18.81640625" bestFit="1" customWidth="1"/>
    <col min="24" max="24" width="31.54296875" bestFit="1" customWidth="1"/>
    <col min="25" max="25" width="32.1796875" bestFit="1" customWidth="1"/>
    <col min="26" max="26" width="32.453125" bestFit="1" customWidth="1"/>
    <col min="27" max="27" width="24" bestFit="1" customWidth="1"/>
    <col min="28" max="28" width="26" bestFit="1" customWidth="1"/>
    <col min="29" max="29" width="22.26953125" bestFit="1" customWidth="1"/>
    <col min="30" max="30" width="28.1796875" bestFit="1" customWidth="1"/>
    <col min="31" max="31" width="28.26953125" bestFit="1" customWidth="1"/>
    <col min="32" max="32" width="25.453125" bestFit="1" customWidth="1"/>
    <col min="33" max="33" width="27.453125" bestFit="1" customWidth="1"/>
    <col min="34" max="34" width="23.81640625" bestFit="1" customWidth="1"/>
    <col min="35" max="35" width="29.54296875" bestFit="1" customWidth="1"/>
    <col min="36" max="36" width="23" bestFit="1" customWidth="1"/>
    <col min="37" max="37" width="33.26953125" bestFit="1" customWidth="1"/>
    <col min="38" max="38" width="14.7265625" bestFit="1" customWidth="1"/>
    <col min="39" max="39" width="17.453125" bestFit="1" customWidth="1"/>
    <col min="40" max="40" width="26.81640625" bestFit="1" customWidth="1"/>
  </cols>
  <sheetData>
    <row r="1" spans="2:40" ht="26.25" customHeight="1" x14ac:dyDescent="0.35"/>
    <row r="2" spans="2:40" x14ac:dyDescent="0.35">
      <c r="B2" s="91" t="s">
        <v>3613</v>
      </c>
      <c r="C2" s="91" t="s">
        <v>3614</v>
      </c>
      <c r="D2" s="91" t="s">
        <v>3615</v>
      </c>
      <c r="E2" s="91" t="s">
        <v>3616</v>
      </c>
      <c r="F2" s="91" t="s">
        <v>3617</v>
      </c>
      <c r="G2" s="91" t="s">
        <v>3618</v>
      </c>
      <c r="H2" s="91" t="s">
        <v>3619</v>
      </c>
      <c r="I2" s="145" t="s">
        <v>121</v>
      </c>
      <c r="J2" s="145" t="s">
        <v>137</v>
      </c>
      <c r="K2" s="145" t="s">
        <v>149</v>
      </c>
      <c r="L2" s="145" t="s">
        <v>156</v>
      </c>
      <c r="M2" s="145" t="s">
        <v>168</v>
      </c>
      <c r="N2" s="145" t="s">
        <v>177</v>
      </c>
      <c r="O2" s="145" t="s">
        <v>188</v>
      </c>
      <c r="P2" s="145" t="s">
        <v>199</v>
      </c>
      <c r="Q2" s="145" t="s">
        <v>211</v>
      </c>
      <c r="R2" s="145" t="s">
        <v>223</v>
      </c>
      <c r="S2" s="145" t="s">
        <v>239</v>
      </c>
      <c r="T2" t="s">
        <v>261</v>
      </c>
      <c r="U2" t="s">
        <v>880</v>
      </c>
      <c r="V2" s="91" t="s">
        <v>1611</v>
      </c>
      <c r="W2" s="91" t="s">
        <v>649</v>
      </c>
      <c r="X2" s="91" t="s">
        <v>272</v>
      </c>
      <c r="Y2" s="91" t="s">
        <v>283</v>
      </c>
      <c r="Z2" s="91" t="s">
        <v>4123</v>
      </c>
      <c r="AA2" s="91" t="s">
        <v>1977</v>
      </c>
      <c r="AB2" s="91" t="s">
        <v>1988</v>
      </c>
      <c r="AC2" s="91" t="s">
        <v>1998</v>
      </c>
      <c r="AD2" s="91" t="s">
        <v>1515</v>
      </c>
      <c r="AE2" s="91" t="s">
        <v>1522</v>
      </c>
      <c r="AF2" s="91" t="s">
        <v>756</v>
      </c>
      <c r="AG2" s="91" t="s">
        <v>766</v>
      </c>
      <c r="AH2" s="91" t="s">
        <v>776</v>
      </c>
      <c r="AI2" s="91" t="s">
        <v>785</v>
      </c>
      <c r="AJ2" s="91" t="s">
        <v>294</v>
      </c>
      <c r="AK2" s="91" t="s">
        <v>305</v>
      </c>
      <c r="AL2" s="91" t="s">
        <v>318</v>
      </c>
      <c r="AM2" s="91" t="s">
        <v>327</v>
      </c>
      <c r="AN2" s="91" t="s">
        <v>334</v>
      </c>
    </row>
    <row r="3" spans="2:40" x14ac:dyDescent="0.35">
      <c r="B3" s="50" t="s">
        <v>3567</v>
      </c>
      <c r="C3" s="50">
        <v>1</v>
      </c>
      <c r="D3" s="50" t="s">
        <v>4558</v>
      </c>
      <c r="E3" s="111">
        <v>45513</v>
      </c>
      <c r="F3" s="50">
        <v>1</v>
      </c>
      <c r="G3" s="114">
        <v>1</v>
      </c>
      <c r="H3" s="241" t="s">
        <v>4559</v>
      </c>
      <c r="I3" s="50" t="s">
        <v>3621</v>
      </c>
      <c r="J3" s="50" t="s">
        <v>3621</v>
      </c>
      <c r="K3" s="50" t="s">
        <v>3621</v>
      </c>
      <c r="L3" s="50" t="s">
        <v>3621</v>
      </c>
      <c r="M3" s="50" t="s">
        <v>3621</v>
      </c>
      <c r="N3" s="50" t="s">
        <v>3621</v>
      </c>
      <c r="O3" s="50" t="s">
        <v>3621</v>
      </c>
      <c r="P3" s="50" t="s">
        <v>3621</v>
      </c>
      <c r="Q3" s="50" t="s">
        <v>3621</v>
      </c>
      <c r="R3" s="50" t="s">
        <v>3621</v>
      </c>
      <c r="S3" s="50" t="s">
        <v>3621</v>
      </c>
      <c r="T3" s="50" t="s">
        <v>3621</v>
      </c>
      <c r="U3" s="50" t="s">
        <v>3621</v>
      </c>
      <c r="V3" s="50" t="s">
        <v>3621</v>
      </c>
      <c r="W3" s="50" t="s">
        <v>3621</v>
      </c>
      <c r="X3" s="50" t="s">
        <v>3621</v>
      </c>
      <c r="Y3" s="50" t="s">
        <v>3621</v>
      </c>
      <c r="Z3" s="203" t="s">
        <v>3621</v>
      </c>
      <c r="AA3" s="203" t="s">
        <v>3621</v>
      </c>
      <c r="AB3" s="203" t="s">
        <v>3621</v>
      </c>
      <c r="AC3" s="203" t="s">
        <v>3621</v>
      </c>
      <c r="AD3" s="203" t="s">
        <v>3621</v>
      </c>
      <c r="AE3" s="203" t="s">
        <v>3621</v>
      </c>
      <c r="AF3" s="203" t="s">
        <v>3621</v>
      </c>
      <c r="AG3" s="203" t="s">
        <v>3621</v>
      </c>
      <c r="AH3" s="203" t="s">
        <v>3621</v>
      </c>
      <c r="AI3" s="203" t="s">
        <v>3621</v>
      </c>
      <c r="AJ3" s="50" t="s">
        <v>3621</v>
      </c>
      <c r="AK3" s="50" t="s">
        <v>3621</v>
      </c>
      <c r="AL3" s="50" t="s">
        <v>3621</v>
      </c>
      <c r="AM3" s="50" t="s">
        <v>3621</v>
      </c>
      <c r="AN3" s="50" t="s">
        <v>3621</v>
      </c>
    </row>
    <row r="4" spans="2:40" x14ac:dyDescent="0.35">
      <c r="B4" s="50" t="s">
        <v>3569</v>
      </c>
      <c r="C4" s="50">
        <v>2</v>
      </c>
      <c r="D4" s="50" t="s">
        <v>4560</v>
      </c>
      <c r="E4" s="111">
        <v>45513</v>
      </c>
      <c r="F4" s="50">
        <v>1</v>
      </c>
      <c r="G4" s="114">
        <v>1</v>
      </c>
      <c r="H4" s="201" t="s">
        <v>3630</v>
      </c>
      <c r="I4" s="50" t="s">
        <v>3621</v>
      </c>
      <c r="J4" s="50" t="s">
        <v>3621</v>
      </c>
      <c r="K4" s="50" t="s">
        <v>3621</v>
      </c>
      <c r="L4" s="50" t="s">
        <v>3621</v>
      </c>
      <c r="M4" s="50" t="s">
        <v>3621</v>
      </c>
      <c r="N4" s="50" t="s">
        <v>3621</v>
      </c>
      <c r="O4" s="50" t="s">
        <v>3621</v>
      </c>
      <c r="P4" s="50" t="s">
        <v>3621</v>
      </c>
      <c r="Q4" s="50" t="s">
        <v>3621</v>
      </c>
      <c r="R4" s="50" t="s">
        <v>3621</v>
      </c>
      <c r="S4" s="50" t="s">
        <v>3621</v>
      </c>
      <c r="T4" s="50" t="s">
        <v>3621</v>
      </c>
      <c r="U4" s="50" t="s">
        <v>3621</v>
      </c>
      <c r="V4" s="50" t="s">
        <v>3621</v>
      </c>
      <c r="W4" s="50" t="s">
        <v>3621</v>
      </c>
      <c r="X4" s="50" t="s">
        <v>3621</v>
      </c>
      <c r="Y4" s="50" t="s">
        <v>3621</v>
      </c>
      <c r="Z4" s="203" t="s">
        <v>3621</v>
      </c>
      <c r="AA4" s="203" t="s">
        <v>3621</v>
      </c>
      <c r="AB4" s="203" t="s">
        <v>3621</v>
      </c>
      <c r="AC4" s="203" t="s">
        <v>3621</v>
      </c>
      <c r="AD4" s="203" t="s">
        <v>3621</v>
      </c>
      <c r="AE4" s="203" t="s">
        <v>3621</v>
      </c>
      <c r="AF4" s="203" t="s">
        <v>3621</v>
      </c>
      <c r="AG4" s="203" t="s">
        <v>3621</v>
      </c>
      <c r="AH4" s="203" t="s">
        <v>3621</v>
      </c>
      <c r="AI4" s="203" t="s">
        <v>3621</v>
      </c>
      <c r="AJ4" s="50" t="s">
        <v>3621</v>
      </c>
      <c r="AK4" s="50" t="s">
        <v>3621</v>
      </c>
      <c r="AL4" s="50" t="s">
        <v>3621</v>
      </c>
      <c r="AM4" s="50" t="s">
        <v>3621</v>
      </c>
      <c r="AN4" s="50" t="s">
        <v>3621</v>
      </c>
    </row>
    <row r="5" spans="2:40" x14ac:dyDescent="0.35">
      <c r="B5" s="50" t="s">
        <v>3571</v>
      </c>
      <c r="C5" s="50">
        <v>3</v>
      </c>
      <c r="D5" s="50" t="s">
        <v>4561</v>
      </c>
      <c r="E5" s="111">
        <v>45513</v>
      </c>
      <c r="F5" s="50">
        <v>1</v>
      </c>
      <c r="G5" s="114">
        <v>1</v>
      </c>
      <c r="H5" s="201" t="s">
        <v>3630</v>
      </c>
      <c r="I5" s="50">
        <v>0</v>
      </c>
      <c r="J5" s="50">
        <v>0</v>
      </c>
      <c r="K5" s="50" t="s">
        <v>3621</v>
      </c>
      <c r="L5" s="50" t="s">
        <v>3621</v>
      </c>
      <c r="M5" s="50" t="s">
        <v>3621</v>
      </c>
      <c r="N5" s="50" t="s">
        <v>3621</v>
      </c>
      <c r="O5" s="50" t="s">
        <v>3621</v>
      </c>
      <c r="P5" s="50" t="s">
        <v>3621</v>
      </c>
      <c r="Q5" s="50" t="s">
        <v>3621</v>
      </c>
      <c r="R5" s="50" t="s">
        <v>3621</v>
      </c>
      <c r="S5" s="50" t="s">
        <v>3621</v>
      </c>
      <c r="T5" s="50" t="s">
        <v>3621</v>
      </c>
      <c r="U5" s="50" t="s">
        <v>3621</v>
      </c>
      <c r="V5" s="50" t="s">
        <v>3621</v>
      </c>
      <c r="W5" s="50" t="s">
        <v>3621</v>
      </c>
      <c r="X5" s="50" t="s">
        <v>3621</v>
      </c>
      <c r="Y5" s="50" t="s">
        <v>3621</v>
      </c>
      <c r="Z5" s="203" t="s">
        <v>3621</v>
      </c>
      <c r="AA5" s="203" t="s">
        <v>3621</v>
      </c>
      <c r="AB5" s="203" t="s">
        <v>3621</v>
      </c>
      <c r="AC5" s="203" t="s">
        <v>3621</v>
      </c>
      <c r="AD5" s="203" t="s">
        <v>3621</v>
      </c>
      <c r="AE5" s="203" t="s">
        <v>3621</v>
      </c>
      <c r="AF5" s="203" t="s">
        <v>3621</v>
      </c>
      <c r="AG5" s="203" t="s">
        <v>3621</v>
      </c>
      <c r="AH5" s="203" t="s">
        <v>3621</v>
      </c>
      <c r="AI5" s="203" t="s">
        <v>3621</v>
      </c>
      <c r="AJ5" s="50" t="s">
        <v>3621</v>
      </c>
      <c r="AK5" s="50" t="s">
        <v>3621</v>
      </c>
      <c r="AL5" s="50" t="s">
        <v>3621</v>
      </c>
      <c r="AM5" s="50">
        <v>0</v>
      </c>
      <c r="AN5" s="50" t="s">
        <v>3621</v>
      </c>
    </row>
    <row r="6" spans="2:40" x14ac:dyDescent="0.35">
      <c r="B6" s="113" t="s">
        <v>3573</v>
      </c>
      <c r="C6" s="50">
        <v>4</v>
      </c>
      <c r="D6" s="50" t="s">
        <v>3624</v>
      </c>
      <c r="E6" s="111" t="s">
        <v>3621</v>
      </c>
      <c r="F6" s="50">
        <v>1</v>
      </c>
      <c r="G6" s="50" t="s">
        <v>3621</v>
      </c>
      <c r="H6" s="201" t="s">
        <v>3621</v>
      </c>
      <c r="I6" s="50" t="s">
        <v>3621</v>
      </c>
      <c r="J6" s="50" t="s">
        <v>3621</v>
      </c>
      <c r="K6" s="50" t="s">
        <v>3621</v>
      </c>
      <c r="L6" s="50" t="s">
        <v>3621</v>
      </c>
      <c r="M6" s="50" t="s">
        <v>3621</v>
      </c>
      <c r="N6" s="50" t="s">
        <v>3621</v>
      </c>
      <c r="O6" s="50" t="s">
        <v>3621</v>
      </c>
      <c r="P6" s="50" t="s">
        <v>3621</v>
      </c>
      <c r="Q6" s="50" t="s">
        <v>3621</v>
      </c>
      <c r="R6" s="50" t="s">
        <v>3621</v>
      </c>
      <c r="S6" s="50" t="s">
        <v>3621</v>
      </c>
      <c r="T6" s="50" t="s">
        <v>3621</v>
      </c>
      <c r="U6" s="50" t="s">
        <v>3621</v>
      </c>
      <c r="V6" s="50" t="s">
        <v>3621</v>
      </c>
      <c r="W6" s="50" t="s">
        <v>3621</v>
      </c>
      <c r="X6" s="50" t="s">
        <v>3621</v>
      </c>
      <c r="Y6" s="50" t="s">
        <v>3621</v>
      </c>
      <c r="Z6" s="203" t="s">
        <v>3621</v>
      </c>
      <c r="AA6" s="203" t="s">
        <v>3621</v>
      </c>
      <c r="AB6" s="203" t="s">
        <v>3621</v>
      </c>
      <c r="AC6" s="203" t="s">
        <v>3621</v>
      </c>
      <c r="AD6" s="203" t="s">
        <v>3621</v>
      </c>
      <c r="AE6" s="203" t="s">
        <v>3621</v>
      </c>
      <c r="AF6" s="203" t="s">
        <v>3621</v>
      </c>
      <c r="AG6" s="203" t="s">
        <v>3621</v>
      </c>
      <c r="AH6" s="203" t="s">
        <v>3621</v>
      </c>
      <c r="AI6" s="203" t="s">
        <v>3621</v>
      </c>
      <c r="AJ6" s="50" t="s">
        <v>3621</v>
      </c>
      <c r="AK6" s="50" t="s">
        <v>3621</v>
      </c>
      <c r="AL6" s="50" t="s">
        <v>3621</v>
      </c>
      <c r="AM6" s="50" t="s">
        <v>3621</v>
      </c>
      <c r="AN6" s="50" t="s">
        <v>3621</v>
      </c>
    </row>
    <row r="7" spans="2:40" x14ac:dyDescent="0.35">
      <c r="B7" s="50" t="s">
        <v>3575</v>
      </c>
      <c r="C7" s="50">
        <v>5</v>
      </c>
      <c r="D7" s="50" t="s">
        <v>3624</v>
      </c>
      <c r="E7" s="111" t="s">
        <v>3621</v>
      </c>
      <c r="F7" s="50">
        <v>1</v>
      </c>
      <c r="G7" s="50" t="s">
        <v>3621</v>
      </c>
      <c r="H7" s="201" t="s">
        <v>3621</v>
      </c>
      <c r="I7" s="50" t="s">
        <v>3621</v>
      </c>
      <c r="J7" s="50" t="s">
        <v>3621</v>
      </c>
      <c r="K7" s="50" t="s">
        <v>3621</v>
      </c>
      <c r="L7" s="50" t="s">
        <v>3621</v>
      </c>
      <c r="M7" s="50" t="s">
        <v>3621</v>
      </c>
      <c r="N7" s="50" t="s">
        <v>3621</v>
      </c>
      <c r="O7" s="50" t="s">
        <v>3621</v>
      </c>
      <c r="P7" s="50" t="s">
        <v>3621</v>
      </c>
      <c r="Q7" s="50" t="s">
        <v>3621</v>
      </c>
      <c r="R7" s="50" t="s">
        <v>3621</v>
      </c>
      <c r="S7" s="50" t="s">
        <v>3621</v>
      </c>
      <c r="T7" s="50" t="s">
        <v>3621</v>
      </c>
      <c r="U7" s="50" t="s">
        <v>3621</v>
      </c>
      <c r="V7" s="50" t="s">
        <v>3621</v>
      </c>
      <c r="W7" s="50" t="s">
        <v>3621</v>
      </c>
      <c r="X7" s="50" t="s">
        <v>3621</v>
      </c>
      <c r="Y7" s="50" t="s">
        <v>3621</v>
      </c>
      <c r="Z7" s="203" t="s">
        <v>3621</v>
      </c>
      <c r="AA7" s="203" t="s">
        <v>3621</v>
      </c>
      <c r="AB7" s="203" t="s">
        <v>3621</v>
      </c>
      <c r="AC7" s="203" t="s">
        <v>3621</v>
      </c>
      <c r="AD7" s="203" t="s">
        <v>3621</v>
      </c>
      <c r="AE7" s="203" t="s">
        <v>3621</v>
      </c>
      <c r="AF7" s="203" t="s">
        <v>3621</v>
      </c>
      <c r="AG7" s="203" t="s">
        <v>3621</v>
      </c>
      <c r="AH7" s="203" t="s">
        <v>3621</v>
      </c>
      <c r="AI7" s="203" t="s">
        <v>3621</v>
      </c>
      <c r="AJ7" s="50" t="s">
        <v>3621</v>
      </c>
      <c r="AK7" s="50" t="s">
        <v>3621</v>
      </c>
      <c r="AL7" s="50" t="s">
        <v>3621</v>
      </c>
      <c r="AM7" s="50" t="s">
        <v>3621</v>
      </c>
      <c r="AN7" s="50" t="s">
        <v>3621</v>
      </c>
    </row>
    <row r="8" spans="2:40" x14ac:dyDescent="0.35">
      <c r="B8" s="113" t="s">
        <v>3576</v>
      </c>
      <c r="C8" s="50">
        <v>6</v>
      </c>
      <c r="D8" s="50" t="s">
        <v>4562</v>
      </c>
      <c r="E8" s="111">
        <v>45513</v>
      </c>
      <c r="F8" s="50">
        <v>1</v>
      </c>
      <c r="G8" s="225" cm="1">
        <f t="array" ref="G8">SUMPRODUCT(--(I8:AN8&gt;0))/COUNTA(I8:AN8)</f>
        <v>1</v>
      </c>
      <c r="H8" s="201" t="s">
        <v>3630</v>
      </c>
      <c r="I8" s="50">
        <v>2</v>
      </c>
      <c r="J8" s="50">
        <v>30</v>
      </c>
      <c r="K8" s="50">
        <v>3</v>
      </c>
      <c r="L8" s="50">
        <v>3</v>
      </c>
      <c r="M8" s="50">
        <v>3</v>
      </c>
      <c r="N8" s="50">
        <v>2</v>
      </c>
      <c r="O8" s="50">
        <v>30</v>
      </c>
      <c r="P8" s="50">
        <v>10</v>
      </c>
      <c r="Q8" s="50">
        <v>10</v>
      </c>
      <c r="R8" s="50">
        <v>3</v>
      </c>
      <c r="S8" s="50">
        <v>1</v>
      </c>
      <c r="T8" s="50">
        <v>8</v>
      </c>
      <c r="U8" s="50">
        <v>8</v>
      </c>
      <c r="V8" s="50">
        <v>8</v>
      </c>
      <c r="W8" s="50">
        <v>8</v>
      </c>
      <c r="X8" s="50">
        <v>8</v>
      </c>
      <c r="Y8" s="50">
        <v>8</v>
      </c>
      <c r="Z8" s="203">
        <v>32</v>
      </c>
      <c r="AA8" s="203">
        <v>23</v>
      </c>
      <c r="AB8" s="203">
        <v>25</v>
      </c>
      <c r="AC8" s="203">
        <v>21</v>
      </c>
      <c r="AD8" s="203">
        <v>28</v>
      </c>
      <c r="AE8" s="203">
        <v>25</v>
      </c>
      <c r="AF8" s="203">
        <v>23</v>
      </c>
      <c r="AG8" s="203">
        <v>25</v>
      </c>
      <c r="AH8" s="203">
        <v>21</v>
      </c>
      <c r="AI8" s="203">
        <v>28</v>
      </c>
      <c r="AJ8" s="50">
        <v>3</v>
      </c>
      <c r="AK8" s="50">
        <v>3</v>
      </c>
      <c r="AL8" s="50">
        <v>2</v>
      </c>
      <c r="AM8" s="50">
        <v>10</v>
      </c>
      <c r="AN8" s="50">
        <v>23</v>
      </c>
    </row>
    <row r="9" spans="2:40" x14ac:dyDescent="0.35">
      <c r="B9" s="50" t="s">
        <v>3579</v>
      </c>
      <c r="C9" s="50">
        <v>7</v>
      </c>
      <c r="D9" s="50" t="s">
        <v>4563</v>
      </c>
      <c r="E9" s="111">
        <v>45513</v>
      </c>
      <c r="F9" s="50">
        <v>1</v>
      </c>
      <c r="G9" s="225" cm="1">
        <f t="array" ref="G9">SUMPRODUCT(--(I9:AN9 &lt;= I28:AN28))/COUNTA(I28:AN28)</f>
        <v>1</v>
      </c>
      <c r="H9" s="201" t="s">
        <v>3630</v>
      </c>
      <c r="I9" s="50">
        <v>2</v>
      </c>
      <c r="J9" s="50">
        <v>30</v>
      </c>
      <c r="K9" s="50">
        <v>3</v>
      </c>
      <c r="L9" s="50">
        <v>3</v>
      </c>
      <c r="M9" s="50">
        <v>3</v>
      </c>
      <c r="N9" s="50">
        <v>2</v>
      </c>
      <c r="O9" s="50">
        <v>30</v>
      </c>
      <c r="P9" s="50">
        <v>10</v>
      </c>
      <c r="Q9" s="50">
        <v>10</v>
      </c>
      <c r="R9" s="50">
        <v>3</v>
      </c>
      <c r="S9" s="50">
        <v>1</v>
      </c>
      <c r="T9" s="50">
        <v>16</v>
      </c>
      <c r="U9" s="50">
        <v>15</v>
      </c>
      <c r="V9" s="50">
        <v>14</v>
      </c>
      <c r="W9" s="50">
        <v>15</v>
      </c>
      <c r="X9" s="50">
        <v>13</v>
      </c>
      <c r="Y9" s="50">
        <v>14</v>
      </c>
      <c r="Z9" s="203">
        <v>1</v>
      </c>
      <c r="AA9" s="203">
        <v>1</v>
      </c>
      <c r="AB9" s="203">
        <v>1</v>
      </c>
      <c r="AC9" s="203">
        <v>1</v>
      </c>
      <c r="AD9" s="203">
        <v>1</v>
      </c>
      <c r="AE9" s="203">
        <v>1</v>
      </c>
      <c r="AF9" s="203">
        <v>1</v>
      </c>
      <c r="AG9" s="203">
        <v>1</v>
      </c>
      <c r="AH9" s="203">
        <v>1</v>
      </c>
      <c r="AI9" s="203">
        <v>1</v>
      </c>
      <c r="AJ9" s="50">
        <v>3</v>
      </c>
      <c r="AK9" s="50">
        <v>3</v>
      </c>
      <c r="AL9" s="50">
        <v>2</v>
      </c>
      <c r="AM9" s="50">
        <v>10</v>
      </c>
      <c r="AN9" s="50">
        <v>23</v>
      </c>
    </row>
    <row r="10" spans="2:40" x14ac:dyDescent="0.35">
      <c r="B10" s="50" t="s">
        <v>3582</v>
      </c>
      <c r="C10" s="50">
        <v>8</v>
      </c>
      <c r="D10" s="50" t="s">
        <v>4564</v>
      </c>
      <c r="E10" s="111">
        <v>45513</v>
      </c>
      <c r="F10" s="50">
        <v>1</v>
      </c>
      <c r="G10" s="50" t="s">
        <v>3621</v>
      </c>
      <c r="H10" s="201" t="s">
        <v>3630</v>
      </c>
      <c r="I10" s="50">
        <v>31</v>
      </c>
      <c r="J10" s="196" t="s">
        <v>4565</v>
      </c>
      <c r="K10" s="50" t="s">
        <v>4566</v>
      </c>
      <c r="L10" s="50">
        <v>22</v>
      </c>
      <c r="M10" s="50">
        <v>0</v>
      </c>
      <c r="N10" s="50">
        <v>31</v>
      </c>
      <c r="O10" s="50">
        <v>2.2822000999999998E+22</v>
      </c>
      <c r="P10" s="111">
        <v>31530</v>
      </c>
      <c r="Q10" s="111">
        <v>34698</v>
      </c>
      <c r="R10" s="50">
        <v>826</v>
      </c>
      <c r="S10" s="114">
        <v>0</v>
      </c>
      <c r="T10" s="196" t="s">
        <v>3630</v>
      </c>
      <c r="U10" s="114">
        <v>-900000000000</v>
      </c>
      <c r="V10" s="50" t="s">
        <v>3630</v>
      </c>
      <c r="W10" s="114">
        <v>-16362170000</v>
      </c>
      <c r="X10" s="114">
        <v>-42408660000</v>
      </c>
      <c r="Y10" s="50" t="s">
        <v>3630</v>
      </c>
      <c r="Z10" s="203" t="s">
        <v>4123</v>
      </c>
      <c r="AA10" s="203" t="s">
        <v>1977</v>
      </c>
      <c r="AB10" s="203" t="s">
        <v>1988</v>
      </c>
      <c r="AC10" s="203" t="s">
        <v>1998</v>
      </c>
      <c r="AD10" s="203" t="s">
        <v>1515</v>
      </c>
      <c r="AE10" s="203" t="s">
        <v>1522</v>
      </c>
      <c r="AF10" s="203" t="s">
        <v>756</v>
      </c>
      <c r="AG10" s="203" t="s">
        <v>766</v>
      </c>
      <c r="AH10" s="203" t="s">
        <v>776</v>
      </c>
      <c r="AI10" s="203" t="s">
        <v>785</v>
      </c>
      <c r="AJ10" s="50" t="s">
        <v>3631</v>
      </c>
      <c r="AK10" s="50" t="s">
        <v>3632</v>
      </c>
      <c r="AL10" s="50" t="s">
        <v>3749</v>
      </c>
      <c r="AM10" s="111">
        <v>45513</v>
      </c>
      <c r="AN10" s="50" t="s">
        <v>4567</v>
      </c>
    </row>
    <row r="11" spans="2:40" x14ac:dyDescent="0.35">
      <c r="B11" s="50" t="s">
        <v>3584</v>
      </c>
      <c r="C11" s="50">
        <v>9</v>
      </c>
      <c r="D11" s="50" t="s">
        <v>4568</v>
      </c>
      <c r="E11" s="111">
        <v>45513</v>
      </c>
      <c r="F11" s="50">
        <v>1</v>
      </c>
      <c r="G11" s="50" t="s">
        <v>3621</v>
      </c>
      <c r="H11" s="201" t="s">
        <v>3630</v>
      </c>
      <c r="I11" s="50">
        <v>31</v>
      </c>
      <c r="J11" s="196" t="s">
        <v>4565</v>
      </c>
      <c r="K11" s="50" t="s">
        <v>4569</v>
      </c>
      <c r="L11" s="50">
        <v>22</v>
      </c>
      <c r="M11" s="50">
        <v>0</v>
      </c>
      <c r="N11" s="50"/>
      <c r="O11" s="50">
        <v>2.2822000999999998E+22</v>
      </c>
      <c r="P11" s="111">
        <v>31530</v>
      </c>
      <c r="Q11" s="111">
        <v>34698</v>
      </c>
      <c r="R11" s="50">
        <v>826</v>
      </c>
      <c r="S11" s="50">
        <v>0</v>
      </c>
      <c r="T11" s="196" t="s">
        <v>3706</v>
      </c>
      <c r="U11" s="114">
        <v>-900000000000</v>
      </c>
      <c r="V11" s="50" t="s">
        <v>3706</v>
      </c>
      <c r="W11" s="114">
        <v>-16362170000</v>
      </c>
      <c r="X11" s="114" t="s">
        <v>4570</v>
      </c>
      <c r="Y11" s="50" t="s">
        <v>3706</v>
      </c>
      <c r="Z11" s="203" t="s">
        <v>4123</v>
      </c>
      <c r="AA11" s="203" t="s">
        <v>1977</v>
      </c>
      <c r="AB11" s="203" t="s">
        <v>1988</v>
      </c>
      <c r="AC11" s="203" t="s">
        <v>1998</v>
      </c>
      <c r="AD11" s="203" t="s">
        <v>1515</v>
      </c>
      <c r="AE11" s="203" t="s">
        <v>1522</v>
      </c>
      <c r="AF11" s="203" t="s">
        <v>756</v>
      </c>
      <c r="AG11" s="203" t="s">
        <v>766</v>
      </c>
      <c r="AH11" s="203" t="s">
        <v>776</v>
      </c>
      <c r="AI11" s="203" t="s">
        <v>785</v>
      </c>
      <c r="AJ11" s="50">
        <v>0</v>
      </c>
      <c r="AK11" s="50"/>
      <c r="AL11" s="50" t="s">
        <v>3749</v>
      </c>
      <c r="AM11" s="111">
        <v>45513</v>
      </c>
      <c r="AN11" s="50" t="s">
        <v>4571</v>
      </c>
    </row>
    <row r="12" spans="2:40" x14ac:dyDescent="0.35">
      <c r="B12" s="113" t="s">
        <v>3586</v>
      </c>
      <c r="C12" s="50">
        <v>10</v>
      </c>
      <c r="D12" s="50" t="s">
        <v>4572</v>
      </c>
      <c r="E12" s="111">
        <v>45513</v>
      </c>
      <c r="F12" s="50">
        <v>1</v>
      </c>
      <c r="G12" s="50" t="s">
        <v>3621</v>
      </c>
      <c r="H12" s="201" t="s">
        <v>3630</v>
      </c>
      <c r="I12" s="50">
        <v>31</v>
      </c>
      <c r="J12" s="196" t="s">
        <v>4573</v>
      </c>
      <c r="K12" s="50" t="s">
        <v>4566</v>
      </c>
      <c r="L12" s="50">
        <v>97</v>
      </c>
      <c r="M12" s="111" t="s">
        <v>4574</v>
      </c>
      <c r="N12" s="50">
        <v>31</v>
      </c>
      <c r="O12" s="114">
        <v>2.3930258433501999E+29</v>
      </c>
      <c r="P12" s="209">
        <v>45513</v>
      </c>
      <c r="Q12" s="111">
        <v>2958464</v>
      </c>
      <c r="R12" s="50">
        <v>978</v>
      </c>
      <c r="S12" s="306" t="s">
        <v>4347</v>
      </c>
      <c r="T12" s="196" t="s">
        <v>4575</v>
      </c>
      <c r="U12" s="114">
        <v>72487500000000</v>
      </c>
      <c r="V12" s="114">
        <v>1634115960000</v>
      </c>
      <c r="W12" s="114">
        <v>27512500000000</v>
      </c>
      <c r="X12" s="114">
        <v>571000000000</v>
      </c>
      <c r="Y12" s="114">
        <v>1634115960000</v>
      </c>
      <c r="Z12" s="203" t="s">
        <v>4123</v>
      </c>
      <c r="AA12" s="203" t="s">
        <v>1977</v>
      </c>
      <c r="AB12" s="203" t="s">
        <v>1988</v>
      </c>
      <c r="AC12" s="203" t="s">
        <v>1998</v>
      </c>
      <c r="AD12" s="203" t="s">
        <v>1515</v>
      </c>
      <c r="AE12" s="203" t="s">
        <v>1522</v>
      </c>
      <c r="AF12" s="203" t="s">
        <v>756</v>
      </c>
      <c r="AG12" s="203" t="s">
        <v>766</v>
      </c>
      <c r="AH12" s="203" t="s">
        <v>776</v>
      </c>
      <c r="AI12" s="203" t="s">
        <v>785</v>
      </c>
      <c r="AJ12" s="50" t="s">
        <v>3805</v>
      </c>
      <c r="AK12" s="50" t="s">
        <v>3632</v>
      </c>
      <c r="AL12" s="50" t="s">
        <v>3641</v>
      </c>
      <c r="AM12" s="111">
        <v>45513</v>
      </c>
      <c r="AN12" s="50" t="s">
        <v>4567</v>
      </c>
    </row>
    <row r="13" spans="2:40" x14ac:dyDescent="0.35">
      <c r="B13" s="50" t="s">
        <v>3588</v>
      </c>
      <c r="C13" s="50">
        <v>11</v>
      </c>
      <c r="D13" s="50" t="s">
        <v>4576</v>
      </c>
      <c r="E13" s="111">
        <v>45513</v>
      </c>
      <c r="F13" s="50">
        <v>1</v>
      </c>
      <c r="G13" s="50" t="s">
        <v>3621</v>
      </c>
      <c r="H13" s="201" t="s">
        <v>3630</v>
      </c>
      <c r="I13" s="50">
        <v>31</v>
      </c>
      <c r="J13" s="196" t="s">
        <v>4573</v>
      </c>
      <c r="K13" s="50" t="s">
        <v>4569</v>
      </c>
      <c r="L13" s="50">
        <v>97</v>
      </c>
      <c r="M13" s="111" t="s">
        <v>4574</v>
      </c>
      <c r="N13" s="50"/>
      <c r="O13" s="50">
        <v>2.3930258433501999E+29</v>
      </c>
      <c r="P13" s="111">
        <v>45513</v>
      </c>
      <c r="Q13" s="111">
        <v>2958464</v>
      </c>
      <c r="R13" s="50">
        <v>978</v>
      </c>
      <c r="S13" s="50">
        <v>1</v>
      </c>
      <c r="T13" s="196" t="s">
        <v>4577</v>
      </c>
      <c r="U13" s="114">
        <v>72487500000000</v>
      </c>
      <c r="V13" s="114" t="s">
        <v>4578</v>
      </c>
      <c r="W13" s="114">
        <v>27512500000000</v>
      </c>
      <c r="X13" s="114" t="s">
        <v>4579</v>
      </c>
      <c r="Y13" s="114" t="s">
        <v>4578</v>
      </c>
      <c r="Z13" s="203" t="s">
        <v>4123</v>
      </c>
      <c r="AA13" s="203" t="s">
        <v>1977</v>
      </c>
      <c r="AB13" s="203" t="s">
        <v>1988</v>
      </c>
      <c r="AC13" s="203" t="s">
        <v>1998</v>
      </c>
      <c r="AD13" s="203" t="s">
        <v>1515</v>
      </c>
      <c r="AE13" s="203" t="s">
        <v>1522</v>
      </c>
      <c r="AF13" s="203" t="s">
        <v>756</v>
      </c>
      <c r="AG13" s="203" t="s">
        <v>766</v>
      </c>
      <c r="AH13" s="203" t="s">
        <v>776</v>
      </c>
      <c r="AI13" s="203" t="s">
        <v>785</v>
      </c>
      <c r="AJ13" s="50">
        <v>8</v>
      </c>
      <c r="AK13" s="50"/>
      <c r="AL13" s="50" t="s">
        <v>3641</v>
      </c>
      <c r="AM13" s="111">
        <v>45513</v>
      </c>
      <c r="AN13" s="50" t="s">
        <v>4580</v>
      </c>
    </row>
    <row r="14" spans="2:40" x14ac:dyDescent="0.35">
      <c r="B14" s="50" t="s">
        <v>3590</v>
      </c>
      <c r="C14" s="50">
        <v>12</v>
      </c>
      <c r="D14" s="50" t="s">
        <v>4581</v>
      </c>
      <c r="E14" s="111">
        <v>45513</v>
      </c>
      <c r="F14" s="50">
        <v>1</v>
      </c>
      <c r="G14" s="209" t="s">
        <v>4582</v>
      </c>
      <c r="H14" s="201" t="s">
        <v>3630</v>
      </c>
      <c r="I14" s="50">
        <v>0</v>
      </c>
      <c r="J14" s="50">
        <v>0</v>
      </c>
      <c r="K14" s="50">
        <v>0</v>
      </c>
      <c r="L14" s="50">
        <v>0</v>
      </c>
      <c r="M14" s="50">
        <v>0</v>
      </c>
      <c r="N14" s="50">
        <v>0</v>
      </c>
      <c r="O14" s="50">
        <v>790</v>
      </c>
      <c r="P14" s="50">
        <v>0</v>
      </c>
      <c r="Q14" s="50">
        <v>0</v>
      </c>
      <c r="R14" s="50">
        <v>0</v>
      </c>
      <c r="S14" s="50">
        <v>0</v>
      </c>
      <c r="T14" s="50">
        <v>0</v>
      </c>
      <c r="U14" s="50">
        <v>0</v>
      </c>
      <c r="V14" s="50">
        <v>0</v>
      </c>
      <c r="W14" s="50">
        <v>0</v>
      </c>
      <c r="X14" s="50">
        <v>0</v>
      </c>
      <c r="Y14" s="50">
        <v>0</v>
      </c>
      <c r="Z14" s="203">
        <v>0</v>
      </c>
      <c r="AA14" s="203">
        <v>0</v>
      </c>
      <c r="AB14" s="203">
        <v>0</v>
      </c>
      <c r="AC14" s="203">
        <v>0</v>
      </c>
      <c r="AD14" s="203">
        <v>0</v>
      </c>
      <c r="AE14" s="203">
        <v>0</v>
      </c>
      <c r="AF14" s="203">
        <v>0</v>
      </c>
      <c r="AG14" s="203">
        <v>0</v>
      </c>
      <c r="AH14" s="203">
        <v>0</v>
      </c>
      <c r="AI14" s="203">
        <v>0</v>
      </c>
      <c r="AJ14" s="50">
        <v>0</v>
      </c>
      <c r="AK14" s="50">
        <v>0</v>
      </c>
      <c r="AL14" s="50">
        <v>0</v>
      </c>
      <c r="AM14" s="50">
        <v>0</v>
      </c>
      <c r="AN14" s="50">
        <v>0</v>
      </c>
    </row>
    <row r="15" spans="2:40" x14ac:dyDescent="0.35">
      <c r="B15" s="50" t="s">
        <v>3592</v>
      </c>
      <c r="C15" s="50">
        <v>13</v>
      </c>
      <c r="D15" s="50" t="s">
        <v>4583</v>
      </c>
      <c r="E15" s="111">
        <v>45513</v>
      </c>
      <c r="F15" s="50">
        <v>1</v>
      </c>
      <c r="G15" s="114">
        <v>1</v>
      </c>
      <c r="H15" s="201" t="s">
        <v>3630</v>
      </c>
      <c r="I15" s="50" t="s">
        <v>3621</v>
      </c>
      <c r="J15" s="50" t="s">
        <v>3621</v>
      </c>
      <c r="K15" s="50" t="s">
        <v>3621</v>
      </c>
      <c r="L15" s="50" t="s">
        <v>3621</v>
      </c>
      <c r="M15" s="50" t="s">
        <v>3621</v>
      </c>
      <c r="N15" s="50" t="s">
        <v>3621</v>
      </c>
      <c r="O15" s="50" t="s">
        <v>3621</v>
      </c>
      <c r="P15" s="50">
        <v>0</v>
      </c>
      <c r="Q15" s="50">
        <v>0</v>
      </c>
      <c r="R15" s="50" t="s">
        <v>3621</v>
      </c>
      <c r="S15" s="50" t="s">
        <v>3621</v>
      </c>
      <c r="T15" s="50" t="s">
        <v>3621</v>
      </c>
      <c r="U15" s="50" t="s">
        <v>3621</v>
      </c>
      <c r="V15" s="50" t="s">
        <v>3621</v>
      </c>
      <c r="W15" s="50" t="s">
        <v>3621</v>
      </c>
      <c r="X15" s="50" t="s">
        <v>3621</v>
      </c>
      <c r="Y15" s="50" t="s">
        <v>3621</v>
      </c>
      <c r="Z15" s="203" t="s">
        <v>3621</v>
      </c>
      <c r="AA15" s="203" t="s">
        <v>3621</v>
      </c>
      <c r="AB15" s="203" t="s">
        <v>3621</v>
      </c>
      <c r="AC15" s="203" t="s">
        <v>3621</v>
      </c>
      <c r="AD15" s="203" t="s">
        <v>3621</v>
      </c>
      <c r="AE15" s="203" t="s">
        <v>3621</v>
      </c>
      <c r="AF15" s="203" t="s">
        <v>3621</v>
      </c>
      <c r="AG15" s="203" t="s">
        <v>3621</v>
      </c>
      <c r="AH15" s="203" t="s">
        <v>3621</v>
      </c>
      <c r="AI15" s="203" t="s">
        <v>3621</v>
      </c>
      <c r="AJ15" s="50" t="s">
        <v>3621</v>
      </c>
      <c r="AK15" s="50" t="s">
        <v>3621</v>
      </c>
      <c r="AL15" s="50" t="s">
        <v>3621</v>
      </c>
      <c r="AM15" s="50" t="s">
        <v>3621</v>
      </c>
      <c r="AN15" s="50" t="s">
        <v>3621</v>
      </c>
    </row>
    <row r="16" spans="2:40" x14ac:dyDescent="0.35">
      <c r="B16" s="50" t="s">
        <v>3594</v>
      </c>
      <c r="C16" s="50">
        <v>14</v>
      </c>
      <c r="D16" s="50" t="s">
        <v>4584</v>
      </c>
      <c r="E16" s="111">
        <v>45513</v>
      </c>
      <c r="F16" s="50">
        <v>1</v>
      </c>
      <c r="G16" s="114">
        <v>1</v>
      </c>
      <c r="H16" s="201" t="s">
        <v>3630</v>
      </c>
      <c r="I16" s="50">
        <v>0</v>
      </c>
      <c r="J16" s="50">
        <v>0</v>
      </c>
      <c r="K16" s="50">
        <v>0</v>
      </c>
      <c r="L16" s="50">
        <v>0</v>
      </c>
      <c r="M16" s="50">
        <v>0</v>
      </c>
      <c r="N16" s="50">
        <v>0</v>
      </c>
      <c r="O16" s="50">
        <v>0</v>
      </c>
      <c r="P16" s="50" t="s">
        <v>3621</v>
      </c>
      <c r="Q16" s="50" t="s">
        <v>3621</v>
      </c>
      <c r="R16" s="50">
        <v>0</v>
      </c>
      <c r="S16" s="50" t="s">
        <v>3621</v>
      </c>
      <c r="T16" s="50" t="s">
        <v>3621</v>
      </c>
      <c r="U16" s="50" t="s">
        <v>3621</v>
      </c>
      <c r="V16" s="50" t="s">
        <v>3621</v>
      </c>
      <c r="W16" s="50" t="s">
        <v>3621</v>
      </c>
      <c r="X16" s="50" t="s">
        <v>3621</v>
      </c>
      <c r="Y16" s="50" t="s">
        <v>3621</v>
      </c>
      <c r="Z16" s="203" t="s">
        <v>3621</v>
      </c>
      <c r="AA16" s="203" t="s">
        <v>3621</v>
      </c>
      <c r="AB16" s="203" t="s">
        <v>3621</v>
      </c>
      <c r="AC16" s="203" t="s">
        <v>3621</v>
      </c>
      <c r="AD16" s="203" t="s">
        <v>3621</v>
      </c>
      <c r="AE16" s="203">
        <v>0</v>
      </c>
      <c r="AF16" s="203" t="s">
        <v>3621</v>
      </c>
      <c r="AG16" s="203" t="s">
        <v>3621</v>
      </c>
      <c r="AH16" s="203" t="s">
        <v>3621</v>
      </c>
      <c r="AI16" s="203" t="s">
        <v>3621</v>
      </c>
      <c r="AJ16" s="50">
        <v>0</v>
      </c>
      <c r="AK16" s="50">
        <v>0</v>
      </c>
      <c r="AL16" s="50">
        <v>0</v>
      </c>
      <c r="AM16" s="50" t="s">
        <v>3621</v>
      </c>
      <c r="AN16" s="50" t="s">
        <v>3621</v>
      </c>
    </row>
    <row r="17" spans="2:40" x14ac:dyDescent="0.35">
      <c r="B17" s="50" t="s">
        <v>3596</v>
      </c>
      <c r="C17" s="50">
        <v>15</v>
      </c>
      <c r="D17" s="50" t="s">
        <v>4585</v>
      </c>
      <c r="E17" s="111">
        <v>45513</v>
      </c>
      <c r="F17" s="50">
        <v>1</v>
      </c>
      <c r="G17" s="114">
        <v>1</v>
      </c>
      <c r="H17" s="201" t="s">
        <v>3630</v>
      </c>
      <c r="I17" s="50" t="s">
        <v>3621</v>
      </c>
      <c r="J17" s="50" t="s">
        <v>3621</v>
      </c>
      <c r="K17" s="50" t="s">
        <v>3621</v>
      </c>
      <c r="L17" s="50" t="s">
        <v>3621</v>
      </c>
      <c r="M17" s="50" t="s">
        <v>3621</v>
      </c>
      <c r="N17" s="50" t="s">
        <v>3621</v>
      </c>
      <c r="O17" s="50" t="s">
        <v>3621</v>
      </c>
      <c r="P17" s="50" t="s">
        <v>3621</v>
      </c>
      <c r="Q17" s="50" t="s">
        <v>3621</v>
      </c>
      <c r="R17" s="50" t="s">
        <v>3621</v>
      </c>
      <c r="S17" s="50" t="s">
        <v>3621</v>
      </c>
      <c r="T17" s="50" t="s">
        <v>3621</v>
      </c>
      <c r="U17" s="50" t="s">
        <v>3621</v>
      </c>
      <c r="V17" s="50" t="s">
        <v>3621</v>
      </c>
      <c r="W17" s="50" t="s">
        <v>3621</v>
      </c>
      <c r="X17" s="50" t="s">
        <v>3621</v>
      </c>
      <c r="Y17" s="50" t="s">
        <v>3621</v>
      </c>
      <c r="Z17" s="203" t="s">
        <v>3621</v>
      </c>
      <c r="AA17" s="203" t="s">
        <v>3621</v>
      </c>
      <c r="AB17" s="203" t="s">
        <v>3621</v>
      </c>
      <c r="AC17" s="203" t="s">
        <v>3621</v>
      </c>
      <c r="AD17" s="203" t="s">
        <v>3621</v>
      </c>
      <c r="AE17" s="203" t="s">
        <v>3621</v>
      </c>
      <c r="AF17" s="203" t="s">
        <v>3621</v>
      </c>
      <c r="AG17" s="203" t="s">
        <v>3621</v>
      </c>
      <c r="AH17" s="203" t="s">
        <v>3621</v>
      </c>
      <c r="AI17" s="203" t="s">
        <v>3621</v>
      </c>
      <c r="AJ17" s="50" t="s">
        <v>3621</v>
      </c>
      <c r="AK17" s="50" t="s">
        <v>3621</v>
      </c>
      <c r="AL17" s="50" t="s">
        <v>3621</v>
      </c>
      <c r="AM17" s="50" t="s">
        <v>3621</v>
      </c>
      <c r="AN17" s="50" t="s">
        <v>3621</v>
      </c>
    </row>
    <row r="18" spans="2:40" x14ac:dyDescent="0.35">
      <c r="B18" s="50" t="s">
        <v>3598</v>
      </c>
      <c r="C18" s="50">
        <v>16</v>
      </c>
      <c r="D18" s="50" t="s">
        <v>4585</v>
      </c>
      <c r="E18" s="111">
        <v>45513</v>
      </c>
      <c r="F18" s="50">
        <v>1</v>
      </c>
      <c r="G18" s="114">
        <v>1</v>
      </c>
      <c r="H18" s="201" t="s">
        <v>3630</v>
      </c>
      <c r="I18" s="50" t="s">
        <v>3621</v>
      </c>
      <c r="J18" s="50" t="s">
        <v>3621</v>
      </c>
      <c r="K18" s="50" t="s">
        <v>3621</v>
      </c>
      <c r="L18" s="50" t="s">
        <v>3621</v>
      </c>
      <c r="M18" s="50" t="s">
        <v>3621</v>
      </c>
      <c r="N18" s="50" t="s">
        <v>3621</v>
      </c>
      <c r="O18" s="50" t="s">
        <v>3621</v>
      </c>
      <c r="P18" s="50" t="s">
        <v>3621</v>
      </c>
      <c r="Q18" s="50" t="s">
        <v>3621</v>
      </c>
      <c r="R18" s="50" t="s">
        <v>3621</v>
      </c>
      <c r="S18" s="50" t="s">
        <v>3621</v>
      </c>
      <c r="T18" s="50" t="s">
        <v>3621</v>
      </c>
      <c r="U18" s="50" t="s">
        <v>3621</v>
      </c>
      <c r="V18" s="50" t="s">
        <v>3621</v>
      </c>
      <c r="W18" s="50" t="s">
        <v>3621</v>
      </c>
      <c r="X18" s="50" t="s">
        <v>3621</v>
      </c>
      <c r="Y18" s="50" t="s">
        <v>3621</v>
      </c>
      <c r="Z18" s="203" t="s">
        <v>3621</v>
      </c>
      <c r="AA18" s="203" t="s">
        <v>3621</v>
      </c>
      <c r="AB18" s="203" t="s">
        <v>3621</v>
      </c>
      <c r="AC18" s="203" t="s">
        <v>3621</v>
      </c>
      <c r="AD18" s="203" t="s">
        <v>3621</v>
      </c>
      <c r="AE18" s="203" t="s">
        <v>3621</v>
      </c>
      <c r="AF18" s="203" t="s">
        <v>3621</v>
      </c>
      <c r="AG18" s="203" t="s">
        <v>3621</v>
      </c>
      <c r="AH18" s="203" t="s">
        <v>3621</v>
      </c>
      <c r="AI18" s="203" t="s">
        <v>3621</v>
      </c>
      <c r="AJ18" s="50" t="s">
        <v>3621</v>
      </c>
      <c r="AK18" s="50" t="s">
        <v>3621</v>
      </c>
      <c r="AL18" s="50" t="s">
        <v>3621</v>
      </c>
      <c r="AM18" s="50" t="s">
        <v>3621</v>
      </c>
      <c r="AN18" s="50" t="s">
        <v>3621</v>
      </c>
    </row>
    <row r="19" spans="2:40" x14ac:dyDescent="0.35">
      <c r="B19" s="50" t="s">
        <v>3600</v>
      </c>
      <c r="C19" s="50">
        <v>17</v>
      </c>
      <c r="D19" s="50" t="s">
        <v>4586</v>
      </c>
      <c r="E19" s="111">
        <v>45513</v>
      </c>
      <c r="F19" s="50">
        <v>1</v>
      </c>
      <c r="G19" s="50" t="s">
        <v>4587</v>
      </c>
      <c r="H19" s="267" t="s">
        <v>4588</v>
      </c>
      <c r="I19" s="50" t="s">
        <v>3621</v>
      </c>
      <c r="J19" s="50" t="s">
        <v>3621</v>
      </c>
      <c r="K19" s="50" t="s">
        <v>3621</v>
      </c>
      <c r="L19" s="50" t="s">
        <v>3621</v>
      </c>
      <c r="M19" s="50" t="s">
        <v>3621</v>
      </c>
      <c r="N19" s="50" t="s">
        <v>3621</v>
      </c>
      <c r="O19" s="50" t="s">
        <v>3621</v>
      </c>
      <c r="P19" s="50" t="s">
        <v>3621</v>
      </c>
      <c r="Q19" s="113" t="s">
        <v>3621</v>
      </c>
      <c r="R19" s="50" t="s">
        <v>3621</v>
      </c>
      <c r="S19" s="50" t="s">
        <v>3621</v>
      </c>
      <c r="T19" s="50" t="s">
        <v>3621</v>
      </c>
      <c r="U19" s="50" t="s">
        <v>3621</v>
      </c>
      <c r="V19" s="50" t="s">
        <v>3621</v>
      </c>
      <c r="W19" s="50" t="s">
        <v>3621</v>
      </c>
      <c r="X19" s="50" t="s">
        <v>3621</v>
      </c>
      <c r="Y19" s="50" t="s">
        <v>3621</v>
      </c>
      <c r="Z19" s="203" t="s">
        <v>3621</v>
      </c>
      <c r="AA19" s="203" t="s">
        <v>3621</v>
      </c>
      <c r="AB19" s="203" t="s">
        <v>3621</v>
      </c>
      <c r="AC19" s="203" t="s">
        <v>3621</v>
      </c>
      <c r="AD19" s="203" t="s">
        <v>3621</v>
      </c>
      <c r="AE19" s="203" t="s">
        <v>3621</v>
      </c>
      <c r="AF19" s="203" t="s">
        <v>3621</v>
      </c>
      <c r="AG19" s="203" t="s">
        <v>3621</v>
      </c>
      <c r="AH19" s="203" t="s">
        <v>3621</v>
      </c>
      <c r="AI19" s="203" t="s">
        <v>3621</v>
      </c>
      <c r="AJ19" s="50" t="s">
        <v>3621</v>
      </c>
      <c r="AK19" s="50" t="s">
        <v>3621</v>
      </c>
      <c r="AL19" s="50" t="s">
        <v>3621</v>
      </c>
      <c r="AM19" s="50" t="s">
        <v>3621</v>
      </c>
      <c r="AN19" s="50" t="s">
        <v>3621</v>
      </c>
    </row>
    <row r="20" spans="2:40" x14ac:dyDescent="0.35">
      <c r="B20" s="50" t="s">
        <v>3602</v>
      </c>
      <c r="C20" s="50">
        <v>18</v>
      </c>
      <c r="D20" s="50" t="s">
        <v>4586</v>
      </c>
      <c r="E20" s="111">
        <v>45513</v>
      </c>
      <c r="F20" s="50">
        <v>1</v>
      </c>
      <c r="G20" s="226" t="s">
        <v>4589</v>
      </c>
      <c r="H20" s="279" t="s">
        <v>4590</v>
      </c>
      <c r="I20" s="50" t="s">
        <v>3621</v>
      </c>
      <c r="J20" s="50" t="s">
        <v>3621</v>
      </c>
      <c r="K20" s="50" t="s">
        <v>3621</v>
      </c>
      <c r="L20" s="50" t="s">
        <v>3621</v>
      </c>
      <c r="M20" s="50" t="s">
        <v>3621</v>
      </c>
      <c r="N20" s="50" t="s">
        <v>3621</v>
      </c>
      <c r="O20" s="50" t="s">
        <v>3621</v>
      </c>
      <c r="P20" s="50" t="s">
        <v>3621</v>
      </c>
      <c r="Q20" s="50" t="s">
        <v>3621</v>
      </c>
      <c r="R20" s="50" t="s">
        <v>3621</v>
      </c>
      <c r="S20" s="50" t="s">
        <v>3621</v>
      </c>
      <c r="T20" s="50" t="s">
        <v>3621</v>
      </c>
      <c r="U20" s="50" t="s">
        <v>3621</v>
      </c>
      <c r="V20" s="50" t="s">
        <v>3621</v>
      </c>
      <c r="W20" s="50" t="s">
        <v>3621</v>
      </c>
      <c r="X20" s="50" t="s">
        <v>3621</v>
      </c>
      <c r="Y20" s="50" t="s">
        <v>3621</v>
      </c>
      <c r="Z20" s="203" t="s">
        <v>3621</v>
      </c>
      <c r="AA20" s="203" t="s">
        <v>3621</v>
      </c>
      <c r="AB20" s="203" t="s">
        <v>3621</v>
      </c>
      <c r="AC20" s="203" t="s">
        <v>3621</v>
      </c>
      <c r="AD20" s="203" t="s">
        <v>3621</v>
      </c>
      <c r="AE20" s="203" t="s">
        <v>3621</v>
      </c>
      <c r="AF20" s="203" t="s">
        <v>3621</v>
      </c>
      <c r="AG20" s="203" t="s">
        <v>3621</v>
      </c>
      <c r="AH20" s="203" t="s">
        <v>3621</v>
      </c>
      <c r="AI20" s="203" t="s">
        <v>3621</v>
      </c>
      <c r="AJ20" s="50" t="s">
        <v>3621</v>
      </c>
      <c r="AK20" s="50" t="s">
        <v>3621</v>
      </c>
      <c r="AL20" s="50" t="s">
        <v>3621</v>
      </c>
      <c r="AM20" s="50" t="s">
        <v>3621</v>
      </c>
      <c r="AN20" s="50" t="s">
        <v>3621</v>
      </c>
    </row>
    <row r="21" spans="2:40" x14ac:dyDescent="0.35">
      <c r="B21" s="50" t="s">
        <v>3604</v>
      </c>
      <c r="C21" s="50">
        <v>19</v>
      </c>
      <c r="D21" s="50" t="s">
        <v>4591</v>
      </c>
      <c r="E21" s="111">
        <v>45513</v>
      </c>
      <c r="F21" s="50">
        <v>1</v>
      </c>
      <c r="G21" s="225" cm="1">
        <f t="array" ref="G21">SUMPRODUCT(--(ISNUMBER((SEARCH(I27:AN27,I21:AN21)))))/COUNTA(I21:AN21)</f>
        <v>0.8125</v>
      </c>
      <c r="H21" s="201" t="s">
        <v>3630</v>
      </c>
      <c r="I21" s="50" t="s">
        <v>3655</v>
      </c>
      <c r="J21" s="50" t="s">
        <v>3655</v>
      </c>
      <c r="K21" s="50" t="s">
        <v>3655</v>
      </c>
      <c r="L21" s="50" t="s">
        <v>3655</v>
      </c>
      <c r="M21" s="50" t="s">
        <v>3655</v>
      </c>
      <c r="N21" s="50" t="s">
        <v>3655</v>
      </c>
      <c r="O21" s="50" t="s">
        <v>3655</v>
      </c>
      <c r="P21" s="50" t="s">
        <v>3655</v>
      </c>
      <c r="Q21" s="50" t="s">
        <v>3655</v>
      </c>
      <c r="R21" s="50" t="s">
        <v>3655</v>
      </c>
      <c r="S21" s="50" t="s">
        <v>3655</v>
      </c>
      <c r="T21" s="50" t="s">
        <v>3656</v>
      </c>
      <c r="U21" s="50" t="s">
        <v>3656</v>
      </c>
      <c r="V21" s="50" t="s">
        <v>3656</v>
      </c>
      <c r="W21" s="50" t="s">
        <v>3656</v>
      </c>
      <c r="X21" s="50" t="s">
        <v>3656</v>
      </c>
      <c r="Y21" s="50" t="s">
        <v>3656</v>
      </c>
      <c r="Z21" s="203" t="s">
        <v>3655</v>
      </c>
      <c r="AA21" s="203" t="s">
        <v>3655</v>
      </c>
      <c r="AB21" s="203" t="s">
        <v>3655</v>
      </c>
      <c r="AC21" s="203" t="s">
        <v>3655</v>
      </c>
      <c r="AD21" s="203" t="s">
        <v>3655</v>
      </c>
      <c r="AE21" s="203" t="s">
        <v>3655</v>
      </c>
      <c r="AF21" s="203" t="s">
        <v>3655</v>
      </c>
      <c r="AG21" s="203" t="s">
        <v>3655</v>
      </c>
      <c r="AH21" s="203" t="s">
        <v>3655</v>
      </c>
      <c r="AI21" s="203" t="s">
        <v>3655</v>
      </c>
      <c r="AJ21" s="50" t="s">
        <v>3655</v>
      </c>
      <c r="AK21" s="50" t="s">
        <v>3655</v>
      </c>
      <c r="AL21" s="50" t="s">
        <v>3655</v>
      </c>
      <c r="AM21" s="50" t="s">
        <v>3655</v>
      </c>
      <c r="AN21" s="50" t="s">
        <v>3657</v>
      </c>
    </row>
    <row r="22" spans="2:40" x14ac:dyDescent="0.35">
      <c r="B22" s="50" t="s">
        <v>3607</v>
      </c>
      <c r="C22" s="50">
        <v>20</v>
      </c>
      <c r="D22" s="50"/>
      <c r="E22" s="111"/>
      <c r="F22" s="50">
        <v>1</v>
      </c>
      <c r="G22" s="209" cm="1">
        <f t="array" ref="G22">SUM(IF(I2:AN2 = I26:AN26, 1, 0))/ COUNTA(I2:AN2)</f>
        <v>0.6875</v>
      </c>
      <c r="H22" s="50" t="s">
        <v>3621</v>
      </c>
      <c r="I22" s="50"/>
      <c r="J22" s="50"/>
      <c r="K22" s="50"/>
      <c r="L22" s="50"/>
      <c r="M22" s="50"/>
      <c r="N22" s="50"/>
      <c r="O22" s="50"/>
      <c r="P22" s="50"/>
      <c r="Q22" s="50"/>
      <c r="R22" s="50"/>
      <c r="S22" s="50"/>
      <c r="T22" s="50"/>
      <c r="U22" s="50"/>
      <c r="V22" s="50"/>
      <c r="W22" s="50"/>
      <c r="X22" s="50"/>
      <c r="Y22" s="50"/>
      <c r="Z22" s="203"/>
      <c r="AA22" s="203"/>
      <c r="AB22" s="203"/>
      <c r="AC22" s="203"/>
      <c r="AD22" s="203"/>
      <c r="AE22" s="203"/>
      <c r="AF22" s="203"/>
      <c r="AG22" s="203"/>
      <c r="AH22" s="203"/>
      <c r="AI22" s="203"/>
      <c r="AJ22" s="50"/>
      <c r="AK22" s="50"/>
      <c r="AL22" s="50"/>
      <c r="AM22" s="50"/>
      <c r="AN22" s="50"/>
    </row>
    <row r="23" spans="2:40" x14ac:dyDescent="0.35">
      <c r="B23" s="50" t="s">
        <v>3610</v>
      </c>
      <c r="C23" s="50">
        <v>21</v>
      </c>
      <c r="D23" s="50"/>
      <c r="E23" s="111"/>
      <c r="F23" s="50">
        <v>1</v>
      </c>
      <c r="G23" s="209" cm="1">
        <f t="array" ref="G23">SUM(IF(IF(G3:G22="null",1,G3:G22)=1,1,0))/COUNT(IF(G3:G22="null",1,1))</f>
        <v>0.75</v>
      </c>
      <c r="H23" s="50" t="s">
        <v>3621</v>
      </c>
      <c r="I23" s="50"/>
      <c r="J23" s="50"/>
      <c r="K23" s="50"/>
      <c r="L23" s="50"/>
      <c r="M23" s="50"/>
      <c r="N23" s="50"/>
      <c r="O23" s="50"/>
      <c r="P23" s="50"/>
      <c r="Q23" s="50"/>
      <c r="R23" s="50"/>
      <c r="S23" s="50"/>
      <c r="T23" s="50"/>
      <c r="U23" s="50"/>
      <c r="V23" s="50"/>
      <c r="W23" s="50"/>
      <c r="X23" s="50"/>
      <c r="Y23" s="50"/>
      <c r="Z23" s="203"/>
      <c r="AA23" s="203"/>
      <c r="AB23" s="203"/>
      <c r="AC23" s="203"/>
      <c r="AD23" s="203"/>
      <c r="AE23" s="203"/>
      <c r="AF23" s="203"/>
      <c r="AG23" s="203"/>
      <c r="AH23" s="203"/>
      <c r="AI23" s="203"/>
      <c r="AJ23" s="50"/>
      <c r="AK23" s="50"/>
      <c r="AL23" s="50"/>
      <c r="AM23" s="50"/>
      <c r="AN23" s="50"/>
    </row>
    <row r="24" spans="2:40" x14ac:dyDescent="0.35">
      <c r="B24" s="50"/>
      <c r="C24" s="50"/>
      <c r="D24" s="50"/>
      <c r="E24" s="111"/>
      <c r="F24" s="50"/>
      <c r="G24" s="50"/>
      <c r="H24" s="50"/>
      <c r="I24" s="50"/>
      <c r="J24" s="50"/>
      <c r="K24" s="50"/>
      <c r="L24" s="50"/>
      <c r="M24" s="50"/>
      <c r="N24" s="50"/>
      <c r="O24" s="50"/>
      <c r="P24" s="50"/>
      <c r="Q24" s="50"/>
      <c r="R24" s="50"/>
      <c r="S24" s="50"/>
    </row>
    <row r="25" spans="2:40" x14ac:dyDescent="0.35">
      <c r="B25" s="146" t="s">
        <v>3727</v>
      </c>
    </row>
    <row r="26" spans="2:40" x14ac:dyDescent="0.35">
      <c r="B26" s="144" t="s">
        <v>3613</v>
      </c>
      <c r="C26" s="145" t="s">
        <v>3614</v>
      </c>
      <c r="D26" s="145" t="s">
        <v>3615</v>
      </c>
      <c r="E26" s="145" t="s">
        <v>3616</v>
      </c>
      <c r="F26" s="145" t="s">
        <v>3617</v>
      </c>
      <c r="G26" s="145" t="s">
        <v>3618</v>
      </c>
      <c r="H26" s="145" t="s">
        <v>3619</v>
      </c>
      <c r="I26" s="145" t="str" cm="1">
        <f t="array" ref="I26:AN26">TRANSPOSE(_xlfn.SORTBY(_xlfn._xlws.FILTER(Table3[NOME FÍSICO CAMPO],Table3[NOME FÍSICO TABELA]="loan_account"), _xlfn._xlws.FILTER(Table3[ORDEM], Table3[NOME FÍSICO TABELA]="loan_account"), 1))</f>
        <v>bank_id</v>
      </c>
      <c r="J26" s="145" t="str">
        <v>contract_id</v>
      </c>
      <c r="K26" s="145" t="str">
        <v>product_family_id</v>
      </c>
      <c r="L26" s="145" t="str">
        <v>product_id</v>
      </c>
      <c r="M26" s="145" t="str">
        <v>subproduct_id</v>
      </c>
      <c r="N26" s="308" t="str">
        <v>main_current_account_bank_id</v>
      </c>
      <c r="O26" s="308" t="str">
        <v>main_current_account_contract_id</v>
      </c>
      <c r="P26" s="308" t="str">
        <v>opening_date</v>
      </c>
      <c r="Q26" s="309" t="str">
        <v>current_maturity_date</v>
      </c>
      <c r="R26" s="309" t="str">
        <v>currency_code</v>
      </c>
      <c r="S26" s="309" t="str">
        <v>litigation_indicator</v>
      </c>
      <c r="T26" s="309" t="str">
        <v>current_authorized_amount</v>
      </c>
      <c r="U26" s="309" t="str">
        <v>current_available_amount</v>
      </c>
      <c r="V26" s="307" t="str">
        <v>current_reserved_balance</v>
      </c>
      <c r="W26" s="307" t="str">
        <v>cur_outsng_principal_balance</v>
      </c>
      <c r="X26" s="307" t="str">
        <v>current_overdue_principal_bal</v>
      </c>
      <c r="Y26" s="307" t="str">
        <v>cur_debt_litigation_princip_bal</v>
      </c>
      <c r="Z26" s="307" t="str">
        <v>initial_rate_type_code</v>
      </c>
      <c r="AA26" s="307" t="str">
        <v>initial_indexing</v>
      </c>
      <c r="AB26" s="307" t="str">
        <v>initial_index_rate</v>
      </c>
      <c r="AC26" s="307" t="str">
        <v>initial_spread</v>
      </c>
      <c r="AD26" s="307" t="str">
        <v>initial_interest_rate</v>
      </c>
      <c r="AE26" s="307" t="str">
        <v>current_rate_type_code</v>
      </c>
      <c r="AF26" s="307" t="str">
        <v>current_indexing</v>
      </c>
      <c r="AG26" s="307" t="str">
        <v>current_index_rate</v>
      </c>
      <c r="AH26" s="307" t="str">
        <v>current_spread</v>
      </c>
      <c r="AI26" s="307" t="str">
        <v>current_interest_rate</v>
      </c>
      <c r="AJ26" s="307" t="str">
        <v>contract_status_code</v>
      </c>
      <c r="AK26" s="307" t="str">
        <v>contract_opening_channel_code</v>
      </c>
      <c r="AL26" s="307" t="str">
        <v>source_code</v>
      </c>
      <c r="AM26" s="307" t="str">
        <v>data_date_part</v>
      </c>
      <c r="AN26" s="307" t="str">
        <v>data_timestamp_part</v>
      </c>
    </row>
    <row r="27" spans="2:40" x14ac:dyDescent="0.35">
      <c r="B27" s="123" t="s">
        <v>3658</v>
      </c>
      <c r="C27" s="126">
        <v>21</v>
      </c>
      <c r="D27" s="120" t="s">
        <v>3659</v>
      </c>
      <c r="E27" s="119" t="s">
        <v>3660</v>
      </c>
      <c r="F27" s="119" t="s">
        <v>372</v>
      </c>
      <c r="G27" s="119" t="s">
        <v>372</v>
      </c>
      <c r="H27" s="119" t="s">
        <v>372</v>
      </c>
      <c r="I27" s="119" t="str" cm="1">
        <f t="array" ref="I27:AN28">TRANSPOSE(_xlfn.SORTBY(_xlfn._xlws.FILTER(IF(Table3[FORMATO]:Table3[COMP_ CAMPO]&lt;&gt;"",Table3[FORMATO]:Table3[COMP_ CAMPO],9999999),Table3[NOME FÍSICO TABELA]="loan_account"), _xlfn._xlws.FILTER(Table3[ORDEM], Table3[NOME FÍSICO TABELA]="loan_account"), 1))</f>
        <v>STRING</v>
      </c>
      <c r="J27" s="119" t="str">
        <v>STRING</v>
      </c>
      <c r="K27" s="119" t="str">
        <v>STRING</v>
      </c>
      <c r="L27" s="119" t="str">
        <v>STRING</v>
      </c>
      <c r="M27" s="119" t="str">
        <v>STRING</v>
      </c>
      <c r="N27" s="121" t="str">
        <v>STRING</v>
      </c>
      <c r="O27" s="121" t="str">
        <v>STRING</v>
      </c>
      <c r="P27" s="121" t="str">
        <v>STRING</v>
      </c>
      <c r="Q27" s="121" t="str">
        <v>STRING</v>
      </c>
      <c r="R27" s="121" t="str">
        <v>STRING</v>
      </c>
      <c r="S27" s="121" t="str">
        <v>STRING</v>
      </c>
      <c r="T27" s="121" t="str">
        <v>DECIMAL</v>
      </c>
      <c r="U27" s="121" t="str">
        <v>DECIMAL</v>
      </c>
      <c r="V27" s="121" t="str">
        <v>DECIMAL</v>
      </c>
      <c r="W27" s="121" t="str">
        <v>DECIMAL</v>
      </c>
      <c r="X27" s="121" t="str">
        <v>DECIMAL</v>
      </c>
      <c r="Y27" s="121" t="str">
        <v>DECIMAL</v>
      </c>
      <c r="Z27" s="121" t="str">
        <v>STRING</v>
      </c>
      <c r="AA27" s="121" t="str">
        <v>STRING</v>
      </c>
      <c r="AB27" s="121" t="str">
        <v>DECIMAL</v>
      </c>
      <c r="AC27" s="121" t="str">
        <v>DECIMAL</v>
      </c>
      <c r="AD27" s="121" t="str">
        <v>DECIMAL</v>
      </c>
      <c r="AE27" s="121" t="str">
        <v>STRING</v>
      </c>
      <c r="AF27" s="121" t="str">
        <v>STRING</v>
      </c>
      <c r="AG27" s="121" t="str">
        <v>DECIMAL</v>
      </c>
      <c r="AH27" s="121" t="str">
        <v>DECIMAL</v>
      </c>
      <c r="AI27" s="121" t="str">
        <v>DECIMAL</v>
      </c>
      <c r="AJ27" s="121" t="str">
        <v>STRING</v>
      </c>
      <c r="AK27" s="121" t="str">
        <v>STRING</v>
      </c>
      <c r="AL27" s="121" t="str">
        <v>STRING</v>
      </c>
      <c r="AM27" s="121" t="str">
        <v>STRING</v>
      </c>
      <c r="AN27" s="121" t="str">
        <v>TIMESTAMP</v>
      </c>
    </row>
    <row r="28" spans="2:40" x14ac:dyDescent="0.35">
      <c r="B28" s="123" t="s">
        <v>3661</v>
      </c>
      <c r="C28" s="126">
        <v>7</v>
      </c>
      <c r="D28" s="120" t="s">
        <v>3659</v>
      </c>
      <c r="E28" s="119" t="s">
        <v>3660</v>
      </c>
      <c r="F28" s="121" t="s">
        <v>372</v>
      </c>
      <c r="G28" s="121" t="s">
        <v>372</v>
      </c>
      <c r="H28" s="121" t="s">
        <v>372</v>
      </c>
      <c r="I28" s="167">
        <v>4</v>
      </c>
      <c r="J28" s="167">
        <v>30</v>
      </c>
      <c r="K28" s="167">
        <v>4</v>
      </c>
      <c r="L28" s="167">
        <v>4</v>
      </c>
      <c r="M28" s="167">
        <v>4</v>
      </c>
      <c r="N28" s="126">
        <v>4</v>
      </c>
      <c r="O28" s="126">
        <v>30</v>
      </c>
      <c r="P28" s="126">
        <v>10</v>
      </c>
      <c r="Q28" s="126">
        <v>10</v>
      </c>
      <c r="R28" s="126">
        <v>4</v>
      </c>
      <c r="S28" s="126">
        <v>4</v>
      </c>
      <c r="T28" s="126">
        <v>23</v>
      </c>
      <c r="U28" s="126">
        <v>23</v>
      </c>
      <c r="V28" s="119">
        <v>23</v>
      </c>
      <c r="W28" s="119">
        <v>23</v>
      </c>
      <c r="X28" s="119">
        <v>23</v>
      </c>
      <c r="Y28" s="119">
        <v>23</v>
      </c>
      <c r="Z28" s="119">
        <v>4</v>
      </c>
      <c r="AA28" s="119">
        <v>4</v>
      </c>
      <c r="AB28" s="119">
        <v>23</v>
      </c>
      <c r="AC28" s="119">
        <v>23</v>
      </c>
      <c r="AD28" s="119">
        <v>23</v>
      </c>
      <c r="AE28" s="119">
        <v>4</v>
      </c>
      <c r="AF28" s="119">
        <v>4</v>
      </c>
      <c r="AG28" s="119">
        <v>23</v>
      </c>
      <c r="AH28" s="119">
        <v>23</v>
      </c>
      <c r="AI28" s="119">
        <v>23</v>
      </c>
      <c r="AJ28" s="119">
        <v>4</v>
      </c>
      <c r="AK28" s="119">
        <v>4</v>
      </c>
      <c r="AL28" s="119">
        <v>2</v>
      </c>
      <c r="AM28" s="119">
        <v>10</v>
      </c>
      <c r="AN28" s="119">
        <v>23</v>
      </c>
    </row>
    <row r="30" spans="2:40" x14ac:dyDescent="0.35">
      <c r="B30" s="156" t="s">
        <v>3662</v>
      </c>
    </row>
    <row r="31" spans="2:40" x14ac:dyDescent="0.35">
      <c r="B31" s="150" t="s">
        <v>3663</v>
      </c>
      <c r="C31" s="150" t="s">
        <v>3664</v>
      </c>
      <c r="D31" s="151" t="s">
        <v>3665</v>
      </c>
      <c r="E31" s="150" t="s">
        <v>3666</v>
      </c>
      <c r="F31" s="150" t="s">
        <v>3667</v>
      </c>
    </row>
    <row r="32" spans="2:40" ht="58" x14ac:dyDescent="0.35">
      <c r="B32" s="153" t="s">
        <v>3771</v>
      </c>
      <c r="C32" s="154" t="s">
        <v>4123</v>
      </c>
      <c r="D32" s="257" t="s">
        <v>3772</v>
      </c>
      <c r="E32" s="163" t="s">
        <v>4592</v>
      </c>
      <c r="F32" s="214" t="s">
        <v>4593</v>
      </c>
    </row>
    <row r="33" spans="2:6" ht="58" x14ac:dyDescent="0.35">
      <c r="B33" s="153" t="s">
        <v>3771</v>
      </c>
      <c r="C33" s="154" t="s">
        <v>1977</v>
      </c>
      <c r="D33" s="257" t="s">
        <v>3772</v>
      </c>
      <c r="E33" s="163" t="s">
        <v>4592</v>
      </c>
      <c r="F33" s="214" t="s">
        <v>4593</v>
      </c>
    </row>
    <row r="34" spans="2:6" ht="58" x14ac:dyDescent="0.35">
      <c r="B34" s="153" t="s">
        <v>3771</v>
      </c>
      <c r="C34" s="154" t="s">
        <v>1998</v>
      </c>
      <c r="D34" s="257" t="s">
        <v>3772</v>
      </c>
      <c r="E34" s="163" t="s">
        <v>4592</v>
      </c>
      <c r="F34" s="214" t="s">
        <v>4593</v>
      </c>
    </row>
    <row r="35" spans="2:6" ht="58" x14ac:dyDescent="0.35">
      <c r="B35" s="153" t="s">
        <v>3771</v>
      </c>
      <c r="C35" s="154" t="s">
        <v>1515</v>
      </c>
      <c r="D35" s="257" t="s">
        <v>3772</v>
      </c>
      <c r="E35" s="163" t="s">
        <v>4592</v>
      </c>
      <c r="F35" s="214" t="s">
        <v>4593</v>
      </c>
    </row>
    <row r="36" spans="2:6" ht="58" x14ac:dyDescent="0.35">
      <c r="B36" s="153" t="s">
        <v>3771</v>
      </c>
      <c r="C36" s="154" t="s">
        <v>1522</v>
      </c>
      <c r="D36" s="257" t="s">
        <v>3772</v>
      </c>
      <c r="E36" s="163" t="s">
        <v>4592</v>
      </c>
      <c r="F36" s="214" t="s">
        <v>4593</v>
      </c>
    </row>
    <row r="37" spans="2:6" ht="58" x14ac:dyDescent="0.35">
      <c r="B37" s="153" t="s">
        <v>3771</v>
      </c>
      <c r="C37" s="154" t="s">
        <v>756</v>
      </c>
      <c r="D37" s="257" t="s">
        <v>3772</v>
      </c>
      <c r="E37" s="163" t="s">
        <v>4592</v>
      </c>
      <c r="F37" s="214" t="s">
        <v>4593</v>
      </c>
    </row>
    <row r="38" spans="2:6" ht="58" x14ac:dyDescent="0.35">
      <c r="B38" s="153" t="s">
        <v>3771</v>
      </c>
      <c r="C38" s="154" t="s">
        <v>776</v>
      </c>
      <c r="D38" s="257" t="s">
        <v>3772</v>
      </c>
      <c r="E38" s="163" t="s">
        <v>4592</v>
      </c>
      <c r="F38" s="214" t="s">
        <v>4593</v>
      </c>
    </row>
    <row r="39" spans="2:6" ht="58" x14ac:dyDescent="0.35">
      <c r="B39" s="153" t="s">
        <v>3771</v>
      </c>
      <c r="C39" s="154" t="s">
        <v>785</v>
      </c>
      <c r="D39" s="257" t="s">
        <v>3772</v>
      </c>
      <c r="E39" s="163" t="s">
        <v>4592</v>
      </c>
      <c r="F39" s="214" t="s">
        <v>4593</v>
      </c>
    </row>
    <row r="40" spans="2:6" ht="58" x14ac:dyDescent="0.35">
      <c r="B40" s="134" t="s">
        <v>3668</v>
      </c>
      <c r="C40" s="133" t="s">
        <v>188</v>
      </c>
      <c r="D40" s="139" t="s">
        <v>4594</v>
      </c>
      <c r="E40" s="162" t="s">
        <v>4595</v>
      </c>
      <c r="F40" s="152" t="s">
        <v>3671</v>
      </c>
    </row>
    <row r="41" spans="2:6" x14ac:dyDescent="0.35">
      <c r="B41" s="153" t="s">
        <v>3678</v>
      </c>
      <c r="C41" s="154" t="s">
        <v>3679</v>
      </c>
      <c r="D41" s="257"/>
      <c r="E41" s="163" t="s">
        <v>4596</v>
      </c>
      <c r="F41" s="205"/>
    </row>
    <row r="42" spans="2:6" x14ac:dyDescent="0.35">
      <c r="B42" s="153" t="s">
        <v>3736</v>
      </c>
      <c r="C42" s="154" t="s">
        <v>3679</v>
      </c>
      <c r="D42" s="257"/>
      <c r="E42" s="163" t="s">
        <v>4597</v>
      </c>
      <c r="F42" s="205"/>
    </row>
    <row r="43" spans="2:6" ht="72.5" x14ac:dyDescent="0.35">
      <c r="B43" s="153" t="s">
        <v>3781</v>
      </c>
      <c r="C43" s="154" t="s">
        <v>1988</v>
      </c>
      <c r="D43" s="155" t="s">
        <v>3782</v>
      </c>
      <c r="E43" s="163" t="s">
        <v>4592</v>
      </c>
      <c r="F43" s="214" t="s">
        <v>4593</v>
      </c>
    </row>
    <row r="44" spans="2:6" ht="72.5" x14ac:dyDescent="0.35">
      <c r="B44" s="153" t="s">
        <v>3781</v>
      </c>
      <c r="C44" s="154" t="s">
        <v>1998</v>
      </c>
      <c r="D44" s="257" t="s">
        <v>3782</v>
      </c>
      <c r="E44" s="163" t="s">
        <v>4592</v>
      </c>
      <c r="F44" s="205" t="s">
        <v>4593</v>
      </c>
    </row>
    <row r="45" spans="2:6" ht="72.5" x14ac:dyDescent="0.35">
      <c r="B45" s="153" t="s">
        <v>3781</v>
      </c>
      <c r="C45" s="154" t="s">
        <v>1515</v>
      </c>
      <c r="D45" s="257" t="s">
        <v>3782</v>
      </c>
      <c r="E45" s="163" t="s">
        <v>4592</v>
      </c>
      <c r="F45" s="205" t="s">
        <v>4593</v>
      </c>
    </row>
    <row r="46" spans="2:6" ht="72.5" x14ac:dyDescent="0.35">
      <c r="B46" s="153" t="s">
        <v>3781</v>
      </c>
      <c r="C46" s="154" t="s">
        <v>766</v>
      </c>
      <c r="D46" s="257" t="s">
        <v>3782</v>
      </c>
      <c r="E46" s="163" t="s">
        <v>4592</v>
      </c>
      <c r="F46" s="205" t="s">
        <v>4593</v>
      </c>
    </row>
    <row r="47" spans="2:6" ht="72.5" x14ac:dyDescent="0.35">
      <c r="B47" s="153" t="s">
        <v>3781</v>
      </c>
      <c r="C47" s="154" t="s">
        <v>776</v>
      </c>
      <c r="D47" s="257" t="s">
        <v>3782</v>
      </c>
      <c r="E47" s="163" t="s">
        <v>4592</v>
      </c>
      <c r="F47" s="205" t="s">
        <v>4593</v>
      </c>
    </row>
    <row r="48" spans="2:6" ht="72.5" x14ac:dyDescent="0.35">
      <c r="B48" s="153" t="s">
        <v>3781</v>
      </c>
      <c r="C48" s="154" t="s">
        <v>785</v>
      </c>
      <c r="D48" s="257" t="s">
        <v>3782</v>
      </c>
      <c r="E48" s="163" t="s">
        <v>4592</v>
      </c>
      <c r="F48" s="205" t="s">
        <v>4593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50"/>
  </sheetPr>
  <dimension ref="B1:BQ44"/>
  <sheetViews>
    <sheetView showGridLines="0" workbookViewId="0">
      <selection activeCell="A14" sqref="A14"/>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9.816406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6.453125" bestFit="1" customWidth="1"/>
    <col min="19" max="19" width="34.453125" bestFit="1" customWidth="1"/>
    <col min="20" max="20" width="32.26953125" customWidth="1"/>
    <col min="21" max="21" width="41.1796875" customWidth="1"/>
    <col min="22" max="22" width="21.54296875" customWidth="1"/>
    <col min="23" max="23" width="27.7265625" customWidth="1"/>
    <col min="24" max="24" width="20.7265625" bestFit="1" customWidth="1"/>
    <col min="25" max="25" width="34.81640625" bestFit="1" customWidth="1"/>
    <col min="26" max="26" width="27.7265625" bestFit="1" customWidth="1"/>
    <col min="27" max="27" width="29.26953125" bestFit="1" customWidth="1"/>
    <col min="28" max="28" width="34.54296875" bestFit="1" customWidth="1"/>
    <col min="29" max="29" width="36" bestFit="1" customWidth="1"/>
    <col min="30" max="30" width="27.54296875" bestFit="1" customWidth="1"/>
    <col min="31" max="31" width="30.7265625" bestFit="1" customWidth="1"/>
    <col min="32" max="32" width="31.54296875" bestFit="1" customWidth="1"/>
    <col min="33" max="33" width="32.81640625" bestFit="1" customWidth="1"/>
    <col min="34" max="34" width="32.26953125" bestFit="1" customWidth="1"/>
    <col min="35" max="35" width="30.81640625" bestFit="1" customWidth="1"/>
    <col min="36" max="36" width="32.1796875" bestFit="1" customWidth="1"/>
    <col min="37" max="37" width="34" bestFit="1" customWidth="1"/>
    <col min="38" max="38" width="30.81640625" bestFit="1" customWidth="1"/>
    <col min="39" max="39" width="33.1796875" bestFit="1" customWidth="1"/>
    <col min="40" max="40" width="34.54296875" bestFit="1" customWidth="1"/>
    <col min="41" max="41" width="31.453125" bestFit="1" customWidth="1"/>
    <col min="42" max="42" width="35.453125" bestFit="1" customWidth="1"/>
    <col min="43" max="43" width="30.453125" bestFit="1" customWidth="1"/>
    <col min="44" max="44" width="33" bestFit="1" customWidth="1"/>
    <col min="45" max="46" width="35" bestFit="1" customWidth="1"/>
    <col min="47" max="47" width="37.26953125" bestFit="1" customWidth="1"/>
    <col min="48" max="48" width="28.54296875" bestFit="1" customWidth="1"/>
    <col min="49" max="49" width="32.7265625" bestFit="1" customWidth="1"/>
    <col min="50" max="50" width="33.1796875" bestFit="1" customWidth="1"/>
    <col min="51" max="51" width="33.26953125" bestFit="1" customWidth="1"/>
    <col min="52" max="52" width="32.54296875" bestFit="1" customWidth="1"/>
    <col min="53" max="53" width="34.54296875" bestFit="1" customWidth="1"/>
    <col min="54" max="54" width="32.81640625" bestFit="1" customWidth="1"/>
    <col min="55" max="55" width="30.54296875" bestFit="1" customWidth="1"/>
    <col min="56" max="56" width="24" bestFit="1" customWidth="1"/>
    <col min="57" max="57" width="26" bestFit="1" customWidth="1"/>
    <col min="58" max="58" width="22.26953125" bestFit="1" customWidth="1"/>
    <col min="59" max="59" width="28.1796875" bestFit="1" customWidth="1"/>
    <col min="60" max="60" width="28.26953125" bestFit="1" customWidth="1"/>
    <col min="61" max="61" width="25.453125" bestFit="1" customWidth="1"/>
    <col min="62" max="62" width="27.453125" bestFit="1" customWidth="1"/>
    <col min="63" max="63" width="23.81640625" bestFit="1" customWidth="1"/>
    <col min="64" max="64" width="29.54296875" bestFit="1" customWidth="1"/>
    <col min="65" max="65" width="23" bestFit="1" customWidth="1"/>
    <col min="66" max="66" width="33.26953125" bestFit="1" customWidth="1"/>
    <col min="67" max="67" width="14.7265625" bestFit="1" customWidth="1"/>
    <col min="68" max="68" width="17.453125" bestFit="1" customWidth="1"/>
    <col min="69" max="69" width="26.81640625" bestFit="1" customWidth="1"/>
  </cols>
  <sheetData>
    <row r="1" spans="2:69" ht="27.75" customHeight="1" x14ac:dyDescent="0.35"/>
    <row r="2" spans="2:69" x14ac:dyDescent="0.35">
      <c r="B2" s="91" t="s">
        <v>3738</v>
      </c>
      <c r="C2" s="91" t="s">
        <v>3614</v>
      </c>
      <c r="D2" s="91" t="s">
        <v>3615</v>
      </c>
      <c r="E2" s="91" t="s">
        <v>3616</v>
      </c>
      <c r="F2" s="91" t="s">
        <v>3617</v>
      </c>
      <c r="G2" s="91" t="s">
        <v>3618</v>
      </c>
      <c r="H2" s="91" t="s">
        <v>3619</v>
      </c>
      <c r="I2" s="91" t="s">
        <v>121</v>
      </c>
      <c r="J2" s="91" t="s">
        <v>137</v>
      </c>
      <c r="K2" s="91" t="s">
        <v>149</v>
      </c>
      <c r="L2" s="91" t="s">
        <v>156</v>
      </c>
      <c r="M2" s="91" t="s">
        <v>168</v>
      </c>
      <c r="N2" s="91" t="s">
        <v>177</v>
      </c>
      <c r="O2" s="91" t="s">
        <v>188</v>
      </c>
      <c r="P2" s="91" t="s">
        <v>1833</v>
      </c>
      <c r="Q2" s="91" t="s">
        <v>2307</v>
      </c>
      <c r="R2" s="91" t="s">
        <v>4598</v>
      </c>
      <c r="S2" s="91" t="s">
        <v>2321</v>
      </c>
      <c r="T2" s="91" t="s">
        <v>2328</v>
      </c>
      <c r="U2" s="91" t="s">
        <v>199</v>
      </c>
      <c r="V2" s="91" t="s">
        <v>211</v>
      </c>
      <c r="W2" s="91" t="s">
        <v>223</v>
      </c>
      <c r="X2" s="91" t="s">
        <v>239</v>
      </c>
      <c r="Y2" s="91" t="s">
        <v>2344</v>
      </c>
      <c r="Z2" s="91" t="s">
        <v>248</v>
      </c>
      <c r="AA2" s="91" t="s">
        <v>261</v>
      </c>
      <c r="AB2" s="91" t="s">
        <v>2356</v>
      </c>
      <c r="AC2" s="91" t="s">
        <v>2362</v>
      </c>
      <c r="AD2" s="91" t="s">
        <v>880</v>
      </c>
      <c r="AE2" s="91" t="s">
        <v>649</v>
      </c>
      <c r="AF2" s="91" t="s">
        <v>272</v>
      </c>
      <c r="AG2" s="91" t="s">
        <v>2381</v>
      </c>
      <c r="AH2" s="91" t="s">
        <v>2387</v>
      </c>
      <c r="AI2" s="91" t="s">
        <v>2394</v>
      </c>
      <c r="AJ2" s="91" t="s">
        <v>283</v>
      </c>
      <c r="AK2" s="91" t="s">
        <v>2401</v>
      </c>
      <c r="AL2" s="91" t="s">
        <v>2409</v>
      </c>
      <c r="AM2" s="91" t="s">
        <v>2415</v>
      </c>
      <c r="AN2" s="91" t="s">
        <v>2421</v>
      </c>
      <c r="AO2" s="91" t="s">
        <v>715</v>
      </c>
      <c r="AP2" s="91" t="s">
        <v>1449</v>
      </c>
      <c r="AQ2" s="91" t="s">
        <v>1458</v>
      </c>
      <c r="AR2" s="91" t="s">
        <v>1467</v>
      </c>
      <c r="AS2" s="91" t="s">
        <v>2441</v>
      </c>
      <c r="AT2" s="91" t="s">
        <v>2447</v>
      </c>
      <c r="AU2" s="91" t="s">
        <v>4599</v>
      </c>
      <c r="AV2" s="91" t="s">
        <v>1473</v>
      </c>
      <c r="AW2" s="91" t="s">
        <v>1481</v>
      </c>
      <c r="AX2" s="91" t="s">
        <v>2465</v>
      </c>
      <c r="AY2" s="91" t="s">
        <v>2471</v>
      </c>
      <c r="AZ2" s="91" t="s">
        <v>4600</v>
      </c>
      <c r="BA2" s="91" t="s">
        <v>4601</v>
      </c>
      <c r="BB2" s="91" t="s">
        <v>1501</v>
      </c>
      <c r="BC2" s="91" t="s">
        <v>1969</v>
      </c>
      <c r="BD2" s="91" t="s">
        <v>1977</v>
      </c>
      <c r="BE2" s="91" t="s">
        <v>1988</v>
      </c>
      <c r="BF2" s="91" t="s">
        <v>1998</v>
      </c>
      <c r="BG2" s="91" t="s">
        <v>1515</v>
      </c>
      <c r="BH2" s="91" t="s">
        <v>1522</v>
      </c>
      <c r="BI2" s="91" t="s">
        <v>756</v>
      </c>
      <c r="BJ2" s="91" t="s">
        <v>766</v>
      </c>
      <c r="BK2" s="91" t="s">
        <v>776</v>
      </c>
      <c r="BL2" s="91" t="s">
        <v>785</v>
      </c>
      <c r="BM2" s="91" t="s">
        <v>294</v>
      </c>
      <c r="BN2" s="91" t="s">
        <v>305</v>
      </c>
      <c r="BO2" s="91" t="s">
        <v>318</v>
      </c>
      <c r="BP2" s="91" t="s">
        <v>327</v>
      </c>
      <c r="BQ2" s="91" t="s">
        <v>334</v>
      </c>
    </row>
    <row r="3" spans="2:69" x14ac:dyDescent="0.35">
      <c r="B3" s="50" t="s">
        <v>3567</v>
      </c>
      <c r="C3" s="50">
        <v>1</v>
      </c>
      <c r="D3" s="50" t="s">
        <v>4602</v>
      </c>
      <c r="E3" s="111">
        <v>45534</v>
      </c>
      <c r="F3" s="50">
        <v>1</v>
      </c>
      <c r="G3" s="279">
        <v>1</v>
      </c>
      <c r="H3" s="198" t="s">
        <v>4603</v>
      </c>
      <c r="I3" s="50" t="s">
        <v>3621</v>
      </c>
      <c r="J3" s="50" t="s">
        <v>3621</v>
      </c>
      <c r="K3" s="50" t="s">
        <v>3621</v>
      </c>
      <c r="L3" s="50" t="s">
        <v>3621</v>
      </c>
      <c r="M3" s="50" t="s">
        <v>3621</v>
      </c>
      <c r="N3" s="50" t="s">
        <v>3621</v>
      </c>
      <c r="O3" s="50" t="s">
        <v>3621</v>
      </c>
      <c r="P3" s="50" t="s">
        <v>3621</v>
      </c>
      <c r="Q3" s="50" t="s">
        <v>3621</v>
      </c>
      <c r="R3" s="50" t="s">
        <v>3621</v>
      </c>
      <c r="S3" s="50" t="s">
        <v>3621</v>
      </c>
      <c r="T3" s="50" t="s">
        <v>3621</v>
      </c>
      <c r="U3" s="50" t="s">
        <v>3621</v>
      </c>
      <c r="V3" s="50" t="s">
        <v>3621</v>
      </c>
      <c r="W3" s="50" t="s">
        <v>3621</v>
      </c>
      <c r="X3" s="50" t="s">
        <v>3621</v>
      </c>
      <c r="Y3" s="50" t="s">
        <v>3621</v>
      </c>
      <c r="Z3" s="50" t="s">
        <v>3621</v>
      </c>
      <c r="AA3" s="50" t="s">
        <v>3621</v>
      </c>
      <c r="AB3" s="50" t="s">
        <v>3621</v>
      </c>
      <c r="AC3" s="50" t="s">
        <v>3621</v>
      </c>
      <c r="AD3" s="50" t="s">
        <v>3621</v>
      </c>
      <c r="AE3" s="50" t="s">
        <v>3621</v>
      </c>
      <c r="AF3" s="50" t="s">
        <v>3621</v>
      </c>
      <c r="AG3" s="50" t="s">
        <v>3621</v>
      </c>
      <c r="AH3" s="50" t="s">
        <v>3621</v>
      </c>
      <c r="AI3" s="50" t="s">
        <v>3621</v>
      </c>
      <c r="AJ3" s="50" t="s">
        <v>3621</v>
      </c>
      <c r="AK3" s="50" t="s">
        <v>3621</v>
      </c>
      <c r="AL3" s="50" t="s">
        <v>3621</v>
      </c>
      <c r="AM3" s="50" t="s">
        <v>3621</v>
      </c>
      <c r="AN3" s="50" t="s">
        <v>3621</v>
      </c>
      <c r="AO3" s="50" t="s">
        <v>3621</v>
      </c>
      <c r="AP3" s="50" t="s">
        <v>3621</v>
      </c>
      <c r="AQ3" s="50" t="s">
        <v>3621</v>
      </c>
      <c r="AR3" s="50" t="s">
        <v>3621</v>
      </c>
      <c r="AS3" s="50" t="s">
        <v>3621</v>
      </c>
      <c r="AT3" s="50" t="s">
        <v>3621</v>
      </c>
      <c r="AU3" s="50" t="s">
        <v>3621</v>
      </c>
      <c r="AV3" s="50" t="s">
        <v>3621</v>
      </c>
      <c r="AW3" s="50" t="s">
        <v>3621</v>
      </c>
      <c r="AX3" s="50" t="s">
        <v>3621</v>
      </c>
      <c r="AY3" s="50" t="s">
        <v>3621</v>
      </c>
      <c r="AZ3" s="50" t="s">
        <v>3621</v>
      </c>
      <c r="BA3" s="50" t="s">
        <v>3621</v>
      </c>
      <c r="BB3" s="50" t="s">
        <v>3621</v>
      </c>
      <c r="BC3" s="50" t="s">
        <v>3621</v>
      </c>
      <c r="BD3" s="50" t="s">
        <v>3621</v>
      </c>
      <c r="BE3" s="50" t="s">
        <v>3621</v>
      </c>
      <c r="BF3" s="50" t="s">
        <v>3621</v>
      </c>
      <c r="BG3" s="50" t="s">
        <v>3621</v>
      </c>
      <c r="BH3" s="50" t="s">
        <v>3621</v>
      </c>
      <c r="BI3" s="50" t="s">
        <v>3621</v>
      </c>
      <c r="BJ3" s="50" t="s">
        <v>3621</v>
      </c>
      <c r="BK3" s="50" t="s">
        <v>3621</v>
      </c>
      <c r="BL3" s="50" t="s">
        <v>3621</v>
      </c>
      <c r="BM3" s="50" t="s">
        <v>3621</v>
      </c>
      <c r="BN3" s="50" t="s">
        <v>3621</v>
      </c>
      <c r="BO3" s="50" t="s">
        <v>3621</v>
      </c>
      <c r="BP3" s="50" t="s">
        <v>3621</v>
      </c>
      <c r="BQ3" s="50" t="s">
        <v>3621</v>
      </c>
    </row>
    <row r="4" spans="2:69" x14ac:dyDescent="0.35">
      <c r="B4" s="50" t="s">
        <v>3569</v>
      </c>
      <c r="C4" s="50">
        <v>2</v>
      </c>
      <c r="D4" s="50" t="s">
        <v>4604</v>
      </c>
      <c r="E4" s="111">
        <v>45534</v>
      </c>
      <c r="F4" s="50">
        <v>1</v>
      </c>
      <c r="G4" s="279">
        <v>1</v>
      </c>
      <c r="H4" s="114" t="s">
        <v>3630</v>
      </c>
      <c r="I4" s="50" t="s">
        <v>3621</v>
      </c>
      <c r="J4" s="50" t="s">
        <v>3621</v>
      </c>
      <c r="K4" s="50" t="s">
        <v>3621</v>
      </c>
      <c r="L4" s="50" t="s">
        <v>3621</v>
      </c>
      <c r="M4" s="50" t="s">
        <v>3621</v>
      </c>
      <c r="N4" s="50" t="s">
        <v>3621</v>
      </c>
      <c r="O4" s="50" t="s">
        <v>3621</v>
      </c>
      <c r="P4" s="50" t="s">
        <v>3621</v>
      </c>
      <c r="Q4" s="50" t="s">
        <v>3621</v>
      </c>
      <c r="R4" s="50" t="s">
        <v>3621</v>
      </c>
      <c r="S4" s="50" t="s">
        <v>3621</v>
      </c>
      <c r="T4" s="50" t="s">
        <v>3621</v>
      </c>
      <c r="U4" s="50" t="s">
        <v>3621</v>
      </c>
      <c r="V4" s="50" t="s">
        <v>3621</v>
      </c>
      <c r="W4" s="50" t="s">
        <v>3621</v>
      </c>
      <c r="X4" s="50" t="s">
        <v>3621</v>
      </c>
      <c r="Y4" s="50" t="s">
        <v>3621</v>
      </c>
      <c r="Z4" s="50" t="s">
        <v>3621</v>
      </c>
      <c r="AA4" s="50" t="s">
        <v>3621</v>
      </c>
      <c r="AB4" s="50" t="s">
        <v>3621</v>
      </c>
      <c r="AC4" s="50" t="s">
        <v>3621</v>
      </c>
      <c r="AD4" s="50" t="s">
        <v>3621</v>
      </c>
      <c r="AE4" s="50" t="s">
        <v>3621</v>
      </c>
      <c r="AF4" s="50" t="s">
        <v>3621</v>
      </c>
      <c r="AG4" s="50" t="s">
        <v>3621</v>
      </c>
      <c r="AH4" s="50" t="s">
        <v>3621</v>
      </c>
      <c r="AI4" s="50" t="s">
        <v>3621</v>
      </c>
      <c r="AJ4" s="50" t="s">
        <v>3621</v>
      </c>
      <c r="AK4" s="50" t="s">
        <v>3621</v>
      </c>
      <c r="AL4" s="50" t="s">
        <v>3621</v>
      </c>
      <c r="AM4" s="50" t="s">
        <v>3621</v>
      </c>
      <c r="AN4" s="50" t="s">
        <v>3621</v>
      </c>
      <c r="AO4" s="50" t="s">
        <v>3621</v>
      </c>
      <c r="AP4" s="50" t="s">
        <v>3621</v>
      </c>
      <c r="AQ4" s="50" t="s">
        <v>3621</v>
      </c>
      <c r="AR4" s="50" t="s">
        <v>3621</v>
      </c>
      <c r="AS4" s="50" t="s">
        <v>3621</v>
      </c>
      <c r="AT4" s="50" t="s">
        <v>3621</v>
      </c>
      <c r="AU4" s="50" t="s">
        <v>3621</v>
      </c>
      <c r="AV4" s="50" t="s">
        <v>3621</v>
      </c>
      <c r="AW4" s="50" t="s">
        <v>3621</v>
      </c>
      <c r="AX4" s="50" t="s">
        <v>3621</v>
      </c>
      <c r="AY4" s="50" t="s">
        <v>3621</v>
      </c>
      <c r="AZ4" s="50" t="s">
        <v>3621</v>
      </c>
      <c r="BA4" s="50" t="s">
        <v>3621</v>
      </c>
      <c r="BB4" s="50" t="s">
        <v>3621</v>
      </c>
      <c r="BC4" s="50" t="s">
        <v>3621</v>
      </c>
      <c r="BD4" s="50" t="s">
        <v>3621</v>
      </c>
      <c r="BE4" s="50" t="s">
        <v>3621</v>
      </c>
      <c r="BF4" s="50" t="s">
        <v>3621</v>
      </c>
      <c r="BG4" s="50" t="s">
        <v>3621</v>
      </c>
      <c r="BH4" s="50" t="s">
        <v>3621</v>
      </c>
      <c r="BI4" s="50" t="s">
        <v>3621</v>
      </c>
      <c r="BJ4" s="50" t="s">
        <v>3621</v>
      </c>
      <c r="BK4" s="50" t="s">
        <v>3621</v>
      </c>
      <c r="BL4" s="50" t="s">
        <v>3621</v>
      </c>
      <c r="BM4" s="50" t="s">
        <v>3621</v>
      </c>
      <c r="BN4" s="50" t="s">
        <v>3621</v>
      </c>
      <c r="BO4" s="50" t="s">
        <v>3621</v>
      </c>
      <c r="BP4" s="50" t="s">
        <v>3621</v>
      </c>
      <c r="BQ4" s="50" t="s">
        <v>3621</v>
      </c>
    </row>
    <row r="5" spans="2:69" x14ac:dyDescent="0.35">
      <c r="B5" s="50" t="s">
        <v>3571</v>
      </c>
      <c r="C5" s="50">
        <v>3</v>
      </c>
      <c r="D5" s="50" t="s">
        <v>4605</v>
      </c>
      <c r="E5" s="111">
        <v>45534</v>
      </c>
      <c r="F5" s="50">
        <v>1</v>
      </c>
      <c r="G5" s="279">
        <v>1</v>
      </c>
      <c r="H5" s="114" t="s">
        <v>3630</v>
      </c>
      <c r="I5" s="50">
        <v>0</v>
      </c>
      <c r="J5" s="50">
        <v>0</v>
      </c>
      <c r="K5" s="50" t="s">
        <v>3621</v>
      </c>
      <c r="L5" s="50" t="s">
        <v>3621</v>
      </c>
      <c r="M5" s="50" t="s">
        <v>3621</v>
      </c>
      <c r="N5" s="50" t="s">
        <v>3621</v>
      </c>
      <c r="O5" s="50" t="s">
        <v>3621</v>
      </c>
      <c r="P5" s="50" t="s">
        <v>3621</v>
      </c>
      <c r="Q5" s="50" t="s">
        <v>3621</v>
      </c>
      <c r="R5" s="50" t="s">
        <v>3621</v>
      </c>
      <c r="S5" s="50" t="s">
        <v>3621</v>
      </c>
      <c r="T5" s="50" t="s">
        <v>3621</v>
      </c>
      <c r="U5" s="50" t="s">
        <v>3621</v>
      </c>
      <c r="V5" s="50" t="s">
        <v>3621</v>
      </c>
      <c r="W5" s="50" t="s">
        <v>3621</v>
      </c>
      <c r="X5" s="50" t="s">
        <v>3621</v>
      </c>
      <c r="Y5" s="50" t="s">
        <v>3621</v>
      </c>
      <c r="Z5" s="50" t="s">
        <v>3621</v>
      </c>
      <c r="AA5" s="50" t="s">
        <v>3621</v>
      </c>
      <c r="AB5" s="50" t="s">
        <v>3621</v>
      </c>
      <c r="AC5" s="50" t="s">
        <v>3621</v>
      </c>
      <c r="AD5" s="50" t="s">
        <v>3621</v>
      </c>
      <c r="AE5" s="50" t="s">
        <v>3621</v>
      </c>
      <c r="AF5" s="50" t="s">
        <v>3621</v>
      </c>
      <c r="AG5" s="50" t="s">
        <v>3621</v>
      </c>
      <c r="AH5" s="50" t="s">
        <v>3621</v>
      </c>
      <c r="AI5" s="50" t="s">
        <v>3621</v>
      </c>
      <c r="AJ5" s="50" t="s">
        <v>3621</v>
      </c>
      <c r="AK5" s="50" t="s">
        <v>3621</v>
      </c>
      <c r="AL5" s="50" t="s">
        <v>3621</v>
      </c>
      <c r="AM5" s="50" t="s">
        <v>3621</v>
      </c>
      <c r="AN5" s="50" t="s">
        <v>3621</v>
      </c>
      <c r="AO5" s="50" t="s">
        <v>3621</v>
      </c>
      <c r="AP5" s="50" t="s">
        <v>3621</v>
      </c>
      <c r="AQ5" s="50" t="s">
        <v>3621</v>
      </c>
      <c r="AR5" s="50" t="s">
        <v>3621</v>
      </c>
      <c r="AS5" s="50" t="s">
        <v>3621</v>
      </c>
      <c r="AT5" s="50" t="s">
        <v>3621</v>
      </c>
      <c r="AU5" s="50" t="s">
        <v>3621</v>
      </c>
      <c r="AV5" s="50" t="s">
        <v>3621</v>
      </c>
      <c r="AW5" s="50" t="s">
        <v>3621</v>
      </c>
      <c r="AX5" s="50" t="s">
        <v>3621</v>
      </c>
      <c r="AY5" s="50" t="s">
        <v>3621</v>
      </c>
      <c r="AZ5" s="50" t="s">
        <v>3621</v>
      </c>
      <c r="BA5" s="50" t="s">
        <v>3621</v>
      </c>
      <c r="BB5" s="50" t="s">
        <v>3621</v>
      </c>
      <c r="BC5" s="50" t="s">
        <v>3621</v>
      </c>
      <c r="BD5" s="50" t="s">
        <v>3621</v>
      </c>
      <c r="BE5" s="50" t="s">
        <v>3621</v>
      </c>
      <c r="BF5" s="50" t="s">
        <v>3621</v>
      </c>
      <c r="BG5" s="50" t="s">
        <v>3621</v>
      </c>
      <c r="BH5" s="50" t="s">
        <v>3621</v>
      </c>
      <c r="BI5" s="50" t="s">
        <v>3621</v>
      </c>
      <c r="BJ5" s="50" t="s">
        <v>3621</v>
      </c>
      <c r="BK5" s="50" t="s">
        <v>3621</v>
      </c>
      <c r="BL5" s="50" t="s">
        <v>3621</v>
      </c>
      <c r="BM5" s="50" t="s">
        <v>3621</v>
      </c>
      <c r="BN5" s="50" t="s">
        <v>3621</v>
      </c>
      <c r="BO5" s="50" t="s">
        <v>3621</v>
      </c>
      <c r="BP5" s="50">
        <v>0</v>
      </c>
      <c r="BQ5" s="50" t="s">
        <v>3621</v>
      </c>
    </row>
    <row r="6" spans="2:69" x14ac:dyDescent="0.35">
      <c r="B6" s="113" t="s">
        <v>3573</v>
      </c>
      <c r="C6" s="50">
        <v>4</v>
      </c>
      <c r="D6" s="50" t="s">
        <v>3624</v>
      </c>
      <c r="E6" s="111" t="s">
        <v>3621</v>
      </c>
      <c r="F6" s="50">
        <v>1</v>
      </c>
      <c r="G6" s="111" t="s">
        <v>3621</v>
      </c>
      <c r="H6" s="114" t="s">
        <v>3621</v>
      </c>
      <c r="I6" s="50" t="s">
        <v>3621</v>
      </c>
      <c r="J6" s="50" t="s">
        <v>3621</v>
      </c>
      <c r="K6" s="50" t="s">
        <v>3621</v>
      </c>
      <c r="L6" s="50" t="s">
        <v>3621</v>
      </c>
      <c r="M6" s="50" t="s">
        <v>3621</v>
      </c>
      <c r="N6" s="50" t="s">
        <v>3621</v>
      </c>
      <c r="O6" s="50" t="s">
        <v>3621</v>
      </c>
      <c r="P6" s="50" t="s">
        <v>3621</v>
      </c>
      <c r="Q6" s="50" t="s">
        <v>3621</v>
      </c>
      <c r="R6" s="50" t="s">
        <v>3621</v>
      </c>
      <c r="S6" s="50" t="s">
        <v>3621</v>
      </c>
      <c r="T6" s="50" t="s">
        <v>3621</v>
      </c>
      <c r="U6" s="50" t="s">
        <v>3621</v>
      </c>
      <c r="V6" s="50" t="s">
        <v>3621</v>
      </c>
      <c r="W6" s="50" t="s">
        <v>3621</v>
      </c>
      <c r="X6" s="50" t="s">
        <v>3621</v>
      </c>
      <c r="Y6" s="50" t="s">
        <v>3621</v>
      </c>
      <c r="Z6" s="50" t="s">
        <v>3621</v>
      </c>
      <c r="AA6" s="50" t="s">
        <v>3621</v>
      </c>
      <c r="AB6" s="50" t="s">
        <v>3621</v>
      </c>
      <c r="AC6" s="50" t="s">
        <v>3621</v>
      </c>
      <c r="AD6" s="50" t="s">
        <v>3621</v>
      </c>
      <c r="AE6" s="50" t="s">
        <v>3621</v>
      </c>
      <c r="AF6" s="50" t="s">
        <v>3621</v>
      </c>
      <c r="AG6" s="50" t="s">
        <v>3621</v>
      </c>
      <c r="AH6" s="50" t="s">
        <v>3621</v>
      </c>
      <c r="AI6" s="50" t="s">
        <v>3621</v>
      </c>
      <c r="AJ6" s="50" t="s">
        <v>3621</v>
      </c>
      <c r="AK6" s="50" t="s">
        <v>3621</v>
      </c>
      <c r="AL6" s="50" t="s">
        <v>3621</v>
      </c>
      <c r="AM6" s="50" t="s">
        <v>3621</v>
      </c>
      <c r="AN6" s="50" t="s">
        <v>3621</v>
      </c>
      <c r="AO6" s="50" t="s">
        <v>3621</v>
      </c>
      <c r="AP6" s="50" t="s">
        <v>3621</v>
      </c>
      <c r="AQ6" s="50" t="s">
        <v>3621</v>
      </c>
      <c r="AR6" s="50" t="s">
        <v>3621</v>
      </c>
      <c r="AS6" s="50" t="s">
        <v>3621</v>
      </c>
      <c r="AT6" s="50" t="s">
        <v>3621</v>
      </c>
      <c r="AU6" s="50" t="s">
        <v>3621</v>
      </c>
      <c r="AV6" s="50" t="s">
        <v>3621</v>
      </c>
      <c r="AW6" s="50" t="s">
        <v>3621</v>
      </c>
      <c r="AX6" s="50" t="s">
        <v>3621</v>
      </c>
      <c r="AY6" s="50" t="s">
        <v>3621</v>
      </c>
      <c r="AZ6" s="50" t="s">
        <v>3621</v>
      </c>
      <c r="BA6" s="50" t="s">
        <v>3621</v>
      </c>
      <c r="BB6" s="50" t="s">
        <v>3621</v>
      </c>
      <c r="BC6" s="50" t="s">
        <v>3621</v>
      </c>
      <c r="BD6" s="50" t="s">
        <v>3621</v>
      </c>
      <c r="BE6" s="50" t="s">
        <v>3621</v>
      </c>
      <c r="BF6" s="50" t="s">
        <v>3621</v>
      </c>
      <c r="BG6" s="50" t="s">
        <v>3621</v>
      </c>
      <c r="BH6" s="50" t="s">
        <v>3621</v>
      </c>
      <c r="BI6" s="50" t="s">
        <v>3621</v>
      </c>
      <c r="BJ6" s="50" t="s">
        <v>3621</v>
      </c>
      <c r="BK6" s="50" t="s">
        <v>3621</v>
      </c>
      <c r="BL6" s="50" t="s">
        <v>3621</v>
      </c>
      <c r="BM6" s="50" t="s">
        <v>3621</v>
      </c>
      <c r="BN6" s="50" t="s">
        <v>3621</v>
      </c>
      <c r="BO6" s="50" t="s">
        <v>3621</v>
      </c>
      <c r="BP6" s="50" t="s">
        <v>3621</v>
      </c>
      <c r="BQ6" s="50" t="s">
        <v>3621</v>
      </c>
    </row>
    <row r="7" spans="2:69" x14ac:dyDescent="0.35">
      <c r="B7" s="50" t="s">
        <v>3575</v>
      </c>
      <c r="C7" s="50">
        <v>5</v>
      </c>
      <c r="D7" s="50" t="s">
        <v>3624</v>
      </c>
      <c r="E7" s="111" t="s">
        <v>3621</v>
      </c>
      <c r="F7" s="50">
        <v>1</v>
      </c>
      <c r="G7" s="111" t="s">
        <v>3621</v>
      </c>
      <c r="H7" s="114" t="s">
        <v>3621</v>
      </c>
      <c r="I7" s="50" t="s">
        <v>3621</v>
      </c>
      <c r="J7" s="50" t="s">
        <v>3621</v>
      </c>
      <c r="K7" s="50" t="s">
        <v>3621</v>
      </c>
      <c r="L7" s="50" t="s">
        <v>3621</v>
      </c>
      <c r="M7" s="50" t="s">
        <v>3621</v>
      </c>
      <c r="N7" s="50" t="s">
        <v>3621</v>
      </c>
      <c r="O7" s="50" t="s">
        <v>3621</v>
      </c>
      <c r="P7" s="50" t="s">
        <v>3621</v>
      </c>
      <c r="Q7" s="50" t="s">
        <v>3621</v>
      </c>
      <c r="R7" s="50" t="s">
        <v>3621</v>
      </c>
      <c r="S7" s="50" t="s">
        <v>3621</v>
      </c>
      <c r="T7" s="50" t="s">
        <v>3621</v>
      </c>
      <c r="U7" s="50" t="s">
        <v>3621</v>
      </c>
      <c r="V7" s="50" t="s">
        <v>3621</v>
      </c>
      <c r="W7" s="50" t="s">
        <v>3621</v>
      </c>
      <c r="X7" s="50" t="s">
        <v>3621</v>
      </c>
      <c r="Y7" s="50" t="s">
        <v>3621</v>
      </c>
      <c r="Z7" s="50" t="s">
        <v>3621</v>
      </c>
      <c r="AA7" s="50" t="s">
        <v>3621</v>
      </c>
      <c r="AB7" s="50" t="s">
        <v>3621</v>
      </c>
      <c r="AC7" s="50" t="s">
        <v>3621</v>
      </c>
      <c r="AD7" s="50" t="s">
        <v>3621</v>
      </c>
      <c r="AE7" s="50" t="s">
        <v>3621</v>
      </c>
      <c r="AF7" s="50" t="s">
        <v>3621</v>
      </c>
      <c r="AG7" s="50" t="s">
        <v>3621</v>
      </c>
      <c r="AH7" s="50" t="s">
        <v>3621</v>
      </c>
      <c r="AI7" s="50" t="s">
        <v>3621</v>
      </c>
      <c r="AJ7" s="50" t="s">
        <v>3621</v>
      </c>
      <c r="AK7" s="50" t="s">
        <v>3621</v>
      </c>
      <c r="AL7" s="50" t="s">
        <v>3621</v>
      </c>
      <c r="AM7" s="50" t="s">
        <v>3621</v>
      </c>
      <c r="AN7" s="50" t="s">
        <v>3621</v>
      </c>
      <c r="AO7" s="50" t="s">
        <v>3621</v>
      </c>
      <c r="AP7" s="50" t="s">
        <v>3621</v>
      </c>
      <c r="AQ7" s="50" t="s">
        <v>3621</v>
      </c>
      <c r="AR7" s="50" t="s">
        <v>3621</v>
      </c>
      <c r="AS7" s="50" t="s">
        <v>3621</v>
      </c>
      <c r="AT7" s="50" t="s">
        <v>3621</v>
      </c>
      <c r="AU7" s="50" t="s">
        <v>3621</v>
      </c>
      <c r="AV7" s="50" t="s">
        <v>3621</v>
      </c>
      <c r="AW7" s="50" t="s">
        <v>3621</v>
      </c>
      <c r="AX7" s="50" t="s">
        <v>3621</v>
      </c>
      <c r="AY7" s="50" t="s">
        <v>3621</v>
      </c>
      <c r="AZ7" s="50" t="s">
        <v>3621</v>
      </c>
      <c r="BA7" s="50" t="s">
        <v>3621</v>
      </c>
      <c r="BB7" s="50" t="s">
        <v>3621</v>
      </c>
      <c r="BC7" s="50" t="s">
        <v>3621</v>
      </c>
      <c r="BD7" s="50" t="s">
        <v>3621</v>
      </c>
      <c r="BE7" s="50" t="s">
        <v>3621</v>
      </c>
      <c r="BF7" s="50" t="s">
        <v>3621</v>
      </c>
      <c r="BG7" s="50" t="s">
        <v>3621</v>
      </c>
      <c r="BH7" s="50" t="s">
        <v>3621</v>
      </c>
      <c r="BI7" s="50" t="s">
        <v>3621</v>
      </c>
      <c r="BJ7" s="50" t="s">
        <v>3621</v>
      </c>
      <c r="BK7" s="50" t="s">
        <v>3621</v>
      </c>
      <c r="BL7" s="50" t="s">
        <v>3621</v>
      </c>
      <c r="BM7" s="50" t="s">
        <v>3621</v>
      </c>
      <c r="BN7" s="50" t="s">
        <v>3621</v>
      </c>
      <c r="BO7" s="50" t="s">
        <v>3621</v>
      </c>
      <c r="BP7" s="50" t="s">
        <v>3621</v>
      </c>
      <c r="BQ7" s="50" t="s">
        <v>3621</v>
      </c>
    </row>
    <row r="8" spans="2:69" x14ac:dyDescent="0.35">
      <c r="B8" s="113" t="s">
        <v>3576</v>
      </c>
      <c r="C8" s="50">
        <v>6</v>
      </c>
      <c r="D8" s="50" t="s">
        <v>4606</v>
      </c>
      <c r="E8" s="111">
        <v>45534</v>
      </c>
      <c r="F8" s="50">
        <v>1</v>
      </c>
      <c r="G8" s="225" cm="1">
        <f t="array" ref="G8">SUMPRODUCT(--(I8:BQ8&gt;0))/COUNTA(I8:BQ8)</f>
        <v>1</v>
      </c>
      <c r="H8" s="114" t="s">
        <v>3630</v>
      </c>
      <c r="I8" s="50">
        <v>2</v>
      </c>
      <c r="J8" s="50">
        <v>30</v>
      </c>
      <c r="K8" s="50">
        <v>3</v>
      </c>
      <c r="L8" s="50">
        <v>3</v>
      </c>
      <c r="M8" s="50">
        <v>3</v>
      </c>
      <c r="N8" s="50">
        <v>2</v>
      </c>
      <c r="O8" s="50">
        <v>30</v>
      </c>
      <c r="P8" s="50">
        <v>25</v>
      </c>
      <c r="Q8" s="50">
        <v>1</v>
      </c>
      <c r="R8" s="50">
        <v>4</v>
      </c>
      <c r="S8" s="50">
        <v>4</v>
      </c>
      <c r="T8" s="50">
        <v>1</v>
      </c>
      <c r="U8" s="50">
        <v>10</v>
      </c>
      <c r="V8" s="50">
        <v>10</v>
      </c>
      <c r="W8" s="50">
        <v>3</v>
      </c>
      <c r="X8" s="50">
        <v>1</v>
      </c>
      <c r="Y8" s="50">
        <v>1</v>
      </c>
      <c r="Z8" s="50">
        <v>8</v>
      </c>
      <c r="AA8" s="50">
        <v>8</v>
      </c>
      <c r="AB8" s="50">
        <v>8</v>
      </c>
      <c r="AC8" s="50">
        <v>8</v>
      </c>
      <c r="AD8" s="50">
        <v>8</v>
      </c>
      <c r="AE8" s="50">
        <v>8</v>
      </c>
      <c r="AF8" s="50">
        <v>8</v>
      </c>
      <c r="AG8" s="50">
        <v>8</v>
      </c>
      <c r="AH8" s="50">
        <v>8</v>
      </c>
      <c r="AI8" s="50">
        <v>8</v>
      </c>
      <c r="AJ8" s="50">
        <v>8</v>
      </c>
      <c r="AK8" s="50">
        <v>8</v>
      </c>
      <c r="AL8" s="50">
        <v>8</v>
      </c>
      <c r="AM8" s="50">
        <v>8</v>
      </c>
      <c r="AN8" s="50">
        <v>8</v>
      </c>
      <c r="AO8" s="50">
        <v>10</v>
      </c>
      <c r="AP8" s="50">
        <v>8</v>
      </c>
      <c r="AQ8" s="50">
        <v>10</v>
      </c>
      <c r="AR8" s="50">
        <v>8</v>
      </c>
      <c r="AS8" s="50">
        <v>8</v>
      </c>
      <c r="AT8" s="50">
        <v>8</v>
      </c>
      <c r="AU8" s="50">
        <v>8</v>
      </c>
      <c r="AV8" s="50">
        <v>10</v>
      </c>
      <c r="AW8" s="50">
        <v>8</v>
      </c>
      <c r="AX8" s="50">
        <v>8</v>
      </c>
      <c r="AY8" s="50">
        <v>8</v>
      </c>
      <c r="AZ8" s="50">
        <v>10</v>
      </c>
      <c r="BA8" s="50">
        <v>8</v>
      </c>
      <c r="BB8" s="50">
        <v>1</v>
      </c>
      <c r="BC8" s="50">
        <v>1</v>
      </c>
      <c r="BD8" s="50">
        <v>3</v>
      </c>
      <c r="BE8" s="50">
        <v>8</v>
      </c>
      <c r="BF8" s="50">
        <v>8</v>
      </c>
      <c r="BG8" s="50">
        <v>8</v>
      </c>
      <c r="BH8" s="50">
        <v>1</v>
      </c>
      <c r="BI8" s="50">
        <v>3</v>
      </c>
      <c r="BJ8" s="50">
        <v>8</v>
      </c>
      <c r="BK8" s="50">
        <v>8</v>
      </c>
      <c r="BL8" s="50">
        <v>8</v>
      </c>
      <c r="BM8" s="50">
        <v>3</v>
      </c>
      <c r="BN8" s="50">
        <v>3</v>
      </c>
      <c r="BO8" s="50">
        <v>2</v>
      </c>
      <c r="BP8" s="50">
        <v>10</v>
      </c>
      <c r="BQ8" s="50">
        <v>23</v>
      </c>
    </row>
    <row r="9" spans="2:69" x14ac:dyDescent="0.35">
      <c r="B9" s="50" t="s">
        <v>3579</v>
      </c>
      <c r="C9" s="50">
        <v>7</v>
      </c>
      <c r="D9" s="50" t="s">
        <v>4607</v>
      </c>
      <c r="E9" s="111">
        <v>45534</v>
      </c>
      <c r="F9" s="50">
        <v>1</v>
      </c>
      <c r="G9" s="225" cm="1">
        <f t="array" ref="G9">SUMPRODUCT(--(I9:BQ9 &lt;= I28:BQ28))/COUNTA(I28:BQ28)</f>
        <v>0.98360655737704916</v>
      </c>
      <c r="H9" s="114" t="s">
        <v>3630</v>
      </c>
      <c r="I9" s="50">
        <v>2</v>
      </c>
      <c r="J9" s="50">
        <v>30</v>
      </c>
      <c r="K9" s="50">
        <v>3</v>
      </c>
      <c r="L9" s="50">
        <v>3</v>
      </c>
      <c r="M9" s="50">
        <v>3</v>
      </c>
      <c r="N9" s="50">
        <v>2</v>
      </c>
      <c r="O9" s="50">
        <v>30</v>
      </c>
      <c r="P9" s="50">
        <v>26</v>
      </c>
      <c r="Q9" s="50">
        <v>21</v>
      </c>
      <c r="R9" s="50">
        <v>4</v>
      </c>
      <c r="S9" s="50">
        <v>4</v>
      </c>
      <c r="T9" s="50">
        <v>15</v>
      </c>
      <c r="U9" s="50">
        <v>10</v>
      </c>
      <c r="V9" s="50">
        <v>10</v>
      </c>
      <c r="W9" s="50">
        <v>3</v>
      </c>
      <c r="X9" s="50">
        <v>1</v>
      </c>
      <c r="Y9" s="50">
        <v>3</v>
      </c>
      <c r="Z9" s="50">
        <v>15</v>
      </c>
      <c r="AA9" s="50">
        <v>15</v>
      </c>
      <c r="AB9" s="50">
        <v>15</v>
      </c>
      <c r="AC9" s="50">
        <v>15</v>
      </c>
      <c r="AD9" s="50">
        <v>14</v>
      </c>
      <c r="AE9" s="50">
        <v>15</v>
      </c>
      <c r="AF9" s="50">
        <v>13</v>
      </c>
      <c r="AG9" s="50">
        <v>13</v>
      </c>
      <c r="AH9" s="50">
        <v>12</v>
      </c>
      <c r="AI9" s="50">
        <v>13</v>
      </c>
      <c r="AJ9" s="50">
        <v>13</v>
      </c>
      <c r="AK9" s="50">
        <v>15</v>
      </c>
      <c r="AL9" s="50">
        <v>14</v>
      </c>
      <c r="AM9" s="50">
        <v>12</v>
      </c>
      <c r="AN9" s="50">
        <v>10</v>
      </c>
      <c r="AO9" s="50">
        <v>10</v>
      </c>
      <c r="AP9" s="50">
        <v>13</v>
      </c>
      <c r="AQ9" s="50">
        <v>10</v>
      </c>
      <c r="AR9" s="50">
        <v>13</v>
      </c>
      <c r="AS9" s="50">
        <v>12</v>
      </c>
      <c r="AT9" s="50">
        <v>11</v>
      </c>
      <c r="AU9" s="50">
        <v>13</v>
      </c>
      <c r="AV9" s="50">
        <v>10</v>
      </c>
      <c r="AW9" s="50">
        <v>14</v>
      </c>
      <c r="AX9" s="50">
        <v>13</v>
      </c>
      <c r="AY9" s="50">
        <v>11</v>
      </c>
      <c r="AZ9" s="50">
        <v>10</v>
      </c>
      <c r="BA9" s="50">
        <v>13</v>
      </c>
      <c r="BB9" s="50">
        <v>3</v>
      </c>
      <c r="BC9" s="50">
        <v>1</v>
      </c>
      <c r="BD9" s="50">
        <v>3</v>
      </c>
      <c r="BE9" s="50">
        <v>9</v>
      </c>
      <c r="BF9" s="50">
        <v>9</v>
      </c>
      <c r="BG9" s="50">
        <v>9</v>
      </c>
      <c r="BH9" s="50">
        <v>1</v>
      </c>
      <c r="BI9" s="50">
        <v>3</v>
      </c>
      <c r="BJ9" s="50">
        <v>9</v>
      </c>
      <c r="BK9" s="50">
        <v>9</v>
      </c>
      <c r="BL9" s="50">
        <v>9</v>
      </c>
      <c r="BM9" s="50">
        <v>3</v>
      </c>
      <c r="BN9" s="50">
        <v>3</v>
      </c>
      <c r="BO9" s="50">
        <v>2</v>
      </c>
      <c r="BP9" s="50">
        <v>10</v>
      </c>
      <c r="BQ9" s="50">
        <v>23</v>
      </c>
    </row>
    <row r="10" spans="2:69" x14ac:dyDescent="0.35">
      <c r="B10" s="50" t="s">
        <v>3582</v>
      </c>
      <c r="C10" s="50">
        <v>8</v>
      </c>
      <c r="D10" s="50" t="s">
        <v>4608</v>
      </c>
      <c r="E10" s="111">
        <v>45534</v>
      </c>
      <c r="F10" s="50">
        <v>1</v>
      </c>
      <c r="G10" s="111" t="s">
        <v>3621</v>
      </c>
      <c r="H10" s="114" t="s">
        <v>3630</v>
      </c>
      <c r="I10" s="50">
        <v>90</v>
      </c>
      <c r="J10" s="50">
        <v>2.5690004500003999E+18</v>
      </c>
      <c r="K10" s="50" t="s">
        <v>4609</v>
      </c>
      <c r="L10" s="50">
        <v>0</v>
      </c>
      <c r="M10" s="50">
        <v>3</v>
      </c>
      <c r="N10" s="111">
        <v>31</v>
      </c>
      <c r="O10" s="50">
        <v>2.569E+18</v>
      </c>
      <c r="P10" s="50" t="s">
        <v>4610</v>
      </c>
      <c r="Q10" s="50">
        <v>0</v>
      </c>
      <c r="R10" s="50">
        <v>0</v>
      </c>
      <c r="S10" s="50">
        <v>0</v>
      </c>
      <c r="T10" s="50">
        <v>0</v>
      </c>
      <c r="U10" s="111">
        <v>33756</v>
      </c>
      <c r="V10" s="111">
        <v>34669</v>
      </c>
      <c r="W10" s="50">
        <v>978</v>
      </c>
      <c r="X10" s="50">
        <v>0</v>
      </c>
      <c r="Y10" s="50">
        <v>0</v>
      </c>
      <c r="Z10" s="50" t="s">
        <v>3630</v>
      </c>
      <c r="AA10" s="50" t="s">
        <v>3630</v>
      </c>
      <c r="AB10" s="50" t="s">
        <v>3630</v>
      </c>
      <c r="AC10" s="50" t="s">
        <v>3630</v>
      </c>
      <c r="AD10" s="198" t="s">
        <v>4611</v>
      </c>
      <c r="AE10" s="50" t="s">
        <v>3630</v>
      </c>
      <c r="AF10" s="50" t="s">
        <v>3630</v>
      </c>
      <c r="AG10" s="50" t="s">
        <v>3630</v>
      </c>
      <c r="AH10" s="50" t="s">
        <v>3630</v>
      </c>
      <c r="AI10" s="50" t="s">
        <v>3630</v>
      </c>
      <c r="AJ10" s="50" t="s">
        <v>3630</v>
      </c>
      <c r="AK10" s="50" t="s">
        <v>4612</v>
      </c>
      <c r="AL10" s="50" t="s">
        <v>3630</v>
      </c>
      <c r="AM10" s="114">
        <v>-2480000</v>
      </c>
      <c r="AN10" s="50" t="s">
        <v>3630</v>
      </c>
      <c r="AO10" s="111">
        <v>45535</v>
      </c>
      <c r="AP10" s="50" t="s">
        <v>3630</v>
      </c>
      <c r="AQ10" s="111">
        <v>34684</v>
      </c>
      <c r="AR10" s="50" t="s">
        <v>3630</v>
      </c>
      <c r="AS10" s="50" t="s">
        <v>3630</v>
      </c>
      <c r="AT10" s="50" t="s">
        <v>3630</v>
      </c>
      <c r="AU10" s="50" t="s">
        <v>3630</v>
      </c>
      <c r="AV10" s="111">
        <v>37553</v>
      </c>
      <c r="AW10" s="50" t="s">
        <v>3793</v>
      </c>
      <c r="AX10" s="50" t="s">
        <v>3630</v>
      </c>
      <c r="AY10" s="50" t="s">
        <v>3630</v>
      </c>
      <c r="AZ10" s="111">
        <v>36708</v>
      </c>
      <c r="BA10" s="50" t="s">
        <v>3630</v>
      </c>
      <c r="BB10" s="50">
        <v>0</v>
      </c>
      <c r="BC10" s="50" t="s">
        <v>4613</v>
      </c>
      <c r="BD10" s="50" t="s">
        <v>4614</v>
      </c>
      <c r="BE10" s="50" t="s">
        <v>3630</v>
      </c>
      <c r="BF10" s="50" t="s">
        <v>3630</v>
      </c>
      <c r="BG10" s="50" t="s">
        <v>3630</v>
      </c>
      <c r="BH10" s="50" t="s">
        <v>4613</v>
      </c>
      <c r="BI10" s="50" t="s">
        <v>4614</v>
      </c>
      <c r="BJ10" s="50" t="s">
        <v>3630</v>
      </c>
      <c r="BK10" s="50" t="s">
        <v>3630</v>
      </c>
      <c r="BL10" s="50" t="s">
        <v>3630</v>
      </c>
      <c r="BM10" s="50" t="s">
        <v>3631</v>
      </c>
      <c r="BN10" s="50" t="s">
        <v>4268</v>
      </c>
      <c r="BO10" s="50" t="s">
        <v>4615</v>
      </c>
      <c r="BP10" s="111">
        <v>45534</v>
      </c>
      <c r="BQ10" s="50" t="s">
        <v>4616</v>
      </c>
    </row>
    <row r="11" spans="2:69" x14ac:dyDescent="0.35">
      <c r="B11" s="50" t="s">
        <v>3584</v>
      </c>
      <c r="C11" s="50">
        <v>9</v>
      </c>
      <c r="D11" s="50" t="s">
        <v>4617</v>
      </c>
      <c r="E11" s="111">
        <v>45534</v>
      </c>
      <c r="F11" s="50">
        <v>1</v>
      </c>
      <c r="G11" s="111" t="s">
        <v>3621</v>
      </c>
      <c r="H11" s="114" t="s">
        <v>3630</v>
      </c>
      <c r="I11" s="50">
        <v>90</v>
      </c>
      <c r="J11" s="50">
        <v>2.5690004500003999E+18</v>
      </c>
      <c r="K11" s="50"/>
      <c r="L11" s="50">
        <v>0</v>
      </c>
      <c r="M11" s="50">
        <v>3</v>
      </c>
      <c r="N11" s="111"/>
      <c r="O11" s="113">
        <v>2.569E+18</v>
      </c>
      <c r="P11" s="50" t="s">
        <v>4610</v>
      </c>
      <c r="Q11" s="50">
        <v>0</v>
      </c>
      <c r="R11" s="50">
        <v>0</v>
      </c>
      <c r="S11" s="50">
        <v>0</v>
      </c>
      <c r="T11" s="50">
        <v>0</v>
      </c>
      <c r="U11" s="50">
        <v>19920601</v>
      </c>
      <c r="V11" s="50">
        <v>19941201</v>
      </c>
      <c r="W11" s="50">
        <v>978</v>
      </c>
      <c r="X11" s="50">
        <v>0</v>
      </c>
      <c r="Y11" s="50">
        <v>0</v>
      </c>
      <c r="Z11" s="50" t="s">
        <v>3706</v>
      </c>
      <c r="AA11" s="50" t="s">
        <v>3706</v>
      </c>
      <c r="AB11" s="50" t="s">
        <v>3706</v>
      </c>
      <c r="AC11" s="50" t="s">
        <v>3706</v>
      </c>
      <c r="AD11" s="50" t="s">
        <v>4618</v>
      </c>
      <c r="AE11" s="50" t="s">
        <v>3706</v>
      </c>
      <c r="AF11" s="50" t="s">
        <v>3706</v>
      </c>
      <c r="AG11" s="50" t="s">
        <v>3706</v>
      </c>
      <c r="AH11" s="50" t="s">
        <v>3706</v>
      </c>
      <c r="AI11" s="50" t="s">
        <v>3706</v>
      </c>
      <c r="AJ11" s="50" t="s">
        <v>3706</v>
      </c>
      <c r="AK11" s="50" t="s">
        <v>4619</v>
      </c>
      <c r="AL11" s="50" t="s">
        <v>3706</v>
      </c>
      <c r="AM11" s="50" t="s">
        <v>4620</v>
      </c>
      <c r="AN11" s="50" t="s">
        <v>3706</v>
      </c>
      <c r="AO11" s="50">
        <v>20240831</v>
      </c>
      <c r="AP11" s="50" t="s">
        <v>3706</v>
      </c>
      <c r="AQ11" s="50">
        <v>19941216</v>
      </c>
      <c r="AR11" s="50" t="s">
        <v>3706</v>
      </c>
      <c r="AS11" s="50" t="s">
        <v>3706</v>
      </c>
      <c r="AT11" s="50" t="s">
        <v>3706</v>
      </c>
      <c r="AU11" s="50" t="s">
        <v>3706</v>
      </c>
      <c r="AV11" s="50">
        <v>20011120</v>
      </c>
      <c r="AW11" s="50" t="s">
        <v>3798</v>
      </c>
      <c r="AX11" s="50" t="s">
        <v>3706</v>
      </c>
      <c r="AY11" s="50" t="s">
        <v>3706</v>
      </c>
      <c r="AZ11" s="50">
        <v>20000515</v>
      </c>
      <c r="BA11" s="50" t="s">
        <v>3706</v>
      </c>
      <c r="BB11" s="50">
        <v>0</v>
      </c>
      <c r="BC11" s="50" t="s">
        <v>4613</v>
      </c>
      <c r="BD11" s="50" t="s">
        <v>4614</v>
      </c>
      <c r="BE11" s="50" t="s">
        <v>4621</v>
      </c>
      <c r="BF11" s="50" t="s">
        <v>4621</v>
      </c>
      <c r="BG11" s="50" t="s">
        <v>4621</v>
      </c>
      <c r="BH11" s="50" t="s">
        <v>4613</v>
      </c>
      <c r="BI11" s="50" t="s">
        <v>4614</v>
      </c>
      <c r="BJ11" s="50" t="s">
        <v>4621</v>
      </c>
      <c r="BK11" s="50" t="s">
        <v>4621</v>
      </c>
      <c r="BL11" s="50" t="s">
        <v>4621</v>
      </c>
      <c r="BM11" s="50">
        <v>1</v>
      </c>
      <c r="BN11" s="50" t="s">
        <v>4622</v>
      </c>
      <c r="BO11" s="50" t="s">
        <v>4615</v>
      </c>
      <c r="BP11" s="111">
        <v>45534</v>
      </c>
      <c r="BQ11" s="50" t="s">
        <v>4623</v>
      </c>
    </row>
    <row r="12" spans="2:69" x14ac:dyDescent="0.35">
      <c r="B12" s="113" t="s">
        <v>3586</v>
      </c>
      <c r="C12" s="50">
        <v>10</v>
      </c>
      <c r="D12" s="50" t="s">
        <v>4624</v>
      </c>
      <c r="E12" s="111">
        <v>45534</v>
      </c>
      <c r="F12" s="50">
        <v>1</v>
      </c>
      <c r="G12" s="111" t="s">
        <v>3621</v>
      </c>
      <c r="H12" s="114" t="s">
        <v>3630</v>
      </c>
      <c r="I12" s="50">
        <v>90</v>
      </c>
      <c r="J12" s="50">
        <v>2.3020041000509998E+22</v>
      </c>
      <c r="K12" s="50" t="s">
        <v>4609</v>
      </c>
      <c r="L12" s="50">
        <v>0</v>
      </c>
      <c r="M12" s="50" t="s">
        <v>4625</v>
      </c>
      <c r="N12" s="111">
        <v>31</v>
      </c>
      <c r="O12" s="50">
        <v>2.3020041E+22</v>
      </c>
      <c r="P12" s="50" t="s">
        <v>4626</v>
      </c>
      <c r="Q12" s="50">
        <v>9.9999999740799995E+20</v>
      </c>
      <c r="R12" s="50">
        <v>9999</v>
      </c>
      <c r="S12" s="50">
        <v>9999</v>
      </c>
      <c r="T12" s="50">
        <v>99999999999999</v>
      </c>
      <c r="U12" s="111">
        <v>45519</v>
      </c>
      <c r="V12" s="111">
        <v>54056</v>
      </c>
      <c r="W12" s="50">
        <v>978</v>
      </c>
      <c r="X12" s="50">
        <v>1</v>
      </c>
      <c r="Y12" s="50">
        <v>281</v>
      </c>
      <c r="Z12" s="198" t="s">
        <v>4627</v>
      </c>
      <c r="AA12" s="198" t="s">
        <v>4627</v>
      </c>
      <c r="AB12" s="198" t="s">
        <v>4627</v>
      </c>
      <c r="AC12" s="198" t="s">
        <v>4627</v>
      </c>
      <c r="AD12" s="198" t="s">
        <v>4628</v>
      </c>
      <c r="AE12" s="198" t="s">
        <v>4629</v>
      </c>
      <c r="AF12" s="198" t="s">
        <v>4630</v>
      </c>
      <c r="AG12" s="198" t="s">
        <v>4631</v>
      </c>
      <c r="AH12" s="198" t="s">
        <v>4632</v>
      </c>
      <c r="AI12" s="198" t="s">
        <v>4633</v>
      </c>
      <c r="AJ12" s="198" t="s">
        <v>4634</v>
      </c>
      <c r="AK12" s="198" t="s">
        <v>4635</v>
      </c>
      <c r="AL12" s="198" t="s">
        <v>4636</v>
      </c>
      <c r="AM12" s="198" t="s">
        <v>4637</v>
      </c>
      <c r="AN12" s="198" t="s">
        <v>4638</v>
      </c>
      <c r="AO12" s="111">
        <v>45898</v>
      </c>
      <c r="AP12" s="198" t="s">
        <v>4639</v>
      </c>
      <c r="AQ12" s="111">
        <v>45534</v>
      </c>
      <c r="AR12" s="198" t="s">
        <v>4640</v>
      </c>
      <c r="AS12" s="198" t="s">
        <v>4641</v>
      </c>
      <c r="AT12" s="198" t="s">
        <v>4642</v>
      </c>
      <c r="AU12" s="198" t="s">
        <v>4643</v>
      </c>
      <c r="AV12" s="111">
        <v>45533</v>
      </c>
      <c r="AW12" s="198" t="s">
        <v>4644</v>
      </c>
      <c r="AX12" s="198" t="s">
        <v>4645</v>
      </c>
      <c r="AY12" s="198" t="s">
        <v>4646</v>
      </c>
      <c r="AZ12" s="111">
        <v>45534</v>
      </c>
      <c r="BA12" s="198" t="s">
        <v>4647</v>
      </c>
      <c r="BB12" s="50">
        <v>281</v>
      </c>
      <c r="BC12" s="50" t="s">
        <v>4648</v>
      </c>
      <c r="BD12" s="50" t="s">
        <v>4649</v>
      </c>
      <c r="BE12" s="198" t="s">
        <v>4650</v>
      </c>
      <c r="BF12" s="198" t="s">
        <v>4651</v>
      </c>
      <c r="BG12" s="198" t="s">
        <v>4652</v>
      </c>
      <c r="BH12" s="50" t="s">
        <v>4648</v>
      </c>
      <c r="BI12" s="50" t="s">
        <v>4649</v>
      </c>
      <c r="BJ12" s="198" t="s">
        <v>4653</v>
      </c>
      <c r="BK12" s="198" t="s">
        <v>4654</v>
      </c>
      <c r="BL12" s="198" t="s">
        <v>4652</v>
      </c>
      <c r="BM12" s="50" t="s">
        <v>3640</v>
      </c>
      <c r="BN12" s="50" t="s">
        <v>3806</v>
      </c>
      <c r="BO12" s="50" t="s">
        <v>4615</v>
      </c>
      <c r="BP12" s="111">
        <v>45534</v>
      </c>
      <c r="BQ12" s="50" t="s">
        <v>4616</v>
      </c>
    </row>
    <row r="13" spans="2:69" x14ac:dyDescent="0.35">
      <c r="B13" s="50" t="s">
        <v>3588</v>
      </c>
      <c r="C13" s="50">
        <v>11</v>
      </c>
      <c r="D13" s="50" t="s">
        <v>4655</v>
      </c>
      <c r="E13" s="111">
        <v>45534</v>
      </c>
      <c r="F13" s="50">
        <v>1</v>
      </c>
      <c r="G13" s="111" t="s">
        <v>3621</v>
      </c>
      <c r="H13" s="114" t="s">
        <v>3630</v>
      </c>
      <c r="I13" s="50">
        <v>90</v>
      </c>
      <c r="J13" s="50">
        <v>2.3020041000509998E+22</v>
      </c>
      <c r="K13" s="50"/>
      <c r="L13" s="50">
        <v>0</v>
      </c>
      <c r="M13" s="50" t="s">
        <v>4625</v>
      </c>
      <c r="N13" s="111"/>
      <c r="O13" s="50">
        <v>2.3020041E+22</v>
      </c>
      <c r="P13" s="50" t="s">
        <v>4626</v>
      </c>
      <c r="Q13" s="50">
        <v>9.9999999740799995E+20</v>
      </c>
      <c r="R13" s="50">
        <v>9999</v>
      </c>
      <c r="S13" s="50">
        <v>9999</v>
      </c>
      <c r="T13" s="50">
        <v>99999999999999</v>
      </c>
      <c r="U13" s="50">
        <v>20240815</v>
      </c>
      <c r="V13" s="50">
        <v>20471230</v>
      </c>
      <c r="W13" s="50">
        <v>978</v>
      </c>
      <c r="X13" s="50">
        <v>1</v>
      </c>
      <c r="Y13" s="50">
        <v>281</v>
      </c>
      <c r="Z13" s="50" t="s">
        <v>4656</v>
      </c>
      <c r="AA13" s="50" t="s">
        <v>4656</v>
      </c>
      <c r="AB13" s="50" t="s">
        <v>4656</v>
      </c>
      <c r="AC13" s="50" t="s">
        <v>4656</v>
      </c>
      <c r="AD13" s="50" t="s">
        <v>4657</v>
      </c>
      <c r="AE13" s="50" t="s">
        <v>4658</v>
      </c>
      <c r="AF13" s="50" t="s">
        <v>4659</v>
      </c>
      <c r="AG13" s="50" t="s">
        <v>4660</v>
      </c>
      <c r="AH13" s="50" t="s">
        <v>4661</v>
      </c>
      <c r="AI13" s="50" t="s">
        <v>4662</v>
      </c>
      <c r="AJ13" s="50" t="s">
        <v>4663</v>
      </c>
      <c r="AK13" s="50" t="s">
        <v>4664</v>
      </c>
      <c r="AL13" s="50" t="s">
        <v>4665</v>
      </c>
      <c r="AM13" s="50" t="s">
        <v>4666</v>
      </c>
      <c r="AN13" s="50" t="s">
        <v>4667</v>
      </c>
      <c r="AO13" s="50">
        <v>20250829</v>
      </c>
      <c r="AP13" s="50" t="s">
        <v>4668</v>
      </c>
      <c r="AQ13" s="50">
        <v>20240830</v>
      </c>
      <c r="AR13" s="50" t="s">
        <v>4669</v>
      </c>
      <c r="AS13" s="50" t="s">
        <v>4670</v>
      </c>
      <c r="AT13" s="50" t="s">
        <v>4671</v>
      </c>
      <c r="AU13" s="50" t="s">
        <v>4672</v>
      </c>
      <c r="AV13" s="50">
        <v>20240829</v>
      </c>
      <c r="AW13" s="50" t="s">
        <v>4673</v>
      </c>
      <c r="AX13" s="50" t="s">
        <v>4674</v>
      </c>
      <c r="AY13" s="50" t="s">
        <v>4675</v>
      </c>
      <c r="AZ13" s="50">
        <v>20240830</v>
      </c>
      <c r="BA13" s="50" t="s">
        <v>4676</v>
      </c>
      <c r="BB13" s="50">
        <v>281</v>
      </c>
      <c r="BC13" s="50" t="s">
        <v>4648</v>
      </c>
      <c r="BD13" s="50" t="s">
        <v>4649</v>
      </c>
      <c r="BE13" s="198" t="s">
        <v>4677</v>
      </c>
      <c r="BF13" s="198" t="s">
        <v>4678</v>
      </c>
      <c r="BG13" s="198" t="s">
        <v>4679</v>
      </c>
      <c r="BH13" s="50" t="s">
        <v>4648</v>
      </c>
      <c r="BI13" s="50" t="s">
        <v>4649</v>
      </c>
      <c r="BJ13" s="198" t="s">
        <v>4680</v>
      </c>
      <c r="BK13" s="198" t="s">
        <v>4681</v>
      </c>
      <c r="BL13" s="198" t="s">
        <v>4679</v>
      </c>
      <c r="BM13" s="50">
        <v>5</v>
      </c>
      <c r="BN13" s="50" t="s">
        <v>4682</v>
      </c>
      <c r="BO13" s="50" t="s">
        <v>4615</v>
      </c>
      <c r="BP13" s="111">
        <v>45534</v>
      </c>
      <c r="BQ13" s="50" t="s">
        <v>4683</v>
      </c>
    </row>
    <row r="14" spans="2:69" x14ac:dyDescent="0.35">
      <c r="B14" s="50" t="s">
        <v>3590</v>
      </c>
      <c r="C14" s="50">
        <v>12</v>
      </c>
      <c r="D14" s="50" t="s">
        <v>4684</v>
      </c>
      <c r="E14" s="111">
        <v>45534</v>
      </c>
      <c r="F14" s="50">
        <v>1</v>
      </c>
      <c r="G14" s="279" t="s">
        <v>4685</v>
      </c>
      <c r="H14" s="114" t="s">
        <v>3630</v>
      </c>
      <c r="I14" s="50">
        <v>0</v>
      </c>
      <c r="J14" s="50">
        <v>0</v>
      </c>
      <c r="K14" s="50">
        <v>0</v>
      </c>
      <c r="L14" s="50">
        <v>0</v>
      </c>
      <c r="M14" s="50">
        <v>0</v>
      </c>
      <c r="N14" s="50">
        <v>0</v>
      </c>
      <c r="O14" s="50">
        <v>0</v>
      </c>
      <c r="P14" s="50">
        <v>21</v>
      </c>
      <c r="Q14" s="50">
        <v>2</v>
      </c>
      <c r="R14" s="50">
        <v>0</v>
      </c>
      <c r="S14" s="50">
        <v>0</v>
      </c>
      <c r="T14" s="50">
        <v>2</v>
      </c>
      <c r="U14" s="50">
        <v>0</v>
      </c>
      <c r="V14" s="50">
        <v>0</v>
      </c>
      <c r="W14" s="50">
        <v>0</v>
      </c>
      <c r="X14" s="50">
        <v>0</v>
      </c>
      <c r="Y14" s="50">
        <v>0</v>
      </c>
      <c r="Z14" s="50">
        <v>0</v>
      </c>
      <c r="AA14" s="50">
        <v>0</v>
      </c>
      <c r="AB14" s="50">
        <v>0</v>
      </c>
      <c r="AC14" s="50">
        <v>0</v>
      </c>
      <c r="AD14" s="50">
        <v>0</v>
      </c>
      <c r="AE14" s="50">
        <v>0</v>
      </c>
      <c r="AF14" s="50">
        <v>0</v>
      </c>
      <c r="AG14" s="50">
        <v>0</v>
      </c>
      <c r="AH14" s="50">
        <v>0</v>
      </c>
      <c r="AI14" s="50">
        <v>0</v>
      </c>
      <c r="AJ14" s="50">
        <v>0</v>
      </c>
      <c r="AK14" s="50">
        <v>0</v>
      </c>
      <c r="AL14" s="50">
        <v>0</v>
      </c>
      <c r="AM14" s="50">
        <v>0</v>
      </c>
      <c r="AN14" s="50">
        <v>0</v>
      </c>
      <c r="AO14" s="50">
        <v>2014</v>
      </c>
      <c r="AP14" s="50">
        <v>0</v>
      </c>
      <c r="AQ14" s="50">
        <v>1337</v>
      </c>
      <c r="AR14" s="50">
        <v>0</v>
      </c>
      <c r="AS14" s="50">
        <v>0</v>
      </c>
      <c r="AT14" s="50">
        <v>0</v>
      </c>
      <c r="AU14" s="50">
        <v>0</v>
      </c>
      <c r="AV14" s="50">
        <v>28102</v>
      </c>
      <c r="AW14" s="50">
        <v>0</v>
      </c>
      <c r="AX14" s="50">
        <v>0</v>
      </c>
      <c r="AY14" s="50">
        <v>0</v>
      </c>
      <c r="AZ14" s="50">
        <v>1500</v>
      </c>
      <c r="BA14" s="50">
        <v>0</v>
      </c>
      <c r="BB14" s="50">
        <v>0</v>
      </c>
      <c r="BC14" s="50">
        <v>0</v>
      </c>
      <c r="BD14" s="50">
        <v>437</v>
      </c>
      <c r="BE14" s="50">
        <v>0</v>
      </c>
      <c r="BF14" s="50">
        <v>0</v>
      </c>
      <c r="BG14" s="50">
        <v>0</v>
      </c>
      <c r="BH14" s="50">
        <v>0</v>
      </c>
      <c r="BI14" s="50">
        <v>437</v>
      </c>
      <c r="BJ14" s="50">
        <v>0</v>
      </c>
      <c r="BK14" s="50">
        <v>0</v>
      </c>
      <c r="BL14" s="50">
        <v>0</v>
      </c>
      <c r="BM14" s="50">
        <v>0</v>
      </c>
      <c r="BN14" s="50">
        <v>3641</v>
      </c>
      <c r="BO14" s="50">
        <v>0</v>
      </c>
      <c r="BP14" s="50">
        <v>0</v>
      </c>
      <c r="BQ14" s="50">
        <v>0</v>
      </c>
    </row>
    <row r="15" spans="2:69" x14ac:dyDescent="0.35">
      <c r="B15" s="50" t="s">
        <v>3592</v>
      </c>
      <c r="C15" s="50">
        <v>13</v>
      </c>
      <c r="D15" s="50" t="s">
        <v>4686</v>
      </c>
      <c r="E15" s="111">
        <v>45534</v>
      </c>
      <c r="F15" s="50">
        <v>1</v>
      </c>
      <c r="G15" s="279">
        <v>1</v>
      </c>
      <c r="H15" s="114" t="s">
        <v>3630</v>
      </c>
      <c r="I15" s="50" t="s">
        <v>3621</v>
      </c>
      <c r="J15" s="50" t="s">
        <v>3621</v>
      </c>
      <c r="K15" s="50" t="s">
        <v>3621</v>
      </c>
      <c r="L15" s="50" t="s">
        <v>3621</v>
      </c>
      <c r="M15" s="50" t="s">
        <v>3621</v>
      </c>
      <c r="N15" s="111" t="s">
        <v>3621</v>
      </c>
      <c r="O15" s="111" t="s">
        <v>3621</v>
      </c>
      <c r="P15" s="50" t="s">
        <v>3621</v>
      </c>
      <c r="Q15" s="50" t="s">
        <v>3621</v>
      </c>
      <c r="R15" s="50" t="s">
        <v>3621</v>
      </c>
      <c r="S15" s="50" t="s">
        <v>3621</v>
      </c>
      <c r="T15" s="50" t="s">
        <v>3621</v>
      </c>
      <c r="U15" s="50">
        <v>0</v>
      </c>
      <c r="V15" s="50">
        <v>0</v>
      </c>
      <c r="W15" s="50" t="s">
        <v>3621</v>
      </c>
      <c r="X15" s="50" t="s">
        <v>3621</v>
      </c>
      <c r="Y15" s="50" t="s">
        <v>3621</v>
      </c>
      <c r="Z15" s="50" t="s">
        <v>3621</v>
      </c>
      <c r="AA15" s="50" t="s">
        <v>3621</v>
      </c>
      <c r="AB15" s="50" t="s">
        <v>3621</v>
      </c>
      <c r="AC15" s="50" t="s">
        <v>3621</v>
      </c>
      <c r="AD15" s="50" t="s">
        <v>3621</v>
      </c>
      <c r="AE15" s="50" t="s">
        <v>3621</v>
      </c>
      <c r="AF15" s="50" t="s">
        <v>3621</v>
      </c>
      <c r="AG15" s="50" t="s">
        <v>3621</v>
      </c>
      <c r="AH15" s="50" t="s">
        <v>3621</v>
      </c>
      <c r="AI15" s="50" t="s">
        <v>3621</v>
      </c>
      <c r="AJ15" s="50" t="s">
        <v>3621</v>
      </c>
      <c r="AK15" s="50" t="s">
        <v>3621</v>
      </c>
      <c r="AL15" s="50" t="s">
        <v>3621</v>
      </c>
      <c r="AM15" s="50" t="s">
        <v>3621</v>
      </c>
      <c r="AN15" s="50" t="s">
        <v>3621</v>
      </c>
      <c r="AO15" s="50">
        <v>0</v>
      </c>
      <c r="AP15" s="50" t="s">
        <v>3621</v>
      </c>
      <c r="AQ15" s="50">
        <v>0</v>
      </c>
      <c r="AR15" s="50" t="s">
        <v>3621</v>
      </c>
      <c r="AS15" s="50" t="s">
        <v>3621</v>
      </c>
      <c r="AT15" s="50" t="s">
        <v>3621</v>
      </c>
      <c r="AU15" s="50" t="s">
        <v>3621</v>
      </c>
      <c r="AV15" s="50">
        <v>0</v>
      </c>
      <c r="AW15" s="50" t="s">
        <v>3621</v>
      </c>
      <c r="AX15" s="50" t="s">
        <v>3621</v>
      </c>
      <c r="AY15" s="50" t="s">
        <v>3621</v>
      </c>
      <c r="AZ15" s="50">
        <v>0</v>
      </c>
      <c r="BA15" s="50" t="s">
        <v>3621</v>
      </c>
      <c r="BB15" s="50" t="s">
        <v>3621</v>
      </c>
      <c r="BC15" s="50" t="s">
        <v>3621</v>
      </c>
      <c r="BD15" s="50" t="s">
        <v>3621</v>
      </c>
      <c r="BE15" s="50" t="s">
        <v>3621</v>
      </c>
      <c r="BF15" s="50" t="s">
        <v>3621</v>
      </c>
      <c r="BG15" s="50" t="s">
        <v>3621</v>
      </c>
      <c r="BH15" s="50" t="s">
        <v>3621</v>
      </c>
      <c r="BI15" s="50" t="s">
        <v>3621</v>
      </c>
      <c r="BJ15" s="50" t="s">
        <v>3621</v>
      </c>
      <c r="BK15" s="50" t="s">
        <v>3621</v>
      </c>
      <c r="BL15" s="50" t="s">
        <v>3621</v>
      </c>
      <c r="BM15" s="50" t="s">
        <v>3621</v>
      </c>
      <c r="BN15" s="50" t="s">
        <v>3621</v>
      </c>
      <c r="BO15" s="50" t="s">
        <v>3621</v>
      </c>
      <c r="BP15" s="50" t="s">
        <v>3621</v>
      </c>
      <c r="BQ15" s="50" t="s">
        <v>3621</v>
      </c>
    </row>
    <row r="16" spans="2:69" x14ac:dyDescent="0.35">
      <c r="B16" s="50" t="s">
        <v>3594</v>
      </c>
      <c r="C16" s="50">
        <v>14</v>
      </c>
      <c r="D16" s="50" t="s">
        <v>4687</v>
      </c>
      <c r="E16" s="111">
        <v>45534</v>
      </c>
      <c r="F16" s="50">
        <v>1</v>
      </c>
      <c r="G16" s="279">
        <v>1</v>
      </c>
      <c r="H16" s="114" t="s">
        <v>3630</v>
      </c>
      <c r="I16" s="50">
        <v>0</v>
      </c>
      <c r="J16" s="50">
        <v>0</v>
      </c>
      <c r="K16" s="50">
        <v>0</v>
      </c>
      <c r="L16" s="50" t="s">
        <v>3621</v>
      </c>
      <c r="M16" s="50">
        <v>0</v>
      </c>
      <c r="N16" s="50">
        <v>0</v>
      </c>
      <c r="O16" s="50">
        <v>0</v>
      </c>
      <c r="P16" s="50" t="s">
        <v>3621</v>
      </c>
      <c r="Q16" s="50" t="s">
        <v>3621</v>
      </c>
      <c r="R16" s="50">
        <v>0</v>
      </c>
      <c r="S16" s="50">
        <v>0</v>
      </c>
      <c r="T16" s="50" t="s">
        <v>3621</v>
      </c>
      <c r="U16" s="50" t="s">
        <v>3621</v>
      </c>
      <c r="V16" s="50" t="s">
        <v>3621</v>
      </c>
      <c r="W16" s="50">
        <v>0</v>
      </c>
      <c r="X16" s="50" t="s">
        <v>3621</v>
      </c>
      <c r="Y16" s="50" t="s">
        <v>3621</v>
      </c>
      <c r="Z16" s="50" t="s">
        <v>3621</v>
      </c>
      <c r="AA16" s="50" t="s">
        <v>3621</v>
      </c>
      <c r="AB16" s="50" t="s">
        <v>3621</v>
      </c>
      <c r="AC16" s="50" t="s">
        <v>3621</v>
      </c>
      <c r="AD16" s="50" t="s">
        <v>3621</v>
      </c>
      <c r="AE16" s="50" t="s">
        <v>3621</v>
      </c>
      <c r="AF16" s="50" t="s">
        <v>3621</v>
      </c>
      <c r="AG16" s="50" t="s">
        <v>3621</v>
      </c>
      <c r="AH16" s="50" t="s">
        <v>3621</v>
      </c>
      <c r="AI16" s="50" t="s">
        <v>3621</v>
      </c>
      <c r="AJ16" s="50" t="s">
        <v>3621</v>
      </c>
      <c r="AK16" s="50" t="s">
        <v>3621</v>
      </c>
      <c r="AL16" s="50" t="s">
        <v>3621</v>
      </c>
      <c r="AM16" s="50" t="s">
        <v>3621</v>
      </c>
      <c r="AN16" s="50" t="s">
        <v>3621</v>
      </c>
      <c r="AO16" s="50" t="s">
        <v>3621</v>
      </c>
      <c r="AP16" s="50" t="s">
        <v>3621</v>
      </c>
      <c r="AQ16" s="50" t="s">
        <v>3621</v>
      </c>
      <c r="AR16" s="50" t="s">
        <v>3621</v>
      </c>
      <c r="AS16" s="50" t="s">
        <v>3621</v>
      </c>
      <c r="AT16" s="50" t="s">
        <v>3621</v>
      </c>
      <c r="AU16" s="50" t="s">
        <v>3621</v>
      </c>
      <c r="AV16" s="50" t="s">
        <v>3621</v>
      </c>
      <c r="AW16" s="50" t="s">
        <v>3621</v>
      </c>
      <c r="AX16" s="50" t="s">
        <v>3621</v>
      </c>
      <c r="AY16" s="50" t="s">
        <v>3621</v>
      </c>
      <c r="AZ16" s="50" t="s">
        <v>3621</v>
      </c>
      <c r="BA16" s="50" t="s">
        <v>3621</v>
      </c>
      <c r="BB16" s="50" t="s">
        <v>3621</v>
      </c>
      <c r="BC16" s="50" t="s">
        <v>3621</v>
      </c>
      <c r="BD16" s="50" t="s">
        <v>3621</v>
      </c>
      <c r="BE16" s="50" t="s">
        <v>3621</v>
      </c>
      <c r="BF16" s="50" t="s">
        <v>3621</v>
      </c>
      <c r="BG16" s="50" t="s">
        <v>3621</v>
      </c>
      <c r="BH16" s="50">
        <v>0</v>
      </c>
      <c r="BI16" s="50" t="s">
        <v>3621</v>
      </c>
      <c r="BJ16" s="50" t="s">
        <v>3621</v>
      </c>
      <c r="BK16" s="50" t="s">
        <v>3621</v>
      </c>
      <c r="BL16" s="50" t="s">
        <v>3621</v>
      </c>
      <c r="BM16" s="50">
        <v>0</v>
      </c>
      <c r="BN16" s="50">
        <v>0</v>
      </c>
      <c r="BO16" s="50">
        <v>0</v>
      </c>
      <c r="BP16" s="50" t="s">
        <v>3621</v>
      </c>
      <c r="BQ16" s="50" t="s">
        <v>3621</v>
      </c>
    </row>
    <row r="17" spans="2:69" x14ac:dyDescent="0.35">
      <c r="B17" s="50" t="s">
        <v>3596</v>
      </c>
      <c r="C17" s="50">
        <v>15</v>
      </c>
      <c r="D17" s="50" t="s">
        <v>4688</v>
      </c>
      <c r="E17" s="111">
        <v>45534</v>
      </c>
      <c r="F17" s="50">
        <v>1</v>
      </c>
      <c r="G17" s="279">
        <v>1</v>
      </c>
      <c r="H17" s="114" t="s">
        <v>3630</v>
      </c>
      <c r="I17" s="50" t="s">
        <v>3621</v>
      </c>
      <c r="J17" s="50" t="s">
        <v>3621</v>
      </c>
      <c r="K17" s="50" t="s">
        <v>3621</v>
      </c>
      <c r="L17" s="50" t="s">
        <v>3621</v>
      </c>
      <c r="M17" s="50" t="s">
        <v>3621</v>
      </c>
      <c r="N17" s="113" t="s">
        <v>3621</v>
      </c>
      <c r="O17" s="113" t="s">
        <v>3621</v>
      </c>
      <c r="P17" s="50" t="s">
        <v>3621</v>
      </c>
      <c r="Q17" s="50" t="s">
        <v>3621</v>
      </c>
      <c r="R17" s="50" t="s">
        <v>3621</v>
      </c>
      <c r="S17" s="50" t="s">
        <v>3621</v>
      </c>
      <c r="T17" s="50" t="s">
        <v>3621</v>
      </c>
      <c r="U17" s="50" t="s">
        <v>3621</v>
      </c>
      <c r="V17" s="50" t="s">
        <v>3621</v>
      </c>
      <c r="W17" s="50" t="s">
        <v>3621</v>
      </c>
      <c r="X17" s="50" t="s">
        <v>3621</v>
      </c>
      <c r="Y17" s="50" t="s">
        <v>3621</v>
      </c>
      <c r="Z17" s="50" t="s">
        <v>3621</v>
      </c>
      <c r="AA17" s="50" t="s">
        <v>3621</v>
      </c>
      <c r="AB17" s="50" t="s">
        <v>3621</v>
      </c>
      <c r="AC17" s="50" t="s">
        <v>3621</v>
      </c>
      <c r="AD17" s="50" t="s">
        <v>3621</v>
      </c>
      <c r="AE17" s="50" t="s">
        <v>3621</v>
      </c>
      <c r="AF17" s="50" t="s">
        <v>3621</v>
      </c>
      <c r="AG17" s="50" t="s">
        <v>3621</v>
      </c>
      <c r="AH17" s="50" t="s">
        <v>3621</v>
      </c>
      <c r="AI17" s="50" t="s">
        <v>3621</v>
      </c>
      <c r="AJ17" s="50" t="s">
        <v>3621</v>
      </c>
      <c r="AK17" s="50" t="s">
        <v>3621</v>
      </c>
      <c r="AL17" s="50" t="s">
        <v>3621</v>
      </c>
      <c r="AM17" s="50" t="s">
        <v>3621</v>
      </c>
      <c r="AN17" s="50" t="s">
        <v>3621</v>
      </c>
      <c r="AO17" s="50" t="s">
        <v>3621</v>
      </c>
      <c r="AP17" s="50" t="s">
        <v>3621</v>
      </c>
      <c r="AQ17" s="50" t="s">
        <v>3621</v>
      </c>
      <c r="AR17" s="50" t="s">
        <v>3621</v>
      </c>
      <c r="AS17" s="50" t="s">
        <v>3621</v>
      </c>
      <c r="AT17" s="50" t="s">
        <v>3621</v>
      </c>
      <c r="AU17" s="50" t="s">
        <v>3621</v>
      </c>
      <c r="AV17" s="50" t="s">
        <v>3621</v>
      </c>
      <c r="AW17" s="50" t="s">
        <v>3621</v>
      </c>
      <c r="AX17" s="50" t="s">
        <v>3621</v>
      </c>
      <c r="AY17" s="50" t="s">
        <v>3621</v>
      </c>
      <c r="AZ17" s="50" t="s">
        <v>3621</v>
      </c>
      <c r="BA17" s="50" t="s">
        <v>3621</v>
      </c>
      <c r="BB17" s="50" t="s">
        <v>3621</v>
      </c>
      <c r="BC17" s="50" t="s">
        <v>3621</v>
      </c>
      <c r="BD17" s="50" t="s">
        <v>3621</v>
      </c>
      <c r="BE17" s="50" t="s">
        <v>3621</v>
      </c>
      <c r="BF17" s="50" t="s">
        <v>3621</v>
      </c>
      <c r="BG17" s="50" t="s">
        <v>3621</v>
      </c>
      <c r="BH17" s="50" t="s">
        <v>3621</v>
      </c>
      <c r="BI17" s="50" t="s">
        <v>3621</v>
      </c>
      <c r="BJ17" s="50" t="s">
        <v>3621</v>
      </c>
      <c r="BK17" s="50" t="s">
        <v>3621</v>
      </c>
      <c r="BL17" s="50" t="s">
        <v>3621</v>
      </c>
      <c r="BM17" s="50" t="s">
        <v>3621</v>
      </c>
      <c r="BN17" s="50" t="s">
        <v>3621</v>
      </c>
      <c r="BO17" s="50" t="s">
        <v>3621</v>
      </c>
      <c r="BP17" s="50" t="s">
        <v>3621</v>
      </c>
      <c r="BQ17" s="50" t="s">
        <v>3621</v>
      </c>
    </row>
    <row r="18" spans="2:69" x14ac:dyDescent="0.35">
      <c r="B18" s="50" t="s">
        <v>3598</v>
      </c>
      <c r="C18" s="50">
        <v>16</v>
      </c>
      <c r="D18" s="50" t="s">
        <v>4688</v>
      </c>
      <c r="E18" s="111">
        <v>45534</v>
      </c>
      <c r="F18" s="50">
        <v>1</v>
      </c>
      <c r="G18" s="279">
        <v>1</v>
      </c>
      <c r="H18" s="114" t="s">
        <v>3630</v>
      </c>
      <c r="I18" s="50" t="s">
        <v>3621</v>
      </c>
      <c r="J18" s="50" t="s">
        <v>3621</v>
      </c>
      <c r="K18" s="50" t="s">
        <v>3621</v>
      </c>
      <c r="L18" s="50" t="s">
        <v>3621</v>
      </c>
      <c r="M18" s="50" t="s">
        <v>3621</v>
      </c>
      <c r="N18" s="113" t="s">
        <v>3621</v>
      </c>
      <c r="O18" s="113" t="s">
        <v>3621</v>
      </c>
      <c r="P18" s="50" t="s">
        <v>3621</v>
      </c>
      <c r="Q18" s="50" t="s">
        <v>3621</v>
      </c>
      <c r="R18" s="50" t="s">
        <v>3621</v>
      </c>
      <c r="S18" s="50" t="s">
        <v>3621</v>
      </c>
      <c r="T18" s="50" t="s">
        <v>3621</v>
      </c>
      <c r="U18" s="50" t="s">
        <v>3621</v>
      </c>
      <c r="V18" s="50" t="s">
        <v>3621</v>
      </c>
      <c r="W18" s="50" t="s">
        <v>3621</v>
      </c>
      <c r="X18" s="50" t="s">
        <v>3621</v>
      </c>
      <c r="Y18" s="50" t="s">
        <v>3621</v>
      </c>
      <c r="Z18" s="50" t="s">
        <v>3621</v>
      </c>
      <c r="AA18" s="50" t="s">
        <v>3621</v>
      </c>
      <c r="AB18" s="50" t="s">
        <v>3621</v>
      </c>
      <c r="AC18" s="50" t="s">
        <v>3621</v>
      </c>
      <c r="AD18" s="50" t="s">
        <v>3621</v>
      </c>
      <c r="AE18" s="50" t="s">
        <v>3621</v>
      </c>
      <c r="AF18" s="50" t="s">
        <v>3621</v>
      </c>
      <c r="AG18" s="50" t="s">
        <v>3621</v>
      </c>
      <c r="AH18" s="50" t="s">
        <v>3621</v>
      </c>
      <c r="AI18" s="50" t="s">
        <v>3621</v>
      </c>
      <c r="AJ18" s="50" t="s">
        <v>3621</v>
      </c>
      <c r="AK18" s="50" t="s">
        <v>3621</v>
      </c>
      <c r="AL18" s="50" t="s">
        <v>3621</v>
      </c>
      <c r="AM18" s="50" t="s">
        <v>3621</v>
      </c>
      <c r="AN18" s="50" t="s">
        <v>3621</v>
      </c>
      <c r="AO18" s="50" t="s">
        <v>3621</v>
      </c>
      <c r="AP18" s="50" t="s">
        <v>3621</v>
      </c>
      <c r="AQ18" s="50" t="s">
        <v>3621</v>
      </c>
      <c r="AR18" s="50" t="s">
        <v>3621</v>
      </c>
      <c r="AS18" s="50" t="s">
        <v>3621</v>
      </c>
      <c r="AT18" s="50" t="s">
        <v>3621</v>
      </c>
      <c r="AU18" s="50" t="s">
        <v>3621</v>
      </c>
      <c r="AV18" s="50" t="s">
        <v>3621</v>
      </c>
      <c r="AW18" s="50" t="s">
        <v>3621</v>
      </c>
      <c r="AX18" s="50" t="s">
        <v>3621</v>
      </c>
      <c r="AY18" s="50" t="s">
        <v>3621</v>
      </c>
      <c r="AZ18" s="50" t="s">
        <v>3621</v>
      </c>
      <c r="BA18" s="50" t="s">
        <v>3621</v>
      </c>
      <c r="BB18" s="50" t="s">
        <v>3621</v>
      </c>
      <c r="BC18" s="50" t="s">
        <v>3621</v>
      </c>
      <c r="BD18" s="50" t="s">
        <v>3621</v>
      </c>
      <c r="BE18" s="50" t="s">
        <v>3621</v>
      </c>
      <c r="BF18" s="50" t="s">
        <v>3621</v>
      </c>
      <c r="BG18" s="50" t="s">
        <v>3621</v>
      </c>
      <c r="BH18" s="50" t="s">
        <v>3621</v>
      </c>
      <c r="BI18" s="50" t="s">
        <v>3621</v>
      </c>
      <c r="BJ18" s="50" t="s">
        <v>3621</v>
      </c>
      <c r="BK18" s="50" t="s">
        <v>3621</v>
      </c>
      <c r="BL18" s="50" t="s">
        <v>3621</v>
      </c>
      <c r="BM18" s="50" t="s">
        <v>3621</v>
      </c>
      <c r="BN18" s="50" t="s">
        <v>3621</v>
      </c>
      <c r="BO18" s="50" t="s">
        <v>3621</v>
      </c>
      <c r="BP18" s="50" t="s">
        <v>3621</v>
      </c>
      <c r="BQ18" s="50" t="s">
        <v>3621</v>
      </c>
    </row>
    <row r="19" spans="2:69" x14ac:dyDescent="0.35">
      <c r="B19" s="50" t="s">
        <v>3600</v>
      </c>
      <c r="C19" s="50">
        <v>17</v>
      </c>
      <c r="D19" s="50" t="s">
        <v>4689</v>
      </c>
      <c r="E19" s="111">
        <v>45534</v>
      </c>
      <c r="F19" s="50">
        <v>1</v>
      </c>
      <c r="G19" s="279" t="s">
        <v>4690</v>
      </c>
      <c r="H19" s="198" t="s">
        <v>4691</v>
      </c>
      <c r="I19" s="50" t="s">
        <v>3621</v>
      </c>
      <c r="J19" s="50" t="s">
        <v>3621</v>
      </c>
      <c r="K19" s="50" t="s">
        <v>3621</v>
      </c>
      <c r="L19" s="50" t="s">
        <v>3621</v>
      </c>
      <c r="M19" s="50" t="s">
        <v>3621</v>
      </c>
      <c r="N19" s="50" t="s">
        <v>3621</v>
      </c>
      <c r="O19" s="50" t="s">
        <v>3621</v>
      </c>
      <c r="P19" s="50" t="s">
        <v>3621</v>
      </c>
      <c r="Q19" s="50" t="s">
        <v>3621</v>
      </c>
      <c r="R19" s="50" t="s">
        <v>3621</v>
      </c>
      <c r="S19" s="50" t="s">
        <v>3621</v>
      </c>
      <c r="T19" s="50" t="s">
        <v>3621</v>
      </c>
      <c r="U19" s="50" t="s">
        <v>3621</v>
      </c>
      <c r="V19" s="50" t="s">
        <v>3621</v>
      </c>
      <c r="W19" s="50" t="s">
        <v>3621</v>
      </c>
      <c r="X19" s="50" t="s">
        <v>3621</v>
      </c>
      <c r="Y19" s="50" t="s">
        <v>3621</v>
      </c>
      <c r="Z19" s="50" t="s">
        <v>3621</v>
      </c>
      <c r="AA19" s="50" t="s">
        <v>3621</v>
      </c>
      <c r="AB19" s="50" t="s">
        <v>3621</v>
      </c>
      <c r="AC19" s="50" t="s">
        <v>3621</v>
      </c>
      <c r="AD19" s="50" t="s">
        <v>3621</v>
      </c>
      <c r="AE19" s="50" t="s">
        <v>3621</v>
      </c>
      <c r="AF19" s="50" t="s">
        <v>3621</v>
      </c>
      <c r="AG19" s="50" t="s">
        <v>3621</v>
      </c>
      <c r="AH19" s="50" t="s">
        <v>3621</v>
      </c>
      <c r="AI19" s="50" t="s">
        <v>3621</v>
      </c>
      <c r="AJ19" s="50" t="s">
        <v>3621</v>
      </c>
      <c r="AK19" s="50" t="s">
        <v>3621</v>
      </c>
      <c r="AL19" s="50" t="s">
        <v>3621</v>
      </c>
      <c r="AM19" s="50" t="s">
        <v>3621</v>
      </c>
      <c r="AN19" s="50" t="s">
        <v>3621</v>
      </c>
      <c r="AO19" s="50" t="s">
        <v>3621</v>
      </c>
      <c r="AP19" s="50" t="s">
        <v>3621</v>
      </c>
      <c r="AQ19" s="50" t="s">
        <v>3621</v>
      </c>
      <c r="AR19" s="50" t="s">
        <v>3621</v>
      </c>
      <c r="AS19" s="50" t="s">
        <v>3621</v>
      </c>
      <c r="AT19" s="50" t="s">
        <v>3621</v>
      </c>
      <c r="AU19" s="50" t="s">
        <v>3621</v>
      </c>
      <c r="AV19" s="50" t="s">
        <v>3621</v>
      </c>
      <c r="AW19" s="50" t="s">
        <v>3621</v>
      </c>
      <c r="AX19" s="50" t="s">
        <v>3621</v>
      </c>
      <c r="AY19" s="50" t="s">
        <v>3621</v>
      </c>
      <c r="AZ19" s="50" t="s">
        <v>3621</v>
      </c>
      <c r="BA19" s="50" t="s">
        <v>3621</v>
      </c>
      <c r="BB19" s="50" t="s">
        <v>3621</v>
      </c>
      <c r="BC19" s="50" t="s">
        <v>3621</v>
      </c>
      <c r="BD19" s="50" t="s">
        <v>3621</v>
      </c>
      <c r="BE19" s="50" t="s">
        <v>3621</v>
      </c>
      <c r="BF19" s="50" t="s">
        <v>3621</v>
      </c>
      <c r="BG19" s="50" t="s">
        <v>3621</v>
      </c>
      <c r="BH19" s="50" t="s">
        <v>3621</v>
      </c>
      <c r="BI19" s="50" t="s">
        <v>3621</v>
      </c>
      <c r="BJ19" s="50" t="s">
        <v>3621</v>
      </c>
      <c r="BK19" s="50" t="s">
        <v>3621</v>
      </c>
      <c r="BL19" s="50" t="s">
        <v>3621</v>
      </c>
      <c r="BM19" s="50" t="s">
        <v>3621</v>
      </c>
      <c r="BN19" s="50" t="s">
        <v>3621</v>
      </c>
      <c r="BO19" s="50" t="s">
        <v>3621</v>
      </c>
      <c r="BP19" s="50" t="s">
        <v>3621</v>
      </c>
      <c r="BQ19" s="50" t="s">
        <v>3621</v>
      </c>
    </row>
    <row r="20" spans="2:69" x14ac:dyDescent="0.35">
      <c r="B20" s="50" t="s">
        <v>3602</v>
      </c>
      <c r="C20" s="50">
        <v>18</v>
      </c>
      <c r="D20" s="50" t="s">
        <v>4689</v>
      </c>
      <c r="E20" s="111">
        <v>45534</v>
      </c>
      <c r="F20" s="50">
        <v>1</v>
      </c>
      <c r="G20" s="279" t="s">
        <v>4692</v>
      </c>
      <c r="H20" s="198" t="s">
        <v>4693</v>
      </c>
      <c r="I20" s="50" t="s">
        <v>3621</v>
      </c>
      <c r="J20" s="50" t="s">
        <v>3621</v>
      </c>
      <c r="K20" s="50" t="s">
        <v>3621</v>
      </c>
      <c r="L20" s="50" t="s">
        <v>3621</v>
      </c>
      <c r="M20" s="50" t="s">
        <v>3621</v>
      </c>
      <c r="N20" s="50" t="s">
        <v>3621</v>
      </c>
      <c r="O20" s="50" t="s">
        <v>3621</v>
      </c>
      <c r="P20" s="50" t="s">
        <v>3621</v>
      </c>
      <c r="Q20" s="50" t="s">
        <v>3621</v>
      </c>
      <c r="R20" s="50" t="s">
        <v>3621</v>
      </c>
      <c r="S20" s="50" t="s">
        <v>3621</v>
      </c>
      <c r="T20" s="50" t="s">
        <v>3621</v>
      </c>
      <c r="U20" s="50" t="s">
        <v>3621</v>
      </c>
      <c r="V20" s="50" t="s">
        <v>3621</v>
      </c>
      <c r="W20" s="50" t="s">
        <v>3621</v>
      </c>
      <c r="X20" s="50" t="s">
        <v>3621</v>
      </c>
      <c r="Y20" s="50" t="s">
        <v>3621</v>
      </c>
      <c r="Z20" s="50" t="s">
        <v>3621</v>
      </c>
      <c r="AA20" s="50" t="s">
        <v>3621</v>
      </c>
      <c r="AB20" s="50" t="s">
        <v>3621</v>
      </c>
      <c r="AC20" s="50" t="s">
        <v>3621</v>
      </c>
      <c r="AD20" s="50" t="s">
        <v>3621</v>
      </c>
      <c r="AE20" s="50" t="s">
        <v>3621</v>
      </c>
      <c r="AF20" s="50" t="s">
        <v>3621</v>
      </c>
      <c r="AG20" s="50" t="s">
        <v>3621</v>
      </c>
      <c r="AH20" s="50" t="s">
        <v>3621</v>
      </c>
      <c r="AI20" s="50" t="s">
        <v>3621</v>
      </c>
      <c r="AJ20" s="50" t="s">
        <v>3621</v>
      </c>
      <c r="AK20" s="50" t="s">
        <v>3621</v>
      </c>
      <c r="AL20" s="50" t="s">
        <v>3621</v>
      </c>
      <c r="AM20" s="50" t="s">
        <v>3621</v>
      </c>
      <c r="AN20" s="50" t="s">
        <v>3621</v>
      </c>
      <c r="AO20" s="50" t="s">
        <v>3621</v>
      </c>
      <c r="AP20" s="50" t="s">
        <v>3621</v>
      </c>
      <c r="AQ20" s="50" t="s">
        <v>3621</v>
      </c>
      <c r="AR20" s="50" t="s">
        <v>3621</v>
      </c>
      <c r="AS20" s="50" t="s">
        <v>3621</v>
      </c>
      <c r="AT20" s="50" t="s">
        <v>3621</v>
      </c>
      <c r="AU20" s="50" t="s">
        <v>3621</v>
      </c>
      <c r="AV20" s="50" t="s">
        <v>3621</v>
      </c>
      <c r="AW20" s="50" t="s">
        <v>3621</v>
      </c>
      <c r="AX20" s="50" t="s">
        <v>3621</v>
      </c>
      <c r="AY20" s="50" t="s">
        <v>3621</v>
      </c>
      <c r="AZ20" s="50" t="s">
        <v>3621</v>
      </c>
      <c r="BA20" s="50" t="s">
        <v>3621</v>
      </c>
      <c r="BB20" s="50" t="s">
        <v>3621</v>
      </c>
      <c r="BC20" s="50" t="s">
        <v>3621</v>
      </c>
      <c r="BD20" s="50" t="s">
        <v>3621</v>
      </c>
      <c r="BE20" s="50" t="s">
        <v>3621</v>
      </c>
      <c r="BF20" s="50" t="s">
        <v>3621</v>
      </c>
      <c r="BG20" s="50" t="s">
        <v>3621</v>
      </c>
      <c r="BH20" s="50" t="s">
        <v>3621</v>
      </c>
      <c r="BI20" s="50" t="s">
        <v>3621</v>
      </c>
      <c r="BJ20" s="50" t="s">
        <v>3621</v>
      </c>
      <c r="BK20" s="50" t="s">
        <v>3621</v>
      </c>
      <c r="BL20" s="50" t="s">
        <v>3621</v>
      </c>
      <c r="BM20" s="50" t="s">
        <v>3621</v>
      </c>
      <c r="BN20" s="50" t="s">
        <v>3621</v>
      </c>
      <c r="BO20" s="50" t="s">
        <v>3621</v>
      </c>
      <c r="BP20" s="50" t="s">
        <v>3621</v>
      </c>
      <c r="BQ20" s="50" t="s">
        <v>3621</v>
      </c>
    </row>
    <row r="21" spans="2:69" x14ac:dyDescent="0.35">
      <c r="B21" s="50" t="s">
        <v>3604</v>
      </c>
      <c r="C21" s="50">
        <v>19</v>
      </c>
      <c r="D21" s="50" t="s">
        <v>4694</v>
      </c>
      <c r="E21" s="111">
        <v>45534</v>
      </c>
      <c r="F21" s="50">
        <v>1</v>
      </c>
      <c r="G21" s="279" cm="1">
        <f t="array" ref="G21">SUMPRODUCT(--(ISNUMBER((SEARCH(I27:BQ27,I21:BQ21)))))/COUNTA(I21:BQ21)</f>
        <v>1</v>
      </c>
      <c r="H21" s="114" t="s">
        <v>3630</v>
      </c>
      <c r="I21" s="50" t="s">
        <v>3655</v>
      </c>
      <c r="J21" s="50" t="s">
        <v>3655</v>
      </c>
      <c r="K21" s="50" t="s">
        <v>3655</v>
      </c>
      <c r="L21" s="50" t="s">
        <v>3655</v>
      </c>
      <c r="M21" s="50" t="s">
        <v>3655</v>
      </c>
      <c r="N21" s="50" t="s">
        <v>3655</v>
      </c>
      <c r="O21" s="50" t="s">
        <v>3655</v>
      </c>
      <c r="P21" s="50" t="s">
        <v>3655</v>
      </c>
      <c r="Q21" s="50" t="s">
        <v>3655</v>
      </c>
      <c r="R21" s="50" t="s">
        <v>3655</v>
      </c>
      <c r="S21" s="50" t="s">
        <v>3655</v>
      </c>
      <c r="T21" s="50" t="s">
        <v>3655</v>
      </c>
      <c r="U21" s="50" t="s">
        <v>3655</v>
      </c>
      <c r="V21" s="50" t="s">
        <v>3655</v>
      </c>
      <c r="W21" s="50" t="s">
        <v>3655</v>
      </c>
      <c r="X21" s="50" t="s">
        <v>3655</v>
      </c>
      <c r="Y21" s="50" t="s">
        <v>4039</v>
      </c>
      <c r="Z21" s="50" t="s">
        <v>3656</v>
      </c>
      <c r="AA21" s="50" t="s">
        <v>3656</v>
      </c>
      <c r="AB21" s="50" t="s">
        <v>3656</v>
      </c>
      <c r="AC21" s="50" t="s">
        <v>3656</v>
      </c>
      <c r="AD21" s="50" t="s">
        <v>3656</v>
      </c>
      <c r="AE21" s="50" t="s">
        <v>3656</v>
      </c>
      <c r="AF21" s="50" t="s">
        <v>3656</v>
      </c>
      <c r="AG21" s="50" t="s">
        <v>3656</v>
      </c>
      <c r="AH21" s="50" t="s">
        <v>3656</v>
      </c>
      <c r="AI21" s="50" t="s">
        <v>3656</v>
      </c>
      <c r="AJ21" s="50" t="s">
        <v>3656</v>
      </c>
      <c r="AK21" s="50" t="s">
        <v>3656</v>
      </c>
      <c r="AL21" s="50" t="s">
        <v>3656</v>
      </c>
      <c r="AM21" s="50" t="s">
        <v>3656</v>
      </c>
      <c r="AN21" s="50" t="s">
        <v>3656</v>
      </c>
      <c r="AO21" s="50" t="s">
        <v>3655</v>
      </c>
      <c r="AP21" s="50" t="s">
        <v>3656</v>
      </c>
      <c r="AQ21" s="50" t="s">
        <v>3655</v>
      </c>
      <c r="AR21" s="50" t="s">
        <v>3656</v>
      </c>
      <c r="AS21" s="50" t="s">
        <v>3656</v>
      </c>
      <c r="AT21" s="50" t="s">
        <v>3656</v>
      </c>
      <c r="AU21" s="50" t="s">
        <v>3656</v>
      </c>
      <c r="AV21" s="50" t="s">
        <v>3655</v>
      </c>
      <c r="AW21" s="50" t="s">
        <v>3656</v>
      </c>
      <c r="AX21" s="50" t="s">
        <v>3656</v>
      </c>
      <c r="AY21" s="50" t="s">
        <v>3656</v>
      </c>
      <c r="AZ21" s="50" t="s">
        <v>3655</v>
      </c>
      <c r="BA21" s="50" t="s">
        <v>3656</v>
      </c>
      <c r="BB21" s="50" t="s">
        <v>4039</v>
      </c>
      <c r="BC21" s="50" t="s">
        <v>3655</v>
      </c>
      <c r="BD21" s="50" t="s">
        <v>3655</v>
      </c>
      <c r="BE21" s="50" t="s">
        <v>3656</v>
      </c>
      <c r="BF21" s="50" t="s">
        <v>3656</v>
      </c>
      <c r="BG21" s="50" t="s">
        <v>3656</v>
      </c>
      <c r="BH21" s="50" t="s">
        <v>3655</v>
      </c>
      <c r="BI21" s="50" t="s">
        <v>3655</v>
      </c>
      <c r="BJ21" s="50" t="s">
        <v>3656</v>
      </c>
      <c r="BK21" s="50" t="s">
        <v>3656</v>
      </c>
      <c r="BL21" s="50" t="s">
        <v>3656</v>
      </c>
      <c r="BM21" s="50" t="s">
        <v>3655</v>
      </c>
      <c r="BN21" s="50" t="s">
        <v>3655</v>
      </c>
      <c r="BO21" s="50" t="s">
        <v>3655</v>
      </c>
      <c r="BP21" s="50" t="s">
        <v>3655</v>
      </c>
      <c r="BQ21" s="50" t="s">
        <v>3657</v>
      </c>
    </row>
    <row r="22" spans="2:69" x14ac:dyDescent="0.35">
      <c r="B22" s="50" t="s">
        <v>3607</v>
      </c>
      <c r="C22" s="50">
        <v>20</v>
      </c>
      <c r="D22" s="50"/>
      <c r="E22" s="111"/>
      <c r="F22" s="50"/>
      <c r="G22" s="209" cm="1">
        <f t="array" ref="G22">SUM(IF(I2:O2 = I26:O26, 1, 0))/ COUNTA(I2:O2)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0"/>
    </row>
    <row r="23" spans="2:69" x14ac:dyDescent="0.35">
      <c r="B23" s="50" t="s">
        <v>3610</v>
      </c>
      <c r="C23" s="50">
        <v>21</v>
      </c>
      <c r="D23" s="50"/>
      <c r="E23" s="111"/>
      <c r="F23" s="50"/>
      <c r="G23" s="209" cm="1">
        <f t="array" ref="G23">SUM(IF(IF(G3:G22="null",1,G3:G22)=1,1,0))/COUNT(IF(G3:G22="null",1,1))</f>
        <v>0.8</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0"/>
    </row>
    <row r="25" spans="2:69" x14ac:dyDescent="0.35">
      <c r="B25" s="146" t="s">
        <v>3727</v>
      </c>
    </row>
    <row r="26" spans="2:69" x14ac:dyDescent="0.35">
      <c r="B26" s="144" t="s">
        <v>3613</v>
      </c>
      <c r="C26" s="145" t="s">
        <v>3614</v>
      </c>
      <c r="D26" s="145" t="s">
        <v>3615</v>
      </c>
      <c r="E26" s="145" t="s">
        <v>3616</v>
      </c>
      <c r="F26" s="145" t="s">
        <v>3617</v>
      </c>
      <c r="G26" s="145" t="s">
        <v>3618</v>
      </c>
      <c r="H26" s="145" t="s">
        <v>3619</v>
      </c>
      <c r="I26" s="145" t="str" cm="1">
        <f t="array" ref="I26:BQ26">TRANSPOSE(_xlfn.SORTBY(_xlfn._xlws.FILTER(Table3[NOME FÍSICO CAMPO],Table3[NOME FÍSICO TABELA]="leasing"), _xlfn._xlws.FILTER(Table3[ORDEM], Table3[NOME FÍSICO TABELA]="leasing"), 1))</f>
        <v>bank_id</v>
      </c>
      <c r="J26" s="145" t="str">
        <v>contract_id</v>
      </c>
      <c r="K26" s="145" t="str">
        <v>product_family_id</v>
      </c>
      <c r="L26" s="145" t="str">
        <v>product_id</v>
      </c>
      <c r="M26" s="145" t="str">
        <v>subproduct_id</v>
      </c>
      <c r="N26" s="145" t="str">
        <v>main_current_account_bank_id</v>
      </c>
      <c r="O26" s="145" t="str">
        <v>main_current_account_contract_id</v>
      </c>
      <c r="P26" s="145" t="str">
        <v>main_current_account_iban</v>
      </c>
      <c r="Q26" s="145" t="str">
        <v>main_current_account_nib</v>
      </c>
      <c r="R26" s="145" t="str">
        <v>main_current_account_org_id</v>
      </c>
      <c r="S26" s="145" t="str">
        <v>main_current_account_agency_id</v>
      </c>
      <c r="T26" s="312" t="str">
        <v>main_current_account_number</v>
      </c>
      <c r="U26" s="312" t="str">
        <v>opening_date</v>
      </c>
      <c r="V26" s="312" t="str">
        <v>current_maturity_date</v>
      </c>
      <c r="W26" s="312" t="str">
        <v>currency_code</v>
      </c>
      <c r="X26" s="312" t="str">
        <v>litigation_indicator</v>
      </c>
      <c r="Y26" s="313" t="str">
        <v>total_num_past_due_installments</v>
      </c>
      <c r="Z26" s="313" t="str">
        <v>initial_authorized_amount</v>
      </c>
      <c r="AA26" s="313" t="str">
        <v>current_authorized_amount</v>
      </c>
      <c r="AB26" s="313" t="str">
        <v>initial_advance_principal_amount</v>
      </c>
      <c r="AC26" s="313" t="str">
        <v>current_advance_principal_amount</v>
      </c>
      <c r="AD26" s="313" t="str">
        <v>current_available_amount</v>
      </c>
      <c r="AE26" s="313" t="str">
        <v>cur_outsng_principal_balance</v>
      </c>
      <c r="AF26" s="313" t="str">
        <v>current_overdue_principal_bal</v>
      </c>
      <c r="AG26" s="313" t="str">
        <v>current_overdue_taxes_balance</v>
      </c>
      <c r="AH26" s="313" t="str">
        <v>current_overdue_expenses_bal</v>
      </c>
      <c r="AI26" s="313" t="str">
        <v>current_overdue_interest_bal</v>
      </c>
      <c r="AJ26" s="313" t="str">
        <v>cur_debt_litigation_princip_bal</v>
      </c>
      <c r="AK26" s="313" t="str">
        <v>residual_value_principal_amount</v>
      </c>
      <c r="AL26" s="313" t="str">
        <v>residual_value_taxes_amount</v>
      </c>
      <c r="AM26" s="313" t="str">
        <v>residual_value_interest_amount</v>
      </c>
      <c r="AN26" s="313" t="str">
        <v>residual_value_expenses_amount</v>
      </c>
      <c r="AO26" s="313" t="str">
        <v>next_regular_amort_due_date</v>
      </c>
      <c r="AP26" s="313" t="str">
        <v>next_regular_amort_principal_amt</v>
      </c>
      <c r="AQ26" s="313" t="str">
        <v>last_settled_amort_due_date</v>
      </c>
      <c r="AR26" s="313" t="str">
        <v>last_settled_amort_princip_amt</v>
      </c>
      <c r="AS26" s="313" t="str">
        <v>last_settled_amort_taxes_amount</v>
      </c>
      <c r="AT26" s="313" t="str">
        <v>last_settled_amort_expenses_amt</v>
      </c>
      <c r="AU26" s="313" t="str">
        <v>last_settled_amort_interest_amt</v>
      </c>
      <c r="AV26" s="313" t="str">
        <v>last_early_amort_pay_date</v>
      </c>
      <c r="AW26" s="313" t="str">
        <v>last_early_amort_principal_amt</v>
      </c>
      <c r="AX26" s="313" t="str">
        <v>last_early_amort_taxes_amount</v>
      </c>
      <c r="AY26" s="313" t="str">
        <v>last_early_amort_expenses_amt</v>
      </c>
      <c r="AZ26" s="313" t="str">
        <v>last_regular_amort_pay_date</v>
      </c>
      <c r="BA26" s="313" t="str">
        <v>last_regular_amort_princip_amt</v>
      </c>
      <c r="BB26" s="313" t="str">
        <v>last_regular_amort_install_num</v>
      </c>
      <c r="BC26" s="313" t="str">
        <v>initial_active_rate_type_code</v>
      </c>
      <c r="BD26" s="313" t="str">
        <v>initial_active_indexing</v>
      </c>
      <c r="BE26" s="313" t="str">
        <v>initial_active_index_rate</v>
      </c>
      <c r="BF26" s="313" t="str">
        <v>initial_active_spread</v>
      </c>
      <c r="BG26" s="313" t="str">
        <v>initial_active_interest_rate</v>
      </c>
      <c r="BH26" s="313" t="str">
        <v>cur_active_rate_type_code</v>
      </c>
      <c r="BI26" s="313" t="str">
        <v>current_active_indexing</v>
      </c>
      <c r="BJ26" s="313" t="str">
        <v>current_active_index_rate</v>
      </c>
      <c r="BK26" s="313" t="str">
        <v>current_active_spread</v>
      </c>
      <c r="BL26" s="313" t="str">
        <v>current_active_interest_rate</v>
      </c>
      <c r="BM26" s="313" t="str">
        <v>contract_status_code</v>
      </c>
      <c r="BN26" s="313" t="str">
        <v>contract_opening_channel_code</v>
      </c>
      <c r="BO26" s="313" t="str">
        <v>source_code</v>
      </c>
      <c r="BP26" s="313" t="str">
        <v>data_date_part</v>
      </c>
      <c r="BQ26" s="232" t="str">
        <v>data_timestamp_part</v>
      </c>
    </row>
    <row r="27" spans="2:69" x14ac:dyDescent="0.35">
      <c r="B27" s="123" t="s">
        <v>3658</v>
      </c>
      <c r="C27" s="109">
        <v>21</v>
      </c>
      <c r="D27" s="108" t="s">
        <v>3659</v>
      </c>
      <c r="E27" t="s">
        <v>3660</v>
      </c>
      <c r="F27" t="s">
        <v>372</v>
      </c>
      <c r="G27" t="s">
        <v>372</v>
      </c>
      <c r="H27" t="s">
        <v>372</v>
      </c>
      <c r="I27" t="str" cm="1">
        <f t="array" ref="I27:BQ28">TRANSPOSE(_xlfn.SORTBY(_xlfn._xlws.FILTER(IF(Table3[FORMATO]:Table3[COMP_ CAMPO]&lt;&gt;"",Table3[FORMATO]:Table3[COMP_ CAMPO],9999999),Table3[NOME FÍSICO TABELA]="leasing"), _xlfn._xlws.FILTER(Table3[ORDEM], Table3[NOME FÍSICO TABELA]="leasing"), 1))</f>
        <v>STRING</v>
      </c>
      <c r="J27" t="str">
        <v>STRING</v>
      </c>
      <c r="K27" t="str">
        <v>STRING</v>
      </c>
      <c r="L27" t="str">
        <v>STRING</v>
      </c>
      <c r="M27" t="str">
        <v>STRING</v>
      </c>
      <c r="N27" t="str">
        <v>STRING</v>
      </c>
      <c r="O27" t="str">
        <v>STRING</v>
      </c>
      <c r="P27" t="str">
        <v>STRING</v>
      </c>
      <c r="Q27" t="str">
        <v>STRING</v>
      </c>
      <c r="R27" t="str">
        <v>STRING</v>
      </c>
      <c r="S27" t="str">
        <v>STRING</v>
      </c>
      <c r="T27" s="121" t="str">
        <v>STRING</v>
      </c>
      <c r="U27" s="121" t="str">
        <v>STRING</v>
      </c>
      <c r="V27" s="121" t="str">
        <v>STRING</v>
      </c>
      <c r="W27" s="121" t="str">
        <v>STRING</v>
      </c>
      <c r="X27" s="121" t="str">
        <v>STRING</v>
      </c>
      <c r="Y27" s="121" t="str">
        <v>INT</v>
      </c>
      <c r="Z27" s="121" t="str">
        <v>DECIMAL</v>
      </c>
      <c r="AA27" s="121" t="str">
        <v>DECIMAL</v>
      </c>
      <c r="AB27" s="121" t="str">
        <v>DECIMAL</v>
      </c>
      <c r="AC27" s="121" t="str">
        <v>DECIMAL</v>
      </c>
      <c r="AD27" s="121" t="str">
        <v>DECIMAL</v>
      </c>
      <c r="AE27" s="121" t="str">
        <v>DECIMAL</v>
      </c>
      <c r="AF27" s="121" t="str">
        <v>DECIMAL</v>
      </c>
      <c r="AG27" s="121" t="str">
        <v>DECIMAL</v>
      </c>
      <c r="AH27" s="121" t="str">
        <v>DECIMAL</v>
      </c>
      <c r="AI27" s="121" t="str">
        <v>DECIMAL</v>
      </c>
      <c r="AJ27" s="121" t="str">
        <v>DECIMAL</v>
      </c>
      <c r="AK27" s="121" t="str">
        <v>DECIMAL</v>
      </c>
      <c r="AL27" s="121" t="str">
        <v>DECIMAL</v>
      </c>
      <c r="AM27" s="121" t="str">
        <v>DECIMAL</v>
      </c>
      <c r="AN27" s="121" t="str">
        <v>DECIMAL</v>
      </c>
      <c r="AO27" s="121" t="str">
        <v>STRING</v>
      </c>
      <c r="AP27" s="121" t="str">
        <v>DECIMAL</v>
      </c>
      <c r="AQ27" s="121" t="str">
        <v>STRING</v>
      </c>
      <c r="AR27" s="121" t="str">
        <v>DECIMAL</v>
      </c>
      <c r="AS27" s="121" t="str">
        <v>DECIMAL</v>
      </c>
      <c r="AT27" s="121" t="str">
        <v>DECIMAL</v>
      </c>
      <c r="AU27" s="121" t="str">
        <v>DECIMAL</v>
      </c>
      <c r="AV27" s="121" t="str">
        <v>STRING</v>
      </c>
      <c r="AW27" s="121" t="str">
        <v>DECIMAL</v>
      </c>
      <c r="AX27" s="121" t="str">
        <v>DECIMAL</v>
      </c>
      <c r="AY27" s="121" t="str">
        <v>DECIMAL</v>
      </c>
      <c r="AZ27" s="121" t="str">
        <v>STRING</v>
      </c>
      <c r="BA27" s="121" t="str">
        <v>DECIMAL</v>
      </c>
      <c r="BB27" s="121" t="str">
        <v>INT</v>
      </c>
      <c r="BC27" s="121" t="str">
        <v>STRING</v>
      </c>
      <c r="BD27" s="121" t="str">
        <v>STRING</v>
      </c>
      <c r="BE27" s="121" t="str">
        <v>DECIMAL</v>
      </c>
      <c r="BF27" s="121" t="str">
        <v>DECIMAL</v>
      </c>
      <c r="BG27" s="121" t="str">
        <v>DECIMAL</v>
      </c>
      <c r="BH27" s="121" t="str">
        <v>STRING</v>
      </c>
      <c r="BI27" s="121" t="str">
        <v>STRING</v>
      </c>
      <c r="BJ27" s="121" t="str">
        <v>DECIMAL</v>
      </c>
      <c r="BK27" s="121" t="str">
        <v>DECIMAL</v>
      </c>
      <c r="BL27" s="121" t="str">
        <v>DECIMAL</v>
      </c>
      <c r="BM27" s="121" t="str">
        <v>STRING</v>
      </c>
      <c r="BN27" s="121" t="str">
        <v>STRING</v>
      </c>
      <c r="BO27" s="121" t="str">
        <v>STRING</v>
      </c>
      <c r="BP27" s="121" t="str">
        <v>STRING</v>
      </c>
      <c r="BQ27" s="124" t="str">
        <v>TIMESTAMP</v>
      </c>
    </row>
    <row r="28" spans="2:69" x14ac:dyDescent="0.35">
      <c r="B28" s="123" t="s">
        <v>3661</v>
      </c>
      <c r="C28" s="167">
        <v>7</v>
      </c>
      <c r="D28" s="122" t="s">
        <v>3659</v>
      </c>
      <c r="E28" s="121" t="s">
        <v>3660</v>
      </c>
      <c r="F28" s="121" t="s">
        <v>372</v>
      </c>
      <c r="G28" s="121" t="s">
        <v>372</v>
      </c>
      <c r="H28" s="121" t="s">
        <v>372</v>
      </c>
      <c r="I28" s="167">
        <v>4</v>
      </c>
      <c r="J28" s="167">
        <v>30</v>
      </c>
      <c r="K28" s="167">
        <v>4</v>
      </c>
      <c r="L28" s="167">
        <v>4</v>
      </c>
      <c r="M28" s="167">
        <v>4</v>
      </c>
      <c r="N28" s="167">
        <v>4</v>
      </c>
      <c r="O28" s="167">
        <v>30</v>
      </c>
      <c r="P28" s="167">
        <v>25</v>
      </c>
      <c r="Q28" s="167">
        <v>21</v>
      </c>
      <c r="R28" s="167">
        <v>4</v>
      </c>
      <c r="S28" s="167">
        <v>4</v>
      </c>
      <c r="T28" s="167">
        <v>17</v>
      </c>
      <c r="U28" s="167">
        <v>10</v>
      </c>
      <c r="V28" s="167">
        <v>10</v>
      </c>
      <c r="W28" s="167">
        <v>4</v>
      </c>
      <c r="X28" s="167">
        <v>4</v>
      </c>
      <c r="Y28" s="167">
        <v>9999999</v>
      </c>
      <c r="Z28" s="167">
        <v>23</v>
      </c>
      <c r="AA28" s="167">
        <v>23</v>
      </c>
      <c r="AB28" s="167">
        <v>23</v>
      </c>
      <c r="AC28" s="167">
        <v>23</v>
      </c>
      <c r="AD28" s="167">
        <v>23</v>
      </c>
      <c r="AE28" s="167">
        <v>23</v>
      </c>
      <c r="AF28" s="167">
        <v>23</v>
      </c>
      <c r="AG28" s="167">
        <v>23</v>
      </c>
      <c r="AH28" s="167">
        <v>23</v>
      </c>
      <c r="AI28" s="167">
        <v>23</v>
      </c>
      <c r="AJ28" s="167">
        <v>23</v>
      </c>
      <c r="AK28" s="167">
        <v>23</v>
      </c>
      <c r="AL28" s="167">
        <v>23</v>
      </c>
      <c r="AM28" s="167">
        <v>23</v>
      </c>
      <c r="AN28" s="167">
        <v>23</v>
      </c>
      <c r="AO28" s="167">
        <v>10</v>
      </c>
      <c r="AP28" s="167">
        <v>23</v>
      </c>
      <c r="AQ28" s="167">
        <v>10</v>
      </c>
      <c r="AR28" s="167">
        <v>23</v>
      </c>
      <c r="AS28" s="167">
        <v>23</v>
      </c>
      <c r="AT28" s="167">
        <v>23</v>
      </c>
      <c r="AU28" s="167">
        <v>23</v>
      </c>
      <c r="AV28" s="167">
        <v>10</v>
      </c>
      <c r="AW28" s="167">
        <v>23</v>
      </c>
      <c r="AX28" s="167">
        <v>23</v>
      </c>
      <c r="AY28" s="167">
        <v>23</v>
      </c>
      <c r="AZ28" s="167">
        <v>10</v>
      </c>
      <c r="BA28" s="167">
        <v>23</v>
      </c>
      <c r="BB28" s="167">
        <v>9999999</v>
      </c>
      <c r="BC28" s="167">
        <v>4</v>
      </c>
      <c r="BD28" s="167">
        <v>4</v>
      </c>
      <c r="BE28" s="167">
        <v>23</v>
      </c>
      <c r="BF28" s="167">
        <v>23</v>
      </c>
      <c r="BG28" s="167">
        <v>23</v>
      </c>
      <c r="BH28" s="167">
        <v>4</v>
      </c>
      <c r="BI28" s="167">
        <v>4</v>
      </c>
      <c r="BJ28" s="167">
        <v>23</v>
      </c>
      <c r="BK28" s="167">
        <v>23</v>
      </c>
      <c r="BL28" s="167">
        <v>23</v>
      </c>
      <c r="BM28" s="167">
        <v>4</v>
      </c>
      <c r="BN28" s="167">
        <v>4</v>
      </c>
      <c r="BO28" s="167">
        <v>2</v>
      </c>
      <c r="BP28" s="167">
        <v>10</v>
      </c>
      <c r="BQ28" s="168">
        <v>23</v>
      </c>
    </row>
    <row r="30" spans="2:69" x14ac:dyDescent="0.35">
      <c r="B30" s="156" t="s">
        <v>3662</v>
      </c>
    </row>
    <row r="31" spans="2:69" x14ac:dyDescent="0.35">
      <c r="B31" s="150" t="s">
        <v>3663</v>
      </c>
      <c r="C31" s="150" t="s">
        <v>3664</v>
      </c>
      <c r="D31" s="151" t="s">
        <v>3665</v>
      </c>
      <c r="E31" s="150" t="s">
        <v>3666</v>
      </c>
      <c r="F31" s="150" t="s">
        <v>3667</v>
      </c>
    </row>
    <row r="32" spans="2:69" ht="29" x14ac:dyDescent="0.35">
      <c r="B32" s="127" t="s">
        <v>3771</v>
      </c>
      <c r="C32" s="131" t="s">
        <v>1833</v>
      </c>
      <c r="D32" s="53" t="s">
        <v>4695</v>
      </c>
      <c r="E32" s="169" t="s">
        <v>4696</v>
      </c>
      <c r="F32" s="152" t="s">
        <v>3674</v>
      </c>
    </row>
    <row r="33" spans="2:6" ht="29" x14ac:dyDescent="0.35">
      <c r="B33" s="153" t="s">
        <v>3668</v>
      </c>
      <c r="C33" s="154" t="s">
        <v>1833</v>
      </c>
      <c r="D33" s="155" t="s">
        <v>4697</v>
      </c>
      <c r="E33" s="113" t="s">
        <v>4698</v>
      </c>
      <c r="F33" s="205" t="s">
        <v>3674</v>
      </c>
    </row>
    <row r="34" spans="2:6" ht="29" x14ac:dyDescent="0.35">
      <c r="B34" s="153" t="s">
        <v>3668</v>
      </c>
      <c r="C34" s="154" t="s">
        <v>2307</v>
      </c>
      <c r="D34" s="155" t="s">
        <v>4697</v>
      </c>
      <c r="E34" s="113" t="s">
        <v>4699</v>
      </c>
      <c r="F34" s="205" t="s">
        <v>3674</v>
      </c>
    </row>
    <row r="35" spans="2:6" ht="29" x14ac:dyDescent="0.35">
      <c r="B35" s="153" t="s">
        <v>3668</v>
      </c>
      <c r="C35" s="154" t="s">
        <v>2328</v>
      </c>
      <c r="D35" s="155" t="s">
        <v>4697</v>
      </c>
      <c r="E35" s="113" t="s">
        <v>4699</v>
      </c>
      <c r="F35" s="205" t="s">
        <v>3674</v>
      </c>
    </row>
    <row r="36" spans="2:6" ht="29" x14ac:dyDescent="0.35">
      <c r="B36" s="153" t="s">
        <v>3668</v>
      </c>
      <c r="C36" s="154" t="s">
        <v>715</v>
      </c>
      <c r="D36" s="155" t="s">
        <v>4697</v>
      </c>
      <c r="E36" s="113" t="s">
        <v>4700</v>
      </c>
      <c r="F36" s="205" t="s">
        <v>3674</v>
      </c>
    </row>
    <row r="37" spans="2:6" ht="29" x14ac:dyDescent="0.35">
      <c r="B37" s="153" t="s">
        <v>3668</v>
      </c>
      <c r="C37" s="154" t="s">
        <v>1458</v>
      </c>
      <c r="D37" s="155" t="s">
        <v>4697</v>
      </c>
      <c r="E37" s="113" t="s">
        <v>4701</v>
      </c>
      <c r="F37" s="205" t="s">
        <v>3674</v>
      </c>
    </row>
    <row r="38" spans="2:6" ht="29" x14ac:dyDescent="0.35">
      <c r="B38" s="153" t="s">
        <v>3668</v>
      </c>
      <c r="C38" s="154" t="s">
        <v>1473</v>
      </c>
      <c r="D38" s="155" t="s">
        <v>4697</v>
      </c>
      <c r="E38" s="113" t="s">
        <v>4702</v>
      </c>
      <c r="F38" s="205" t="s">
        <v>3674</v>
      </c>
    </row>
    <row r="39" spans="2:6" ht="29" x14ac:dyDescent="0.35">
      <c r="B39" s="153" t="s">
        <v>3668</v>
      </c>
      <c r="C39" s="154" t="s">
        <v>4600</v>
      </c>
      <c r="D39" s="155" t="s">
        <v>4697</v>
      </c>
      <c r="E39" s="113" t="s">
        <v>4703</v>
      </c>
      <c r="F39" s="205" t="s">
        <v>3674</v>
      </c>
    </row>
    <row r="40" spans="2:6" ht="29" x14ac:dyDescent="0.35">
      <c r="B40" s="153" t="s">
        <v>3668</v>
      </c>
      <c r="C40" s="154" t="s">
        <v>1977</v>
      </c>
      <c r="D40" s="155" t="s">
        <v>4697</v>
      </c>
      <c r="E40" s="113" t="s">
        <v>4704</v>
      </c>
      <c r="F40" s="205" t="s">
        <v>3674</v>
      </c>
    </row>
    <row r="41" spans="2:6" ht="29" x14ac:dyDescent="0.35">
      <c r="B41" s="153" t="s">
        <v>3668</v>
      </c>
      <c r="C41" s="154" t="s">
        <v>756</v>
      </c>
      <c r="D41" s="155" t="s">
        <v>4697</v>
      </c>
      <c r="E41" s="113" t="s">
        <v>4704</v>
      </c>
      <c r="F41" s="205" t="s">
        <v>3674</v>
      </c>
    </row>
    <row r="42" spans="2:6" ht="43.5" x14ac:dyDescent="0.35">
      <c r="B42" s="153" t="s">
        <v>3668</v>
      </c>
      <c r="C42" s="154" t="s">
        <v>305</v>
      </c>
      <c r="D42" s="155" t="s">
        <v>4705</v>
      </c>
      <c r="E42" s="113" t="s">
        <v>4706</v>
      </c>
      <c r="F42" s="205" t="s">
        <v>3674</v>
      </c>
    </row>
    <row r="43" spans="2:6" ht="72.5" x14ac:dyDescent="0.35">
      <c r="B43" s="153" t="s">
        <v>3678</v>
      </c>
      <c r="C43" s="154" t="s">
        <v>4443</v>
      </c>
      <c r="D43" s="155" t="s">
        <v>4707</v>
      </c>
      <c r="E43" s="113" t="s">
        <v>4708</v>
      </c>
      <c r="F43" s="205" t="s">
        <v>3671</v>
      </c>
    </row>
    <row r="44" spans="2:6" ht="29" x14ac:dyDescent="0.35">
      <c r="B44" s="153" t="s">
        <v>3736</v>
      </c>
      <c r="C44" s="154" t="s">
        <v>4443</v>
      </c>
      <c r="D44" s="155" t="s">
        <v>4709</v>
      </c>
      <c r="E44" s="113" t="s">
        <v>4710</v>
      </c>
      <c r="F44" s="205" t="s">
        <v>3677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2.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customXml/itemProps3.xml><?xml version="1.0" encoding="utf-8"?>
<ds:datastoreItem xmlns:ds="http://schemas.openxmlformats.org/officeDocument/2006/customXml" ds:itemID="{8D70AE79-E93C-4CAC-8182-3C6C98FA107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Capa</vt:lpstr>
      <vt:lpstr>Lista</vt:lpstr>
      <vt:lpstr>Tabelas</vt:lpstr>
      <vt:lpstr>Regras de Cruzamento</vt:lpstr>
      <vt:lpstr>Restrições de Universo</vt:lpstr>
      <vt:lpstr>Descrição Testes</vt:lpstr>
      <vt:lpstr>bank_guarantee</vt:lpstr>
      <vt:lpstr>bills_promissory_notes_contract</vt:lpstr>
      <vt:lpstr>incomesaving_account</vt:lpstr>
      <vt:lpstr>current_account</vt:lpstr>
      <vt:lpstr>confirming_contract</vt:lpstr>
      <vt:lpstr>bank_vault</vt:lpstr>
      <vt:lpstr>bills_promissory_notes_process</vt:lpstr>
      <vt:lpstr>confirming_process</vt:lpstr>
      <vt:lpstr>factoring_process</vt:lpstr>
      <vt:lpstr>bank_vault_visit</vt:lpstr>
      <vt:lpstr>contract_party_relationship</vt:lpstr>
      <vt:lpstr>factoring_contract</vt:lpstr>
      <vt:lpstr>prepaid_card</vt:lpstr>
      <vt:lpstr>credit_card</vt:lpstr>
      <vt:lpstr>debit_card_account</vt:lpstr>
      <vt:lpstr>debit_card</vt:lpstr>
      <vt:lpstr>credit_card_account</vt:lpstr>
      <vt:lpstr>prepaid_card_account</vt:lpstr>
      <vt:lpstr>credit_card_account_plan</vt:lpstr>
      <vt:lpstr>loan</vt:lpstr>
      <vt:lpstr>saving_account</vt:lpstr>
      <vt:lpstr>internal_account</vt:lpstr>
      <vt:lpstr>nostro_vostro_account</vt:lpstr>
      <vt:lpstr>contract</vt:lpstr>
      <vt:lpstr>trade_finance_route</vt:lpstr>
      <vt:lpstr>loan_account</vt:lpstr>
      <vt:lpstr>leasing</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Alexandre Dionisio Esteves</cp:lastModifiedBy>
  <cp:revision/>
  <dcterms:created xsi:type="dcterms:W3CDTF">2023-01-24T18:52:31Z</dcterms:created>
  <dcterms:modified xsi:type="dcterms:W3CDTF">2025-04-03T17:00:36Z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