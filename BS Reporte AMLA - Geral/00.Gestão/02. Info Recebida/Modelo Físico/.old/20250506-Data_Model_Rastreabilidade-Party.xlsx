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drawings/drawing21.xml" ContentType="application/vnd.openxmlformats-officedocument.drawing+xml"/>
  <Override PartName="/xl/tables/table36.xml" ContentType="application/vnd.openxmlformats-officedocument.spreadsheetml.table+xml"/>
  <Override PartName="/xl/tables/table37.xml" ContentType="application/vnd.openxmlformats-officedocument.spreadsheetml.table+xml"/>
  <Override PartName="/xl/drawings/drawing22.xml" ContentType="application/vnd.openxmlformats-officedocument.drawing+xml"/>
  <Override PartName="/xl/tables/table38.xml" ContentType="application/vnd.openxmlformats-officedocument.spreadsheetml.table+xml"/>
  <Override PartName="/xl/tables/table39.xml" ContentType="application/vnd.openxmlformats-officedocument.spreadsheetml.table+xml"/>
  <Override PartName="/xl/drawings/drawing23.xml" ContentType="application/vnd.openxmlformats-officedocument.drawing+xml"/>
  <Override PartName="/xl/tables/table40.xml" ContentType="application/vnd.openxmlformats-officedocument.spreadsheetml.table+xml"/>
  <Override PartName="/xl/tables/table41.xml" ContentType="application/vnd.openxmlformats-officedocument.spreadsheetml.table+xml"/>
  <Override PartName="/xl/drawings/drawing24.xml" ContentType="application/vnd.openxmlformats-officedocument.drawing+xml"/>
  <Override PartName="/xl/tables/table42.xml" ContentType="application/vnd.openxmlformats-officedocument.spreadsheetml.table+xml"/>
  <Override PartName="/xl/tables/table43.xml" ContentType="application/vnd.openxmlformats-officedocument.spreadsheetml.table+xml"/>
  <Override PartName="/xl/drawings/drawing25.xml" ContentType="application/vnd.openxmlformats-officedocument.drawing+xml"/>
  <Override PartName="/xl/tables/table44.xml" ContentType="application/vnd.openxmlformats-officedocument.spreadsheetml.table+xml"/>
  <Override PartName="/xl/tables/table45.xml" ContentType="application/vnd.openxmlformats-officedocument.spreadsheetml.table+xml"/>
  <Override PartName="/xl/drawings/drawing26.xml" ContentType="application/vnd.openxmlformats-officedocument.drawing+xml"/>
  <Override PartName="/xl/tables/table46.xml" ContentType="application/vnd.openxmlformats-officedocument.spreadsheetml.table+xml"/>
  <Override PartName="/xl/tables/table47.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15303" documentId="11_81DF1FCC764B3B66F18170FF3C082C3B68B6E892" xr6:coauthVersionLast="47" xr6:coauthVersionMax="47" xr10:uidLastSave="{1271805E-7646-4C2A-ADA9-92712FADD6FF}"/>
  <bookViews>
    <workbookView xWindow="-110" yWindow="-110" windowWidth="19420" windowHeight="1030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 name="Descrição Testes" sheetId="60" r:id="rId11"/>
    <sheet name="Individual" sheetId="39" r:id="rId12"/>
    <sheet name="Entity" sheetId="40" r:id="rId13"/>
    <sheet name="Party" sheetId="61" r:id="rId14"/>
    <sheet name="entity_economic_activity" sheetId="45" r:id="rId15"/>
    <sheet name="entity_contractual_mngt" sheetId="43" r:id="rId16"/>
    <sheet name="entity_contact" sheetId="46" r:id="rId17"/>
    <sheet name="individual_contact" sheetId="47" r:id="rId18"/>
    <sheet name="individual_contractual_mngt " sheetId="48" r:id="rId19"/>
    <sheet name="individual_economic_activity" sheetId="49" r:id="rId20"/>
    <sheet name="individual_negative_file" sheetId="56" r:id="rId21"/>
    <sheet name="entity_negative_file" sheetId="50" r:id="rId22"/>
    <sheet name="individual_citizenship" sheetId="51" r:id="rId23"/>
    <sheet name="individual_tax_residence_countr" sheetId="52" r:id="rId24"/>
    <sheet name="entity_tax_residence_country" sheetId="53" r:id="rId25"/>
    <sheet name="individual_identity_document" sheetId="54" r:id="rId26"/>
    <sheet name="entity_identity_document" sheetId="55" r:id="rId27"/>
    <sheet name="individual_segment" sheetId="58" r:id="rId28"/>
    <sheet name="entity_segment" sheetId="57" r:id="rId29"/>
    <sheet name="entity_financial_information" sheetId="59" r:id="rId30"/>
    <sheet name="individual_address" sheetId="63" r:id="rId31"/>
    <sheet name="entity_address" sheetId="62" r:id="rId32"/>
  </sheets>
  <externalReferences>
    <externalReference r:id="rId33"/>
    <externalReference r:id="rId34"/>
    <externalReference r:id="rId35"/>
    <externalReference r:id="rId36"/>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63" l="1" a="1"/>
  <c r="I25" i="63" s="1"/>
  <c r="I24" i="63" a="1"/>
  <c r="I24" i="63" s="1"/>
  <c r="G20" i="63" s="1" a="1"/>
  <c r="G20" i="63" s="1"/>
  <c r="G8" i="62" a="1"/>
  <c r="G8" i="62"/>
  <c r="G8" i="63" a="1"/>
  <c r="G8" i="63"/>
  <c r="G8" i="59" a="1"/>
  <c r="G8" i="59"/>
  <c r="I25" i="62" a="1"/>
  <c r="I25" i="62" s="1"/>
  <c r="I24" i="62" a="1"/>
  <c r="I24" i="62" s="1"/>
  <c r="G20" i="62" s="1" a="1"/>
  <c r="G20" i="62" s="1"/>
  <c r="G8" i="61" a="1"/>
  <c r="G8" i="61" s="1"/>
  <c r="I25" i="61" a="1"/>
  <c r="G9" i="61" s="1" a="1"/>
  <c r="G9" i="61" s="1"/>
  <c r="I24" i="61" a="1"/>
  <c r="I24" i="61" s="1"/>
  <c r="G20" i="61" s="1" a="1"/>
  <c r="G20" i="61" s="1"/>
  <c r="G8" i="58" a="1"/>
  <c r="G8" i="58" s="1"/>
  <c r="G8" i="45" a="1"/>
  <c r="G8" i="45"/>
  <c r="G8" i="39" a="1"/>
  <c r="G8" i="39"/>
  <c r="G8" i="57" a="1"/>
  <c r="G8" i="57"/>
  <c r="I23" i="59" a="1"/>
  <c r="I23" i="59" s="1"/>
  <c r="I24" i="59" a="1"/>
  <c r="G9" i="59" s="1" a="1"/>
  <c r="G9" i="59" s="1"/>
  <c r="G20" i="59" s="1" a="1"/>
  <c r="G20" i="59" s="1"/>
  <c r="G8" i="53" a="1"/>
  <c r="G8" i="53"/>
  <c r="G8" i="52" a="1"/>
  <c r="G8" i="52"/>
  <c r="G8" i="49" a="1"/>
  <c r="G8" i="49"/>
  <c r="G8" i="47" a="1"/>
  <c r="G8" i="47" s="1"/>
  <c r="G8" i="55" a="1"/>
  <c r="G8" i="55"/>
  <c r="G8" i="48" a="1"/>
  <c r="G8" i="48"/>
  <c r="G8" i="54" a="1"/>
  <c r="G8" i="54"/>
  <c r="G8" i="43" a="1"/>
  <c r="G8" i="43"/>
  <c r="G8" i="51" a="1"/>
  <c r="G8" i="51"/>
  <c r="G8" i="40" a="1"/>
  <c r="G8" i="40"/>
  <c r="I24" i="58" a="1"/>
  <c r="G9" i="58" s="1" a="1"/>
  <c r="G9" i="58" s="1"/>
  <c r="I23" i="58" a="1"/>
  <c r="I23" i="58" s="1"/>
  <c r="G19" i="58" s="1" a="1"/>
  <c r="G19" i="58" s="1"/>
  <c r="I24" i="57" a="1"/>
  <c r="G9" i="57" s="1" a="1"/>
  <c r="G9" i="57" s="1"/>
  <c r="I23" i="57" a="1"/>
  <c r="I23" i="57" s="1"/>
  <c r="G19" i="57" s="1" a="1"/>
  <c r="G19" i="57" s="1"/>
  <c r="G8" i="56" a="1"/>
  <c r="G8" i="56"/>
  <c r="I25" i="56" a="1"/>
  <c r="G9" i="56" s="1" a="1"/>
  <c r="G9" i="56" s="1"/>
  <c r="I24" i="56" a="1"/>
  <c r="I24" i="56"/>
  <c r="G20" i="56" s="1" a="1"/>
  <c r="G20" i="56" s="1"/>
  <c r="I25" i="55" a="1"/>
  <c r="G9" i="55" s="1" a="1"/>
  <c r="G9" i="55" s="1"/>
  <c r="I24" i="55" a="1"/>
  <c r="I24" i="55" s="1"/>
  <c r="G20" i="55" s="1" a="1"/>
  <c r="G20" i="55" s="1"/>
  <c r="I25" i="54" a="1"/>
  <c r="G9" i="54" s="1" a="1"/>
  <c r="G9" i="54" s="1"/>
  <c r="I24" i="54" a="1"/>
  <c r="I24" i="54"/>
  <c r="G20" i="54" s="1" a="1"/>
  <c r="G20" i="54" s="1"/>
  <c r="I24" i="53" a="1"/>
  <c r="I24" i="53" s="1"/>
  <c r="G20" i="53" s="1" a="1"/>
  <c r="G20" i="53" s="1"/>
  <c r="I25" i="53" a="1"/>
  <c r="G9" i="53" s="1" a="1"/>
  <c r="G9" i="53" s="1"/>
  <c r="I25" i="52" a="1"/>
  <c r="G9" i="52" s="1" a="1"/>
  <c r="G9" i="52" s="1"/>
  <c r="I24" i="52" a="1"/>
  <c r="I24" i="52"/>
  <c r="G20" i="52" s="1" a="1"/>
  <c r="G20" i="52" s="1"/>
  <c r="I25" i="51" a="1"/>
  <c r="G9" i="51" s="1" a="1"/>
  <c r="G9" i="51" s="1"/>
  <c r="I24" i="51" a="1"/>
  <c r="I24" i="51"/>
  <c r="G20" i="51" s="1" a="1"/>
  <c r="G20" i="51" s="1"/>
  <c r="I25" i="50" a="1"/>
  <c r="G9" i="50" s="1" a="1"/>
  <c r="G9" i="50" s="1"/>
  <c r="I24" i="50" a="1"/>
  <c r="I24" i="50" s="1"/>
  <c r="G20" i="50" s="1" a="1"/>
  <c r="G20" i="50" s="1"/>
  <c r="I25" i="48" a="1"/>
  <c r="G9" i="48" s="1" a="1"/>
  <c r="G9" i="48" s="1"/>
  <c r="I24" i="48" a="1"/>
  <c r="I24" i="48"/>
  <c r="G20" i="48" s="1" a="1"/>
  <c r="G20" i="48" s="1"/>
  <c r="I25" i="45" a="1"/>
  <c r="G9" i="45" s="1" a="1"/>
  <c r="G9" i="45" s="1"/>
  <c r="I25" i="49" a="1"/>
  <c r="G9" i="49" s="1" a="1"/>
  <c r="G9" i="49" s="1"/>
  <c r="I24" i="49" a="1"/>
  <c r="I24" i="49" s="1"/>
  <c r="G20" i="49" s="1" a="1"/>
  <c r="G20" i="49" s="1"/>
  <c r="I24" i="45" a="1"/>
  <c r="I24" i="45"/>
  <c r="G20" i="45" s="1" a="1"/>
  <c r="G20" i="45" s="1"/>
  <c r="I24" i="47" a="1"/>
  <c r="I24" i="47"/>
  <c r="G20" i="47" s="1" a="1"/>
  <c r="G20" i="47" s="1"/>
  <c r="I25" i="47" a="1"/>
  <c r="G9" i="47" s="1" a="1"/>
  <c r="G9" i="47" s="1"/>
  <c r="I24" i="46" a="1"/>
  <c r="I24" i="46" s="1"/>
  <c r="G20" i="46" s="1" a="1"/>
  <c r="G20" i="46" s="1"/>
  <c r="I25" i="46" a="1"/>
  <c r="G9" i="46" s="1" a="1"/>
  <c r="G9" i="46" s="1"/>
  <c r="I25" i="43" a="1"/>
  <c r="G9" i="43" s="1" a="1"/>
  <c r="G9" i="43" s="1"/>
  <c r="I24" i="43" a="1"/>
  <c r="I24" i="43"/>
  <c r="G20" i="43" a="1"/>
  <c r="G20" i="43"/>
  <c r="I24" i="40" a="1"/>
  <c r="I24" i="40" s="1"/>
  <c r="G20" i="40" s="1" a="1"/>
  <c r="G20" i="40" s="1"/>
  <c r="I24" i="39" a="1"/>
  <c r="I24" i="39" s="1"/>
  <c r="G20" i="39" s="1" a="1"/>
  <c r="G20" i="39" s="1"/>
  <c r="I25" i="40" a="1"/>
  <c r="G9" i="40" s="1" a="1"/>
  <c r="G9" i="40" s="1"/>
  <c r="I25" i="40"/>
  <c r="G19" i="40" s="1" a="1"/>
  <c r="G19" i="40" s="1"/>
  <c r="I25" i="39" a="1"/>
  <c r="G9" i="39" s="1" a="1"/>
  <c r="G9" i="39" s="1"/>
  <c r="I25" i="39"/>
  <c r="G19" i="39" s="1" a="1"/>
  <c r="G19" i="39" s="1"/>
  <c r="H54" i="28"/>
  <c r="I25" i="43" l="1"/>
  <c r="G19" i="43" s="1" a="1"/>
  <c r="G19" i="43" s="1"/>
  <c r="G21" i="43" s="1" a="1"/>
  <c r="G21" i="43" s="1"/>
  <c r="I25" i="53"/>
  <c r="G19" i="53" s="1" a="1"/>
  <c r="G19" i="53" s="1"/>
  <c r="G21" i="53" s="1" a="1"/>
  <c r="G21" i="53" s="1"/>
  <c r="I25" i="47"/>
  <c r="G19" i="47" s="1" a="1"/>
  <c r="G19" i="47" s="1"/>
  <c r="G21" i="47" s="1" a="1"/>
  <c r="G21" i="47" s="1"/>
  <c r="I25" i="49"/>
  <c r="G19" i="49" s="1" a="1"/>
  <c r="G19" i="49" s="1"/>
  <c r="G21" i="49" s="1" a="1"/>
  <c r="G21" i="49" s="1"/>
  <c r="I25" i="51"/>
  <c r="G19" i="51" s="1" a="1"/>
  <c r="G19" i="51" s="1"/>
  <c r="G21" i="51" s="1" a="1"/>
  <c r="G21" i="51" s="1"/>
  <c r="I25" i="55"/>
  <c r="G19" i="55" s="1" a="1"/>
  <c r="G19" i="55" s="1"/>
  <c r="G21" i="55" s="1" a="1"/>
  <c r="G21" i="55" s="1"/>
  <c r="I24" i="57"/>
  <c r="G18" i="57" s="1" a="1"/>
  <c r="G18" i="57" s="1"/>
  <c r="G20" i="57" s="1" a="1"/>
  <c r="G20" i="57" s="1"/>
  <c r="I25" i="46"/>
  <c r="G19" i="46" s="1" a="1"/>
  <c r="G19" i="46" s="1"/>
  <c r="G21" i="46" s="1" a="1"/>
  <c r="G21" i="46" s="1"/>
  <c r="I25" i="50"/>
  <c r="G8" i="50" s="1" a="1"/>
  <c r="G8" i="50" s="1"/>
  <c r="I25" i="45"/>
  <c r="G19" i="45" s="1" a="1"/>
  <c r="G19" i="45" s="1"/>
  <c r="I24" i="59"/>
  <c r="I25" i="61"/>
  <c r="G19" i="61" s="1" a="1"/>
  <c r="G19" i="61" s="1"/>
  <c r="G21" i="61" s="1" a="1"/>
  <c r="G21" i="61" s="1"/>
  <c r="I25" i="56"/>
  <c r="G19" i="56" s="1" a="1"/>
  <c r="G19" i="56" s="1"/>
  <c r="G21" i="56" s="1" a="1"/>
  <c r="G21" i="56" s="1"/>
  <c r="I24" i="58"/>
  <c r="G18" i="58" s="1" a="1"/>
  <c r="G18" i="58" s="1"/>
  <c r="G20" i="58" s="1" a="1"/>
  <c r="G20" i="58" s="1"/>
  <c r="I25" i="48"/>
  <c r="G19" i="48" s="1" a="1"/>
  <c r="G19" i="48" s="1"/>
  <c r="I25" i="54"/>
  <c r="G19" i="54" s="1" a="1"/>
  <c r="G19" i="54" s="1"/>
  <c r="G21" i="54" s="1" a="1"/>
  <c r="G21" i="54" s="1"/>
  <c r="I25" i="52"/>
  <c r="G19" i="52" s="1" a="1"/>
  <c r="G19" i="52" s="1"/>
  <c r="G21" i="52" s="1" a="1"/>
  <c r="G21" i="52" s="1"/>
  <c r="G9" i="63" a="1"/>
  <c r="G9" i="63" s="1"/>
  <c r="G19" i="63" a="1"/>
  <c r="G19" i="63" s="1"/>
  <c r="G9" i="62" a="1"/>
  <c r="G9" i="62" s="1"/>
  <c r="G21" i="62" s="1" a="1"/>
  <c r="G21" i="62" s="1"/>
  <c r="G19" i="62" a="1"/>
  <c r="G19" i="62" s="1"/>
  <c r="G21" i="48" a="1"/>
  <c r="G21" i="48" s="1"/>
  <c r="G21" i="45" a="1"/>
  <c r="G21" i="45" s="1"/>
  <c r="G21" i="39" a="1"/>
  <c r="G21" i="39" s="1"/>
  <c r="G21" i="40" a="1"/>
  <c r="G21" i="40" s="1"/>
  <c r="G19" i="50" l="1" a="1"/>
  <c r="G19" i="50" s="1"/>
  <c r="G21" i="50" s="1" a="1"/>
  <c r="G21" i="50" s="1"/>
  <c r="G21" i="63" a="1"/>
  <c r="G21" i="6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tc={C5578884-D250-41B8-AC04-D6A87686E03D}</author>
  </authors>
  <commentList>
    <comment ref="C113" authorId="0" shapeId="0" xr:uid="{C5578884-D250-41B8-AC04-D6A87686E03D}">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83" authorId="0" shapeId="0" xr:uid="{A857E8BC-8B42-4AAE-A21C-5B86DF02497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<sst xmlns="http://schemas.openxmlformats.org/spreadsheetml/2006/main" count="11092" uniqueCount="2730">
  <si>
    <t>Modelo Comum de Dados - Clientes</t>
  </si>
  <si>
    <t>SCHEMA</t>
  </si>
  <si>
    <t>TABELA</t>
  </si>
  <si>
    <t>DESCRIÇÃO</t>
  </si>
  <si>
    <t>common_parties_entitieseconomics</t>
  </si>
  <si>
    <t>economic_group</t>
  </si>
  <si>
    <t>Economic group's general information.</t>
  </si>
  <si>
    <t>economic_group_entity_rel</t>
  </si>
  <si>
    <t>Economic group's relations with Santander's clients.</t>
  </si>
  <si>
    <t>common_parties_entities</t>
  </si>
  <si>
    <t>entity</t>
  </si>
  <si>
    <t>Entity's general information, such as identification, Santander's IDs, etc.</t>
  </si>
  <si>
    <t>entity_address</t>
  </si>
  <si>
    <t>Entity's addresses and respective characteristics.</t>
  </si>
  <si>
    <t>entity_contact</t>
  </si>
  <si>
    <t>Entity's contacts information.</t>
  </si>
  <si>
    <t>entity_contractual_mngt</t>
  </si>
  <si>
    <t>Entity's information regarding their relationship with Santander.</t>
  </si>
  <si>
    <t>entity_economic_activity</t>
  </si>
  <si>
    <t>Entity's economic activity information.</t>
  </si>
  <si>
    <t>entity_financial_information</t>
  </si>
  <si>
    <t>Entity's financial information and characteristics.</t>
  </si>
  <si>
    <t>entity_identity_document</t>
  </si>
  <si>
    <t>Entity's identification documents and respective characteristics.</t>
  </si>
  <si>
    <t>entity_negative_file</t>
  </si>
  <si>
    <t>Entity's negative situations associated to its documents information.</t>
  </si>
  <si>
    <t>entity_segment</t>
  </si>
  <si>
    <t>Entity's segments information.</t>
  </si>
  <si>
    <t>entity_tax_residence_country</t>
  </si>
  <si>
    <t>Entity's tax residence countries information.</t>
  </si>
  <si>
    <t>common_parties_individuals</t>
  </si>
  <si>
    <t>individual</t>
  </si>
  <si>
    <t>Individual's general information, such as identification, Santander's IDs, etc.</t>
  </si>
  <si>
    <t>individual_address</t>
  </si>
  <si>
    <t>Individuals addresses and respective characteristics.</t>
  </si>
  <si>
    <t>individual_citizenship</t>
  </si>
  <si>
    <t>Individual's citizenship information.</t>
  </si>
  <si>
    <t>individual_contact</t>
  </si>
  <si>
    <t>Individual's contacts information.</t>
  </si>
  <si>
    <t>individual_contractual_mngt</t>
  </si>
  <si>
    <t>Individual's information regarding their relationship with Santander.</t>
  </si>
  <si>
    <t>individual_economic_activity</t>
  </si>
  <si>
    <t>Individuals self-employeed's economic activity information.</t>
  </si>
  <si>
    <t>individual_identity_document</t>
  </si>
  <si>
    <t>Individual's identification documents and respective characteristics.</t>
  </si>
  <si>
    <t>individual_negative_file</t>
  </si>
  <si>
    <t>Individual's negative situations associated to its documents information.</t>
  </si>
  <si>
    <t>individual_segment</t>
  </si>
  <si>
    <t>Individual's segments information.</t>
  </si>
  <si>
    <t>individual_tax_residence_country</t>
  </si>
  <si>
    <t>Individual's tax residence countries information.</t>
  </si>
  <si>
    <t>common_parties_core</t>
  </si>
  <si>
    <t>party</t>
  </si>
  <si>
    <t>Contains minimal information about all the Santander's clients.</t>
  </si>
  <si>
    <t>party_fusion</t>
  </si>
  <si>
    <t>Contais information about the parties fusions.</t>
  </si>
  <si>
    <t>party_relationship</t>
  </si>
  <si>
    <t>Information about the relationships between two parties.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</si>
  <si>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</si>
  <si>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</si>
  <si>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</si>
  <si>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</si>
  <si>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</si>
  <si>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</si>
  <si>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</si>
  <si>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</si>
  <si>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</si>
  <si>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</si>
  <si>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</si>
  <si>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</si>
  <si>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</si>
  <si>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</si>
  <si>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</si>
  <si>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</si>
  <si>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</si>
  <si>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</si>
  <si>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</si>
  <si>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</si>
  <si>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</si>
  <si>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</si>
  <si>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</si>
  <si>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</si>
  <si>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</si>
  <si>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</si>
  <si>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</si>
  <si>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</si>
  <si>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</si>
  <si>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</si>
  <si>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</si>
  <si>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</si>
  <si>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</si>
  <si>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</si>
  <si>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</si>
  <si>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</si>
  <si>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</si>
  <si>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</si>
  <si>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</si>
  <si>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</si>
  <si>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</si>
  <si>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</si>
  <si>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</si>
  <si>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</si>
  <si>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</si>
  <si>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</si>
  <si>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</si>
  <si>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</si>
  <si>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</si>
  <si>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</si>
  <si>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</si>
  <si>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</si>
  <si>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</si>
  <si>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</si>
  <si>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</si>
  <si>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</si>
  <si>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</si>
  <si>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</si>
  <si>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</si>
  <si>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</si>
  <si>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</si>
  <si>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</si>
  <si>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</si>
  <si>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</si>
  <si>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</si>
  <si>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</si>
  <si>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</si>
  <si>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</si>
  <si>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</si>
  <si>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</si>
  <si>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</si>
  <si>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</si>
  <si>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</si>
  <si>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</si>
  <si>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</si>
  <si>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</si>
  <si>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</si>
  <si>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</si>
  <si>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</si>
  <si>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</si>
  <si>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</si>
  <si>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</si>
  <si>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</si>
  <si>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</si>
  <si>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</si>
  <si>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</si>
  <si>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</si>
  <si>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</si>
  <si>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</si>
  <si>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</si>
  <si>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</si>
  <si>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</si>
  <si>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</si>
  <si>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</si>
  <si>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</si>
  <si>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</si>
  <si>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</si>
  <si>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</si>
  <si>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</si>
  <si>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</si>
  <si>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</si>
  <si>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</si>
  <si>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</si>
  <si>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</si>
  <si>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</si>
  <si>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</si>
  <si>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</si>
  <si>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</si>
  <si>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</si>
  <si>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</si>
  <si>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</si>
  <si>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</si>
  <si>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</si>
  <si>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</si>
  <si>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</si>
  <si>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</si>
  <si>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</si>
  <si>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</si>
  <si>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</si>
  <si>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</si>
  <si>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</si>
  <si>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</si>
  <si>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</si>
  <si>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</si>
  <si>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</si>
  <si>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</si>
  <si>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</si>
  <si>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</si>
  <si>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</si>
  <si>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</si>
  <si>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</si>
  <si>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</si>
  <si>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</si>
  <si>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</si>
  <si>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</si>
  <si>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</si>
  <si>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</si>
  <si>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</si>
  <si>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</si>
  <si>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</si>
  <si>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</si>
  <si>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</si>
  <si>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</si>
  <si>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</si>
  <si>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</si>
  <si>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</si>
  <si>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</si>
  <si>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</si>
  <si>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</si>
  <si>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</si>
  <si>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</si>
  <si>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</si>
  <si>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</si>
  <si>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</si>
  <si>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</si>
  <si>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</si>
  <si>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</si>
  <si>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</si>
  <si>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</si>
  <si>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</si>
  <si>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</si>
  <si>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</si>
  <si>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</si>
  <si>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</si>
  <si>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</si>
  <si>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</si>
  <si>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</si>
  <si>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</si>
  <si>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</si>
  <si>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</si>
  <si>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</si>
  <si>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</si>
  <si>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</si>
  <si>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</si>
  <si>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</si>
  <si>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</si>
  <si>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</si>
  <si>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</si>
  <si>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</si>
  <si>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</si>
  <si>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</si>
  <si>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</si>
  <si>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</si>
  <si>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</si>
  <si>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</si>
  <si>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</si>
  <si>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</si>
  <si>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</si>
  <si>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</si>
  <si>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</si>
  <si>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</si>
  <si>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</si>
  <si>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</si>
  <si>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</si>
  <si>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</si>
  <si>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</si>
  <si>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</si>
  <si>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</si>
  <si>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</si>
  <si>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</si>
  <si>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</si>
  <si>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</si>
  <si>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</si>
  <si>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</si>
  <si>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</si>
  <si>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</si>
  <si>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</si>
  <si>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</si>
  <si>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</si>
  <si>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</si>
  <si>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</si>
  <si>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</si>
  <si>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</si>
  <si>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</si>
  <si>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</si>
  <si>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</si>
  <si>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</si>
  <si>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</si>
  <si>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</si>
  <si>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</si>
  <si>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</si>
  <si>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</si>
  <si>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</si>
  <si>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</si>
  <si>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</si>
  <si>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</si>
  <si>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</si>
  <si>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</si>
  <si>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</si>
  <si>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</si>
  <si>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</si>
  <si>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</si>
  <si>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</si>
  <si>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</si>
  <si>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</si>
  <si>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</si>
  <si>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</si>
  <si>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</si>
  <si>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</si>
  <si>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</si>
  <si>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</si>
  <si>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</si>
  <si>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</si>
  <si>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</si>
  <si>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</si>
  <si>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</si>
  <si>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</si>
  <si>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</si>
  <si>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</si>
  <si>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</si>
  <si>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</si>
  <si>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</si>
  <si>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</si>
  <si>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</si>
  <si>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</si>
  <si>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</si>
  <si>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</si>
  <si>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</si>
  <si>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</si>
  <si>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</si>
  <si>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</si>
  <si>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</si>
  <si>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</si>
  <si>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</si>
  <si>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</si>
  <si>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</si>
  <si>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</si>
  <si>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</si>
  <si>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</si>
  <si>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</si>
  <si>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</si>
  <si>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</si>
  <si>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</si>
  <si>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</si>
  <si>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</si>
  <si>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</si>
  <si>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</si>
  <si>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</si>
  <si>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</si>
  <si>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</si>
  <si>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</si>
  <si>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</si>
  <si>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</si>
  <si>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</si>
  <si>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</si>
  <si>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</si>
  <si>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</si>
  <si>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</si>
  <si>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</si>
  <si>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</si>
  <si>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</si>
  <si>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</si>
  <si>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</si>
  <si>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</si>
  <si>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</si>
  <si>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</si>
  <si>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</si>
  <si>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</si>
  <si>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</si>
  <si>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</si>
  <si>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</si>
  <si>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</si>
  <si>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</si>
  <si>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</si>
  <si>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</si>
  <si>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</si>
  <si>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</si>
  <si>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</si>
  <si>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</si>
  <si>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</si>
  <si>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</si>
  <si>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</si>
  <si>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</si>
  <si>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</si>
  <si>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</si>
  <si>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</si>
  <si>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</si>
  <si>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</si>
  <si>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</si>
  <si>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</si>
  <si>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</si>
  <si>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</si>
  <si>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</si>
  <si>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</si>
  <si>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</si>
  <si>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</si>
  <si>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</si>
  <si>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</si>
  <si>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</si>
  <si>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</si>
  <si>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</si>
  <si>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</si>
  <si>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</si>
  <si>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</si>
  <si>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</si>
  <si>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</si>
  <si>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</si>
  <si>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</si>
  <si>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</si>
  <si>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</si>
  <si>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</si>
  <si>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</si>
  <si>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</si>
  <si>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</si>
  <si>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</si>
  <si>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</si>
  <si>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</si>
  <si>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</si>
  <si>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</si>
  <si>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</si>
  <si>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</si>
  <si>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</si>
  <si>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</si>
  <si>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</si>
  <si>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</si>
  <si>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</si>
  <si>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</si>
  <si>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</si>
  <si>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</si>
  <si>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</si>
  <si>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</si>
  <si>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</si>
  <si>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</si>
  <si>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</si>
  <si>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</si>
  <si>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</si>
  <si>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</si>
  <si>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</si>
  <si>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</si>
  <si>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</si>
  <si>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</si>
  <si>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</si>
  <si>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</si>
  <si>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</si>
  <si>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</si>
  <si>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</si>
  <si>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</si>
  <si>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</si>
  <si>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</si>
  <si>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</si>
  <si>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</si>
  <si>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</si>
  <si>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</si>
  <si>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</si>
  <si>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</si>
  <si>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</si>
  <si>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</si>
  <si>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</si>
  <si>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</si>
  <si>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</si>
  <si>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</si>
  <si>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</si>
  <si>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</si>
  <si>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</si>
  <si>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</si>
  <si>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</si>
  <si>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</si>
  <si>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</si>
  <si>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</si>
  <si>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</si>
  <si>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</si>
  <si>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</si>
  <si>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</si>
  <si>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</si>
  <si>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</si>
  <si>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</si>
  <si>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</si>
  <si>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</si>
  <si>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</si>
  <si>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</si>
  <si>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</si>
  <si>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</si>
  <si>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</si>
  <si>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</si>
  <si>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</si>
  <si>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</si>
  <si>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</si>
  <si>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</si>
  <si>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</si>
  <si>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</si>
  <si>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</si>
  <si>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</si>
  <si>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</si>
  <si>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</si>
  <si>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</si>
  <si>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</si>
  <si>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</si>
  <si>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</si>
  <si>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</si>
  <si>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</si>
  <si>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</si>
  <si>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</si>
  <si>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</si>
  <si>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</si>
  <si>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</si>
  <si>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</si>
  <si>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</si>
  <si>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</si>
  <si>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</si>
  <si>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</si>
  <si>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</si>
  <si>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</si>
  <si>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</si>
  <si>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</si>
  <si>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</si>
  <si>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</si>
  <si>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</si>
  <si>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</si>
  <si>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</si>
  <si>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</si>
  <si>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</si>
  <si>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</si>
  <si>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</si>
  <si>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</si>
  <si>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</si>
  <si>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</si>
  <si>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</si>
  <si>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</si>
  <si>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</si>
  <si>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</si>
  <si>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</si>
  <si>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</si>
  <si>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</si>
  <si>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</si>
  <si>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</si>
  <si>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</si>
  <si>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</si>
  <si>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</si>
  <si>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</si>
  <si>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</si>
  <si>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</si>
  <si>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</si>
  <si>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</si>
  <si>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</si>
  <si>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</si>
  <si>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</si>
  <si>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</si>
  <si>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</si>
  <si>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</si>
  <si>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</si>
  <si>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</si>
  <si>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</si>
  <si>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</si>
  <si>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</si>
  <si>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</si>
  <si>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</si>
  <si>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</si>
  <si>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</si>
  <si>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</si>
  <si>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</si>
  <si>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</si>
  <si>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</si>
  <si>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</si>
  <si>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</si>
  <si>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</si>
  <si>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</si>
  <si>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</si>
  <si>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</si>
  <si>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</si>
  <si>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</si>
  <si>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</si>
  <si>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</si>
  <si>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</si>
  <si>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</si>
  <si>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</si>
  <si>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</si>
  <si>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</si>
  <si>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</si>
  <si>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</si>
  <si>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</si>
  <si>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</si>
  <si>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</si>
  <si>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</si>
  <si>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</si>
  <si>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</si>
  <si>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</si>
  <si>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</si>
  <si>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</si>
  <si>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</si>
  <si>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</si>
  <si>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</si>
  <si>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</si>
  <si>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</si>
  <si>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</si>
  <si>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</si>
  <si>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</si>
  <si>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</si>
  <si>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</si>
  <si>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</si>
  <si>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</si>
  <si>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</si>
  <si>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</si>
  <si>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</si>
  <si>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</si>
  <si>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</si>
  <si>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</si>
  <si>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</si>
  <si>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</si>
  <si>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</si>
  <si>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</si>
  <si>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</si>
  <si>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</si>
  <si>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</si>
  <si>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</si>
  <si>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</si>
  <si>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</si>
  <si>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</si>
  <si>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</si>
  <si>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</si>
  <si>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</si>
  <si>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</si>
  <si>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</si>
  <si>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</si>
  <si>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</si>
  <si>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</si>
  <si>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</si>
  <si>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</si>
  <si>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</si>
  <si>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</si>
  <si>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</si>
  <si>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</si>
  <si>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</si>
  <si>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</si>
  <si>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</si>
  <si>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</si>
  <si>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</si>
  <si>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</si>
  <si>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</si>
  <si>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</si>
  <si>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</si>
  <si>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</si>
  <si>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</si>
  <si>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</si>
  <si>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</si>
  <si>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</si>
  <si>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</si>
  <si>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</si>
  <si>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</si>
  <si>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</si>
  <si>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</si>
  <si>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</si>
  <si>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</si>
  <si>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</si>
  <si>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</si>
  <si>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</si>
  <si>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</si>
  <si>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</si>
  <si>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</si>
  <si>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</si>
  <si>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</si>
  <si>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</si>
  <si>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</si>
  <si>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</si>
  <si>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</si>
  <si>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</si>
  <si>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</si>
  <si>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</si>
  <si>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</si>
  <si>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</si>
  <si>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</si>
  <si>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</si>
  <si>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</si>
  <si>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</si>
  <si>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</si>
  <si>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</si>
  <si>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</si>
  <si>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</si>
  <si>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</si>
  <si>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</si>
  <si>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</si>
  <si>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</si>
  <si>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</si>
  <si>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</si>
  <si>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</si>
  <si>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</si>
  <si>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</si>
  <si>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</si>
  <si>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</si>
  <si>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</si>
  <si>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</si>
  <si>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</si>
  <si>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</si>
  <si>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</si>
  <si>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</si>
  <si>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</si>
  <si>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</si>
  <si>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</si>
  <si>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</si>
  <si>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</si>
  <si>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</si>
  <si>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</si>
  <si>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</si>
  <si>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</si>
  <si>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</si>
  <si>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</si>
  <si>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</si>
  <si>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</si>
  <si>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</si>
  <si>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</si>
  <si>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</si>
  <si>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</si>
  <si>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</si>
  <si>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</si>
  <si>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</si>
  <si>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</si>
  <si>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</si>
  <si>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</si>
  <si>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</si>
  <si>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</si>
  <si>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</si>
  <si>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</si>
  <si>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</si>
  <si>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</si>
  <si>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</si>
  <si>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</si>
  <si>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</si>
  <si>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</si>
  <si>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</si>
  <si>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</si>
  <si>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</si>
  <si>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</si>
  <si>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</si>
  <si>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</si>
  <si>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</si>
  <si>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</si>
  <si>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</si>
  <si>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</si>
  <si>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</si>
  <si>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</si>
  <si>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</si>
  <si>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</si>
  <si>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</si>
  <si>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</si>
  <si>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</si>
  <si>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</si>
  <si>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</si>
  <si>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</si>
  <si>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</si>
  <si>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</si>
  <si>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Economic Group</t>
  </si>
  <si>
    <t>Economic Group ID</t>
  </si>
  <si>
    <t>economic_group_id</t>
  </si>
  <si>
    <t>Key - ID</t>
  </si>
  <si>
    <t>STRING</t>
  </si>
  <si>
    <t>Unique identifier of the economic group.</t>
  </si>
  <si>
    <t>Identificador único do grupo económico.</t>
  </si>
  <si>
    <t>X</t>
  </si>
  <si>
    <t>MIGRATION_BUSINESS_GRUPOSECONOMICOS</t>
  </si>
  <si>
    <t>CT087_UNIV_GEC_D</t>
  </si>
  <si>
    <t>ZGRUPO</t>
  </si>
  <si>
    <r>
      <rPr>
        <b/>
        <sz val="11"/>
        <color rgb="FF000000"/>
        <rFont val="Calibri"/>
      </rPr>
      <t xml:space="preserve">SELECT </t>
    </r>
    <r>
      <rPr>
        <sz val="11"/>
        <color rgb="FF000000"/>
        <rFont val="Calibri"/>
      </rPr>
      <t>LPAD( CT087_UNIV_GEC_D.ZGRUPO, 10, '0' )</t>
    </r>
  </si>
  <si>
    <t>N\A</t>
  </si>
  <si>
    <t>Main Party ID</t>
  </si>
  <si>
    <t>main_party_id</t>
  </si>
  <si>
    <t>Ext Inf - Clt Inf - ID</t>
  </si>
  <si>
    <t>Unique identifier of the main entity of the economic group.</t>
  </si>
  <si>
    <t>Identificador único da entidade principal do grupo económico.</t>
  </si>
  <si>
    <t>ZCLIENTE_PRINC</t>
  </si>
  <si>
    <r>
      <rPr>
        <b/>
        <sz val="11"/>
        <color rgb="FF000000"/>
        <rFont val="Calibri"/>
      </rPr>
      <t xml:space="preserve">SELECT </t>
    </r>
    <r>
      <rPr>
        <sz val="11"/>
        <color rgb="FF000000"/>
        <rFont val="Calibri"/>
      </rPr>
      <t>IF( TRIM( CT087_UNIV_GEC_D.ZCLIENTE_PRINC ) = '', NULL, LPAD( CT087_UNIV_GEC_D.ZCLIENTE_PRINC, 10, '0' ) )</t>
    </r>
  </si>
  <si>
    <t>Economic Group Name</t>
  </si>
  <si>
    <t>economic_group_name</t>
  </si>
  <si>
    <t>Ext Inf - Clt Inf - Value</t>
  </si>
  <si>
    <t>Name of the economic group.</t>
  </si>
  <si>
    <t>Nome do grupo económico.</t>
  </si>
  <si>
    <t>NOMEGRUP</t>
  </si>
  <si>
    <r>
      <rPr>
        <b/>
        <sz val="11"/>
        <color rgb="FF000000"/>
        <rFont val="Calibri"/>
        <scheme val="minor"/>
      </rPr>
      <t xml:space="preserve">SELECT </t>
    </r>
    <r>
      <rPr>
        <sz val="11"/>
        <color rgb="FF000000"/>
        <rFont val="Calibri"/>
        <scheme val="minor"/>
      </rPr>
      <t>IF( TRIM( CT087_UNIV_GEC_D.NOMEGRUP ) = '', NULL, CT087_UNIV_GEC_D.NOMEGRUP )</t>
    </r>
  </si>
  <si>
    <t>Data Date Part</t>
  </si>
  <si>
    <t>data_date_part</t>
  </si>
  <si>
    <t>Key - Date</t>
  </si>
  <si>
    <t>Information reference date.</t>
  </si>
  <si>
    <t>Data de referência dos dados.</t>
  </si>
  <si>
    <t>REF_DATE</t>
  </si>
  <si>
    <r>
      <rPr>
        <b/>
        <sz val="11"/>
        <color rgb="FF000000"/>
        <rFont val="Calibri"/>
        <scheme val="minor"/>
      </rPr>
      <t xml:space="preserve">SELECT </t>
    </r>
    <r>
      <rPr>
        <sz val="11"/>
        <color rgb="FF000000"/>
        <rFont val="Calibri"/>
        <scheme val="minor"/>
      </rPr>
      <t>CT087_UNIV_GEC_D.REF_DATE</t>
    </r>
  </si>
  <si>
    <t>Data Timestamp Part</t>
  </si>
  <si>
    <t>data_timestamp_part</t>
  </si>
  <si>
    <t>Tec - Date</t>
  </si>
  <si>
    <t>TIMESTAMP</t>
  </si>
  <si>
    <t>Record's load date in common layer.</t>
  </si>
  <si>
    <r>
      <rPr>
        <sz val="11"/>
        <color rgb="FF000000"/>
        <rFont val="Calibri"/>
        <scheme val="minor"/>
      </rPr>
      <t xml:space="preserve">Data da escrita dos dados na camada </t>
    </r>
    <r>
      <rPr>
        <i/>
        <sz val="11"/>
        <color rgb="FF000000"/>
        <rFont val="Calibri"/>
        <scheme val="minor"/>
      </rPr>
      <t>common</t>
    </r>
    <r>
      <rPr>
        <sz val="11"/>
        <color rgb="FF000000"/>
        <rFont val="Calibri"/>
        <scheme val="minor"/>
      </rPr>
      <t>.</t>
    </r>
  </si>
  <si>
    <r>
      <rPr>
        <b/>
        <sz val="11"/>
        <color rgb="FF000000"/>
        <rFont val="Calibri"/>
        <scheme val="minor"/>
      </rPr>
      <t xml:space="preserve">SELECT </t>
    </r>
    <r>
      <rPr>
        <sz val="11"/>
        <color rgb="FF000000"/>
        <rFont val="Calibri"/>
        <scheme val="minor"/>
      </rPr>
      <t>NOW()</t>
    </r>
  </si>
  <si>
    <t>Economic Group Entity Relationship</t>
  </si>
  <si>
    <t>Unique identifier of the economic gorup.</t>
  </si>
  <si>
    <t>MIGRATION_BUSINESS_GRUPOSECONOMICOS
CURATED_INTERNAL_MAINFRAME_CLIENTES
CURATED_INTERNAL_MAINFRAME_EXCLIENTES
CURATED_INTERNAL_MAINFRAME_ESTRUTURAIS</t>
  </si>
  <si>
    <t>CT088_UNIV_GCL_D
PERS_JCA_INT
GDT01_CONTROLO
TAT01_CLIENTES</t>
  </si>
  <si>
    <t>ZGRUPO
N\A
N\A
N\A</t>
  </si>
  <si>
    <r>
      <rPr>
        <b/>
        <sz val="11"/>
        <color rgb="FF000000"/>
        <rFont val="Calibri"/>
      </rPr>
      <t xml:space="preserve">SELECT </t>
    </r>
    <r>
      <rPr>
        <sz val="11"/>
        <color rgb="FF000000"/>
        <rFont val="Calibri"/>
      </rPr>
      <t xml:space="preserve">CAST( LPAD( CT088_UNIV_GCL_D.ZGRUPO, 10, '0' ) AS STRING )
</t>
    </r>
    <r>
      <rPr>
        <b/>
        <sz val="11"/>
        <color rgb="FF000000"/>
        <rFont val="Calibri"/>
      </rPr>
      <t>WHERE</t>
    </r>
    <r>
      <rPr>
        <sz val="11"/>
        <color rgb="FF000000"/>
        <rFont val="Calibri"/>
      </rPr>
      <t xml:space="preserve"> GDT01_CONTROLO.COD_PERS IS NULL</t>
    </r>
  </si>
  <si>
    <t>Party ID</t>
  </si>
  <si>
    <t>party_id</t>
  </si>
  <si>
    <t>Unique identifier of the party.</t>
  </si>
  <si>
    <t>Identificador único do cliente.</t>
  </si>
  <si>
    <t>ZCLIENTE
N\A
N\A
N\A</t>
  </si>
  <si>
    <r>
      <rPr>
        <b/>
        <sz val="11"/>
        <color rgb="FF000000"/>
        <rFont val="Calibri"/>
      </rPr>
      <t xml:space="preserve">SELECT </t>
    </r>
    <r>
      <rPr>
        <sz val="11"/>
        <color rgb="FF000000"/>
        <rFont val="Calibri"/>
      </rPr>
      <t xml:space="preserve">CAST( LPAD( TAT01_CLIENTES.ZCLIENTE, 10, '0' ) AS STRING )
</t>
    </r>
    <r>
      <rPr>
        <b/>
        <sz val="11"/>
        <color rgb="FF000000"/>
        <rFont val="Calibri"/>
      </rPr>
      <t xml:space="preserve">WHERE </t>
    </r>
    <r>
      <rPr>
        <sz val="11"/>
        <color rgb="FF000000"/>
        <rFont val="Calibri"/>
      </rPr>
      <t>GDT01_CONTROLO.COD_PERS IS NULL</t>
    </r>
  </si>
  <si>
    <t>Relation Type Code</t>
  </si>
  <si>
    <t>relation_type_code</t>
  </si>
  <si>
    <t>Relationship code.</t>
  </si>
  <si>
    <t>Código da relação.</t>
  </si>
  <si>
    <t>TIPO_RELACAO
N\A
N\A
N\A</t>
  </si>
  <si>
    <r>
      <rPr>
        <b/>
        <sz val="11"/>
        <color rgb="FF000000"/>
        <rFont val="Calibri"/>
      </rPr>
      <t xml:space="preserve">SELECT </t>
    </r>
    <r>
      <rPr>
        <sz val="11"/>
        <color rgb="FF000000"/>
        <rFont val="Calibri"/>
      </rPr>
      <t xml:space="preserve">CAST( CT088_UNIV_GCL_D.TIPO_RELACAO AS STRING )
</t>
    </r>
    <r>
      <rPr>
        <b/>
        <sz val="11"/>
        <color rgb="FF000000"/>
        <rFont val="Calibri"/>
      </rPr>
      <t xml:space="preserve">WHERE </t>
    </r>
    <r>
      <rPr>
        <sz val="11"/>
        <color rgb="FF000000"/>
        <rFont val="Calibri"/>
      </rPr>
      <t>GDT01_CONTROLO.COD_PERS IS NULL</t>
    </r>
  </si>
  <si>
    <t>Control Economic Group ID</t>
  </si>
  <si>
    <t>control_economic_group_id</t>
  </si>
  <si>
    <t>Unique identifier of the control economic group.</t>
  </si>
  <si>
    <t>Identificador único grupo económico de controlo.</t>
  </si>
  <si>
    <t>ZGRUPO_CONTROLO
N\A
N\A
N\A</t>
  </si>
  <si>
    <r>
      <rPr>
        <b/>
        <sz val="11"/>
        <color rgb="FF000000"/>
        <rFont val="Calibri"/>
      </rPr>
      <t xml:space="preserve">SELECT </t>
    </r>
    <r>
      <rPr>
        <sz val="11"/>
        <color rgb="FF000000"/>
        <rFont val="Calibri"/>
      </rPr>
      <t xml:space="preserve">IF( TRIM( CT088_UNIV_GCL_D.ZGRUPO_CONTROLO ) = '', NULL, CAST( LPAD( CT088_UNIV_GCL_D.ZGRUPO_CONTROLO, 10, '0' ) AS STRING ) )
</t>
    </r>
    <r>
      <rPr>
        <b/>
        <sz val="11"/>
        <color rgb="FF000000"/>
        <rFont val="Calibri"/>
      </rPr>
      <t>WHERE</t>
    </r>
    <r>
      <rPr>
        <sz val="11"/>
        <color rgb="FF000000"/>
        <rFont val="Calibri"/>
      </rPr>
      <t xml:space="preserve"> GDT01_CONTROLO.COD_PERS IS NULL</t>
    </r>
  </si>
  <si>
    <t>Party Relation Code</t>
  </si>
  <si>
    <t>party_relation_code</t>
  </si>
  <si>
    <t>Ext Inf - Clt Inf - Code</t>
  </si>
  <si>
    <t>Relationship code between the parties.</t>
  </si>
  <si>
    <t>Código que identifica o tipo de relação entre os clientes.</t>
  </si>
  <si>
    <t>CRELCLI
N\A
N\A
N\A</t>
  </si>
  <si>
    <r>
      <rPr>
        <b/>
        <sz val="11"/>
        <color rgb="FF000000"/>
        <rFont val="Calibri"/>
      </rPr>
      <t xml:space="preserve">SELECT </t>
    </r>
    <r>
      <rPr>
        <sz val="11"/>
        <color rgb="FF000000"/>
        <rFont val="Calibri"/>
      </rPr>
      <t xml:space="preserve">IF( TRIM( CT088_UNIV_GCL_D.CRELCLI ) = '', NULL, CT088_UNIV_GCL_D.CRELCLI )
</t>
    </r>
    <r>
      <rPr>
        <b/>
        <sz val="11"/>
        <color rgb="FF000000"/>
        <rFont val="Calibri"/>
      </rPr>
      <t xml:space="preserve">WHERE </t>
    </r>
    <r>
      <rPr>
        <sz val="11"/>
        <color rgb="FF000000"/>
        <rFont val="Calibri"/>
      </rPr>
      <t>GDT01_CONTROLO.COD_PERS IS NULL</t>
    </r>
  </si>
  <si>
    <t>Paritcipation Percentage</t>
  </si>
  <si>
    <t>participation_perc</t>
  </si>
  <si>
    <t>DECIMAL</t>
  </si>
  <si>
    <t>Participation percentage of the client in the economic group.</t>
  </si>
  <si>
    <t>Participação em percentagem do cliente no grupo económico.</t>
  </si>
  <si>
    <t>PERCPART
N\A
N\A
N\A</t>
  </si>
  <si>
    <r>
      <rPr>
        <b/>
        <sz val="11"/>
        <color rgb="FF000000"/>
        <rFont val="Calibri"/>
      </rPr>
      <t xml:space="preserve">SELECT </t>
    </r>
    <r>
      <rPr>
        <sz val="11"/>
        <color rgb="FF000000"/>
        <rFont val="Calibri"/>
      </rPr>
      <t xml:space="preserve">CAST( CT088_UNIV_GCL_D.PERCPART AS DECIMAL( 23, 6 ) )
</t>
    </r>
    <r>
      <rPr>
        <b/>
        <sz val="11"/>
        <color rgb="FF000000"/>
        <rFont val="Calibri"/>
      </rPr>
      <t xml:space="preserve">WHERE </t>
    </r>
    <r>
      <rPr>
        <sz val="11"/>
        <color rgb="FF000000"/>
        <rFont val="Calibri"/>
      </rPr>
      <t>GDT01_CONTROLO.COD_PERS IS NULL</t>
    </r>
  </si>
  <si>
    <t>Source Code</t>
  </si>
  <si>
    <t>source_code</t>
  </si>
  <si>
    <t>Tec - Code</t>
  </si>
  <si>
    <t>Identifier of the Santander's application that generated the information. For example, EP for loans, CRT for cards, etc.</t>
  </si>
  <si>
    <t>Identifica a aplicação que gerou a a informação.</t>
  </si>
  <si>
    <t>ORIGEM
N\A
N\A
N\A</t>
  </si>
  <si>
    <r>
      <rPr>
        <b/>
        <sz val="11"/>
        <color rgb="FF000000"/>
        <rFont val="Calibri"/>
      </rPr>
      <t xml:space="preserve">SELECT </t>
    </r>
    <r>
      <rPr>
        <sz val="11"/>
        <color rgb="FF000000"/>
        <rFont val="Calibri"/>
      </rPr>
      <t xml:space="preserve">IF( TRIM( CT088_UNIV_GCL_D.ORIGEM ) = '', NULL, CT088_UNIV_GCL_D.ORIGEM )
</t>
    </r>
    <r>
      <rPr>
        <b/>
        <sz val="11"/>
        <color rgb="FF000000"/>
        <rFont val="Calibri"/>
      </rPr>
      <t xml:space="preserve">WHERE </t>
    </r>
    <r>
      <rPr>
        <sz val="11"/>
        <color rgb="FF000000"/>
        <rFont val="Calibri"/>
      </rPr>
      <t>GDT01_CONTROLO.COD_PERS IS NULL</t>
    </r>
  </si>
  <si>
    <t>Data de referência dos dados</t>
  </si>
  <si>
    <t>REF_DATE
N\A
N\A
N\A</t>
  </si>
  <si>
    <r>
      <rPr>
        <b/>
        <sz val="11"/>
        <color rgb="FF000000"/>
        <rFont val="Calibri"/>
      </rPr>
      <t xml:space="preserve">SELECT </t>
    </r>
    <r>
      <rPr>
        <sz val="11"/>
        <color rgb="FF000000"/>
        <rFont val="Calibri"/>
      </rPr>
      <t xml:space="preserve">CT088_UNIV_GCL_D.REF_DATE
</t>
    </r>
    <r>
      <rPr>
        <b/>
        <sz val="11"/>
        <color rgb="FF000000"/>
        <rFont val="Calibri"/>
      </rPr>
      <t xml:space="preserve">WHERE </t>
    </r>
    <r>
      <rPr>
        <sz val="11"/>
        <color rgb="FF000000"/>
        <rFont val="Calibri"/>
      </rPr>
      <t>GDT01_CONTROLO.COD_PERS IS NULL</t>
    </r>
  </si>
  <si>
    <t>N\A
N\A
N\A
N\A</t>
  </si>
  <si>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GDT01_CONTROLO.COD_PERS IS NULL</t>
    </r>
  </si>
  <si>
    <t>Entity</t>
  </si>
  <si>
    <t>Parties - Entity</t>
  </si>
  <si>
    <t>CURATED_INTERNAL_MAINFRAME_CLIENTES
CURATED_INTERNAL_MAINFRAME_EXCLIENTES
CURATED_INTERNAL_MAINFRAME_ESTRUTURAIS</t>
  </si>
  <si>
    <t>PERS_JCA_INT
TAT01_CLIENTES</t>
  </si>
  <si>
    <t>N\A
N\A
ZCLIENTE</t>
  </si>
  <si>
    <r>
      <rPr>
        <b/>
        <sz val="11"/>
        <color rgb="FF000000"/>
        <rFont val="Calibri"/>
        <scheme val="minor"/>
      </rPr>
      <t xml:space="preserve">SELECT </t>
    </r>
    <r>
      <rPr>
        <sz val="11"/>
        <color rgb="FF000000"/>
        <rFont val="Calibri"/>
        <scheme val="minor"/>
      </rPr>
      <t xml:space="preserve"> LPAD( TAT01_CLIENTES.ZCLIENTE, 10, '0' ) AS STRING 
</t>
    </r>
    <r>
      <rPr>
        <b/>
        <sz val="11"/>
        <color rgb="FF000000"/>
        <rFont val="Calibri"/>
        <scheme val="minor"/>
      </rPr>
      <t xml:space="preserve">WHERE </t>
    </r>
    <r>
      <rPr>
        <sz val="11"/>
        <color rgb="FF000000"/>
        <rFont val="Calibri"/>
        <scheme val="minor"/>
      </rPr>
      <t xml:space="preserve">PERS_JCA_INT.E2085_TIPO_PERS = 'J'
</t>
    </r>
  </si>
  <si>
    <t>BdP - Clientes -&gt; TA - Tabelas Gerais</t>
  </si>
  <si>
    <t>PERS_JCA_INT -&gt; TAT01_CLIENTES</t>
  </si>
  <si>
    <t>CONCAT( TIPO_PERS, COD_PERS ) -&gt; ZCLIENTE</t>
  </si>
  <si>
    <t>N\A -&gt; N\A</t>
  </si>
  <si>
    <t>Full Name</t>
  </si>
  <si>
    <t>full_name</t>
  </si>
  <si>
    <t>Ext Inf - Clt Ident Inf - Value</t>
  </si>
  <si>
    <t>Entity´s complete name.</t>
  </si>
  <si>
    <t>Nome completo da entidade.</t>
  </si>
  <si>
    <t/>
  </si>
  <si>
    <t>Entities - Identification</t>
  </si>
  <si>
    <t>Party Complete Name</t>
  </si>
  <si>
    <t>E205_NOM_SOCIED
N\A</t>
  </si>
  <si>
    <r>
      <rPr>
        <b/>
        <sz val="11"/>
        <color rgb="FF000000"/>
        <rFont val="Calibri"/>
        <scheme val="minor"/>
      </rPr>
      <t xml:space="preserve">SELECT </t>
    </r>
    <r>
      <rPr>
        <sz val="11"/>
        <color rgb="FF000000"/>
        <rFont val="Calibri"/>
        <scheme val="minor"/>
      </rPr>
      <t xml:space="preserve">IF( TRIM( PERS_JCA_INT.E205_NOM_SOCIED ) = '', NULL, PERS_JCA_INT.E205_NOM_SOCIED )
</t>
    </r>
    <r>
      <rPr>
        <b/>
        <sz val="11"/>
        <color rgb="FF000000"/>
        <rFont val="Calibri"/>
        <scheme val="minor"/>
      </rPr>
      <t xml:space="preserve">WHERE </t>
    </r>
    <r>
      <rPr>
        <sz val="11"/>
        <color rgb="FF000000"/>
        <rFont val="Calibri"/>
        <scheme val="minor"/>
      </rPr>
      <t>AND PERS_JCA_INT.E2085_TIPO_PERS = 'J'</t>
    </r>
  </si>
  <si>
    <t>BdP - Clientes</t>
  </si>
  <si>
    <t>PERS_JCA_INT</t>
  </si>
  <si>
    <t>NOM_SOCIED</t>
  </si>
  <si>
    <t>LEI ID</t>
  </si>
  <si>
    <t>lei_id</t>
  </si>
  <si>
    <t>Ext Inf - Clt Ext Id - ID</t>
  </si>
  <si>
    <t>Legal entity identifier which uniquely identifies a legally entity that engages in a financial transaction.</t>
  </si>
  <si>
    <t>Identificador da entidade legal que identifica de forma inequívoca uma entidade legal que participa numa transação financeira.</t>
  </si>
  <si>
    <t>LEI</t>
  </si>
  <si>
    <t>CURATED_INTERNAL_MAINFRAME_CLIENTES
CURATED_INTERNAL_MAINFRAME_EXCLIENTES
CURATED_INTERNAL_MAINFRAME_CLIENTES
CURATED_INTERNAL_MAINFRAME_ESTRUTURAIS</t>
  </si>
  <si>
    <t>PERS_JCA_INT
GDT01_CONTROLO
CLT45_FCLI
TAT01_CLIENTES</t>
  </si>
  <si>
    <t>N\A
N\A
CODLEI
N\A</t>
  </si>
  <si>
    <r>
      <rPr>
        <b/>
        <sz val="11"/>
        <color rgb="FF000000"/>
        <rFont val="Calibri"/>
        <scheme val="minor"/>
      </rPr>
      <t xml:space="preserve">SELECT </t>
    </r>
    <r>
      <rPr>
        <sz val="11"/>
        <color rgb="FF000000"/>
        <rFont val="Calibri"/>
        <scheme val="minor"/>
      </rPr>
      <t xml:space="preserve">IF( TRIM( CLT45_FCLI.CODLEI ) = '', NULL, CLT45_FCLI.CODLEI )
</t>
    </r>
    <r>
      <rPr>
        <b/>
        <sz val="11"/>
        <color rgb="FF000000"/>
        <rFont val="Calibri"/>
        <scheme val="minor"/>
      </rPr>
      <t xml:space="preserve">WHERE </t>
    </r>
    <r>
      <rPr>
        <sz val="11"/>
        <color rgb="FF000000"/>
        <rFont val="Calibri"/>
        <scheme val="minor"/>
      </rPr>
      <t>PERS_JCA_INT.E2085_TIPO_PERS = 'J'</t>
    </r>
  </si>
  <si>
    <t>CLT45_FCLI</t>
  </si>
  <si>
    <t>CODLEI</t>
  </si>
  <si>
    <t>Intragroup Indicator</t>
  </si>
  <si>
    <t>intragroup_indicator</t>
  </si>
  <si>
    <t>? - Sigom</t>
  </si>
  <si>
    <t>SIGOM_MM</t>
  </si>
  <si>
    <t>CGRUPO</t>
  </si>
  <si>
    <t>Company Type Code</t>
  </si>
  <si>
    <t>company_type_code</t>
  </si>
  <si>
    <t>Ext Inf - Clt Gen Inf - Code</t>
  </si>
  <si>
    <t>Identifies the legal process used to form the entity.</t>
  </si>
  <si>
    <t>Código que identifica o processo legal utilizado para formar a entidade.</t>
  </si>
  <si>
    <t>Company Type:
? -&gt; TAT91 - CTABELA 159 ( NELEM09 ); CURATED_INTERNAL_MAINFRAME_ESTRUTURAIS.TAT91_TABELAS - TAYD91C0_CTABELA 159 ( TAYD91C0_NELEMC09 );</t>
  </si>
  <si>
    <t>Type of Company Code</t>
  </si>
  <si>
    <t>PERS_JCA_INT
GDT01_CONTROLO
TAT01_CLIENTES</t>
  </si>
  <si>
    <t>E2085_CSECBES
N\A
N\A</t>
  </si>
  <si>
    <r>
      <rPr>
        <b/>
        <sz val="11"/>
        <color rgb="FF000000"/>
        <rFont val="Calibri"/>
        <scheme val="minor"/>
      </rPr>
      <t xml:space="preserve">SELECT </t>
    </r>
    <r>
      <rPr>
        <sz val="11"/>
        <color rgb="FF000000"/>
        <rFont val="Calibri"/>
        <scheme val="minor"/>
      </rPr>
      <t xml:space="preserve">IF( TRIM( PERS_JCA_INT.E2085_CSECBES ) = '', NULL, PERS_JCA_INT.E2085_CSECBES )
</t>
    </r>
    <r>
      <rPr>
        <b/>
        <sz val="11"/>
        <color rgb="FF000000"/>
        <rFont val="Calibri"/>
        <scheme val="minor"/>
      </rPr>
      <t xml:space="preserve">WHERE </t>
    </r>
    <r>
      <rPr>
        <sz val="11"/>
        <color rgb="FF000000"/>
        <rFont val="Calibri"/>
        <scheme val="minor"/>
      </rPr>
      <t>PERS_JCA_INT.E2085_TIPO_PERS = 'J'</t>
    </r>
  </si>
  <si>
    <t>CSECBES</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</si>
  <si>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</si>
  <si>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</si>
  <si>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</si>
  <si>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Código que identifica o país de origem da empresa. Não é o mesmo que o código do país de constituição da empresa (pode, ou não, corresponder ao mesmo país). O sistema do Santander não tem o país de constituição duma entidade.</t>
  </si>
  <si>
    <t>Country:
PAIS -&gt; TAT91 - CTABELA 015; CURATED_INTERNAL_MAINFRAME_ESTRUTURAIS.TAT91_TABELAS - TAYD91C0_CTABELA 015</t>
  </si>
  <si>
    <t>Country of Incorporation</t>
  </si>
  <si>
    <t>CURATED_INTERNAL_MAINFRAME_CLIENTES
CURATED_INTERNAL_MAINFRAME_EXCLIENTES
CURATED_INTERNAL_MAINFRAME_ESTRUTURAIS
CURATED_INTERNAL_MAINFRAME_ESTRUTURAIS</t>
  </si>
  <si>
    <t>PERS_JCA_INT
TAT03_PAISES
TAT01_CLIENTES</t>
  </si>
  <si>
    <t>N\A
N\A
CPAIS_S
N\A</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</si>
  <si>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PERS_JCA_INT.E2085_TIPO_PERS = 'J'</t>
    </r>
  </si>
  <si>
    <t>PERS_JCA_INT -&gt; TAT03_PAISES</t>
  </si>
  <si>
    <t>PAIS_NACIO -&gt; CPAIS_S</t>
  </si>
  <si>
    <t>Incorporation Date</t>
  </si>
  <si>
    <t>incorporation_date</t>
  </si>
  <si>
    <t>Date of incorporation of the entity, as stated in the certificate of incorporation.</t>
  </si>
  <si>
    <t>Data de constituição da entidade, tal como consta do certificado de registo comercial.</t>
  </si>
  <si>
    <t>Date of Incorporation</t>
  </si>
  <si>
    <t xml:space="preserve">PERS_JCA_INT
</t>
  </si>
  <si>
    <t>E2085_FECCONST
N\A
N\A
N\A</t>
  </si>
  <si>
    <r>
      <rPr>
        <b/>
        <sz val="11"/>
        <color rgb="FF000000"/>
        <rFont val="Calibri"/>
        <scheme val="minor"/>
      </rPr>
      <t>SELECT</t>
    </r>
    <r>
      <rPr>
        <sz val="11"/>
        <color rgb="FF000000"/>
        <rFont val="Calibri"/>
        <scheme val="minor"/>
      </rPr>
      <t xml:space="preserve"> IF( TRIM( PERS_JCA_INT.E2085_FECCONST ) = '', NULL, PERS_JCA_INT.E2085_FECCONST )
</t>
    </r>
    <r>
      <rPr>
        <b/>
        <sz val="11"/>
        <color rgb="FF000000"/>
        <rFont val="Calibri"/>
        <scheme val="minor"/>
      </rPr>
      <t>WHERE</t>
    </r>
    <r>
      <rPr>
        <sz val="11"/>
        <color rgb="FF000000"/>
        <rFont val="Calibri"/>
        <scheme val="minor"/>
      </rPr>
      <t xml:space="preserve"> PERS_JCA_INT.E2085_TIPO_PERS = 'J'</t>
    </r>
  </si>
  <si>
    <t>FECCONST</t>
  </si>
  <si>
    <t>FATCA Reporting Indicator</t>
  </si>
  <si>
    <t>fatca_reporting_ind</t>
  </si>
  <si>
    <t>Ext Inf - Clt Fiscal Inf - Code</t>
  </si>
  <si>
    <t>Indicates if the entity reports to the FACTA regulation.</t>
  </si>
  <si>
    <t>Indica se a entidade reporta segundo a regulamentação FACTA.</t>
  </si>
  <si>
    <t>Parties - Clasification</t>
  </si>
  <si>
    <t>CURATED_INTERNAL_MAINFRAME_CLIENTES
CURATED_INTERNAL_MAINFRAME_CLIENTES
CURATED_INTERNAL_MAINFRAME_EXCLIENTES
CURATED_INTERNAL_MAINFRAME_ESTRUTURAIS</t>
  </si>
  <si>
    <t>PERS_JCA_INT
PARAM_GENERAL_CODE_CONVERTER</t>
  </si>
  <si>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PARAM_GENERAL_CODE_CONVERTER.TARGET_FIELD = 'fatca_reporting_ind' 
AND PARAM_GENERAL_CODE_CONVERTER.SOURCE_CODE = 'CL' 
AND PARAM_GENERAL_CODE_CONVERTER.SOURCE_VALUE = '' 
AND PARAM_GENERAL_CODE_CONVERTER.OPTION_NUMBER = IF(CLIENTE_SGMEN2.E0840_CODSEG IS NULL, 1, 2)
AND PERS_JCA_INT.E2085_TIPO_PERS = 'J'</t>
    </r>
  </si>
  <si>
    <t>CLIENTE_SEGMEN2</t>
  </si>
  <si>
    <t>CODSEG</t>
  </si>
  <si>
    <t>CRS Reporting Indicator</t>
  </si>
  <si>
    <t>crs_reporting_ind</t>
  </si>
  <si>
    <t>Indicates if the entity reports to the CRS regulation.</t>
  </si>
  <si>
    <t>Indica se a entidade reporta segundo a regulamentação CRS.</t>
  </si>
  <si>
    <t>PERS_JCA_INT
CRS_CLASSIF
PARAM_GENERAL_CODE_CONVERTER</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</si>
  <si>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PARAM_GENERAL_CODE_CONVERTER.TARGET_FIELD = 'crs_reporting_ind' 
AND PARAM_GENERAL_CODE_CONVERTER.SOURCE_CODE = 'CL' AND PARAM_GENERAL_CODE_CONVERTER.SOURCE_VALUE = '' AND PARAM_GENERAL_CODE_CONVERTER.OPTION_NUMBER = IF(CRS_CLASSIF.R4084_COD_PERS IS NULL, 1, 2)
AND MAX(CRS_CLASSIF.R4084_NR_SEQ) GROUP BY CRS_CLASSIF.R4084_COD_PERS, CRS_CLASSIF.R4084_TIPO_PERS AND CRS_CLASSIF.R4084_FEC_CLAS_FIM = '9999-12-31'
AND PERS_JCA_INT.E2085_TIPO_PERS = 'J'</t>
    </r>
  </si>
  <si>
    <t>CRS_CLASSIF</t>
  </si>
  <si>
    <t>NR_SEQ</t>
  </si>
  <si>
    <t>DATA_DATE_PART
N\A
N\A</t>
  </si>
  <si>
    <r>
      <rPr>
        <b/>
        <sz val="11"/>
        <color rgb="FF000000"/>
        <rFont val="Calibri"/>
        <scheme val="minor"/>
      </rPr>
      <t xml:space="preserve">SELECT </t>
    </r>
    <r>
      <rPr>
        <sz val="11"/>
        <color rgb="FF000000"/>
        <rFont val="Calibri"/>
        <scheme val="minor"/>
      </rPr>
      <t xml:space="preserve">PERS_JCA_INT.DATA_DATE_PART
</t>
    </r>
    <r>
      <rPr>
        <b/>
        <sz val="11"/>
        <color rgb="FF000000"/>
        <rFont val="Calibri"/>
        <scheme val="minor"/>
      </rPr>
      <t xml:space="preserve">WHERE </t>
    </r>
    <r>
      <rPr>
        <sz val="11"/>
        <color rgb="FF000000"/>
        <rFont val="Calibri"/>
        <scheme val="minor"/>
      </rPr>
      <t xml:space="preserve"> AND PERS_JCA_INT.E2085_TIPO_PERS = 'J'</t>
    </r>
  </si>
  <si>
    <t>N\A
N\A
N\A</t>
  </si>
  <si>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PERS_JCA_INT.E2085_TIPO_PERS = 'J'</t>
    </r>
  </si>
  <si>
    <t>Entity Address</t>
  </si>
  <si>
    <t>Address</t>
  </si>
  <si>
    <t>CURATED_INTERNAL_MAINFRAME_CLIENTES
CURATED_INTERNAL_MAINFRAME_CLIENTES
CURATED_INTERNAL_MAINFRAME_CLIENTES
CURATED_INTERNAL_MAINFRAME_ESTRUTURAIS</t>
  </si>
  <si>
    <t>DOMIC_PERS_INT
PERS_JCA_INT
REL_TIP_DOM_HIS
TAT01_CLIENTES</t>
  </si>
  <si>
    <t xml:space="preserve">N\A
N\A
N\A
ZCLIENTE </t>
  </si>
  <si>
    <r>
      <rPr>
        <b/>
        <sz val="11"/>
        <color rgb="FF000000"/>
        <rFont val="Calibri"/>
        <scheme val="minor"/>
      </rPr>
      <t xml:space="preserve">SELECT </t>
    </r>
    <r>
      <rPr>
        <sz val="11"/>
        <color rgb="FF000000"/>
        <rFont val="Calibri"/>
        <scheme val="minor"/>
      </rPr>
      <t xml:space="preserve">LPAD( TAT01_CLIENTES.ZCLIENTE, 10, '0' ) 
</t>
    </r>
    <r>
      <rPr>
        <b/>
        <sz val="11"/>
        <color rgb="FF000000"/>
        <rFont val="Calibri"/>
        <scheme val="minor"/>
      </rPr>
      <t xml:space="preserve">WHERE </t>
    </r>
    <r>
      <rPr>
        <sz val="11"/>
        <color rgb="FF000000"/>
        <rFont val="Calibri"/>
        <scheme val="minor"/>
      </rPr>
      <t>REL_TIP_DOM_HIS.E0712_FECH_FIN = '9999-12-31'</t>
    </r>
  </si>
  <si>
    <t>DOMIC_PERS_INT -&gt; TAT01_CLIENTES</t>
  </si>
  <si>
    <t>CONCAT( TIPO_PER, COD_PERS ) -&gt; ZCLIENTE</t>
  </si>
  <si>
    <t>Order Number</t>
  </si>
  <si>
    <t>order_number</t>
  </si>
  <si>
    <t>Key - Value</t>
  </si>
  <si>
    <t>BIGINT</t>
  </si>
  <si>
    <t>Corresponds to the order in which the address was provided. It is not a direct relationship with the address beeing, or not, the main address.</t>
  </si>
  <si>
    <t>Corresponde à ordem em que a morada foi fornecida. Não se trata de uma relação direta com o facto de a morada ser, ou não, a morada principal.</t>
  </si>
  <si>
    <t>Address ID</t>
  </si>
  <si>
    <t>E0710_NRODOM
N\A
N\A
N\A</t>
  </si>
  <si>
    <r>
      <rPr>
        <b/>
        <sz val="11"/>
        <color rgb="FF000000"/>
        <rFont val="Calibri"/>
        <scheme val="minor"/>
      </rPr>
      <t xml:space="preserve">SELECT </t>
    </r>
    <r>
      <rPr>
        <sz val="11"/>
        <color rgb="FF000000"/>
        <rFont val="Calibri"/>
        <scheme val="minor"/>
      </rPr>
      <t xml:space="preserve">CAST( DOMIC_PERS_INT.E0710_NRODOM AS BIGINT )
</t>
    </r>
    <r>
      <rPr>
        <b/>
        <sz val="11"/>
        <color rgb="FF000000"/>
        <rFont val="Calibri"/>
        <scheme val="minor"/>
      </rPr>
      <t xml:space="preserve">WHERE </t>
    </r>
    <r>
      <rPr>
        <sz val="11"/>
        <color rgb="FF000000"/>
        <rFont val="Calibri"/>
        <scheme val="minor"/>
      </rPr>
      <t>REL_TIP_DOM_HIS.E0712_FECH_FIN = '9999-12-31'</t>
    </r>
  </si>
  <si>
    <t>DOMIC_PERS_INT</t>
  </si>
  <si>
    <t xml:space="preserve">NRODOM </t>
  </si>
  <si>
    <t>Start Date</t>
  </si>
  <si>
    <t>start_date</t>
  </si>
  <si>
    <t>Ext inf - Clt Addr Inf - Date</t>
  </si>
  <si>
    <t>The date in which the client submited the information about the address to Santander's systems.</t>
  </si>
  <si>
    <t>Data em que o cliente submeteu informação relativa à morada nos sistemas do Santander.</t>
  </si>
  <si>
    <t>Address Start Date</t>
  </si>
  <si>
    <t>E0710_FECALTSI
N\A
N\A
N\A</t>
  </si>
  <si>
    <r>
      <rPr>
        <b/>
        <sz val="11"/>
        <color rgb="FF000000"/>
        <rFont val="Calibri"/>
        <scheme val="minor"/>
      </rPr>
      <t xml:space="preserve">SELECT </t>
    </r>
    <r>
      <rPr>
        <sz val="11"/>
        <color rgb="FF000000"/>
        <rFont val="Calibri"/>
        <scheme val="minor"/>
      </rPr>
      <t xml:space="preserve">CAST( DOMIC_PERS_INT.E0710_FECALTSI AS STRING)
</t>
    </r>
    <r>
      <rPr>
        <b/>
        <sz val="11"/>
        <color rgb="FF000000"/>
        <rFont val="Calibri"/>
        <scheme val="minor"/>
      </rPr>
      <t xml:space="preserve">WHERE </t>
    </r>
    <r>
      <rPr>
        <sz val="11"/>
        <color rgb="FF000000"/>
        <rFont val="Calibri"/>
        <scheme val="minor"/>
      </rPr>
      <t>REL_TIP_DOM_HIS.E0712_FECH_FIN = '9999-12-31'</t>
    </r>
  </si>
  <si>
    <t>FECALTSI</t>
  </si>
  <si>
    <t>Address Type Code</t>
  </si>
  <si>
    <t>address_type_code</t>
  </si>
  <si>
    <t>Ext inf - Addr Inf - Code</t>
  </si>
  <si>
    <t>Identifies the type of address.</t>
  </si>
  <si>
    <t>Código que identifica o tipo de morada.</t>
  </si>
  <si>
    <t>Address Type:
TIP_DOMICILIO -&gt; ?</t>
  </si>
  <si>
    <t>Type of Address</t>
  </si>
  <si>
    <t>N\A
N\A
E0712_TIPODOM
N\A</t>
  </si>
  <si>
    <r>
      <rPr>
        <b/>
        <sz val="11"/>
        <color rgb="FF000000"/>
        <rFont val="Calibri"/>
        <scheme val="minor"/>
      </rPr>
      <t xml:space="preserve">SELECT </t>
    </r>
    <r>
      <rPr>
        <sz val="11"/>
        <color rgb="FF000000"/>
        <rFont val="Calibri"/>
        <scheme val="minor"/>
      </rPr>
      <t xml:space="preserve">CAST( REL_TIP_DOM_HIS.E0712_TIPODOM AS STRING )
</t>
    </r>
    <r>
      <rPr>
        <b/>
        <sz val="11"/>
        <color rgb="FF000000"/>
        <rFont val="Calibri"/>
        <scheme val="minor"/>
      </rPr>
      <t xml:space="preserve">WHERE </t>
    </r>
    <r>
      <rPr>
        <sz val="11"/>
        <color rgb="FF000000"/>
        <rFont val="Calibri"/>
        <scheme val="minor"/>
      </rPr>
      <t>REL_TIP_DOM_HIS.E0712_FECH_FIN = '9999-12-31'</t>
    </r>
  </si>
  <si>
    <t>REL_TIP_DOM_HIS</t>
  </si>
  <si>
    <t>TIPODOM</t>
  </si>
  <si>
    <t>Country Code</t>
  </si>
  <si>
    <t>country_code</t>
  </si>
  <si>
    <t>Ext inf - Addr Gen Inf - Code</t>
  </si>
  <si>
    <t>Country code to which the address belongs to.</t>
  </si>
  <si>
    <t>Código do país ao qual a morada pertence.</t>
  </si>
  <si>
    <t>Country:
PAIS -&gt; TAT03_PAISES -&gt; TAT91 - CTABELA 015; CURATED_INTERNAL_MAINFRAME_ESTRUTURAIS.TAT91_TABELAS - TAYD91C0_CTABELA 015</t>
  </si>
  <si>
    <t>CURATED_INTERNAL_MAINFRAME_CLIENTES
CURATED_INTERNAL_MAINFRAME_CLIENTES
CURATED_INTERNAL_MAINFRAME_CLIENTES
CURATED_INTERNAL_MAINFRAME_ESTRUTURAIS
CURATED_INTERNAL_MAINFRAME_ESTRUTURAIS</t>
  </si>
  <si>
    <t>DOMIC_PERS_INT
PERS_JCA_INT
REL_TIP_DOM_HIS
TAT03_PAISES
TAT01_CLIENTES</t>
  </si>
  <si>
    <t>N\A
N\A
N\A
CPAIS_S
N\A</t>
  </si>
  <si>
    <r>
      <rPr>
        <b/>
        <sz val="11"/>
        <color rgb="FF000000"/>
        <rFont val="Calibri"/>
        <scheme val="minor"/>
      </rPr>
      <t xml:space="preserve">SELECT </t>
    </r>
    <r>
      <rPr>
        <sz val="11"/>
        <color rgb="FF000000"/>
        <rFont val="Calibri"/>
        <scheme val="minor"/>
      </rPr>
      <t xml:space="preserve">IF( TRIM( TAT03_PAISES.CPAIS_S ) = '', NULL, TAT03_PAISES.CPAIS_S )
</t>
    </r>
    <r>
      <rPr>
        <b/>
        <sz val="11"/>
        <color rgb="FF000000"/>
        <rFont val="Calibri"/>
        <scheme val="minor"/>
      </rPr>
      <t xml:space="preserve">WHERE </t>
    </r>
    <r>
      <rPr>
        <sz val="11"/>
        <color rgb="FF000000"/>
        <rFont val="Calibri"/>
        <scheme val="minor"/>
      </rPr>
      <t>REL_TIP_DOM_HIS.E0712_FECH_FIN = '9999-12-31'</t>
    </r>
  </si>
  <si>
    <t>DOMIC_PERS_INT -&gt; TAT03_PAISES</t>
  </si>
  <si>
    <t>COD_PAIS -&gt; CPAIS_S</t>
  </si>
  <si>
    <t>District Name</t>
  </si>
  <si>
    <t>district_name</t>
  </si>
  <si>
    <t>Identifies the name of district to which the address belongs to.</t>
  </si>
  <si>
    <t>Nome do distrito ao qual a morada pertence.</t>
  </si>
  <si>
    <t>E0710_DOM_DESC_TEXT
N\A
N\A
N\A</t>
  </si>
  <si>
    <r>
      <rPr>
        <b/>
        <sz val="11"/>
        <color rgb="FF000000"/>
        <rFont val="Calibri"/>
        <scheme val="minor"/>
      </rPr>
      <t xml:space="preserve">SELECT </t>
    </r>
    <r>
      <rPr>
        <sz val="11"/>
        <color rgb="FF000000"/>
        <rFont val="Calibri"/>
        <scheme val="minor"/>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ELSE NULL
</t>
    </r>
    <r>
      <rPr>
        <b/>
        <sz val="11"/>
        <color rgb="FF000000"/>
        <rFont val="Calibri"/>
        <scheme val="minor"/>
      </rPr>
      <t>WHERE</t>
    </r>
    <r>
      <rPr>
        <sz val="11"/>
        <color rgb="FF000000"/>
        <rFont val="Calibri"/>
        <scheme val="minor"/>
      </rPr>
      <t xml:space="preserve"> REL_TIP_DOM_HIS.E0712_FECH_FIN = '9999-12-31'</t>
    </r>
  </si>
  <si>
    <t>DOMIC_PERS_INT || N\A || DOMIC_PERS_INT</t>
  </si>
  <si>
    <t>DOM_DESC( 229, 35 ) || N\A || DOM_DESC( 68, 30 )</t>
  </si>
  <si>
    <t>N\A || "NULL" || N\A</t>
  </si>
  <si>
    <t>District Code</t>
  </si>
  <si>
    <t>district_code</t>
  </si>
  <si>
    <t>Identifies the district to which the address belongs to.</t>
  </si>
  <si>
    <t>Código do distrito ao qual a morada pertence.</t>
  </si>
  <si>
    <t>District:
DISTRITO_PT -&gt; TAT91 - CTABELA J48; CURATED_INTERNAL_MAINFRAME_ESTRUTURAIS.TAT91_TABELAS - TAYD91C0_CTABELA J48</t>
  </si>
  <si>
    <t>(VIAS_PT)2
(VIAS_PT)1
DOMIC_PERS_INT</t>
  </si>
  <si>
    <t>CODCON
CODDIS
FREGNA</t>
  </si>
  <si>
    <r>
      <rPr>
        <b/>
        <sz val="11"/>
        <color rgb="FF000000"/>
        <rFont val="Calibri"/>
        <scheme val="minor"/>
      </rPr>
      <t xml:space="preserve">SELECT </t>
    </r>
    <r>
      <rPr>
        <sz val="11"/>
        <color rgb="FF000000"/>
        <rFont val="Calibri"/>
        <scheme val="minor"/>
      </rPr>
      <t xml:space="preserve">CASE
        WHEN DOMIC_PERS_INT.E0710_FMTO_DOM = 'DP' THEN CONCAT(VIAS_PT(1).CODDIS, '0000')
        WHEN DOMIC_PERS_INT.E0710_FMTO_DOM = 'EP' THEN NULL
        WHEN DOMIC_PERS_INT.E0710_FMTO_DOM = 'AP' THEN CONCAT(VIAS_PT(2).CODDIS, '0000')
        ELSE NULL
      END AS DISTRICT_CODE,
</t>
    </r>
    <r>
      <rPr>
        <b/>
        <sz val="11"/>
        <color rgb="FF000000"/>
        <rFont val="Calibri"/>
        <scheme val="minor"/>
      </rPr>
      <t xml:space="preserve">WHERE </t>
    </r>
    <r>
      <rPr>
        <sz val="11"/>
        <color rgb="FF000000"/>
        <rFont val="Calibri"/>
        <scheme val="minor"/>
      </rPr>
      <t>REL_TIP_DOM_HIS.E0712_FECH_FIN = '9999-12-31' 
    AND VIAS_PT(1).FECBAJA = '9999-12-31'
    AND VIAS_PT(2).FECBAJA = '9999-12-31'</t>
    </r>
  </si>
  <si>
    <t>CONCAT ( DOM_DESC( 222, 2 ), "0000" ) || N\A || CONCAT( DOM_DESC( 61, 2 ), "0000" )</t>
  </si>
  <si>
    <t>Municipality Code</t>
  </si>
  <si>
    <t>municipality_code</t>
  </si>
  <si>
    <t>Identifies the municipality to which the address belongs to.</t>
  </si>
  <si>
    <t>Código do municipio ao qual a morada pertence.</t>
  </si>
  <si>
    <t>Municipality:
CONCELHO_PT -&gt; TAT91 - CTABELA J48; CURATED_INTERNAL_MAINFRAME_ESTRUTURAIS.TAT91_TABELAS - TAYD91C0_CTABELA J48</t>
  </si>
  <si>
    <t>Municipality</t>
  </si>
  <si>
    <r>
      <rPr>
        <sz val="11"/>
        <color rgb="FF000000"/>
        <rFont val="Calibri"/>
        <scheme val="minor"/>
      </rPr>
      <t xml:space="preserve">CASE
        WHEN DOMIC_PERS_INT.E0710_FMTO_DOM = 'DP' THEN CONCAT(VIAS_PT(1).CODDIS,VIAS_PT(1).CODCON, '00')
        WHEN DOMIC_PERS_INT.E0710_FMTO_DOM = 'EP' THEN NULL
        WHEN DOMIC_PERS_INT.E0710_FMTO_DOM = 'AP' THEN CONCAT(VIAS_PT(2).CODDIS,VIAS_PT(2).CODCON, '00')
        ELSE NULL
     END AS MUNICIPALITY_CODE,
</t>
    </r>
    <r>
      <rPr>
        <b/>
        <sz val="11"/>
        <color rgb="FF000000"/>
        <rFont val="Calibri"/>
        <scheme val="minor"/>
      </rPr>
      <t xml:space="preserve">WHERE </t>
    </r>
    <r>
      <rPr>
        <sz val="11"/>
        <color rgb="FF000000"/>
        <rFont val="Calibri"/>
        <scheme val="minor"/>
      </rPr>
      <t xml:space="preserve">REL_TIP_DOM_HIS.E0712_FECH_FIN = '9999-12-31'
    AND VIAS_PT(1).FECBAJA = '9999-12-31'
    AND VIAS_PT(2).FECBAJA = '9999-12-31'
</t>
    </r>
  </si>
  <si>
    <t>CONCAT ( DOM_DESC( 222, 4 ), "00" ) || N\A || CONCAT( DOM_DESC( 61, 4 ), "00" )</t>
  </si>
  <si>
    <t>Civil Parish Code</t>
  </si>
  <si>
    <t>civil_parish_code</t>
  </si>
  <si>
    <t>Identifies the lowest local adminstrative location of the local government ("freguesia") to which the address belongs to.</t>
  </si>
  <si>
    <t>Código da localização administrativa local mais baixa (freguesia) a que pertence a morada.</t>
  </si>
  <si>
    <t>Civil Parish:
TAT91 - CTABELA J48; CURATED_INTERNAL_MAINFRAME_ESTRUTURAIS.TAT91_TABELAS - TAYD91C0_CTABELA J48</t>
  </si>
  <si>
    <r>
      <rPr>
        <sz val="11"/>
        <color rgb="FF000000"/>
        <rFont val="Calibri"/>
        <scheme val="minor"/>
      </rPr>
      <t xml:space="preserve">CASE
        WHEN DOMIC_PERS_INT.E0710_FMTO_DOM = 'DP' THEN CONCAT(VIAS_PT(1).CODDIS,VIAS_PT(1).CODCON, VIAS_PT(1).FREGNA)
        WHEN DOMIC_PERS_INT.E0710_FMTO_DOM = 'EP' THEN NULL
        WHEN DOMIC_PERS_INT.E0710_FMTO_DOM = 'AP' THEN CONCAT(VIAS_PT(2).CODDIS,VIAS_PT(2).CODCON, VIAS_PT(2).FREGNA)
        ELSE NULL
     END AS CIVIL_PARISH_CODE,
</t>
    </r>
    <r>
      <rPr>
        <b/>
        <sz val="11"/>
        <color rgb="FF000000"/>
        <rFont val="Calibri"/>
        <scheme val="minor"/>
      </rPr>
      <t xml:space="preserve">WHERE </t>
    </r>
    <r>
      <rPr>
        <sz val="11"/>
        <color rgb="FF000000"/>
        <rFont val="Calibri"/>
        <scheme val="minor"/>
      </rPr>
      <t>REL_TIP_DOM_HIS.E0712_FECH_FIN = '9999-12-31'
    AND VIAS_PT(1).FECBAJA = '9999-12-31'
    AND VIAS_PT(2).FECBAJA = '9999-12-31'</t>
    </r>
  </si>
  <si>
    <t>DOM_DESC( 222, 7 ) || N\A || DOM_DESC( 61, 7 )</t>
  </si>
  <si>
    <t>Nomenclature of Territorial Units for Statistics 3 Code</t>
  </si>
  <si>
    <t>nut3_code</t>
  </si>
  <si>
    <t>Identifies to which nut3 (lowest level of the EU's economic territory hierarchy) the address belongs to.</t>
  </si>
  <si>
    <t>Identifica a que nut3 (nível mais baixo da hierarquia do território económico da UE) pertence a morada.</t>
  </si>
  <si>
    <t>NUT3:
TAT91 - CTABELA J48; CURATED_INTERNAL_MAINFRAME_ESTRUTURAIS.TAT91_TABELAS - TAYD91C0_CTABELA J48</t>
  </si>
  <si>
    <t>(TAT91_TABELAS_NEW)1
(TAT91_TABELAS_NEW)2</t>
  </si>
  <si>
    <t>TAYD91C0_NELEMC05</t>
  </si>
  <si>
    <r>
      <rPr>
        <sz val="11"/>
        <color rgb="FF000000"/>
        <rFont val="Calibri"/>
        <scheme val="minor"/>
      </rPr>
      <t xml:space="preserve">
CASE
    WHEN DOMIC_PERS_INT.E0710_FMTO_DOM = 'DP' THEN SUBSTRING(TAT91_TABELAS_NEW(1).TAYD91C0_NELEMC05, 1, 5))
    WHEN DOMIC_PERS_INT.E0710_FMTO_DOM = 'EP' THEN NULL
    WHEN DOMIC_PERS_INT.E0710_FMTO_DOM = 'AP' THEN SUBSTRING(TAT91_TABELAS_NEW(2).TAYD91C0_NELEMC05, 1, 5))
    ELSE NULL
END AS NUT3_CODE,
</t>
    </r>
    <r>
      <rPr>
        <b/>
        <sz val="11"/>
        <color rgb="FF000000"/>
        <rFont val="Calibri"/>
        <scheme val="minor"/>
      </rPr>
      <t xml:space="preserve">WHERE </t>
    </r>
    <r>
      <rPr>
        <sz val="11"/>
        <color rgb="FF000000"/>
        <rFont val="Calibri"/>
        <scheme val="minor"/>
      </rPr>
      <t>REL_TIP_DOM_HIS.E0712_FECH_FIN = '9999-12-31'
AND VIAS_PT(1).FECBAJA = '9999-12-31' AND VIAS_PT(1).FECBAJA.DATA_DATE_PART = MAX(VIAS_PT(1).FECBAJA.DATA_DATE_PART)) AND (MAX( COUNT(*) GROUP BY VIAS_PT.ZONA, VIAS_PT.CODCOMP, VIAS_PT.CODDIS, VIAS_PT.CODCON, VIAS_PT.FREGNA) GROUP BY VIAS_PT.ZONA, VIAS_PT.CODCOMP)
AND VIAS_PT(2).FECBAJA = '9999-12-31' AND AND VIAS_PT(2).FECBAJA.DATA_DATE_PART = MAX(VIAS_PT(2).FECBAJA.DATA_DATE_PART)) AND (MAX( COUNT(*) GROUP BY VIAS_PT.ZONA, VIAS_PT.CODCOMP, VIAS_PT.CODDIS, VIAS_PT.CODCON, VIAS_PT.FREGNA) GROUP BY VIAS_PT.ZONA, VIAS_PT.CODCOMP)
AND TAT91_TABELAS_NEW(1).TAYD91C0_CTABELA = 'J48'
AND TAT91_TABELAS_NEW(2).TAYD91C0_CTABELA = 'J48'</t>
    </r>
  </si>
  <si>
    <t>DOMIC_PERS_INT -&gt; TAT91_TABELAS || N\A || DOMIC_PERS_INT -&gt; TAT91_TABELAS</t>
  </si>
  <si>
    <t>DOM_DESC( 222, 7 ) -&gt; NELEMC09 || N\A || DOM_DESC( 61, 7 ) -&gt; NELEMC08 || DOM_DESC( 61, 7 ) -&gt; NELEMC09</t>
  </si>
  <si>
    <t>Postal Code</t>
  </si>
  <si>
    <t>postal_code</t>
  </si>
  <si>
    <t>Ext inf - Addr Inf - Value</t>
  </si>
  <si>
    <t>Postal code of the adress.</t>
  </si>
  <si>
    <t>Código postal da morada.</t>
  </si>
  <si>
    <t>Postal Code:
COD_POSTAL_PT -&gt; TAT91 - CTABELA 020; CURATED_INTERNAL_MAINFRAME_ESTRUTURAIS.TAT91_TABELAS - TAYD91C0_CTABELA 020</t>
  </si>
  <si>
    <t>Postcode</t>
  </si>
  <si>
    <t xml:space="preserve">
</t>
  </si>
  <si>
    <t>CONCAT( DOM_DESC( 222, 4 ), "-", DOM_DESC ( 226, 3 ) || N\A || CONCAT( DOM_DESC( 61, 4 ), "-", DOM_DESC ( 65, 3 )</t>
  </si>
  <si>
    <t>Street Type Code</t>
  </si>
  <si>
    <t>street_type_code</t>
  </si>
  <si>
    <t>Identifies the type of street of the address, for example, avenue, street, etc.</t>
  </si>
  <si>
    <t>Código do tipo de rua da morada, por exemplo, avenida, rua, etc.</t>
  </si>
  <si>
    <t>Street Type:
TIPO_VIA_PT -&gt;  TAT91 - CTABELA H91; CURATED_INTERNAL_MAINFRAME_ESTRUTURAIS.TAT91_TABELAS - TAYD91C0_CTABELA H91</t>
  </si>
  <si>
    <t>Street Type</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</si>
  <si>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scheme val="minor"/>
      </rPr>
      <t xml:space="preserve">WHERE </t>
    </r>
    <r>
      <rPr>
        <sz val="11"/>
        <color rgb="FF000000"/>
        <rFont val="Calibri"/>
        <scheme val="minor"/>
      </rPr>
      <t>REL_TIP_DOM_HIS.E0712_FECH_FIN = '9999-12-31'</t>
    </r>
  </si>
  <si>
    <t>DOMIC_PERS_INT || N\A || N\A</t>
  </si>
  <si>
    <t>DOM_DESC( 1, 6 ) || N\A || N\A</t>
  </si>
  <si>
    <t>N\A || "NULL" || "NULL"</t>
  </si>
  <si>
    <t>Street Name</t>
  </si>
  <si>
    <t>street_name</t>
  </si>
  <si>
    <t>Address's street name.</t>
  </si>
  <si>
    <t>Nome da rua da morada.</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</si>
  <si>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sz val="11"/>
        <color rgb="FFFF0000"/>
        <rFont val="Calibri"/>
        <scheme val="minor"/>
      </rPr>
      <t xml:space="preserve">
</t>
    </r>
    <r>
      <rPr>
        <b/>
        <sz val="11"/>
        <color rgb="FF000000"/>
        <rFont val="Calibri"/>
        <scheme val="minor"/>
      </rPr>
      <t>WHERE</t>
    </r>
    <r>
      <rPr>
        <sz val="11"/>
        <color rgb="FF000000"/>
        <rFont val="Calibri"/>
        <scheme val="minor"/>
      </rPr>
      <t xml:space="preserve"> REL_TIP_DOM_HIS.E0712_FECH_FIN = '9999-12-31'</t>
    </r>
  </si>
  <si>
    <t>DOM_DESC( 7, 100 ) || N\A || N\A</t>
  </si>
  <si>
    <t>Building Type Code</t>
  </si>
  <si>
    <t>building_type_code</t>
  </si>
  <si>
    <t>Type of building, for example, if it is a building an estate and so on.</t>
  </si>
  <si>
    <t>Tipo de edificio, por exemplo, se é um prédio, propriedade, etc.</t>
  </si>
  <si>
    <t>Building Type:
TIP_EDIFICIO_PT -&gt; TAT91 - CTABELA H90; CURATED_INTERNAL_MAINFRAME_ESTRUTURAIS.TAT91_TABELAS - TAYD91C0_CTABELA H90</t>
  </si>
  <si>
    <t>DOMIC_PERS_INT
PERS_JCA_INT
REL_TIP_DOM_HIS
TAT01_CLIENTES
PARAM_GENERAL_CODE_CONVERTER</t>
  </si>
  <si>
    <t>TARGET_VALUE
N\A
N\A
N\A</t>
  </si>
  <si>
    <r>
      <rPr>
        <b/>
        <sz val="11"/>
        <color rgb="FF000000"/>
        <rFont val="Calibri"/>
      </rPr>
      <t xml:space="preserve">SELECT CASE
      </t>
    </r>
    <r>
      <rPr>
        <sz val="11"/>
        <color rgb="FF000000"/>
        <rFont val="Calibri"/>
      </rPr>
      <t xml:space="preserve">WHEN (CASE
        WHEN DOMIC_PERS_INT.E0710_FMTO_DOM = 'DP' THEN IF(TRIM(SUBSTRING(DOMIC_PERS_INT.E0710_DOM_DESC_TEXT, 112, 10)) = '', NULL, SUBSTRING(DOMIC_PERS_INT.E0710_DOM_DESC_TEXT, 112, 10))
        WHEN DOMIC_PERS_INT.E0710_FMTO_DOM = 'EP' THEN NULL
        WHEN DOMIC_PERS_INT.E0710_FMTO_DOM = 'AP' THEN ''
        ELSE NULL) = '' THEN PARAM_GENERAL_CODE_CONVERTER.TARGET_VAULE
      ELSE (CASE
        WHEN DOMIC_PERS_INT.E0710_FMTO_DOM = 'DP' THEN IF(TRIM(SUBSTRING(DOMIC_PERS_INT.E0710_DOM_DESC_TEXT, 112, 10)) = '', NULL, SUBSTRING(DOMIC_PERS_INT.E0710_DOM_DESC_TEXT, 112, 10))
        WHEN DOMIC_PERS_INT.E0710_FMTO_DOM = 'EP' THEN NULL
        WHEN DOMIC_PERS_INT.E0710_FMTO_DOM = 'AP' THEN ''
        ELSE NULL)
END AS BUILDING_TYPE_CODE
</t>
    </r>
    <r>
      <rPr>
        <b/>
        <sz val="11"/>
        <color rgb="FF000000"/>
        <rFont val="Calibri"/>
      </rPr>
      <t xml:space="preserve">WHERE
</t>
    </r>
    <r>
      <rPr>
        <sz val="11"/>
        <color rgb="FF000000"/>
        <rFont val="Calibri"/>
      </rPr>
      <t xml:space="preserve"> AND  REL_TIP_DOM_HIS.E0712_FECH_FIN = '9999-12-31'
 AND  PARAM_GENERAL_CODE_CONVERTER.SOURCE_CODE = "CL"
 AND PARAM_GENERAL_CODE_CONVERTER.TARGET_FIELD = 'building_type_code'
 AND PARAM_GENERAL_CODE_CONVERTER.SOURCE_VALUE = (
 CASE
       WHEN DOMIC_PERS_INT.E0710_FMTO_DOM = 'DP' THEN   IF(TRIM(SUBSTRING(DOMIC_PERS_INT.E0710_DOM_DESC_TEXT, 112, 10)) = '', NULL, SUBSTRING(DOMIC_PERS_INT.E0710_DOM_DESC_TEXT, 112, 10))
        WHEN DOMIC_PERS_INT.E0710_FMTO_DOM = 'EP' THEN NULL
        WHEN DOMIC_PERS_INT.E0710_FMTO_DOM = 'AP' THEN ''
        ELSE NULL) 
AND PARAM_GENERAL_CODE_CONVERTER.OPTION_NUMBER = 1</t>
    </r>
  </si>
  <si>
    <t>DOM_DESC( 112, 10 ) || N\A || N\A</t>
  </si>
  <si>
    <t>N\A || "NULL" || "AP"</t>
  </si>
  <si>
    <t>Building Number</t>
  </si>
  <si>
    <t>building_number</t>
  </si>
  <si>
    <t>Address' building number (it also includes homes and other types of houses).</t>
  </si>
  <si>
    <t>Número do edifício da morada (inclui também moradias e outros tipos de casas).</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</si>
  <si>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scheme val="minor"/>
      </rPr>
      <t>WHERE</t>
    </r>
    <r>
      <rPr>
        <sz val="11"/>
        <color rgb="FF000000"/>
        <rFont val="Calibri"/>
        <scheme val="minor"/>
      </rPr>
      <t xml:space="preserve"> REL_TIP_DOM_HIS.E0712_FECH_FIN = '9999-12-31'
 </t>
    </r>
  </si>
  <si>
    <t>DOM_DESC( 107, 5 ) || N\A || N\A</t>
  </si>
  <si>
    <t>Building Details</t>
  </si>
  <si>
    <t>building_details</t>
  </si>
  <si>
    <t xml:space="preserve">Free text field for details of the building. It can include the number of the house inside of the building and extra details. </t>
  </si>
  <si>
    <t xml:space="preserve">Campo de texto livre com detalhes sobre o edifício. Pode incluir o número da casa no interior do edifício e pormenores adicionais. </t>
  </si>
  <si>
    <t>Apartment Number</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</si>
  <si>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scheme val="minor"/>
      </rPr>
      <t>WHERE</t>
    </r>
    <r>
      <rPr>
        <sz val="11"/>
        <color rgb="FF000000"/>
        <rFont val="Calibri"/>
        <scheme val="minor"/>
      </rPr>
      <t xml:space="preserve"> REL_TIP_DOM_HIS.E0712_FECH_FIN = '9999-12-31'</t>
    </r>
  </si>
  <si>
    <t>DOM_DESC( 122, 50 ) || N\A || N\A</t>
  </si>
  <si>
    <t>Post Office Box Number</t>
  </si>
  <si>
    <t>post_office_box_number</t>
  </si>
  <si>
    <t>Identifies the number of the post office box used as address.</t>
  </si>
  <si>
    <t xml:space="preserve">Identifica o número da caixa postal utilizada como morada. </t>
  </si>
  <si>
    <r>
      <rPr>
        <b/>
        <sz val="11"/>
        <color rgb="FF000000"/>
        <rFont val="Calibri"/>
      </rPr>
      <t xml:space="preserve">SELECT </t>
    </r>
    <r>
      <rPr>
        <sz val="11"/>
        <color rgb="FF000000"/>
        <rFont val="Calibri"/>
      </rPr>
      <t xml:space="preserve">CASE
WHEN (CASE
        WHEN DOMIC_PERS_INT.E0710_FMTO_DOM = 'DP' THEN ''
        WHEN DOMIC_PERS_INT.E0710_FMTO_DOM = 'EP' THEN ''
        WHEN DOMIC_PERS_INT.E0710_FMTO_DOM = 'AP' THEN IF(TRIM(SUBSTRING(DOMIC_PERS_INT.E0710_DOM_DESC_TEXT, 1, 10)) = '', NULL, SUBSTRING(DOMIC_PERS_INT.E0710_DOM_DESC_TEXT, 1, 10))
        ELSE NULL) '' THEN PARAM_GENERAL_CODE_CONVERTER.TARGET_VAULE
ELSE(CASE
        WHEN DOMIC_PERS_INT.E0710_FMTO_DOM = 'DP' THEN ''
        WHEN DOMIC_PERS_INT.E0710_FMTO_DOM = 'EP' THEN ''
        WHEN DOMIC_PERS_INT.E0710_FMTO_DOM = 'AP' THEN IF(TRIM(SUBSTRING(DOMIC_PERS_INT.E0710_DOM_DESC_TEXT, 1, 10)) = '', NULL, SUBSTRING(DOMIC_PERS_INT.E0710_DOM_DESC_TEXT, 1, 10))
        ELSE NULL)
</t>
    </r>
    <r>
      <rPr>
        <sz val="11"/>
        <color rgb="FFFF0000"/>
        <rFont val="Calibri"/>
      </rPr>
      <t xml:space="preserve">
</t>
    </r>
    <r>
      <rPr>
        <b/>
        <sz val="11"/>
        <color rgb="FF000000"/>
        <rFont val="Calibri"/>
      </rPr>
      <t xml:space="preserve">WHERE </t>
    </r>
    <r>
      <rPr>
        <sz val="11"/>
        <color rgb="FF000000"/>
        <rFont val="Calibri"/>
      </rPr>
      <t xml:space="preserve">REL_TIP_DOM_HIS.E0712_FECH_FIN = '9999-12-31'
 AND PARAM_GENERAL_CODE_CONVERTER.SOURCE_CODE = "CL"
    AND PARAM_GENERAL_CODE_CONVERTER.TARGET_FIELD = 'post_office_box_number'
    AND PARAM_GENERAL_CODE_CONVERTER.SOURCE_VALUE = (CASE
        WHEN DOMIC_PERS_INT.E0710_FMTO_DOM = 'DP' THEN ''
        WHEN DOMIC_PERS_INT.E0710_FMTO_DOM = 'EP' THEN ''
        WHEN DOMIC_PERS_INT.E0710_FMTO_DOM = 'AP' THEN IF(TRIM(SUBSTRING(DOMIC_PERS_INT.E0710_DOM_DESC_TEXT, 1, 10)) = '', NULL, SUBSTRING(DOMIC_PERS_INT.E0710_DOM_DESC_TEXT, 1, 10))
        ELSE NULL)
    AND PARAM_GENERAL_CODE_CONVERTER.OPTION_NUMBER = 1
</t>
    </r>
  </si>
  <si>
    <t>N\A || N\A || DOMIC_PERS_INT</t>
  </si>
  <si>
    <t>N\A || N\A || DOM_DESC( 1, 10 )</t>
  </si>
  <si>
    <t>"#N/A" || "#N/A" || N\A</t>
  </si>
  <si>
    <t>Full Address</t>
  </si>
  <si>
    <t>full_address</t>
  </si>
  <si>
    <t>Ext inf - Addr Gen Inf - Value</t>
  </si>
  <si>
    <t>Complete address.</t>
  </si>
  <si>
    <t>Morada completa.</t>
  </si>
  <si>
    <r>
      <rPr>
        <b/>
        <sz val="11"/>
        <color rgb="FF000000"/>
        <rFont val="Calibri"/>
        <scheme val="minor"/>
      </rPr>
      <t xml:space="preserve">SELECT </t>
    </r>
    <r>
      <rPr>
        <sz val="11"/>
        <color rgb="FF000000"/>
        <rFont val="Calibri"/>
        <scheme val="minor"/>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scheme val="minor"/>
      </rPr>
      <t>WHERE</t>
    </r>
    <r>
      <rPr>
        <sz val="11"/>
        <color rgb="FF000000"/>
        <rFont val="Calibri"/>
        <scheme val="minor"/>
      </rPr>
      <t xml:space="preserve"> REL_TIP_DOM_HIS.E0712_FECH_FIN = '9999-12-31'</t>
    </r>
  </si>
  <si>
    <t>DOMIC_PERS_INT || DOMIC_PERS_INT || DOMIC_PERS_INT</t>
  </si>
  <si>
    <t>DOM_DESC( 1, 221 ) || DOM_DESC( 1, 68 ) ||  DOM_DESC( 1, 60 )</t>
  </si>
  <si>
    <t>N\A || N\A || N\A</t>
  </si>
  <si>
    <t>DATA_DATE_PART
N\A
N\A
N\A</t>
  </si>
  <si>
    <r>
      <rPr>
        <b/>
        <sz val="11"/>
        <color rgb="FF000000"/>
        <rFont val="Calibri"/>
        <scheme val="minor"/>
      </rPr>
      <t xml:space="preserve">SELECT </t>
    </r>
    <r>
      <rPr>
        <sz val="11"/>
        <color rgb="FF000000"/>
        <rFont val="Calibri"/>
        <scheme val="minor"/>
      </rPr>
      <t xml:space="preserve">DOMIC_PERS_INT.DATA_DATE_PART
    ELSE NULL
</t>
    </r>
    <r>
      <rPr>
        <b/>
        <sz val="11"/>
        <color rgb="FF000000"/>
        <rFont val="Calibri"/>
        <scheme val="minor"/>
      </rPr>
      <t xml:space="preserve">WHERE </t>
    </r>
    <r>
      <rPr>
        <sz val="11"/>
        <color rgb="FF000000"/>
        <rFont val="Calibri"/>
        <scheme val="minor"/>
      </rPr>
      <t>REL_TIP_DOM_HIS.E0712_FECH_FIN = '9999-12-31'</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</si>
  <si>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REL_TIP_DOM_HIS.E0712_FECH_FIN = '9999-12-31'</t>
    </r>
  </si>
  <si>
    <t>Entity Contact</t>
  </si>
  <si>
    <t>Parties - Contact</t>
  </si>
  <si>
    <t>DIR_ELETRONICA
PERS_JCA_INT
TAT01_CLIENTES</t>
  </si>
  <si>
    <r>
      <rPr>
        <b/>
        <sz val="11"/>
        <color rgb="FF000000"/>
        <rFont val="Calibri"/>
        <scheme val="minor"/>
      </rPr>
      <t>SELECT</t>
    </r>
    <r>
      <rPr>
        <b/>
        <sz val="11"/>
        <color rgb="FFFF0000"/>
        <rFont val="Calibri"/>
        <scheme val="minor"/>
      </rPr>
      <t xml:space="preserve"> </t>
    </r>
    <r>
      <rPr>
        <sz val="11"/>
        <color rgb="FF000000"/>
        <rFont val="Calibri"/>
        <scheme val="minor"/>
      </rPr>
      <t xml:space="preserve">LPAD( TAT01_CLIENTES.ZCLIENTE, 10, '0' )
</t>
    </r>
    <r>
      <rPr>
        <b/>
        <sz val="11"/>
        <color rgb="FF000000"/>
        <rFont val="Calibri"/>
        <scheme val="minor"/>
      </rPr>
      <t xml:space="preserve">WHERE </t>
    </r>
    <r>
      <rPr>
        <sz val="11"/>
        <color rgb="FF000000"/>
        <rFont val="Calibri"/>
        <scheme val="minor"/>
      </rPr>
      <t>DIR_ELECTRONICA.DIRE_FECBAJ = '9999-12-31'</t>
    </r>
  </si>
  <si>
    <t>DIR_ELECTRONICA -&gt; TAT01_CLIENTES</t>
  </si>
  <si>
    <t>CONCAT( TIPOPERS, CODPERS ) -&gt; ZCLIENTE</t>
  </si>
  <si>
    <t>Contact Type Code</t>
  </si>
  <si>
    <t>contact_type_code</t>
  </si>
  <si>
    <t>Identifies the type of contact (e.g. mobile, e-mail, etc.).</t>
  </si>
  <si>
    <t>Código que identifica o tipo de contacto do cliente (por exemplo: telemóvel, e-mail, etc.).</t>
  </si>
  <si>
    <t>Contact Type:
? -&gt; TAT91 - CTABELA 459; CURATED_INTERNAL_MAINFRAME_ESTRUTURAIS.TAT91_TABELAS - TAYD91C0_CTABELA 459</t>
  </si>
  <si>
    <t>Contact Type</t>
  </si>
  <si>
    <t>DIRE_IDDISPO
N\A
N\A
N\A</t>
  </si>
  <si>
    <r>
      <rPr>
        <b/>
        <sz val="11"/>
        <color rgb="FF000000"/>
        <rFont val="Calibri"/>
        <scheme val="minor"/>
      </rPr>
      <t xml:space="preserve">SELECT </t>
    </r>
    <r>
      <rPr>
        <sz val="11"/>
        <color rgb="FF000000"/>
        <rFont val="Calibri"/>
        <scheme val="minor"/>
      </rPr>
      <t xml:space="preserve">DIR_ELETRONICA.DIRE_IDDISPO
</t>
    </r>
    <r>
      <rPr>
        <b/>
        <sz val="11"/>
        <color rgb="FF000000"/>
        <rFont val="Calibri"/>
        <scheme val="minor"/>
      </rPr>
      <t xml:space="preserve">WHERE </t>
    </r>
    <r>
      <rPr>
        <sz val="11"/>
        <color rgb="FF000000"/>
        <rFont val="Calibri"/>
        <scheme val="minor"/>
      </rPr>
      <t>DIR_ELECTRONICA.DIRE_FECBAJ = '9999-12-31'</t>
    </r>
  </si>
  <si>
    <t>DIR_ELECTRONICA</t>
  </si>
  <si>
    <t>IDDISPO</t>
  </si>
  <si>
    <t>Corresponds to the order in which the contact was provided. It is not a direct relationship with the contact beeing, or not, the main contact.</t>
  </si>
  <si>
    <t>Corresponde à ordem em que contacto foi fornecido. Não se trata de uma relação direta com o facto de o contacto ser, ou não, o contacto principal.</t>
  </si>
  <si>
    <t>Contact ID</t>
  </si>
  <si>
    <t>DIRE_JNROSEC
N\A
N\A
N\A</t>
  </si>
  <si>
    <r>
      <rPr>
        <b/>
        <sz val="11"/>
        <color rgb="FF000000"/>
        <rFont val="Calibri"/>
        <scheme val="minor"/>
      </rPr>
      <t xml:space="preserve">SELECT </t>
    </r>
    <r>
      <rPr>
        <sz val="11"/>
        <color rgb="FF000000"/>
        <rFont val="Calibri"/>
        <scheme val="minor"/>
      </rPr>
      <t xml:space="preserve">CAST( DIR_ELETRONICA.DIRE_JNROSEC AS BIGINT ) 
</t>
    </r>
    <r>
      <rPr>
        <b/>
        <sz val="11"/>
        <color rgb="FF000000"/>
        <rFont val="Calibri"/>
        <scheme val="minor"/>
      </rPr>
      <t xml:space="preserve">WHERE </t>
    </r>
    <r>
      <rPr>
        <sz val="11"/>
        <color rgb="FF000000"/>
        <rFont val="Calibri"/>
        <scheme val="minor"/>
      </rPr>
      <t>DIR_ELECTRONICA.DIRE_FECBAJ = '9999-12-31'</t>
    </r>
  </si>
  <si>
    <t>JNROSEC</t>
  </si>
  <si>
    <t>Main Contact Indicator</t>
  </si>
  <si>
    <t>main_contact_indicator</t>
  </si>
  <si>
    <t>Ext Inf - Clt Inf - Ind</t>
  </si>
  <si>
    <t>Indicates if the contact is the main \ preferred contact of the client.</t>
  </si>
  <si>
    <t>Indica se o contacto é o principal/preferencial do cliente.</t>
  </si>
  <si>
    <t>DIRE_INDPRE 
N\A
N\A
N\A</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</si>
  <si>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 xml:space="preserve">WHERE </t>
    </r>
    <r>
      <rPr>
        <sz val="11"/>
        <color rgb="FF000000"/>
        <rFont val="Calibri"/>
        <scheme val="minor"/>
      </rPr>
      <t>DIR_ELECTRONICA.DIRE_FECBAJ = '9999-12-31'
AND PARAM_GENERAL_CODE_CONVERTER.SOURCE_CODE = "CL"
AND PARAM_GENERAL_CODE_CONVERTER.TARGET_FIELD = 'main_contact_indicator'
 AND PARAM_GENERAL_CODE_CONVERTER.SOURCE_VALUE =  IF(TRIM(DIR_ELECTRONICA.DIRE_INDPRE) = '', NULL, DIR_ELECTRONICA.DIRE_INDPRE)
 AND PARAM_GENERAL_CODE_CONVERTER.OPTION_NUMBER = 1</t>
    </r>
  </si>
  <si>
    <t>INDPRE</t>
  </si>
  <si>
    <t>Ext Inf - Clt Inf - Date</t>
  </si>
  <si>
    <t>The date in which the client submited the information about the contact to Santander's systems.</t>
  </si>
  <si>
    <t>Data em que o cliente submeteu informação relativa ao contacto nos sistemas do Santander.</t>
  </si>
  <si>
    <t>DIRE_FECALTSI
N\A
N\A
N\A</t>
  </si>
  <si>
    <r>
      <rPr>
        <b/>
        <sz val="11"/>
        <color rgb="FF000000"/>
        <rFont val="Calibri"/>
        <scheme val="minor"/>
      </rPr>
      <t xml:space="preserve">SELECT </t>
    </r>
    <r>
      <rPr>
        <sz val="11"/>
        <color rgb="FF000000"/>
        <rFont val="Calibri"/>
        <scheme val="minor"/>
      </rPr>
      <t xml:space="preserve">IF( TRIM( DIR_ELETRONICA.DIRE_FECALTSI ) = '', NULL, DIR_ELETRONICA.DIRE_FECALTSI )
</t>
    </r>
    <r>
      <rPr>
        <b/>
        <sz val="11"/>
        <color rgb="FF000000"/>
        <rFont val="Calibri"/>
        <scheme val="minor"/>
      </rPr>
      <t xml:space="preserve">WHERE </t>
    </r>
    <r>
      <rPr>
        <sz val="11"/>
        <color rgb="FF000000"/>
        <rFont val="Calibri"/>
        <scheme val="minor"/>
      </rPr>
      <t>DIR_ELECTRONICA.DIRE_FECBAJ = '9999-12-31'</t>
    </r>
  </si>
  <si>
    <t>Last Update Date</t>
  </si>
  <si>
    <t>last_update_date</t>
  </si>
  <si>
    <t>Last update date of the contact.</t>
  </si>
  <si>
    <t>Data da última atualização do contacto.</t>
  </si>
  <si>
    <t>Contact Update Date</t>
  </si>
  <si>
    <t>DIRE_FECULTAC
N\A
N\A
N\A</t>
  </si>
  <si>
    <r>
      <rPr>
        <b/>
        <sz val="11"/>
        <color rgb="FF000000"/>
        <rFont val="Calibri"/>
        <scheme val="minor"/>
      </rPr>
      <t xml:space="preserve">SELECT </t>
    </r>
    <r>
      <rPr>
        <sz val="11"/>
        <color rgb="FF000000"/>
        <rFont val="Calibri"/>
        <scheme val="minor"/>
      </rPr>
      <t xml:space="preserve">IF( TRIM( DIR_ELETRONICA.DIRE_FECULTAC ) = '', NULL, DIR_ELETRONICA.DIRE_FECULTAC )
</t>
    </r>
    <r>
      <rPr>
        <b/>
        <sz val="11"/>
        <color rgb="FF000000"/>
        <rFont val="Calibri"/>
        <scheme val="minor"/>
      </rPr>
      <t xml:space="preserve">WHERE </t>
    </r>
    <r>
      <rPr>
        <sz val="11"/>
        <color rgb="FF000000"/>
        <rFont val="Calibri"/>
        <scheme val="minor"/>
      </rPr>
      <t>DIR_ELECTRONICA.DIRE_FECBAJ = '9999-12-31'</t>
    </r>
  </si>
  <si>
    <t>FECULTAC</t>
  </si>
  <si>
    <t>Contact</t>
  </si>
  <si>
    <t>contact</t>
  </si>
  <si>
    <t>Contains the contact itself. For example. the email or the phone number.</t>
  </si>
  <si>
    <t>Contém o contacto propriamente dito. Por exemplo, o e-mail ou o número de telefone.</t>
  </si>
  <si>
    <t>Contact Information</t>
  </si>
  <si>
    <t>DIRE_DIRELE_TEXT
N\A
N\A
N\A</t>
  </si>
  <si>
    <r>
      <rPr>
        <b/>
        <sz val="11"/>
        <color rgb="FF000000"/>
        <rFont val="Calibri"/>
        <scheme val="minor"/>
      </rPr>
      <t xml:space="preserve">SELECT </t>
    </r>
    <r>
      <rPr>
        <sz val="11"/>
        <color rgb="FF000000"/>
        <rFont val="Calibri"/>
        <scheme val="minor"/>
      </rPr>
      <t xml:space="preserve">IF( TRIM( DIR_ELETRONICA.DIRE_DIRELE_TEXT ) = '', NULL, DIR_ELETRONICA.DIRE_DIRELE_TEXT )
</t>
    </r>
    <r>
      <rPr>
        <b/>
        <sz val="11"/>
        <color rgb="FF000000"/>
        <rFont val="Calibri"/>
        <scheme val="minor"/>
      </rPr>
      <t xml:space="preserve">WHERE </t>
    </r>
    <r>
      <rPr>
        <sz val="11"/>
        <color rgb="FF000000"/>
        <rFont val="Calibri"/>
        <scheme val="minor"/>
      </rPr>
      <t>DIR_ELECTRONICA.DIRE_FECBAJ = '9999-12-31'</t>
    </r>
  </si>
  <si>
    <t>DIRE_DIRELE</t>
  </si>
  <si>
    <t>Dat Date Part</t>
  </si>
  <si>
    <r>
      <rPr>
        <b/>
        <sz val="11"/>
        <color rgb="FF000000"/>
        <rFont val="Calibri"/>
        <scheme val="minor"/>
      </rPr>
      <t xml:space="preserve">SELECT </t>
    </r>
    <r>
      <rPr>
        <sz val="11"/>
        <color rgb="FF000000"/>
        <rFont val="Calibri"/>
        <scheme val="minor"/>
      </rPr>
      <t xml:space="preserve">DIR_ELETRONICA.DATA_DATE_PART
</t>
    </r>
    <r>
      <rPr>
        <b/>
        <sz val="11"/>
        <color rgb="FF000000"/>
        <rFont val="Calibri"/>
        <scheme val="minor"/>
      </rPr>
      <t xml:space="preserve">WHERE </t>
    </r>
    <r>
      <rPr>
        <sz val="11"/>
        <color rgb="FF000000"/>
        <rFont val="Calibri"/>
        <scheme val="minor"/>
      </rPr>
      <t>DIR_ELECTRONICA.DIRE_FECBAJ = '9999-12-31'</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</si>
  <si>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DIR_ELECTRONICA.DIRE_FECBAJ = '9999-12-31'</t>
    </r>
  </si>
  <si>
    <t>Entity Contractual Management</t>
  </si>
  <si>
    <t>Client Management
Client Management</t>
  </si>
  <si>
    <t>Party ID
Customer ID</t>
  </si>
  <si>
    <r>
      <rPr>
        <b/>
        <sz val="11"/>
        <color rgb="FF000000"/>
        <rFont val="Calibri"/>
      </rPr>
      <t>SELECT</t>
    </r>
    <r>
      <rPr>
        <sz val="11"/>
        <color rgb="FF000000"/>
        <rFont val="Calibri"/>
      </rPr>
      <t xml:space="preserve"> LPAD(TAT01_CLIENTES.ZCLIENTE, 10, 0)</t>
    </r>
  </si>
  <si>
    <t>CONCAT ( TIPO_PERS, COD_PERS ) -&gt; ZCLIENTE</t>
  </si>
  <si>
    <t>Client Manager Employee ID</t>
  </si>
  <si>
    <t>client_manager_employee_id</t>
  </si>
  <si>
    <t>Ext Inf - Clt Rel Inf - ID</t>
  </si>
  <si>
    <t>Unique identifier of the manager (employee) assigned to the client.</t>
  </si>
  <si>
    <t>Identificador único do gestor (colaborador) atribuído ao cliente.</t>
  </si>
  <si>
    <t>Client Manager:
SET01_UTILIZA; CURATED_INTERNAL_MAINFRAME_SEGURANCA.SET01_UTILIZA</t>
  </si>
  <si>
    <t>Client Management</t>
  </si>
  <si>
    <t>Client Manager ID</t>
  </si>
  <si>
    <t>PERS_JCA_INT
CLT47_FCLIMARC
TAT01_CLIENTES</t>
  </si>
  <si>
    <t>N\A
CKGESTCLI
N\A
N\A</t>
  </si>
  <si>
    <r>
      <rPr>
        <b/>
        <sz val="11"/>
        <color rgb="FF000000"/>
        <rFont val="Calibri"/>
        <scheme val="minor"/>
      </rPr>
      <t xml:space="preserve">SELECT </t>
    </r>
    <r>
      <rPr>
        <sz val="11"/>
        <color rgb="FF000000"/>
        <rFont val="Calibri"/>
        <scheme val="minor"/>
      </rPr>
      <t>IF( TRIM( CLT47_FCLIMARC.CKGESTCLI ) = '', NULL, CLT47_FCLIMARC.CKGESTCLI)</t>
    </r>
  </si>
  <si>
    <t>CLT47_FCLIMARC</t>
  </si>
  <si>
    <t>CKGESTCLI</t>
  </si>
  <si>
    <t>Client Manager Branch Code</t>
  </si>
  <si>
    <t>client_manager_branch_code</t>
  </si>
  <si>
    <t>Identifies the entity's client manager branch.</t>
  </si>
  <si>
    <t>Código que identifica a filial do gerente de clientes da entidade.</t>
  </si>
  <si>
    <t>Branch:
TAT91 - CTABELA 091; CURATED_INTERNAL_MAINFRAME_ESTRUTURAIS.TAT91_TABELAS - TAYD91C0_CTABELA 091</t>
  </si>
  <si>
    <t>Parties</t>
  </si>
  <si>
    <t>Branch ID</t>
  </si>
  <si>
    <t>N\A
CBALGEST
N\A
N\A</t>
  </si>
  <si>
    <r>
      <rPr>
        <b/>
        <sz val="11"/>
        <color rgb="FF000000"/>
        <rFont val="Calibri"/>
        <scheme val="minor"/>
      </rPr>
      <t xml:space="preserve">SELECT </t>
    </r>
    <r>
      <rPr>
        <sz val="11"/>
        <color rgb="FF000000"/>
        <rFont val="Calibri"/>
        <scheme val="minor"/>
      </rPr>
      <t>IF( TRIM( CLT47_FCLIMARC.CBALGEST ) = '', NULL, CLT47_FCLIMARC.CBALGEST )</t>
    </r>
  </si>
  <si>
    <t>CBALGEST</t>
  </si>
  <si>
    <t>Contractual Relationship Start Date</t>
  </si>
  <si>
    <t>contractual_rel_start_date</t>
  </si>
  <si>
    <t>Date when the contractual relationship between the client and Santander started.</t>
  </si>
  <si>
    <t>Data de inicio de relação contratual entre o cliente e o Santander.</t>
  </si>
  <si>
    <t>Relationship Start Date</t>
  </si>
  <si>
    <t>E2085_FEC_CTE
N\A
N\A</t>
  </si>
  <si>
    <r>
      <rPr>
        <b/>
        <sz val="11"/>
        <color rgb="FF000000"/>
        <rFont val="Calibri"/>
        <scheme val="minor"/>
      </rPr>
      <t xml:space="preserve">SELECT </t>
    </r>
    <r>
      <rPr>
        <sz val="11"/>
        <color rgb="FF000000"/>
        <rFont val="Calibri"/>
        <scheme val="minor"/>
      </rPr>
      <t>IF( TRIM( PERS_JCA_INT.E2085_FEC_CTE ) = '', NULL, CAST( PERS_JCA_INT.E2085_FEC_CTE AS STRING ) )</t>
    </r>
  </si>
  <si>
    <t>FEC_CTE</t>
  </si>
  <si>
    <t>Digital Banking Join Date</t>
  </si>
  <si>
    <t>digital_banking_join_date</t>
  </si>
  <si>
    <t>Ext Inf - Clt Serv Inf - Date</t>
  </si>
  <si>
    <t>Date in which the client signed up for the digital banking online service (Net Banco).</t>
  </si>
  <si>
    <t>Data em que o cliente aderiu ao serviço de banca digital online (Net Banco).</t>
  </si>
  <si>
    <t>N\A
DTCONSTNB
N\A
N\A</t>
  </si>
  <si>
    <r>
      <rPr>
        <b/>
        <sz val="11"/>
        <color rgb="FF000000"/>
        <rFont val="Calibri"/>
        <scheme val="minor"/>
      </rPr>
      <t xml:space="preserve">SELECT </t>
    </r>
    <r>
      <rPr>
        <sz val="11"/>
        <color rgb="FF000000"/>
        <rFont val="Calibri"/>
        <scheme val="minor"/>
      </rPr>
      <t>IF( TRIM( CLT47_FCLIMARC.DTCONSTNB ) = '', NULL, CAST( CLT47_FCLIMARC.DTCONSTNB AS STRING ) )</t>
    </r>
  </si>
  <si>
    <t>DTCONSTNB</t>
  </si>
  <si>
    <r>
      <rPr>
        <b/>
        <sz val="11"/>
        <color rgb="FF000000"/>
        <rFont val="Calibri"/>
        <scheme val="minor"/>
      </rPr>
      <t xml:space="preserve">SELECT </t>
    </r>
    <r>
      <rPr>
        <sz val="11"/>
        <color rgb="FF000000"/>
        <rFont val="Calibri"/>
        <scheme val="minor"/>
      </rPr>
      <t>PERS_JCA_INT.DATA_DATE_PART</t>
    </r>
  </si>
  <si>
    <t>Entity Economic Activity</t>
  </si>
  <si>
    <t>Economic Activity</t>
  </si>
  <si>
    <r>
      <rPr>
        <b/>
        <sz val="11"/>
        <color rgb="FF000000"/>
        <rFont val="Calibri"/>
        <scheme val="minor"/>
      </rPr>
      <t xml:space="preserve">SELECT </t>
    </r>
    <r>
      <rPr>
        <sz val="11"/>
        <color rgb="FF000000"/>
        <rFont val="Calibri"/>
        <scheme val="minor"/>
      </rPr>
      <t xml:space="preserve">LPAD( TAT01_CLIENTES.ZCLIENTE, 10, '0' )
</t>
    </r>
    <r>
      <rPr>
        <b/>
        <sz val="11"/>
        <color rgb="FF000000"/>
        <rFont val="Calibri"/>
        <scheme val="minor"/>
      </rPr>
      <t>WHERE</t>
    </r>
    <r>
      <rPr>
        <sz val="11"/>
        <color rgb="FF000000"/>
        <rFont val="Calibri"/>
        <scheme val="minor"/>
      </rPr>
      <t xml:space="preserve"> PERS_JCA_INT.E2085_CNAE93 != '00999'</t>
    </r>
  </si>
  <si>
    <t>Industry Classification System Code</t>
  </si>
  <si>
    <t>industry_classific_system_code</t>
  </si>
  <si>
    <t>Key - Code</t>
  </si>
  <si>
    <t>Identifies the industry classification system used to categorize the entity's economic activity.. For example, CAE, UKSIC, etc.</t>
  </si>
  <si>
    <t>Código que identifica o sistema de classificação industrial utilizado para categorizar a atividade económica da entidade. Por exemplo, CAE, UKSIC, etc.</t>
  </si>
  <si>
    <t>Industry Classification System:
N\A (CNAE_03 - Classificação Nacional de Atividades Econômicas); N\A</t>
  </si>
  <si>
    <t>Industry Classification System</t>
  </si>
  <si>
    <t>CURATED_INTERNAL_MAINFRAME_CLIENTES
CURATED_INTERNAL_MAINFRAME_EXCLIENTES
CURATED_INTERNAL_MAINFRAME_ESTRUTURAIS
COMMON_REFERENCEDATA_CORE</t>
  </si>
  <si>
    <t>PERS_JCA_INT
TAT01_CLIENTES
PARAM_GENERAL_CODE_CONVERTER</t>
  </si>
  <si>
    <t>N\A
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</si>
  <si>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PERS_JCA_INT.E2085_CNAE93 != '00999'
AND PARAM_GENERAL_CODE_CONVERTER.TARGET_FIELD = 'industry_classification_system_code' AND PARAM_GENERAL_CODE_CONVERTER.SOURCE_CODE = 'CL' AND PARAM_GENERAL_CODE_CONVERTER.SOURCE_VALUE = '' AND PARAM_GENERAL_CODE_CONVERTER.OPTION_NUMBER = 1</t>
    </r>
  </si>
  <si>
    <t>"CNAE_93"</t>
  </si>
  <si>
    <t>Order of economic activity of the entity (e.g. 1 = Main Activity, 2 = Secondary Activity, etc.).</t>
  </si>
  <si>
    <t>Ordem de atividade económica da entidade (por exemplo, 1 = Atividade principal, 2 = Atividade secundária, etc.).</t>
  </si>
  <si>
    <t>Order of Economic Activity</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</si>
  <si>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PERS_JCA_INT.E2085_CNAE93 != '00999'
AND PARAM_GENERAL_CODE_CONVERTER.TARGET_FIELD = 'order_number' AND PARAM_GENERAL_CODE_CONVERTER.SOURCE_CODE = 'CL' AND PARAM_GENERAL_CODE_CONVERTER.SOURCE_VALUE = '' AND PARAM_GENERAL_CODE_CONVERTER.OPTION_NUMBER = 1</t>
    </r>
  </si>
  <si>
    <t>"1"</t>
  </si>
  <si>
    <t>Economic Activity Category Code</t>
  </si>
  <si>
    <t>econ_activity_category_code</t>
  </si>
  <si>
    <t>Identifies the category associated with the client within the selected industry classification system.</t>
  </si>
  <si>
    <t>Código que identifica a categoria associada ao cliente dentro do sistema de classificação industrial.</t>
  </si>
  <si>
    <t>Economic Activity:
CNAE_93 -&gt; TAT91 - CTABELA 154; CURATED_INTERNAL_MAINFRAME_ESTRUTURAIS.TAT91_TABELAS - TAYD91C0_CTABELA 154</t>
  </si>
  <si>
    <t>Economic Activity Code</t>
  </si>
  <si>
    <t>PERS_JCA_INT
TAT01_CLIENTES
TAT91_TABELAS_NEW</t>
  </si>
  <si>
    <t>E2085_CNAE93
N\A
N\A</t>
  </si>
  <si>
    <r>
      <rPr>
        <b/>
        <sz val="11"/>
        <color rgb="FF000000"/>
        <rFont val="Calibri"/>
      </rPr>
      <t>SELECT</t>
    </r>
    <r>
      <rPr>
        <sz val="11"/>
        <color rgb="FF000000"/>
        <rFont val="Calibri"/>
      </rPr>
      <t xml:space="preserve"> IF(TRIM(TAT91_TABELAS_NEW.TAYD91C0_CELEMTAB) = '', NULL, CAST(TAT91_TABELAS_NEW.TAYD91C0_CELEMTAB AS STRING))
AND AND PERS_JCA_INT.E2085_CNAE93 != '00999'
AND TAT91_TABELAS_NEW.TAYD91C0_CTABELA= '154'</t>
    </r>
  </si>
  <si>
    <t>CNAE93</t>
  </si>
  <si>
    <r>
      <rPr>
        <b/>
        <sz val="11"/>
        <color rgb="FF000000"/>
        <rFont val="Calibri"/>
        <scheme val="minor"/>
      </rPr>
      <t xml:space="preserve">SELECT </t>
    </r>
    <r>
      <rPr>
        <sz val="11"/>
        <color rgb="FF000000"/>
        <rFont val="Calibri"/>
        <scheme val="minor"/>
      </rPr>
      <t xml:space="preserve">PERS_JCA_INT.DATA_DATE_PART
</t>
    </r>
    <r>
      <rPr>
        <b/>
        <sz val="11"/>
        <color rgb="FF000000"/>
        <rFont val="Calibri"/>
        <scheme val="minor"/>
      </rPr>
      <t>WHERE</t>
    </r>
    <r>
      <rPr>
        <sz val="11"/>
        <color rgb="FF000000"/>
        <rFont val="Calibri"/>
        <scheme val="minor"/>
      </rPr>
      <t xml:space="preserve"> PERS_JCA_INT.E2085_CNAE93 != '00999'</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</si>
  <si>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r>
      <rPr>
        <sz val="11"/>
        <color rgb="FF000000"/>
        <rFont val="Calibri"/>
        <scheme val="minor"/>
      </rPr>
      <t xml:space="preserve"> AND PERS_JCA_INT.E2085_CNAE93 != '00999'</t>
    </r>
  </si>
  <si>
    <t>Entity Financial Information</t>
  </si>
  <si>
    <r>
      <rPr>
        <b/>
        <sz val="11"/>
        <color rgb="FF000000"/>
        <rFont val="Calibri"/>
        <scheme val="minor"/>
      </rPr>
      <t xml:space="preserve">SELECT </t>
    </r>
    <r>
      <rPr>
        <sz val="11"/>
        <color rgb="FF000000"/>
        <rFont val="Calibri"/>
        <scheme val="minor"/>
      </rPr>
      <t>LPAD(TAT01_CLIENTES.ZCLIENTE, 10, '0' )</t>
    </r>
  </si>
  <si>
    <t>Financial Report Date</t>
  </si>
  <si>
    <t>financial_report_date</t>
  </si>
  <si>
    <t>Identifies the moment in which the information was reported \ produced.</t>
  </si>
  <si>
    <t>Data do momento em que a informação foi reportada/produzida.</t>
  </si>
  <si>
    <t>CURATED_INTERNAL_MAINFRAME_CLIENTES
CURATED_INTERNAL_MAINFRAME_CLIENTES
CURATED_INTERNAL_MAINFRAME_CLIENTES
CURATED_INTERNAL_MAINFRAME_EXCLIENTES
CURATED_INTERNAL_MAINFRAME_ESTRUTURAIS</t>
  </si>
  <si>
    <t>PERS_JCA_INT
ECONOM_JCAS_INT
JCA_ADICIO_T02
TAT01_CLIENTES</t>
  </si>
  <si>
    <t>N\A
E8727_FEC_ULTACT
E2090_FEC_ULTACT
N\A</t>
  </si>
  <si>
    <r>
      <rPr>
        <b/>
        <sz val="11"/>
        <color rgb="FF000000"/>
        <rFont val="Calibri"/>
        <scheme val="minor"/>
      </rPr>
      <t xml:space="preserve">SELECT </t>
    </r>
    <r>
      <rPr>
        <sz val="11"/>
        <color rgb="FF000000"/>
        <rFont val="Calibri"/>
        <scheme val="minor"/>
      </rPr>
      <t xml:space="preserve">CASE
        WHEN econ.e8727_cod_pers IS NULL THEN IF(TRIM(adic.e2090_fec_ultact) = '', NULL, adic.e2090_fec_ultact)
        WHEN adic.e2090_cod_pers IS NULL THEN IF(TRIM(econ.e8727_fec_ultact) = '', NULL, econ.e8727_fec_ultact)
        ELSE GREATEST(adic.e2090_fec_ultact, econ.e8727_fec_ultact)
END
</t>
    </r>
    <r>
      <rPr>
        <b/>
        <sz val="11"/>
        <color rgb="FF000000"/>
        <rFont val="Calibri"/>
        <scheme val="minor"/>
      </rPr>
      <t>WHERE</t>
    </r>
    <r>
      <rPr>
        <sz val="11"/>
        <color rgb="FF000000"/>
        <rFont val="Calibri"/>
        <scheme val="minor"/>
      </rPr>
      <t xml:space="preserve"> ECONOM_JCAS_INT.E8727_COD_PERS IS NOT NULL OR JCA_ADICIO_T02.E2090_COD_PERS IS NOT NULL
</t>
    </r>
  </si>
  <si>
    <t>ECONOM_JCAS_INT || JCA_ADICIO_T02</t>
  </si>
  <si>
    <t>FEC_ULTACT || FEC_ULTACT</t>
  </si>
  <si>
    <t>N\A || N\A</t>
  </si>
  <si>
    <t>Annual Turnover Currency Code</t>
  </si>
  <si>
    <t>annual_turnover_currency_code</t>
  </si>
  <si>
    <t>Ext Inf - Fin Inf - Code</t>
  </si>
  <si>
    <t>Currency used to describe the entity's annual turnover (total sales).</t>
  </si>
  <si>
    <t>Código da moeda utilizada para descrever o volume de negócios anual da entidade (total de vendas).</t>
  </si>
  <si>
    <t>Currency:
MONEDA -&gt; TAT91 - CTABELA 206; CURATED_INTERNAL_MAINFRAME_ESTRUTURAIS.TAT91_TABELAS - TAYD91C0_CTABELA 206</t>
  </si>
  <si>
    <t>Currency</t>
  </si>
  <si>
    <t>CURATED_INTERNAL_MAINFRAME_CLIENTES
CURATED_INTERNAL_MAINFRAME_CLIENTES
CURATED_INTERNAL_MAINFRAME_EXCLIENTES
CURATED_INTERNAL_MAINFRAME_ESTRUTURAIS
CURATED_INTERNAL_MAINFRAME_ESTRUTURAIS</t>
  </si>
  <si>
    <t>PERS_JCA_INT
ECONOM_JCAS_INT
TAT01_CLIENTES
TAT21_MOEDA</t>
  </si>
  <si>
    <t>N\A
N\A
N\A
CMOEDA</t>
  </si>
  <si>
    <r>
      <rPr>
        <b/>
        <sz val="11"/>
        <color rgb="FF000000"/>
        <rFont val="Calibri"/>
        <scheme val="minor"/>
      </rPr>
      <t xml:space="preserve">SELECT </t>
    </r>
    <r>
      <rPr>
        <sz val="11"/>
        <color rgb="FF000000"/>
        <rFont val="Calibri"/>
        <scheme val="minor"/>
      </rPr>
      <t xml:space="preserve">IF( TRIM( TAT21_MOEDA(1).CMOEDA ) = '', NULL, TAT21_MOEDA(1).CMOEDA )
</t>
    </r>
    <r>
      <rPr>
        <b/>
        <sz val="11"/>
        <color rgb="FF000000"/>
        <rFont val="Calibri"/>
        <scheme val="minor"/>
      </rPr>
      <t xml:space="preserve">WHERE </t>
    </r>
    <r>
      <rPr>
        <sz val="11"/>
        <color rgb="FF000000"/>
        <rFont val="Calibri"/>
        <scheme val="minor"/>
      </rPr>
      <t>ECONOM_JCAS_INT.E8727_COD_PERS IS NOT NULL OR JCA_ADICIO_T02.E2090_COD_PERS IS NOT NULL</t>
    </r>
  </si>
  <si>
    <t>ECONOM_JCAS_INT -&gt; TAT21_MOEDA</t>
  </si>
  <si>
    <t>CODMONE5 -&gt; CMOEDA</t>
  </si>
  <si>
    <t>Annual Turnover Amount</t>
  </si>
  <si>
    <t>annual_turnover_amount</t>
  </si>
  <si>
    <t>Ext Inf - Fin Inf - Value</t>
  </si>
  <si>
    <t>Amount of the entity turnover, this is, the entity total sales (gross revenue).</t>
  </si>
  <si>
    <t>Montante do volume de negócios da entidade, ou seja, o total de vendas (receita bruta).</t>
  </si>
  <si>
    <t>Commercial Capacity</t>
  </si>
  <si>
    <t>PERS_JCA_INT
ECONOM_JCAS_INT
TAT01_CLIENTES</t>
  </si>
  <si>
    <t>N\A
E8727_IMPFACES
N\A
N\A</t>
  </si>
  <si>
    <r>
      <rPr>
        <b/>
        <sz val="11"/>
        <color rgb="FF000000"/>
        <rFont val="Calibri"/>
        <scheme val="minor"/>
      </rPr>
      <t xml:space="preserve">SELECT </t>
    </r>
    <r>
      <rPr>
        <sz val="11"/>
        <color rgb="FF000000"/>
        <rFont val="Calibri"/>
        <scheme val="minor"/>
      </rPr>
      <t xml:space="preserve">CAST( ECONOM_JCAS_INT.E8727_IMPFACES AS DECIMAL( 23, 6 ) )
</t>
    </r>
    <r>
      <rPr>
        <b/>
        <sz val="11"/>
        <color rgb="FF000000"/>
        <rFont val="Calibri"/>
        <scheme val="minor"/>
      </rPr>
      <t xml:space="preserve">WHERE </t>
    </r>
    <r>
      <rPr>
        <sz val="11"/>
        <color rgb="FF000000"/>
        <rFont val="Calibri"/>
        <scheme val="minor"/>
      </rPr>
      <t>ECONOM_JCAS_INT.E8727_COD_PERS IS NOT NULL OR JCA_ADICIO_T02.E2090_COD_PERS IS NOT NULL</t>
    </r>
  </si>
  <si>
    <t>ECONOM_JCAS_INT</t>
  </si>
  <si>
    <t>IMPFACES</t>
  </si>
  <si>
    <t>Share Capital Amount</t>
  </si>
  <si>
    <t>share_capital_amount</t>
  </si>
  <si>
    <t>Sum of assets contributed to an entity by shareholders.</t>
  </si>
  <si>
    <t>Soma dos activos contribuídos para uma entidade pelos acionistas.</t>
  </si>
  <si>
    <t>Share Capital</t>
  </si>
  <si>
    <t>N\A
E8727_IMCAPSO
N\A
N\A</t>
  </si>
  <si>
    <r>
      <rPr>
        <b/>
        <sz val="11"/>
        <color rgb="FF000000"/>
        <rFont val="Calibri"/>
        <scheme val="minor"/>
      </rPr>
      <t xml:space="preserve">SELECT </t>
    </r>
    <r>
      <rPr>
        <sz val="11"/>
        <color rgb="FF000000"/>
        <rFont val="Calibri"/>
        <scheme val="minor"/>
      </rPr>
      <t xml:space="preserve">CAST( ECONOM_JCAS_INT.E8727_IMCAPSO AS DECIMAL( 23, 6 ) )
</t>
    </r>
    <r>
      <rPr>
        <b/>
        <sz val="11"/>
        <color rgb="FF000000"/>
        <rFont val="Calibri"/>
        <scheme val="minor"/>
      </rPr>
      <t xml:space="preserve">WHERE </t>
    </r>
    <r>
      <rPr>
        <sz val="11"/>
        <color rgb="FF000000"/>
        <rFont val="Calibri"/>
        <scheme val="minor"/>
      </rPr>
      <t>ECONOM_JCAS_INT.E8727_COD_PERS IS NOT NULL OR JCA_ADICIO_T02.E2090_COD_PERS IS NOT NULL</t>
    </r>
  </si>
  <si>
    <t>IMPCAPSO</t>
  </si>
  <si>
    <t>Share Capital Currency Code</t>
  </si>
  <si>
    <t>share_capital_currency_code</t>
  </si>
  <si>
    <t>Currency used to describer the share capital amount.</t>
  </si>
  <si>
    <t>Código de moeda utilizado para descrever o montante do capital social.</t>
  </si>
  <si>
    <t>N\A
N\A
N\A
N\A
CMOEDA</t>
  </si>
  <si>
    <r>
      <rPr>
        <b/>
        <sz val="11"/>
        <color rgb="FF000000"/>
        <rFont val="Calibri"/>
        <scheme val="minor"/>
      </rPr>
      <t xml:space="preserve">SELECT </t>
    </r>
    <r>
      <rPr>
        <sz val="11"/>
        <color rgb="FF000000"/>
        <rFont val="Calibri"/>
        <scheme val="minor"/>
      </rPr>
      <t xml:space="preserve">IF( TRIM( TAT21_MOEDA(2).CMOEDA ) = '', NULL, TAT21_MOEDA(2).CMOEDA )
</t>
    </r>
    <r>
      <rPr>
        <b/>
        <sz val="11"/>
        <color rgb="FF000000"/>
        <rFont val="Calibri"/>
        <scheme val="minor"/>
      </rPr>
      <t xml:space="preserve">WHERE </t>
    </r>
    <r>
      <rPr>
        <sz val="11"/>
        <color rgb="FF000000"/>
        <rFont val="Calibri"/>
        <scheme val="minor"/>
      </rPr>
      <t>AND ECONOM_JCAS_INT.E8727_COD_PERS IS NOT NULL OR JCA_ADICIO_T02.E2090_COD_PERS IS NOT NULL</t>
    </r>
  </si>
  <si>
    <t>CODMONE1 -&gt; CMOEDA</t>
  </si>
  <si>
    <t xml:space="preserve">Number of Employees </t>
  </si>
  <si>
    <t>number_employees</t>
  </si>
  <si>
    <t>INT</t>
  </si>
  <si>
    <t>Number of employees of the entity.</t>
  </si>
  <si>
    <t>Número de empregados da entidade.</t>
  </si>
  <si>
    <t>Number of Employees</t>
  </si>
  <si>
    <t>PERS_JCA_INT
JCA_ADICIO_T02
TAT01_CLIENTES</t>
  </si>
  <si>
    <t>N\A
E2090_NREMPFIJ
N\A
N\A</t>
  </si>
  <si>
    <r>
      <rPr>
        <sz val="11"/>
        <color rgb="FF000000"/>
        <rFont val="Calibri"/>
        <scheme val="minor"/>
      </rPr>
      <t xml:space="preserve">SELECT CAST(ADIC.E2090_NREMPFIJ AS INT)
</t>
    </r>
    <r>
      <rPr>
        <b/>
        <sz val="11"/>
        <color rgb="FF000000"/>
        <rFont val="Calibri"/>
        <scheme val="minor"/>
      </rPr>
      <t xml:space="preserve">WHERE </t>
    </r>
    <r>
      <rPr>
        <sz val="11"/>
        <color rgb="FF000000"/>
        <rFont val="Calibri"/>
        <scheme val="minor"/>
      </rPr>
      <t>AND ECONOM_JCAS_INT.E8727_COD_PERS IS NOT NULL OR JCA_ADICIO_T02.E2090_COD_PERS IS NOT NULL</t>
    </r>
  </si>
  <si>
    <t>JCA_ADICIO_T02</t>
  </si>
  <si>
    <t>NREMPFIJ</t>
  </si>
  <si>
    <t>Entity Identity Document</t>
  </si>
  <si>
    <t>ID</t>
  </si>
  <si>
    <t>Parties - Document</t>
  </si>
  <si>
    <t>PERS_DOCUMENTO_01
PERS_JCA_INT
TAT01_CLIENTES</t>
  </si>
  <si>
    <t>N\A
N\A
N\A
ZCLIENTE</t>
  </si>
  <si>
    <r>
      <rPr>
        <b/>
        <sz val="11"/>
        <color rgb="FF000000"/>
        <rFont val="Calibri"/>
        <scheme val="minor"/>
      </rPr>
      <t xml:space="preserve">SELECT </t>
    </r>
    <r>
      <rPr>
        <sz val="11"/>
        <color rgb="FF000000"/>
        <rFont val="Calibri"/>
        <scheme val="minor"/>
      </rPr>
      <t>LPAD( TAT01_CLIENTES.ZCLIENTE, 10, '0' )</t>
    </r>
  </si>
  <si>
    <t>PERS_DOCUMENTO -&gt; TAT01_CLIENTES</t>
  </si>
  <si>
    <t>CONCAT( TIPO_PER, COD_PERS1 ) -&gt; ZCLIENTE</t>
  </si>
  <si>
    <t>Document Type Code</t>
  </si>
  <si>
    <t>document_type_code</t>
  </si>
  <si>
    <t>Identifies type of the identification document.</t>
  </si>
  <si>
    <t>Código que identifica o tipo de documento de identificação.</t>
  </si>
  <si>
    <t>Document Type:
TIP_DOCUMENT -&gt; TAT91 - CTABELA 151; CURATED_INTERNAL_MAINFRAME_ESTRUTURAIS.TAT91_TABELAS - TAYD91C0_CTABELA 151</t>
  </si>
  <si>
    <t>Type of National Identifier</t>
  </si>
  <si>
    <t>PERS_DOCUMENTO_01
PERS_JCA_INT
TAT01_CLIENTES
TAT17_CTIPDOC</t>
  </si>
  <si>
    <t>E5015_ITIPDOCU 
N\A
N\A
N\A
CTIPDOC</t>
  </si>
  <si>
    <r>
      <rPr>
        <b/>
        <sz val="11"/>
        <color rgb="FF000000"/>
        <rFont val="Calibri"/>
        <scheme val="minor"/>
      </rPr>
      <t xml:space="preserve">SELECT </t>
    </r>
    <r>
      <rPr>
        <sz val="11"/>
        <color rgb="FF000000"/>
        <rFont val="Calibri"/>
        <scheme val="minor"/>
      </rPr>
      <t>IF( PERS_DOCUMENTO_01.E0515_ITIPDOCU IN ( '909', '910' ), CAST( PERS_DOCUMENTO_01.E0515_ITIPDOCU AS STRING ), CAST( TAT17_CTIPDOC.CTIPDOC AS STRING ) )</t>
    </r>
  </si>
  <si>
    <t>PERS_DOCUMENTO -&gt; TAT17_CTIPDOC</t>
  </si>
  <si>
    <t>ITIPDOCU -&gt; CTIPDOC</t>
  </si>
  <si>
    <t>Individual</t>
  </si>
  <si>
    <t>Parties - Individual</t>
  </si>
  <si>
    <t>CURATED_INTERNAL_MAINFRAME_CLIENTES
CURATED_INTERNAL_MAINFRAME_ESTRUTURAIS</t>
  </si>
  <si>
    <t>PERS_FISICA_INT
TAT01_CLIENTES</t>
  </si>
  <si>
    <t>N\A
ZCLIENTE</t>
  </si>
  <si>
    <r>
      <rPr>
        <b/>
        <sz val="11"/>
        <color rgb="FF000000"/>
        <rFont val="Calibri"/>
      </rPr>
      <t xml:space="preserve">SELECT </t>
    </r>
    <r>
      <rPr>
        <sz val="11"/>
        <color rgb="FF000000"/>
        <rFont val="Calibri"/>
      </rPr>
      <t>LPAD( TAT01_CLIENTES.ZCLIENTE, 10, '0' )</t>
    </r>
  </si>
  <si>
    <t>PERS_FISICA_INT -&gt; TAT01_CLIENTES</t>
  </si>
  <si>
    <t>Document Country Code</t>
  </si>
  <si>
    <t>document_country_code</t>
  </si>
  <si>
    <t>Identifies the country that issued the identification document.</t>
  </si>
  <si>
    <t>Código que identifica o país que emitiu o documento de identificação.</t>
  </si>
  <si>
    <t>Document Issue Country</t>
  </si>
  <si>
    <t>PERS_DOCUMENTO_01
PERS_JCA_INT
TAT01_CLIENTES
TAT03_PAISES</t>
  </si>
  <si>
    <t>N\A
N\A
N\A
N\A
CPAIS_S</t>
  </si>
  <si>
    <r>
      <rPr>
        <b/>
        <sz val="11"/>
        <color rgb="FF000000"/>
        <rFont val="Calibri"/>
        <scheme val="minor"/>
      </rPr>
      <t xml:space="preserve">SELECT </t>
    </r>
    <r>
      <rPr>
        <sz val="11"/>
        <color rgb="FF000000"/>
        <rFont val="Calibri"/>
        <scheme val="minor"/>
      </rPr>
      <t>TAT03_PAISES.CPAIS_S</t>
    </r>
  </si>
  <si>
    <t>PERS_DOCUMENTO -&gt; TAT03_PAISES</t>
  </si>
  <si>
    <t>CPAISDOC -&gt; CPAIS_S</t>
  </si>
  <si>
    <t>Document Number</t>
  </si>
  <si>
    <t>document_number</t>
  </si>
  <si>
    <t>Number of the identification document associated to the entity.</t>
  </si>
  <si>
    <t>Número do documento de identificação associado à entidade.</t>
  </si>
  <si>
    <t>E0515_CD_DOCUM
N\A
N\A
N\A</t>
  </si>
  <si>
    <r>
      <rPr>
        <b/>
        <sz val="11"/>
        <color rgb="FF000000"/>
        <rFont val="Calibri"/>
        <scheme val="minor"/>
      </rPr>
      <t xml:space="preserve">SELECT </t>
    </r>
    <r>
      <rPr>
        <sz val="11"/>
        <color rgb="FF000000"/>
        <rFont val="Calibri"/>
        <scheme val="minor"/>
      </rPr>
      <t>PERS_DOCUMENTO_01.E0515_CD_DOCUM</t>
    </r>
  </si>
  <si>
    <t>PERS_DOCUMENTO</t>
  </si>
  <si>
    <t>CD_DOCUM</t>
  </si>
  <si>
    <t>Document Issue Date</t>
  </si>
  <si>
    <t>document_issue_date</t>
  </si>
  <si>
    <t>Date in which the identification document was issued.</t>
  </si>
  <si>
    <t>Data em que o documento de identificação foi emitido.</t>
  </si>
  <si>
    <t>Document Effective Date</t>
  </si>
  <si>
    <t>E0515_FECH_INI
N\A
N\A
N\A</t>
  </si>
  <si>
    <r>
      <rPr>
        <b/>
        <sz val="11"/>
        <color rgb="FF000000"/>
        <rFont val="Calibri"/>
        <scheme val="minor"/>
      </rPr>
      <t xml:space="preserve">SELECT </t>
    </r>
    <r>
      <rPr>
        <sz val="11"/>
        <color rgb="FF000000"/>
        <rFont val="Calibri"/>
        <scheme val="minor"/>
      </rPr>
      <t>IF( TRIM( PERS_DOCUMENTO_01.E0515_FECH_INI ) = '', NULL, CAST( PERS_DOCUMENTO_01.E0515_FECH_INI AS STRING ) )</t>
    </r>
  </si>
  <si>
    <t>FECH_INI</t>
  </si>
  <si>
    <t>Document Expiration Date</t>
  </si>
  <si>
    <t>document_expiration_date</t>
  </si>
  <si>
    <t>Date in which the identification document expires.</t>
  </si>
  <si>
    <t>Data em que o documento de identificação expira.</t>
  </si>
  <si>
    <t>E0515_FECH_FIN
N\A
N\A
N\A</t>
  </si>
  <si>
    <r>
      <rPr>
        <b/>
        <sz val="11"/>
        <color rgb="FF000000"/>
        <rFont val="Calibri"/>
        <scheme val="minor"/>
      </rPr>
      <t xml:space="preserve">SELECT </t>
    </r>
    <r>
      <rPr>
        <sz val="11"/>
        <color rgb="FF000000"/>
        <rFont val="Calibri"/>
        <scheme val="minor"/>
      </rPr>
      <t>IF( TRIM( PERS_DOCUMENTO_01.E0515_FECH_FIN ) = '', NULL, CAST( PERS_DOCUMENTO_01.E0515_FECH_FIN AS STRING ) )</t>
    </r>
  </si>
  <si>
    <t>FECH_FIN</t>
  </si>
  <si>
    <r>
      <rPr>
        <b/>
        <sz val="11"/>
        <color rgb="FF000000"/>
        <rFont val="Calibri"/>
        <scheme val="minor"/>
      </rPr>
      <t xml:space="preserve">SELECT </t>
    </r>
    <r>
      <rPr>
        <sz val="11"/>
        <color rgb="FF000000"/>
        <rFont val="Calibri"/>
        <scheme val="minor"/>
      </rPr>
      <t>PERS_DOCUMENTO_01.DATA_DATE_PART</t>
    </r>
  </si>
  <si>
    <t>Entity Negative File</t>
  </si>
  <si>
    <t>Negative Files - Optional</t>
  </si>
  <si>
    <t>CLT61_CNINCID
PERS_JCA_INT
GDT01_CONTROLO
TAT01_CLIENTES</t>
  </si>
  <si>
    <r>
      <rPr>
        <b/>
        <sz val="11"/>
        <color rgb="FF000000"/>
        <rFont val="Calibri"/>
        <scheme val="minor"/>
      </rPr>
      <t xml:space="preserve">SELECT </t>
    </r>
    <r>
      <rPr>
        <sz val="11"/>
        <color rgb="FF000000"/>
        <rFont val="Calibri"/>
        <scheme val="minor"/>
      </rPr>
      <t xml:space="preserve">LPAD(CLT61_CNINCID.ZCLIENTE, 10, '0' )
</t>
    </r>
    <r>
      <rPr>
        <b/>
        <sz val="11"/>
        <color rgb="FF000000"/>
        <rFont val="Calibri"/>
        <scheme val="minor"/>
      </rPr>
      <t xml:space="preserve">WHERE </t>
    </r>
    <r>
      <rPr>
        <sz val="11"/>
        <color rgb="FF000000"/>
        <rFont val="Calibri"/>
        <scheme val="minor"/>
      </rPr>
      <t xml:space="preserve">CLT61_CNINCID.DSAIDA = '9999-12-31' AND CLT61_CNINCID.CEMPRESA = '31'
</t>
    </r>
  </si>
  <si>
    <t xml:space="preserve">CLT61_CNINCID </t>
  </si>
  <si>
    <t>Number of the identification document associated to the entity that is associated with a negative situation.</t>
  </si>
  <si>
    <t>Número do documento de identificação associado à entidade que está associada a uma situação negativa.</t>
  </si>
  <si>
    <t>CKDOCID
N\A
N\A
N\A</t>
  </si>
  <si>
    <r>
      <rPr>
        <b/>
        <sz val="11"/>
        <color rgb="FF000000"/>
        <rFont val="Calibri"/>
        <scheme val="minor"/>
      </rPr>
      <t xml:space="preserve">SELECT </t>
    </r>
    <r>
      <rPr>
        <sz val="11"/>
        <color rgb="FF000000"/>
        <rFont val="Calibri"/>
        <scheme val="minor"/>
      </rPr>
      <t xml:space="preserve">CLT61_CNINCID.CKDOCID
</t>
    </r>
    <r>
      <rPr>
        <b/>
        <sz val="11"/>
        <color rgb="FF000000"/>
        <rFont val="Calibri"/>
        <scheme val="minor"/>
      </rPr>
      <t>WHERE</t>
    </r>
    <r>
      <rPr>
        <sz val="11"/>
        <color rgb="FF000000"/>
        <rFont val="Calibri"/>
        <scheme val="minor"/>
      </rPr>
      <t xml:space="preserve"> CLT61_CNINCID.DSAIDA = '9999-12-31' AND CLT61_CNINCID.CEMPRESA = '31'</t>
    </r>
  </si>
  <si>
    <t>CKDOCID</t>
  </si>
  <si>
    <t>Identifies type of the identification document that associated to the entity and has a negative situation active.</t>
  </si>
  <si>
    <t>Código que identifica o tipo de documento de identificação associado à entidade que está numa situação negativa ativa.</t>
  </si>
  <si>
    <t>Document Type:
TAT91 - CTABELA 151; CURATED_INTERNAL_MAINFRAME_ESTRUTURAIS.TAT91_TABELAS - TAYD91C0_CTABELA 151</t>
  </si>
  <si>
    <t>IDENTDOC
N\A
N\A
N\A</t>
  </si>
  <si>
    <r>
      <rPr>
        <b/>
        <sz val="11"/>
        <color rgb="FF000000"/>
        <rFont val="Calibri"/>
        <scheme val="minor"/>
      </rPr>
      <t xml:space="preserve">SELECT </t>
    </r>
    <r>
      <rPr>
        <sz val="11"/>
        <color rgb="FF000000"/>
        <rFont val="Calibri"/>
        <scheme val="minor"/>
      </rPr>
      <t xml:space="preserve">CLT61_CNINCID.IDENTDOC
</t>
    </r>
    <r>
      <rPr>
        <b/>
        <sz val="11"/>
        <color rgb="FF000000"/>
        <rFont val="Calibri"/>
        <scheme val="minor"/>
      </rPr>
      <t xml:space="preserve">WHERE </t>
    </r>
    <r>
      <rPr>
        <sz val="11"/>
        <color rgb="FF000000"/>
        <rFont val="Calibri"/>
        <scheme val="minor"/>
      </rPr>
      <t>CLT61_CNINCID.DSAIDA = '9999-12-31' AND CLT61_CNINCID.CEMPRESA = '31'</t>
    </r>
  </si>
  <si>
    <t>IDENTDOC</t>
  </si>
  <si>
    <t>Document Type:
TAT91 - CTABELA 015; CURATED_INTERNAL_MAINFRAME_ESTRUTURAIS.TAT91_TABELAS - TAYD91C0_CTABELA 015</t>
  </si>
  <si>
    <t>CPAIS
N\A
N\A
N\A</t>
  </si>
  <si>
    <r>
      <rPr>
        <b/>
        <sz val="11"/>
        <color rgb="FF000000"/>
        <rFont val="Calibri"/>
        <scheme val="minor"/>
      </rPr>
      <t xml:space="preserve">SELECT </t>
    </r>
    <r>
      <rPr>
        <sz val="11"/>
        <color rgb="FF000000"/>
        <rFont val="Calibri"/>
        <scheme val="minor"/>
      </rPr>
      <t xml:space="preserve">CLT61_CNINCID.CPAIS
</t>
    </r>
    <r>
      <rPr>
        <b/>
        <sz val="11"/>
        <color rgb="FF000000"/>
        <rFont val="Calibri"/>
        <scheme val="minor"/>
      </rPr>
      <t xml:space="preserve">WHERE </t>
    </r>
    <r>
      <rPr>
        <sz val="11"/>
        <color rgb="FF000000"/>
        <rFont val="Calibri"/>
        <scheme val="minor"/>
      </rPr>
      <t>CLT61_CNINCID.DSAIDA = '9999-12-31' AND CLT61_CNINCID.CEMPRESA = '31'</t>
    </r>
  </si>
  <si>
    <t>Negative Code</t>
  </si>
  <si>
    <t>negative_code</t>
  </si>
  <si>
    <t>Identifies the negative situation associated with the identificattion document.</t>
  </si>
  <si>
    <t>Código que identifica a situação negativa associada ao documento de identificação.</t>
  </si>
  <si>
    <t>Negative Code:
TAT91 - CTABELA 177; CURATED_INTERNAL_MAINFRAME_ESTRUTURAIS.TAT91_TABELAS - TAYD91C0_CTABELA 177</t>
  </si>
  <si>
    <t>CODINCID
N\A
N\A
N\A</t>
  </si>
  <si>
    <r>
      <rPr>
        <b/>
        <sz val="11"/>
        <color rgb="FF000000"/>
        <rFont val="Calibri"/>
        <scheme val="minor"/>
      </rPr>
      <t xml:space="preserve">SELECT </t>
    </r>
    <r>
      <rPr>
        <sz val="11"/>
        <color rgb="FF000000"/>
        <rFont val="Calibri"/>
        <scheme val="minor"/>
      </rPr>
      <t xml:space="preserve">CLT61_CNINCID.CODINCID
</t>
    </r>
    <r>
      <rPr>
        <b/>
        <sz val="11"/>
        <color rgb="FF000000"/>
        <rFont val="Calibri"/>
        <scheme val="minor"/>
      </rPr>
      <t xml:space="preserve">WHERE </t>
    </r>
    <r>
      <rPr>
        <sz val="11"/>
        <color rgb="FF000000"/>
        <rFont val="Calibri"/>
        <scheme val="minor"/>
      </rPr>
      <t>CLT61_CNINCID.DSAIDA = '9999-12-31' AND CLT61_CNINCID.CEMPRESA = '31'</t>
    </r>
  </si>
  <si>
    <t>CODINCID</t>
  </si>
  <si>
    <t>Int Inf - Clt Inf - Date</t>
  </si>
  <si>
    <t>Date in which the Negative File situation started.</t>
  </si>
  <si>
    <t>Data em que se iniciou a situação negativa.</t>
  </si>
  <si>
    <t>DENTRADA
N\A
N\A
N\A</t>
  </si>
  <si>
    <r>
      <rPr>
        <b/>
        <sz val="11"/>
        <color rgb="FF000000"/>
        <rFont val="Calibri"/>
        <scheme val="minor"/>
      </rPr>
      <t xml:space="preserve">SELECT </t>
    </r>
    <r>
      <rPr>
        <sz val="11"/>
        <color rgb="FF000000"/>
        <rFont val="Calibri"/>
        <scheme val="minor"/>
      </rPr>
      <t xml:space="preserve">CLT61_CNINCID.DENTRADA
</t>
    </r>
    <r>
      <rPr>
        <b/>
        <sz val="11"/>
        <color rgb="FF000000"/>
        <rFont val="Calibri"/>
        <scheme val="minor"/>
      </rPr>
      <t xml:space="preserve">WHERE </t>
    </r>
    <r>
      <rPr>
        <sz val="11"/>
        <color rgb="FF000000"/>
        <rFont val="Calibri"/>
        <scheme val="minor"/>
      </rPr>
      <t>CLT61_CNINCID.DSAIDA = '9999-12-31' AND CLT61_CNINCID.CEMPRESA = '31'</t>
    </r>
  </si>
  <si>
    <t>DENTRADA</t>
  </si>
  <si>
    <r>
      <rPr>
        <b/>
        <sz val="11"/>
        <color rgb="FF000000"/>
        <rFont val="Calibri"/>
        <scheme val="minor"/>
      </rPr>
      <t xml:space="preserve">SELECT </t>
    </r>
    <r>
      <rPr>
        <sz val="11"/>
        <color rgb="FF000000"/>
        <rFont val="Calibri"/>
        <scheme val="minor"/>
      </rPr>
      <t xml:space="preserve">CLT61_CNINCID.DATA_DATE_PART
</t>
    </r>
    <r>
      <rPr>
        <b/>
        <sz val="11"/>
        <color rgb="FF000000"/>
        <rFont val="Calibri"/>
        <scheme val="minor"/>
      </rPr>
      <t xml:space="preserve">WHERE </t>
    </r>
    <r>
      <rPr>
        <sz val="11"/>
        <color rgb="FF000000"/>
        <rFont val="Calibri"/>
        <scheme val="minor"/>
      </rPr>
      <t>CLT61_CNINCID.DSAIDA = '9999-12-31' AND CLT61_CNINCID.CEMPRESA = '31'</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</si>
  <si>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CLT61_CNINCID.DSAIDA = '9999-12-31' AND CLT61_CNINCID.CEMPRESA = '31'</t>
    </r>
  </si>
  <si>
    <t>Entity Segment</t>
  </si>
  <si>
    <t>MC_CLIENTE
TAT01_CLIENTES</t>
  </si>
  <si>
    <r>
      <rPr>
        <b/>
        <sz val="11"/>
        <color rgb="FF000000"/>
        <rFont val="Calibri"/>
        <scheme val="minor"/>
      </rPr>
      <t xml:space="preserve">SELECT </t>
    </r>
    <r>
      <rPr>
        <sz val="11"/>
        <color rgb="FF000000"/>
        <rFont val="Calibri"/>
        <scheme val="minor"/>
      </rPr>
      <t>LPAD(TAT01_CLIENTES.ZCLIENTE, 10, '0')</t>
    </r>
  </si>
  <si>
    <t>MC_CLIENTE -&gt; TAT01_CLIENTES</t>
  </si>
  <si>
    <t>Segment Type Code</t>
  </si>
  <si>
    <t>segment_type_code</t>
  </si>
  <si>
    <t>Code of the segment type to be considered.</t>
  </si>
  <si>
    <t>Código do tipo de segmente a ser considerado.</t>
  </si>
  <si>
    <t>Segment:
MC_TIPO; CURATED_INTERNAL_,MAINFRAME_CLIENTES.MC_TIPO</t>
  </si>
  <si>
    <t>Commercial Segment</t>
  </si>
  <si>
    <t>O3647_CODTIP
N\A
N\A
N\A</t>
  </si>
  <si>
    <r>
      <rPr>
        <b/>
        <sz val="11"/>
        <color rgb="FF000000"/>
        <rFont val="Calibri"/>
        <scheme val="minor"/>
      </rPr>
      <t xml:space="preserve">SELECT </t>
    </r>
    <r>
      <rPr>
        <sz val="11"/>
        <color rgb="FF000000"/>
        <rFont val="Calibri"/>
        <scheme val="minor"/>
      </rPr>
      <t>LPAD(</t>
    </r>
    <r>
      <rPr>
        <b/>
        <sz val="11"/>
        <color rgb="FF000000"/>
        <rFont val="Calibri"/>
        <scheme val="minor"/>
      </rPr>
      <t xml:space="preserve"> </t>
    </r>
    <r>
      <rPr>
        <sz val="11"/>
        <color rgb="FF000000"/>
        <rFont val="Calibri"/>
        <scheme val="minor"/>
      </rPr>
      <t>MC_CLIENTE.O3647_CODTIP, 3, '0' )</t>
    </r>
  </si>
  <si>
    <t>MC_CLIENTE</t>
  </si>
  <si>
    <t>CODTIP</t>
  </si>
  <si>
    <t>Segment Code</t>
  </si>
  <si>
    <t>segment_code</t>
  </si>
  <si>
    <t>Classification code of the segment reggarding its segment type.</t>
  </si>
  <si>
    <t>Código de classificação do segmento independentemente do tipo de segmento.</t>
  </si>
  <si>
    <t>Subsegment:
MC_SUB_TIPO; CURATED_INTERNAL_,MAINFRAME_CLIENTES.MC_SUB_TIPO</t>
  </si>
  <si>
    <t>Commercial Subsegment</t>
  </si>
  <si>
    <t>O3647_CODSTIP
N\A
N\A
N\A</t>
  </si>
  <si>
    <r>
      <rPr>
        <b/>
        <sz val="11"/>
        <color rgb="FF000000"/>
        <rFont val="Calibri"/>
        <scheme val="minor"/>
      </rPr>
      <t xml:space="preserve">SELECT </t>
    </r>
    <r>
      <rPr>
        <sz val="11"/>
        <color rgb="FF000000"/>
        <rFont val="Calibri"/>
        <scheme val="minor"/>
      </rPr>
      <t>LPAD(</t>
    </r>
    <r>
      <rPr>
        <b/>
        <sz val="11"/>
        <color rgb="FF000000"/>
        <rFont val="Calibri"/>
        <scheme val="minor"/>
      </rPr>
      <t xml:space="preserve"> </t>
    </r>
    <r>
      <rPr>
        <sz val="11"/>
        <color rgb="FF000000"/>
        <rFont val="Calibri"/>
        <scheme val="minor"/>
      </rPr>
      <t>MC_CLIENTE.O3647_CODSTIP, 3, '0' )</t>
    </r>
  </si>
  <si>
    <t>CODSTIP</t>
  </si>
  <si>
    <r>
      <rPr>
        <b/>
        <sz val="11"/>
        <color rgb="FF000000"/>
        <rFont val="Calibri"/>
        <scheme val="minor"/>
      </rPr>
      <t xml:space="preserve">SELECT </t>
    </r>
    <r>
      <rPr>
        <sz val="11"/>
        <color rgb="FF000000"/>
        <rFont val="Calibri"/>
        <scheme val="minor"/>
      </rPr>
      <t>MC_CLIENTE.DATA_DATE_PART</t>
    </r>
  </si>
  <si>
    <t>Entity Tax Residence Country</t>
  </si>
  <si>
    <t>Parties - Tax Residence Countries</t>
  </si>
  <si>
    <t>PS_PAI_ADI_TRIB
PERS_JCA_INT
GDT01_CONTROLO
TAT01_CLIENTES</t>
  </si>
  <si>
    <t>PS_PAI_ADI_TRIB -&gt; TAT01_CLIENTES</t>
  </si>
  <si>
    <t>Identifies the country where the client pays taxes.</t>
  </si>
  <si>
    <t>Código que identifica o país onde o cliente paga impostos.</t>
  </si>
  <si>
    <t>Country of Residence</t>
  </si>
  <si>
    <t>PS_PAI_ADI_TRIB
PERS_JCA_INT
GDT01_CONTROLO
TAT03_PAISES</t>
  </si>
  <si>
    <t>N\A
N\A
N\A
CPAIS_S</t>
  </si>
  <si>
    <t>PS_PAI_ADI_TRIB -&gt; TAT03_PAISES</t>
  </si>
  <si>
    <t>Date when the tax residency started .</t>
  </si>
  <si>
    <t>Data de início do domicílio fiscal .</t>
  </si>
  <si>
    <t>N1420_FEULTACT
N\A
N\A
N\A</t>
  </si>
  <si>
    <r>
      <rPr>
        <b/>
        <sz val="11"/>
        <color rgb="FF000000"/>
        <rFont val="Calibri"/>
        <scheme val="minor"/>
      </rPr>
      <t xml:space="preserve">SELECT </t>
    </r>
    <r>
      <rPr>
        <sz val="11"/>
        <color rgb="FF000000"/>
        <rFont val="Calibri"/>
        <scheme val="minor"/>
      </rPr>
      <t xml:space="preserve">IF(TRIM( PS_PAI_ADI_TRIB.N1420_FEULTACT ) = '', NULL, PS_PAI_ADI_TRIB.N1420_FEULTACT )
</t>
    </r>
    <r>
      <rPr>
        <b/>
        <sz val="11"/>
        <color rgb="FF000000"/>
        <rFont val="Calibri"/>
        <scheme val="minor"/>
      </rPr>
      <t xml:space="preserve">SELECT </t>
    </r>
    <r>
      <rPr>
        <sz val="11"/>
        <color rgb="FF000000"/>
        <rFont val="Calibri"/>
        <scheme val="minor"/>
      </rPr>
      <t>NULL</t>
    </r>
  </si>
  <si>
    <t>PS_PAI_ADI_TRIB</t>
  </si>
  <si>
    <t>FEULTACT</t>
  </si>
  <si>
    <t>DATA_DATE_PART
DATA_DATE_PART
N\A
N\A</t>
  </si>
  <si>
    <r>
      <rPr>
        <b/>
        <sz val="11"/>
        <color rgb="FF000000"/>
        <rFont val="Calibri"/>
        <scheme val="minor"/>
      </rPr>
      <t xml:space="preserve">SELECT </t>
    </r>
    <r>
      <rPr>
        <sz val="11"/>
        <color rgb="FF000000"/>
        <rFont val="Calibri"/>
        <scheme val="minor"/>
      </rPr>
      <t xml:space="preserve">PS_PAI_ADI_TRIB.DATA_DATE_PART
</t>
    </r>
    <r>
      <rPr>
        <b/>
        <sz val="11"/>
        <color rgb="FF000000"/>
        <rFont val="Calibri"/>
        <scheme val="minor"/>
      </rPr>
      <t xml:space="preserve">SELECT </t>
    </r>
    <r>
      <rPr>
        <sz val="11"/>
        <color rgb="FF000000"/>
        <rFont val="Calibri"/>
        <scheme val="minor"/>
      </rPr>
      <t>PERS_JCA_INT.DATA_DATE_PART</t>
    </r>
  </si>
  <si>
    <t>Individual´s complete name.</t>
  </si>
  <si>
    <t>Nome completo da pessoa.</t>
  </si>
  <si>
    <t>Individuals - Identification</t>
  </si>
  <si>
    <t>E2073_NOMPER70, E2073_APE_PRIN
N\A</t>
  </si>
  <si>
    <r>
      <rPr>
        <b/>
        <sz val="11"/>
        <color rgb="FF000000"/>
        <rFont val="Calibri"/>
      </rPr>
      <t xml:space="preserve">SELECT </t>
    </r>
    <r>
      <rPr>
        <sz val="11"/>
        <color rgb="FF000000"/>
        <rFont val="Calibri"/>
      </rPr>
      <t>IF( TRIM( CONCAT( PERS_FISICA_INT.E2073_NOMPER70, PERS_FISICA_INT.E2073_APE_PRIN ) ) = '', NULL, CONCAT( PERS_FISICA_INT.E2073_NOMPER70, ' ', PERS_FISICA_INT.E2073_APE_PRIN ) )</t>
    </r>
  </si>
  <si>
    <t>PERS_FISICA_INT</t>
  </si>
  <si>
    <t>CONCAT( NOMPER70, APE_PRIN )</t>
  </si>
  <si>
    <t>First Name</t>
  </si>
  <si>
    <t>first_name</t>
  </si>
  <si>
    <t>Individual´s first name.</t>
  </si>
  <si>
    <t>Nome próprio da pessoa.</t>
  </si>
  <si>
    <t>Party First Name</t>
  </si>
  <si>
    <t>E2073_NOMPER70
N\A</t>
  </si>
  <si>
    <r>
      <rPr>
        <b/>
        <sz val="11"/>
        <color rgb="FF000000"/>
        <rFont val="Calibri"/>
      </rPr>
      <t xml:space="preserve">SELECT </t>
    </r>
    <r>
      <rPr>
        <sz val="11"/>
        <color rgb="FF000000"/>
        <rFont val="Calibri"/>
      </rPr>
      <t>CASE
    WHEN CHARINDEX( ' ', LTRIM( RTRIM( PERS_FISICA_INT.E2073_NOMPER70 ) ) ) = 0 THEN PERS_FISICA_INT.E2073_NOMPER70
    WHEN TRIM( SUBSTRING( PERS_FISICA_INT.E2073_NOMPER70, 1, CHARINDEX( ' ', PERS_FISICA_INT.E2073_NOMPER70 ) - 1 ) ) = '' THEN NULL
    WHEN CHARINDEX( ' ', LTRIM( RTRIM( PERS_FISICA_INT.E2073_NOMPER70 ) ) ) &gt; 0 THEN SUBSTRING( PERS_FISICA_INT.E2073_NOMPER70, 1, CHARINDEX( ' ', PERS_FISICA_INT.E2073_NOMPER70 ) - 1 )
    ELSE NULL</t>
    </r>
  </si>
  <si>
    <t>NOMPER70</t>
  </si>
  <si>
    <t>Last Name</t>
  </si>
  <si>
    <t>last_name</t>
  </si>
  <si>
    <t>Individual´s family name.</t>
  </si>
  <si>
    <t>Nome de família da pessoa.</t>
  </si>
  <si>
    <t>Party Family Name</t>
  </si>
  <si>
    <t>E2073_APE_PRIN
N\A</t>
  </si>
  <si>
    <r>
      <rPr>
        <b/>
        <sz val="11"/>
        <color rgb="FF000000"/>
        <rFont val="Calibri"/>
      </rPr>
      <t xml:space="preserve">SELECT </t>
    </r>
    <r>
      <rPr>
        <sz val="11"/>
        <color rgb="FF000000"/>
        <rFont val="Calibri"/>
      </rPr>
      <t>IF( TRIM( PERS_FISICA_INT.E2073_APE_PRIN ) = '', NULL, PERS_FISICA_INT.E2073_APE_PRIN )</t>
    </r>
  </si>
  <si>
    <t>APE_PRIN</t>
  </si>
  <si>
    <t>Gender Code</t>
  </si>
  <si>
    <t>gender_code</t>
  </si>
  <si>
    <t>Code for the client's gender. For example, male, female, etc.</t>
  </si>
  <si>
    <t>Código do género do cliente. Por exemplo, masculino, feminino, etc.</t>
  </si>
  <si>
    <t>Gender:
TIP_SEXO -&gt; TAT91 - CTABELA H89; CURATED_INTERNAL_MAINFRAME_ESTRUTURAIS.TAT91_TABELAS - TAYD91C0_CTABELA H89</t>
  </si>
  <si>
    <t>Gender</t>
  </si>
  <si>
    <t>CURATED_INTERNAL_MAINFRAME_CLIENTES
CURATED_INTERNAL_MAINFRAME_ESTRUTURAIS
CURATED_INTERNAL_MAINFRAME_ESTRUTURAIS</t>
  </si>
  <si>
    <t>PERS_FISICA_INT
TAT01_CLIENTES
TAT05_SEXO</t>
  </si>
  <si>
    <t>N\A
N\A
ISEXO</t>
  </si>
  <si>
    <r>
      <rPr>
        <b/>
        <sz val="11"/>
        <color rgb="FF000000"/>
        <rFont val="Calibri"/>
      </rPr>
      <t xml:space="preserve">SELECT </t>
    </r>
    <r>
      <rPr>
        <sz val="11"/>
        <color rgb="FF000000"/>
        <rFont val="Calibri"/>
      </rPr>
      <t>IF( TRIM( TAT05_SEXO.ISEXO ) = '', NULL, TAT05_SEXO.ISEXO )</t>
    </r>
  </si>
  <si>
    <t>PERS_FISICA_INT -&gt; TAT05_SEXO</t>
  </si>
  <si>
    <t>SEXO -&gt; ISEXO</t>
  </si>
  <si>
    <t>Civil Status Code</t>
  </si>
  <si>
    <t>civil_status_code</t>
  </si>
  <si>
    <t>Indentifies the marital \ civil status of the individual. For example, single, married, etc.</t>
  </si>
  <si>
    <t>Código que identifica o estado civil do cliente. Por exemplo, solteiro, casado, etc.</t>
  </si>
  <si>
    <t>Civil Status:
TIP_ESTCIVIL -&gt; TAT91 - CTABELA 153; CURATED_INTERNAL_MAINFRAME_ESTRUTURAIS.TAT91_TABELAS - TAYD91C0_CTABELA 153</t>
  </si>
  <si>
    <t>Marital Status</t>
  </si>
  <si>
    <t>PERS_FISICA_INT
TAT01_CLIENTES
TAT02_ESTCIVIL</t>
  </si>
  <si>
    <t>N\A
N\A
CESTCIV</t>
  </si>
  <si>
    <r>
      <rPr>
        <b/>
        <sz val="11"/>
        <color rgb="FF000000"/>
        <rFont val="Calibri"/>
      </rPr>
      <t xml:space="preserve">SELECT </t>
    </r>
    <r>
      <rPr>
        <sz val="11"/>
        <color rgb="FF000000"/>
        <rFont val="Calibri"/>
      </rPr>
      <t>IF( TRIM( TAT02_ESTCIVIL.CESTCIV ) = '', NULL, TAT02_ESTCIVIL.CESTCIV )</t>
    </r>
  </si>
  <si>
    <t>PERS_FISICA_INT -&gt; TAT02_ESTCIVIL</t>
  </si>
  <si>
    <t>TIPESTCI -&gt; CESTCIV</t>
  </si>
  <si>
    <t>Birth Country Code</t>
  </si>
  <si>
    <t>birth_country_code</t>
  </si>
  <si>
    <t>Identifies the county of birth of the individual.</t>
  </si>
  <si>
    <t>Código que identifica o país de nascimento da pessoa.</t>
  </si>
  <si>
    <t>Country:
PAIS -&gt; TAT91 CTABELA - 015; CURATED_INTERNAL_MAINFRAME_ESTRUTURAIS.TAT91_TABELAS - TAYD91C0_CTABELA 015</t>
  </si>
  <si>
    <t>Parties - Individual
Parties - Individual</t>
  </si>
  <si>
    <t>Country of Birth
Minor Indicator</t>
  </si>
  <si>
    <t>PERS_FISICA_INT
TAT01_CLIENTES
TAT03_PAISES</t>
  </si>
  <si>
    <t>N\A
N\A
CPAIS_S</t>
  </si>
  <si>
    <r>
      <rPr>
        <b/>
        <sz val="11"/>
        <color rgb="FF000000"/>
        <rFont val="Calibri"/>
      </rPr>
      <t xml:space="preserve">SELECT </t>
    </r>
    <r>
      <rPr>
        <sz val="11"/>
        <color rgb="FF000000"/>
        <rFont val="Calibri"/>
      </rPr>
      <t>IF( TRIM( TAT03_PAISES.CPAIS_S ) = '', NULL, TAT03_PAISES.CPAIS_S )</t>
    </r>
  </si>
  <si>
    <t>PERS_FISICA_INT -&gt; TAT03_PAIS</t>
  </si>
  <si>
    <t>CODPAIS -&gt; CPAIS_S</t>
  </si>
  <si>
    <t>Date of Birth</t>
  </si>
  <si>
    <t>birth_date</t>
  </si>
  <si>
    <t>Ext Inf - Clt Gen Inf - Date</t>
  </si>
  <si>
    <t>Client's birth date.</t>
  </si>
  <si>
    <t>Data de nascimento do cliente.</t>
  </si>
  <si>
    <t>E2073_FEC_NACIM
N\A</t>
  </si>
  <si>
    <r>
      <rPr>
        <b/>
        <sz val="11"/>
        <color rgb="FF000000"/>
        <rFont val="Calibri"/>
      </rPr>
      <t xml:space="preserve">SELECT </t>
    </r>
    <r>
      <rPr>
        <sz val="11"/>
        <color rgb="FF000000"/>
        <rFont val="Calibri"/>
      </rPr>
      <t>IF( TRIM( PERS_FISICA_INT.E2073_FEC_NACIM ) = '', NULL, PERS_FISICA_INT.E2073_FEC_NACIM )</t>
    </r>
  </si>
  <si>
    <t>FEC_NACIM</t>
  </si>
  <si>
    <t>Physical Disability Indicator</t>
  </si>
  <si>
    <t>physical_disability_ind</t>
  </si>
  <si>
    <t>Ext Inf - Clt Gen Inf - Ind</t>
  </si>
  <si>
    <t>Indicates if the client is legally confirmed as owner of a physical disability.</t>
  </si>
  <si>
    <t>Indica se está confirmado legalmente que o cliente é portador de alguma deficiência fisica.</t>
  </si>
  <si>
    <t>Disabled Indicator</t>
  </si>
  <si>
    <t>CURATED_INTERNAL_MAINFRAME_CLIENTES
CURATED_INTERNAL_MAINFRAME_CLIENTES
CURATED_INTERNAL_MAINFRAME_ESTRUTURAIS
COMMON_REFERENCEDATA_CORE</t>
  </si>
  <si>
    <t>PERS_FISICA_INT
PS_MINUSVALIA
TAT01_CLIENTES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</si>
  <si>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PS_MINUSVALIA.DEFE_INDMINUS = 'F' AND PS_MINUSVALIA.DEFE_FECFIN = '9999-12-31' 
    AND PARAM_GENERAL_CODE_CONVERTER.SOURCE_CODE = 'CL' AND PARAM_GENERAL_CODE_CONVERTER.TARGET_FIELD = 'physical_disability_ind' AND PARAM_GENERAL_CODE_CONVERTER.SOURCE_VALUE = '' AND PARAM_GENERAL_CODE_CONVERTER.OPTION_NUMBER = IF(PS_MINUSVALIA.DEFE_CODPERS IS NULL, 1, 2)</t>
    </r>
  </si>
  <si>
    <t>PS_MINUSVALIA</t>
  </si>
  <si>
    <t>INDMINUS</t>
  </si>
  <si>
    <t>Psychological Disability Indicator</t>
  </si>
  <si>
    <t>psycological_disability_ind</t>
  </si>
  <si>
    <t>Indicates if the client is legally confirmed as owner of a psychological disability.</t>
  </si>
  <si>
    <t>Indica se está confirmado legalmente que o cliente é portador de alguma deficiência psicológica.</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</si>
  <si>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PS_MINUSVALIA.DEFE_INDMINUS = 'P' AND PS_MINUSVALIA.DEFE_FECFIN = '9999-12-31' 
    AND PARAM_GENERAL_CODE_CONVERTER.SOURCE_CODE = 'CL' AND PARAM_GENERAL_CODE_CONVERTER.TARGET_FIELD = 'psycological_disability_ind' AND PARAM_GENERAL_CODE_CONVERTER.SOURCE_VALUE = '' AND PARAM_GENERAL_CODE_CONVERTER.OPTION_NUMBER = IF(PS_MINUSVALIA.DEFE_CODPERS IS NULL, 1, 2)</t>
    </r>
  </si>
  <si>
    <t>Residence Country Code</t>
  </si>
  <si>
    <t>residence_country_code</t>
  </si>
  <si>
    <t>Code for the country of residence.</t>
  </si>
  <si>
    <t>Código do país de residência do cliente.</t>
  </si>
  <si>
    <t>Parties - Individual
Parties - Entity</t>
  </si>
  <si>
    <t>Country of Residence
Country of Residence</t>
  </si>
  <si>
    <t>PAISRESI -&gt; CPAIS_S</t>
  </si>
  <si>
    <t>Ext Inf - Clt Fiscal Inf - Ind</t>
  </si>
  <si>
    <t>Indicates if the individual reports to the FACTA regulation.</t>
  </si>
  <si>
    <t>Identificador que indica se a pessoa reporta segundo a regulamentação FACTA.</t>
  </si>
  <si>
    <t>PERS_FISICA_INT
CLIENTE_SEGMEN2
TAT01_CLIENTES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</si>
  <si>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CLIENTE_SEGMEN2.E0840_FECBAJ = '9999-12-31' AND CLIENTE_SEGMEN2.E0840_CDSEGMEN = '10' AND CLIENTE_SEGMEN2.E0840_CODSEG IN ( 'RC', 'US' )
    AND PARAM_GENERAL_CODE_CONVERTER.SOURCE_CODE = 'CL' AND PARAM_GENERAL_CODE_CONVERTER.TARGET_FIELD = 'fatca_reporting_ind' AND PARAM_GENERAL_CODE_CONVERTER.SOURCE_VALUE = '' AND PARAM_GENERAL_CODE_CONVERTER.OPTION_NUMBER = PARAM_GENERAL_CODE_CONVERTER.OPTION_NUMBER = IF(CLIENTE_SEGMEN2.E0840_CODSEG IS NULL, 1, 2)</t>
    </r>
  </si>
  <si>
    <t>Indicates if the individual reports to the CRS regulation.</t>
  </si>
  <si>
    <t>Identificador que indica se a pessoa reporta segundo a regulamentação CRS.</t>
  </si>
  <si>
    <t>PERS_FISICA_INT
CRS_CLASSIF
TAT01_CLIENTES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</si>
  <si>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MAX( CRS_CLASSIF.R4804_NR_SEQ ) GROUP BY CRS_CLASSIF.R4084_COD_PERS, CRS_CLASSIF.R4084_TIPO_PERS AND CRS_CLASSIF.R4084_FEC_CLAS_FIM = '9999-12-31'
    AND PARAM_GENERAL_CODE_CONVERTER.SOURCE_CODE = 'CL' AND PARAM_GENERAL_CODE_CONVERTER.TARGET_FIELD = 'crs_reporting_ind' AND PARAM_GENERAL_CODE_CONVERTER.SOURCE_VALUE = '' AND PARAM_GENERAL_CODE_CONVERTER.OPTION_NUMBER = IF(CRS_CLASSIF.R4084_COD_PERS IS NULL, 1, 2)</t>
    </r>
  </si>
  <si>
    <t>Self-Employed Indicator</t>
  </si>
  <si>
    <t>self_employed_indicator</t>
  </si>
  <si>
    <t>Ext Inf - Clt Occup Inf - Ind</t>
  </si>
  <si>
    <t>Indicates whether the party is self-employed or not.</t>
  </si>
  <si>
    <t>Indica se o cliente trabalha por conta própria.</t>
  </si>
  <si>
    <t>PERS_FISICA_INT
MC_CLIENTE
TAT01_CLIENTES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</si>
  <si>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WHERE</t>
    </r>
    <r>
      <rPr>
        <sz val="11"/>
        <color rgb="FF000000"/>
        <rFont val="Calibri"/>
      </rPr>
      <t xml:space="preserve"> MC_CLIENTE.O3647_CODTIP = '108' AND MC_CLIENTE.O3647_CODSTIP = '181'
    AND PARAM_GENERAL_CODE_CONVERTER.SOURCE_CODE = 'CL' AND PARAM_GENERAL_CODE_CONVERTER.TARGET_FIELD = 'self_employed_indicator' AND PARAM_GENERAL_CODE_CONVERTER.SOURCE_VALUE = '' AND PARAM_GENERAL_CODE_CONVERTER.OPTION_NUMBER = IF(MC_CLIENTE.O3647_CODPERS IS NULL, 1, 2)</t>
    </r>
  </si>
  <si>
    <t>PEP Indicator</t>
  </si>
  <si>
    <t>pep_indicator</t>
  </si>
  <si>
    <t>Indicates if the individual is marked as a Politically Exposed Person).</t>
  </si>
  <si>
    <t>Indica se a pessoa está marcada como Pessoa Politicamente Exposta.</t>
  </si>
  <si>
    <t>PERS_FISICA_INT
CLT45_FCLI
TAT01_CLIENTES
PARAM_GENERAL_CODE_CONVERTER</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</si>
  <si>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PARAM_GENERAL_CODE_CONVERTER.SOURCE_CODE = 'CL' AND PARAM_GENERAL_CODE_CONVERTER.TARGET_FIELD = 'pep_indicator' AND PARAM_GENERAL_CODE_CONVERTER.SOURCE_VALUE = CLT45_FCLI.ICLIPEP AND PARAM_GENERAL_CODE_CONVERTER.OPTION_NUMBER = 1</t>
    </r>
  </si>
  <si>
    <t>ICLIPEP</t>
  </si>
  <si>
    <t>PEP Type Code</t>
  </si>
  <si>
    <t>pep_type_code</t>
  </si>
  <si>
    <t>Ext Inf - Clt Occup Inf - Code</t>
  </si>
  <si>
    <t>Represents the type of PEP, if applicable.</t>
  </si>
  <si>
    <t>Código que representa o tipo de PEP, se aplicável.</t>
  </si>
  <si>
    <t>PEP Type</t>
  </si>
  <si>
    <t>CURATED_INTERNAL_MAINFRAME_CLIENTES
CURATED_INTERNAL_MAINFRAME_CLIENTES
CURATED_INTERNAL_MAINFRAME_ESTRUTURAIS</t>
  </si>
  <si>
    <t>PERS_FISICA_INT
CLT45_FCLI
TAT01_CLIENTES</t>
  </si>
  <si>
    <t>N\A
CCARPEP
N\A</t>
  </si>
  <si>
    <r>
      <rPr>
        <b/>
        <sz val="11"/>
        <color rgb="FF000000"/>
        <rFont val="Calibri"/>
      </rPr>
      <t xml:space="preserve">SELECT </t>
    </r>
    <r>
      <rPr>
        <sz val="11"/>
        <color rgb="FF000000"/>
        <rFont val="Calibri"/>
      </rPr>
      <t>IF( TRIM( CLT45_FCLI.CCARPEP ) = '', NULL, CLT45_FCLI.CCARPEP )</t>
    </r>
  </si>
  <si>
    <t>CCARPEP</t>
  </si>
  <si>
    <t>Occupation Category Code</t>
  </si>
  <si>
    <t>occupation_category</t>
  </si>
  <si>
    <t>Int Inf - Clt Inf - Code</t>
  </si>
  <si>
    <t>Identifies the category of the occupation (job) of the individual.</t>
  </si>
  <si>
    <t>Identifica a categoria da atividade profissional (emprego) da pessoa singular.</t>
  </si>
  <si>
    <t>Occupation Category:
TIP_SWTRABAJO -&gt; TAT91 - CTABELA K91; CURATED_INTERNAL_MAINFRAME_ESTRUTURAIS.TAT91_TABELAS - TAYD91C0_CTABELA K91</t>
  </si>
  <si>
    <t>Job category</t>
  </si>
  <si>
    <t>E2073_SWTRABJ
N\A</t>
  </si>
  <si>
    <r>
      <rPr>
        <b/>
        <sz val="11"/>
        <color rgb="FF000000"/>
        <rFont val="Calibri"/>
      </rPr>
      <t xml:space="preserve">SELECT </t>
    </r>
    <r>
      <rPr>
        <sz val="11"/>
        <color rgb="FF000000"/>
        <rFont val="Calibri"/>
      </rPr>
      <t>IF( TRIM( PERS_FISICA_INT.E2073_SWTRABJ ) = '', NULL, PERS_FISICA_INT.E2073_SWTRABJ )</t>
    </r>
  </si>
  <si>
    <t>SWTRABJ</t>
  </si>
  <si>
    <t>Occupation Code</t>
  </si>
  <si>
    <t>occupation_code</t>
  </si>
  <si>
    <t>Ext Inf - Clt Occup Inf - Value</t>
  </si>
  <si>
    <t>Identifies the occupation (job) of the individual.</t>
  </si>
  <si>
    <t>Código que identifica a ocupação (emprego) da pessoa.</t>
  </si>
  <si>
    <t>Occupation:
CNO94 -&gt; TAT91 - CTABELA 161 (NELEM05); CURATED_INTERNAL_MAINFRAME_ESTRUTURAIS.TAT91_TABELAS - TAYD91C0_CTABELA 161 ( TAYD91C0_NELEMC16 )</t>
  </si>
  <si>
    <t>Profession</t>
  </si>
  <si>
    <t>E2073_CNO
N\A</t>
  </si>
  <si>
    <r>
      <rPr>
        <b/>
        <sz val="11"/>
        <color rgb="FF000000"/>
        <rFont val="Calibri"/>
      </rPr>
      <t xml:space="preserve">SELECT </t>
    </r>
    <r>
      <rPr>
        <sz val="11"/>
        <color rgb="FF000000"/>
        <rFont val="Calibri"/>
      </rPr>
      <t>IF( TRIM( PERS_FISICA_INT.E2073_CNO ) = '', NULL, PERS_FISICA_INT.E2073_CNO )</t>
    </r>
  </si>
  <si>
    <t>CNO</t>
  </si>
  <si>
    <t>Employer Name</t>
  </si>
  <si>
    <t>employer_name</t>
  </si>
  <si>
    <t>If applicable, identifies the name of the individual's employer.</t>
  </si>
  <si>
    <t>Se aplicável, identifica o nome do empregador da pessoa.</t>
  </si>
  <si>
    <t>PERS_FISICA_INT
PERS_NORMAT_T02
TAT01_CLIENTES</t>
  </si>
  <si>
    <t>N\A
E2089_ENTPATRO
N\A</t>
  </si>
  <si>
    <r>
      <rPr>
        <b/>
        <sz val="11"/>
        <color rgb="FF000000"/>
        <rFont val="Calibri"/>
      </rPr>
      <t xml:space="preserve">SELECT </t>
    </r>
    <r>
      <rPr>
        <sz val="11"/>
        <color rgb="FF000000"/>
        <rFont val="Calibri"/>
      </rPr>
      <t>IF( TRIM( PERS_NORMAT_T02.E2089_ENTPATRO ) = '', NULL, PERS_NORMAT_T02.E2089_ENTPATRO )</t>
    </r>
  </si>
  <si>
    <t xml:space="preserve">PERS_NORMAT_T02 </t>
  </si>
  <si>
    <t>ENTPATRO</t>
  </si>
  <si>
    <t>DATA_DATE_PART
N\A</t>
  </si>
  <si>
    <r>
      <rPr>
        <b/>
        <sz val="11"/>
        <color rgb="FF000000"/>
        <rFont val="Calibri"/>
      </rPr>
      <t xml:space="preserve">SELECT </t>
    </r>
    <r>
      <rPr>
        <sz val="11"/>
        <color rgb="FF000000"/>
        <rFont val="Calibri"/>
      </rPr>
      <t>PERS_FISICA_INT.DATA_DATE_PART</t>
    </r>
  </si>
  <si>
    <t>N\A
N\A</t>
  </si>
  <si>
    <r>
      <rPr>
        <b/>
        <sz val="11"/>
        <color rgb="FF000000"/>
        <rFont val="Calibri"/>
      </rPr>
      <t xml:space="preserve">SELECT </t>
    </r>
    <r>
      <rPr>
        <sz val="11"/>
        <color rgb="FF000000"/>
        <rFont val="Calibri"/>
      </rPr>
      <t>NOW()</t>
    </r>
  </si>
  <si>
    <t>Individual Address</t>
  </si>
  <si>
    <t>DOMIC_PERS_INT
REL_TIP_DOM_HIS
TAT01_CLIENTES</t>
  </si>
  <si>
    <t xml:space="preserve">N\A
N\A
ZCLIENTE </t>
  </si>
  <si>
    <r>
      <rPr>
        <b/>
        <sz val="11"/>
        <color rgb="FF000000"/>
        <rFont val="Calibri"/>
      </rPr>
      <t xml:space="preserve">SELECT </t>
    </r>
    <r>
      <rPr>
        <sz val="11"/>
        <color rgb="FF000000"/>
        <rFont val="Calibri"/>
      </rPr>
      <t xml:space="preserve">LPAD( TAT01_CLIENTES.ZCLIENTE, 10, '0' )
</t>
    </r>
    <r>
      <rPr>
        <b/>
        <sz val="11"/>
        <color rgb="FF000000"/>
        <rFont val="Calibri"/>
      </rPr>
      <t xml:space="preserve">WHERE </t>
    </r>
    <r>
      <rPr>
        <sz val="11"/>
        <color rgb="FF000000"/>
        <rFont val="Calibri"/>
      </rPr>
      <t>REL_TIP_DOM_HIS</t>
    </r>
    <r>
      <rPr>
        <b/>
        <sz val="11"/>
        <color rgb="FF000000"/>
        <rFont val="Calibri"/>
      </rPr>
      <t>.</t>
    </r>
    <r>
      <rPr>
        <sz val="11"/>
        <color rgb="FF000000"/>
        <rFont val="Calibri"/>
      </rPr>
      <t>E0712_FECH_FIN = '9999-12-31'</t>
    </r>
  </si>
  <si>
    <t>E0710_NRODOM
N\A
N\A</t>
  </si>
  <si>
    <r>
      <rPr>
        <b/>
        <sz val="11"/>
        <color rgb="FF000000"/>
        <rFont val="Calibri"/>
      </rPr>
      <t xml:space="preserve">SELECT </t>
    </r>
    <r>
      <rPr>
        <sz val="11"/>
        <color rgb="FF000000"/>
        <rFont val="Calibri"/>
      </rPr>
      <t xml:space="preserve">CAST( DOMIC_PERS_INT.E0710_NRODOM AS BIGINT )
</t>
    </r>
    <r>
      <rPr>
        <b/>
        <sz val="11"/>
        <color rgb="FF000000"/>
        <rFont val="Calibri"/>
      </rPr>
      <t xml:space="preserve">WHERE </t>
    </r>
    <r>
      <rPr>
        <sz val="11"/>
        <color rgb="FF000000"/>
        <rFont val="Calibri"/>
      </rPr>
      <t>REL_TIP_DOM_HIS.E0712_FECH_FIN = '9999-12-31'</t>
    </r>
  </si>
  <si>
    <t>E0710_FECALTSI
N\A
N\A</t>
  </si>
  <si>
    <r>
      <rPr>
        <b/>
        <sz val="11"/>
        <color rgb="FF000000"/>
        <rFont val="Calibri"/>
      </rPr>
      <t xml:space="preserve">SELECT </t>
    </r>
    <r>
      <rPr>
        <sz val="11"/>
        <color rgb="FF000000"/>
        <rFont val="Calibri"/>
      </rPr>
      <t xml:space="preserve">CAST( DOMIC_PERS_INT.E0710_FECALTSI AS STRING )
</t>
    </r>
    <r>
      <rPr>
        <b/>
        <sz val="11"/>
        <color rgb="FF000000"/>
        <rFont val="Calibri"/>
      </rPr>
      <t xml:space="preserve">WHERE </t>
    </r>
    <r>
      <rPr>
        <sz val="11"/>
        <color rgb="FF000000"/>
        <rFont val="Calibri"/>
      </rPr>
      <t>REL_TIP_DOM_HIS.E0712_FECH_FIN = '9999-12-31'</t>
    </r>
  </si>
  <si>
    <t>N\A
E0712_TIPODOM
N\A</t>
  </si>
  <si>
    <r>
      <rPr>
        <b/>
        <sz val="11"/>
        <color rgb="FF000000"/>
        <rFont val="Calibri"/>
      </rPr>
      <t xml:space="preserve">SELECT </t>
    </r>
    <r>
      <rPr>
        <sz val="11"/>
        <color rgb="FF000000"/>
        <rFont val="Calibri"/>
      </rPr>
      <t xml:space="preserve">CAST( REL_TIP_DOM_HIS.E0712_TIPODOM AS STRING )
</t>
    </r>
    <r>
      <rPr>
        <b/>
        <sz val="11"/>
        <color rgb="FF000000"/>
        <rFont val="Calibri"/>
      </rPr>
      <t xml:space="preserve">WHERE </t>
    </r>
    <r>
      <rPr>
        <sz val="11"/>
        <color rgb="FF000000"/>
        <rFont val="Calibri"/>
      </rPr>
      <t>REL_TIP_DOM_HIS.E0712_FECH_FIN = '9999-12-31'</t>
    </r>
  </si>
  <si>
    <t>CURATED_INTERNAL_MAINFRAME_CLIENTES
CURATED_INTERNAL_MAINFRAME_CLIENTES
CURATED_INTERNAL_MAINFRAME_ESTRUTURAIS
CURATED_INTERNAL_MAINFRAME_ESTRUTURAIS</t>
  </si>
  <si>
    <t>DOMIC_PERS_INT
REL_TIP_DOM_HIS
TAT01_CLIENTES
TAT03_PAISES</t>
  </si>
  <si>
    <r>
      <rPr>
        <b/>
        <sz val="11"/>
        <color rgb="FF000000"/>
        <rFont val="Calibri"/>
      </rPr>
      <t xml:space="preserve">SELECT </t>
    </r>
    <r>
      <rPr>
        <sz val="11"/>
        <color rgb="FF000000"/>
        <rFont val="Calibri"/>
      </rPr>
      <t xml:space="preserve">IF( TRIM( TAT03_PAISES.CPAIS_S ) = '', NULL, TAT03_PAISES.CPAIS_S )
</t>
    </r>
    <r>
      <rPr>
        <b/>
        <sz val="11"/>
        <color rgb="FF000000"/>
        <rFont val="Calibri"/>
      </rPr>
      <t xml:space="preserve">WHERE </t>
    </r>
    <r>
      <rPr>
        <sz val="11"/>
        <color rgb="FF000000"/>
        <rFont val="Calibri"/>
      </rPr>
      <t>REL_TIP_DOM_HIS.E0712_FECH_FIN = '9999-12-31'</t>
    </r>
  </si>
  <si>
    <t>E0710_DOM_DESC_TEXT
N\A
N\A</t>
  </si>
  <si>
    <r>
      <rPr>
        <b/>
        <sz val="11"/>
        <color rgb="FF000000"/>
        <rFont val="Calibri"/>
      </rPr>
      <t xml:space="preserve">SELECT </t>
    </r>
    <r>
      <rPr>
        <sz val="11"/>
        <color rgb="FF000000"/>
        <rFont val="Calibri"/>
      </rPr>
      <t xml:space="preserve">CASE
    WHEN DOMIC_PERS_INT.E0710_FMTO_DOM = 'DP' THEN IF( TRIM ( SUBSTRING( DOMIC_PERS_INT.E0710_DOM_DESC_TEXT, 229, 35 ) ) = '', NULL,  SUBSTRING( DOMIC_PERS_INT.E0710_DOM_DESC_TEXT, 229, 35 ) )
    WHEN DOMIC_PERS_INT.E0710_FMTO_DOM = 'EP' THEN NULL
    WHEN DOMIC_PERS_INT.E0710_FMTO_DOM = 'AP' THEN IF( TRIM ( SUBSTRING( DOMIC_PERS_INT.E0710_DOM_DESC_TEXT, 68, 30 ) ) = '', NULL, SUBSTRING( DOMIC_PERS_INT.E0710_DOM_DESC_TEXT, 68, 30 ) )
    ELSE NULL
</t>
    </r>
    <r>
      <rPr>
        <b/>
        <sz val="11"/>
        <color rgb="FF000000"/>
        <rFont val="Calibri"/>
      </rPr>
      <t xml:space="preserve">WHERE </t>
    </r>
    <r>
      <rPr>
        <sz val="11"/>
        <color rgb="FF000000"/>
        <rFont val="Calibri"/>
      </rPr>
      <t>REL_TIP_DOM_HIS.E0712_FECH_FIN = '9999-12-31'</t>
    </r>
  </si>
  <si>
    <t>DOMIC_PERS_INT
REL_TIP_DOM_HIS
VIAS_PT (1) || VIAS_PT (2)
TAT01_CLIENTES</t>
  </si>
  <si>
    <t>N\A
N\A
CODDIS
N\A</t>
  </si>
  <si>
    <r>
      <rPr>
        <b/>
        <sz val="11"/>
        <color rgb="FF000000"/>
        <rFont val="Calibri"/>
      </rPr>
      <t xml:space="preserve">SELECT </t>
    </r>
    <r>
      <rPr>
        <sz val="11"/>
        <color rgb="FF000000"/>
        <rFont val="Calibri"/>
      </rPr>
      <t xml:space="preserve">CASE
    WHEN DOMIC_PERS_INT.E0710_FMTO_DOM = 'DP' THEN CONCAT( VIAS_PT (1).CODDIS, '0000' )
    WHEN DOMIC_PERS_INT.E0710_FMTO_DOM = 'EP' THEN NULL
    WHEN DOMIC_PERS_INT.E0710_FMTO_DOM = 'AP' THEN CONCAT( VIAS_PT (2).CODDIS, '0000' )
    ELSE NULL
</t>
    </r>
    <r>
      <rPr>
        <b/>
        <sz val="11"/>
        <color rgb="FF000000"/>
        <rFont val="Calibri"/>
      </rPr>
      <t xml:space="preserve">WHERE </t>
    </r>
    <r>
      <rPr>
        <sz val="11"/>
        <color rgb="FF000000"/>
        <rFont val="Calibri"/>
      </rPr>
      <t>VIAS_PT.DATA_DATE_PART = VIAS_PT.MAX(DATA_DATE_PART) VIAS_PT.FECBAJA = '9999-12-31'
    AND REL_TIP_DOM_HIS.E0712_FECH_FIN = '9999-12-31'</t>
    </r>
  </si>
  <si>
    <t>N\A
N\A
CODDIS, CODCON
N\A</t>
  </si>
  <si>
    <r>
      <rPr>
        <b/>
        <sz val="11"/>
        <color rgb="FF000000"/>
        <rFont val="Calibri"/>
      </rPr>
      <t xml:space="preserve">SELECT </t>
    </r>
    <r>
      <rPr>
        <sz val="11"/>
        <color rgb="FF000000"/>
        <rFont val="Calibri"/>
      </rPr>
      <t xml:space="preserve">CASE
    WHEN DOMIC_PERS_INT.E0710_FMTO_DOM = 'DP' THEN CONCAT( VIAS_PT (1).CODDIS, VIAS_PT (1).CODCON, '00' )
    WHEN DOMIC_PERS_INT.E0710_FMTO_DOM = 'EP' THEN NULL
    WHEN DOMIC_PERS_INT.E0710_FMTO_DOM = 'AP' THEN CONCAT( VIAS_PT (2).CODDIS, VIAS_PT (2).CODCON, '00' )
    ELSE NULL
</t>
    </r>
    <r>
      <rPr>
        <b/>
        <sz val="11"/>
        <color rgb="FF000000"/>
        <rFont val="Calibri"/>
      </rPr>
      <t xml:space="preserve">WHERE </t>
    </r>
    <r>
      <rPr>
        <sz val="11"/>
        <color rgb="FF000000"/>
        <rFont val="Calibri"/>
      </rPr>
      <t>VIAS_PT.DATA_DATE_PART = VIAS_PT.MAX(DATA_DATE_PART) VIAS_PT.FECBAJA = '9999-12-31'
    AND REL_TIP_DOM_HIS.E0712_FECH_FIN = '9999-12-31'</t>
    </r>
  </si>
  <si>
    <t>Código da freguesia ao qual a morada pertence.</t>
  </si>
  <si>
    <t>N\A
N\A
CODDIS, CODCON, FREGNA
N\A</t>
  </si>
  <si>
    <r>
      <rPr>
        <b/>
        <sz val="11"/>
        <color rgb="FF000000"/>
        <rFont val="Calibri"/>
      </rPr>
      <t xml:space="preserve">SELECT </t>
    </r>
    <r>
      <rPr>
        <sz val="11"/>
        <color rgb="FF000000"/>
        <rFont val="Calibri"/>
      </rPr>
      <t xml:space="preserve">CASE
    WHEN DOMIC_PERS_INT.E0710_FMTO_DOM = 'DP' THEN CONCAT( VIAS_PT (1).CODDIS, VIAS_PT (1).CODCON, VIAS_PT (1).FREGNA )
    WHEN DOMIC_PERS_INT.E0710_FMTO_DOM = 'EP' THEN NULL
    WHEN DOMIC_PERS_INT.E0710_FMTO_DOM = 'AP' THEN CONCAT( VIAS_PT (2).CODDIS, VIAS_PT (2).CODCON, VIAS_PT (2).FREGNA )
    ELSE NULL
</t>
    </r>
    <r>
      <rPr>
        <b/>
        <sz val="11"/>
        <color rgb="FF000000"/>
        <rFont val="Calibri"/>
      </rPr>
      <t xml:space="preserve">WHERE </t>
    </r>
    <r>
      <rPr>
        <sz val="11"/>
        <color rgb="FF000000"/>
        <rFont val="Calibri"/>
      </rPr>
      <t>VIAS_PT.DATA_DATE_PART = VIAS_PT.MAX(DATA_DATE_PART) VIAS_PT.FECBAJA = '9999-12-31'
    AND REL_TIP_DOM_HIS.E0712_FECH_FIN = '9999-12-31'</t>
    </r>
  </si>
  <si>
    <t>CURATED_INTERNAL_MAINFRAME_CLIENTES
CURATED_INTERNAL_MAINFRAME_CLIENTES
CURATED_INTERNAL_MAINFRAME_ESTRUTURAIS
CURATED_INTERNAL_MAINFRAME_ESTRUTURAIS
CURATED_INTERNAL_MAINFRAME_ESTRUTURAIS</t>
  </si>
  <si>
    <t>DOMIC_PERS_INT
REL_TIP_DOM_HIS
TAT01_CLIENTES
VIAS_PT (1) || VIAS_PT (2)
TAT91_TABELAS_NEW (1) || TAT91_TABELAS_NEW (2)</t>
  </si>
  <si>
    <t>N\A
N\A
N\A
N\A
TAYD91C0_NELEMC05</t>
  </si>
  <si>
    <r>
      <rPr>
        <b/>
        <sz val="11"/>
        <color rgb="FF000000"/>
        <rFont val="Calibri"/>
      </rPr>
      <t xml:space="preserve">SELECT </t>
    </r>
    <r>
      <rPr>
        <sz val="11"/>
        <color rgb="FF000000"/>
        <rFont val="Calibri"/>
      </rPr>
      <t xml:space="preserve">CASE
    WHEN DOMIC_PERS_INT.E0710_FMTO_DOM = 'DP' THEN TAT91_TABELAS_NEW (DP).SUBSTRING( TAYD91C0_NELEMC05, 1, 5 )
    WHEN DOMIC_PERS_INT.E0710_FMTO_DOM = 'EP' THEN NULL
    WHEN DOMIC_PERS_INT.E0710_FMTO_DOM = 'AP' THEN TAT91_TABELAS_NEW (AP).SUBSTRING( TAYD91C0_NELEMC05, 1, 5 )
    ELSE NULL
</t>
    </r>
    <r>
      <rPr>
        <b/>
        <sz val="11"/>
        <color rgb="FF000000"/>
        <rFont val="Calibri"/>
      </rPr>
      <t xml:space="preserve">WHERE </t>
    </r>
    <r>
      <rPr>
        <sz val="11"/>
        <color rgb="FF000000"/>
        <rFont val="Calibri"/>
      </rPr>
      <t>TAT91_TABELAS_NEW.TAYD91C0_CTABELA = 'J48' 
    AND VIAS_PT.DATA_DATE_PART = VIAS_PT.MAX(DATA_DATE_PART) VIAS_PT.FECBAJA = '9999-12-31'
    AND REL_TIP_DOM_HIS.E0712_FECH_FIN = '9999-12-31'</t>
    </r>
  </si>
  <si>
    <t>Código postal associado à morada.</t>
  </si>
  <si>
    <r>
      <rPr>
        <b/>
        <sz val="11"/>
        <color rgb="FF000000"/>
        <rFont val="Calibri"/>
      </rPr>
      <t xml:space="preserve">SELECT </t>
    </r>
    <r>
      <rPr>
        <sz val="11"/>
        <color rgb="FF000000"/>
        <rFont val="Calibri"/>
      </rPr>
      <t xml:space="preserve">CASE
    WHEN DOMIC_PERS_INT.E0710_FMTO_DOM = 'DP' THEN IF( TRIM( CONCAT( SUBSTRING( DOMIC_PERS_INT.E0710_DOM_DESC_TEXT, 222, 4 ), '-', SUBSTRING( DOMIC_PERS_INT.E0710_DOM_DESC_TEXT, 226, 3 ) ) ) = '', NULL, CONCAT( SUBSTRING( DOMIC_PERS_INT.E0710_DOM_DESC_TEXT, 222, 4 ), '-', SUBSTRING( DOMIC_PERS_INT.E0710_DOM_DESC_TEXT, 226, 3 ) ) )
    WHEN DOMIC_PERS_INT.E0710_FMTO_DOM = 'EP' THEN NULL
    WHEN DOMIC_PERS_INT.E0710_FMTO_DOM = 'AP' THEN IF( TRIM( CONCAT( SUBSTRING( DOMIC_PERS_INT.E0710_DOM_DESC_TEXT, 61, 4 ), '-', SUBSTRING( DOMIC_PERS_INT.E0710_DOM_DESC_TEXT, 65, 3 ) ) ) = '', NULL, CONCAT( SUBSTRING( DOMIC_PERS_INT.E0710_DOM_DESC_TEXT, 61, 4 ), '-', SUBSTRING( DOMIC_PERS_INT.E0710_DOM_DESC_TEXT, 65, 3 ) ) )
    ELSE NULL
</t>
    </r>
    <r>
      <rPr>
        <b/>
        <sz val="11"/>
        <color rgb="FF000000"/>
        <rFont val="Calibri"/>
      </rPr>
      <t>WHERE</t>
    </r>
    <r>
      <rPr>
        <sz val="11"/>
        <color rgb="FF000000"/>
        <rFont val="Calibri"/>
      </rPr>
      <t xml:space="preserve"> REL_TIP_DOM_HIS.E0712_FECH_FIN = '9999-12-31'</t>
    </r>
  </si>
  <si>
    <r>
      <rPr>
        <b/>
        <sz val="11"/>
        <color rgb="FF000000"/>
        <rFont val="Calibri"/>
      </rPr>
      <t xml:space="preserve">SELECT </t>
    </r>
    <r>
      <rPr>
        <sz val="11"/>
        <color rgb="FF000000"/>
        <rFont val="Calibri"/>
      </rPr>
      <t xml:space="preserve">CASE
    WHEN DOMIC_PERS_INT.E0710_FMTO_DOM = 'DP' THEN IF( TRIM( SUBSTRING( DOMIC_PERS_INT.E0710_DOM_DESC_TEXT, 1, 6 ) ) = '', NULL, SUBSTRING( DOMIC_PERS_INT.E0710_DOM_DESC_TEXT, 1, 6 ) ) )
    WHEN DOMIC_PERS_INT.E0710_FMTO_DOM = 'EP' THEN NULL
    WHEN DOMIC_PERS_INT.E0710_FMTO_DOM = 'AP' THEN NULL
    ELSE NULL
</t>
    </r>
    <r>
      <rPr>
        <b/>
        <sz val="11"/>
        <color rgb="FF000000"/>
        <rFont val="Calibri"/>
      </rPr>
      <t>WHERE</t>
    </r>
    <r>
      <rPr>
        <sz val="11"/>
        <color rgb="FF000000"/>
        <rFont val="Calibri"/>
      </rPr>
      <t xml:space="preserve"> REL_TIP_DOM_HIS.E0712_FECH_FIN = '9999-12-31'</t>
    </r>
  </si>
  <si>
    <t>Nome da rua associada à morada.</t>
  </si>
  <si>
    <r>
      <rPr>
        <b/>
        <sz val="11"/>
        <color rgb="FF000000"/>
        <rFont val="Calibri"/>
      </rPr>
      <t xml:space="preserve">SELECT </t>
    </r>
    <r>
      <rPr>
        <sz val="11"/>
        <color rgb="FF000000"/>
        <rFont val="Calibri"/>
      </rPr>
      <t xml:space="preserve">CASE
    WHEN DOMIC_PERS_INT.E0710_FMTO_DOM = 'DP' THEN IF( TRIM( SUBSTRING( DOMIC_PERS_INT.E0710_DOM_DESC_TEXT, 7, 100 ) ) = '', NULL, SUBSTRING( DOMIC_PERS_INT.E0710_DOM_DESC_TEXT, 7, 100 ) )
    WHEN DOMIC_PERS_INT.E0710_FMTO_DOM = 'EP' THEN NULL
    WHEN DOMIC_PERS_INT.E0710_FMTO_DOM = 'AP' THEN NULL
    ELSE NULL
</t>
    </r>
    <r>
      <rPr>
        <b/>
        <sz val="11"/>
        <color rgb="FF000000"/>
        <rFont val="Calibri"/>
      </rPr>
      <t>WHERE</t>
    </r>
    <r>
      <rPr>
        <sz val="11"/>
        <color rgb="FF000000"/>
        <rFont val="Calibri"/>
      </rPr>
      <t xml:space="preserve"> REL_TIP_DOM_HIS.E0712_FECH_FIN = '9999-12-31'</t>
    </r>
  </si>
  <si>
    <r>
      <rPr>
        <b/>
        <sz val="11"/>
        <color rgb="FF000000"/>
        <rFont val="Calibri"/>
      </rPr>
      <t xml:space="preserve">SELECT </t>
    </r>
    <r>
      <rPr>
        <sz val="11"/>
        <color rgb="FF000000"/>
        <rFont val="Calibri"/>
      </rPr>
      <t xml:space="preserve">CASE
    WHEN DOMIC_PERS_INT.E0710_FMTO_DOM = 'DP' THEN IF( TRIM( SUBSTRING( DOMIC_PERS_INT.E0710_DOM_DESC_TEXT, 112, 10 ) ) = '', NULL, SUBSTRING( DOMIC_PERS_INT.E0710_DOM_DESC_TEXT, 112, 10 ) )
    WHEN DOMIC_PERS_INT.E0710_FMTO_DOM = 'EP' THEN NULL
    WHEN DOMIC_PERS_INT.E0710_FMTO_DOM = 'AP' THEN ''
    ELSE NULL
</t>
    </r>
    <r>
      <rPr>
        <b/>
        <sz val="11"/>
        <color rgb="FF000000"/>
        <rFont val="Calibri"/>
      </rPr>
      <t>WHERE</t>
    </r>
    <r>
      <rPr>
        <sz val="11"/>
        <color rgb="FF000000"/>
        <rFont val="Calibri"/>
      </rPr>
      <t xml:space="preserve"> REL_TIP_DOM_HIS.E0712_FECH_FIN = '9999-12-31'</t>
    </r>
  </si>
  <si>
    <t>Número do edifício associado à morada (também inclui casas e outros tipos de casas).</t>
  </si>
  <si>
    <r>
      <rPr>
        <b/>
        <sz val="11"/>
        <color rgb="FF000000"/>
        <rFont val="Calibri"/>
      </rPr>
      <t xml:space="preserve">SELECT </t>
    </r>
    <r>
      <rPr>
        <sz val="11"/>
        <color rgb="FF000000"/>
        <rFont val="Calibri"/>
      </rPr>
      <t xml:space="preserve">CASE
    WHEN DOMIC_PERS_INT.E0710_FMTO_DOM = 'DP' THEN IF( TRIM( SUBSTRING( DOMIC_PERS_INT.E0710_DOM_DESC_TEXT, 107, 5 ) ) = '', NULL, SUBSTRING( DOMIC_PERS_INT.E0710_DOM_DESC_TEXT, 107, 5 ) )
    WHEN DOMIC_PERS_INT.E0710_FMTO_DOM = 'EP' THEN NULL
    WHEN DOMIC_PERS_INT.E0710_FMTO_DOM = 'AP' THEN NULL
    ELSE NULL
</t>
    </r>
    <r>
      <rPr>
        <b/>
        <sz val="11"/>
        <color rgb="FF000000"/>
        <rFont val="Calibri"/>
      </rPr>
      <t>WHERE</t>
    </r>
    <r>
      <rPr>
        <sz val="11"/>
        <color rgb="FF000000"/>
        <rFont val="Calibri"/>
      </rPr>
      <t xml:space="preserve"> REL_TIP_DOM_HIS.E0712_FECH_FIN = '9999-12-31'</t>
    </r>
  </si>
  <si>
    <t>Campo com detalhes do edificio. Pode incluir o número do apartamento dentro dum prédio e outros detalhes.</t>
  </si>
  <si>
    <r>
      <rPr>
        <b/>
        <sz val="11"/>
        <color rgb="FF000000"/>
        <rFont val="Calibri"/>
      </rPr>
      <t xml:space="preserve">SELECT </t>
    </r>
    <r>
      <rPr>
        <sz val="11"/>
        <color rgb="FF000000"/>
        <rFont val="Calibri"/>
      </rPr>
      <t xml:space="preserve">CASE
    WHEN DOMIC_PERS_INT.E0710_FMTO_DOM = 'DP' THEN IF( TRIM( SUBSTRING( DOMIC_PERS_INT.E0710_DOM_DESC_TEXT, 122, 50 ) ) = '', NULL, SUBSTRING( DOMIC_PERS_INT.E0710_DOM_DESC_TEXT, 122, 50 ) )
    WHEN DOMIC_PERS_INT.E0710_FMTO_DOM = 'EP' THEN NULL
    WHEN DOMIC_PERS_INT.E0710_FMTO_DOM = 'AP' THEN NULL
    ELSE NULL
</t>
    </r>
    <r>
      <rPr>
        <b/>
        <sz val="11"/>
        <color rgb="FF000000"/>
        <rFont val="Calibri"/>
      </rPr>
      <t>WHERE</t>
    </r>
    <r>
      <rPr>
        <sz val="11"/>
        <color rgb="FF000000"/>
        <rFont val="Calibri"/>
      </rPr>
      <t xml:space="preserve"> REL_TIP_DOM_HIS.E0712_FECH_FIN = '9999-12-31'</t>
    </r>
  </si>
  <si>
    <t>DOMIC_PERS_INT
REL_TIP_DOM_HIS
TAT01_CLIENTE</t>
  </si>
  <si>
    <r>
      <rPr>
        <b/>
        <sz val="11"/>
        <color rgb="FF000000"/>
        <rFont val="Calibri"/>
      </rPr>
      <t xml:space="preserve">SELECT </t>
    </r>
    <r>
      <rPr>
        <sz val="11"/>
        <color rgb="FF000000"/>
        <rFont val="Calibri"/>
      </rPr>
      <t xml:space="preserve">CASE
    WHEN DOMIC_PERS_INT.E0710_FMTO_DOM = 'DP' THEN ''
    WHEN DOMIC_PERS_INT.E0710_FMTO_DOM = 'EP' THEN ''
    WHEN DOMIC_PERS_INT.E0710_FMTO_DOM = 'AP' THEN IF( TRIM( SUBSTRING( DOMIC_PERS_INT.E0710_DOM_DESC_TEXT, 1, 10 ) ) = '', NULL, SUBSTRING( DOMIC_PERS_INT.E0710_DOM_DESC_TEXT, 1, 10 ) )
    ELSE NULL
</t>
    </r>
    <r>
      <rPr>
        <b/>
        <sz val="11"/>
        <color rgb="FF000000"/>
        <rFont val="Calibri"/>
      </rPr>
      <t>WHERE</t>
    </r>
    <r>
      <rPr>
        <sz val="11"/>
        <color rgb="FF000000"/>
        <rFont val="Calibri"/>
      </rPr>
      <t xml:space="preserve"> REL_TIP_DOM_HIS.E0712_FECH_FIN = '9999-12-31'</t>
    </r>
  </si>
  <si>
    <r>
      <rPr>
        <b/>
        <sz val="11"/>
        <color rgb="FF000000"/>
        <rFont val="Calibri"/>
      </rPr>
      <t xml:space="preserve">SELECT </t>
    </r>
    <r>
      <rPr>
        <sz val="11"/>
        <color rgb="FF000000"/>
        <rFont val="Calibri"/>
      </rPr>
      <t xml:space="preserve">CASE
    WHEN DOMIC_PERS_INT.E0710_FMTO_DOM = 'DP' THEN IF( TRIM( SUBSTRING( DOMIC_PERS_INT.E0710_DOM_DESC_TEXT, 1, 221 ) ) = '', NULL, SUBSTRING( DOMIC_PERS_INT.E0710_DOM_DESC_TEXT, 1, 221 ) ) 
    WHEN DOMIC_PERS_INT.E0710_FMTO_DOM = 'AP' THEN IF( TRIM( SUBSTRING( DOMIC_PERS_INT.E0710_DOM_DESC_TEXT, 1, 60 ) ) = '', NULL, SUBSTRING( DOMIC_PERS_INT.E0710_DOM_DESC_TEXT, 1, 60 ) )
    WHEN DOMIC_PERS_INT.E0710_FMTO_DOM = 'EP' THEN IF( TRIM( SUBSTRING( DOMIC_PERS_INT.E0710_DOM_DESC_TEXT, 1, 68 ) ) = '', NULL,  SUBSTRING( DOMIC_PERS_INT.E0710_DOM_DESC_TEXT, 1, 68 ) )
    ELSE NULL
</t>
    </r>
    <r>
      <rPr>
        <b/>
        <sz val="11"/>
        <color rgb="FF000000"/>
        <rFont val="Calibri"/>
      </rPr>
      <t>WHERE</t>
    </r>
    <r>
      <rPr>
        <sz val="11"/>
        <color rgb="FF000000"/>
        <rFont val="Calibri"/>
      </rPr>
      <t xml:space="preserve"> REL_TIP_DOM_HIS.E0712_FECH_FIN = '9999-12-31'</t>
    </r>
  </si>
  <si>
    <r>
      <rPr>
        <b/>
        <sz val="11"/>
        <color rgb="FF000000"/>
        <rFont val="Calibri"/>
      </rPr>
      <t xml:space="preserve">SELECT </t>
    </r>
    <r>
      <rPr>
        <sz val="11"/>
        <color rgb="FF000000"/>
        <rFont val="Calibri"/>
      </rPr>
      <t xml:space="preserve">DOMIC_PERS_INT.DATA_DATE_PART
</t>
    </r>
    <r>
      <rPr>
        <b/>
        <sz val="11"/>
        <color rgb="FF000000"/>
        <rFont val="Calibri"/>
      </rPr>
      <t>WHERE</t>
    </r>
    <r>
      <rPr>
        <sz val="11"/>
        <color rgb="FF000000"/>
        <rFont val="Calibri"/>
      </rPr>
      <t xml:space="preserve"> REL_TIP_DOM_HIS.E0712_FECH_FIN = '9999-12-31'</t>
    </r>
  </si>
  <si>
    <r>
      <rPr>
        <b/>
        <sz val="11"/>
        <color rgb="FF000000"/>
        <rFont val="Calibri"/>
      </rPr>
      <t xml:space="preserve">SELECT </t>
    </r>
    <r>
      <rPr>
        <sz val="11"/>
        <color rgb="FF000000"/>
        <rFont val="Calibri"/>
      </rPr>
      <t xml:space="preserve">NOW()
</t>
    </r>
    <r>
      <rPr>
        <b/>
        <sz val="11"/>
        <color rgb="FF000000"/>
        <rFont val="Calibri"/>
      </rPr>
      <t>WHERE</t>
    </r>
    <r>
      <rPr>
        <sz val="11"/>
        <color rgb="FF000000"/>
        <rFont val="Calibri"/>
      </rPr>
      <t xml:space="preserve"> REL_TIP_DOM_HIS.E0712_FECH_FIN = '9999-12-31'</t>
    </r>
  </si>
  <si>
    <t>Individual Citizenship</t>
  </si>
  <si>
    <t>Individual - Citizenship</t>
  </si>
  <si>
    <t>PERS_FISICA_INT
CLT44_INFADIC
TAT01_CLIENTES</t>
  </si>
  <si>
    <t>N\A
ZCLIENTE
ZCLIENTE</t>
  </si>
  <si>
    <r>
      <rPr>
        <b/>
        <sz val="11"/>
        <color rgb="FF000000"/>
        <rFont val="Calibri"/>
      </rPr>
      <t xml:space="preserve">SELECT </t>
    </r>
    <r>
      <rPr>
        <sz val="11"/>
        <color rgb="FF000000"/>
        <rFont val="Calibri"/>
      </rPr>
      <t xml:space="preserve">LPAD( TAT01_CLIENTES.ZCLIENTE, 10, '0' )
</t>
    </r>
    <r>
      <rPr>
        <b/>
        <sz val="11"/>
        <color rgb="FF000000"/>
        <rFont val="Calibri"/>
      </rPr>
      <t xml:space="preserve">SELECT </t>
    </r>
    <r>
      <rPr>
        <sz val="11"/>
        <color rgb="FF000000"/>
        <rFont val="Calibri"/>
      </rPr>
      <t xml:space="preserve">LPAD( CLT44_INFADIC.ZCLIENTE, 10, '0' )
</t>
    </r>
    <r>
      <rPr>
        <b/>
        <sz val="11"/>
        <color rgb="FF000000"/>
        <rFont val="Calibri"/>
      </rPr>
      <t xml:space="preserve">WHERE </t>
    </r>
    <r>
      <rPr>
        <sz val="11"/>
        <color rgb="FF000000"/>
        <rFont val="Calibri"/>
      </rPr>
      <t>CLT44_INFADIC.INDICADOR LIKE 'PA%%' AND LEN( CLT44_INFADIC.INDICADOR ) = 3 AND CLT44_INFADIC.DTFIM = '9999-12-31'</t>
    </r>
  </si>
  <si>
    <t>BdP - Clientes
BdP - Clientes</t>
  </si>
  <si>
    <t>PERS_FISICA_INT -&gt; TAT01_CLIENTES
CLT44_INFADIC</t>
  </si>
  <si>
    <t>CONCAT( TIPO_PERS, COD_PERS ) -&gt; ZCLIENTE
ZCLIENTE</t>
  </si>
  <si>
    <t>Country code of the citizenship.</t>
  </si>
  <si>
    <t>Código do país da nacionalidade.</t>
  </si>
  <si>
    <t>Country of Citizenship</t>
  </si>
  <si>
    <t>PERS_FISICA_INT
CLT44_INFADIC
TAT01_CLIENTES
TAT03_PAISES</t>
  </si>
  <si>
    <t>N\A
DESCRICAO
N\A
CPAIS_S</t>
  </si>
  <si>
    <r>
      <rPr>
        <b/>
        <sz val="11"/>
        <color rgb="FF000000"/>
        <rFont val="Calibri"/>
      </rPr>
      <t xml:space="preserve">SELECT </t>
    </r>
    <r>
      <rPr>
        <sz val="11"/>
        <color rgb="FF000000"/>
        <rFont val="Calibri"/>
      </rPr>
      <t xml:space="preserve">IF( TRIM( TAT03_PAISES.CPAIS_S ) = '', NULL, TAT03_PAISES.CPAIS_S )
</t>
    </r>
    <r>
      <rPr>
        <b/>
        <sz val="11"/>
        <color rgb="FF000000"/>
        <rFont val="Calibri"/>
      </rPr>
      <t xml:space="preserve">SELECT </t>
    </r>
    <r>
      <rPr>
        <sz val="11"/>
        <color rgb="FF000000"/>
        <rFont val="Calibri"/>
      </rPr>
      <t xml:space="preserve">IF(TRIM( TAT03_PAISES.CPAIS_S) = '', NULL, TAT03_PAISES.CPAIS_S )
</t>
    </r>
    <r>
      <rPr>
        <b/>
        <sz val="11"/>
        <color rgb="FF000000"/>
        <rFont val="Calibri"/>
      </rPr>
      <t>WHERE</t>
    </r>
    <r>
      <rPr>
        <sz val="11"/>
        <color rgb="FF000000"/>
        <rFont val="Calibri"/>
      </rPr>
      <t xml:space="preserve"> CLT44_INFADIC.INDICADOR LIKE 'PA%%' AND LEN( CLT44_INFADIC.INDICADOR ) = 3 AND CLT44_INFADIC.DTFIM = '9999-12-31'</t>
    </r>
  </si>
  <si>
    <t>PERS_FISICA_INT -&gt; TAT03_PAISES
CLT44_INFADIC</t>
  </si>
  <si>
    <t>PAIS_NACIO -&gt; CPAIS_S
DESCRICAO</t>
  </si>
  <si>
    <t>Corresponds to the order of the individual's citizenship, for example: 1 - Main, 2 - Secondary.</t>
  </si>
  <si>
    <t>Corresponde à ordem da cidadania da pessoa, por exemplo: 1 - Principal, 2 - Secundária</t>
  </si>
  <si>
    <t>PERS_FISICA_INT
CLT44_INFADIC
TAT01_CLIENTES
PARAM_GENERAL_CODE_CONVERTER</t>
  </si>
  <si>
    <t>N\A
INDICADOR
N\A
TARGET_VALUE</t>
  </si>
  <si>
    <r>
      <rPr>
        <b/>
        <sz val="11"/>
        <color rgb="FF000000"/>
        <rFont val="Calibri"/>
      </rPr>
      <t>SELECT</t>
    </r>
    <r>
      <rPr>
        <sz val="11"/>
        <color rgb="FF000000"/>
        <rFont val="Calibri"/>
      </rPr>
      <t xml:space="preserve"> PARAM_GENERAL_CODE_CONVERTER.TARGET_VALUE
</t>
    </r>
    <r>
      <rPr>
        <b/>
        <sz val="11"/>
        <color rgb="FF000000"/>
        <rFont val="Calibri"/>
      </rPr>
      <t xml:space="preserve">WHERE </t>
    </r>
    <r>
      <rPr>
        <sz val="11"/>
        <color rgb="FF000000"/>
        <rFont val="Calibri"/>
      </rPr>
      <t xml:space="preserve">PARAM_GENERAL_CODE_CONVERTER.SOURCE_CODE = 'CL' AND PARAM_GENERAL_CODE_CONVERTER.TARGET_FIELD = 'order_number' AND PARAM_GENERAL_CODE_CONVERTER.SOURCE_VALUE = '' AND PARAM_GENERAL_CODE_CONVERTER.OPTION_NUMBER = 1
</t>
    </r>
    <r>
      <rPr>
        <b/>
        <sz val="11"/>
        <color rgb="FF000000"/>
        <rFont val="Calibri"/>
      </rPr>
      <t xml:space="preserve">SELECT </t>
    </r>
    <r>
      <rPr>
        <sz val="11"/>
        <color rgb="FF000000"/>
        <rFont val="Calibri"/>
      </rPr>
      <t xml:space="preserve">CAST( CAST( CAST( SUBSTRING( CLT44_INFADIC.INDICADOR, 3, 1 ) AS BIGINT ) + 1 AS STRING ) AS BIGINT)
</t>
    </r>
    <r>
      <rPr>
        <b/>
        <sz val="11"/>
        <color rgb="FF000000"/>
        <rFont val="Calibri"/>
      </rPr>
      <t xml:space="preserve">WHERE </t>
    </r>
    <r>
      <rPr>
        <sz val="11"/>
        <color rgb="FF000000"/>
        <rFont val="Calibri"/>
      </rPr>
      <t>CLT44_INFADIC.INDICADOR LIKE 'PA%%' AND LEN( CLT44_INFADIC.INDICADOR ) = 3 AND CLT44_INFADIC.DTFIM = '9999-12-31'</t>
    </r>
  </si>
  <si>
    <t>N\A
CLT44_INFADIC</t>
  </si>
  <si>
    <t>N\A
INDICADOR</t>
  </si>
  <si>
    <t>"1"
N\A</t>
  </si>
  <si>
    <t>The date in which the client submited the information about the citizenship to Santander's systems.</t>
  </si>
  <si>
    <t>Data em que o cliente submeteu a informação associada à cidadania nos sistemas do Santander.</t>
  </si>
  <si>
    <t>N\A
DTINICIO
N\A</t>
  </si>
  <si>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 xml:space="preserve">IF( TRIM( CLT44_INFADIC.DTINICIO ) = '', NULL, CLT44_INFADIC.DTINICIO )
</t>
    </r>
    <r>
      <rPr>
        <b/>
        <sz val="11"/>
        <color rgb="FF000000"/>
        <rFont val="Calibri"/>
      </rPr>
      <t xml:space="preserve">WHERE </t>
    </r>
    <r>
      <rPr>
        <sz val="11"/>
        <color rgb="FF000000"/>
        <rFont val="Calibri"/>
      </rPr>
      <t>CLT44_INFADIC.INDICADOR LIKE 'PA%%' AND LEN( CLT44_INFADIC.INDICADOR ) = 3 AND CLT44_INFADIC.DTFIM = '9999-12-31'</t>
    </r>
  </si>
  <si>
    <t>N\A
DTINICIO</t>
  </si>
  <si>
    <t>"NULL"
N\A</t>
  </si>
  <si>
    <t>DATA_DATE_PART
DATA_DATE_PART
N\A</t>
  </si>
  <si>
    <r>
      <rPr>
        <b/>
        <sz val="11"/>
        <color rgb="FF000000"/>
        <rFont val="Calibri"/>
      </rPr>
      <t xml:space="preserve">SELECT </t>
    </r>
    <r>
      <rPr>
        <sz val="11"/>
        <color rgb="FF000000"/>
        <rFont val="Calibri"/>
      </rPr>
      <t xml:space="preserve">PERS_FISICA_INT.DATA_DATE_PART
</t>
    </r>
    <r>
      <rPr>
        <b/>
        <sz val="11"/>
        <color rgb="FF000000"/>
        <rFont val="Calibri"/>
      </rPr>
      <t xml:space="preserve">SELECT </t>
    </r>
    <r>
      <rPr>
        <sz val="11"/>
        <color rgb="FF000000"/>
        <rFont val="Calibri"/>
      </rPr>
      <t xml:space="preserve">CLT44_INFADIC.DATA_DATE_PART
</t>
    </r>
    <r>
      <rPr>
        <b/>
        <sz val="11"/>
        <color rgb="FF000000"/>
        <rFont val="Calibri"/>
      </rPr>
      <t xml:space="preserve">WHERE </t>
    </r>
    <r>
      <rPr>
        <sz val="11"/>
        <color rgb="FF000000"/>
        <rFont val="Calibri"/>
      </rPr>
      <t>CLT44_INFADIC.INDICADOR LIKE 'PA%%' AND LEN( CLT44_INFADIC.INDICADOR ) = 3 AND CLT44_INFADIC.DTFIM = '9999-12-31'</t>
    </r>
  </si>
  <si>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CLT44_INFADIC.INDICADOR LIKE 'PA%%' AND LEN( CLT44_INFADIC.INDICADOR ) = 3 AND CLT44_INFADIC.DTFIM = '9999-12-31'</t>
    </r>
  </si>
  <si>
    <t>Individual Contact</t>
  </si>
  <si>
    <t>DIR_ELETRONICA
TAT01_CLIENTES</t>
  </si>
  <si>
    <t xml:space="preserve">N\A
ZCLIENTE </t>
  </si>
  <si>
    <r>
      <rPr>
        <b/>
        <sz val="11"/>
        <color rgb="FF000000"/>
        <rFont val="Calibri"/>
      </rPr>
      <t xml:space="preserve">SELECT </t>
    </r>
    <r>
      <rPr>
        <sz val="11"/>
        <color rgb="FF000000"/>
        <rFont val="Calibri"/>
      </rPr>
      <t xml:space="preserve">LPAD( TAT01_CLIENTES.ZCLIENTE, 10, '0' )
</t>
    </r>
    <r>
      <rPr>
        <b/>
        <sz val="11"/>
        <color rgb="FF000000"/>
        <rFont val="Calibri"/>
      </rPr>
      <t>WHERE</t>
    </r>
    <r>
      <rPr>
        <sz val="11"/>
        <color rgb="FF000000"/>
        <rFont val="Calibri"/>
      </rPr>
      <t xml:space="preserve"> DIR_ELETRONICA.DIRE_FECBAJ = '9999-12-31'</t>
    </r>
  </si>
  <si>
    <t>DIRE_IDDISPO
N\A</t>
  </si>
  <si>
    <r>
      <rPr>
        <b/>
        <sz val="11"/>
        <color rgb="FF000000"/>
        <rFont val="Calibri"/>
      </rPr>
      <t xml:space="preserve">SELECT </t>
    </r>
    <r>
      <rPr>
        <sz val="11"/>
        <color rgb="FF000000"/>
        <rFont val="Calibri"/>
      </rPr>
      <t xml:space="preserve">DIR_ELETRONICA.DIRE_IDDISPO
</t>
    </r>
    <r>
      <rPr>
        <b/>
        <sz val="11"/>
        <color rgb="FF000000"/>
        <rFont val="Calibri"/>
      </rPr>
      <t>WHERE</t>
    </r>
    <r>
      <rPr>
        <sz val="11"/>
        <color rgb="FF000000"/>
        <rFont val="Calibri"/>
      </rPr>
      <t xml:space="preserve"> DIR_ELETRONICA.DIRE_FECBAJ = '9999-12-31'</t>
    </r>
  </si>
  <si>
    <t>DIRE_JNROSEC
N\A</t>
  </si>
  <si>
    <r>
      <rPr>
        <b/>
        <sz val="11"/>
        <color rgb="FF000000"/>
        <rFont val="Calibri"/>
      </rPr>
      <t xml:space="preserve">SELECT </t>
    </r>
    <r>
      <rPr>
        <sz val="11"/>
        <color rgb="FF000000"/>
        <rFont val="Calibri"/>
      </rPr>
      <t xml:space="preserve">CAST( DIR_ELETRONICA.DIRE_JNROSEC AS BIGINT ) 
</t>
    </r>
    <r>
      <rPr>
        <b/>
        <sz val="11"/>
        <color rgb="FF000000"/>
        <rFont val="Calibri"/>
      </rPr>
      <t>WHERE</t>
    </r>
    <r>
      <rPr>
        <sz val="11"/>
        <color rgb="FF000000"/>
        <rFont val="Calibri"/>
      </rPr>
      <t xml:space="preserve"> DIR_ELETRONICA.DIRE_FECBAJ = '9999-12-31'</t>
    </r>
  </si>
  <si>
    <t>Indica se o contacto é o principal/preferido do cliente.</t>
  </si>
  <si>
    <t>CURATED_INTERNAL_MAINFRAME_CLIENTES
CURATED_INTERNAL_MAINFRAME_ESTRUTURAIS
COMMON_REFERENCEDATA_CORE</t>
  </si>
  <si>
    <t>DIR_ELETRONICA
TAT01_CLIENTES
PARAM_GENERAL_CODE_CONVERTER</t>
  </si>
  <si>
    <t>DIRE_INDPRE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</si>
  <si>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DIR_ELETRONICA.DIRE_FECBAJ = '9999-12-31'
    AND PARAM_GENERAL_CODE_CONVERTER.SOURCE_CODE = 'CL' AND PARAM_GENERAL_CODE_CONVERTER.TARGET_FIELD = 'main_contact_indicator' AND PARAM_GENERAL_CODE_CONVERTER.SOURCE_VALUE = IF( TRIM( DIR_ELETRONICA.DIRE_INDPRE ) = '', NULL, DIR_ELETRONICA.DIRE_INDPRE) AND PARAM_GENERAL_CODE_CONVERTER.OPTION_NUMBER = 1</t>
    </r>
  </si>
  <si>
    <t>DIRE_FECALTSI
N\A</t>
  </si>
  <si>
    <r>
      <rPr>
        <b/>
        <sz val="11"/>
        <color rgb="FF000000"/>
        <rFont val="Calibri"/>
      </rPr>
      <t xml:space="preserve">SELECT </t>
    </r>
    <r>
      <rPr>
        <sz val="11"/>
        <color rgb="FF000000"/>
        <rFont val="Calibri"/>
      </rPr>
      <t xml:space="preserve">IF( TRIM( DIR_ELETRONICA.DIRE_FECALTSI ) = '', NULL, DIR_ELETRONICA.DIRE_FECALTSI )
</t>
    </r>
    <r>
      <rPr>
        <b/>
        <sz val="11"/>
        <color rgb="FF000000"/>
        <rFont val="Calibri"/>
      </rPr>
      <t xml:space="preserve">WHERE </t>
    </r>
    <r>
      <rPr>
        <sz val="11"/>
        <color rgb="FF000000"/>
        <rFont val="Calibri"/>
      </rPr>
      <t>DIR_ELETRONICA.DIRE_FECBAJ = '9999-12-31'</t>
    </r>
  </si>
  <si>
    <t>DIRE_FECULTAC
N\A</t>
  </si>
  <si>
    <r>
      <rPr>
        <b/>
        <sz val="11"/>
        <color rgb="FF000000"/>
        <rFont val="Calibri"/>
      </rPr>
      <t xml:space="preserve">SELECT </t>
    </r>
    <r>
      <rPr>
        <sz val="11"/>
        <color rgb="FF000000"/>
        <rFont val="Calibri"/>
      </rPr>
      <t xml:space="preserve">IF( TRIM( DIR_ELETRONICA.DIRE_FECULTAC ) = '', NULL, DIR_ELETRONICA.DIRE_FECULTAC )
</t>
    </r>
    <r>
      <rPr>
        <b/>
        <sz val="11"/>
        <color rgb="FF000000"/>
        <rFont val="Calibri"/>
      </rPr>
      <t>WHERE</t>
    </r>
    <r>
      <rPr>
        <sz val="11"/>
        <color rgb="FF000000"/>
        <rFont val="Calibri"/>
      </rPr>
      <t xml:space="preserve"> DIR_ELETRONICA.DIRE_FECBAJ = '9999-12-31'</t>
    </r>
  </si>
  <si>
    <t>Contém os detalhes do contacto. Por exemplo, o email ou número de telefone.</t>
  </si>
  <si>
    <t>DIRE_DIRELE_TEXT
N\A</t>
  </si>
  <si>
    <r>
      <rPr>
        <b/>
        <sz val="11"/>
        <color rgb="FF000000"/>
        <rFont val="Calibri"/>
      </rPr>
      <t xml:space="preserve">SELECT </t>
    </r>
    <r>
      <rPr>
        <sz val="11"/>
        <color rgb="FF000000"/>
        <rFont val="Calibri"/>
      </rPr>
      <t xml:space="preserve">IF( TRIM( DIR_ELETRONICA.DIRE_DIRELE_TEXT ) = '', NULL, DIR_ELETRONICA.DIRE_DIRELE_TEXT )
</t>
    </r>
    <r>
      <rPr>
        <b/>
        <sz val="11"/>
        <color rgb="FF000000"/>
        <rFont val="Calibri"/>
      </rPr>
      <t xml:space="preserve">WHERE </t>
    </r>
    <r>
      <rPr>
        <sz val="11"/>
        <color rgb="FF000000"/>
        <rFont val="Calibri"/>
      </rPr>
      <t>DIR_ELETRONICA.DIRE_FECBAJ = '9999-12-31'</t>
    </r>
  </si>
  <si>
    <r>
      <rPr>
        <b/>
        <sz val="11"/>
        <color rgb="FF000000"/>
        <rFont val="Calibri"/>
      </rPr>
      <t xml:space="preserve">SELECT </t>
    </r>
    <r>
      <rPr>
        <sz val="11"/>
        <color rgb="FF000000"/>
        <rFont val="Calibri"/>
      </rPr>
      <t xml:space="preserve">DIR_ELETRONICA.DATA_DATE_PART
</t>
    </r>
    <r>
      <rPr>
        <b/>
        <sz val="11"/>
        <color rgb="FF000000"/>
        <rFont val="Calibri"/>
      </rPr>
      <t>WHERE</t>
    </r>
    <r>
      <rPr>
        <sz val="11"/>
        <color rgb="FF000000"/>
        <rFont val="Calibri"/>
      </rPr>
      <t xml:space="preserve"> DIR_ELETRONICA.DIRE_FECBAJ = '9999-12-31'</t>
    </r>
  </si>
  <si>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DIR_ELETRONICA.DIRE_FECBAJ = '9999-12-31'</t>
    </r>
  </si>
  <si>
    <t>Individual Contractual Management</t>
  </si>
  <si>
    <t>PERS_FISICA_INT
CLT47_FCLIMARC
TAT01_CLIENTES</t>
  </si>
  <si>
    <t>N\A
CKGESTCLI
N\A</t>
  </si>
  <si>
    <r>
      <rPr>
        <b/>
        <sz val="11"/>
        <color rgb="FF000000"/>
        <rFont val="Calibri"/>
      </rPr>
      <t>SELECT</t>
    </r>
    <r>
      <rPr>
        <sz val="11"/>
        <color rgb="FF000000"/>
        <rFont val="Calibri"/>
      </rPr>
      <t xml:space="preserve"> IF( TRIM( CLT47_FCLIMARC.CKGESTCLI ) = '', NULL, CLT47_FCLIMARC.CKGESTCLI )</t>
    </r>
  </si>
  <si>
    <t>Identifies the individual's client manager branch.</t>
  </si>
  <si>
    <t>Código que identifica a filial do gerente de clientes da pessoa.</t>
  </si>
  <si>
    <t>N\A
CBALGEST
N\A</t>
  </si>
  <si>
    <r>
      <rPr>
        <b/>
        <sz val="11"/>
        <color rgb="FF000000"/>
        <rFont val="Calibri"/>
      </rPr>
      <t xml:space="preserve">SELECT </t>
    </r>
    <r>
      <rPr>
        <sz val="11"/>
        <color rgb="FF000000"/>
        <rFont val="Calibri"/>
      </rPr>
      <t>IF( TRIM( CLT47_FCLIMARC.CBALGEST ) = '', NULL, CLT47_FCLIMARC.CBALGEST )</t>
    </r>
  </si>
  <si>
    <t>Date when the contratual relationship between the client and Santander started.</t>
  </si>
  <si>
    <t>E2073_FEC_CTE
N\A</t>
  </si>
  <si>
    <r>
      <rPr>
        <b/>
        <sz val="11"/>
        <color rgb="FF000000"/>
        <rFont val="Calibri"/>
      </rPr>
      <t xml:space="preserve">SELECT </t>
    </r>
    <r>
      <rPr>
        <sz val="11"/>
        <color rgb="FF000000"/>
        <rFont val="Calibri"/>
      </rPr>
      <t>IF( TRIM( PERS_FISICA_INT.E2073_FEC_CTE ) = '', NULL, CAST( PERS_FISICA_INT.E2073_FEC_CTE AS STRING ) )</t>
    </r>
  </si>
  <si>
    <t>N\A
DTCONSTNB
N\A</t>
  </si>
  <si>
    <r>
      <rPr>
        <b/>
        <sz val="11"/>
        <color rgb="FF000000"/>
        <rFont val="Calibri"/>
      </rPr>
      <t xml:space="preserve">SELECT </t>
    </r>
    <r>
      <rPr>
        <sz val="11"/>
        <color rgb="FF000000"/>
        <rFont val="Calibri"/>
      </rPr>
      <t>IF( TRIM( CLT47_FCLIMARC.DTCONSTNB ) = '', NULL, CAST( CLT47_FCLIMARC.DTCONSTNB AS STRING ) )</t>
    </r>
  </si>
  <si>
    <r>
      <rPr>
        <b/>
        <sz val="11"/>
        <color rgb="FF000000"/>
        <rFont val="Calibri"/>
      </rPr>
      <t>SELECT</t>
    </r>
    <r>
      <rPr>
        <sz val="11"/>
        <color rgb="FF000000"/>
        <rFont val="Calibri"/>
      </rPr>
      <t xml:space="preserve"> PERS_FISICA_INT.DATA_DATE_PART</t>
    </r>
  </si>
  <si>
    <t>Individual Economic Activity</t>
  </si>
  <si>
    <r>
      <rPr>
        <b/>
        <sz val="11"/>
        <color rgb="FF000000"/>
        <rFont val="Calibri"/>
      </rPr>
      <t xml:space="preserve">SELECT </t>
    </r>
    <r>
      <rPr>
        <sz val="11"/>
        <color rgb="FF000000"/>
        <rFont val="Calibri"/>
      </rPr>
      <t xml:space="preserve">LPAD( TAT01_CLIENTES.ZCLIENTE, 10, '0' )
</t>
    </r>
    <r>
      <rPr>
        <b/>
        <sz val="11"/>
        <color rgb="FF000000"/>
        <rFont val="Calibri"/>
      </rPr>
      <t xml:space="preserve">WHERE </t>
    </r>
    <r>
      <rPr>
        <sz val="11"/>
        <color rgb="FF000000"/>
        <rFont val="Calibri"/>
      </rPr>
      <t>PERS_FISICA_INT.2073_CNAE93 != '00999'</t>
    </r>
  </si>
  <si>
    <t>Identifies the industry classification system used to categorize the individual's economic activity.. For example, CAE, UKSIC, etc.</t>
  </si>
  <si>
    <t>Código que identifica o sistema de classificação industrial utilizado para categorizar a atividade económica da pessoa. Por exemplo, CAE, UKSIC, etc.</t>
  </si>
  <si>
    <t>PERS_FISICA_INT
TAT01_CLIENTES
PARAM_GENERAL_CODE_CONVERTER</t>
  </si>
  <si>
    <t>N\A
N\A
TARGET_VALUE</t>
  </si>
  <si>
    <r>
      <rPr>
        <b/>
        <sz val="11"/>
        <color rgb="FF000000"/>
        <rFont val="Calibri"/>
      </rPr>
      <t xml:space="preserve">SELECT </t>
    </r>
    <r>
      <rPr>
        <sz val="11"/>
        <color rgb="FF000000"/>
        <rFont val="Calibri"/>
      </rPr>
      <t xml:space="preserve">PARAM_GENERAL_CODE_CONVERTER.TARGET_VALUE
</t>
    </r>
    <r>
      <rPr>
        <b/>
        <sz val="11"/>
        <color rgb="FF000000"/>
        <rFont val="Calibri"/>
      </rPr>
      <t xml:space="preserve">WHERE </t>
    </r>
    <r>
      <rPr>
        <sz val="11"/>
        <color rgb="FF000000"/>
        <rFont val="Calibri"/>
      </rPr>
      <t>PARAM_GENERAL_CODE_CONVERTER.TARGET_FIELD = 'industry_classification_system_code' AND PARAM_GENERAL_CODE_CONVERTER.SOURCE_CODE = 'CL' AND PARAM_GENERAL_CODE_CONVERTER.SOURCE_VALUE = '' AND PARAM_GENERAL_CODE_CONVERTER.OPTION_NUMBER = 1
     AND PERS_FISICA_INT.2073_CNAE93 != '00999'</t>
    </r>
  </si>
  <si>
    <t>Order of economic activity for the individual (e.g. 1 = Main Activity, 2 = Secondary Activity).</t>
  </si>
  <si>
    <t>Ordem de atividade económica da pessoa (por exemplo, 1 = Atividade principal, 2 = Atividade secundária, etc.).</t>
  </si>
  <si>
    <r>
      <rPr>
        <b/>
        <sz val="11"/>
        <color rgb="FF000000"/>
        <rFont val="Calibri"/>
      </rPr>
      <t xml:space="preserve">SELECT </t>
    </r>
    <r>
      <rPr>
        <sz val="11"/>
        <color rgb="FF000000"/>
        <rFont val="Calibri"/>
      </rPr>
      <t xml:space="preserve">CAST( PARAM_GENERAL_CODE_CONVERTER.TARGET_VALUE AS BIGINT )
</t>
    </r>
    <r>
      <rPr>
        <b/>
        <sz val="11"/>
        <color rgb="FF000000"/>
        <rFont val="Calibri"/>
      </rPr>
      <t xml:space="preserve">WHERE </t>
    </r>
    <r>
      <rPr>
        <sz val="11"/>
        <color rgb="FF000000"/>
        <rFont val="Calibri"/>
      </rPr>
      <t>PARAM_GENERAL_CODE_CONVERTER.TARGET_FIELD = 'order_number' AND PARAM_GENERAL_CODE_CONVERTER.SOURCE_CODE = 'CL' AND PARAM_GENERAL_CODE_CONVERTER.SOURCE_VALUE = '' AND PARAM_GENERAL_CODE_CONVERTER.OPTION_NUMBER = 1
     AND PERS_FISICA_INT.2073_CNAE93 != '00999'</t>
    </r>
  </si>
  <si>
    <t>PERS_FISICA_INT
TAT01_CLIENTES
TAT91_TABELAS_NEW</t>
  </si>
  <si>
    <t>N\A
N\A
TAYD91C0_CELEMTAB</t>
  </si>
  <si>
    <r>
      <rPr>
        <b/>
        <sz val="11"/>
        <color rgb="FF000000"/>
        <rFont val="Calibri"/>
      </rPr>
      <t xml:space="preserve">SELECT </t>
    </r>
    <r>
      <rPr>
        <sz val="11"/>
        <color rgb="FF000000"/>
        <rFont val="Calibri"/>
      </rPr>
      <t xml:space="preserve">IF( TRIM( TAT91_TABELAS_NEW.TRIM( TAYD91C0_CELEMTAB ) ) = '', NULL, CAST( TAT91_TABELAS_NEW.TRIM( TAYD91C0_CELEMTAB ) AS STRING ) ) 
</t>
    </r>
    <r>
      <rPr>
        <b/>
        <sz val="11"/>
        <color rgb="FF000000"/>
        <rFont val="Calibri"/>
      </rPr>
      <t xml:space="preserve">WHERE </t>
    </r>
    <r>
      <rPr>
        <sz val="11"/>
        <color rgb="FF000000"/>
        <rFont val="Calibri"/>
      </rPr>
      <t>TAYD91C0_CTABELA = '154'
    AND PERS_FISICA_INT.2073_CNAE93 != '00999'</t>
    </r>
  </si>
  <si>
    <r>
      <rPr>
        <b/>
        <sz val="11"/>
        <color rgb="FF000000"/>
        <rFont val="Calibri"/>
      </rPr>
      <t xml:space="preserve">SELECT </t>
    </r>
    <r>
      <rPr>
        <sz val="11"/>
        <color rgb="FF000000"/>
        <rFont val="Calibri"/>
      </rPr>
      <t xml:space="preserve">PERS_FISICA_INT.DATA_DATE_PART
</t>
    </r>
    <r>
      <rPr>
        <b/>
        <sz val="11"/>
        <color rgb="FF000000"/>
        <rFont val="Calibri"/>
      </rPr>
      <t>WHERE</t>
    </r>
    <r>
      <rPr>
        <sz val="11"/>
        <color rgb="FF000000"/>
        <rFont val="Calibri"/>
      </rPr>
      <t xml:space="preserve"> PERS_FISICA_INT.2073_CNAE93 != '00999'</t>
    </r>
  </si>
  <si>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PERS_FISICA_INT.2073_CNAE93 != '00999'</t>
    </r>
  </si>
  <si>
    <t>Individual Identity Document</t>
  </si>
  <si>
    <t>PERS_DOCUMENTO_01
TAT01_CLIENTES</t>
  </si>
  <si>
    <r>
      <rPr>
        <b/>
        <sz val="11"/>
        <color rgb="FF000000"/>
        <rFont val="Calibri"/>
      </rPr>
      <t>SELECT</t>
    </r>
    <r>
      <rPr>
        <sz val="11"/>
        <color rgb="FF000000"/>
        <rFont val="Calibri"/>
      </rPr>
      <t xml:space="preserve"> LPAD( TAT01_CLIENTES.ZCLIENTE, 10, '0' )</t>
    </r>
  </si>
  <si>
    <t>Identification Document Type:
TIP_DOCUMENT -&gt; TAT91 - CTABELA 151; CURATED_INTERNAL_MAINFRAME_ESTRUTURAIS.TAT91_TABELAS - TAYD91C0_CTABELA 151</t>
  </si>
  <si>
    <t>PERS_DOCUMENTO_01
TAT01_CLIENTES
TAT17_CTIPDOC</t>
  </si>
  <si>
    <t>E0515_ITIPDOCU
N\A
CTIPDOC</t>
  </si>
  <si>
    <r>
      <rPr>
        <b/>
        <sz val="11"/>
        <color rgb="FF000000"/>
        <rFont val="Calibri"/>
      </rPr>
      <t xml:space="preserve">SELECT </t>
    </r>
    <r>
      <rPr>
        <sz val="11"/>
        <color rgb="FF000000"/>
        <rFont val="Calibri"/>
      </rPr>
      <t>IF( PERS_DOCUMENTO_01.E0515_ITIPDOCU IN ( '909', '910' ), CAST( PERS_DOCUMENTO_01.E0515_ITIPDOCU AS STRING ), CAST( TAT17_CTIPDOC.CTIPDOC AS STRING ) )</t>
    </r>
  </si>
  <si>
    <t>Document Use Type Code</t>
  </si>
  <si>
    <t>document_use_type_code</t>
  </si>
  <si>
    <t>Defines the type of use of the document. For example, identification, temporary, etc.</t>
  </si>
  <si>
    <t>Código que define o uso do documento. Por exemplo, identificação, temporário, etc.</t>
  </si>
  <si>
    <t>Document Use Type:
N\A (DI - Documento Identifição; FP - Fiscal Provisório; CC - Cartão Cidadão; DF - Documento Fiscal; IP - Identifição Provisório; NR - Nif do Pais Residência (Estrangeiros) )</t>
  </si>
  <si>
    <t>PERS_DOCUMENTO_01
PERS_JCA_INT
TAT01_CLIENTES
TAT17_CTIPDOC
PARAM_GENERAL_CODE_CONVERTER</t>
  </si>
  <si>
    <t>N\A
N\A
N\A
N\A
ITIPUSO</t>
  </si>
  <si>
    <r>
      <rPr>
        <b/>
        <sz val="11"/>
        <color rgb="FF000000"/>
        <rFont val="Calibri"/>
        <scheme val="minor"/>
      </rPr>
      <t xml:space="preserve">CASE
</t>
    </r>
    <r>
      <rPr>
        <sz val="11"/>
        <color rgb="FF000000"/>
        <rFont val="Calibri"/>
        <scheme val="minor"/>
      </rPr>
      <t xml:space="preserve">        WHEN (SELECT IF( PERS_DOCUMENTO_01.E0515_ITIPDOCU IN ( '909', '910' ), '' , CAST( TAT17_CTIPDOC.ITIPUSO AS STRING ) ) = '' THEN PARAM_GENERAL_CODE_CONVERTER.TARGET_VALUE
        ELSE (SELECT IF( PERS_DOCUMENTO_01.E0515_ITIPDOCU IN ( '909', '910' ), '' , CAST( TAT17_CTIPDOC.ITIPUSO AS STRING ) )
</t>
    </r>
    <r>
      <rPr>
        <b/>
        <sz val="11"/>
        <color rgb="FF000000"/>
        <rFont val="Calibri"/>
        <scheme val="minor"/>
      </rPr>
      <t xml:space="preserve">END 
WHERE </t>
    </r>
    <r>
      <rPr>
        <sz val="11"/>
        <color rgb="FF000000"/>
        <rFont val="Calibri"/>
        <scheme val="minor"/>
      </rPr>
      <t>PARAM_GENERAL_CODE_CONVERTER.SOURCE_CODE = "CL"
AND PARAM_GENERAL_CODE_CONVERTER.TARGET_FIELD = 'document_use_type_code'
AND PARAM_GENERAL_CODE_CONVERTER.SOURCE_VALUE = SELECT IF( PERS_DOCUMENTO_01.E0515_ITIPDOCU IN ( '909', '910' ), '' , CAST( TAT17_CTIPDOC.ITIPUSO AS STRING ) )
AND DOCUMENT_USE_TYPE_CODE.OPTION_NUMBER = 1</t>
    </r>
  </si>
  <si>
    <t>ITIPUSO</t>
  </si>
  <si>
    <t>CURATED_INTERNAL_MAINFRAME_CLIENTES
CURATED_INTERNAL_MAINFRAME_ESTRUTURAIS
CURATED_INTERNAL_MAINFRAME_ESTRUTURAIS
COMMON_REFERENCEDATA_CORE</t>
  </si>
  <si>
    <t>PERS_DOCUMENTO_01
TAT01_CLIENTES
TAT17_CTIPDOC
PARAM_GENERAL_CODE_CONVERTER</t>
  </si>
  <si>
    <t>E0515_ITIPDOCU
N\A
N\A
TARGET_VALUE</t>
  </si>
  <si>
    <r>
      <rPr>
        <b/>
        <sz val="11"/>
        <color rgb="FF000000"/>
        <rFont val="Calibri"/>
      </rPr>
      <t xml:space="preserve">SELECT </t>
    </r>
    <r>
      <rPr>
        <sz val="11"/>
        <color rgb="FF000000"/>
        <rFont val="Calibri"/>
      </rPr>
      <t xml:space="preserve">IF( PERS_DOCUMENTO_01.E0515_ITIPDOCU IN ( '909', '910' ), PARAM_GENERAL_CODE_CONVERTER.TARGET_VALUE, CAST( TAT17_CTIPDOC.ITIPUSO AS STRING )
</t>
    </r>
    <r>
      <rPr>
        <b/>
        <sz val="11"/>
        <color rgb="FF000000"/>
        <rFont val="Calibri"/>
      </rPr>
      <t xml:space="preserve">WHERE </t>
    </r>
    <r>
      <rPr>
        <sz val="11"/>
        <color rgb="FF000000"/>
        <rFont val="Calibri"/>
      </rPr>
      <t>PARAM_GENERAL_CODE_CONVERTER.SOURCE_CODE = 'CL' AND  PARAM_GENERAL_CODE_CONVERTER.TARGET_FIELD = 'document_use_type_code' AND PARAM_GENERAL_CODE_CONVERTER.SOURCE_VALUE = '' AND PARAM_GENERAL_CODE_CONVERTER.OPTION_NUMBER = 1</t>
    </r>
  </si>
  <si>
    <t>PERS_DOCUMENTO_01
TAT01_CLIENTES
TAT03_PAISES</t>
  </si>
  <si>
    <r>
      <rPr>
        <b/>
        <sz val="11"/>
        <color rgb="FF000000"/>
        <rFont val="Calibri"/>
      </rPr>
      <t xml:space="preserve">SELECT </t>
    </r>
    <r>
      <rPr>
        <sz val="11"/>
        <color rgb="FF000000"/>
        <rFont val="Calibri"/>
      </rPr>
      <t>TAT03_PAISES.CPAIS_S</t>
    </r>
  </si>
  <si>
    <t>Number of the identification document provided by the individual.</t>
  </si>
  <si>
    <t>Número do documento de identificação fornecido pela pessoa.</t>
  </si>
  <si>
    <t>E0515_CD_DOCUM
N\A</t>
  </si>
  <si>
    <r>
      <rPr>
        <b/>
        <sz val="11"/>
        <color rgb="FF000000"/>
        <rFont val="Calibri"/>
      </rPr>
      <t xml:space="preserve">SELECT </t>
    </r>
    <r>
      <rPr>
        <sz val="11"/>
        <color rgb="FF000000"/>
        <rFont val="Calibri"/>
      </rPr>
      <t>PERS_DOCUMENTO_01.E0515_CD_DOCUM</t>
    </r>
  </si>
  <si>
    <t>E0515_FECH_INI
N\A</t>
  </si>
  <si>
    <r>
      <rPr>
        <b/>
        <sz val="11"/>
        <color rgb="FF000000"/>
        <rFont val="Calibri"/>
      </rPr>
      <t xml:space="preserve">SELECT </t>
    </r>
    <r>
      <rPr>
        <sz val="11"/>
        <color rgb="FF000000"/>
        <rFont val="Calibri"/>
      </rPr>
      <t>IF( TRIM( PERS_DOCUMENTO_01.E0515_FECH_INI ) = '', NULL, CAST( PERS_DOCUMENTO_01.E0515_FECH_INI AS STRING ) )</t>
    </r>
  </si>
  <si>
    <t>E0515_FECH_FIN
N\A</t>
  </si>
  <si>
    <r>
      <rPr>
        <b/>
        <sz val="11"/>
        <color rgb="FF000000"/>
        <rFont val="Calibri"/>
      </rPr>
      <t xml:space="preserve">SELECT </t>
    </r>
    <r>
      <rPr>
        <sz val="11"/>
        <color rgb="FF000000"/>
        <rFont val="Calibri"/>
      </rPr>
      <t>IF( TRIM( PERS_DOCUMENTO_01.E0515_FECH_FIN ) = '', NULL, CAST( PERS_DOCUMENTO_01.E0515_FECH_FIN AS STRING ) )</t>
    </r>
  </si>
  <si>
    <r>
      <rPr>
        <b/>
        <sz val="11"/>
        <color rgb="FF000000"/>
        <rFont val="Calibri"/>
      </rPr>
      <t xml:space="preserve">SELECT </t>
    </r>
    <r>
      <rPr>
        <sz val="11"/>
        <color rgb="FF000000"/>
        <rFont val="Calibri"/>
      </rPr>
      <t>PERS_DOCUMENTO_01.DATA_DATE_PART</t>
    </r>
  </si>
  <si>
    <t>Individual Negative File</t>
  </si>
  <si>
    <t>CURATED_INTERNAL_MAINFRAME_CLIENTES</t>
  </si>
  <si>
    <t>CLT61_CNINCID</t>
  </si>
  <si>
    <r>
      <rPr>
        <b/>
        <sz val="11"/>
        <color rgb="FF000000"/>
        <rFont val="Calibri"/>
      </rPr>
      <t xml:space="preserve">SELECT </t>
    </r>
    <r>
      <rPr>
        <sz val="11"/>
        <color rgb="FF000000"/>
        <rFont val="Calibri"/>
      </rPr>
      <t>LPAD(</t>
    </r>
    <r>
      <rPr>
        <b/>
        <sz val="11"/>
        <color rgb="FF000000"/>
        <rFont val="Calibri"/>
      </rPr>
      <t xml:space="preserve"> </t>
    </r>
    <r>
      <rPr>
        <sz val="11"/>
        <color rgb="FF000000"/>
        <rFont val="Calibri"/>
      </rPr>
      <t xml:space="preserve">CLT61_CNINCID.ZCLIENTE, 10, '0' )
</t>
    </r>
    <r>
      <rPr>
        <b/>
        <sz val="11"/>
        <color rgb="FF000000"/>
        <rFont val="Calibri"/>
      </rPr>
      <t xml:space="preserve">WHERE </t>
    </r>
    <r>
      <rPr>
        <sz val="11"/>
        <color rgb="FF000000"/>
        <rFont val="Calibri"/>
      </rPr>
      <t>CLT61_CNINCID.DSAIDA = '9999-12-31' AND CLT61_CNINCID.CEMPRESA = '31'</t>
    </r>
  </si>
  <si>
    <t>Number of the identification document associated to the individual that is associated with a negative situation.</t>
  </si>
  <si>
    <t>Número do documento de identificação associado à pessoa que está associado a uma situação negativa.</t>
  </si>
  <si>
    <r>
      <rPr>
        <b/>
        <sz val="11"/>
        <color rgb="FF000000"/>
        <rFont val="Calibri"/>
      </rPr>
      <t xml:space="preserve">SELECT </t>
    </r>
    <r>
      <rPr>
        <sz val="11"/>
        <color rgb="FF000000"/>
        <rFont val="Calibri"/>
      </rPr>
      <t xml:space="preserve">CLT61_CNINCID.CKDOCID
</t>
    </r>
    <r>
      <rPr>
        <b/>
        <sz val="11"/>
        <color rgb="FF000000"/>
        <rFont val="Calibri"/>
      </rPr>
      <t>WHERE</t>
    </r>
    <r>
      <rPr>
        <sz val="11"/>
        <color rgb="FF000000"/>
        <rFont val="Calibri"/>
      </rPr>
      <t xml:space="preserve"> CLT61_CNINCID.DSAIDA = '9999-12-31' AND CLT61_CNINCID.CEMPRESA = '31'</t>
    </r>
  </si>
  <si>
    <t>Identifies type of the identification document that associated to the individual and has a negative situation active.</t>
  </si>
  <si>
    <t>Código que identifica o tipo de documento de identificação associado à pessoa que está numa situação negativa ativa.</t>
  </si>
  <si>
    <r>
      <rPr>
        <b/>
        <sz val="11"/>
        <color rgb="FF000000"/>
        <rFont val="Calibri"/>
      </rPr>
      <t xml:space="preserve">SELECT </t>
    </r>
    <r>
      <rPr>
        <sz val="11"/>
        <color rgb="FF000000"/>
        <rFont val="Calibri"/>
      </rPr>
      <t xml:space="preserve">CLT61_CNINCID.IDENTDOC
</t>
    </r>
    <r>
      <rPr>
        <b/>
        <sz val="11"/>
        <color rgb="FF000000"/>
        <rFont val="Calibri"/>
      </rPr>
      <t>WHERE</t>
    </r>
    <r>
      <rPr>
        <sz val="11"/>
        <color rgb="FF000000"/>
        <rFont val="Calibri"/>
      </rPr>
      <t xml:space="preserve"> CLT61_CNINCID.DSAIDA = '9999-12-31' AND CLT61_CNINCID.CEMPRESA = '31'</t>
    </r>
  </si>
  <si>
    <r>
      <rPr>
        <b/>
        <sz val="11"/>
        <color rgb="FF000000"/>
        <rFont val="Calibri"/>
      </rPr>
      <t xml:space="preserve">SELECT </t>
    </r>
    <r>
      <rPr>
        <sz val="11"/>
        <color rgb="FF000000"/>
        <rFont val="Calibri"/>
      </rPr>
      <t xml:space="preserve">CLT61_CNINCID.CPAIS
</t>
    </r>
    <r>
      <rPr>
        <b/>
        <sz val="11"/>
        <color rgb="FF000000"/>
        <rFont val="Calibri"/>
      </rPr>
      <t xml:space="preserve">WHERE </t>
    </r>
    <r>
      <rPr>
        <sz val="11"/>
        <color rgb="FF000000"/>
        <rFont val="Calibri"/>
      </rPr>
      <t>CLT61_CNINCID.DSAIDA = '9999-12-31' AND CLT61_CNINCID.CEMPRESA = '31'</t>
    </r>
  </si>
  <si>
    <t>Identtifies tthe negative situation associated with the identificattion document.</t>
  </si>
  <si>
    <r>
      <rPr>
        <b/>
        <sz val="11"/>
        <color rgb="FF000000"/>
        <rFont val="Calibri"/>
      </rPr>
      <t xml:space="preserve">SELECT </t>
    </r>
    <r>
      <rPr>
        <sz val="11"/>
        <color rgb="FF000000"/>
        <rFont val="Calibri"/>
      </rPr>
      <t xml:space="preserve">CLT61_CNINCID.CODINCID
</t>
    </r>
    <r>
      <rPr>
        <b/>
        <sz val="11"/>
        <color rgb="FF000000"/>
        <rFont val="Calibri"/>
      </rPr>
      <t>WHERE</t>
    </r>
    <r>
      <rPr>
        <sz val="11"/>
        <color rgb="FF000000"/>
        <rFont val="Calibri"/>
      </rPr>
      <t xml:space="preserve"> CLT61_CNINCID.DSAIDA = '9999-12-31' AND CLT61_CNINCID.CEMPRESA = '31'</t>
    </r>
  </si>
  <si>
    <r>
      <rPr>
        <b/>
        <sz val="11"/>
        <color rgb="FF000000"/>
        <rFont val="Calibri"/>
      </rPr>
      <t xml:space="preserve">SELECT </t>
    </r>
    <r>
      <rPr>
        <sz val="11"/>
        <color rgb="FF000000"/>
        <rFont val="Calibri"/>
      </rPr>
      <t xml:space="preserve">CLT61_CNINCID.DENTRADA
</t>
    </r>
    <r>
      <rPr>
        <b/>
        <sz val="11"/>
        <color rgb="FF000000"/>
        <rFont val="Calibri"/>
      </rPr>
      <t xml:space="preserve">WHERE </t>
    </r>
    <r>
      <rPr>
        <sz val="11"/>
        <color rgb="FF000000"/>
        <rFont val="Calibri"/>
      </rPr>
      <t>CLT61_CNINCID.DSAIDA = '9999-12-31' AND CLT61_CNINCID.CEMPRESA = '31'</t>
    </r>
  </si>
  <si>
    <t>DATA_DATE_PART</t>
  </si>
  <si>
    <r>
      <rPr>
        <b/>
        <sz val="11"/>
        <color rgb="FF000000"/>
        <rFont val="Calibri"/>
      </rPr>
      <t xml:space="preserve">SELECT </t>
    </r>
    <r>
      <rPr>
        <sz val="11"/>
        <color rgb="FF000000"/>
        <rFont val="Calibri"/>
      </rPr>
      <t xml:space="preserve">CLT61_CNINCID.DATA_DATE_PART
</t>
    </r>
    <r>
      <rPr>
        <b/>
        <sz val="11"/>
        <color rgb="FF000000"/>
        <rFont val="Calibri"/>
      </rPr>
      <t>WHERE</t>
    </r>
    <r>
      <rPr>
        <sz val="11"/>
        <color rgb="FF000000"/>
        <rFont val="Calibri"/>
      </rPr>
      <t xml:space="preserve"> CLT61_CNINCID.DSAIDA = '9999-12-31' AND CLT61_CNINCID.CEMPRESA = '31'</t>
    </r>
  </si>
  <si>
    <r>
      <rPr>
        <b/>
        <sz val="11"/>
        <color rgb="FF000000"/>
        <rFont val="Calibri"/>
      </rPr>
      <t xml:space="preserve">SELECT </t>
    </r>
    <r>
      <rPr>
        <sz val="11"/>
        <color rgb="FF000000"/>
        <rFont val="Calibri"/>
      </rPr>
      <t xml:space="preserve">NOW()
</t>
    </r>
    <r>
      <rPr>
        <b/>
        <sz val="11"/>
        <color rgb="FF000000"/>
        <rFont val="Calibri"/>
      </rPr>
      <t xml:space="preserve">WHERE </t>
    </r>
    <r>
      <rPr>
        <sz val="11"/>
        <color rgb="FF000000"/>
        <rFont val="Calibri"/>
      </rPr>
      <t>CLT61_CNINCID.DSAIDA = '9999-12-31' AND CLT61_CNINCID.CEMPRESA = '31'</t>
    </r>
  </si>
  <si>
    <t>Individual Segment</t>
  </si>
  <si>
    <t>Código do tipo de segmento a ser considerado.</t>
  </si>
  <si>
    <t>03647_CODTIP
N\A</t>
  </si>
  <si>
    <r>
      <rPr>
        <b/>
        <sz val="11"/>
        <color rgb="FF000000"/>
        <rFont val="Calibri"/>
      </rPr>
      <t xml:space="preserve">SELECT </t>
    </r>
    <r>
      <rPr>
        <sz val="11"/>
        <color rgb="FF000000"/>
        <rFont val="Calibri"/>
      </rPr>
      <t>LPAD( MC_CLIENTE.03647_CODTIP, 3, '0' )</t>
    </r>
  </si>
  <si>
    <t>Código de classificação do segmento em relação ao seu tipo de segmento.</t>
  </si>
  <si>
    <t>O3647_CODSTIP
N\A</t>
  </si>
  <si>
    <r>
      <rPr>
        <b/>
        <sz val="11"/>
        <color rgb="FF000000"/>
        <rFont val="Calibri"/>
      </rPr>
      <t xml:space="preserve">SELECT </t>
    </r>
    <r>
      <rPr>
        <sz val="11"/>
        <color rgb="FF000000"/>
        <rFont val="Calibri"/>
      </rPr>
      <t>LPAD( MC_CLIENTE.O3647_CODSTIP, 3, '0' )</t>
    </r>
  </si>
  <si>
    <r>
      <rPr>
        <b/>
        <sz val="11"/>
        <color rgb="FF000000"/>
        <rFont val="Calibri"/>
      </rPr>
      <t xml:space="preserve">SELECT </t>
    </r>
    <r>
      <rPr>
        <sz val="11"/>
        <color rgb="FF000000"/>
        <rFont val="Calibri"/>
      </rPr>
      <t>MC_CLIENTE.DATA_DATE_PART</t>
    </r>
  </si>
  <si>
    <t>Individual Tax Residence Country</t>
  </si>
  <si>
    <t>PS_PAI_ADI_TRIB
PERS_FISICA_INT
TAT01_CLIENTES</t>
  </si>
  <si>
    <r>
      <rPr>
        <b/>
        <sz val="11"/>
        <color rgb="FF000000"/>
        <rFont val="Calibri"/>
      </rPr>
      <t xml:space="preserve">SELECT </t>
    </r>
    <r>
      <rPr>
        <sz val="11"/>
        <color rgb="FF000000"/>
        <rFont val="Calibri"/>
      </rPr>
      <t xml:space="preserve">LPAD( TAT01_CLIENTES.ZCLIENTE, 10, '0' )
</t>
    </r>
    <r>
      <rPr>
        <b/>
        <sz val="11"/>
        <color rgb="FF000000"/>
        <rFont val="Calibri"/>
      </rPr>
      <t>SELECT</t>
    </r>
    <r>
      <rPr>
        <sz val="11"/>
        <color rgb="FF000000"/>
        <rFont val="Calibri"/>
      </rPr>
      <t xml:space="preserve"> LPAD( TAT01_CLIENTES.ZCLIENTE, 10, '0' )</t>
    </r>
  </si>
  <si>
    <t>PS_PAI_ADI_TRIB
PERS_FISICA_INT
TAT01_CLIENTES
TAT03_PAISES</t>
  </si>
  <si>
    <r>
      <rPr>
        <b/>
        <sz val="11"/>
        <color rgb="FF000000"/>
        <rFont val="Calibri"/>
      </rPr>
      <t xml:space="preserve">SELECT </t>
    </r>
    <r>
      <rPr>
        <sz val="11"/>
        <color rgb="FF000000"/>
        <rFont val="Calibri"/>
      </rPr>
      <t xml:space="preserve">TAT03_PAISES.CPAIS_S
</t>
    </r>
    <r>
      <rPr>
        <b/>
        <sz val="11"/>
        <color rgb="FF000000"/>
        <rFont val="Calibri"/>
      </rPr>
      <t xml:space="preserve">SELECT </t>
    </r>
    <r>
      <rPr>
        <sz val="11"/>
        <color rgb="FF000000"/>
        <rFont val="Calibri"/>
      </rPr>
      <t>TAT03_PAISES.CPAIS_S</t>
    </r>
  </si>
  <si>
    <t>N1420_FEULTACT
N\A
N\A</t>
  </si>
  <si>
    <r>
      <rPr>
        <b/>
        <sz val="11"/>
        <color rgb="FF000000"/>
        <rFont val="Calibri"/>
      </rPr>
      <t xml:space="preserve">SELECT </t>
    </r>
    <r>
      <rPr>
        <sz val="11"/>
        <color rgb="FF000000"/>
        <rFont val="Calibri"/>
      </rPr>
      <t xml:space="preserve">NULL
</t>
    </r>
    <r>
      <rPr>
        <b/>
        <sz val="11"/>
        <color rgb="FF000000"/>
        <rFont val="Calibri"/>
      </rPr>
      <t xml:space="preserve">SELECT </t>
    </r>
    <r>
      <rPr>
        <sz val="11"/>
        <color rgb="FF000000"/>
        <rFont val="Calibri"/>
      </rPr>
      <t>IF( TRIM( PS_PAI_ADI_TRIB.N1420_FEULTACT ) = '', NULL, PS_PAI_ADI_TRIB.N1420_FEULTACT )</t>
    </r>
  </si>
  <si>
    <r>
      <rPr>
        <b/>
        <sz val="11"/>
        <color rgb="FF000000"/>
        <rFont val="Calibri"/>
      </rPr>
      <t xml:space="preserve">SELECT </t>
    </r>
    <r>
      <rPr>
        <sz val="11"/>
        <color rgb="FF000000"/>
        <rFont val="Calibri"/>
      </rPr>
      <t xml:space="preserve">PERS_FISICA_INT.DATA_DATE_PART
</t>
    </r>
    <r>
      <rPr>
        <b/>
        <sz val="11"/>
        <color rgb="FF000000"/>
        <rFont val="Calibri"/>
      </rPr>
      <t xml:space="preserve">SELECT </t>
    </r>
    <r>
      <rPr>
        <sz val="11"/>
        <color rgb="FF000000"/>
        <rFont val="Calibri"/>
      </rPr>
      <t>PS_PAI_ADI_TRIB.DATA_DATE_PART</t>
    </r>
  </si>
  <si>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NOW()</t>
    </r>
  </si>
  <si>
    <t>Party</t>
  </si>
  <si>
    <t>COMMON_PARTY_ENTITIES
COMMON_PARTY_INDIVIDUAL</t>
  </si>
  <si>
    <t>COMMON_ENTITY
COMMON_INDIVIDUAL</t>
  </si>
  <si>
    <t>PARTY_ID
PARTY_ID</t>
  </si>
  <si>
    <r>
      <rPr>
        <b/>
        <sz val="11"/>
        <color rgb="FF000000"/>
        <rFont val="Calibri"/>
        <scheme val="minor"/>
      </rPr>
      <t xml:space="preserve">SELECT </t>
    </r>
    <r>
      <rPr>
        <sz val="11"/>
        <color rgb="FF000000"/>
        <rFont val="Calibri"/>
        <scheme val="minor"/>
      </rPr>
      <t xml:space="preserve">COMMON_ENTITY.PARTY_ID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COMMON_INDIVIDUAL.PARTY_ID
</t>
    </r>
    <r>
      <rPr>
        <b/>
        <sz val="11"/>
        <color rgb="FF000000"/>
        <rFont val="Calibri"/>
        <scheme val="minor"/>
      </rPr>
      <t>WHERE</t>
    </r>
  </si>
  <si>
    <t>Partenon ID</t>
  </si>
  <si>
    <t>partenon_id</t>
  </si>
  <si>
    <t>Int Inf - Clt Int - ID</t>
  </si>
  <si>
    <t>Unique identifier of the party in Santander Partenon's system.</t>
  </si>
  <si>
    <t>Identificador único do cliente no sistema Partenon do Santander.</t>
  </si>
  <si>
    <t>COMMON_PARTY_ENTITIES
COMMON_PARTY_INDIVIDUAL
CURATED_INTERNAL_MAINFRAME_ESTRUTURAIS</t>
  </si>
  <si>
    <t>COMMON_ENTITY
COMMON_INDIVIDUAL
TAT01_CLIENTES</t>
  </si>
  <si>
    <t>N\A
N\A
TIPO_PERS, COD_PERS</t>
  </si>
  <si>
    <r>
      <rPr>
        <b/>
        <sz val="11"/>
        <color rgb="FF000000"/>
        <rFont val="Calibri"/>
        <scheme val="minor"/>
      </rPr>
      <t xml:space="preserve">SELECT </t>
    </r>
    <r>
      <rPr>
        <sz val="11"/>
        <color rgb="FF000000"/>
        <rFont val="Calibri"/>
        <scheme val="minor"/>
      </rPr>
      <t xml:space="preserve">IF( TRIM(CONCAT( TAT01_CLIENTES.TIPO_PERS, tat01.COD_PERS ) ) = '', NULL, CONCAT( TAT01_CLIENTES.TIPO_PERS, LPAD( TAT01_CLIENTES.COD_PERS, 9, '0' ) ) )
</t>
    </r>
    <r>
      <rPr>
        <b/>
        <sz val="11"/>
        <color rgb="FF000000"/>
        <rFont val="Calibri"/>
        <scheme val="minor"/>
      </rPr>
      <t xml:space="preserve">WHERE
</t>
    </r>
    <r>
      <rPr>
        <sz val="11"/>
        <color rgb="FF000000"/>
        <rFont val="Calibri"/>
        <scheme val="minor"/>
      </rPr>
      <t xml:space="preserve">
</t>
    </r>
    <r>
      <rPr>
        <b/>
        <sz val="11"/>
        <color rgb="FF000000"/>
        <rFont val="Calibri"/>
        <scheme val="minor"/>
      </rPr>
      <t>SELECT</t>
    </r>
    <r>
      <rPr>
        <sz val="11"/>
        <color rgb="FF000000"/>
        <rFont val="Calibri"/>
        <scheme val="minor"/>
      </rPr>
      <t xml:space="preserve"> IF( TRIM(CONCAT( TAT01_CLIENTES.TIPO_PERS, tat01.COD_PERS ) ) = '', NULL, CONCAT( TAT01_CLIENTES.TIPO_PERS, LPAD( TAT01_CLIENTES.COD_PERS, 9, '0' ) ) )
WHERE </t>
    </r>
  </si>
  <si>
    <t>PERS_FISICA_INT || PERS_JCA_INT</t>
  </si>
  <si>
    <t>CONCAT( TIPO_PERS, COD_PERS ) || CONCAT( TIPO_PERS, COD_PERS )</t>
  </si>
  <si>
    <t>Zcligrupo ID</t>
  </si>
  <si>
    <t>zcligrupo_id</t>
  </si>
  <si>
    <t>Identifies the ZCLIGRUPO (Santander's internal party aggregator) of the party.</t>
  </si>
  <si>
    <t xml:space="preserve">Identifica o ZCLIGRUPO (agregador interno de clientes do Santander) do cliente. </t>
  </si>
  <si>
    <t>COMMON_PARTY_ENTITIES
COMMON_PARTY_INDIVIDUAL
CURATED_INTERNAL_MAINFRAME_CLIENTES</t>
  </si>
  <si>
    <t>COMMON_ENTITY
COMMON_INDIVIDUAL
CLT50_ZCLIGRUPO</t>
  </si>
  <si>
    <t>N\A
N\A
ZCLIGRUPO</t>
  </si>
  <si>
    <r>
      <rPr>
        <b/>
        <sz val="11"/>
        <color rgb="FF000000"/>
        <rFont val="Calibri"/>
        <scheme val="minor"/>
      </rPr>
      <t xml:space="preserve">SELECT </t>
    </r>
    <r>
      <rPr>
        <sz val="11"/>
        <color rgb="FF000000"/>
        <rFont val="Calibri"/>
        <scheme val="minor"/>
      </rPr>
      <t xml:space="preserve">IF( TRIM( CLT50_ZCLIGRUPO.ZCLIGRUPO ) = '', NULL, LPAD( CLT50_ZCLIGRUPO.ZCLIGRUPO, 10, '0' ) )
</t>
    </r>
    <r>
      <rPr>
        <b/>
        <sz val="11"/>
        <color rgb="FF000000"/>
        <rFont val="Calibri"/>
        <scheme val="minor"/>
      </rPr>
      <t xml:space="preserve">WHERE
</t>
    </r>
    <r>
      <rPr>
        <sz val="11"/>
        <color rgb="FF000000"/>
        <rFont val="Calibri"/>
        <scheme val="minor"/>
      </rPr>
      <t xml:space="preserve">
</t>
    </r>
    <r>
      <rPr>
        <b/>
        <sz val="11"/>
        <color rgb="FF000000"/>
        <rFont val="Calibri"/>
        <scheme val="minor"/>
      </rPr>
      <t>SELECT</t>
    </r>
    <r>
      <rPr>
        <sz val="11"/>
        <color rgb="FF000000"/>
        <rFont val="Calibri"/>
        <scheme val="minor"/>
      </rPr>
      <t xml:space="preserve"> IF( TRIM( CLT50_ZCLIGRUPO.ZCLIGRUPO ) = '', NULL, LPAD( CLT50_ZCLIGRUPO.ZCLIGRUPO, 10, '0' ) )
WHERE </t>
    </r>
  </si>
  <si>
    <t>CLT50_ZCLIGRUPO</t>
  </si>
  <si>
    <t>KGL GBO ID</t>
  </si>
  <si>
    <t>kgl_gbo_id</t>
  </si>
  <si>
    <t>Santander's corporative identification for KGL.</t>
  </si>
  <si>
    <t>Identificação corporativa do Santander para KGL.</t>
  </si>
  <si>
    <t>COMMON_ENTITY
COMMON_INDIVIDUAL
RASTREAB_CLIENTE_KGL</t>
  </si>
  <si>
    <t>N\A
N\A
CLYR2210_CODGLCS</t>
  </si>
  <si>
    <r>
      <rPr>
        <b/>
        <sz val="11"/>
        <color rgb="FF000000"/>
        <rFont val="Calibri"/>
        <scheme val="minor"/>
      </rPr>
      <t xml:space="preserve">SELECT </t>
    </r>
    <r>
      <rPr>
        <sz val="11"/>
        <color rgb="FF000000"/>
        <rFont val="Calibri"/>
        <scheme val="minor"/>
      </rPr>
      <t xml:space="preserve">IF( TRIM( RASTREAB_CLIENTE_KGL.CLYR2210_CODGLCS ) = '', NULL, RASTREAB_CLIENTE_KGL.CLYR2210_CODGLCS )
</t>
    </r>
    <r>
      <rPr>
        <b/>
        <sz val="11"/>
        <color rgb="FF000000"/>
        <rFont val="Calibri"/>
        <scheme val="minor"/>
      </rPr>
      <t xml:space="preserve">WHERE </t>
    </r>
    <r>
      <rPr>
        <sz val="11"/>
        <color rgb="FF000000"/>
        <rFont val="Calibri"/>
        <scheme val="minor"/>
      </rPr>
      <t xml:space="preserve">MAX( RASTREAB_CLIENTE_KGL.CLYR2210_CODGLCS ) AND RASTREAB_CLIENTE_KGL.CLYR2210_ESTADENT != 'Disabled' 
</t>
    </r>
    <r>
      <rPr>
        <b/>
        <sz val="11"/>
        <color rgb="FF000000"/>
        <rFont val="Calibri"/>
        <scheme val="minor"/>
      </rPr>
      <t xml:space="preserve">SELECT </t>
    </r>
    <r>
      <rPr>
        <sz val="11"/>
        <color rgb="FF000000"/>
        <rFont val="Calibri"/>
        <scheme val="minor"/>
      </rPr>
      <t xml:space="preserve">IF( TRIM( RASTREAB_CLIENTE_KGL.CLYR2210_CODGLCS ) = '', NULL, RASTREAB_CLIENTE_KGL.CLYR2210_CODGLCS )
</t>
    </r>
    <r>
      <rPr>
        <b/>
        <sz val="11"/>
        <color rgb="FF000000"/>
        <rFont val="Calibri"/>
        <scheme val="minor"/>
      </rPr>
      <t xml:space="preserve">WHERE </t>
    </r>
    <r>
      <rPr>
        <sz val="11"/>
        <color rgb="FF000000"/>
        <rFont val="Calibri"/>
        <scheme val="minor"/>
      </rPr>
      <t xml:space="preserve">MAX( RASTREAB_CLIENTE_KGL.CLYR2210_CODGLCS ) AND RASTREAB_CLIENTE_KGL.CLYR2210_ESTADENT != 'Disabled' 
</t>
    </r>
  </si>
  <si>
    <t>PRDX.CL.D10.CLM22D10.CLYR2210.CIB</t>
  </si>
  <si>
    <t>CODGLCS</t>
  </si>
  <si>
    <t>KGL CIB ID</t>
  </si>
  <si>
    <t>kgl_cib_id</t>
  </si>
  <si>
    <t>COMMON_ENTITY
COMMON_INDIVIDUAL
CLT45_FCLI</t>
  </si>
  <si>
    <t>N\A
N\A
CKCLIKGL</t>
  </si>
  <si>
    <r>
      <rPr>
        <b/>
        <sz val="11"/>
        <color rgb="FF000000"/>
        <rFont val="Calibri"/>
        <scheme val="minor"/>
      </rPr>
      <t xml:space="preserve">SELECT </t>
    </r>
    <r>
      <rPr>
        <sz val="11"/>
        <color rgb="FF000000"/>
        <rFont val="Calibri"/>
        <scheme val="minor"/>
      </rPr>
      <t xml:space="preserve">IF( TRIM( CLT45_FCLI.CKCLIKGL ) = '', NULL, LPAD( CLT45_FCLI.CKCLIKGL, 6, '0' )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CLT45_FCLI.CKCLIKGL ) = '', NULL, LPAD( CLT45_FCLI.CKCLIKGL, 6, '0' ) )
</t>
    </r>
    <r>
      <rPr>
        <b/>
        <sz val="11"/>
        <color rgb="FF000000"/>
        <rFont val="Calibri"/>
        <scheme val="minor"/>
      </rPr>
      <t>WHERE</t>
    </r>
  </si>
  <si>
    <t>CKCLIKGL</t>
  </si>
  <si>
    <t>SIGOM CLIENT ID</t>
  </si>
  <si>
    <t>sigom_client_id</t>
  </si>
  <si>
    <t>CCLIENTE_SIGOM</t>
  </si>
  <si>
    <t>Employee ID</t>
  </si>
  <si>
    <t>employee_id</t>
  </si>
  <si>
    <t>If applicable, identifies the party's employee id in Santander's systems.</t>
  </si>
  <si>
    <t>Se aplicável, identifica o colaborador associado ao cliente nos sistemas do Santander.</t>
  </si>
  <si>
    <t>Parties
Parties - Clasification</t>
  </si>
  <si>
    <t>Employee ID
Confidential Level</t>
  </si>
  <si>
    <t>N\A
N\A
ZEMPCLI</t>
  </si>
  <si>
    <r>
      <rPr>
        <b/>
        <sz val="11"/>
        <color rgb="FF000000"/>
        <rFont val="Calibri"/>
        <scheme val="minor"/>
      </rPr>
      <t xml:space="preserve">SELECT </t>
    </r>
    <r>
      <rPr>
        <sz val="11"/>
        <color rgb="FF000000"/>
        <rFont val="Calibri"/>
        <scheme val="minor"/>
      </rPr>
      <t xml:space="preserve">IF( TRIM( CLT45_FCLI.ZEMPCLI ) = '', NULL, LPAD( CLT45_FCLI.ZEMPCLI, 9, '0' )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CLT45_FCLI.ZEMPCLI ) = '', NULL, LPAD( CLT45_FCLI.ZEMPCLI, 9, '0' ) )
</t>
    </r>
    <r>
      <rPr>
        <b/>
        <sz val="11"/>
        <color rgb="FF000000"/>
        <rFont val="Calibri"/>
        <scheme val="minor"/>
      </rPr>
      <t>WHERE</t>
    </r>
  </si>
  <si>
    <t>ZEMPCLI</t>
  </si>
  <si>
    <t>Party Type Code</t>
  </si>
  <si>
    <t>party_type_code</t>
  </si>
  <si>
    <t>Indicates whether the party is an individual or an entity.</t>
  </si>
  <si>
    <t>Indica se o cliente é um individuo ou uma entidade.</t>
  </si>
  <si>
    <t>Party Type:
N\A (F - Físico; J - Jurídico); N\A (F - Físico; J - Jurídico)</t>
  </si>
  <si>
    <t>Party Type</t>
  </si>
  <si>
    <t>N\A
N\A
TIPO_PERS</t>
  </si>
  <si>
    <r>
      <rPr>
        <b/>
        <sz val="11"/>
        <color rgb="FF000000"/>
        <rFont val="Calibri"/>
        <scheme val="minor"/>
      </rPr>
      <t xml:space="preserve">SELECT </t>
    </r>
    <r>
      <rPr>
        <sz val="11"/>
        <color rgb="FF000000"/>
        <rFont val="Calibri"/>
        <scheme val="minor"/>
      </rPr>
      <t xml:space="preserve">IF( TRIM( TAT01_CLIENTES.TIPO_PERS ) = '', NULL, TAT01_CLIENTES.TIPO_PERS )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IF( TRIM( TAT01_CLIENTES.TIPO_PERS ) = '', NULL, TAT01_CLIENTES.TIPO_PERS )
</t>
    </r>
    <r>
      <rPr>
        <b/>
        <sz val="11"/>
        <color rgb="FF000000"/>
        <rFont val="Calibri"/>
        <scheme val="minor"/>
      </rPr>
      <t>WHERE</t>
    </r>
  </si>
  <si>
    <t>TIPO_PERS || TIPO_PERS</t>
  </si>
  <si>
    <t>Common Table Name</t>
  </si>
  <si>
    <t>common_table_name</t>
  </si>
  <si>
    <t>Tec - Value</t>
  </si>
  <si>
    <t>Name of the common layer's origin table of the party.</t>
  </si>
  <si>
    <t>Nome da tabela de origem da camada comum do cliente.</t>
  </si>
  <si>
    <r>
      <rPr>
        <b/>
        <sz val="11"/>
        <color rgb="FF000000"/>
        <rFont val="Calibri"/>
        <scheme val="minor"/>
      </rPr>
      <t xml:space="preserve">SELECT </t>
    </r>
    <r>
      <rPr>
        <sz val="11"/>
        <color rgb="FF000000"/>
        <rFont val="Calibri"/>
        <scheme val="minor"/>
      </rPr>
      <t xml:space="preserve">'common_parties_entities.entity'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'common_parties_individuals.individual'
</t>
    </r>
    <r>
      <rPr>
        <b/>
        <sz val="11"/>
        <color rgb="FF000000"/>
        <rFont val="Calibri"/>
        <scheme val="minor"/>
      </rPr>
      <t>WHERE</t>
    </r>
  </si>
  <si>
    <t>DATA_DATE_PART
DATA_DATE_PART</t>
  </si>
  <si>
    <r>
      <rPr>
        <b/>
        <sz val="11"/>
        <color rgb="FF000000"/>
        <rFont val="Calibri"/>
        <scheme val="minor"/>
      </rPr>
      <t xml:space="preserve">SELECT </t>
    </r>
    <r>
      <rPr>
        <sz val="11"/>
        <color rgb="FF000000"/>
        <rFont val="Calibri"/>
        <scheme val="minor"/>
      </rPr>
      <t xml:space="preserve">COMMON_ENTITY.DATA_DATE_PART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COMMON_INDIVIDUAL.DATA_DATE_PART
</t>
    </r>
    <r>
      <rPr>
        <b/>
        <sz val="11"/>
        <color rgb="FF000000"/>
        <rFont val="Calibri"/>
        <scheme val="minor"/>
      </rPr>
      <t>WHERE</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</si>
  <si>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r>
      <rPr>
        <sz val="11"/>
        <color rgb="FF000000"/>
        <rFont val="Calibri"/>
        <scheme val="minor"/>
      </rPr>
      <t xml:space="preserve">
</t>
    </r>
    <r>
      <rPr>
        <b/>
        <sz val="11"/>
        <color rgb="FF000000"/>
        <rFont val="Calibri"/>
        <scheme val="minor"/>
      </rPr>
      <t xml:space="preserve">SELECT </t>
    </r>
    <r>
      <rPr>
        <sz val="11"/>
        <color rgb="FF000000"/>
        <rFont val="Calibri"/>
        <scheme val="minor"/>
      </rPr>
      <t xml:space="preserve">NOW()
</t>
    </r>
    <r>
      <rPr>
        <b/>
        <sz val="11"/>
        <color rgb="FF000000"/>
        <rFont val="Calibri"/>
        <scheme val="minor"/>
      </rPr>
      <t>WHERE</t>
    </r>
  </si>
  <si>
    <t>Party - Party Relationship</t>
  </si>
  <si>
    <t>Parties - Association</t>
  </si>
  <si>
    <t>RELAC_PERSONA
TAT01_CLIENTES</t>
  </si>
  <si>
    <t>TIPO_PERS1, COD_PERS1
ZCLIENTE</t>
  </si>
  <si>
    <t>RELAC_PERSONA -&gt; TAT01_CLIENTES</t>
  </si>
  <si>
    <t>CONCAT( TIPO_PERS1, COD_PERS1 ) -&gt; ZCLIENTE</t>
  </si>
  <si>
    <t>Related Party ID</t>
  </si>
  <si>
    <t>related_party_id</t>
  </si>
  <si>
    <t>Unique identifier of the related party.</t>
  </si>
  <si>
    <t>Identificador único do cliente associado.</t>
  </si>
  <si>
    <t>TIPO_PERS2, COD_PERS2
ZCLIENTE</t>
  </si>
  <si>
    <t>CONCAT( TIPO_PERS2, COD_PERS2 ) -&gt; ZCLIENTE</t>
  </si>
  <si>
    <t>Party Relationship Type Code</t>
  </si>
  <si>
    <t>party_rel_type_code</t>
  </si>
  <si>
    <t>Code for the relationship type between the related parties.</t>
  </si>
  <si>
    <t>Código que identifica o tipo de relação entre clientes.</t>
  </si>
  <si>
    <t>Party Relationship Type:
TIPO_RELCLI -&gt; TAT91 - CTABELA 156; CURATED_INTERNAL_MAINFRAME_ESTRUTURAIS.TAT91_TABELAS - TAYD91C0_CTABELA 156</t>
  </si>
  <si>
    <t>Relationship Type</t>
  </si>
  <si>
    <t>RELAC_PERSONA
TAT01_CLIENTES
TAT18_RELCLI</t>
  </si>
  <si>
    <t>N\A
N\A
CRELCLI</t>
  </si>
  <si>
    <r>
      <rPr>
        <b/>
        <sz val="11"/>
        <color rgb="FF000000"/>
        <rFont val="Calibri"/>
      </rPr>
      <t xml:space="preserve">SELECT </t>
    </r>
    <r>
      <rPr>
        <sz val="11"/>
        <color rgb="FF000000"/>
        <rFont val="Calibri"/>
      </rPr>
      <t>TAT18_RELCLI.CRELCLI</t>
    </r>
  </si>
  <si>
    <t>RELAC_PERSONA -&gt; TAT18_RELCLI</t>
  </si>
  <si>
    <t>TIPO_RELAC -&gt; CRELCLI</t>
  </si>
  <si>
    <t>Date of the start of relationship between the related parties.</t>
  </si>
  <si>
    <t>Data de inicio de relação entre os clientes.</t>
  </si>
  <si>
    <t>RLP_FEC_ALTSIS
N\A</t>
  </si>
  <si>
    <r>
      <rPr>
        <b/>
        <sz val="11"/>
        <color rgb="FF000000"/>
        <rFont val="Calibri"/>
      </rPr>
      <t xml:space="preserve">SELECT </t>
    </r>
    <r>
      <rPr>
        <sz val="11"/>
        <color rgb="FF000000"/>
        <rFont val="Calibri"/>
      </rPr>
      <t>CAST( RELAC_PERSONA.RLP_FEC_ALTSIS AS STRING )</t>
    </r>
  </si>
  <si>
    <t>RELAC_PERSONA</t>
  </si>
  <si>
    <t>FEC_ALTSIS</t>
  </si>
  <si>
    <t>Investment Percentage</t>
  </si>
  <si>
    <t>investment_percentage</t>
  </si>
  <si>
    <t>Percentage participation held by the party in the group.</t>
  </si>
  <si>
    <t>Participação em precentagem que o cliente detém do grupo.</t>
  </si>
  <si>
    <t>RLP_TPC_PARTIC
N\A</t>
  </si>
  <si>
    <r>
      <rPr>
        <b/>
        <sz val="11"/>
        <color rgb="FF000000"/>
        <rFont val="Calibri"/>
      </rPr>
      <t xml:space="preserve">SELECT </t>
    </r>
    <r>
      <rPr>
        <sz val="11"/>
        <color rgb="FF000000"/>
        <rFont val="Calibri"/>
      </rPr>
      <t>CAST( RELAC_PERSONA.RLP_TPC_PARTIC AS DECIMAL( 23, 6 ) )</t>
    </r>
  </si>
  <si>
    <t>TPC_PARTIC</t>
  </si>
  <si>
    <r>
      <rPr>
        <b/>
        <sz val="11"/>
        <color rgb="FF000000"/>
        <rFont val="Calibri"/>
      </rPr>
      <t xml:space="preserve">SELECT </t>
    </r>
    <r>
      <rPr>
        <sz val="11"/>
        <color rgb="FF000000"/>
        <rFont val="Calibri"/>
      </rPr>
      <t>RELAC_PERSONA.DATA_DATE_PART</t>
    </r>
  </si>
  <si>
    <t>Party Fusion</t>
  </si>
  <si>
    <t>Fusion Party ID</t>
  </si>
  <si>
    <t>fusion_party_id</t>
  </si>
  <si>
    <t>Identifies the party id that suffered a fusion process and was deleted.</t>
  </si>
  <si>
    <t>Identifica o party_id que sofreu o processo de fusão e foi eliminado.</t>
  </si>
  <si>
    <t>CLT26_PEDFUS
ENTITY_UNIVERSE
INDIVIDUAL_UNIVERSE</t>
  </si>
  <si>
    <t>ZCLIORIG
N\A
N\A
N\A</t>
  </si>
  <si>
    <r>
      <rPr>
        <b/>
        <sz val="11"/>
        <color rgb="FF000000"/>
        <rFont val="Calibri"/>
        <scheme val="minor"/>
      </rPr>
      <t xml:space="preserve">SELECT </t>
    </r>
    <r>
      <rPr>
        <sz val="11"/>
        <color rgb="FF000000"/>
        <rFont val="Calibri"/>
        <scheme val="minor"/>
      </rPr>
      <t xml:space="preserve">CLT26_PEDFUS.ZCLIORIG
</t>
    </r>
    <r>
      <rPr>
        <b/>
        <sz val="11"/>
        <color rgb="FF000000"/>
        <rFont val="Calibri"/>
        <scheme val="minor"/>
      </rPr>
      <t xml:space="preserve">WHERE
SELECT </t>
    </r>
    <r>
      <rPr>
        <sz val="11"/>
        <color rgb="FF000000"/>
        <rFont val="Calibri"/>
        <scheme val="minor"/>
      </rPr>
      <t xml:space="preserve">CLT26_PEDFUS.ZCLIORIG
</t>
    </r>
    <r>
      <rPr>
        <b/>
        <sz val="11"/>
        <color rgb="FF000000"/>
        <rFont val="Calibri"/>
        <scheme val="minor"/>
      </rPr>
      <t xml:space="preserve">WHERE
</t>
    </r>
  </si>
  <si>
    <t>CLT26_PEDFUS</t>
  </si>
  <si>
    <t>ZCLIORIG</t>
  </si>
  <si>
    <t>Survival Party ID</t>
  </si>
  <si>
    <t>survival_party_id</t>
  </si>
  <si>
    <t>Identifies the party id that incorporated the deleted party id.</t>
  </si>
  <si>
    <t>Identifica o party_id que incorporou o party_id eliminado.</t>
  </si>
  <si>
    <t>ZCLIDEST
N\A
N\A
N\A</t>
  </si>
  <si>
    <r>
      <rPr>
        <b/>
        <sz val="11"/>
        <color rgb="FF000000"/>
        <rFont val="Calibri"/>
        <scheme val="minor"/>
      </rPr>
      <t xml:space="preserve">SELECT </t>
    </r>
    <r>
      <rPr>
        <sz val="11"/>
        <color rgb="FF000000"/>
        <rFont val="Calibri"/>
        <scheme val="minor"/>
      </rPr>
      <t xml:space="preserve">IF( TRIM( CLT26_PEDFUS.ZCLIDEST ) = '', NULL, CLT26_PEDFUS.ZCLIDEST )
</t>
    </r>
    <r>
      <rPr>
        <b/>
        <sz val="11"/>
        <color rgb="FF000000"/>
        <rFont val="Calibri"/>
        <scheme val="minor"/>
      </rPr>
      <t xml:space="preserve">WHERE
SELECT </t>
    </r>
    <r>
      <rPr>
        <sz val="11"/>
        <color rgb="FF000000"/>
        <rFont val="Calibri"/>
        <scheme val="minor"/>
      </rPr>
      <t xml:space="preserve">IF( TRIM( CLT26_PEDFUS.ZCLIDEST ) = '', NULL, CLT26_PEDFUS.ZCLIDEST )
</t>
    </r>
    <r>
      <rPr>
        <b/>
        <sz val="11"/>
        <color rgb="FF000000"/>
        <rFont val="Calibri"/>
        <scheme val="minor"/>
      </rPr>
      <t xml:space="preserve">WHERE
</t>
    </r>
  </si>
  <si>
    <t>ZCLIDEST</t>
  </si>
  <si>
    <t>Current Survival Party ID</t>
  </si>
  <si>
    <t>current_survival_party_id</t>
  </si>
  <si>
    <t>Identifies the new party id of the party id that incorporated the deleted party id.</t>
  </si>
  <si>
    <t>Identifica o novo party_id do party_id que incorporou o party_id eliminado.</t>
  </si>
  <si>
    <r>
      <rPr>
        <b/>
        <sz val="11"/>
        <color rgb="FF000000"/>
        <rFont val="Calibri"/>
        <scheme val="minor"/>
      </rPr>
      <t xml:space="preserve">SELECT </t>
    </r>
    <r>
      <rPr>
        <sz val="11"/>
        <color rgb="FF000000"/>
        <rFont val="Calibri"/>
        <scheme val="minor"/>
      </rPr>
      <t xml:space="preserve">IF( TRIM( CLT26_PEDFUS.ZCLIENTE ) = '', NULL, CLT26_PEDFUS.ZCLIENTE )
</t>
    </r>
    <r>
      <rPr>
        <b/>
        <sz val="11"/>
        <color rgb="FF000000"/>
        <rFont val="Calibri"/>
        <scheme val="minor"/>
      </rPr>
      <t xml:space="preserve">WHERE 
SELECT </t>
    </r>
    <r>
      <rPr>
        <sz val="11"/>
        <color rgb="FF000000"/>
        <rFont val="Calibri"/>
        <scheme val="minor"/>
      </rPr>
      <t xml:space="preserve">IF( TRIM( CLT26_PEDFUS.ZCLIENTE ) = '', NULL, CLT26_PEDFUS.ZCLIENTE )
</t>
    </r>
    <r>
      <rPr>
        <b/>
        <sz val="11"/>
        <color rgb="FF000000"/>
        <rFont val="Calibri"/>
        <scheme val="minor"/>
      </rPr>
      <t xml:space="preserve">WHERE
</t>
    </r>
  </si>
  <si>
    <t>Fusion Date</t>
  </si>
  <si>
    <t>fusion_date</t>
  </si>
  <si>
    <t>Date in which the fusion process was asked.</t>
  </si>
  <si>
    <t>Data em que o processo de fusão foi pedido.</t>
  </si>
  <si>
    <t>DPEDFUS
N\A
N\A
N\A</t>
  </si>
  <si>
    <r>
      <rPr>
        <b/>
        <sz val="11"/>
        <color rgb="FF000000"/>
        <rFont val="Calibri"/>
        <scheme val="minor"/>
      </rPr>
      <t xml:space="preserve">SELECT </t>
    </r>
    <r>
      <rPr>
        <sz val="11"/>
        <color rgb="FF000000"/>
        <rFont val="Calibri"/>
        <scheme val="minor"/>
      </rPr>
      <t xml:space="preserve">IF( TRIM( CLT26_PEDFUS.DPEDFUS ) = '', NULL, CLT26_PEDFUS.DPEDFUS )
</t>
    </r>
    <r>
      <rPr>
        <b/>
        <sz val="11"/>
        <color rgb="FF000000"/>
        <rFont val="Calibri"/>
        <scheme val="minor"/>
      </rPr>
      <t>WHERE 
SELECT</t>
    </r>
    <r>
      <rPr>
        <sz val="11"/>
        <color rgb="FF000000"/>
        <rFont val="Calibri"/>
        <scheme val="minor"/>
      </rPr>
      <t xml:space="preserve"> IF( TRIM( CLT26_PEDFUS.DPEDFUS ) = '', NULL, CLT26_PEDFUS.DPEDFUS )
</t>
    </r>
    <r>
      <rPr>
        <b/>
        <sz val="11"/>
        <color rgb="FF000000"/>
        <rFont val="Calibri"/>
        <scheme val="minor"/>
      </rPr>
      <t xml:space="preserve">WHERE </t>
    </r>
  </si>
  <si>
    <t>DPEDFUS</t>
  </si>
  <si>
    <t>Survival Party Update Date</t>
  </si>
  <si>
    <t>survival_party_update_date</t>
  </si>
  <si>
    <t>Date in which the survival party id changed party id.</t>
  </si>
  <si>
    <t>Data em que o party_id de sobrevivência mudou o party_id.</t>
  </si>
  <si>
    <t>DZCLISOB
N\A
N\A
N\A</t>
  </si>
  <si>
    <r>
      <rPr>
        <b/>
        <sz val="11"/>
        <color rgb="FF000000"/>
        <rFont val="Calibri"/>
        <scheme val="minor"/>
      </rPr>
      <t xml:space="preserve">SELECT </t>
    </r>
    <r>
      <rPr>
        <sz val="11"/>
        <color rgb="FF000000"/>
        <rFont val="Calibri"/>
        <scheme val="minor"/>
      </rPr>
      <t xml:space="preserve">IF( TRIM( CLT26_PEDFUS.DZCLISOB ) = '', NULL, CLT26_PEDFUS.DZCLISOB )
</t>
    </r>
    <r>
      <rPr>
        <b/>
        <sz val="11"/>
        <color rgb="FF000000"/>
        <rFont val="Calibri"/>
        <scheme val="minor"/>
      </rPr>
      <t>WHERE 
SELECT</t>
    </r>
    <r>
      <rPr>
        <sz val="11"/>
        <color rgb="FF000000"/>
        <rFont val="Calibri"/>
        <scheme val="minor"/>
      </rPr>
      <t xml:space="preserve"> IF( TRIM( CLT26_PEDFUS.DZCLISOB ) = '', NULL, CLT26_PEDFUS.DZCLISOB )
</t>
    </r>
    <r>
      <rPr>
        <b/>
        <sz val="11"/>
        <color rgb="FF000000"/>
        <rFont val="Calibri"/>
        <scheme val="minor"/>
      </rPr>
      <t xml:space="preserve">WHERE </t>
    </r>
  </si>
  <si>
    <t>DZCLISOB</t>
  </si>
  <si>
    <r>
      <rPr>
        <b/>
        <sz val="11"/>
        <color rgb="FF000000"/>
        <rFont val="Calibri"/>
        <scheme val="minor"/>
      </rPr>
      <t xml:space="preserve">SELECT </t>
    </r>
    <r>
      <rPr>
        <sz val="11"/>
        <color rgb="FF000000"/>
        <rFont val="Calibri"/>
        <scheme val="minor"/>
      </rPr>
      <t xml:space="preserve">CLT26_PEDFUS.DATA_DATE_PART
</t>
    </r>
    <r>
      <rPr>
        <b/>
        <sz val="11"/>
        <color rgb="FF000000"/>
        <rFont val="Calibri"/>
        <scheme val="minor"/>
      </rPr>
      <t xml:space="preserve">WHERE 
SELECT </t>
    </r>
    <r>
      <rPr>
        <sz val="11"/>
        <color rgb="FF000000"/>
        <rFont val="Calibri"/>
        <scheme val="minor"/>
      </rPr>
      <t xml:space="preserve">CLT26_PEDFUS.DATA_DATE_PART
</t>
    </r>
    <r>
      <rPr>
        <b/>
        <sz val="11"/>
        <color rgb="FF000000"/>
        <rFont val="Calibri"/>
        <scheme val="minor"/>
      </rPr>
      <t xml:space="preserve">WHERE </t>
    </r>
  </si>
  <si>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WHERE </t>
    </r>
  </si>
  <si>
    <t xml:space="preserve">NOME BD </t>
  </si>
  <si>
    <t>NOME FÍSICO BD FONTE ESQUERDA</t>
  </si>
  <si>
    <t>NOME FÍSICO TABELA FONTE ESQUERDA</t>
  </si>
  <si>
    <t>NOME FÍSICO BD FONTE DIREITA</t>
  </si>
  <si>
    <t>NOME FÍSICO TABELA FONTE DIREITA</t>
  </si>
  <si>
    <t>REGRA DE CRUZAMENTO</t>
  </si>
  <si>
    <t>TIPO CRUZAMENTO</t>
  </si>
  <si>
    <t>migration_business_gruposeconomicos</t>
  </si>
  <si>
    <t>ct088_univ_gcl_d</t>
  </si>
  <si>
    <t>curated_internal_mainframe_estruturais</t>
  </si>
  <si>
    <t>tat01_clientes</t>
  </si>
  <si>
    <t>ct088_univ_gcl_d.zcliente = tat01_clientes.zcliente</t>
  </si>
  <si>
    <t>inner</t>
  </si>
  <si>
    <t>curated_internal_mainframe_clientes</t>
  </si>
  <si>
    <t>pers_jca_int</t>
  </si>
  <si>
    <t>pers_jca_int.e2085_tipo_pers = tat01_clientes.tipo_pers and pers_jca_int.e2085_cod_pers = lpad( tat01_clientes.cod_pers, 9, '0' )</t>
  </si>
  <si>
    <t>curated_internal_mainframe_exclientes</t>
  </si>
  <si>
    <t xml:space="preserve">gdt01_controlo </t>
  </si>
  <si>
    <t>tat01_clientes.tipo_pers = gdt01_controlo .tipo_pers and lpad( tat01_clientes.cod_pers, 9, '0' ) = gdt01_controlo .cod_pers</t>
  </si>
  <si>
    <t>left</t>
  </si>
  <si>
    <t>crs_classif</t>
  </si>
  <si>
    <t>crs_classif.r4084_cod_pers = crs_classif.cod_pers and crs_classif.r4084_tipo_pers = crs_classif.tipo_pers and crs_classif.r4084_nr_seq = crs_classif.max( r4084_nr_seq )</t>
  </si>
  <si>
    <t>cliente_segmen2</t>
  </si>
  <si>
    <t>pers_jca_int.e2085_tipo_pers = cliente_segmen2.e0840_tipopers and pers_jca_int.e2085_cod_pers = cliente_segmen2.e0840_codpers
where cliente_segmen2.e0840_fecbaj = '9999-12-31' and  cliente_segmen2.e0840_cdsegmen = '10' and  cliente_segmen2.e0840_codseg IN ('SU', 'IU', 'PN', 'NP')</t>
  </si>
  <si>
    <t>pers_jca_int.e2085_cod_pers = crs_classif.r4084_cod_pers and pers_jca_int.e2085_tipo_pers = crs_classif.r4084_tipo_pers</t>
  </si>
  <si>
    <t>tat03_paises</t>
  </si>
  <si>
    <t>pers_jca_int.e2085_pais_nacio = tat03_paises.cpais_p</t>
  </si>
  <si>
    <t>clt45_fcli</t>
  </si>
  <si>
    <t>lpad( tat01_clientes.zcliente, 10, '0' ) = clt45_fcli.zcliente</t>
  </si>
  <si>
    <t>operations_common_referencedata_core</t>
  </si>
  <si>
    <t>entity_universe</t>
  </si>
  <si>
    <t>lpad( tat01_clientes.zcliente, 10, '0' ) = entity_universe.party_id AND entity_universe.party_alive_indicator = 1 AND entity_universe.source_code = 'CL'</t>
  </si>
  <si>
    <t>domic_pers_int</t>
  </si>
  <si>
    <t>tat01_clientes.tipo_pers = domic_pers_int.e0710_tipo_pers and lpad(tat01_clientes.cod_pers, 9, '0') = domic_pers_int.e0710_cod_pers</t>
  </si>
  <si>
    <t>rel_tip_dom_his</t>
  </si>
  <si>
    <t>domic_pers_int.e0710_tipo_per = rel_tip_dom_his.e0712_tipo_per and domic_pers_int.e0710_cod_pers = lpad(rel_tip_dom_his.e0712_cod_pers,   9, '0') and domic_pers_int.e0710_nrodom = rel_tip_dom_his.e0712_nrodom</t>
  </si>
  <si>
    <t>domic_pers_int.e0710_cod_pais = tat03_paises.cpais_p</t>
  </si>
  <si>
    <t>dir_electronica</t>
  </si>
  <si>
    <t>dir_electronica.dire_tipopers = tat01_clientes.tipo_pers and dir_electronica.dire_codpers = LPAD(tat01_clientes.cod_pers, 9, '0')</t>
  </si>
  <si>
    <t>tat01_clientes.tipo_pers = pers_jca_int.e2085_tipo_pers and lpad(tat01_clientes.cod_pers, 9, '0') = pers_jca_int.e2085_cod_pers</t>
  </si>
  <si>
    <t>clt47_fclimarc</t>
  </si>
  <si>
    <t>clt47_fclimarc.zcliente = lpad(tat01_clientes.zcliente, 10, '0' )</t>
  </si>
  <si>
    <t>econom_jcas_int</t>
  </si>
  <si>
    <t>pers_jca_int.e2085_tipo_pers = econom_jcas_int.e8727_tipo_pers and pers_jca_int.e2085_cod_pers = econom_jcas_int.e8727_cod_pers</t>
  </si>
  <si>
    <t>jca_adicio_t02</t>
  </si>
  <si>
    <t>pers_jca_int.e2085_tipo_pers = jca_adicio_t02.e2090_tipo_pers and pers_jca_int.e2085_cod_pers = jca_adicio_t02.e2090_cod_pers</t>
  </si>
  <si>
    <t>pers_documento_01</t>
  </si>
  <si>
    <t>tat01_clientes.tipo_pers = pers_documento_01.e0515_tipo_per and lpad(tat01_clientes.cod_pers, 9, '0') = pers_documento_01.e0515_cod_pers</t>
  </si>
  <si>
    <t>pers_documento_01.e0515_cpaisdoc = tat03_paises.cpais_p</t>
  </si>
  <si>
    <t>tat17_ctipdoc</t>
  </si>
  <si>
    <t>pers_documento_01.e0515_itipdocu = tat17_ctipdoc.itipdocu</t>
  </si>
  <si>
    <t>mc_cliente</t>
  </si>
  <si>
    <t>tat01_clientes.tipo_pers = mc_cliente.o3647_tipopers and lpad(tat01_clientes.cod_pers, 9, '0') = mc_cliente.o3647_codpers</t>
  </si>
  <si>
    <t>tat01_clientes.tipo_pers = pers_jca_int.e2085_tipo_pers AND LPAD(tat01_clientes.cod_pers, 9, '0') = pers_jca_int.e2085_cod_pers</t>
  </si>
  <si>
    <t>pers_jca_int.e2085_paisresi= tat03_paises.cpais_p</t>
  </si>
  <si>
    <t>ps_pai_adi_trib</t>
  </si>
  <si>
    <t>ps_pai_adi_trib.n1420_tipo_per = tat01_clientes.tipo_pers and ps_pai_adi_trib.n1420_cod_pers = lpad( tat01_clientes.cod_pers, 9, '0' )</t>
  </si>
  <si>
    <t>pers_jca_int.e2085_tipo_pers = ps_pai_adi_trib.n1420_tipo_per and pers_jca_int.e2085_cod_pers  = ps_pai_adi_trib.n1420_cod_pers</t>
  </si>
  <si>
    <t>ps_pai_adi_trib.n1420_cod_pais = tat03_paises.cpais_p</t>
  </si>
  <si>
    <t>crs_classif.r4084_cod_pers = crs_classif.cod_pers and crs_classif.r4084_tipo_pers = crs_classif.tipo_pers and crs_classif.r4084_nr_seq = crs_classif.r4084_nr_seq</t>
  </si>
  <si>
    <t>pers_fisica_int</t>
  </si>
  <si>
    <t xml:space="preserve">pers_fisica_int.e2085_tipo_pers = tat01_clientes.tipo_pers and pers_fisica_int.e2085_cod_pers = lpad( tat01_clientes.cod_pers, 9, '0' ) </t>
  </si>
  <si>
    <t>ps_minusvalia</t>
  </si>
  <si>
    <t>pers_fisica_int.e2073_cod_pers = ps_minusvalia.defe_codpers and pers_fisica_int.e2073_tipo_pers = ps_minusvalia.defe_tipopers</t>
  </si>
  <si>
    <t>pers_fisica_int.e2073_cod_pers = cliente_segmen2.e0840_codpers and pers_fisica_int.e2073_tipo_pers = cliente_segmen2.e0840_tipopers</t>
  </si>
  <si>
    <t>pers_fisica_int.e2073_cod_pers = crs_classif.r4084_cod_pers and pers_fisica_int.e2073_tipo_pers = crs_classif.r4084_tipo_pers</t>
  </si>
  <si>
    <t>pers_fisica_int.e2073_cod_pers = lpad( mc_cliente.o3647_codpers, 9, '0' ) and pers_fisica_int.e2073_tipo_pers = mc_cliente.o3647_tipopers</t>
  </si>
  <si>
    <t>pers_normat_t02</t>
  </si>
  <si>
    <t>pers_fisica_int.e2073_tipo_pers = pers_normat_t02.e2089_tipo_pers and pers_fisica_int.e2073_cod_pers = pers_normat_t02.e2089_cod_pers</t>
  </si>
  <si>
    <t>tat03_paises (birth_country)</t>
  </si>
  <si>
    <t>pers_fisica_int.e2073_codpais = tat03_paises.cpais_p</t>
  </si>
  <si>
    <t>tat03_paises (residence_country)</t>
  </si>
  <si>
    <t>pers_fisica_int.e2073_paisresi= tat03_paises.cpais_p</t>
  </si>
  <si>
    <t>tat02_estcivil</t>
  </si>
  <si>
    <t>pers_int.e2073_tipestci = tat02_estcivil.tipo_estci</t>
  </si>
  <si>
    <t>tat05_sexo</t>
  </si>
  <si>
    <t>pers_fisica_int.e2073_sexo = tat05_sexo.sexo_pers</t>
  </si>
  <si>
    <t>individual_universe</t>
  </si>
  <si>
    <t>lpad( tat01_clientes.zcliente, 10, '0' ) = individual_universe.party_id and individual_universe.party_alive_indicator = '1' and individual_universe.source_code = 'CL'</t>
  </si>
  <si>
    <t>domic_pers_int.e0710_tipo_per = tat01_clientes.tipo_pers and domic_pers_int.e0710_cod_pers = lpad( tat01_clientes.cod_pers, 9, '0' )</t>
  </si>
  <si>
    <t>domic_pers_int.e0710_tipo_per = rel_tip_dom_his.e0712_tipo_per and domic_pers_int.e0710_cod_pers = lpad( rel_tip_dom_his.e0712_cod_pers, 9, '0' ) and domic_pers_int.e0710_nrodom = rel_tip_dom_his.e0712_nrodom</t>
  </si>
  <si>
    <t>vias_pt (1)</t>
  </si>
  <si>
    <t>substring( domic.e0710_dom_desc_text, 222, 4 ) = vias_pt.zona and substring( domic.e0710_dom_desc_text, 226, 3 ) = vias_pt.codcomp and domic.e0710_fmto_dom = 'DP' and max( count (*) group by vias_pt.zona, vias_pt.codcomp, vias_pt.coddis, vias_pt.codcon, vias_pt.fregna )</t>
  </si>
  <si>
    <t>vias_pt (2)</t>
  </si>
  <si>
    <t>substring( domic.e0710_dom_desc_text, 61, 4 ) = vias_pt.zona and substring( domic.e0710_dom_desc_text, 65, 3 ) = vias_pt.codcomp and domic.e0710_fmto_dom = 'AP' and max( count (*) group by vias_pt.zona, vias_pt.codcomp, vias_pt.coddis, vias_pt.codcon, vias_pt.fregna )</t>
  </si>
  <si>
    <t>tat91_tabelas_new (1)</t>
  </si>
  <si>
    <t>concat( vias_pt (1).coddis, vias_pt (1).codcon, vias_pt (1).fregna ) = tat91_tabelas_new.tayd91c0_celemtab</t>
  </si>
  <si>
    <t>tat91_tabelas_new (2)</t>
  </si>
  <si>
    <t>concat( vias_pt (2).coddis, vias_pt (2).codcon, vias_pt (2).fregna ) = tat91_tabelas_new.tayd91c0_celemtab</t>
  </si>
  <si>
    <t>clt44_infadic</t>
  </si>
  <si>
    <t>clt44_infadic.zcliente = lpad( tat01_clientes.zcliente, 10, '0' )</t>
  </si>
  <si>
    <t>clt44_infadic.descricao = tat03_paises.cpais_p</t>
  </si>
  <si>
    <t>pers_fisica_int.e2073_pais_nacio = tat03_paises.cpais_p</t>
  </si>
  <si>
    <t>lpad( tat01_clientes.zcliente, 10, '0' ) = individual_universe.party_id and individual_universe.party_alive_indicator = '1' AND individual_universe.source_code = 'CL'</t>
  </si>
  <si>
    <t>dir_electronica.dire_tipopers = tat01_clientes.tipo_pers and dir_electronica.dire_codpers = lpad( tat01_clientes.cod_pers, 9, '0')</t>
  </si>
  <si>
    <t>pers_fisica_int.e2085_tipo_pers = tat01_clientes.tipo_pers and pers_fisica_int.e2085_cod_pers = lpad( tat01_clientes.cod_pers, 9, '0' )</t>
  </si>
  <si>
    <t>clt47_fclimarc.zcliente = lpad( tat01_clientes.zcliente, 10, '0' )</t>
  </si>
  <si>
    <t>tat91_tabelas_new</t>
  </si>
  <si>
    <t>pers_fisica_int.e2073_cnae93 = tat91_tabelas_new.tayd91c0_nelemc09</t>
  </si>
  <si>
    <t>pers_documento_01.e0515_tipo_per = tat01_clientes.tipo_pers and pers_documento_01.e0515_cod_pers = lpad( tat01_clientes.cod_pers, 9, '0')</t>
  </si>
  <si>
    <t>mc_cliente.o3647_codper  = lpad( tat01_clientes.cod_pers, 9, '0' ) and mc_cliente.o3647_tipopers = tat01_clientes.tipo_pers</t>
  </si>
  <si>
    <t>tat01_clientes.tipo_pers = pers_fisica_int.e2073_tipo_pers and lpad( tat01_clientes.cod_pers, 9, '0' ) = pers_fisica_int.e2073_cod_pers</t>
  </si>
  <si>
    <t>pers_fisica_int.e2073_paisresi = tat03_paises.cpais_p</t>
  </si>
  <si>
    <t>entity.party_id = tat01_clientes.zcliente</t>
  </si>
  <si>
    <t>clt50_zcligrupo</t>
  </si>
  <si>
    <t>entity.party_id = clt50_zcligrupo.zcliente</t>
  </si>
  <si>
    <t>entity.party_id = clt45_fcli.zcliente</t>
  </si>
  <si>
    <t>rastreab_cliente_kgl</t>
  </si>
  <si>
    <t>entity.party_id = rastreab_cliente_kgl.clyr2210_zcliente</t>
  </si>
  <si>
    <t>individual.party_id = tat01_clientes.zcliente</t>
  </si>
  <si>
    <t>individual.party_id = clt50_zcligrupo.zcliente</t>
  </si>
  <si>
    <t>individual.party_id = clt45_fcli.zcliente</t>
  </si>
  <si>
    <t>individual.party_id = rastreab_cliente_kgl.clyr2210_zcliente</t>
  </si>
  <si>
    <t>clt26_pedfus</t>
  </si>
  <si>
    <t>clt26_pedfus.zcliente = entiity_universe.party_id  entity_universe.source_code = 'CL' and  entity_universe.party_alive_indicator = '1'</t>
  </si>
  <si>
    <t>clt26_pedfus.zcliente = individual_universe.party_id and individual_universe.source_code = 'CL' and  individual_universe.party_alive_indicator = '1'</t>
  </si>
  <si>
    <t>pers_fisica_int.e2073_tipo_pers = tat01_clientes.tipo_pers and pers_fisica_int.e2073_cod_pers = lpad( tat01_clientes.cod_pers, 9, '0' )</t>
  </si>
  <si>
    <t>relac_persona</t>
  </si>
  <si>
    <t>tat01_clientes.tipo_pers = relac_persona.rlp_tipo_pers1 and lpad( tat01_clientes.cod_pers, 9, '0' ) = relac_persona.rlp_cod_pers1</t>
  </si>
  <si>
    <t>tat01_clientes.tipo_pers = relac_persona.rlp_tipo_pers2 and lpad( tat01_clientes.cod_pers, 9, '0' ) = relac_persona.rlp_cod_pers2</t>
  </si>
  <si>
    <t>tat18_relcli</t>
  </si>
  <si>
    <t>tat18_relcli.tipo_relac = relac_persona.rlp_tipo_relac</t>
  </si>
  <si>
    <t>lpad( tat01_clientes.zcliente, 10, '0' ) = entity_universe.party_id and entity_universe.party_alive_indicator = '1' and entity_universe.source_code = 'CL'</t>
  </si>
  <si>
    <t>lpad( tat01_clientes.zcliente, 10, '0' ) = entity_universe.party_id and 'cl' = entity_universe.source_code
and  entity_universe.party_alive_indicator = '1'</t>
  </si>
  <si>
    <t>vias_pt(1)</t>
  </si>
  <si>
    <t>SUBSTRING(domic_pers_int.e0710_dom_desc_text, 222, 4) = vias_pt(1).zona
AND SUBSTRING(domic_pers_int.e0710_dom_desc_text, 226, 3) = vias_pt(1).codcomp and domic_pers_int.e0710_fmto_dom = 'DP'
AND ROW_NUMBER() OVER (
    PARTITION BY (vias_pt(1).zona, vias_pt(1).codcomp)
    ORDER BY 
        COUNT(*) GROUP BY ( vias_pt.zona, vias_pt.codcomp, vias_pt.coddis, vias_pt.codcon, vias_pt.fregna DESC,
        vias_pt(2).fregna ASC
) = 1
AND vias_pt(1).data_date_part = MAX(vias_pt.data_date_part)</t>
  </si>
  <si>
    <t>vias_pt(2)</t>
  </si>
  <si>
    <t>SUBSTRING(domic_pers_int.e0710_dom_desc_text, 61, 4) = vias_pt(2).zona
AND SUBSTRING(domic_pers_int.e0710_dom_desc_text, 65, 3) = vias_pt(2).codcomp and domic_pers_int.e0710_fmto_dom = 'AP'
AND ROW_NUMBER() OVER (
    PARTITION BY (vias_pt(2).zona, vias_pt(2).codcomp)
    ORDER BY 
        COUNT(*) GROUP BY ( vias_pt.zona, vias_pt.codcomp, vias_pt.coddis, vias_pt.codcon, vias_pt.fregna DESC,
        vias_pt(2).fregna ASC
) = 1
AND vias_pt(2).data_date_part = MAX(vias_pt.data_date_part)</t>
  </si>
  <si>
    <t>tat91_tabelas_new(1)</t>
  </si>
  <si>
    <t>concat(vias_pt(1).coddis,  vias_pt(1).codcon,  vias_pt(1).fregna) = trim(tat91_tabelas_new(1).tayd91c0_celemtab)</t>
  </si>
  <si>
    <t>tat91_tabelas_new(2)</t>
  </si>
  <si>
    <t>concat(vias_pt(2).coddis,  vias_pt(2).codcon,  vias_pt(2).fregna) = trim(tat91_tabelas_new(2).tayd91c0_celemtab)</t>
  </si>
  <si>
    <t>lpad( tat01_clientes.zcliente, 10, '0' ) = entity_universe.party_id AND entity_universe.party_alive_indicator = '1' AND entity_universe.source_code = 'CL'</t>
  </si>
  <si>
    <t>pers_jca_int.e2085_cnae93 = tat91_tabelas_new.tayd91c0_nelemc09</t>
  </si>
  <si>
    <t>tat21_moeda(1)</t>
  </si>
  <si>
    <t>econ_jcas_int.e8727_codmone5 = tat21_moeda(1).codmon</t>
  </si>
  <si>
    <t>tat21_moeda(2)</t>
  </si>
  <si>
    <t>econ_jcas_int.e8727_codmone1 = tat21_moeda(2).codmon</t>
  </si>
  <si>
    <t>clt61_cnincid</t>
  </si>
  <si>
    <t>lpad(clt61_cnincid.zcliente, 10, '0' ) = entity_universe.party_id and 'CL' = entity_universe.source_code
and  entity_universe.party_alive_indicator = '1'</t>
  </si>
  <si>
    <t>lpad(tat01_clientes.zcliente, 10, '0') = entity_universe.party_id and 'CL' = entity_universe.source_code
and  entity_universe.party_alive_indicator = '1'</t>
  </si>
  <si>
    <t>NOME FÍSICO BD FONTE</t>
  </si>
  <si>
    <t>NOME FÍSICO TABELA FONTE</t>
  </si>
  <si>
    <t>REGRA DE ATAQUE</t>
  </si>
  <si>
    <t>DESCRIÇÃO ESTADOS CONSIDERADOS</t>
  </si>
  <si>
    <t>DESCRIÇÃO ESTADOS DESCONSIDERADOS</t>
  </si>
  <si>
    <t>ct087_univ_gec_d</t>
  </si>
  <si>
    <t>N/A</t>
  </si>
  <si>
    <t>ct088_univ_gcl_d.zcliente not exists ( gdt01_controlo.tipo_pers and gdt01_controlo.cod_pers )
and ct088_univ_gcl_d.zcliente exists ( clt61_cnincid.zcliente  )
and ct088_univ_gcl_d.zcliente exists ( pers_jca_int.e2085_cod_pers and pers_jca_int.e2085_tipo_pers )</t>
  </si>
  <si>
    <t xml:space="preserve">pers_jca_int.e2085_cod_pers and pers_jca_int.e2085_tipo_pers exists ( tat01_clientes.tipo_pers and tat01_clientes.cod_pers )
and pers_jca_int.e2085_cod_pers and pers_jca_int.e2085_tipo_pers not exists ( gdt01_controlo.tipo_pers and gdt01_controlo.cod_pers )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</si>
  <si>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pers_jca_int.e2085_cod_pers and pers_jca_int.e2085_tipo_pers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</si>
  <si>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pers_jca_int.e2085_cod_pers and pers_jca_int.e2085_tipo_pers )</t>
  </si>
  <si>
    <t>pers_jca_int.e2085_cod_pers and pers_jca_int.e2085_tipo_pers not exists ( gdt01_controlo.tipo_pers and gdt01_controlo.cod_pers )
and and pers_jca_int.e2085_cod_pers and pers_jca_int.e2085_tipo_pers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</si>
  <si>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pers_jca_int.e2085_cod_pers and pers_jca_int.e2085_tipo_pers )</t>
  </si>
  <si>
    <t>clt61_cnincid.zcliente not exists ( gdt01_controlo.tipo_pers and gdt01_controlo.cod_pers )
and clt61_cnincid.zcliente exists ( clt61_cnincid.zcliente  )
and clt61_cnincid.zcliente exists ( pers_jca_int.e2085_cod_pers and pers_jca_int.e2085_tipo_pers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</si>
  <si>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pers_jca_int.e2085_cod_pers and pers_jca_int.e2085_tipo_pers )</t>
  </si>
  <si>
    <r>
      <rPr>
        <b/>
        <sz val="11"/>
        <color rgb="FF000000"/>
        <rFont val="Calibri"/>
        <scheme val="minor"/>
      </rPr>
      <t xml:space="preserve">SELECT </t>
    </r>
    <r>
      <rPr>
        <sz val="11"/>
        <color rgb="FF000000"/>
        <rFont val="Calibri"/>
        <scheme val="minor"/>
      </rPr>
      <t xml:space="preserve">ROW_NUMBER () OVER (PARTITION BY party_id, country_code ORDER BY start_date DESC) AS rn 
</t>
    </r>
    <r>
      <rPr>
        <b/>
        <sz val="11"/>
        <color rgb="FF000000"/>
        <rFont val="Calibri"/>
        <scheme val="minor"/>
      </rPr>
      <t xml:space="preserve">FROM </t>
    </r>
    <r>
      <rPr>
        <sz val="11"/>
        <color rgb="FF000000"/>
        <rFont val="Calibri"/>
        <scheme val="minor"/>
      </rPr>
      <t xml:space="preserve">TOTAL_UNIVERSE
</t>
    </r>
    <r>
      <rPr>
        <b/>
        <sz val="11"/>
        <color rgb="FF000000"/>
        <rFont val="Calibri"/>
        <scheme val="minor"/>
      </rPr>
      <t xml:space="preserve">WHERE </t>
    </r>
    <r>
      <rPr>
        <sz val="11"/>
        <color rgb="FF000000"/>
        <rFont val="Calibri"/>
        <scheme val="minor"/>
      </rPr>
      <t>rn = 1</t>
    </r>
  </si>
  <si>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pers_jca_int.e2085_cod_pers and pers_jca_int.e2085_tipo_pers )</t>
  </si>
  <si>
    <t>pers_fisica_int.e2073_cod_pers and pers_fisica_int.e2073_tipo_pers not exists ( gdt01_controlo.tipo_pers and gdt01_controlo.cod_pers )
and pers_fisica_int.e2073_cod_pers and pers_fisica_int.e2073_tipo_persexists ( tat01_clientes.tipo_pers and tat01_clientes.cod_pers )</t>
  </si>
  <si>
    <t>domic_pers_int.e0710_tipo_per and domic_pers_int.e0710_cod_pers not exists ( gdt01_controlo.tipo_pers and gdt01_controlo.cod_pers )
and domic_pers_int.e0710_tipo_per and domic_pers_int.e0710_cod_pers exists ( tat01_clientes.tipo_pers and tat01_clientes.cod_pers )
and domic_pers_int.e0710_tipo_per and domic_pers_int.e0710_cod_pers exists ( pers_fisica_int.e2073_cod_pers and pers_fisica_int.e2073_tipo_pers )</t>
  </si>
  <si>
    <t>clt44_infadic.zcliente not exists ( gdt01_controlo.tipo_pers and gdt01_controlo.cod_pers )
and clt44_infadic.zcliente exists ( tat01_clientes.zcliente )
and clt44_infadic.zcliente exists ( pers_fisica_int.e2073_cod_pers and pers_fisica_int.e2073_tipo_pers )</t>
  </si>
  <si>
    <t>pers_fisica_int.e2073_cod_pers and pers_fisica_int.e2073_tipo_pers not exists ( gdt01_controlo.tipo_pers and gdt01_controlo.cod_pers )
and pers_fisica_int.e2073_cod_persand pers_fisica_int.e2073_tipo_pers exists ( tat01_clientes.tipo_pers and tat01_clientes.cod_pers )</t>
  </si>
  <si>
    <t>dir_electronica.dire_codpers and dir_electronica.dire_tipopers not exists ( gdt01_controlo.tipo_pers and gdt01_controlo.cod_pers )
and dir_electronica.dire_tipopers and dir_electronica.dire_codpers exists ( tat01_clientes.tipo_pers and tat01_clientes.cod_pers )
and dir_electronica.dire_tipopers and dir_electronica.dire_codpers exists ( pers_fisica_int.e2073_cod_pers and pers_fisica_int.e2073_tipo_pers )</t>
  </si>
  <si>
    <t>pers_fisica_int.e2073_cod_pers and pers_fisica_int.e2073_tipo_pers not exists ( gdt01_controlo.tipo_pers and gdt01_controlo.cod_pers )
and and pers_fisica_int.e2073_cod_pers and pers_fisica_int.e2073_tipo_pers exists ( tat01_clientes.tipo_pers and tat01_clientes.cod_pers )</t>
  </si>
  <si>
    <t>pers_documento_01.e0515_tipo_per and pers_documento_01.e0515_cod_pers not exists ( gdt01_controlo.tipo_pers and gdt01_controlo.cod_pers )
and pers_documento_01.e0515_tipo_per and pers_documento_01.e0515_cod_pers exists ( tat01_clientes.tipo_pers and tat01_clientes.cod_pers )
and pers_documento_01.e0515_tipo_per and pers_documento_01.e0515_cod_pers exists ( pers_fisica_int.e2073_cod_pers and pers_fisica_int.e2073_tipo_pers )</t>
  </si>
  <si>
    <t>clt61_cnincid.zcliente not exists ( gdt01_controlo.tipo_pers and gdt01_controlo.cod_pers )
and clt61_cnincid.zcliente exists ( clt61_cnincid.zcliente  )
and clt61_cnincid.zcliente exists ( pers_fisica_int.e2073_cod_pers and pers_fisica_int.e2073_tipo_pers )</t>
  </si>
  <si>
    <t>mc_cliente.o3647_codpers and mc_cliente.o3647_tipopers not exists ( gdt01_controlo.tipo_pers and gdt01_controlo.cod_pers )
and mc_cliente.o3647_codpers and mc_cliente.o3647_tipopers exists ( tat01_clientes.tipo_pers and tat01_clientes.cod_pers )
and mc_cliente.o3647_codpers and mc_cliente.o3647_tipopers exists ( pers_fisica_int.e2073_cod_pers and pers_fisica_int.e2073_tipo_pers )</t>
  </si>
  <si>
    <t>ps_pai_adi_trib.n1420_cod_pers and ps_pai_adi_trib.n1420_tipo_per not exists ( gdt01_controlo.tipo_pers and gdt01_controlo.cod_pers )
and ps_pai_adi_trib.n1420_cod_pers and ps_pai_adi_trib.n1420_tipo_per exists ( tat01_clientes.tipo_pers and tat01_clientes.cod_pers )
and ps_pai_adi_trib.n1420_cod_pers and ps_pai_adi_trib.n1420_tipo_per exists ( pers_fisica_int.e2073_cod_pers and pers_fisica_int.e2073_tipo_pers )</t>
  </si>
  <si>
    <t>clt26_pedfus.zcliente exists ( tat01_clientes.zcliente)
and clt26_pedfus.zcliente exists ( pers_fisica_int.e2073_tipo_pers and pers_fisica_int.e2073_cod_pers )
clt26_pedfus.zcliente exists ( pers_jca_int.e2085_tipo_pers and pers_jca_int.e2085_cod_pers )
and clt26_pedfus.zcliente not exists ( gdt01_controlo.tipo_pers and gdt01_controlo.cod_pers )</t>
  </si>
  <si>
    <t>relac_persona.rlp_cod_pers1 and relac_persona.rlp_tipo_pers1 exists ( tat01_clientes.tipo_pers and tat01_clientes.cod_pers )
and relac_persona.rlp_cod_pers1 and relac_persona.rlp_tipo_pers1 exists ( pers_fisica_int.e2073_tipo_pers and pers_fisica_int.e2073_cod_pers ) 
and relac_persona.rlp_cod_pers1 and relac_persona.rlp_tipo_pers1 exists ( pers_jca_int.e2085_tipo_pers and pers_jca_int.e2085_cod_pers ) 
and relac_persona.rlp_cod_pers1 and relac_persona.rlp_tipo_pers1 .zcliente not exists ( gdt01_controlo.tipo_pers and gdt01_controlo.cod_pers )
relac_persona.rlp_cod_pers2 and relac_persona.rlp_tipo_pers2 exists ( tat01_clientes.tipo_pers and tat01_clientes.cod_pers )
and relac_persona.rlp_cod_pers2 and relac_persona.rlp_tipo_pers2 exists ( pers_fisica_int.e2073_tipo_pers and pers_fisica_int.e2073_cod_pers ) 
and relac_persona.rlp_cod_pers2 and relac_persona.rlp_tipo_pers2 exists ( pers_jca_int.e2085_tipo_pers and pers_jca_int.e2085_cod_pers ) 
and relac_persona.rlp_cod_pers2 and relac_persona.rlp_tipo_pers2 .zcliente not exists ( gdt01_controlo.tipo_pers and gdt01_controlo.cod_pers )</t>
  </si>
  <si>
    <t>Case Test</t>
  </si>
  <si>
    <t>Description</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</si>
  <si>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</si>
  <si>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</si>
  <si>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</si>
  <si>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</si>
  <si>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</si>
  <si>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</si>
  <si>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</si>
  <si>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</si>
  <si>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</si>
  <si>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</si>
  <si>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</si>
  <si>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</si>
  <si>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</si>
  <si>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</si>
  <si>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</si>
  <si>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</si>
  <si>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</si>
  <si>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</si>
  <si>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</si>
  <si>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</si>
  <si>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</si>
  <si>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</si>
  <si>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</si>
  <si>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</si>
  <si>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</si>
  <si>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</si>
  <si>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</si>
  <si>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</si>
  <si>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</si>
  <si>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</si>
  <si>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</si>
  <si>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</si>
  <si>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</si>
  <si>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</si>
  <si>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</si>
  <si>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</si>
  <si>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</si>
  <si>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</si>
  <si>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</si>
  <si>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</si>
  <si>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</si>
  <si>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</si>
  <si>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</si>
  <si>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</si>
  <si>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</si>
  <si>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</si>
  <si>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</si>
  <si>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</si>
  <si>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</si>
  <si>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</si>
  <si>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</si>
  <si>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</si>
  <si>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</si>
  <si>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</si>
  <si>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residence_country_cd</t>
  </si>
  <si>
    <t>2024-08-06T17:27:38.053+00:00</t>
  </si>
  <si>
    <t>8853000.00</t>
  </si>
  <si>
    <t>null</t>
  </si>
  <si>
    <t>2024-08-06T17:28:16.023+00:00</t>
  </si>
  <si>
    <t>0.00</t>
  </si>
  <si>
    <t>2024-08-06T17:28:49.652+00:00</t>
  </si>
  <si>
    <t>-</t>
  </si>
  <si>
    <t>2024-08-06T17:29:27.362+00:00</t>
  </si>
  <si>
    <t>2024-08-06T17:29:54.926+00:00</t>
  </si>
  <si>
    <t>2024-08-06T17:30:32.658+00:00</t>
  </si>
  <si>
    <t>!RANCISCA QUEIROS MAIA</t>
  </si>
  <si>
    <t>!RANCISCA</t>
  </si>
  <si>
    <t>"</t>
  </si>
  <si>
    <t>H</t>
  </si>
  <si>
    <t>B</t>
  </si>
  <si>
    <t>AD</t>
  </si>
  <si>
    <t>0001-01-01</t>
  </si>
  <si>
    <t>A</t>
  </si>
  <si>
    <t>!</t>
  </si>
  <si>
    <t>2024-08-06 17:20:01.168000</t>
  </si>
  <si>
    <t>2024-08-06T17:33:08.914+00:00</t>
  </si>
  <si>
    <t>2024-08-06 17:30:40.079000</t>
  </si>
  <si>
    <t>2024-08-06T17:33:41.535+00:00</t>
  </si>
  <si>
    <t>ÚRSULA DO SERRO MENDES ALBUQUERQUE</t>
  </si>
  <si>
    <t>ÚRSULA</t>
  </si>
  <si>
    <t>ÖZLÜKAFA</t>
  </si>
  <si>
    <t>V</t>
  </si>
  <si>
    <t>ZW</t>
  </si>
  <si>
    <t>S</t>
  </si>
  <si>
    <t>U</t>
  </si>
  <si>
    <t>úrgences sante</t>
  </si>
  <si>
    <t>2024-08-06T17:36:22.701+00:00</t>
  </si>
  <si>
    <t>2024-08-06 17:33:54.678000</t>
  </si>
  <si>
    <t>2024-08-06T17:37:42.336+00:00</t>
  </si>
  <si>
    <t>2024-08-06T17:37:47.811+00:00</t>
  </si>
  <si>
    <t>2024-08-06T17:38:19.857+00:00</t>
  </si>
  <si>
    <t>Universo Comparison MCD - Source</t>
  </si>
  <si>
    <t>2024-08-06T17:47:32.232+00:00</t>
  </si>
  <si>
    <t>Universo Comparison Source - MCD</t>
  </si>
  <si>
    <t>2024-08-06T17:47:40.689+00:00</t>
  </si>
  <si>
    <t>string</t>
  </si>
  <si>
    <t>timestamp</t>
  </si>
  <si>
    <t>Formula Auxiliary Information</t>
  </si>
  <si>
    <t>Data Model Data Types</t>
  </si>
  <si>
    <t>now()</t>
  </si>
  <si>
    <t>today()</t>
  </si>
  <si>
    <t>Data Model Lenghts</t>
  </si>
  <si>
    <t>Test Summary</t>
  </si>
  <si>
    <t>Test ID</t>
  </si>
  <si>
    <t>Field</t>
  </si>
  <si>
    <t>Justification</t>
  </si>
  <si>
    <t>Number of Occurences</t>
  </si>
  <si>
    <t>Justification State</t>
  </si>
  <si>
    <t>Test 12</t>
  </si>
  <si>
    <t>1 - Existem valores vazios na tabela de origem, que ao serem transformados na query ficam NULL</t>
  </si>
  <si>
    <t>Total:  4746403
1 - 4746403</t>
  </si>
  <si>
    <t>1 - OK</t>
  </si>
  <si>
    <t>employer_code</t>
  </si>
  <si>
    <t>Total: 2733071
1 - 2733071</t>
  </si>
  <si>
    <t>Total: 5216485
1 - 5216485</t>
  </si>
  <si>
    <t>Total: 45
1 - 45</t>
  </si>
  <si>
    <t>Total: 1
1 - 1</t>
  </si>
  <si>
    <t>2024-08-05T17:25:10.071+00:00</t>
  </si>
  <si>
    <t>820605</t>
  </si>
  <si>
    <t>2024-08-05T17:25:17.543+00:00</t>
  </si>
  <si>
    <t>2024-08-05T17:25:29.225+00:00</t>
  </si>
  <si>
    <t>2024-08-05T17:25:43.958+00:00</t>
  </si>
  <si>
    <t>2024-08-05T17:25:51.880+00:00</t>
  </si>
  <si>
    <t>2024-08-05T17:26:00.053+00:00</t>
  </si>
  <si>
    <t>" A CHAVENA DE CAFE-ESTABELECIMENTO DE BEBIDAS, LDA"</t>
  </si>
  <si>
    <t>0        N</t>
  </si>
  <si>
    <t>2024-08-05 17:23:14.631000</t>
  </si>
  <si>
    <t>2024-08-05T17:27:05.086+00:00</t>
  </si>
  <si>
    <t>2024-08-05 17:26:10.191000</t>
  </si>
  <si>
    <t>2024-08-05T17:27:25.159+00:00</t>
  </si>
  <si>
    <t>ÚTOPIAMARELA - LDA</t>
  </si>
  <si>
    <t>WAM6YERMS7OXFZUOY219</t>
  </si>
  <si>
    <t>2024-08-05T17:28:08.035+00:00</t>
  </si>
  <si>
    <t>2024-08-05 17:27:30.826000</t>
  </si>
  <si>
    <t>2024-08-05T17:28:24.806+00:00</t>
  </si>
  <si>
    <t>2024-08-05T17:28:30.178+00:00</t>
  </si>
  <si>
    <t>2024-08-05T17:28:40.454+00:00</t>
  </si>
  <si>
    <t>2024-08-05T17:31:09.155+00:00</t>
  </si>
  <si>
    <t>2024-08-05T17:31:18.424+00:00</t>
  </si>
  <si>
    <t>2024-07-02T18:57:10.317+00:00</t>
  </si>
  <si>
    <t>Total: 800049
1 - 800049</t>
  </si>
  <si>
    <t>zcligrupo</t>
  </si>
  <si>
    <t>2024-08-26T18:10:59.217+00:00</t>
  </si>
  <si>
    <t>5131610.00</t>
  </si>
  <si>
    <t>2024-08-26T18:11:04.112+00:00</t>
  </si>
  <si>
    <t>2024-08-26T18:11:09.056+00:00</t>
  </si>
  <si>
    <t>2024-08-26T18:11:17.509+00:00</t>
  </si>
  <si>
    <t>2024-08-26T18:11:23.074+00:00</t>
  </si>
  <si>
    <t>2024-08-26T18:11:28.578+00:00</t>
  </si>
  <si>
    <t>F1</t>
  </si>
  <si>
    <t>&amp;</t>
  </si>
  <si>
    <t>F</t>
  </si>
  <si>
    <t>common_parties_entities.entity</t>
  </si>
  <si>
    <t>2024-08-26 18:03:51.975000</t>
  </si>
  <si>
    <t>2024-08-26T18:11:58.701+00:00</t>
  </si>
  <si>
    <t>2024-08-26 18:11:31.316000</t>
  </si>
  <si>
    <t>2024-08-26T18:12:04.066+00:00</t>
  </si>
  <si>
    <t>J99998</t>
  </si>
  <si>
    <t>ZYJL</t>
  </si>
  <si>
    <t>���O LD</t>
  </si>
  <si>
    <t>J</t>
  </si>
  <si>
    <t>common_parties_individuals.individual</t>
  </si>
  <si>
    <t>2024-08-26T18:12:30.302+00:00</t>
  </si>
  <si>
    <t>2024-08-26 18:12:05.942000</t>
  </si>
  <si>
    <t>2024-08-26T18:12:39.367+00:00</t>
  </si>
  <si>
    <t>2024-08-26T18:12:45.848+00:00</t>
  </si>
  <si>
    <t>2024-08-26T18:14:37.389+00:00</t>
  </si>
  <si>
    <t>2024-08-26T18:14:55.780+00:00</t>
  </si>
  <si>
    <t>1 - Não encontra correspondências entre individual e tat01
2 - Não encontra correspondências entre entity e tat01</t>
  </si>
  <si>
    <t>Total: 1083
1 - 931
2 - 152</t>
  </si>
  <si>
    <t>1 - Não encontra correspondências entre individual e clt50
2 - Não encontra correspondências entre entity e clt50</t>
  </si>
  <si>
    <t>1 - O campo encontra-se vazio na origem 
2 - Não encontra correspondências  entre individual e clt45
3 - 2 - Não encontra correspondências  entre entity e clt45</t>
  </si>
  <si>
    <t>Total: 5089455
1 - 5050119
2 - 55870
3 - 11481</t>
  </si>
  <si>
    <t>Total: 5117470
1 - 5050119
2 - 55870
3 - 11481</t>
  </si>
  <si>
    <t>Test 20</t>
  </si>
  <si>
    <t>Campo pendente de atualização do nome no mapeamento</t>
  </si>
  <si>
    <t>universe</t>
  </si>
  <si>
    <t>2024-08-06T10:54:45.960+00:00</t>
  </si>
  <si>
    <t>824308.00</t>
  </si>
  <si>
    <t>2024-08-06T10:54:53.682+00:00</t>
  </si>
  <si>
    <t>2024-08-06T10:55:01.168+00:00</t>
  </si>
  <si>
    <t>2024-08-06T10:55:11.924+00:00</t>
  </si>
  <si>
    <t>2024-08-06T10:55:15.752+00:00</t>
  </si>
  <si>
    <t>2024-08-06T10:55:19.239+00:00</t>
  </si>
  <si>
    <t>CNAE_93</t>
  </si>
  <si>
    <t>2024-08-05 19:04:58.620000</t>
  </si>
  <si>
    <t>2024-08-06T10:55:29.645+00:00</t>
  </si>
  <si>
    <t>2024-08-06 10:55:21.455000</t>
  </si>
  <si>
    <t>2024-08-06T10:55:33.720+00:00</t>
  </si>
  <si>
    <t>2024-08-06T10:55:45.397+00:00</t>
  </si>
  <si>
    <t>2024-08-06 10:55:36.191000</t>
  </si>
  <si>
    <t>2024-08-06T10:55:52.611+00:00</t>
  </si>
  <si>
    <t>2024-08-06T10:55:59.556+00:00</t>
  </si>
  <si>
    <t>2024-08-06T10:56:50.240+00:00</t>
  </si>
  <si>
    <t>2024-08-06T10:56:53.177+00:00</t>
  </si>
  <si>
    <t>int</t>
  </si>
  <si>
    <t>2024-08-06T13:43:59.625+00:00</t>
  </si>
  <si>
    <t>2024-08-06T13:44:04.747+00:00</t>
  </si>
  <si>
    <t>2024-08-06T13:44:08.440+00:00</t>
  </si>
  <si>
    <t>2024-08-06T13:44:18.848+00:00</t>
  </si>
  <si>
    <t>2024-08-06T13:44:22.897+00:00</t>
  </si>
  <si>
    <t>2024-08-06T13:44:27.393+00:00</t>
  </si>
  <si>
    <t>2024-08-05 17:21:54.581000</t>
  </si>
  <si>
    <t>2024-08-06T13:44:40.574+00:00</t>
  </si>
  <si>
    <t>2024-08-06 13:44:29.941000</t>
  </si>
  <si>
    <t>2024-08-06T13:44:46.632+00:00</t>
  </si>
  <si>
    <t>2024-08-06T13:45:03.250+00:00</t>
  </si>
  <si>
    <t>2024-08-06 13:44:52.881000</t>
  </si>
  <si>
    <t>2024-08-06T13:45:29.009+00:00</t>
  </si>
  <si>
    <t>0.57</t>
  </si>
  <si>
    <t>2024-08-06T13:45:34.334+00:00</t>
  </si>
  <si>
    <t>2024-08-06T13:45:43.737+00:00</t>
  </si>
  <si>
    <t>2024-08-06T13:46:34.372+00:00</t>
  </si>
  <si>
    <t>2024-08-06T13:46:41.133+00:00</t>
  </si>
  <si>
    <t xml:space="preserve">1 - Sem correspondência entre na clt47_fclimarc </t>
  </si>
  <si>
    <t>Total: 811
1 - 811</t>
  </si>
  <si>
    <t>2024-08-14T16:23:56.836+00:00</t>
  </si>
  <si>
    <t>1105105.00</t>
  </si>
  <si>
    <t>2024-08-14T16:24:42.587+00:00</t>
  </si>
  <si>
    <t>2024-08-14T16:26:47.501+00:00</t>
  </si>
  <si>
    <t>2024-08-14T16:29:46.375+00:00</t>
  </si>
  <si>
    <t>2024-08-14T16:32:20.907+00:00</t>
  </si>
  <si>
    <t>2024-08-14T16:33:08.731+00:00</t>
  </si>
  <si>
    <t>E</t>
  </si>
  <si>
    <t>2024-08-14 16:12:58.591000</t>
  </si>
  <si>
    <t>2024-08-14T16:34:01.945+00:00</t>
  </si>
  <si>
    <t>2024-08-14 16:33:26.394000</t>
  </si>
  <si>
    <t>2024-08-14T16:34:45.810+00:00</t>
  </si>
  <si>
    <t>zzyanpt@gmail.com</t>
  </si>
  <si>
    <t>2024-08-14T16:35:54.943+00:00</t>
  </si>
  <si>
    <t>2024-08-14 16:35:35.187000</t>
  </si>
  <si>
    <t>2024-08-14T16:40:54.515+00:00</t>
  </si>
  <si>
    <t>0.89</t>
  </si>
  <si>
    <t>2024-08-14T16:41:49.299+00:00</t>
  </si>
  <si>
    <t>2024-08-14T16:43:29.865+00:00</t>
  </si>
  <si>
    <t>2024-08-14T16:46:11.419+00:00</t>
  </si>
  <si>
    <t>2024-08-14T16:46:34.146+00:00</t>
  </si>
  <si>
    <t>Test 14</t>
  </si>
  <si>
    <t>1 - Campos vazios na tabela de origem</t>
  </si>
  <si>
    <t>Total: 2
1 - 2</t>
  </si>
  <si>
    <t>1 - Campos nulos na tabela de origem</t>
  </si>
  <si>
    <t>Total: 26
1 - 26</t>
  </si>
  <si>
    <t>2024-08-05T14:34:43.511+00:00</t>
  </si>
  <si>
    <t>10964987.00</t>
  </si>
  <si>
    <t>2024-08-05T14:34:53.728+00:00</t>
  </si>
  <si>
    <t>2024-08-05T14:35:01.660+00:00</t>
  </si>
  <si>
    <t>2024-08-05T14:35:15.773+00:00</t>
  </si>
  <si>
    <t>2024-08-05T14:35:27.638+00:00</t>
  </si>
  <si>
    <t>2024-08-05T14:35:36.481+00:00</t>
  </si>
  <si>
    <t>2024-08-05T14:36:15.081+00:00</t>
  </si>
  <si>
    <t>2024-08-05T14:36:23.950+00:00</t>
  </si>
  <si>
    <t>Ñdanieljosemartins1960@gmail.com</t>
  </si>
  <si>
    <t>2024-08-05 11:37:39.358000</t>
  </si>
  <si>
    <t>2024-08-05T14:37:02.067+00:00</t>
  </si>
  <si>
    <t>2024-08-05 14:36:26.145000</t>
  </si>
  <si>
    <t>2024-08-05T14:37:12.149+00:00</t>
  </si>
  <si>
    <t>2024-08-05T14:37:16.549+00:00</t>
  </si>
  <si>
    <t>2024-08-05T14:37:22.104+00:00</t>
  </si>
  <si>
    <t>2024-08-05T14:40:38.574+00:00</t>
  </si>
  <si>
    <t>2024-08-05T14:40:41.339+00:00</t>
  </si>
  <si>
    <t xml:space="preserve">1 - NULLs provenientes da tabela origem </t>
  </si>
  <si>
    <t>Total: 13
1 - 13</t>
  </si>
  <si>
    <t>2024-08-05T14:55:26.523+00:00</t>
  </si>
  <si>
    <t>8903337.00</t>
  </si>
  <si>
    <t>2024-08-05T14:55:35.955+00:00</t>
  </si>
  <si>
    <t>2024-08-05T14:55:40.087+00:00</t>
  </si>
  <si>
    <t>2024-08-05T14:55:50.548+00:00</t>
  </si>
  <si>
    <t>2024-08-05T14:55:56.308+00:00</t>
  </si>
  <si>
    <t>2024-08-05T14:56:05.107+00:00</t>
  </si>
  <si>
    <t>2024-08-05 11:51:10.923000</t>
  </si>
  <si>
    <t>2024-08-05T14:56:34.852+00:00</t>
  </si>
  <si>
    <t>2024-08-05 14:56:07.272000</t>
  </si>
  <si>
    <t>2024-08-05T14:56:47.412+00:00</t>
  </si>
  <si>
    <t>2024-08-05T14:57:13.119+00:00</t>
  </si>
  <si>
    <t>2024-08-05 14:56:49.636000</t>
  </si>
  <si>
    <t>2024-08-05T14:57:21.016+00:00</t>
  </si>
  <si>
    <t>2024-08-05T14:57:24.479+00:00</t>
  </si>
  <si>
    <t>2024-08-05T14:57:32.929+00:00</t>
  </si>
  <si>
    <t>2024-08-05T15:00:04.163+00:00</t>
  </si>
  <si>
    <t>2024-08-05T15:00:07.325+00:00</t>
  </si>
  <si>
    <t>Total: 11796
1 - 11796</t>
  </si>
  <si>
    <t>2024-08-06T10:13:50.227+00:00</t>
  </si>
  <si>
    <t>2024-08-06T10:13:59.807+00:00</t>
  </si>
  <si>
    <t>2024-08-06T10:14:10.615+00:00</t>
  </si>
  <si>
    <t>2024-08-06T10:14:32.676+00:00</t>
  </si>
  <si>
    <t>2024-08-06T10:14:49.258+00:00</t>
  </si>
  <si>
    <t>2024-08-06T10:14:57.646+00:00</t>
  </si>
  <si>
    <t>2024-08-06 10:09:32.470000</t>
  </si>
  <si>
    <t>2024-08-06T10:15:26.193+00:00</t>
  </si>
  <si>
    <t>2024-08-06 10:15:01.618000</t>
  </si>
  <si>
    <t>2024-08-06T10:15:42.380+00:00</t>
  </si>
  <si>
    <t>2024-08-06T10:15:56.294+00:00</t>
  </si>
  <si>
    <t>2024-08-06 10:15:44.907000</t>
  </si>
  <si>
    <t>2024-08-06T10:16:05.321+00:00</t>
  </si>
  <si>
    <t>2024-08-06T10:16:13.673+00:00</t>
  </si>
  <si>
    <t>2024-08-06T10:17:41.314+00:00</t>
  </si>
  <si>
    <t>2024-08-06T10:17:44.194+00:00</t>
  </si>
  <si>
    <t>Total: 1203
1 - 1203</t>
  </si>
  <si>
    <t>2024-07-11T10:22:07.653+00:00</t>
  </si>
  <si>
    <t>678713</t>
  </si>
  <si>
    <t>2024-07-11T10:22:14.056+00:00</t>
  </si>
  <si>
    <t>101.00</t>
  </si>
  <si>
    <t>2024-07-11T10:22:21.202+00:00</t>
  </si>
  <si>
    <t>2024-07-11T10:22:29.348+00:00</t>
  </si>
  <si>
    <t>2024-07-11T10:22:33.448+00:00</t>
  </si>
  <si>
    <t>2024-07-11T10:22:36.529+00:00</t>
  </si>
  <si>
    <t>0 386958</t>
  </si>
  <si>
    <t>2024-07-11 10:16:01.478000</t>
  </si>
  <si>
    <t>2024-07-11T10:22:46.531+00:00</t>
  </si>
  <si>
    <t>2024-07-11 10:22:38.519000</t>
  </si>
  <si>
    <t>2024-07-11T10:22:49.498+00:00</t>
  </si>
  <si>
    <t>r022j3942</t>
  </si>
  <si>
    <t>2024-07-11T10:22:58.454+00:00</t>
  </si>
  <si>
    <t>2024-07-11 10:22:51.563000</t>
  </si>
  <si>
    <t>2024-07-11T10:23:04.215+00:00</t>
  </si>
  <si>
    <t>2024-07-11T10:23:07.402+00:00</t>
  </si>
  <si>
    <t>2024-07-11T10:23:12.747+00:00</t>
  </si>
  <si>
    <t>2024-07-11T10:23:51.412+00:00</t>
  </si>
  <si>
    <t>2024-07-11T10:23:53.464+00:00</t>
  </si>
  <si>
    <t>2024-07-10T09:58:47.918+00:02</t>
  </si>
  <si>
    <t>Test 2</t>
  </si>
  <si>
    <t>1 - Duplicados devido a ZCLIENTES com vários CEMPRESAS atribuídos.</t>
  </si>
  <si>
    <t>Total: 101</t>
  </si>
  <si>
    <t>1 - NOK</t>
  </si>
  <si>
    <t>2024-08-06T16:09:46.464+00:00</t>
  </si>
  <si>
    <t>103614</t>
  </si>
  <si>
    <t>2024-08-06T16:10:31.305+00:00</t>
  </si>
  <si>
    <t>2024-08-06T16:12:20.029+00:00</t>
  </si>
  <si>
    <t>2024-08-06T16:12:55.675+00:00</t>
  </si>
  <si>
    <t>2024-08-06T16:13:04.010+00:00</t>
  </si>
  <si>
    <t>2024-08-06T16:13:10.031+00:00</t>
  </si>
  <si>
    <t>2024-08-06 16:03:12.730000</t>
  </si>
  <si>
    <t>2024-08-06T16:13:25.268+00:00</t>
  </si>
  <si>
    <t>2024-08-06 16:13:15.684000</t>
  </si>
  <si>
    <t>2024-08-06T16:13:30.696+00:00</t>
  </si>
  <si>
    <t>s501</t>
  </si>
  <si>
    <t>2024-08-06T16:14:06.362+00:00</t>
  </si>
  <si>
    <t>2024-08-06 16:13:58.164000</t>
  </si>
  <si>
    <t>2024-08-06T16:15:11.372+00:00</t>
  </si>
  <si>
    <t>2024-08-06T16:15:46.301+00:00</t>
  </si>
  <si>
    <t>2024-08-06T16:17:21.461+00:00</t>
  </si>
  <si>
    <t>2024-08-06T16:19:30.967+00:00</t>
  </si>
  <si>
    <t>2024-08-06T16:20:11.569+00:00</t>
  </si>
  <si>
    <t>2024-08-06T13:43:51.774+00:00</t>
  </si>
  <si>
    <t>8913026.00</t>
  </si>
  <si>
    <t>2024-08-06T13:44:01.970+00:00</t>
  </si>
  <si>
    <t>2024-08-06T13:44:10.757+00:00</t>
  </si>
  <si>
    <t>2024-08-06T13:44:22.937+00:00</t>
  </si>
  <si>
    <t>2024-08-06T13:44:29.852+00:00</t>
  </si>
  <si>
    <t>2024-08-06T13:44:35.516+00:00</t>
  </si>
  <si>
    <t>2024-08-05 11:29:03.241000</t>
  </si>
  <si>
    <t>2024-08-06T13:44:53.917+00:00</t>
  </si>
  <si>
    <t>2024-08-06 13:44:40.714000</t>
  </si>
  <si>
    <t>2024-08-06T13:45:08.984+00:00</t>
  </si>
  <si>
    <t>2024-08-06T13:45:33.826+00:00</t>
  </si>
  <si>
    <t>2024-08-06 13:45:23.140000</t>
  </si>
  <si>
    <t>2024-08-06T13:45:46.843+00:00</t>
  </si>
  <si>
    <t>2024-08-06T13:45:50.491+00:00</t>
  </si>
  <si>
    <t>2024-08-06T13:45:57.783+00:00</t>
  </si>
  <si>
    <t>2024-08-06T13:47:42.161+00:00</t>
  </si>
  <si>
    <t>2024-08-06T13:47:48.109+00:00</t>
  </si>
  <si>
    <t>Notas:</t>
  </si>
  <si>
    <t>A tabela de tradução apresenta uma data de referencia diferente</t>
  </si>
  <si>
    <t>1 -  Entradas de primeira nacionalidade apresentam start_date a null</t>
  </si>
  <si>
    <t>Total: 8903337
1 -  8903337</t>
  </si>
  <si>
    <t>Entre os dois universos incluidos na presente tabela as datas de referência são diferentes</t>
  </si>
  <si>
    <t>2024-08-05T16:05:26.125+00:00</t>
  </si>
  <si>
    <t>172836.00</t>
  </si>
  <si>
    <t>2024-08-05T16:05:41.692+00:00</t>
  </si>
  <si>
    <t>86415.00</t>
  </si>
  <si>
    <t>2024-08-05T16:05:59.139+00:00</t>
  </si>
  <si>
    <t>8.00</t>
  </si>
  <si>
    <t>2024-08-05T16:06:14.961+00:00</t>
  </si>
  <si>
    <t>2024-08-05T16:06:21.176+00:00</t>
  </si>
  <si>
    <t>2024-08-05T16:06:35.028+00:00</t>
  </si>
  <si>
    <t>2024-08-05 15:35:42.670000</t>
  </si>
  <si>
    <t>2024-08-05T16:06:52.846+00:00</t>
  </si>
  <si>
    <t>2024-08-05 16:06:44.778000</t>
  </si>
  <si>
    <t>2024-08-05T16:07:04.863+00:00</t>
  </si>
  <si>
    <t>2024-08-05T16:07:15.462+00:00</t>
  </si>
  <si>
    <t>2024-08-05 16:07:07.942000</t>
  </si>
  <si>
    <t>2024-08-05T16:07:23.670+00:00</t>
  </si>
  <si>
    <t>2024-08-05T16:07:30.579+00:00</t>
  </si>
  <si>
    <t>2024-08-05T16:07:35.898+00:00</t>
  </si>
  <si>
    <t>2024-08-05T16:08:04.556+00:00</t>
  </si>
  <si>
    <t>2024-08-05T16:08:07.144+00:00</t>
  </si>
  <si>
    <t>Universe</t>
  </si>
  <si>
    <t>1 - tabela origem apresenta entradas duplicadas (problema de ingestão de dados)</t>
  </si>
  <si>
    <t>Total: 86415
1 - 86415</t>
  </si>
  <si>
    <t>Test 3</t>
  </si>
  <si>
    <t>1 - Não existem estes registos de id na tabela de tradução tat01</t>
  </si>
  <si>
    <t>Total: 8
1 - 8</t>
  </si>
  <si>
    <t>2024-08-06T16:46:09.597+00:00</t>
  </si>
  <si>
    <t>23098</t>
  </si>
  <si>
    <t>2024-08-06T16:46:15.365+00:00</t>
  </si>
  <si>
    <t>0.50</t>
  </si>
  <si>
    <t>11451</t>
  </si>
  <si>
    <t>2024-08-06T16:46:20.050+00:00</t>
  </si>
  <si>
    <t>0.67</t>
  </si>
  <si>
    <t>198</t>
  </si>
  <si>
    <t>2024-08-06T16:46:27.740+00:00</t>
  </si>
  <si>
    <t>2024-08-06T16:46:30.801+00:00</t>
  </si>
  <si>
    <t>2024-08-06T16:46:35.001+00:00</t>
  </si>
  <si>
    <t>2024-08-06 16:44:42.166000</t>
  </si>
  <si>
    <t>2024-08-06T16:46:40.234+00:00</t>
  </si>
  <si>
    <t>2024-08-06 16:46:37.173000</t>
  </si>
  <si>
    <t>2024-08-06T16:46:42.829+00:00</t>
  </si>
  <si>
    <t>2024-08-06T16:46:48.173+00:00</t>
  </si>
  <si>
    <t>2024-08-06 16:46:45.352000</t>
  </si>
  <si>
    <t>2024-08-06T16:46:52.641+00:00</t>
  </si>
  <si>
    <t>0.80</t>
  </si>
  <si>
    <t>2024-08-06T16:46:55.557+00:00</t>
  </si>
  <si>
    <t>2024-08-06T16:47:01.573+00:00</t>
  </si>
  <si>
    <t>2024-08-06T16:47:17.081+00:00</t>
  </si>
  <si>
    <t>0.99</t>
  </si>
  <si>
    <t>2024-08-06T16:47:20.055+00:00</t>
  </si>
  <si>
    <t>A tabela de tradução para o campo country_code apresenta uma data de referencia diferente</t>
  </si>
  <si>
    <t>1 - tabela origem apresenta entradas duplicadas, devido a um problema de ingestão de dados</t>
  </si>
  <si>
    <t>Total: 11451
1 - 11451</t>
  </si>
  <si>
    <t>Total: 198
1 - 198</t>
  </si>
  <si>
    <t>Test 15/16</t>
  </si>
  <si>
    <t>2024-08-05T15:22:08.323+00:00</t>
  </si>
  <si>
    <t>20733347.00</t>
  </si>
  <si>
    <t>2024-08-05T15:22:31.976+00:00</t>
  </si>
  <si>
    <t>2024-08-05T15:23:16.393+00:00</t>
  </si>
  <si>
    <t>2024-08-05T15:24:11.260+00:00</t>
  </si>
  <si>
    <t>2024-08-05T15:24:48.710+00:00</t>
  </si>
  <si>
    <t>2024-08-05T15:25:04.411+00:00</t>
  </si>
  <si>
    <t>0202-04-09</t>
  </si>
  <si>
    <t>2024-08-05 13:51:26.301000</t>
  </si>
  <si>
    <t>2024-08-05T15:26:02.097+00:00</t>
  </si>
  <si>
    <t>2024-08-05 15:25:07.110000</t>
  </si>
  <si>
    <t>2024-08-05T15:26:33.077+00:00</t>
  </si>
  <si>
    <t>´635347560</t>
  </si>
  <si>
    <t>2024-08-05T15:27:08.680+00:00</t>
  </si>
  <si>
    <t>2024-08-05 15:26:36.816000</t>
  </si>
  <si>
    <t>2024-08-05T15:27:28.310+00:00</t>
  </si>
  <si>
    <t>2024-08-05T15:27:46.006+00:00</t>
  </si>
  <si>
    <t>2024-08-05T15:28:03.210+00:00</t>
  </si>
  <si>
    <t>2024-08-05T15:31:15.571+00:00</t>
  </si>
  <si>
    <t>2024-08-05T15:31:21.011+00:00</t>
  </si>
  <si>
    <t>As tabelas de tradução apresentam uma data de referencia diferente</t>
  </si>
  <si>
    <t>2024-08-06T14:16:12.890+00:00</t>
  </si>
  <si>
    <t>1635488.00</t>
  </si>
  <si>
    <t>2024-08-06T14:16:34.889+00:00</t>
  </si>
  <si>
    <t>2024-08-06T14:17:11.894+00:00</t>
  </si>
  <si>
    <t>2024-08-06T14:17:27.908+00:00</t>
  </si>
  <si>
    <t>2024-08-06T14:17:33.948+00:00</t>
  </si>
  <si>
    <t>2024-08-06T14:17:39.673+00:00</t>
  </si>
  <si>
    <t>2024-08-06 14:02:52.239000</t>
  </si>
  <si>
    <t>2024-08-06T14:17:49.234+00:00</t>
  </si>
  <si>
    <t>2024-08-06 14:04:56.561000</t>
  </si>
  <si>
    <t>2024-08-06T14:17:52.863+00:00</t>
  </si>
  <si>
    <t>2024-08-06T14:18:02.185+00:00</t>
  </si>
  <si>
    <t>2024-08-06 14:05:12.331000</t>
  </si>
  <si>
    <t>2024-08-06T14:18:09.111+00:00</t>
  </si>
  <si>
    <t>2024-08-06T14:18:13.961+00:00</t>
  </si>
  <si>
    <t>2024-08-06T14:18:20.303+00:00</t>
  </si>
  <si>
    <t>2024-08-06T14:18:57.519+00:00</t>
  </si>
  <si>
    <t>2024-08-06T14:19:00.006+00:00</t>
  </si>
  <si>
    <t>2024-08-16T09:43:33.168+00:00</t>
  </si>
  <si>
    <t>37037087.00</t>
  </si>
  <si>
    <t>2024-08-16T09:44:03.019+00:00</t>
  </si>
  <si>
    <t>5.00</t>
  </si>
  <si>
    <t>2024-08-16T09:44:32.511+00:00</t>
  </si>
  <si>
    <t>6834.00</t>
  </si>
  <si>
    <t>2024-08-16T09:44:52.119+00:00</t>
  </si>
  <si>
    <t>2024-08-16T09:45:01.051+00:00</t>
  </si>
  <si>
    <t>2024-08-16T09:45:06.585+00:00</t>
  </si>
  <si>
    <t>2024-08-16 09:31:08.227000</t>
  </si>
  <si>
    <t>2024-08-16T09:45:30.846+00:00</t>
  </si>
  <si>
    <t>2024-08-16 09:45:08.808000</t>
  </si>
  <si>
    <t>2024-08-16T09:45:39.013+00:00</t>
  </si>
  <si>
    <t>1A1</t>
  </si>
  <si>
    <t>2024-08-16T09:45:59.954+00:00</t>
  </si>
  <si>
    <t>2024-08-16 09:45:40.961000</t>
  </si>
  <si>
    <t>2024-08-16T09:46:07.292+00:00</t>
  </si>
  <si>
    <t>2024-08-16T09:46:14.110+00:00</t>
  </si>
  <si>
    <t>2024-08-16T09:49:04.835+00:00</t>
  </si>
  <si>
    <t>2024-08-16T09:49:07.794+00:00</t>
  </si>
  <si>
    <t>1 -Os duplicados ocorrem quando o campo party_id, que é pk, é null. Estes nulos existem porque certos id que existem na mc_cliente não estão presentes na tat01. Verificar com o owner como abordar a situação</t>
  </si>
  <si>
    <t>Total: 5
1 - 5</t>
  </si>
  <si>
    <t>1 -NOK</t>
  </si>
  <si>
    <t>1 - Ocorrênica de nulos porque certos id que existem na mc_cliente não estão presentes na tat01.</t>
  </si>
  <si>
    <t>Total: 6834
1 - 6834</t>
  </si>
  <si>
    <t>1 - Ocorrência de nulos porque certos id que existem na mc_cliente não estão presentes na tat01.</t>
  </si>
  <si>
    <t>2024-08-06T14:24:55.262+00:00</t>
  </si>
  <si>
    <t>3807912</t>
  </si>
  <si>
    <t>2024-08-06T14:25:02.808+00:00</t>
  </si>
  <si>
    <t>10</t>
  </si>
  <si>
    <t>2024-08-06T14:25:09.343+00:00</t>
  </si>
  <si>
    <t>0.75</t>
  </si>
  <si>
    <t>79916</t>
  </si>
  <si>
    <t>2024-08-06T14:25:19.579+00:00</t>
  </si>
  <si>
    <t>2024-08-06T14:25:23.909+00:00</t>
  </si>
  <si>
    <t>2024-08-06T14:25:28.756+00:00</t>
  </si>
  <si>
    <t>2024-08-06 14:23:03.712000</t>
  </si>
  <si>
    <t>2024-08-06T14:25:37.692+00:00</t>
  </si>
  <si>
    <t>2024-08-06 14:25:31.015000</t>
  </si>
  <si>
    <t>2024-08-06T14:25:44.543+00:00</t>
  </si>
  <si>
    <t>B05</t>
  </si>
  <si>
    <t>2024-08-06T14:25:58.248+00:00</t>
  </si>
  <si>
    <t>2024-08-06 14:25:52.314000</t>
  </si>
  <si>
    <t>2024-08-06T14:26:04.341+00:00</t>
  </si>
  <si>
    <t>2024-08-06T14:26:10.024+00:00</t>
  </si>
  <si>
    <t>2024-08-06T14:26:52.151+00:00</t>
  </si>
  <si>
    <t>0.98</t>
  </si>
  <si>
    <t>2024-08-06T14:26:54.531+00:00</t>
  </si>
  <si>
    <t>1 - Ocorrência de duplicados. Estes duplicados ocorrem quando o campo party_id, que é pk, é null. Estes nulos existem porque certos id que existem na mc_cliente não estão presentes na tat01. Verificar com o owner como abordar a situação</t>
  </si>
  <si>
    <t>Total: 10
1 - 10</t>
  </si>
  <si>
    <t>Total: 79916
1 - 79916</t>
  </si>
  <si>
    <t>Test 15</t>
  </si>
  <si>
    <t>1 - A existência de valores nulos nas pk, e por consequência duplicados, origina problemas na comparação entre source e MCD</t>
  </si>
  <si>
    <t>Test 16</t>
  </si>
  <si>
    <t>2024-08-09T11:26:00.442+00:00</t>
  </si>
  <si>
    <t>1504988</t>
  </si>
  <si>
    <t>2024-08-09T11:26:19.487+00:00</t>
  </si>
  <si>
    <t>0.55</t>
  </si>
  <si>
    <t>680680</t>
  </si>
  <si>
    <t>2024-08-09T11:26:37.087+00:00</t>
  </si>
  <si>
    <t>101544</t>
  </si>
  <si>
    <t>2024-08-09T11:27:21.615+00:00</t>
  </si>
  <si>
    <t>2024-08-09T11:27:33.949+00:00</t>
  </si>
  <si>
    <t>2024-08-09T11:28:15.139+00:00</t>
  </si>
  <si>
    <t>0.000000</t>
  </si>
  <si>
    <t>ADP</t>
  </si>
  <si>
    <t>2024-08-06 17:34:03.025000</t>
  </si>
  <si>
    <t>2024-08-09T11:28:49.978+00:00</t>
  </si>
  <si>
    <t>000000000000000.00</t>
  </si>
  <si>
    <t>2024-08-06 17:40:53.074000</t>
  </si>
  <si>
    <t>2024-08-09T11:28:59.904+00:00</t>
  </si>
  <si>
    <t>ZAR</t>
  </si>
  <si>
    <t>2024-08-09T11:29:30.372+00:00</t>
  </si>
  <si>
    <t>000437574000000.00</t>
  </si>
  <si>
    <t>2024-08-06 17:41:27.525000</t>
  </si>
  <si>
    <t>2024-08-09T11:29:51.750+00:00</t>
  </si>
  <si>
    <t>0.33</t>
  </si>
  <si>
    <t>2024-08-09T11:30:07.782+00:00</t>
  </si>
  <si>
    <t>2024-08-09T11:30:38.205+00:00</t>
  </si>
  <si>
    <t>2024-08-09T11:32:22.470+00:00</t>
  </si>
  <si>
    <t>0.93</t>
  </si>
  <si>
    <t>101544.00</t>
  </si>
  <si>
    <t>2024-08-09T11:32:27.689+00:00</t>
  </si>
  <si>
    <t>decimal(23,6)</t>
  </si>
  <si>
    <t>1 - Tabela econom_jcas_int apresenta entradas duplicadas, provavelmente devido a uma má ingestão dos dados</t>
  </si>
  <si>
    <t>Total: 680680
1 - 680680</t>
  </si>
  <si>
    <t>1 - Não existem estes registos de id na tabela econom_jcas_int ou jca_adicio_t02</t>
  </si>
  <si>
    <t>Total: 101554
1 - 101554</t>
  </si>
  <si>
    <t>Total: 101554 
1 - 101554</t>
  </si>
  <si>
    <t>1 - Valores vazios no campo codmone5 da tabela econom_jcas_int, que quando se ligam ao campo codmon da tabela de tradução tat21 geram nulos
2 - Não existem estes registos de id na tabela econom_jcas_int</t>
  </si>
  <si>
    <t>Total: 1458886
1 - 1315258
2 - 143628</t>
  </si>
  <si>
    <t>1 - OK
2 - OK</t>
  </si>
  <si>
    <t>1 - Não existem estes registos de id na tabela econom_jcas_int</t>
  </si>
  <si>
    <t>Total: 143628
1 - 143628</t>
  </si>
  <si>
    <t>1 - Não existem estes registos de id na tabela econom_jcas_int
2 - Valores vazios na tabela de origem</t>
  </si>
  <si>
    <t>Total: 818876
1 - 143628
2 -  675248</t>
  </si>
  <si>
    <t>1 - Não existem estes registos de id na tabela jca_adicio_t02</t>
  </si>
  <si>
    <t>Total: 114448
1 - 114448</t>
  </si>
  <si>
    <t>2024-09-06T09:11:46.595+00:00</t>
  </si>
  <si>
    <t>4617388</t>
  </si>
  <si>
    <t>2024-09-06T09:12:02.841+00:00</t>
  </si>
  <si>
    <t>2024-09-06T09:12:12.820+00:00</t>
  </si>
  <si>
    <t>2024-09-06T09:12:28.469+00:00</t>
  </si>
  <si>
    <t>2024-09-06T09:12:36.800+00:00</t>
  </si>
  <si>
    <t>2024-09-06T09:13:16.163+00:00</t>
  </si>
  <si>
    <t xml:space="preserve">      </t>
  </si>
  <si>
    <t>2024-09-06T09:14:02.807+00:00</t>
  </si>
  <si>
    <t xml:space="preserve">          </t>
  </si>
  <si>
    <t xml:space="preserve">     </t>
  </si>
  <si>
    <t xml:space="preserve">                                                  </t>
  </si>
  <si>
    <t xml:space="preserve">                                                                    </t>
  </si>
  <si>
    <t>2024-09-05 18:46:04.886000</t>
  </si>
  <si>
    <t>2024-09-06T09:14:11.074+00:00</t>
  </si>
  <si>
    <t xml:space="preserve">Óis do Bairro            </t>
  </si>
  <si>
    <t>9999-999</t>
  </si>
  <si>
    <t xml:space="preserve">ZONA  </t>
  </si>
  <si>
    <t xml:space="preserve">óscar Monteiro torres                                                                               </t>
  </si>
  <si>
    <t xml:space="preserve">ZN        </t>
  </si>
  <si>
    <t xml:space="preserve">ï167 </t>
  </si>
  <si>
    <t xml:space="preserve">ÓMEGA ENT C 2 DTO                                 </t>
  </si>
  <si>
    <t xml:space="preserve">cx p 255  </t>
  </si>
  <si>
    <t xml:space="preserve">ïQUAIS 13                               1342 LE PORT                </t>
  </si>
  <si>
    <t>2024-09-05 18:39:10.804000</t>
  </si>
  <si>
    <t>2024-09-06T09:14:46.304+00:00</t>
  </si>
  <si>
    <t>2024-09-06 09:14:13.716000</t>
  </si>
  <si>
    <t>2024-09-06T09:15:06.400+00:00</t>
  </si>
  <si>
    <t>0.650000</t>
  </si>
  <si>
    <t>2024-09-06T09:15:10.201+00:00</t>
  </si>
  <si>
    <t>2024-09-06T09:15:26.534+00:00</t>
  </si>
  <si>
    <t>0.895863</t>
  </si>
  <si>
    <t>2024-09-06T09:19:41.374+00:00</t>
  </si>
  <si>
    <t>2024-09-06T09:20:26.158+00:00</t>
  </si>
  <si>
    <t>bigint</t>
  </si>
  <si>
    <t>2024-09-05T17:15:26.934+00:00</t>
  </si>
  <si>
    <t>Test 6</t>
  </si>
  <si>
    <t xml:space="preserve">1 - Ao fazer o substring do campo e0710_dom_desc_text da tabela de origem, o campo fica vazio
</t>
  </si>
  <si>
    <t xml:space="preserve">Total: 1
1 - 1
</t>
  </si>
  <si>
    <t xml:space="preserve">1 - OK
</t>
  </si>
  <si>
    <t>buiding_type_code</t>
  </si>
  <si>
    <t>1 - Casos em que o formato do domicilio é igual a EP, ficando o campo NULL devido às condições impostas na query</t>
  </si>
  <si>
    <t>Total: 226909
1 - 226909</t>
  </si>
  <si>
    <t>1 - Casos em que o formato do domicilio é igual a EP ou a AP, ficando o campo NULL devido às condições impostas na query</t>
  </si>
  <si>
    <t>Total: 231753
1 - 231753</t>
  </si>
  <si>
    <t>1 - Ao fazer o substring do campo e0710_dom_desc_text da tabela de origem, o campo fica vazio
2 - Ao fazer o substring do campo e0710_dom_desc_text da tabela de origem, o campo fica com espaços vazios</t>
  </si>
  <si>
    <t>Total: 182511
1 - 1
1 - 182510</t>
  </si>
  <si>
    <t>1 - Ao fazer o substring do campo e0710_dom_desc_text da tabela de origem, o campo fica com espaços vazios</t>
  </si>
  <si>
    <t>Total: 431503
1 - 431503</t>
  </si>
  <si>
    <t>Total: 604
1 - 604</t>
  </si>
  <si>
    <t>Total: 4043368
1 - 1
2 - 4043367</t>
  </si>
  <si>
    <t>Total: 910757
1 - 1
2 - 910756</t>
  </si>
  <si>
    <t>Total: 2125143
1 - 1
2 - 2125142</t>
  </si>
  <si>
    <t>full_adress</t>
  </si>
  <si>
    <t>Total: 32
1 - 32</t>
  </si>
  <si>
    <t>2024-09-05T18:44:29.790+00:00</t>
  </si>
  <si>
    <t>867558</t>
  </si>
  <si>
    <t>2024-09-05T18:44:39.694+00:00</t>
  </si>
  <si>
    <t>2024-09-05T18:44:57.006+00:00</t>
  </si>
  <si>
    <t>2024-09-05T18:45:32.441+00:00</t>
  </si>
  <si>
    <t>2024-09-05T18:45:48.389+00:00</t>
  </si>
  <si>
    <t>2024-09-05T18:46:02.059+00:00</t>
  </si>
  <si>
    <t xml:space="preserve">                         </t>
  </si>
  <si>
    <t>0000-000</t>
  </si>
  <si>
    <t xml:space="preserve">                                                                                                    </t>
  </si>
  <si>
    <t>2024-09-05 18:38:09.727000</t>
  </si>
  <si>
    <t>2024-09-05T18:46:17.563+00:00</t>
  </si>
  <si>
    <t>2024-09-05T18:46:22.099+00:00</t>
  </si>
  <si>
    <t xml:space="preserve">Évora                    </t>
  </si>
  <si>
    <t xml:space="preserve">Lisb-oa </t>
  </si>
  <si>
    <t xml:space="preserve">ÓVOA E VIMIEIRO                                                                                     </t>
  </si>
  <si>
    <t xml:space="preserve">áá   </t>
  </si>
  <si>
    <t xml:space="preserve">ÁRVORE VILA DO CONDE PORTO                        </t>
  </si>
  <si>
    <t xml:space="preserve">olhao     </t>
  </si>
  <si>
    <t xml:space="preserve">Überseering 10                                                      </t>
  </si>
  <si>
    <t>2024-09-05T18:46:36.009+00:00</t>
  </si>
  <si>
    <t>2024-09-05 18:46:24.228000</t>
  </si>
  <si>
    <t>2024-09-05T18:46:57.203+00:00</t>
  </si>
  <si>
    <t>2024-09-05T18:47:00.126+00:00</t>
  </si>
  <si>
    <t>2024-09-05T18:47:09.884+00:00</t>
  </si>
  <si>
    <t>0.879436</t>
  </si>
  <si>
    <t>2024-09-05T18:48:15.296+00:00</t>
  </si>
  <si>
    <t>2024-09-05T18:48:19.954+00:00</t>
  </si>
  <si>
    <t>Total: 59023
1 - 59023</t>
  </si>
  <si>
    <t>Total: 66198
1 - 66198</t>
  </si>
  <si>
    <t>Total: 570
1 - 570</t>
  </si>
  <si>
    <t>Total: 197968
1 - 197968</t>
  </si>
  <si>
    <t>Total: 3773
1 - 3773</t>
  </si>
  <si>
    <t>Total: 729441
1 - 729441</t>
  </si>
  <si>
    <t>Total: 261270
1 - 261270</t>
  </si>
  <si>
    <t>Total: 480509
1 - 480509</t>
  </si>
  <si>
    <t>Total: 12
1 - 12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</si>
</sst>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7" x14ac:knownFonts="1">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0"/>
      <name val="Arial"/>
    </font>
    <font>
      <sz val="11"/>
      <color rgb="FF000000"/>
      <name val="Calibri"/>
      <scheme val="minor"/>
    </font>
    <font>
      <sz val="11"/>
      <color rgb="FF000000"/>
      <name val="Calibri"/>
      <charset val="1"/>
    </font>
    <font>
      <sz val="11"/>
      <name val="Calibri"/>
      <family val="2"/>
    </font>
    <font>
      <b/>
      <sz val="11"/>
      <color theme="0"/>
      <name val="Calibri"/>
      <family val="2"/>
      <scheme val="minor"/>
    </font>
    <font>
      <b/>
      <sz val="8"/>
      <name val="Arial"/>
    </font>
    <font>
      <sz val="11"/>
      <color rgb="FF000000"/>
      <name val="Calibri"/>
      <family val="2"/>
      <scheme val="minor"/>
    </font>
    <font>
      <sz val="8"/>
      <color theme="1"/>
      <name val="Calibri"/>
      <family val="2"/>
    </font>
    <font>
      <sz val="8"/>
      <color theme="1"/>
      <name val="Calibri"/>
      <family val="2"/>
      <scheme val="minor"/>
    </font>
    <font>
      <b/>
      <sz val="11"/>
      <color rgb="FF000000"/>
      <name val="Calibri"/>
      <scheme val="minor"/>
    </font>
    <font>
      <i/>
      <sz val="11"/>
      <color rgb="FF000000"/>
      <name val="Calibri"/>
      <scheme val="minor"/>
    </font>
    <font>
      <b/>
      <sz val="11"/>
      <color rgb="FF000000"/>
      <name val="Calibri"/>
    </font>
    <font>
      <sz val="11"/>
      <color rgb="FF000000"/>
      <name val="Calibri"/>
    </font>
    <font>
      <sz val="11"/>
      <color rgb="FFFF0000"/>
      <name val="Calibri"/>
      <scheme val="minor"/>
    </font>
    <font>
      <sz val="11"/>
      <color rgb="FFFF0000"/>
      <name val="Calibri"/>
    </font>
    <font>
      <b/>
      <sz val="11"/>
      <color rgb="FFFF0000"/>
      <name val="Calibri"/>
      <scheme val="minor"/>
    </font>
    <font>
      <sz val="11"/>
      <color theme="1"/>
      <name val="Calibri"/>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rgb="FFFF0000"/>
        <bgColor indexed="64"/>
      </patternFill>
    </fill>
  </fills>
  <borders count="3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theme="6"/>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theme="6"/>
      </left>
      <right/>
      <top/>
      <bottom style="thin">
        <color theme="6"/>
      </bottom>
      <diagonal/>
    </border>
    <border>
      <left style="thin">
        <color rgb="FF000000"/>
      </left>
      <right style="thin">
        <color rgb="FF000000"/>
      </right>
      <top/>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89">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8"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1"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3" xfId="0" applyFont="1" applyFill="1" applyBorder="1" applyAlignment="1">
      <alignment horizontal="center" vertical="center"/>
    </xf>
    <xf numFmtId="0" fontId="23" fillId="0" borderId="14" xfId="0" applyFont="1" applyBorder="1" applyAlignment="1">
      <alignment horizontal="left" vertical="center" indent="1"/>
    </xf>
    <xf numFmtId="0" fontId="25" fillId="5" borderId="8" xfId="0" applyFont="1" applyFill="1" applyBorder="1" applyAlignment="1">
      <alignment horizontal="center" vertical="center"/>
    </xf>
    <xf numFmtId="0" fontId="30" fillId="0" borderId="10" xfId="0" applyFont="1" applyBorder="1" applyAlignment="1">
      <alignment horizontal="left" vertical="center" indent="1"/>
    </xf>
    <xf numFmtId="0" fontId="30" fillId="0" borderId="14" xfId="0" applyFont="1" applyBorder="1" applyAlignment="1">
      <alignment horizontal="left" vertical="center" indent="1"/>
    </xf>
    <xf numFmtId="0" fontId="0" fillId="0" borderId="15" xfId="0" applyBorder="1" applyAlignment="1">
      <alignment horizontal="center" vertical="center"/>
    </xf>
    <xf numFmtId="0" fontId="31" fillId="0" borderId="15" xfId="0" applyFont="1" applyBorder="1" applyAlignment="1">
      <alignment vertical="center"/>
    </xf>
    <xf numFmtId="0" fontId="0" fillId="0" borderId="15" xfId="0" applyBorder="1" applyAlignment="1">
      <alignment horizontal="left" vertical="center"/>
    </xf>
    <xf numFmtId="0" fontId="0" fillId="0" borderId="15" xfId="0" applyBorder="1" applyAlignment="1">
      <alignment vertical="center" wrapText="1"/>
    </xf>
    <xf numFmtId="0" fontId="0" fillId="0" borderId="15" xfId="0" applyBorder="1" applyAlignment="1">
      <alignment vertical="center"/>
    </xf>
    <xf numFmtId="0" fontId="31" fillId="0" borderId="15" xfId="0" applyFont="1" applyBorder="1" applyAlignment="1">
      <alignment horizontal="center" vertical="center"/>
    </xf>
    <xf numFmtId="0" fontId="0" fillId="0" borderId="15" xfId="0" applyBorder="1" applyAlignment="1" applyProtection="1">
      <alignment vertical="center"/>
      <protection locked="0"/>
    </xf>
    <xf numFmtId="0" fontId="25" fillId="5" borderId="20" xfId="0" applyFont="1" applyFill="1" applyBorder="1" applyAlignment="1">
      <alignment horizontal="center" vertical="center" wrapText="1"/>
    </xf>
    <xf numFmtId="0" fontId="25" fillId="5" borderId="21" xfId="0" applyFont="1" applyFill="1" applyBorder="1" applyAlignment="1">
      <alignment horizontal="center" vertical="center" wrapText="1"/>
    </xf>
    <xf numFmtId="0" fontId="33" fillId="0" borderId="15" xfId="0" applyFont="1" applyBorder="1" applyAlignment="1">
      <alignment vertical="center" wrapText="1"/>
    </xf>
    <xf numFmtId="0" fontId="24" fillId="11" borderId="22" xfId="0" applyFont="1" applyFill="1" applyBorder="1" applyAlignment="1" applyProtection="1">
      <alignment horizontal="center" vertical="center" wrapText="1" readingOrder="1"/>
      <protection locked="0"/>
    </xf>
    <xf numFmtId="0" fontId="25" fillId="5" borderId="18" xfId="0" applyFont="1" applyFill="1" applyBorder="1" applyAlignment="1">
      <alignment horizontal="center" vertical="center" wrapText="1"/>
    </xf>
    <xf numFmtId="0" fontId="0" fillId="0" borderId="15" xfId="0" applyBorder="1" applyAlignment="1" applyProtection="1">
      <alignment horizontal="center" vertical="center"/>
      <protection locked="0"/>
    </xf>
    <xf numFmtId="0" fontId="31" fillId="0" borderId="15" xfId="0" applyFont="1" applyBorder="1" applyAlignment="1">
      <alignment horizontal="center" vertical="center" wrapText="1"/>
    </xf>
    <xf numFmtId="0" fontId="33" fillId="0" borderId="15" xfId="0" applyFont="1" applyBorder="1" applyAlignment="1">
      <alignment vertical="center"/>
    </xf>
    <xf numFmtId="0" fontId="28" fillId="0" borderId="15" xfId="0" applyFont="1" applyBorder="1" applyAlignment="1">
      <alignment horizontal="left" vertical="center"/>
    </xf>
    <xf numFmtId="0" fontId="0" fillId="0" borderId="18" xfId="0" applyBorder="1" applyAlignment="1">
      <alignment vertical="center"/>
    </xf>
    <xf numFmtId="0" fontId="34" fillId="14" borderId="23" xfId="0" applyFont="1" applyFill="1" applyBorder="1" applyAlignment="1">
      <alignment horizontal="center" vertical="center"/>
    </xf>
    <xf numFmtId="0" fontId="34" fillId="13" borderId="0" xfId="0" applyFont="1" applyFill="1"/>
    <xf numFmtId="0" fontId="0" fillId="0" borderId="23" xfId="0" applyBorder="1" applyAlignment="1">
      <alignment horizontal="left" vertical="center"/>
    </xf>
    <xf numFmtId="0" fontId="34" fillId="14" borderId="18" xfId="0" applyFont="1" applyFill="1" applyBorder="1" applyAlignment="1">
      <alignment horizontal="left"/>
    </xf>
    <xf numFmtId="0" fontId="0" fillId="0" borderId="24" xfId="0" applyBorder="1"/>
    <xf numFmtId="0" fontId="0" fillId="0" borderId="25" xfId="0" applyBorder="1" applyAlignment="1">
      <alignment horizontal="left"/>
    </xf>
    <xf numFmtId="22" fontId="0" fillId="0" borderId="25" xfId="0" applyNumberFormat="1" applyBorder="1"/>
    <xf numFmtId="0" fontId="0" fillId="0" borderId="25" xfId="0" applyBorder="1"/>
    <xf numFmtId="0" fontId="0" fillId="0" borderId="22" xfId="0" applyBorder="1"/>
    <xf numFmtId="0" fontId="34" fillId="13" borderId="26" xfId="0" applyFont="1" applyFill="1" applyBorder="1"/>
    <xf numFmtId="0" fontId="34" fillId="13" borderId="27" xfId="0" applyFont="1" applyFill="1" applyBorder="1"/>
    <xf numFmtId="0" fontId="0" fillId="0" borderId="28" xfId="0" applyBorder="1"/>
    <xf numFmtId="0" fontId="0" fillId="0" borderId="16" xfId="0" applyBorder="1"/>
    <xf numFmtId="0" fontId="0" fillId="0" borderId="22" xfId="0" applyBorder="1" applyAlignment="1">
      <alignment horizontal="left"/>
    </xf>
    <xf numFmtId="22" fontId="0" fillId="0" borderId="22" xfId="0" applyNumberFormat="1" applyBorder="1"/>
    <xf numFmtId="0" fontId="0" fillId="0" borderId="17" xfId="0" applyBorder="1"/>
    <xf numFmtId="0" fontId="34" fillId="14" borderId="20" xfId="0" applyFont="1" applyFill="1" applyBorder="1" applyAlignment="1">
      <alignment horizontal="center" vertical="center"/>
    </xf>
    <xf numFmtId="0" fontId="34" fillId="14" borderId="26" xfId="0" applyFont="1" applyFill="1" applyBorder="1" applyAlignment="1">
      <alignment horizontal="center" vertical="center"/>
    </xf>
    <xf numFmtId="0" fontId="0" fillId="0" borderId="26" xfId="0" applyBorder="1"/>
    <xf numFmtId="0" fontId="34" fillId="14" borderId="18" xfId="0" applyFont="1" applyFill="1" applyBorder="1" applyAlignment="1">
      <alignment vertical="center"/>
    </xf>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22" fontId="0" fillId="0" borderId="0" xfId="0" applyNumberFormat="1" applyAlignment="1">
      <alignment horizontal="left" wrapText="1"/>
    </xf>
    <xf numFmtId="0" fontId="34" fillId="14" borderId="26" xfId="0" applyFont="1" applyFill="1" applyBorder="1"/>
    <xf numFmtId="0" fontId="34" fillId="14" borderId="27" xfId="0" applyFont="1" applyFill="1" applyBorder="1"/>
    <xf numFmtId="0" fontId="34" fillId="14" borderId="24" xfId="0" applyFont="1" applyFill="1" applyBorder="1" applyAlignment="1">
      <alignment horizontal="center" vertical="center"/>
    </xf>
    <xf numFmtId="0" fontId="34" fillId="14" borderId="25" xfId="0" applyFont="1" applyFill="1" applyBorder="1" applyAlignment="1">
      <alignment horizontal="center" vertical="center"/>
    </xf>
    <xf numFmtId="0" fontId="34" fillId="14" borderId="28" xfId="0" applyFont="1" applyFill="1" applyBorder="1" applyAlignment="1">
      <alignment horizontal="center" vertical="center"/>
    </xf>
    <xf numFmtId="14" fontId="0" fillId="0" borderId="0" xfId="0" applyNumberFormat="1"/>
    <xf numFmtId="3" fontId="0" fillId="0" borderId="0" xfId="0" applyNumberFormat="1"/>
    <xf numFmtId="0" fontId="0" fillId="0" borderId="15" xfId="0" applyBorder="1" applyAlignment="1">
      <alignment horizontal="left" vertical="center" wrapText="1"/>
    </xf>
    <xf numFmtId="0" fontId="34" fillId="14" borderId="27" xfId="0" applyFont="1" applyFill="1" applyBorder="1" applyAlignment="1">
      <alignment horizontal="center" vertical="center"/>
    </xf>
    <xf numFmtId="0" fontId="0" fillId="0" borderId="18" xfId="0"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vertical="center" wrapText="1"/>
      <protection locked="0"/>
    </xf>
    <xf numFmtId="0" fontId="35" fillId="5" borderId="8" xfId="0" applyFont="1" applyFill="1" applyBorder="1" applyAlignment="1">
      <alignment horizontal="center" vertical="center" wrapText="1"/>
    </xf>
    <xf numFmtId="0" fontId="0" fillId="0" borderId="18" xfId="0" applyBorder="1" applyAlignment="1">
      <alignment horizontal="left" vertical="center"/>
    </xf>
    <xf numFmtId="0" fontId="0" fillId="0" borderId="29" xfId="0" applyBorder="1" applyAlignment="1">
      <alignment horizontal="left" vertical="center"/>
    </xf>
    <xf numFmtId="49" fontId="0" fillId="0" borderId="29" xfId="0" applyNumberFormat="1" applyBorder="1" applyAlignment="1">
      <alignment horizontal="left" vertical="center"/>
    </xf>
    <xf numFmtId="0" fontId="0" fillId="0" borderId="30" xfId="0" applyBorder="1" applyAlignment="1">
      <alignment horizontal="left" vertical="center"/>
    </xf>
    <xf numFmtId="0" fontId="0" fillId="0" borderId="28" xfId="0" applyBorder="1" applyAlignment="1">
      <alignment horizontal="left"/>
    </xf>
    <xf numFmtId="0" fontId="32" fillId="0" borderId="0" xfId="0" applyFont="1"/>
    <xf numFmtId="3" fontId="0" fillId="0" borderId="0" xfId="0" quotePrefix="1" applyNumberFormat="1" applyAlignment="1">
      <alignment horizontal="left"/>
    </xf>
    <xf numFmtId="0" fontId="36" fillId="2" borderId="0" xfId="0" applyFont="1" applyFill="1" applyAlignment="1">
      <alignment vertical="center" wrapText="1"/>
    </xf>
    <xf numFmtId="0" fontId="0" fillId="2" borderId="0" xfId="0" applyFill="1" applyAlignment="1">
      <alignment vertical="center"/>
    </xf>
    <xf numFmtId="2" fontId="0" fillId="0" borderId="0" xfId="0" applyNumberFormat="1" applyAlignment="1">
      <alignment horizontal="left"/>
    </xf>
    <xf numFmtId="164" fontId="0" fillId="0" borderId="0" xfId="0" applyNumberFormat="1" applyAlignment="1">
      <alignment horizontal="left"/>
    </xf>
    <xf numFmtId="164" fontId="0" fillId="0" borderId="23" xfId="0" applyNumberFormat="1" applyBorder="1" applyAlignment="1">
      <alignment horizontal="left" vertical="center"/>
    </xf>
    <xf numFmtId="0" fontId="0" fillId="0" borderId="0" xfId="0" quotePrefix="1" applyAlignment="1">
      <alignment horizontal="left"/>
    </xf>
    <xf numFmtId="0" fontId="34" fillId="0" borderId="31" xfId="0" applyFont="1" applyBorder="1"/>
    <xf numFmtId="0" fontId="34" fillId="0" borderId="0" xfId="0" applyFont="1"/>
    <xf numFmtId="0" fontId="0" fillId="0" borderId="31" xfId="0" applyBorder="1"/>
    <xf numFmtId="2" fontId="0" fillId="0" borderId="23" xfId="0" applyNumberFormat="1" applyBorder="1" applyAlignment="1">
      <alignment horizontal="left" vertical="center"/>
    </xf>
    <xf numFmtId="0" fontId="34" fillId="13" borderId="22" xfId="0" applyFont="1" applyFill="1" applyBorder="1"/>
    <xf numFmtId="0" fontId="34" fillId="13" borderId="17" xfId="0" applyFont="1" applyFill="1" applyBorder="1"/>
    <xf numFmtId="0" fontId="34" fillId="14" borderId="15" xfId="0" applyFont="1" applyFill="1" applyBorder="1" applyAlignment="1">
      <alignment vertical="center"/>
    </xf>
    <xf numFmtId="0" fontId="0" fillId="0" borderId="32" xfId="0" applyBorder="1" applyAlignment="1">
      <alignment vertical="center"/>
    </xf>
    <xf numFmtId="0" fontId="34" fillId="0" borderId="0" xfId="0" applyFont="1" applyAlignment="1">
      <alignment vertical="center"/>
    </xf>
    <xf numFmtId="14" fontId="0" fillId="0" borderId="0" xfId="0" quotePrefix="1" applyNumberFormat="1" applyAlignment="1">
      <alignment horizontal="left"/>
    </xf>
    <xf numFmtId="0" fontId="36" fillId="0" borderId="0" xfId="0" applyFont="1" applyAlignment="1">
      <alignment vertical="center" wrapText="1"/>
    </xf>
    <xf numFmtId="0" fontId="34" fillId="14" borderId="22" xfId="0" applyFont="1" applyFill="1" applyBorder="1"/>
    <xf numFmtId="2" fontId="0" fillId="6" borderId="0" xfId="0" applyNumberFormat="1" applyFill="1" applyAlignment="1">
      <alignment horizontal="left"/>
    </xf>
    <xf numFmtId="0" fontId="0" fillId="6" borderId="0" xfId="0" quotePrefix="1" applyFill="1" applyAlignment="1">
      <alignment horizontal="left"/>
    </xf>
    <xf numFmtId="2" fontId="0" fillId="0" borderId="0" xfId="0" quotePrefix="1" applyNumberFormat="1" applyAlignment="1">
      <alignment horizontal="left"/>
    </xf>
    <xf numFmtId="4" fontId="0" fillId="0" borderId="0" xfId="0" applyNumberFormat="1" applyAlignment="1">
      <alignment horizontal="left"/>
    </xf>
    <xf numFmtId="0" fontId="0" fillId="0" borderId="0" xfId="0" applyAlignment="1">
      <alignment horizontal="left" wrapText="1"/>
    </xf>
    <xf numFmtId="0" fontId="36" fillId="2" borderId="0" xfId="0" applyFont="1" applyFill="1" applyAlignment="1">
      <alignment vertical="center"/>
    </xf>
    <xf numFmtId="0" fontId="0" fillId="0" borderId="15" xfId="0" applyBorder="1" applyAlignment="1" applyProtection="1">
      <alignment vertical="center" wrapText="1"/>
      <protection locked="0"/>
    </xf>
    <xf numFmtId="0" fontId="0" fillId="0" borderId="0" xfId="0" applyAlignment="1">
      <alignment horizontal="center" vertical="center"/>
    </xf>
    <xf numFmtId="0" fontId="25" fillId="5" borderId="28" xfId="0" applyFont="1" applyFill="1" applyBorder="1" applyAlignment="1">
      <alignment horizontal="center" vertical="center" wrapText="1"/>
    </xf>
    <xf numFmtId="0" fontId="25" fillId="5" borderId="19" xfId="0" applyFont="1" applyFill="1" applyBorder="1" applyAlignment="1">
      <alignment horizontal="center" vertical="center" wrapText="1"/>
    </xf>
    <xf numFmtId="0" fontId="25" fillId="5" borderId="24" xfId="0" applyFont="1" applyFill="1" applyBorder="1" applyAlignment="1">
      <alignment horizontal="center" vertical="center" wrapText="1"/>
    </xf>
    <xf numFmtId="0" fontId="37" fillId="0" borderId="17" xfId="0" applyFont="1" applyBorder="1" applyAlignment="1">
      <alignment horizontal="center" vertical="center"/>
    </xf>
    <xf numFmtId="0" fontId="38" fillId="0" borderId="15" xfId="0" applyFont="1" applyBorder="1" applyAlignment="1">
      <alignment horizontal="left" vertical="center"/>
    </xf>
    <xf numFmtId="0" fontId="38" fillId="0" borderId="15" xfId="0" applyFont="1" applyBorder="1" applyAlignment="1">
      <alignment horizontal="left" vertical="center" wrapText="1"/>
    </xf>
    <xf numFmtId="0" fontId="38" fillId="0" borderId="16" xfId="0" applyFont="1" applyBorder="1" applyAlignment="1">
      <alignment horizontal="left" vertical="center"/>
    </xf>
    <xf numFmtId="0" fontId="38" fillId="0" borderId="17" xfId="0" applyFont="1" applyBorder="1" applyAlignment="1">
      <alignment horizontal="center" vertical="center"/>
    </xf>
    <xf numFmtId="49" fontId="38" fillId="0" borderId="16" xfId="0" applyNumberFormat="1" applyFont="1" applyBorder="1" applyAlignment="1">
      <alignment horizontal="left" vertical="center"/>
    </xf>
    <xf numFmtId="0" fontId="38" fillId="0" borderId="27" xfId="0" applyFont="1" applyBorder="1" applyAlignment="1">
      <alignment horizontal="center" vertical="center"/>
    </xf>
    <xf numFmtId="0" fontId="38" fillId="0" borderId="18" xfId="0" applyFont="1" applyBorder="1" applyAlignment="1">
      <alignment horizontal="left" vertical="center"/>
    </xf>
    <xf numFmtId="0" fontId="38" fillId="0" borderId="18" xfId="0" applyFont="1" applyBorder="1" applyAlignment="1">
      <alignment horizontal="left" vertical="center" wrapText="1"/>
    </xf>
    <xf numFmtId="0" fontId="38" fillId="0" borderId="20" xfId="0" applyFont="1" applyBorder="1" applyAlignment="1">
      <alignment horizontal="left" vertical="center"/>
    </xf>
    <xf numFmtId="0" fontId="0" fillId="15" borderId="0" xfId="0" applyFill="1" applyAlignment="1">
      <alignment vertical="center"/>
    </xf>
    <xf numFmtId="0" fontId="0" fillId="15" borderId="0" xfId="0" applyFill="1" applyAlignment="1">
      <alignment vertical="center" wrapText="1"/>
    </xf>
    <xf numFmtId="0" fontId="31" fillId="0" borderId="15" xfId="0" applyFont="1" applyBorder="1" applyAlignment="1">
      <alignment vertical="center" wrapText="1"/>
    </xf>
    <xf numFmtId="0" fontId="0" fillId="0" borderId="0" xfId="0" applyAlignment="1">
      <alignment horizontal="left" vertical="center"/>
    </xf>
    <xf numFmtId="0" fontId="0" fillId="0" borderId="0" xfId="0" applyAlignment="1">
      <alignment horizontal="left" vertical="center" wrapText="1"/>
    </xf>
    <xf numFmtId="0" fontId="0" fillId="0" borderId="34" xfId="0" applyBorder="1" applyAlignment="1">
      <alignment horizontal="left" vertical="center"/>
    </xf>
    <xf numFmtId="0" fontId="32" fillId="0" borderId="15" xfId="0" applyFont="1" applyBorder="1" applyAlignment="1">
      <alignment vertical="center"/>
    </xf>
    <xf numFmtId="0" fontId="0" fillId="6" borderId="15" xfId="0" applyFill="1" applyBorder="1" applyAlignment="1" applyProtection="1">
      <alignment vertical="center"/>
      <protection locked="0"/>
    </xf>
    <xf numFmtId="0" fontId="31" fillId="6" borderId="15" xfId="0" applyFont="1" applyFill="1" applyBorder="1" applyAlignment="1">
      <alignment vertical="center"/>
    </xf>
    <xf numFmtId="0" fontId="0" fillId="6" borderId="15" xfId="0" applyFill="1" applyBorder="1" applyAlignment="1" applyProtection="1">
      <alignment vertical="center" wrapText="1"/>
      <protection locked="0"/>
    </xf>
    <xf numFmtId="0" fontId="0" fillId="5" borderId="0" xfId="0" applyFill="1" applyAlignment="1">
      <alignment horizontal="left"/>
    </xf>
    <xf numFmtId="14" fontId="0" fillId="5" borderId="0" xfId="0" applyNumberFormat="1" applyFill="1" applyAlignment="1">
      <alignment horizontal="left"/>
    </xf>
    <xf numFmtId="0" fontId="0" fillId="0" borderId="18" xfId="0" applyBorder="1" applyAlignment="1" applyProtection="1">
      <alignment vertical="center"/>
      <protection locked="0"/>
    </xf>
    <xf numFmtId="0" fontId="0" fillId="0" borderId="18" xfId="0" applyBorder="1" applyAlignment="1" applyProtection="1">
      <alignment vertical="center" wrapText="1"/>
      <protection locked="0"/>
    </xf>
    <xf numFmtId="0" fontId="31" fillId="0" borderId="15" xfId="0" applyFont="1" applyBorder="1" applyAlignment="1">
      <alignment horizontal="left" vertical="center" wrapText="1"/>
    </xf>
    <xf numFmtId="0" fontId="31" fillId="0" borderId="15" xfId="0" applyFont="1" applyBorder="1" applyAlignment="1" applyProtection="1">
      <alignment vertical="center" wrapText="1"/>
      <protection locked="0"/>
    </xf>
    <xf numFmtId="0" fontId="31" fillId="0" borderId="19" xfId="0" applyFont="1" applyBorder="1" applyAlignment="1" applyProtection="1">
      <alignment vertical="center" wrapText="1"/>
      <protection locked="0"/>
    </xf>
    <xf numFmtId="0" fontId="31" fillId="0" borderId="19" xfId="0" applyFont="1" applyBorder="1" applyAlignment="1">
      <alignment vertical="center" wrapText="1"/>
    </xf>
    <xf numFmtId="0" fontId="0" fillId="0" borderId="15" xfId="0" applyBorder="1" applyAlignment="1" applyProtection="1">
      <alignment horizontal="left" vertical="center"/>
      <protection locked="0"/>
    </xf>
    <xf numFmtId="0" fontId="31" fillId="0" borderId="18" xfId="0" applyFont="1" applyBorder="1" applyAlignment="1" applyProtection="1">
      <alignment vertical="center" wrapText="1"/>
      <protection locked="0"/>
    </xf>
    <xf numFmtId="0" fontId="31" fillId="0" borderId="18" xfId="0" applyFont="1" applyBorder="1" applyAlignment="1">
      <alignment vertical="center" wrapText="1"/>
    </xf>
    <xf numFmtId="0" fontId="30" fillId="0" borderId="9" xfId="0" applyFont="1" applyBorder="1" applyAlignment="1">
      <alignment horizontal="left" vertical="center" indent="1"/>
    </xf>
    <xf numFmtId="0" fontId="30" fillId="2" borderId="7" xfId="0" applyFont="1" applyFill="1" applyBorder="1" applyAlignment="1">
      <alignment horizontal="left" vertical="center" indent="1"/>
    </xf>
    <xf numFmtId="0" fontId="36" fillId="0" borderId="15" xfId="0" applyFont="1" applyBorder="1" applyAlignment="1">
      <alignment horizontal="left" vertical="center" readingOrder="1"/>
    </xf>
    <xf numFmtId="0" fontId="36" fillId="6" borderId="15" xfId="0" applyFont="1" applyFill="1" applyBorder="1" applyAlignment="1">
      <alignment vertical="center" wrapText="1" readingOrder="1"/>
    </xf>
    <xf numFmtId="0" fontId="36" fillId="0" borderId="15" xfId="0" applyFont="1" applyBorder="1" applyAlignment="1">
      <alignment vertical="center" wrapText="1" readingOrder="1"/>
    </xf>
    <xf numFmtId="0" fontId="0" fillId="6" borderId="15" xfId="0" applyFill="1" applyBorder="1" applyAlignment="1">
      <alignment vertical="center"/>
    </xf>
    <xf numFmtId="0" fontId="31" fillId="6" borderId="15" xfId="0" applyFont="1" applyFill="1" applyBorder="1" applyAlignment="1" applyProtection="1">
      <alignment vertical="center"/>
      <protection locked="0"/>
    </xf>
    <xf numFmtId="0" fontId="18" fillId="0" borderId="0" xfId="0" applyFont="1" applyAlignment="1" applyProtection="1">
      <alignment horizontal="left" vertical="center" wrapText="1"/>
      <protection locked="0"/>
    </xf>
    <xf numFmtId="0" fontId="36" fillId="0" borderId="15" xfId="0" applyFont="1" applyBorder="1" applyAlignment="1">
      <alignment horizontal="left" vertical="center" wrapText="1" readingOrder="1"/>
    </xf>
    <xf numFmtId="0" fontId="42" fillId="0" borderId="15" xfId="0" applyFont="1" applyBorder="1" applyAlignment="1">
      <alignment vertical="center" wrapText="1"/>
    </xf>
    <xf numFmtId="0" fontId="42" fillId="0" borderId="15" xfId="0" applyFont="1" applyBorder="1" applyAlignment="1" applyProtection="1">
      <alignment vertical="center" wrapText="1"/>
      <protection locked="0"/>
    </xf>
    <xf numFmtId="0" fontId="42" fillId="0" borderId="15" xfId="0" applyFont="1" applyBorder="1" applyAlignment="1">
      <alignment horizontal="left" vertical="center" wrapText="1"/>
    </xf>
    <xf numFmtId="0" fontId="42" fillId="0" borderId="15" xfId="0" applyFont="1" applyBorder="1" applyAlignment="1" applyProtection="1">
      <alignment horizontal="left" vertical="center" wrapText="1"/>
      <protection locked="0"/>
    </xf>
    <xf numFmtId="0" fontId="46" fillId="0" borderId="15" xfId="0" applyFont="1" applyBorder="1" applyAlignment="1">
      <alignment vertical="center" wrapText="1"/>
    </xf>
    <xf numFmtId="0" fontId="46" fillId="0" borderId="15" xfId="0" applyFont="1" applyBorder="1" applyAlignment="1" applyProtection="1">
      <alignment vertical="center" wrapText="1"/>
      <protection locked="0"/>
    </xf>
    <xf numFmtId="0" fontId="46" fillId="6" borderId="15" xfId="0" applyFont="1" applyFill="1" applyBorder="1" applyAlignment="1" applyProtection="1">
      <alignment vertical="center" wrapText="1"/>
      <protection locked="0"/>
    </xf>
    <xf numFmtId="0" fontId="42" fillId="6" borderId="15" xfId="0" applyFont="1" applyFill="1" applyBorder="1" applyAlignment="1">
      <alignment vertical="center" wrapText="1"/>
    </xf>
    <xf numFmtId="0" fontId="31" fillId="6" borderId="15" xfId="0" applyFont="1" applyFill="1" applyBorder="1" applyAlignment="1">
      <alignment vertical="center" wrapText="1"/>
    </xf>
    <xf numFmtId="0" fontId="31" fillId="6" borderId="15" xfId="0" applyFont="1" applyFill="1" applyBorder="1" applyAlignment="1" applyProtection="1">
      <alignment vertical="center" wrapText="1"/>
      <protection locked="0"/>
    </xf>
    <xf numFmtId="0" fontId="42" fillId="0" borderId="18" xfId="0" applyFont="1" applyBorder="1" applyAlignment="1">
      <alignment vertical="center" wrapText="1"/>
    </xf>
    <xf numFmtId="0" fontId="42" fillId="0" borderId="19" xfId="0" applyFont="1" applyBorder="1" applyAlignment="1">
      <alignment vertical="center" wrapText="1"/>
    </xf>
    <xf numFmtId="0" fontId="35" fillId="5" borderId="15" xfId="0" applyFont="1" applyFill="1" applyBorder="1" applyAlignment="1">
      <alignment horizontal="center" vertical="center" wrapText="1"/>
    </xf>
    <xf numFmtId="0" fontId="42" fillId="6" borderId="15" xfId="0" applyFont="1" applyFill="1" applyBorder="1" applyAlignment="1" applyProtection="1">
      <alignment vertical="center" wrapText="1"/>
      <protection locked="0"/>
    </xf>
    <xf numFmtId="0" fontId="0" fillId="0" borderId="20" xfId="0" applyBorder="1" applyAlignment="1">
      <alignment horizontal="left" vertical="center"/>
    </xf>
    <xf numFmtId="0" fontId="0" fillId="0" borderId="27" xfId="0" applyBorder="1" applyAlignment="1">
      <alignment horizontal="left" vertical="center" wrapText="1"/>
    </xf>
    <xf numFmtId="0" fontId="32" fillId="0" borderId="35" xfId="0" applyFont="1" applyBorder="1" applyAlignment="1">
      <alignment horizontal="left" vertical="center"/>
    </xf>
    <xf numFmtId="0" fontId="42" fillId="0" borderId="18" xfId="0" applyFont="1" applyBorder="1" applyAlignment="1">
      <alignment horizontal="left" vertical="center" wrapText="1"/>
    </xf>
    <xf numFmtId="0" fontId="0" fillId="0" borderId="16" xfId="0" applyBorder="1" applyAlignment="1">
      <alignment horizontal="left" vertical="center"/>
    </xf>
    <xf numFmtId="0" fontId="0" fillId="0" borderId="17" xfId="0" applyBorder="1" applyAlignment="1">
      <alignment horizontal="left" vertical="center"/>
    </xf>
    <xf numFmtId="0" fontId="32" fillId="0" borderId="18" xfId="0" applyFont="1" applyBorder="1" applyAlignment="1">
      <alignment vertical="center"/>
    </xf>
    <xf numFmtId="0" fontId="0" fillId="0" borderId="27" xfId="0" applyBorder="1" applyAlignment="1">
      <alignment horizontal="left" vertical="center"/>
    </xf>
    <xf numFmtId="0" fontId="32" fillId="0" borderId="0" xfId="0" applyFont="1" applyAlignment="1">
      <alignment vertical="center"/>
    </xf>
    <xf numFmtId="0" fontId="1" fillId="0" borderId="15" xfId="0" applyFont="1" applyBorder="1" applyAlignment="1" applyProtection="1">
      <alignment vertical="center"/>
      <protection locked="0"/>
    </xf>
    <xf numFmtId="0" fontId="1" fillId="0" borderId="15" xfId="0" applyFont="1" applyBorder="1" applyAlignment="1">
      <alignment vertical="center"/>
    </xf>
    <xf numFmtId="0" fontId="1" fillId="0" borderId="15" xfId="0" applyFont="1" applyBorder="1" applyAlignment="1">
      <alignment horizontal="center" vertical="center"/>
    </xf>
    <xf numFmtId="0" fontId="1" fillId="0" borderId="15" xfId="0" applyFont="1" applyBorder="1" applyAlignment="1" applyProtection="1">
      <alignment horizontal="center" vertical="center"/>
      <protection locked="0"/>
    </xf>
    <xf numFmtId="0" fontId="1" fillId="0" borderId="15" xfId="0" applyFont="1" applyBorder="1" applyAlignment="1">
      <alignment horizontal="left" vertical="center"/>
    </xf>
    <xf numFmtId="0" fontId="1" fillId="0" borderId="15" xfId="0" applyFont="1" applyBorder="1" applyAlignment="1" applyProtection="1">
      <alignment vertical="center" wrapText="1"/>
      <protection locked="0"/>
    </xf>
    <xf numFmtId="0" fontId="1" fillId="0" borderId="15" xfId="0" applyFont="1" applyBorder="1" applyAlignment="1">
      <alignment vertical="center" wrapText="1"/>
    </xf>
    <xf numFmtId="0" fontId="1" fillId="0" borderId="15" xfId="0" applyFont="1" applyBorder="1" applyAlignment="1" applyProtection="1">
      <alignment horizontal="center" vertical="center" wrapText="1"/>
      <protection locked="0"/>
    </xf>
    <xf numFmtId="0" fontId="1" fillId="0" borderId="3" xfId="0" applyFont="1" applyBorder="1" applyAlignment="1" applyProtection="1">
      <alignment vertical="center" wrapText="1"/>
      <protection locked="0"/>
    </xf>
    <xf numFmtId="0" fontId="1" fillId="0" borderId="15" xfId="0" applyFont="1" applyBorder="1" applyAlignment="1" applyProtection="1">
      <alignment horizontal="left" vertical="center"/>
      <protection locked="0"/>
    </xf>
    <xf numFmtId="0" fontId="1" fillId="0" borderId="18" xfId="0" applyFont="1" applyBorder="1" applyAlignment="1" applyProtection="1">
      <alignment vertical="center" wrapText="1"/>
      <protection locked="0"/>
    </xf>
    <xf numFmtId="0" fontId="1" fillId="6" borderId="15" xfId="0" applyFont="1" applyFill="1" applyBorder="1" applyAlignment="1">
      <alignment vertical="center"/>
    </xf>
    <xf numFmtId="0" fontId="1" fillId="6" borderId="15" xfId="0" applyFont="1" applyFill="1" applyBorder="1" applyAlignment="1">
      <alignment horizontal="center" vertical="center"/>
    </xf>
    <xf numFmtId="0" fontId="1" fillId="6" borderId="15" xfId="0" applyFont="1" applyFill="1" applyBorder="1" applyAlignment="1" applyProtection="1">
      <alignment vertical="center"/>
      <protection locked="0"/>
    </xf>
    <xf numFmtId="0" fontId="1" fillId="6" borderId="15" xfId="0" applyFont="1" applyFill="1" applyBorder="1" applyAlignment="1" applyProtection="1">
      <alignment horizontal="center" vertical="center"/>
      <protection locked="0"/>
    </xf>
    <xf numFmtId="0" fontId="1" fillId="6" borderId="15" xfId="0" applyFont="1" applyFill="1" applyBorder="1" applyAlignment="1" applyProtection="1">
      <alignment horizontal="left" vertical="center"/>
      <protection locked="0"/>
    </xf>
    <xf numFmtId="0" fontId="1" fillId="6" borderId="15" xfId="0" applyFont="1" applyFill="1" applyBorder="1" applyAlignment="1" applyProtection="1">
      <alignment vertical="center" wrapText="1"/>
      <protection locked="0"/>
    </xf>
    <xf numFmtId="0" fontId="1" fillId="0" borderId="15" xfId="0" applyFont="1" applyBorder="1" applyAlignment="1">
      <alignment horizontal="center" vertical="center" wrapText="1"/>
    </xf>
    <xf numFmtId="0" fontId="1" fillId="6" borderId="15" xfId="0" applyFont="1" applyFill="1" applyBorder="1" applyAlignment="1">
      <alignment vertical="center" wrapText="1"/>
    </xf>
    <xf numFmtId="0" fontId="1" fillId="6" borderId="0" xfId="0" applyFont="1" applyFill="1" applyAlignment="1" applyProtection="1">
      <alignment vertical="center"/>
      <protection locked="0"/>
    </xf>
    <xf numFmtId="0" fontId="1" fillId="6" borderId="15" xfId="0" applyFont="1" applyFill="1" applyBorder="1" applyAlignment="1" applyProtection="1">
      <alignment horizontal="center" vertical="center" wrapText="1"/>
      <protection locked="0"/>
    </xf>
    <xf numFmtId="0" fontId="1" fillId="0" borderId="0" xfId="0" applyFont="1" applyAlignment="1" applyProtection="1">
      <alignment vertical="center"/>
      <protection locked="0"/>
    </xf>
    <xf numFmtId="0" fontId="1" fillId="0" borderId="16" xfId="0" applyFont="1" applyBorder="1" applyAlignment="1" applyProtection="1">
      <alignment vertical="center"/>
      <protection locked="0"/>
    </xf>
    <xf numFmtId="0" fontId="1" fillId="0" borderId="17" xfId="0" applyFont="1" applyBorder="1" applyAlignment="1">
      <alignment vertical="center"/>
    </xf>
    <xf numFmtId="0" fontId="1" fillId="0" borderId="16" xfId="0" applyFont="1" applyBorder="1" applyAlignment="1">
      <alignment vertical="center"/>
    </xf>
    <xf numFmtId="0" fontId="1" fillId="0" borderId="19" xfId="0" applyFont="1" applyBorder="1" applyAlignment="1">
      <alignment vertical="center"/>
    </xf>
    <xf numFmtId="0" fontId="1" fillId="0" borderId="19" xfId="0" applyFont="1" applyBorder="1" applyAlignment="1">
      <alignment horizontal="center" vertical="center"/>
    </xf>
    <xf numFmtId="0" fontId="1" fillId="0" borderId="0" xfId="0" applyFont="1" applyAlignment="1">
      <alignment vertical="center" wrapText="1"/>
    </xf>
    <xf numFmtId="0" fontId="1" fillId="0" borderId="32" xfId="0" applyFont="1" applyBorder="1" applyAlignment="1" applyProtection="1">
      <alignment vertical="center"/>
      <protection locked="0"/>
    </xf>
    <xf numFmtId="0" fontId="1" fillId="0" borderId="32" xfId="0" applyFont="1" applyBorder="1" applyAlignment="1">
      <alignment vertical="center"/>
    </xf>
    <xf numFmtId="0" fontId="1" fillId="0" borderId="32" xfId="0" applyFont="1" applyBorder="1" applyAlignment="1">
      <alignment horizontal="center" vertical="center"/>
    </xf>
    <xf numFmtId="0" fontId="1" fillId="0" borderId="32" xfId="0" applyFont="1" applyBorder="1" applyAlignment="1">
      <alignment horizontal="left" vertical="center"/>
    </xf>
    <xf numFmtId="0" fontId="1" fillId="0" borderId="32" xfId="0" applyFont="1" applyBorder="1" applyAlignment="1" applyProtection="1">
      <alignment horizontal="center" vertical="center"/>
      <protection locked="0"/>
    </xf>
    <xf numFmtId="0" fontId="1" fillId="0" borderId="32" xfId="0" applyFont="1" applyBorder="1" applyAlignment="1">
      <alignment vertical="center" wrapText="1"/>
    </xf>
    <xf numFmtId="0" fontId="1" fillId="0" borderId="33" xfId="0" applyFont="1" applyBorder="1" applyAlignment="1">
      <alignment horizontal="center" vertical="center"/>
    </xf>
    <xf numFmtId="0" fontId="1" fillId="0" borderId="16" xfId="0" applyFont="1" applyBorder="1" applyAlignment="1">
      <alignment vertical="center" wrapText="1"/>
    </xf>
    <xf numFmtId="0" fontId="1" fillId="0" borderId="18" xfId="0" applyFont="1" applyBorder="1" applyAlignment="1" applyProtection="1">
      <alignment vertical="center"/>
      <protection locked="0"/>
    </xf>
    <xf numFmtId="0" fontId="1" fillId="0" borderId="18" xfId="0" applyFont="1" applyBorder="1" applyAlignment="1">
      <alignment vertical="center"/>
    </xf>
    <xf numFmtId="0" fontId="1" fillId="0" borderId="18" xfId="0" applyFont="1" applyBorder="1" applyAlignment="1">
      <alignment horizontal="center" vertical="center"/>
    </xf>
    <xf numFmtId="0" fontId="1" fillId="0" borderId="18" xfId="0" applyFont="1" applyBorder="1" applyAlignment="1" applyProtection="1">
      <alignment horizontal="center" vertical="center"/>
      <protection locked="0"/>
    </xf>
    <xf numFmtId="0" fontId="1" fillId="0" borderId="18" xfId="0" applyFont="1" applyBorder="1" applyAlignment="1" applyProtection="1">
      <alignment horizontal="left" vertical="center"/>
      <protection locked="0"/>
    </xf>
    <xf numFmtId="0" fontId="1" fillId="0" borderId="18" xfId="0" applyFont="1" applyBorder="1" applyAlignment="1">
      <alignment horizontal="left" vertical="center"/>
    </xf>
    <xf numFmtId="0" fontId="1" fillId="0" borderId="18"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6" xfId="0" applyFont="1" applyFill="1" applyBorder="1" applyAlignment="1" applyProtection="1">
      <alignment horizontal="center" vertical="center" wrapText="1"/>
      <protection locked="0"/>
    </xf>
    <xf numFmtId="0" fontId="24" fillId="12" borderId="22" xfId="0" applyFont="1" applyFill="1" applyBorder="1" applyAlignment="1" applyProtection="1">
      <alignment horizontal="center" vertical="center" wrapText="1"/>
      <protection locked="0"/>
    </xf>
    <xf numFmtId="0" fontId="24" fillId="12" borderId="17" xfId="0" applyFont="1" applyFill="1" applyBorder="1" applyAlignment="1" applyProtection="1">
      <alignment horizontal="center" vertical="center" wrapText="1"/>
      <protection locked="0"/>
    </xf>
    <xf numFmtId="0" fontId="24" fillId="12" borderId="16" xfId="0" applyFont="1" applyFill="1" applyBorder="1" applyAlignment="1" applyProtection="1">
      <alignment horizontal="center" vertical="center" wrapText="1" readingOrder="1"/>
      <protection locked="0"/>
    </xf>
    <xf numFmtId="0" fontId="24" fillId="12" borderId="22" xfId="0" applyFont="1" applyFill="1" applyBorder="1" applyAlignment="1" applyProtection="1">
      <alignment horizontal="center" vertical="center" wrapText="1" readingOrder="1"/>
      <protection locked="0"/>
    </xf>
    <xf numFmtId="0" fontId="24" fillId="12" borderId="17" xfId="0" applyFont="1" applyFill="1" applyBorder="1" applyAlignment="1" applyProtection="1">
      <alignment horizontal="center" vertical="center" wrapText="1" readingOrder="1"/>
      <protection locked="0"/>
    </xf>
    <xf numFmtId="0" fontId="24" fillId="13" borderId="22" xfId="0" applyFont="1" applyFill="1" applyBorder="1" applyAlignment="1" applyProtection="1">
      <alignment horizontal="center" vertical="center" wrapText="1" readingOrder="1"/>
      <protection locked="0"/>
    </xf>
    <xf numFmtId="0" fontId="24" fillId="3" borderId="18" xfId="0" applyFont="1" applyFill="1" applyBorder="1" applyAlignment="1" applyProtection="1">
      <alignment horizontal="center" vertical="center" wrapText="1" readingOrder="1"/>
      <protection locked="0"/>
    </xf>
    <xf numFmtId="0" fontId="24" fillId="3" borderId="15" xfId="0" applyFont="1" applyFill="1" applyBorder="1" applyAlignment="1" applyProtection="1">
      <alignment horizontal="center" vertical="center" wrapText="1" readingOrder="1"/>
      <protection locked="0"/>
    </xf>
    <xf numFmtId="0" fontId="24" fillId="11" borderId="16" xfId="0" applyFont="1" applyFill="1" applyBorder="1" applyAlignment="1" applyProtection="1">
      <alignment horizontal="center" vertical="center" wrapText="1" readingOrder="1"/>
      <protection locked="0"/>
    </xf>
    <xf numFmtId="0" fontId="24" fillId="11" borderId="22" xfId="0" applyFont="1" applyFill="1" applyBorder="1" applyAlignment="1" applyProtection="1">
      <alignment horizontal="center" vertical="center" wrapText="1" readingOrder="1"/>
      <protection locked="0"/>
    </xf>
    <xf numFmtId="0" fontId="24" fillId="11" borderId="17"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642">
    <dxf>
      <font>
        <color rgb="FF9C0006"/>
      </font>
      <fill>
        <patternFill patternType="solid">
          <bgColor theme="5" tint="0.79998168889431442"/>
        </patternFill>
      </fill>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fill>
        <patternFill patternType="solid">
          <fgColor indexed="64"/>
          <bgColor theme="0" tint="-0.14999847407452621"/>
        </patternFill>
      </fill>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font>
        <color rgb="FF000000"/>
      </font>
      <fill>
        <patternFill patternType="solid">
          <fgColor indexed="64"/>
          <bgColor theme="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vertical="bottom"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dxf>
    <dxf>
      <border>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style="thin">
          <color theme="6"/>
        </left>
        <right/>
        <top style="thin">
          <color theme="6"/>
        </top>
        <bottom/>
        <vertical/>
        <horizontal/>
      </border>
    </dxf>
    <dxf>
      <border outline="0">
        <left style="thin">
          <color theme="6"/>
        </left>
      </border>
    </dxf>
    <dxf>
      <alignment horizontal="left"/>
    </dxf>
    <dxf>
      <font>
        <b/>
        <i val="0"/>
        <strike val="0"/>
        <condense val="0"/>
        <extend val="0"/>
        <outline val="0"/>
        <shadow val="0"/>
        <u val="none"/>
        <vertAlign val="baseline"/>
        <sz val="11"/>
        <color theme="0"/>
        <name val="Calibri"/>
        <family val="2"/>
        <scheme val="minor"/>
      </font>
      <fill>
        <patternFill patternType="solid">
          <fgColor indexed="64"/>
          <bgColor theme="0" tint="-0.34998626667073579"/>
        </patternFill>
      </fill>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family val="2"/>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45"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tyles" Target="styles.xml"/><Relationship Id="rId20" Type="http://schemas.openxmlformats.org/officeDocument/2006/relationships/worksheet" Target="worksheets/sheet20.xml"/><Relationship Id="rId41"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171450</xdr:colOff>
      <xdr:row>0</xdr:row>
      <xdr:rowOff>95250</xdr:rowOff>
    </xdr:from>
    <xdr:to>
      <xdr:col>1</xdr:col>
      <xdr:colOff>624916</xdr:colOff>
      <xdr:row>0</xdr:row>
      <xdr:rowOff>272925</xdr:rowOff>
    </xdr:to>
    <xdr:pic>
      <xdr:nvPicPr>
        <xdr:cNvPr id="2" name="Picture 1">
          <a:extLst>
            <a:ext uri="{FF2B5EF4-FFF2-40B4-BE49-F238E27FC236}">
              <a16:creationId xmlns:a16="http://schemas.microsoft.com/office/drawing/2014/main" id="{D3F42BAD-AB94-4857-BF89-FA77C55F79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952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6A82B6-F33C-4F23-82A2-1601EC1AFC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136F2D6-928B-46D4-A79C-9CFD0BC7A9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304C5FB-2E34-4560-BB74-8E6C9253CE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56971D0-D4BC-43B1-B634-E96F52C4FC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7D35B529-0938-45D3-969E-047B4AFB93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EE6358C-C2C4-4753-8427-405BBD950B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29F7CA9-8EFE-42BC-A5AA-BCE30680AA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1355E66F-2336-40BA-9649-CDEFD653A5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ACB944-18D7-4246-A017-B803D947CC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22F5E0AF-6E75-4291-8992-028F484C8E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C25AB96-35E6-4309-9E2E-3403279AB1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F72F2AE-741A-4537-A5A0-251D9A6DFE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1CAB79A-DE4C-4151-9714-9121D2AFC9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65A444D-A43D-47B8-94A9-F3EA65A84F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33779527-D589-4A25-9373-DCAFC45C25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60968D42-9F1E-4DB7-80B6-FD35AC1A41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4253965-6EF1-407F-80D8-3DCD36BF51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98B4D5-119E-44A4-AAF9-228085CB21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1B0026-EBE0-47DE-A240-672D522BDFD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A62C0BE-3024-4A6A-9B8D-63EBF5B0E53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svFilter filterId="{00000000-0009-0000-0100-000002000000}" ref="B7:AA231" tableId="2"/>
  </namedSheetView>
  <namedSheetView name="View1" id="{2E3DF868-E69A-428D-BF38-EFF7E4AF9970}">
    <nsvFilter filterId="{00000000-0009-0000-0100-000002000000}" ref="B7:AA231" tableId="2">
      <columnFilter colId="1" id="{00000000-0010-0000-0100-000002000000}">
        <filter colId="1">
          <x:filters>
            <x:filter val="Individual Client Management"/>
          </x:filters>
        </filter>
      </columnFilter>
      <sortRules>
        <sortRule colId="4" id="{00000000-0010-0000-0100-000003000000}">
          <sortCondition ref="F7:F231"/>
        </sortRule>
      </sortRules>
    </nsvFilter>
  </namedSheetView>
  <namedSheetView name="View2" id="{A356EF7B-031C-46F7-BF34-A9084742B9F7}">
    <nsvFilter filterId="{00000000-0009-0000-0100-000002000000}" ref="B7:AA231" tableId="2"/>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0" totalsRowShown="0" headerRowBorderDxfId="641" tableBorderDxfId="640" totalsRowBorderDxfId="639">
  <autoFilter ref="B5:D30" xr:uid="{00000000-0009-0000-0100-000001000000}"/>
  <sortState xmlns:xlrd2="http://schemas.microsoft.com/office/spreadsheetml/2017/richdata2" ref="B6:D32">
    <sortCondition ref="C5:C32"/>
  </sortState>
  <tableColumns count="3">
    <tableColumn id="1" xr3:uid="{00000000-0010-0000-0000-000001000000}" name="SCHEMA" dataDxfId="638"/>
    <tableColumn id="2" xr3:uid="{00000000-0010-0000-0000-000002000000}" name="TABELA" dataDxfId="637"/>
    <tableColumn id="3" xr3:uid="{00000000-0010-0000-0000-000003000000}" name="DESCRIÇÃO" dataDxfId="636"/>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AA231" totalsRowShown="0" headerRowDxfId="635" dataDxfId="634" tableBorderDxfId="633">
  <autoFilter ref="B7:AA231" xr:uid="{00000000-0009-0000-0100-000002000000}"/>
  <tableColumns count="26">
    <tableColumn id="1" xr3:uid="{00000000-0010-0000-0100-000001000000}" name="NOME BD" dataDxfId="632"/>
    <tableColumn id="2" xr3:uid="{00000000-0010-0000-0100-000002000000}" name="NOME TABELA" dataDxfId="631"/>
    <tableColumn id="21" xr3:uid="{00000000-0010-0000-0100-000015000000}" name="NOME FÍSICO TABELA" dataDxfId="630"/>
    <tableColumn id="23" xr3:uid="{00000000-0010-0000-0100-000017000000}" name="NÍVEL TABELA" dataDxfId="629"/>
    <tableColumn id="3" xr3:uid="{00000000-0010-0000-0100-000003000000}" name="NOME CAMPO" dataDxfId="628"/>
    <tableColumn id="22" xr3:uid="{00000000-0010-0000-0100-000016000000}" name="NOME FÍSICO CAMPO" dataDxfId="627"/>
    <tableColumn id="26" xr3:uid="{00000000-0010-0000-0100-00001A000000}" name="BLOCO" dataDxfId="626"/>
    <tableColumn id="4" xr3:uid="{00000000-0010-0000-0100-000004000000}" name="ORDEM" dataDxfId="625"/>
    <tableColumn id="5" xr3:uid="{00000000-0010-0000-0100-000005000000}" name="FORMATO" dataDxfId="624"/>
    <tableColumn id="6" xr3:uid="{00000000-0010-0000-0100-000006000000}" name="COMP_ CAMPO" dataDxfId="623"/>
    <tableColumn id="7" xr3:uid="{00000000-0010-0000-0100-000007000000}" name="NUM_ DECIMAIS" dataDxfId="622"/>
    <tableColumn id="8" xr3:uid="{00000000-0010-0000-0100-000008000000}" name="DESCRIÇÃO FUNCIONAL (ENG)" dataDxfId="621"/>
    <tableColumn id="9" xr3:uid="{00000000-0010-0000-0100-000009000000}" name="DESCRIÇÃO FUNCIONAL (PT)" dataDxfId="620"/>
    <tableColumn id="10" xr3:uid="{00000000-0010-0000-0100-00000A000000}" name="CHAVE PRIMÁRIA" dataDxfId="619"/>
    <tableColumn id="11" xr3:uid="{00000000-0010-0000-0100-00000B000000}" name="DADOS REFERÊNCIA" dataDxfId="618"/>
    <tableColumn id="24" xr3:uid="{A0B1D5C2-A2EA-4EC4-AF29-CA4441764A38}" name="NOME TABELA ONEFCC" dataDxfId="617"/>
    <tableColumn id="25" xr3:uid="{4613D236-85D3-4536-8C68-0AB7379DE002}" name="NOME CAMPO ONEFCC" dataDxfId="616"/>
    <tableColumn id="12" xr3:uid="{00000000-0010-0000-0100-00000C000000}" name="NOME BD CURATED" dataDxfId="615"/>
    <tableColumn id="13" xr3:uid="{00000000-0010-0000-0100-00000D000000}" name="NOME FISICO TABELA CURATED" dataDxfId="614"/>
    <tableColumn id="14" xr3:uid="{00000000-0010-0000-0100-00000E000000}" name="NOME FISICO CAMPO CURATED" dataDxfId="613"/>
    <tableColumn id="16" xr3:uid="{00000000-0010-0000-0100-000010000000}" name="CODIÇÃO CURATED - CDM" dataDxfId="612"/>
    <tableColumn id="29" xr3:uid="{23598D18-1303-4352-A182-6C0ABD42E333}" name="TABELA / FICHEIRO" dataDxfId="611"/>
    <tableColumn id="17" xr3:uid="{00000000-0010-0000-0100-000011000000}" name="ID APLICAÇÂO TÉCNICA" dataDxfId="610"/>
    <tableColumn id="18" xr3:uid="{00000000-0010-0000-0100-000012000000}" name="NOME FISICO TABELA FONTE" dataDxfId="609"/>
    <tableColumn id="19" xr3:uid="{00000000-0010-0000-0100-000013000000}" name="NOME FISICO CAMPO FONTE" dataDxfId="608"/>
    <tableColumn id="20" xr3:uid="{00000000-0010-0000-0100-000014000000}" name="VALOR MANUAL FONTE" dataDxfId="60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D972FDD-0F82-4AA6-8352-5EFDADA16756}" name="Table7" displayName="Table7" ref="B2:I107" totalsRowShown="0" headerRowDxfId="606" dataDxfId="605" tableBorderDxfId="604">
  <autoFilter ref="B2:I107" xr:uid="{1D972FDD-0F82-4AA6-8352-5EFDADA16756}">
    <filterColumn colId="0">
      <filters>
        <filter val="common_parties_entities"/>
      </filters>
    </filterColumn>
  </autoFilter>
  <sortState xmlns:xlrd2="http://schemas.microsoft.com/office/spreadsheetml/2017/richdata2" ref="B3:I92">
    <sortCondition ref="E2:E92"/>
  </sortState>
  <tableColumns count="8">
    <tableColumn id="1" xr3:uid="{8CEEC9D3-1AE9-4FD1-9905-00F909C1FEB6}" name="NOME BD " dataDxfId="603"/>
    <tableColumn id="2" xr3:uid="{12311001-6ABC-4834-874D-FFF8DC827E4A}" name="NOME FÍSICO TABELA" dataDxfId="602"/>
    <tableColumn id="3" xr3:uid="{81955859-D080-43CD-B584-F2ADAEF68B37}" name="NOME FÍSICO BD FONTE ESQUERDA" dataDxfId="601"/>
    <tableColumn id="4" xr3:uid="{1833470B-EB91-413E-9F44-E8F04CF5BD44}" name="NOME FÍSICO TABELA FONTE ESQUERDA" dataDxfId="600"/>
    <tableColumn id="5" xr3:uid="{A996C5C9-5A4C-4796-813D-32B2869E1FD7}" name="NOME FÍSICO BD FONTE DIREITA" dataDxfId="599"/>
    <tableColumn id="6" xr3:uid="{92C7B601-F631-4E64-BD23-7019A8F9103B}" name="NOME FÍSICO TABELA FONTE DIREITA" dataDxfId="598"/>
    <tableColumn id="7" xr3:uid="{0D5A2BEB-7498-4226-B459-86EE4640CD89}" name="REGRA DE CRUZAMENTO" dataDxfId="597"/>
    <tableColumn id="8" xr3:uid="{268CFFA9-1B82-4B1D-A67C-893FA75FC7CC}" name="TIPO CRUZAMENTO" dataDxfId="59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63BA39-C5E9-407A-BFB3-C05A2BB55226}" name="Table69" displayName="Table69" ref="B2:H29" totalsRowShown="0" headerRowDxfId="595" dataDxfId="594" tableBorderDxfId="593">
  <autoFilter ref="B2:H29" xr:uid="{3863BA39-C5E9-407A-BFB3-C05A2BB55226}">
    <filterColumn colId="1">
      <filters>
        <filter val="party_fusion"/>
      </filters>
    </filterColumn>
  </autoFilter>
  <sortState xmlns:xlrd2="http://schemas.microsoft.com/office/spreadsheetml/2017/richdata2" ref="B3:H29">
    <sortCondition ref="C2:C29"/>
  </sortState>
  <tableColumns count="7">
    <tableColumn id="1" xr3:uid="{DB65A7A6-B09D-4E6C-AB69-AC0A09210036}" name="NOME BD" dataDxfId="592" totalsRowDxfId="591"/>
    <tableColumn id="2" xr3:uid="{552D849D-1AFA-4897-83AF-D9C7A2A8CBB6}" name="NOME FÍSICO TABELA" dataDxfId="590" totalsRowDxfId="589"/>
    <tableColumn id="5" xr3:uid="{97954577-663D-4BA2-9378-FCF8BEF59562}" name="NOME FÍSICO BD FONTE" dataDxfId="588" totalsRowDxfId="587"/>
    <tableColumn id="6" xr3:uid="{2AC8EABD-30AE-4E01-8ACF-8CBA85F0D3A6}" name="NOME FÍSICO TABELA FONTE" dataDxfId="586" totalsRowDxfId="585"/>
    <tableColumn id="3" xr3:uid="{C879388D-47C3-4D0A-85A1-973D0C31534B}" name="REGRA DE ATAQUE" dataDxfId="584" totalsRowDxfId="583"/>
    <tableColumn id="4" xr3:uid="{5A6659E1-7A79-4E75-AAAA-9EE4D33EC87D}" name="DESCRIÇÃO ESTADOS CONSIDERADOS" dataDxfId="582" totalsRowDxfId="581"/>
    <tableColumn id="7" xr3:uid="{C160A2D7-C535-4C49-A5AB-292EF974B69A}" name="DESCRIÇÃO ESTADOS DESCONSIDERADOS" dataDxfId="580" totalsRowDxfId="579"/>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D381CE74-6B6F-4C68-B847-61198D3F058E}" name="Table242" displayName="Table242" ref="B2:E23" totalsRowShown="0" headerRowDxfId="578" dataDxfId="576" headerRowBorderDxfId="577" tableBorderDxfId="575" totalsRowBorderDxfId="574">
  <autoFilter ref="B2:E23" xr:uid="{D381CE74-6B6F-4C68-B847-61198D3F058E}"/>
  <tableColumns count="4">
    <tableColumn id="1" xr3:uid="{487A4385-E83F-45A7-8FDB-67CDC7C5670B}" name="ID" dataDxfId="573">
      <calculatedColumnFormula>ROW() - ROW([1]!Table2[[#Headers],[ID]])</calculatedColumnFormula>
    </tableColumn>
    <tableColumn id="2" xr3:uid="{634F8C70-678C-4239-98D2-40AA3F7933F2}" name="Case Test" dataDxfId="572"/>
    <tableColumn id="3" xr3:uid="{FC182DC4-882F-45A0-AE7C-8FD6048FF4C3}" name="Description" dataDxfId="571"/>
    <tableColumn id="4" xr3:uid="{442A1D2D-32D5-4827-B60A-5BA00C81FE97}" name="Observation" dataDxfId="570"/>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DFD351-9236-43E1-A3CE-E9324E5A59AB}" name="Table3" displayName="Table3" ref="B2:AB21" totalsRowShown="0" headerRowDxfId="569" dataDxfId="568" tableBorderDxfId="567">
  <autoFilter ref="B2:AB21" xr:uid="{CEDFD351-9236-43E1-A3CE-E9324E5A59AB}"/>
  <tableColumns count="27">
    <tableColumn id="1" xr3:uid="{84CE9B00-E6B9-43E9-A14C-8A2A37BE4C5A}" name="case_test" dataDxfId="566"/>
    <tableColumn id="2" xr3:uid="{66C7F48F-F927-4A66-8DC8-83EE509C11E0}" name="test_id" dataDxfId="565"/>
    <tableColumn id="3" xr3:uid="{2155A70D-DC89-4CC4-82F7-E894DEEFDF6B}" name="test_timestamp" dataDxfId="564"/>
    <tableColumn id="4" xr3:uid="{03209F98-27B8-4A27-BC5F-D6FB02466043}" name="query_driver_data_date_part" dataDxfId="563"/>
    <tableColumn id="5" xr3:uid="{D730367D-B9D6-41F8-B790-6168B99A6014}" name="test_number" dataDxfId="562"/>
    <tableColumn id="6" xr3:uid="{AD9693F2-E52B-48F6-964A-7561E150368D}" name="score" dataDxfId="561"/>
    <tableColumn id="7" xr3:uid="{55316A8B-55B8-4F95-A017-FA24A7E60FE4}" name="general_result" dataDxfId="560"/>
    <tableColumn id="8" xr3:uid="{EC6A54F9-E418-494F-A1A6-133603694936}" name="party_id" dataDxfId="559"/>
    <tableColumn id="9" xr3:uid="{232BEF14-C58C-42C5-885A-CDD05753F2CA}" name="full_name" dataDxfId="558"/>
    <tableColumn id="10" xr3:uid="{391FE38C-0905-44A3-848F-6AF5B60C792E}" name="first_name" dataDxfId="557"/>
    <tableColumn id="11" xr3:uid="{1F7170DF-EE47-4CC3-8BAE-B2EF024B1362}" name="last_name" dataDxfId="556"/>
    <tableColumn id="12" xr3:uid="{9856F64B-6BF5-46F5-ACEF-6B2C514298BE}" name="gender_code" dataDxfId="555"/>
    <tableColumn id="13" xr3:uid="{4750286E-85C5-4D21-BBFD-8B623EE96C9C}" name="civil_status_code" dataDxfId="554"/>
    <tableColumn id="14" xr3:uid="{5BC5972C-81AB-44F0-AF51-E82742BE39E2}" name="birth_country_code" dataDxfId="553"/>
    <tableColumn id="15" xr3:uid="{1B58EA49-FF97-412D-B8CD-E38AF64A8AFE}" name="birth_date" dataDxfId="552"/>
    <tableColumn id="16" xr3:uid="{C4A24DDA-EE2D-4C26-88B2-0B2D3FC3F2DB}" name="physical_disability_ind" dataDxfId="551"/>
    <tableColumn id="17" xr3:uid="{D7B9999F-E164-4580-ABC4-7B19D4EF2FEB}" name="psycological_disability_ind" dataDxfId="550"/>
    <tableColumn id="18" xr3:uid="{0E4B331E-2FD1-41E3-A19C-9AC947E03635}" name="residence_country_cd" dataDxfId="549"/>
    <tableColumn id="19" xr3:uid="{64D42D68-4FC1-48DB-9BBB-F70BCF1027F2}" name="fatca_reporting_ind" dataDxfId="548"/>
    <tableColumn id="20" xr3:uid="{D3FF867F-5BE7-4625-8816-4C69D8C03EE3}" name="crs_reporting_ind" dataDxfId="547"/>
    <tableColumn id="21" xr3:uid="{124F1087-3A3F-4E5A-A95A-D2331CDA277A}" name="self_employed_indicator" dataDxfId="546"/>
    <tableColumn id="22" xr3:uid="{8B9BB545-C8DE-4B3C-9C6B-DC832084F972}" name="pep_indicator" dataDxfId="545"/>
    <tableColumn id="23" xr3:uid="{BC64019B-3C66-4F7E-9186-AF245A700360}" name="occupation_category" dataDxfId="544"/>
    <tableColumn id="24" xr3:uid="{9DA89E84-4AF5-4D70-9AFD-2CEE14D7E0AF}" name="occupation_code" dataDxfId="543"/>
    <tableColumn id="25" xr3:uid="{94D73FBB-B285-4790-8768-A16214D0A8DF}" name="employer_name" dataDxfId="542"/>
    <tableColumn id="26" xr3:uid="{A5B7395C-7690-41FB-8BF5-028888478783}" name="data_date_part" dataDxfId="541"/>
    <tableColumn id="27" xr3:uid="{E6091835-7B11-4C4D-82B8-07C4D83CA392}" name="data_timestamp_part" dataDxfId="540"/>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ECCE6-DDFD-4218-91C9-D2E3013B138D}" name="Table5" displayName="Table5" ref="B29:F36" totalsRowShown="0" headerRowDxfId="539" dataDxfId="537" headerRowBorderDxfId="538">
  <autoFilter ref="B29:F36" xr:uid="{740ECCE6-DDFD-4218-91C9-D2E3013B138D}"/>
  <tableColumns count="5">
    <tableColumn id="1" xr3:uid="{56397481-530A-418E-891F-8E036AB5CFE6}" name="Test ID" dataDxfId="536"/>
    <tableColumn id="2" xr3:uid="{2ACFDDB8-BDAB-49DA-982C-94817EF504AF}" name="Field" dataDxfId="535"/>
    <tableColumn id="3" xr3:uid="{1681FF23-598B-43F1-9F33-8AEEBB083F85}" name="Justification" dataDxfId="534"/>
    <tableColumn id="4" xr3:uid="{593EC02D-ADF7-4EB7-8EB8-4A6972F9331B}" name="Number of Occurences" dataDxfId="533"/>
    <tableColumn id="5" xr3:uid="{73AE8F55-2FAB-4308-95FB-B1F514332A83}" name="Justification State" dataDxfId="532"/>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DBA99F-A11F-464B-BABC-5B2630F7CBE8}" name="Table4" displayName="Table4" ref="B2:R21" totalsRowShown="0" dataDxfId="531" tableBorderDxfId="530">
  <autoFilter ref="B2:R21" xr:uid="{44DBA99F-A11F-464B-BABC-5B2630F7CBE8}"/>
  <tableColumns count="17">
    <tableColumn id="1" xr3:uid="{839B211D-01E1-41B7-AC03-8164ADB03822}" name="case_test" dataDxfId="529"/>
    <tableColumn id="2" xr3:uid="{80898331-B841-4924-BEA9-03C67FC34358}" name="test_id" dataDxfId="528"/>
    <tableColumn id="3" xr3:uid="{5B5DDDF3-551C-4074-9067-3ED974762B4A}" name="test_timestamp" dataDxfId="527"/>
    <tableColumn id="4" xr3:uid="{549C9D98-8DFE-41C1-940B-54F1AE86F437}" name="query_driver_data_date_part" dataDxfId="526"/>
    <tableColumn id="5" xr3:uid="{A7E40E0E-519E-47B7-A20A-FA3012467933}" name="test_number" dataDxfId="525"/>
    <tableColumn id="6" xr3:uid="{4E48F5BD-7DC9-4590-AF1C-10C4264BBDBD}" name="score" dataDxfId="524"/>
    <tableColumn id="7" xr3:uid="{2A4BD075-AF1D-405E-9797-BA6B7BB1823D}" name="general_result" dataDxfId="523"/>
    <tableColumn id="8" xr3:uid="{9BBB34B0-68BA-4742-BEFF-E5FA5D9C37B7}" name="party_id" dataDxfId="522"/>
    <tableColumn id="9" xr3:uid="{396C23C9-4FA3-4267-877D-F4484F47AF62}" name="full_name" dataDxfId="521"/>
    <tableColumn id="10" xr3:uid="{F3C48F9B-0915-49B9-A589-8FA4CDB7AD23}" name="lei_id" dataDxfId="520"/>
    <tableColumn id="11" xr3:uid="{12750973-3CD9-4D6E-8B52-6D6812FDE152}" name="company_type_code" dataDxfId="519"/>
    <tableColumn id="12" xr3:uid="{B7E1ED47-CA49-4F72-8DE4-69B6F052EBF6}" name="origin_country_code" dataDxfId="518"/>
    <tableColumn id="13" xr3:uid="{9E233D8A-75DC-4639-8CF0-D4A9CAD8A768}" name="incorporation_date" dataDxfId="517"/>
    <tableColumn id="14" xr3:uid="{80B5DEDF-A70F-42EF-B519-6CBDBC33F502}" name="crs_reporting_ind" dataDxfId="516"/>
    <tableColumn id="15" xr3:uid="{104FA4DE-7F7C-4A86-837A-E9ADE8AB2E53}" name="fatca_reporting_ind" dataDxfId="515"/>
    <tableColumn id="16" xr3:uid="{D440C0B5-D7DB-4393-8AEA-77F9E6DD28E4}" name="data_date_part" dataDxfId="514"/>
    <tableColumn id="17" xr3:uid="{3327F786-DB9A-4B89-9C32-509B09AE60F9}" name="data_timestamp_part" dataDxfId="513"/>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E827E5-3076-45BE-B78C-B4C3B848B2EC}" name="Table6" displayName="Table6" ref="B29:F30" totalsRowShown="0" headerRowDxfId="512" dataDxfId="510" headerRowBorderDxfId="511" tableBorderDxfId="509">
  <autoFilter ref="B29:F30" xr:uid="{FAE827E5-3076-45BE-B78C-B4C3B848B2EC}"/>
  <tableColumns count="5">
    <tableColumn id="1" xr3:uid="{254B437A-5C9C-4FD0-A75A-FE2FD31C1EA4}" name="Test ID" dataDxfId="508"/>
    <tableColumn id="2" xr3:uid="{DB740B84-3CDA-4DD0-B736-60955B8E38D1}" name="Field" dataDxfId="507"/>
    <tableColumn id="3" xr3:uid="{EE3FE2FD-AEBA-4A6D-AAE2-9623432568DA}" name="Justification" dataDxfId="506"/>
    <tableColumn id="4" xr3:uid="{32B79DF5-02D7-48E2-B6A1-6C735CAEBB0D}" name="Number of Occurences" dataDxfId="505"/>
    <tableColumn id="5" xr3:uid="{B473A0BB-535A-4A8B-9954-4D7D69044871}" name="Justification State" dataDxfId="504"/>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7578F311-9CF0-476C-844A-F328FFDEC9DC}" name="Table443" displayName="Table443" ref="B2:R21" totalsRowShown="0" dataDxfId="503" tableBorderDxfId="502">
  <autoFilter ref="B2:R21" xr:uid="{44DBA99F-A11F-464B-BABC-5B2630F7CBE8}"/>
  <tableColumns count="17">
    <tableColumn id="1" xr3:uid="{01648967-5F8C-43CA-97C0-4CC166D57CF3}" name="case_test" dataDxfId="501"/>
    <tableColumn id="2" xr3:uid="{381E342E-6069-4C47-BCC1-3EF5BE0553CE}" name="test_id" dataDxfId="500"/>
    <tableColumn id="3" xr3:uid="{596931DA-BDC8-4D50-95E3-3F2CF146265A}" name="test_timestamp" dataDxfId="499"/>
    <tableColumn id="4" xr3:uid="{54220ABB-DD7F-44E8-A8A0-DB0714DC8AFA}" name="query_driver_data_date_part" dataDxfId="498"/>
    <tableColumn id="5" xr3:uid="{0CCC386B-AC8E-49C0-B852-7D181330F98C}" name="test_number" dataDxfId="497"/>
    <tableColumn id="6" xr3:uid="{48DE12E0-9641-4F19-9DCC-1CBDA063BCEA}" name="score" dataDxfId="496"/>
    <tableColumn id="7" xr3:uid="{95102883-D6FD-4E57-B693-109BF035596F}" name="general_result" dataDxfId="495"/>
    <tableColumn id="8" xr3:uid="{FD27C515-9E9D-4B5C-A977-8587046180A5}" name="party_id" dataDxfId="494"/>
    <tableColumn id="9" xr3:uid="{A1AD27EA-1B6C-4F34-92C7-85FD5B1DFCC7}" name="partenon_id" dataDxfId="493"/>
    <tableColumn id="10" xr3:uid="{5257B07F-21B0-4ED7-A09B-DB23D6499433}" name="zcligrupo" dataDxfId="492"/>
    <tableColumn id="11" xr3:uid="{FFC82694-8485-4C77-97AC-552DC2C82C40}" name="kgl_gbo_id" dataDxfId="491"/>
    <tableColumn id="12" xr3:uid="{0C20E8BA-205A-4108-BD46-CFEAA1E7F224}" name="kgl_cib_id" dataDxfId="490"/>
    <tableColumn id="13" xr3:uid="{1088C22D-22F7-4BF8-8220-3C1AAD288CDE}" name="employee_id" dataDxfId="489"/>
    <tableColumn id="14" xr3:uid="{22554975-91E4-4159-B166-B6CB131FC866}" name="party_type_code" dataDxfId="488"/>
    <tableColumn id="15" xr3:uid="{7B6C1589-D191-4211-8805-BAA912CC89BD}" name="common_table_name" dataDxfId="487"/>
    <tableColumn id="16" xr3:uid="{35B1F732-4CC3-4D12-8F6D-F9586007D479}" name="data_date_part" dataDxfId="486"/>
    <tableColumn id="17" xr3:uid="{B25643E7-4EBC-4847-B285-77BDB6394CF2}" name="data_timestamp_part" dataDxfId="48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C9C6383-71EB-424E-AD9C-26CF4E6CC675}" name="Table644" displayName="Table644" ref="B29:F35" totalsRowShown="0" headerRowDxfId="484" dataDxfId="482" headerRowBorderDxfId="483" tableBorderDxfId="481">
  <autoFilter ref="B29:F35" xr:uid="{FAE827E5-3076-45BE-B78C-B4C3B848B2EC}"/>
  <tableColumns count="5">
    <tableColumn id="1" xr3:uid="{68BBC3A7-C8CF-4CBD-85CA-B497EF458336}" name="Test ID" dataDxfId="480"/>
    <tableColumn id="2" xr3:uid="{DE0FA775-ABF4-42CC-B64F-596E46CA1880}" name="Field" dataDxfId="479"/>
    <tableColumn id="3" xr3:uid="{266B95CC-BE32-4209-A28A-B9374698EE62}" name="Justification" dataDxfId="478"/>
    <tableColumn id="4" xr3:uid="{0FE1443B-DDFE-48B6-8612-0332C585C36F}" name="Number of Occurences" dataDxfId="477"/>
    <tableColumn id="5" xr3:uid="{2D8E48D1-0A56-4D47-BA9D-E39F7962F8FB}" name="Justification State" dataDxfId="476"/>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B2130F-5967-4F37-BA07-3FA98919DC8E}" name="Table41012" displayName="Table41012" ref="B2:N21" totalsRowShown="0" dataDxfId="475" tableBorderDxfId="474">
  <autoFilter ref="B2:N21" xr:uid="{44DBA99F-A11F-464B-BABC-5B2630F7CBE8}"/>
  <tableColumns count="13">
    <tableColumn id="1" xr3:uid="{15862101-0EC3-45B8-838E-80F9E0D8A44C}" name="case_test" dataDxfId="473"/>
    <tableColumn id="2" xr3:uid="{06845141-6579-4ACD-AB9A-13B2DFD833D7}" name="test_id" dataDxfId="472"/>
    <tableColumn id="3" xr3:uid="{C5473A0B-8F8D-403B-9B66-1F15DC6F381E}" name="test_timestamp" dataDxfId="471"/>
    <tableColumn id="4" xr3:uid="{FD7171B6-B9D9-415B-9D3B-584C76F3EE60}" name="query_driver_data_date_part" dataDxfId="470"/>
    <tableColumn id="5" xr3:uid="{B9380383-6646-4F8D-8F93-030703FD044C}" name="test_number" dataDxfId="469"/>
    <tableColumn id="6" xr3:uid="{5CB7D1C3-7F41-4F3C-85B1-6B4EF700C135}" name="score" dataDxfId="468"/>
    <tableColumn id="7" xr3:uid="{DA887A40-6E18-41A3-ABF3-CF80E024F678}" name="general_result" dataDxfId="467"/>
    <tableColumn id="8" xr3:uid="{0A196AD6-B7B1-447C-AE65-637D62A54B44}" name="party_id" dataDxfId="466"/>
    <tableColumn id="9" xr3:uid="{C6448250-B575-412F-B93A-60FA3D193DD5}" name="industry_classific_system_code" dataDxfId="465"/>
    <tableColumn id="10" xr3:uid="{45EB1ED5-0DE3-4FF0-B1A5-0FAEA091F83F}" name="order_number" dataDxfId="464"/>
    <tableColumn id="11" xr3:uid="{64D291FF-A7CD-48A1-A50A-2997541BCB18}" name="econ_activity_category_code" dataDxfId="463"/>
    <tableColumn id="12" xr3:uid="{D029DEC3-3C1D-4586-811D-D17DA2E09856}" name="data_date_part" dataDxfId="462"/>
    <tableColumn id="13" xr3:uid="{480AC00D-E620-493F-9852-E63A6DF7C2FB}" name="data_timestamp_part" dataDxfId="461"/>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DB5C5F7-6BC6-4008-B857-62D9198FEEC7}" name="Table61113" displayName="Table61113" ref="B29:F30" insertRow="1" totalsRowShown="0" headerRowDxfId="460" dataDxfId="458" headerRowBorderDxfId="459" tableBorderDxfId="457">
  <autoFilter ref="B29:F30" xr:uid="{FAE827E5-3076-45BE-B78C-B4C3B848B2EC}"/>
  <tableColumns count="5">
    <tableColumn id="1" xr3:uid="{7C7BCFAB-C0A9-4ABF-A919-6A075C6BC95E}" name="Test ID" dataDxfId="456"/>
    <tableColumn id="2" xr3:uid="{C4B2F49D-85A3-4437-B44E-9C4CC498CDCA}" name="Field" dataDxfId="455"/>
    <tableColumn id="3" xr3:uid="{B11BE3C6-895C-4A6A-B2AF-68A60CDB4C52}" name="Justification" dataDxfId="454"/>
    <tableColumn id="4" xr3:uid="{8EBB31B0-1678-4CB1-90C5-473F9C351E31}" name="Number of Occurences" dataDxfId="453"/>
    <tableColumn id="5" xr3:uid="{7047D03B-5A71-48AB-BEFD-9E0E86703BC3}" name="Justification State" dataDxfId="452"/>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75D0962-FCB0-4333-9251-4E4FA0EFECCE}" name="Table410" displayName="Table410" ref="B2:O21" totalsRowShown="0" dataDxfId="451" tableBorderDxfId="450">
  <autoFilter ref="B2:O21" xr:uid="{44DBA99F-A11F-464B-BABC-5B2630F7CBE8}"/>
  <tableColumns count="14">
    <tableColumn id="1" xr3:uid="{AEF0BB95-5530-499E-8AA1-397B00DBC786}" name="case_test" dataDxfId="449"/>
    <tableColumn id="2" xr3:uid="{8D7973FE-1934-4EFA-9A73-2B8023950F70}" name="test_id" dataDxfId="448"/>
    <tableColumn id="3" xr3:uid="{57AF0091-C128-4599-9764-B12F47452BFA}" name="test_timestamp" dataDxfId="447"/>
    <tableColumn id="4" xr3:uid="{3C3F516B-80C3-44B1-B254-8ED9301445C9}" name="query_driver_data_date_part" dataDxfId="446"/>
    <tableColumn id="5" xr3:uid="{CD2FD83D-B472-4D14-A7BE-8C50D3791B40}" name="test_number" dataDxfId="445"/>
    <tableColumn id="6" xr3:uid="{A6D92060-FA66-423C-8175-379748A2A8EC}" name="score" dataDxfId="444"/>
    <tableColumn id="7" xr3:uid="{60349761-8454-4BF3-A9EA-C50786952DB0}" name="general_result" dataDxfId="443"/>
    <tableColumn id="8" xr3:uid="{B4165336-F873-419F-BF6D-AF462C0CCA4F}" name="party_id" dataDxfId="442"/>
    <tableColumn id="9" xr3:uid="{25350B6F-73E9-4516-AA9B-20F708111D11}" name="client_manager_employee_id" dataDxfId="441"/>
    <tableColumn id="10" xr3:uid="{B418FC1B-CC29-4190-823D-B95CE08FF9F7}" name="client_manager_branch_code" dataDxfId="440"/>
    <tableColumn id="11" xr3:uid="{80E25A38-2825-4709-BDE1-01CE25393AA7}" name="contractual_rel_start_date" dataDxfId="439"/>
    <tableColumn id="12" xr3:uid="{1EF89E48-75F5-4C98-8252-324EC371BA13}" name="digital_banking_join_date" dataDxfId="438"/>
    <tableColumn id="13" xr3:uid="{7F5181B4-0DA1-48CC-8C9B-C91632FB172F}" name="data_date_part" dataDxfId="437"/>
    <tableColumn id="14" xr3:uid="{4AF4E2F9-214D-4E53-B7C7-A54010604360}" name="data_timestamp_part" dataDxfId="436"/>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17BCD41-6379-475B-BF22-D09BE91A23FE}" name="Table611" displayName="Table611" ref="B29:F32" totalsRowShown="0" headerRowDxfId="435" dataDxfId="433" headerRowBorderDxfId="434" tableBorderDxfId="432">
  <autoFilter ref="B29:F32" xr:uid="{FAE827E5-3076-45BE-B78C-B4C3B848B2EC}"/>
  <tableColumns count="5">
    <tableColumn id="1" xr3:uid="{27502C55-FD7A-478C-9CEF-714585511BEF}" name="Test ID" dataDxfId="431"/>
    <tableColumn id="2" xr3:uid="{61851692-206B-442D-AD63-F2F398CD50A8}" name="Field" dataDxfId="430"/>
    <tableColumn id="3" xr3:uid="{52E18B48-23C1-4788-B1AB-F03D094E4541}" name="Justification" dataDxfId="429"/>
    <tableColumn id="4" xr3:uid="{025A2B1B-4A04-4880-A2C7-C72D8AE51767}" name="Number of Occurences" dataDxfId="428"/>
    <tableColumn id="5" xr3:uid="{67BF1585-9A81-49F8-A321-567C780529C9}" name="Justification State" dataDxfId="427"/>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6352506-0379-47A0-A7A3-5D00AA30B329}" name="Table4101214" displayName="Table4101214" ref="B2:Q21" totalsRowShown="0" dataDxfId="426" tableBorderDxfId="425">
  <autoFilter ref="B2:Q21" xr:uid="{44DBA99F-A11F-464B-BABC-5B2630F7CBE8}"/>
  <tableColumns count="16">
    <tableColumn id="1" xr3:uid="{5C3555EC-605A-4572-868E-B756B1D79713}" name="case_test" dataDxfId="424"/>
    <tableColumn id="2" xr3:uid="{AC51FADC-4410-401B-9739-D40A691D8632}" name="test_id" dataDxfId="423"/>
    <tableColumn id="3" xr3:uid="{0F259DB0-B537-486B-9A47-7EC1BD78CB43}" name="test_timestamp" dataDxfId="422"/>
    <tableColumn id="4" xr3:uid="{B56F596D-7557-47EE-9522-1021D6799653}" name="query_driver_data_date_part" dataDxfId="421"/>
    <tableColumn id="5" xr3:uid="{532F5D91-E72F-4641-A888-83A98A4A72DF}" name="test_number" dataDxfId="420"/>
    <tableColumn id="6" xr3:uid="{EF00A022-B5BB-4629-A640-506730552D41}" name="score" dataDxfId="419"/>
    <tableColumn id="7" xr3:uid="{C405942C-003E-4F0B-8885-DB6747DADB2E}" name="general_result" dataDxfId="418"/>
    <tableColumn id="8" xr3:uid="{F8544B91-A129-4EA1-9F71-011545347BA7}" name="party_id" dataDxfId="417"/>
    <tableColumn id="9" xr3:uid="{59559B89-DACD-4892-9D93-55572371197D}" name="contact_type_code" dataDxfId="416"/>
    <tableColumn id="10" xr3:uid="{FE2FD73E-0BBC-4F71-AD29-50A59C81770E}" name="order_number" dataDxfId="415"/>
    <tableColumn id="11" xr3:uid="{5B3D0BB9-A3A4-4174-8CC7-B6AA435F44F4}" name="main_contact_indicator" dataDxfId="414"/>
    <tableColumn id="12" xr3:uid="{08055E99-35E8-4B8C-A841-B3D70366EFDB}" name="start_date" dataDxfId="413"/>
    <tableColumn id="13" xr3:uid="{F1DB6689-AEF6-4668-9300-978D2A56E21F}" name="last_update_date" dataDxfId="412"/>
    <tableColumn id="14" xr3:uid="{C7347538-43FD-455B-83BA-4693808D0AB5}" name="contact" dataDxfId="411"/>
    <tableColumn id="15" xr3:uid="{D7B27534-DEE3-4A74-92D2-7DD0B9A7D863}" name="data_date_part" dataDxfId="410"/>
    <tableColumn id="16" xr3:uid="{DC799F3F-512E-4100-9A61-684318C46321}" name="data_timestamp_part" dataDxfId="409"/>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49DE225-32C5-4304-9797-E6FB914BADFC}" name="Table6111315" displayName="Table6111315" ref="B29:F31" totalsRowShown="0" headerRowDxfId="408" dataDxfId="406" headerRowBorderDxfId="407" tableBorderDxfId="405">
  <autoFilter ref="B29:F31" xr:uid="{FAE827E5-3076-45BE-B78C-B4C3B848B2EC}"/>
  <tableColumns count="5">
    <tableColumn id="1" xr3:uid="{6C9F1207-816A-4802-8A28-D90F637704B8}" name="Test ID" dataDxfId="404"/>
    <tableColumn id="2" xr3:uid="{C957CB90-9FB9-4D49-B0EF-E61B77714739}" name="Field" dataDxfId="403"/>
    <tableColumn id="3" xr3:uid="{B9F6C7AA-3773-4512-ADCD-6D6609A0B05F}" name="Justification" dataDxfId="402"/>
    <tableColumn id="4" xr3:uid="{320F49C7-0A66-45A8-B861-22049653E28E}" name="Number of Occurences" dataDxfId="401"/>
    <tableColumn id="5" xr3:uid="{37DBB24E-8A94-4A3E-8C93-6730139D5C13}" name="Justification State" dataDxfId="400"/>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19FF2BE-62F4-424A-8034-2B863851DE65}" name="Table410121416" displayName="Table410121416" ref="B2:Q21" totalsRowShown="0" dataDxfId="399" tableBorderDxfId="398">
  <autoFilter ref="B2:Q21" xr:uid="{44DBA99F-A11F-464B-BABC-5B2630F7CBE8}"/>
  <tableColumns count="16">
    <tableColumn id="1" xr3:uid="{633712B9-84A6-462B-9EE7-806B88835545}" name="case_test" dataDxfId="397"/>
    <tableColumn id="2" xr3:uid="{06518DC9-E0D6-498C-9D6E-B9CD42AAE841}" name="test_id" dataDxfId="396"/>
    <tableColumn id="3" xr3:uid="{74DE604D-5FD3-49ED-90E3-DB8055C23B27}" name="test_timestamp" dataDxfId="395"/>
    <tableColumn id="4" xr3:uid="{EE2B55F7-456F-46B7-B880-5C047CA103C1}" name="query_driver_data_date_part" dataDxfId="394"/>
    <tableColumn id="5" xr3:uid="{7BC0D285-C26D-4EBF-B51B-49E94F0AD2D0}" name="test_number" dataDxfId="393"/>
    <tableColumn id="6" xr3:uid="{B2094B01-5657-4B16-8ED4-0F11D0A21743}" name="score" dataDxfId="392"/>
    <tableColumn id="7" xr3:uid="{5EF9DC0B-BD98-438B-B4D8-C98F13391178}" name="general_result" dataDxfId="391"/>
    <tableColumn id="8" xr3:uid="{44FC6340-5B34-4A34-B7C4-3DADD1BA3AA2}" name="party_id" dataDxfId="390"/>
    <tableColumn id="9" xr3:uid="{5F98AF3F-59B8-4A2F-820A-579846EDAD70}" name="contact_type_code" dataDxfId="389"/>
    <tableColumn id="10" xr3:uid="{E4C5A625-C3C2-430A-964A-31B472062879}" name="order_number" dataDxfId="388"/>
    <tableColumn id="11" xr3:uid="{F4691925-6A97-429E-8390-EEE0A1E30B44}" name="main_contact_indicator" dataDxfId="387"/>
    <tableColumn id="12" xr3:uid="{61BB2077-B792-45CB-82E0-732D24BA113A}" name="start_date" dataDxfId="386"/>
    <tableColumn id="13" xr3:uid="{37AA5D22-A149-4E0F-B1B4-E5E5A85E7952}" name="last_update_date" dataDxfId="385"/>
    <tableColumn id="14" xr3:uid="{60E089D9-45A9-4228-A31C-96B095240F4B}" name="contact" dataDxfId="384"/>
    <tableColumn id="15" xr3:uid="{37E43D93-1491-4221-B095-971610A2CE63}" name="data_date_part" dataDxfId="383"/>
    <tableColumn id="16" xr3:uid="{2DD63A0C-130E-44C6-984B-2FFD46F067F1}" name="data_timestamp_part" dataDxfId="382"/>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53BDA2E-BB4A-4500-B148-B57278893737}" name="Table611131517" displayName="Table611131517" ref="B29:F30" totalsRowShown="0" headerRowDxfId="381" dataDxfId="379" headerRowBorderDxfId="380" tableBorderDxfId="378">
  <autoFilter ref="B29:F30" xr:uid="{FAE827E5-3076-45BE-B78C-B4C3B848B2EC}"/>
  <tableColumns count="5">
    <tableColumn id="1" xr3:uid="{D9787AFC-C6D6-4E1A-AECE-90E35C004118}" name="Test ID" dataDxfId="377"/>
    <tableColumn id="2" xr3:uid="{1171CE3A-CC1F-4941-8CCC-A926059AA4EE}" name="Field" dataDxfId="376"/>
    <tableColumn id="3" xr3:uid="{15F8DEC2-86C5-4BE3-9210-19E1E8FB0A43}" name="Justification" dataDxfId="375"/>
    <tableColumn id="4" xr3:uid="{39423070-36F4-4FDC-945F-B370E80A1F0B}" name="Number of Occurences" dataDxfId="374"/>
    <tableColumn id="5" xr3:uid="{CDA9760E-6729-44F9-A422-1642490A6627}" name="Justification State" dataDxfId="373"/>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1690FB2-A788-4029-89A5-5D48C9321731}" name="Table41018" displayName="Table41018" ref="B2:O21" totalsRowShown="0" dataDxfId="372" tableBorderDxfId="371">
  <autoFilter ref="B2:O21" xr:uid="{44DBA99F-A11F-464B-BABC-5B2630F7CBE8}"/>
  <tableColumns count="14">
    <tableColumn id="1" xr3:uid="{BA404FC9-D38E-4635-A1B5-6C66F2EEB5CB}" name="case_test" dataDxfId="370"/>
    <tableColumn id="2" xr3:uid="{FAD5C6A8-A563-4F8C-A67E-99DAA50904A4}" name="test_id" dataDxfId="369"/>
    <tableColumn id="3" xr3:uid="{7DFC483A-2204-481E-AF5D-628DFF9A4A2D}" name="test_timestamp" dataDxfId="368"/>
    <tableColumn id="4" xr3:uid="{21CC5F28-6331-4CD1-A6F4-304A0F8DC658}" name="query_driver_data_date_part" dataDxfId="367"/>
    <tableColumn id="5" xr3:uid="{CF2F29A3-C00F-461A-B4C1-9B7D95517E1E}" name="test_number" dataDxfId="366"/>
    <tableColumn id="6" xr3:uid="{3304DE19-0B4B-43C2-AAA7-20C8A548CAF1}" name="score" dataDxfId="365"/>
    <tableColumn id="7" xr3:uid="{6EAEEF8E-189E-4AA1-A95C-58AFED1BACDC}" name="general_result" dataDxfId="364"/>
    <tableColumn id="8" xr3:uid="{355C8B2C-D2FB-402C-A56C-7CBE6143E970}" name="party_id" dataDxfId="363"/>
    <tableColumn id="9" xr3:uid="{79B85A44-0EB8-4741-85DA-0B6D76A8C847}" name="client_manager_employee_id" dataDxfId="362"/>
    <tableColumn id="10" xr3:uid="{96123E32-4C9B-44A0-AD53-F37E557C2476}" name="client_manager_branch_code" dataDxfId="361"/>
    <tableColumn id="11" xr3:uid="{58EE2999-84FF-452E-8B1A-E0EF054FEE5A}" name="contractual_rel_start_date" dataDxfId="360"/>
    <tableColumn id="12" xr3:uid="{BE21BB3D-1A9D-4082-876C-9F3AEC7278F9}" name="digital_banking_join_date" dataDxfId="359"/>
    <tableColumn id="13" xr3:uid="{73E2CA4B-89B9-4223-8C4B-90CD904D9AE8}" name="data_date_part" dataDxfId="358"/>
    <tableColumn id="14" xr3:uid="{1C9D5DEC-F2C6-4271-9EF7-721F9D29C890}" name="data_timestamp_part" dataDxfId="357"/>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6A711A3-3F45-497F-AE16-F40A2BFEB1AD}" name="Table61119" displayName="Table61119" ref="B29:F32" totalsRowShown="0" headerRowDxfId="356" dataDxfId="354" headerRowBorderDxfId="355" tableBorderDxfId="353">
  <autoFilter ref="B29:F32" xr:uid="{FAE827E5-3076-45BE-B78C-B4C3B848B2EC}"/>
  <tableColumns count="5">
    <tableColumn id="1" xr3:uid="{25627C0B-F748-40C0-833D-75855354F9DF}" name="Test ID" dataDxfId="352"/>
    <tableColumn id="2" xr3:uid="{A07FDDD7-7738-4ED4-93A0-6ABC3727BED6}" name="Field" dataDxfId="351"/>
    <tableColumn id="3" xr3:uid="{08DD8A67-4A88-4115-9A9E-4BC9CB0D4C3F}" name="Justification" dataDxfId="350"/>
    <tableColumn id="4" xr3:uid="{24F374BD-7E84-4C7B-89D0-45F4869A4685}" name="Number of Occurences" dataDxfId="349"/>
    <tableColumn id="5" xr3:uid="{62403920-A94F-453A-A9FF-90B75BD50083}" name="Justification State" dataDxfId="348"/>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0F43EF5-FFC8-4F38-BA33-9A64B7B06919}" name="Table4101820" displayName="Table4101820" ref="B2:N21" totalsRowShown="0" dataDxfId="347" tableBorderDxfId="346">
  <autoFilter ref="B2:N21" xr:uid="{44DBA99F-A11F-464B-BABC-5B2630F7CBE8}"/>
  <tableColumns count="13">
    <tableColumn id="1" xr3:uid="{EDDCC61C-B130-42FE-9CC9-386FC9DCD6BC}" name="case_test" dataDxfId="345"/>
    <tableColumn id="2" xr3:uid="{A03B8D1C-CE92-495B-8DCD-58D7E9C3CD90}" name="test_id" dataDxfId="344"/>
    <tableColumn id="3" xr3:uid="{CD3ACC16-C970-4E41-B8B9-5AA5BADA22B1}" name="test_timestamp" dataDxfId="343"/>
    <tableColumn id="4" xr3:uid="{90A9EE88-C856-4EB4-9139-AAD8660D15C5}" name="query_driver_data_date_part" dataDxfId="342"/>
    <tableColumn id="5" xr3:uid="{FED54555-22D3-4EAA-84A6-D34EA85B853D}" name="test_number" dataDxfId="341"/>
    <tableColumn id="6" xr3:uid="{FCB65A07-34C9-417F-AABB-6CF101C4D5E1}" name="score" dataDxfId="340"/>
    <tableColumn id="7" xr3:uid="{8F155D61-9558-48A2-925E-187356C618FB}" name="general_result" dataDxfId="339"/>
    <tableColumn id="8" xr3:uid="{12374E31-A54C-48A0-B55D-3E5C4FDACE0A}" name="party_id" dataDxfId="338"/>
    <tableColumn id="9" xr3:uid="{BB75BD77-D105-4B38-A169-552CB7057C2F}" name="industry_classific_system_code" dataDxfId="337"/>
    <tableColumn id="10" xr3:uid="{F9D6CBEC-6153-4BD5-A307-66EF2E8349E3}" name="order_number" dataDxfId="336"/>
    <tableColumn id="11" xr3:uid="{8192DD74-4831-4C9B-AB06-88B5E9DF3315}" name="econ_activity_category_code" dataDxfId="335"/>
    <tableColumn id="12" xr3:uid="{0572C6E5-82AE-4ABE-B70F-F2CDDC11B852}" name="data_date_part" dataDxfId="334"/>
    <tableColumn id="13" xr3:uid="{0CB861C0-43E8-4E14-B6FD-7388A33FA335}" name="data_timestamp_part" dataDxfId="333"/>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06C568-C5D7-43CF-87A5-EAF7CA871A98}" name="Table6111921" displayName="Table6111921" ref="B29:F30" totalsRowShown="0" headerRowDxfId="332" dataDxfId="330" headerRowBorderDxfId="331" tableBorderDxfId="329">
  <autoFilter ref="B29:F30" xr:uid="{FAE827E5-3076-45BE-B78C-B4C3B848B2EC}"/>
  <tableColumns count="5">
    <tableColumn id="1" xr3:uid="{C255B9D1-7519-4E38-B5C6-CB8A6FEF872B}" name="Test ID" dataDxfId="328"/>
    <tableColumn id="2" xr3:uid="{EDFA495C-A81D-4827-B1B6-A3BE8BB3EC31}" name="Field" dataDxfId="327"/>
    <tableColumn id="3" xr3:uid="{329331C0-6657-43E3-815D-EDDD4891C530}" name="Justification" dataDxfId="326"/>
    <tableColumn id="4" xr3:uid="{D10D972F-DCB9-47FB-9C68-74383C8A9C13}" name="Number of Occurences" dataDxfId="325"/>
    <tableColumn id="5" xr3:uid="{39EC45FA-90A9-4C31-A38A-D1BB67BB9A93}" name="Justification State" dataDxfId="324"/>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38695B-9E6C-4D74-90C5-59A9078C206C}" name="Table41018202234" displayName="Table41018202234" ref="B2:P21" totalsRowShown="0" dataDxfId="323" tableBorderDxfId="322">
  <autoFilter ref="B2:P21" xr:uid="{44DBA99F-A11F-464B-BABC-5B2630F7CBE8}"/>
  <tableColumns count="15">
    <tableColumn id="1" xr3:uid="{58AB6B4D-372E-43E0-A95C-ADC71B25228F}" name="case_test" dataDxfId="321"/>
    <tableColumn id="2" xr3:uid="{91353B2D-E910-40B9-9FB8-0F4817841790}" name="test_id" dataDxfId="320"/>
    <tableColumn id="3" xr3:uid="{D48C6B09-991B-4F65-A003-6798D9BB2CB3}" name="test_timestamp" dataDxfId="319"/>
    <tableColumn id="4" xr3:uid="{98F0B437-B59C-4FF3-A57D-9710DBD54C5F}" name="query_driver_data_date_part" dataDxfId="318"/>
    <tableColumn id="5" xr3:uid="{BA910034-BC5E-4CED-9855-D46CABE210C0}" name="test_number" dataDxfId="317"/>
    <tableColumn id="6" xr3:uid="{0E9C0C41-3B60-4FAD-9228-91DFCD191C2D}" name="score" dataDxfId="316"/>
    <tableColumn id="7" xr3:uid="{9D3D5624-9A81-43D3-9497-D50B48E73B7F}" name="general_result" dataDxfId="315"/>
    <tableColumn id="8" xr3:uid="{1EDD430E-9C5F-4E32-8EA0-90038BF6CCEF}" name="party_id" dataDxfId="314"/>
    <tableColumn id="9" xr3:uid="{C7BE8DCF-7EF1-4F1E-A1CD-388A02BD9CB8}" name="document_number" dataDxfId="313"/>
    <tableColumn id="10" xr3:uid="{41868D08-12BB-4044-B90A-E7F46815F896}" name="document_type_code" dataDxfId="312"/>
    <tableColumn id="11" xr3:uid="{0655BDFC-72C7-4B60-994B-F1DD633CAD56}" name="document_country_code" dataDxfId="311"/>
    <tableColumn id="12" xr3:uid="{693942FF-B423-477D-BD6D-533DE468D14B}" name="negative_code" dataDxfId="310"/>
    <tableColumn id="13" xr3:uid="{35945828-8437-4A15-833A-746AFE15C1EB}" name="start_date" dataDxfId="309"/>
    <tableColumn id="14" xr3:uid="{F68667D3-2371-483D-BCA8-CDF9C8B27CD6}" name="data_date_part" dataDxfId="308"/>
    <tableColumn id="15" xr3:uid="{2D26C317-DAF5-41DC-BFBD-E941C7DC7EA5}" name="data_timestamp_part" dataDxfId="30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8DF32B5-957A-4D1F-B168-7E4A858AC7B7}" name="Table61119212335" displayName="Table61119212335" ref="B29:F30" totalsRowShown="0" headerRowDxfId="306" dataDxfId="304" headerRowBorderDxfId="305" tableBorderDxfId="303">
  <autoFilter ref="B29:F30" xr:uid="{FAE827E5-3076-45BE-B78C-B4C3B848B2EC}"/>
  <tableColumns count="5">
    <tableColumn id="1" xr3:uid="{099B7EB1-906C-4D56-AEBF-A9AE6B1DBCE5}" name="Test ID" dataDxfId="302"/>
    <tableColumn id="2" xr3:uid="{7B35DC6B-DCD8-467E-9860-E1023D50AFE7}" name="Field" dataDxfId="301"/>
    <tableColumn id="3" xr3:uid="{5222F89B-62A5-4CF7-854C-F564A990C44B}" name="Justification" dataDxfId="300"/>
    <tableColumn id="4" xr3:uid="{AFEFC463-DD28-4C23-899D-426BF4DD4C57}" name="Number of Occurences" dataDxfId="299"/>
    <tableColumn id="5" xr3:uid="{85DD7F3C-AC07-478D-B064-9EE1F5866285}" name="Justification State" dataDxfId="298"/>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ACD53A-1019-4244-A558-BB15A15E9C52}" name="Table410182022" displayName="Table410182022" ref="B2:P21" totalsRowShown="0" dataDxfId="297" tableBorderDxfId="296">
  <autoFilter ref="B2:P21" xr:uid="{44DBA99F-A11F-464B-BABC-5B2630F7CBE8}"/>
  <tableColumns count="15">
    <tableColumn id="1" xr3:uid="{B4C069D9-317C-4954-9F87-78D33C7A65AD}" name="case_test" dataDxfId="295"/>
    <tableColumn id="2" xr3:uid="{1C66B6A4-8534-4C4D-893D-DA701E552ABD}" name="test_id" dataDxfId="294"/>
    <tableColumn id="3" xr3:uid="{DAA080F1-9306-4C34-9A5E-75D8D596112D}" name="test_timestamp" dataDxfId="293"/>
    <tableColumn id="4" xr3:uid="{DFD9A494-1D78-41EB-8D6F-4752A4CFFC1B}" name="query_driver_data_date_part" dataDxfId="292"/>
    <tableColumn id="5" xr3:uid="{BC4FBAB2-C85A-4F88-A0AE-044FCB17A07F}" name="test_number" dataDxfId="291"/>
    <tableColumn id="6" xr3:uid="{552DEA6F-ED0C-4C35-A415-8FCE6FA4CD69}" name="score" dataDxfId="290"/>
    <tableColumn id="7" xr3:uid="{C3A341FA-C326-44F0-90FF-55145E19F444}" name="general_result" dataDxfId="289"/>
    <tableColumn id="8" xr3:uid="{A94D91F9-BB42-44E2-8C4A-00C71393B9E4}" name="party_id" dataDxfId="288"/>
    <tableColumn id="9" xr3:uid="{17E816E3-242E-4A90-A19C-FF7ECDEE65D8}" name="document_number" dataDxfId="287"/>
    <tableColumn id="10" xr3:uid="{8665B9B9-9999-46A8-8E7D-946B8A1B9B9E}" name="document_type_code" dataDxfId="286"/>
    <tableColumn id="11" xr3:uid="{9659FC1F-0A0F-4610-9CB9-ACC473D1FB07}" name="document_country_code" dataDxfId="285"/>
    <tableColumn id="12" xr3:uid="{CA1264B6-A55C-4167-A209-C454BED7AC1C}" name="negative_code" dataDxfId="284"/>
    <tableColumn id="13" xr3:uid="{5EDF0289-F16C-465A-964D-2DB093F60C23}" name="start_date" dataDxfId="283"/>
    <tableColumn id="14" xr3:uid="{AEA047A3-5E61-4DA3-97F1-ED143E9F3E57}" name="data_date_part" dataDxfId="282"/>
    <tableColumn id="15" xr3:uid="{4BF6FBDA-EB95-4C9B-A65F-E5B6166C7969}" name="data_timestamp_part" dataDxfId="28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421016C-14E2-4D5E-AA2B-F12DD187200A}" name="Table611192123" displayName="Table611192123" ref="B29:F30" insertRow="1" totalsRowShown="0" headerRowDxfId="280" dataDxfId="278" headerRowBorderDxfId="279" tableBorderDxfId="277">
  <autoFilter ref="B29:F30" xr:uid="{FAE827E5-3076-45BE-B78C-B4C3B848B2EC}"/>
  <tableColumns count="5">
    <tableColumn id="1" xr3:uid="{0B4054A4-BB4D-47E7-833C-5E23084040DD}" name="Test ID" dataDxfId="276"/>
    <tableColumn id="2" xr3:uid="{1B3B1D46-5E71-4755-8E9F-1324CFC73335}" name="Field" dataDxfId="275"/>
    <tableColumn id="3" xr3:uid="{530E27BB-8035-44D1-B84B-E850A6408073}" name="Justification" dataDxfId="274"/>
    <tableColumn id="4" xr3:uid="{41436500-8343-4B99-9456-ED8E652F3121}" name="Number of Occurences" dataDxfId="273"/>
    <tableColumn id="5" xr3:uid="{331A3F80-DFA4-4F71-BFDD-C83CF4C6DF6D}" name="Justification State" dataDxfId="272"/>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BE308E-F20D-4115-8BCD-1CC0541F89D1}" name="Table41018202224" displayName="Table41018202224" ref="B2:N21" totalsRowShown="0" dataDxfId="271" tableBorderDxfId="270">
  <autoFilter ref="B2:N21" xr:uid="{44DBA99F-A11F-464B-BABC-5B2630F7CBE8}"/>
  <tableColumns count="13">
    <tableColumn id="1" xr3:uid="{5FDC3817-73AF-43B6-9DDC-9A1BB6F4425C}" name="case_test" dataDxfId="269"/>
    <tableColumn id="2" xr3:uid="{B85C9558-0D28-47AF-ABF7-01AE80721513}" name="test_id" dataDxfId="268"/>
    <tableColumn id="3" xr3:uid="{DCF3977F-7FF9-4471-A60A-373E79D6291B}" name="test_timestamp" dataDxfId="267"/>
    <tableColumn id="4" xr3:uid="{9E4FE08F-FA11-4E00-9075-D5D145D2D47F}" name="query_driver_data_date_part" dataDxfId="266"/>
    <tableColumn id="5" xr3:uid="{6ABE739E-A29D-45B2-8079-E8BBE786A6E7}" name="test_number" dataDxfId="265"/>
    <tableColumn id="6" xr3:uid="{0BD527E4-3A7F-44B2-BAF0-AD4BDFC784E4}" name="score" dataDxfId="264"/>
    <tableColumn id="7" xr3:uid="{4EFEEA6E-7E51-43CA-BF37-176844C192AD}" name="general_result" dataDxfId="263"/>
    <tableColumn id="8" xr3:uid="{0943012E-02E8-4CFE-B615-69F92BC5C073}" name="party_id" dataDxfId="262"/>
    <tableColumn id="9" xr3:uid="{9A547F62-0E4F-48D0-B69D-CCA343429F83}" name="country_code" dataDxfId="261"/>
    <tableColumn id="10" xr3:uid="{7A6ED77F-ACCD-493B-982F-7A1ABEA061D6}" name="order_number" dataDxfId="260"/>
    <tableColumn id="11" xr3:uid="{06BAF46E-39E9-4CDF-987E-4845084B328E}" name="start_date" dataDxfId="259"/>
    <tableColumn id="12" xr3:uid="{41B9FD0A-5F80-411E-A31F-9A4210BDEA7E}" name="data_date_part" dataDxfId="258"/>
    <tableColumn id="13" xr3:uid="{1E2A4469-859E-4C8E-A571-6E24608118C8}" name="data_timestamp_part" dataDxfId="257"/>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3AAC014-0F92-4F84-840F-B91308E05C70}" name="Table61119212325" displayName="Table61119212325" ref="B29:F30" totalsRowShown="0" headerRowDxfId="256" dataDxfId="254" headerRowBorderDxfId="255" tableBorderDxfId="253">
  <autoFilter ref="B29:F30" xr:uid="{FAE827E5-3076-45BE-B78C-B4C3B848B2EC}"/>
  <tableColumns count="5">
    <tableColumn id="1" xr3:uid="{0C8E8CB5-4A37-4431-94B9-7DE1DCBC5B9B}" name="Test ID" dataDxfId="252"/>
    <tableColumn id="2" xr3:uid="{3513CA00-DB52-4C1F-AAC9-FE388623F870}" name="Field" dataDxfId="251"/>
    <tableColumn id="3" xr3:uid="{AE5A9645-285B-45C3-A873-D0EFD2F404EF}" name="Justification" dataDxfId="250"/>
    <tableColumn id="4" xr3:uid="{F738EC87-3611-4651-B0BA-5C4AE2428FD0}" name="Number of Occurences" dataDxfId="249"/>
    <tableColumn id="5" xr3:uid="{A1418BDD-976D-4F20-A2B3-DA179F10CD51}" name="Justification State" dataDxfId="248"/>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AECDBC7-1F1E-4A44-BE65-BDC2BE26A617}" name="Table4101820222426" displayName="Table4101820222426" ref="B2:M21" totalsRowShown="0" dataDxfId="247" tableBorderDxfId="246">
  <autoFilter ref="B2:M21" xr:uid="{44DBA99F-A11F-464B-BABC-5B2630F7CBE8}"/>
  <tableColumns count="12">
    <tableColumn id="1" xr3:uid="{77DAB748-010B-4992-AA60-AF04DBAA7E8C}" name="case_test" dataDxfId="245"/>
    <tableColumn id="2" xr3:uid="{2F44E12E-1A96-49ED-B9A5-122AF9F2493E}" name="test_id" dataDxfId="244"/>
    <tableColumn id="3" xr3:uid="{70AFBCE3-D960-4BA3-BEC8-2038244ECA78}" name="test_timestamp" dataDxfId="243"/>
    <tableColumn id="4" xr3:uid="{56ADD141-F172-435A-90BA-D09EC3EEAE9F}" name="query_driver_data_date_part" dataDxfId="242"/>
    <tableColumn id="5" xr3:uid="{E929BAD1-595C-4C74-8922-BD2BE540CCD3}" name="test_number" dataDxfId="241"/>
    <tableColumn id="6" xr3:uid="{FF16EFF5-DA8E-43A5-8515-E8C019347DC3}" name="score" dataDxfId="240"/>
    <tableColumn id="7" xr3:uid="{DB58A511-CF2D-48E1-9112-C99BEC590246}" name="general_result" dataDxfId="239"/>
    <tableColumn id="8" xr3:uid="{62A0DCD9-3C18-497C-90AE-143072FA2FC8}" name="party_id" dataDxfId="238"/>
    <tableColumn id="9" xr3:uid="{09F28E33-B88C-4D81-BD3F-46BC4E37DCB5}" name="country_code" dataDxfId="237"/>
    <tableColumn id="10" xr3:uid="{5E49C60D-C991-4A51-B83E-0F9BBF8E3BB6}" name="start_date" dataDxfId="236"/>
    <tableColumn id="11" xr3:uid="{D44EB4DC-83B1-4B45-8904-30809D33DD98}" name="data_date_part" dataDxfId="235"/>
    <tableColumn id="12" xr3:uid="{8531DD00-55E7-4C01-9422-C9BF0CEF6482}" name="data_timestamp_part" dataDxfId="234"/>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3E76CC7-3959-4167-B879-F1ACCDE387FD}" name="Table6111921232527" displayName="Table6111921232527" ref="B29:F32" totalsRowShown="0" headerRowDxfId="233" dataDxfId="231" headerRowBorderDxfId="232" tableBorderDxfId="230">
  <autoFilter ref="B29:F32" xr:uid="{FAE827E5-3076-45BE-B78C-B4C3B848B2EC}"/>
  <tableColumns count="5">
    <tableColumn id="1" xr3:uid="{21F998E2-706C-47B2-A7B2-BD271C5F1C27}" name="Test ID" dataDxfId="229"/>
    <tableColumn id="2" xr3:uid="{9A75FE8D-39EA-4CE1-8C1F-62CF915F640B}" name="Field" dataDxfId="228"/>
    <tableColumn id="3" xr3:uid="{BD8AD48D-986E-484A-ACFD-737D24801FCE}" name="Justification" dataDxfId="227"/>
    <tableColumn id="4" xr3:uid="{4045494D-72C4-4211-A951-EF0B52FF14D1}" name="Number of Occurences" dataDxfId="226"/>
    <tableColumn id="5" xr3:uid="{5121B449-951C-45FD-B4E9-201AC9637238}" name="Justification State" dataDxfId="225"/>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FDBFDC-8412-44AD-A2B6-C6E33E6339E1}" name="Table410182022242628" displayName="Table410182022242628" ref="B2:M21" totalsRowShown="0" dataDxfId="224" tableBorderDxfId="223">
  <autoFilter ref="B2:M21" xr:uid="{44DBA99F-A11F-464B-BABC-5B2630F7CBE8}"/>
  <tableColumns count="12">
    <tableColumn id="1" xr3:uid="{46271E47-BE07-45BB-8C9D-A67849332287}" name="case_test" dataDxfId="222"/>
    <tableColumn id="2" xr3:uid="{37EE4709-C9AC-475D-BB61-F624C444B56D}" name="test_id" dataDxfId="221"/>
    <tableColumn id="3" xr3:uid="{48113C58-6D8C-4DCB-A091-C7F4B109F179}" name="test_timestamp" dataDxfId="220"/>
    <tableColumn id="4" xr3:uid="{0A8FE55E-991B-49E7-9395-7CF1288149C8}" name="query_driver_data_date_part" dataDxfId="219"/>
    <tableColumn id="5" xr3:uid="{26C49891-FC63-4584-BEE8-8CB6AA9BCAAC}" name="test_number" dataDxfId="218"/>
    <tableColumn id="6" xr3:uid="{886FEC89-64F3-44B9-A43E-207AF58376C2}" name="score" dataDxfId="217"/>
    <tableColumn id="7" xr3:uid="{339E9C19-7568-435F-A195-27856DE6892D}" name="general_result" dataDxfId="216"/>
    <tableColumn id="8" xr3:uid="{73F46FAD-B030-44D3-84A3-66BFDDE7F176}" name="party_id" dataDxfId="215"/>
    <tableColumn id="9" xr3:uid="{E987BBC4-DB7B-4F85-97FA-10ED4FFCAF5E}" name="country_code" dataDxfId="214"/>
    <tableColumn id="10" xr3:uid="{333E004A-4B31-4F2B-92C4-6F01394F7A05}" name="start_date" dataDxfId="213"/>
    <tableColumn id="11" xr3:uid="{41D4594A-FE56-4FA7-894F-E3660D639E42}" name="data_date_part" dataDxfId="212"/>
    <tableColumn id="12" xr3:uid="{C7F39127-271A-4051-82C9-D687C78B6EB3}" name="data_timestamp_part" dataDxfId="211"/>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2DF996D-28E7-4623-B25F-DAA6BA8E00C2}" name="Table611192123252729" displayName="Table611192123252729" ref="B29:F33" totalsRowShown="0" headerRowDxfId="210" dataDxfId="208" headerRowBorderDxfId="209" tableBorderDxfId="207">
  <autoFilter ref="B29:F33" xr:uid="{FAE827E5-3076-45BE-B78C-B4C3B848B2EC}"/>
  <tableColumns count="5">
    <tableColumn id="1" xr3:uid="{FE5949EA-9318-40CB-81EE-08D273556477}" name="Test ID" dataDxfId="206"/>
    <tableColumn id="2" xr3:uid="{026195F3-E00C-4B0D-B70A-CEFF3C449ECE}" name="Field" dataDxfId="205"/>
    <tableColumn id="3" xr3:uid="{5A2F1C47-C1DE-46B1-8AB4-8FC3E3B3C372}" name="Justification" dataDxfId="204"/>
    <tableColumn id="4" xr3:uid="{C510B414-6C62-4BC4-95CB-0FB251EE9AA9}" name="Number of Occurences" dataDxfId="203"/>
    <tableColumn id="5" xr3:uid="{8E5B3573-1F0C-44A6-A28D-E6B133D7E81B}" name="Justification State" dataDxfId="20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EAA3093-7507-4474-A47A-C00EB8C978DA}" name="Table41018202224262830" displayName="Table41018202224262830" ref="B2:P21" totalsRowShown="0" dataDxfId="201" tableBorderDxfId="200">
  <autoFilter ref="B2:P21" xr:uid="{44DBA99F-A11F-464B-BABC-5B2630F7CBE8}"/>
  <tableColumns count="15">
    <tableColumn id="1" xr3:uid="{ACE11EC5-1B53-4E4F-8189-53DCDF0628BB}" name="case_test" dataDxfId="199"/>
    <tableColumn id="2" xr3:uid="{E311162B-6A0D-439F-A593-9CE493F8BDA4}" name="test_id" dataDxfId="198"/>
    <tableColumn id="3" xr3:uid="{E92810DB-CB1F-476F-9424-70621D08F48D}" name="test_timestamp" dataDxfId="197"/>
    <tableColumn id="4" xr3:uid="{97EF494D-4675-45EF-9E00-6E47B5077225}" name="query_driver_data_date_part" dataDxfId="196"/>
    <tableColumn id="5" xr3:uid="{880E7361-20B0-484B-88DA-A6710E44A0F5}" name="test_number" dataDxfId="195"/>
    <tableColumn id="6" xr3:uid="{DF749E49-486B-4A22-BC8B-10BFE58FCBB4}" name="score" dataDxfId="194"/>
    <tableColumn id="7" xr3:uid="{E36A584C-F415-4271-9339-290E2E35A1A6}" name="general_result" dataDxfId="193"/>
    <tableColumn id="8" xr3:uid="{B83C2844-22DF-44AB-964F-62F9B9B4F12A}" name="party_id" dataDxfId="192"/>
    <tableColumn id="9" xr3:uid="{A2E75A73-97A2-49C9-8558-B6E7D412BC32}" name="document_type_code" dataDxfId="191"/>
    <tableColumn id="10" xr3:uid="{B511E722-035C-419F-8083-E78A07A3E3AE}" name="document_country_code" dataDxfId="190"/>
    <tableColumn id="11" xr3:uid="{A5771457-3AE3-4ACD-B8DA-3DF3997C0449}" name="document_number" dataDxfId="189"/>
    <tableColumn id="12" xr3:uid="{140EF13C-B77A-4FE0-984B-6CB4D932DF97}" name="document_issue_date" dataDxfId="188"/>
    <tableColumn id="13" xr3:uid="{F24874E5-B528-43CF-B691-A7A585EF7CA5}" name="document_expiration_date" dataDxfId="187"/>
    <tableColumn id="14" xr3:uid="{57351DB2-CF78-45B6-800E-A3F921860FDE}" name="data_date_part" dataDxfId="186"/>
    <tableColumn id="15" xr3:uid="{55CC7436-048F-41D2-A620-CA70FC295261}" name="data_timestamp_part" dataDxfId="185"/>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2175299-411F-4CF8-AD96-AF164165A326}" name="Table61119212325272931" displayName="Table61119212325272931" ref="B29:F30" insertRow="1" totalsRowShown="0" headerRowDxfId="184" dataDxfId="182" headerRowBorderDxfId="183" tableBorderDxfId="181">
  <autoFilter ref="B29:F30" xr:uid="{FAE827E5-3076-45BE-B78C-B4C3B848B2EC}"/>
  <tableColumns count="5">
    <tableColumn id="1" xr3:uid="{86D866B6-9186-46AB-9497-E76C99C84713}" name="Test ID" dataDxfId="180"/>
    <tableColumn id="2" xr3:uid="{5EC28CE6-C36C-4446-94DE-B9874126DDB0}" name="Field" dataDxfId="179"/>
    <tableColumn id="3" xr3:uid="{B4CD7F90-0B57-4606-9664-AFE053C3C481}" name="Justification" dataDxfId="178"/>
    <tableColumn id="4" xr3:uid="{9B61E3C2-EE39-4FAB-9104-5C0A7671E5CA}" name="Number of Occurences" dataDxfId="177"/>
    <tableColumn id="5" xr3:uid="{5754B5D6-52D2-44ED-96F4-8A684DDE0DD0}" name="Justification State" dataDxfId="176"/>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5E75185-2103-4B9A-AEEC-042F5B9B29F8}" name="Table4101820222426283032" displayName="Table4101820222426283032" ref="B2:P21" totalsRowShown="0" dataDxfId="175" tableBorderDxfId="174">
  <autoFilter ref="B2:P21" xr:uid="{44DBA99F-A11F-464B-BABC-5B2630F7CBE8}"/>
  <tableColumns count="15">
    <tableColumn id="1" xr3:uid="{DF5A45EB-0A48-421A-8F3C-15981F3B1E42}" name="case_test" dataDxfId="173"/>
    <tableColumn id="2" xr3:uid="{89D0BB9F-D5B9-4C45-A2E6-038EBED273D9}" name="test_id" dataDxfId="172"/>
    <tableColumn id="3" xr3:uid="{A5FC0C3D-4B3D-4A68-8B6E-EDCE12CE5BD0}" name="test_timestamp" dataDxfId="171"/>
    <tableColumn id="4" xr3:uid="{5E592A77-B9C7-484E-AE9E-71623A465539}" name="query_driver_data_date_part" dataDxfId="170"/>
    <tableColumn id="5" xr3:uid="{29345E8A-D6B9-4439-ADCF-6FB84FFD1592}" name="test_number" dataDxfId="169"/>
    <tableColumn id="6" xr3:uid="{AD2E6273-DA96-452D-A680-BD4D7794A31C}" name="score" dataDxfId="168"/>
    <tableColumn id="7" xr3:uid="{5AD46F1F-3E44-4FB8-9493-8B90FF1DE863}" name="general_result" dataDxfId="167"/>
    <tableColumn id="8" xr3:uid="{36F9B4CC-499B-4A72-A2FD-4303483E0AC7}" name="party_id" dataDxfId="166"/>
    <tableColumn id="9" xr3:uid="{53C592AC-06D3-4901-88DF-2EC00FEB44D5}" name="document_type_code" dataDxfId="165"/>
    <tableColumn id="10" xr3:uid="{61BB9393-3F06-46DF-8078-CA1DBC031A72}" name="document_country_code" dataDxfId="164"/>
    <tableColumn id="11" xr3:uid="{227CD728-978D-4FA2-B6A1-8C8963DF24B7}" name="document_number" dataDxfId="163"/>
    <tableColumn id="12" xr3:uid="{C2ECF156-9418-44BE-ABFC-09FBEC09897D}" name="document_issue_date" dataDxfId="162"/>
    <tableColumn id="13" xr3:uid="{F1CB8520-53C8-4212-B20B-CB9083855850}" name="document_expiration_date" dataDxfId="161"/>
    <tableColumn id="14" xr3:uid="{2C08C353-CD7F-4584-BD64-AFDF418F9483}" name="data_date_part" dataDxfId="160"/>
    <tableColumn id="15" xr3:uid="{62F9FE0F-B001-4802-8031-2C9261BE414B}" name="data_timestamp_part" dataDxfId="159"/>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06B9B53-E977-48F5-84D7-E61D714D795E}" name="Table6111921232527293133" displayName="Table6111921232527293133" ref="B29:F30" insertRow="1" totalsRowShown="0" headerRowDxfId="158" dataDxfId="156" headerRowBorderDxfId="157" tableBorderDxfId="155">
  <autoFilter ref="B29:F30" xr:uid="{FAE827E5-3076-45BE-B78C-B4C3B848B2EC}"/>
  <tableColumns count="5">
    <tableColumn id="1" xr3:uid="{FFCFEC02-582F-4A24-AEAE-DA7AF35836AF}" name="Test ID" dataDxfId="154"/>
    <tableColumn id="2" xr3:uid="{D7816C6E-058E-48D2-9E87-63B95B58C063}" name="Field" dataDxfId="153"/>
    <tableColumn id="3" xr3:uid="{07176E03-1AA0-4902-926F-AAAD2061C517}" name="Justification" dataDxfId="152"/>
    <tableColumn id="4" xr3:uid="{99CA6FD0-72F9-4851-9E33-903FEB328748}" name="Number of Occurences" dataDxfId="151"/>
    <tableColumn id="5" xr3:uid="{D2EDDAB4-7B12-44B8-A73A-A36F5B9002B6}" name="Justification State" dataDxfId="150"/>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F9474AD-60F6-4ECD-9CF4-126183E6ADAE}" name="Table41018202224262830323638" displayName="Table41018202224262830323638" ref="B2:M20" totalsRowShown="0" dataDxfId="149" tableBorderDxfId="148">
  <autoFilter ref="B2:M20" xr:uid="{44DBA99F-A11F-464B-BABC-5B2630F7CBE8}"/>
  <tableColumns count="12">
    <tableColumn id="1" xr3:uid="{9523E5BC-F0A7-4836-9EB2-E6EAB0742B9A}" name="case_test" dataDxfId="147"/>
    <tableColumn id="2" xr3:uid="{523FB69E-3764-4DE4-9B32-882DEBEC2072}" name="test_id" dataDxfId="146"/>
    <tableColumn id="3" xr3:uid="{5D839E03-7073-48DB-9625-CC18FB9334D2}" name="test_timestamp" dataDxfId="145"/>
    <tableColumn id="4" xr3:uid="{57149745-FDD4-438B-A5DC-645B61626EB2}" name="query_driver_data_date_part" dataDxfId="144"/>
    <tableColumn id="5" xr3:uid="{D6FC0EB2-83D2-445D-B6C4-5FC46CE683CD}" name="test_number" dataDxfId="143"/>
    <tableColumn id="6" xr3:uid="{DF2BE8A0-656E-4063-A313-1255813FEF51}" name="score" dataDxfId="142"/>
    <tableColumn id="7" xr3:uid="{7CF67A66-17D2-4F2E-A28A-D85A6F1902F0}" name="general_result" dataDxfId="141"/>
    <tableColumn id="8" xr3:uid="{EB745794-280F-49AE-8566-87596155C8F8}" name="party_id" dataDxfId="140"/>
    <tableColumn id="9" xr3:uid="{B9A5ADBF-3CA6-4ADE-AE8A-8A470A74660B}" name="segment_type_code" dataDxfId="139"/>
    <tableColumn id="10" xr3:uid="{FCC5CBB0-AA43-4DCF-9980-AEAEFB7B1C2C}" name="segment_code" dataDxfId="138"/>
    <tableColumn id="11" xr3:uid="{0169D17A-EB5D-4CAB-A3FF-F2C4D86119EE}" name="data_date_part" dataDxfId="137"/>
    <tableColumn id="12" xr3:uid="{38A4F2B5-BAD0-47BA-BC6B-087D0BFD5E24}" name="data_timestamp_part" dataDxfId="136"/>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799274D-487C-4DDE-9202-C4D55EDB7B6E}" name="Table61119212325272931333739" displayName="Table61119212325272931333739" ref="B28:F31" totalsRowShown="0" headerRowDxfId="135" dataDxfId="133" headerRowBorderDxfId="134" tableBorderDxfId="132">
  <autoFilter ref="B28:F31" xr:uid="{FAE827E5-3076-45BE-B78C-B4C3B848B2EC}"/>
  <tableColumns count="5">
    <tableColumn id="1" xr3:uid="{5F1F3AFB-505C-44C2-A7F6-018801C8E833}" name="Test ID" dataDxfId="131"/>
    <tableColumn id="2" xr3:uid="{245BA1B8-C14C-4D5F-91DB-0E35A49E9214}" name="Field" dataDxfId="130"/>
    <tableColumn id="3" xr3:uid="{E80211F2-A4CF-4111-9398-902336671258}" name="Justification" dataDxfId="129"/>
    <tableColumn id="4" xr3:uid="{CF886C33-C1FA-4AB3-9549-D34DAA7EA2BE}" name="Number of Occurences" dataDxfId="128"/>
    <tableColumn id="5" xr3:uid="{EB5246A2-EB67-4818-B60C-F25A29BF1DB4}" name="Justification State" dataDxfId="127"/>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D522A4A-DC03-4DE7-90E4-46FD37EFBC25}" name="Table410182022242628303236" displayName="Table410182022242628303236" ref="B2:M20" totalsRowShown="0" dataDxfId="126" tableBorderDxfId="125">
  <autoFilter ref="B2:M20" xr:uid="{44DBA99F-A11F-464B-BABC-5B2630F7CBE8}"/>
  <tableColumns count="12">
    <tableColumn id="1" xr3:uid="{9F6A7E04-A453-4D95-9932-17A2C25EE007}" name="case_test" dataDxfId="124"/>
    <tableColumn id="2" xr3:uid="{17874292-1FA3-4536-AA80-010F45DDEA26}" name="test_id" dataDxfId="123"/>
    <tableColumn id="3" xr3:uid="{DBDA66F1-570F-4267-ACF4-F6318693F67E}" name="test_timestamp" dataDxfId="122"/>
    <tableColumn id="4" xr3:uid="{4EA77A1A-5BFF-46EF-AD3A-18BAC2AFBD07}" name="query_driver_data_date_part" dataDxfId="121"/>
    <tableColumn id="5" xr3:uid="{DE89D4AE-915F-4364-A11C-8E3F35D233A6}" name="test_number" dataDxfId="120"/>
    <tableColumn id="6" xr3:uid="{E00398D5-DD8C-420E-9A5A-F3DF7C2C445F}" name="score" dataDxfId="119"/>
    <tableColumn id="7" xr3:uid="{01633219-565F-48D1-9BD7-7EF4DCAC736A}" name="general_result" dataDxfId="118"/>
    <tableColumn id="8" xr3:uid="{4FB7B71B-B8BF-44E9-AE5D-B5B9059D3E6D}" name="party_id" dataDxfId="117"/>
    <tableColumn id="9" xr3:uid="{F67604A6-8597-4CDA-9CA4-E25A812458D5}" name="segment_type_code" dataDxfId="116"/>
    <tableColumn id="10" xr3:uid="{2E336201-994E-4C3A-8D5D-C4ABBFBAC39D}" name="segment_code" dataDxfId="115"/>
    <tableColumn id="11" xr3:uid="{16B78F96-1D4D-4AB3-9F09-ADC336F51F14}" name="data_date_part" dataDxfId="114"/>
    <tableColumn id="12" xr3:uid="{E546F306-05B2-409A-A41F-58A916D319A0}" name="data_timestamp_part" dataDxfId="113"/>
  </tableColumns>
  <tableStyleInfo name="TableStyleLight1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19DFFD4-37C2-4B93-8A87-7923E4FB22AB}" name="Table611192123252729313337" displayName="Table611192123252729313337" ref="B28:F33" totalsRowShown="0" headerRowDxfId="112" dataDxfId="110" headerRowBorderDxfId="111" tableBorderDxfId="109">
  <autoFilter ref="B28:F33" xr:uid="{FAE827E5-3076-45BE-B78C-B4C3B848B2EC}"/>
  <tableColumns count="5">
    <tableColumn id="1" xr3:uid="{3CF28487-9E75-4977-AA1B-B3B1181A6571}" name="Test ID" dataDxfId="108"/>
    <tableColumn id="2" xr3:uid="{9C73E786-A4F2-4F3D-9487-C49BCE22B6B2}" name="Field" dataDxfId="107"/>
    <tableColumn id="3" xr3:uid="{14E3F800-9381-450E-A8F4-2A2015268DCA}" name="Justification" dataDxfId="106"/>
    <tableColumn id="4" xr3:uid="{E9E846B0-BB82-4D2B-8B48-307D552B3CFC}" name="Number of Occurences" dataDxfId="105"/>
    <tableColumn id="5" xr3:uid="{37E9A561-40CD-4FAB-84FA-4B2BED91D56F}" name="Justification State" dataDxfId="104"/>
  </tableColumns>
  <tableStyleInfo name="TableStyleLight1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7C55DB1-CB5E-4FA4-B01F-8655D6FB8A05}" name="Table41018202224262830323640" displayName="Table41018202224262830323640" ref="B2:Q20" totalsRowShown="0" dataDxfId="103" tableBorderDxfId="102">
  <autoFilter ref="B2:Q20" xr:uid="{44DBA99F-A11F-464B-BABC-5B2630F7CBE8}"/>
  <tableColumns count="16">
    <tableColumn id="1" xr3:uid="{B994EF22-A3A0-4AE3-BA0D-330B6DFF0C26}" name="case_test" dataDxfId="101"/>
    <tableColumn id="2" xr3:uid="{D20D5278-1927-4017-933A-3A07E976A21B}" name="test_id" dataDxfId="100"/>
    <tableColumn id="3" xr3:uid="{B5FA644F-8336-4452-940A-DE5896573580}" name="test_timestamp" dataDxfId="99"/>
    <tableColumn id="4" xr3:uid="{FB5EBA49-6810-4F89-BC73-6DB8761C9D6A}" name="query_driver_data_date_part" dataDxfId="98"/>
    <tableColumn id="5" xr3:uid="{6A9F254D-2563-4906-B9E7-DA1130965391}" name="test_number" dataDxfId="97"/>
    <tableColumn id="6" xr3:uid="{049609E0-BCF0-4020-940E-4B2D1929657C}" name="score" dataDxfId="96"/>
    <tableColumn id="7" xr3:uid="{CBBDF038-AD2F-4CDB-9809-F87601FBC810}" name="general_result" dataDxfId="95"/>
    <tableColumn id="8" xr3:uid="{BF9733A9-5D99-4BDD-92E5-B2283CB1C7A9}" name="party_id" dataDxfId="94"/>
    <tableColumn id="9" xr3:uid="{73C4A252-6126-4835-BEBD-8A5A4D7A0C59}" name="financial_report_date" dataDxfId="93"/>
    <tableColumn id="10" xr3:uid="{E493BB1C-0D14-45B3-91F9-2A409A821035}" name="annual_turnover_currency_code" dataDxfId="92"/>
    <tableColumn id="11" xr3:uid="{FFFA8A09-50DF-434D-AE92-A161E5F20778}" name="annual_turnover_amount" dataDxfId="91"/>
    <tableColumn id="12" xr3:uid="{6B098C23-166C-4DD0-B8F9-CEFA7E786259}" name="share_capital_amount" dataDxfId="90"/>
    <tableColumn id="13" xr3:uid="{9DE1B7D2-539C-496A-9D6B-A7F9FD92F0DF}" name="share_capital_currency_code" dataDxfId="89"/>
    <tableColumn id="14" xr3:uid="{722122FC-5231-4C07-88C3-243F2662DE7A}" name="number_employees" dataDxfId="88"/>
    <tableColumn id="15" xr3:uid="{983FF33E-711A-49A1-B77D-8B4CC38885B1}" name="data_date_part" dataDxfId="87"/>
    <tableColumn id="16" xr3:uid="{6EC59C57-84F2-465B-A687-FC877B4AE75F}" name="data_timestamp_part" dataDxfId="86"/>
  </tableColumns>
  <tableStyleInfo name="TableStyleLight1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ECE0869-FB93-4AE0-B76A-6F6966B4D55F}" name="Table61119212325272931333741" displayName="Table61119212325272931333741" ref="B28:F38" totalsRowShown="0" headerRowDxfId="85" dataDxfId="83" headerRowBorderDxfId="84" tableBorderDxfId="82">
  <autoFilter ref="B28:F38" xr:uid="{FAE827E5-3076-45BE-B78C-B4C3B848B2EC}"/>
  <tableColumns count="5">
    <tableColumn id="1" xr3:uid="{5AC069A8-5376-438E-B353-1D2FFD10DA58}" name="Test ID" dataDxfId="81"/>
    <tableColumn id="2" xr3:uid="{E3F79460-AF06-4293-8253-C72E56CAB932}" name="Field" dataDxfId="80"/>
    <tableColumn id="3" xr3:uid="{342BD48D-C4D1-4E66-8B2B-FE56F8856A08}" name="Justification" dataDxfId="79"/>
    <tableColumn id="4" xr3:uid="{A5E4EED2-EB22-475B-954C-A494DBAE3B2C}" name="Number of Occurences" dataDxfId="78"/>
    <tableColumn id="5" xr3:uid="{56CE36B4-60AF-495A-B001-83AE250962C0}" name="Justification State" dataDxfId="77"/>
  </tableColumns>
  <tableStyleInfo name="TableStyleLight1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6BDAC0B2-C525-4F7A-9D42-6DEC404A585E}" name="Table410182022242628303236404547" displayName="Table410182022242628303236404547" ref="B2:AB21" totalsRowShown="0" dataDxfId="76" tableBorderDxfId="75">
  <autoFilter ref="B2:AB21" xr:uid="{44DBA99F-A11F-464B-BABC-5B2630F7CBE8}"/>
  <tableColumns count="27">
    <tableColumn id="1" xr3:uid="{C26B594F-76D3-459D-93F4-10867EF8E821}" name="case_test" dataDxfId="74"/>
    <tableColumn id="2" xr3:uid="{77C9C36F-3DA4-4944-906D-32D909FCFAEF}" name="test_id" dataDxfId="73"/>
    <tableColumn id="3" xr3:uid="{59AD5551-34F9-4F25-8175-133B80DC1289}" name="test_timestamp" dataDxfId="72"/>
    <tableColumn id="4" xr3:uid="{0C7087CE-41FC-48E3-8187-B1E909D378D4}" name="query_driver_data_date_part" dataDxfId="71"/>
    <tableColumn id="5" xr3:uid="{16EC8B42-BC43-4153-A7E9-44EA25EE6A2D}" name="test_number" dataDxfId="70"/>
    <tableColumn id="6" xr3:uid="{8C9C446D-8EB1-4EDE-93CA-5CE488073D8E}" name="score" dataDxfId="69"/>
    <tableColumn id="7" xr3:uid="{D8EB0CA7-1BC1-4BF5-8D86-63EBA8EB2B42}" name="general_result" dataDxfId="68"/>
    <tableColumn id="8" xr3:uid="{71C9C356-A55C-4D94-8962-52C7991280E1}" name="party_id" dataDxfId="67"/>
    <tableColumn id="9" xr3:uid="{DC0195A1-F1C6-44BA-9633-A5F3D9277D38}" name="order_number" dataDxfId="66"/>
    <tableColumn id="10" xr3:uid="{8071F178-C850-4522-B47A-3B3916452C19}" name="start_date" dataDxfId="65"/>
    <tableColumn id="11" xr3:uid="{9A0CC5EC-F5BF-470C-9FCA-5C235100FC9C}" name="address_type_code" dataDxfId="64"/>
    <tableColumn id="12" xr3:uid="{54BFD56B-33C1-4888-AB3E-AF53EBCBC5D8}" name="country_code" dataDxfId="63"/>
    <tableColumn id="13" xr3:uid="{868C695B-4070-4B02-9ED5-62E3DA838810}" name="district_name" dataDxfId="62"/>
    <tableColumn id="14" xr3:uid="{21589417-CABB-469B-9493-340D4191A663}" name="district_code" dataDxfId="61"/>
    <tableColumn id="15" xr3:uid="{77E2E2E2-9612-4E83-BDB3-6FF7BF803BE7}" name="municipality_code" dataDxfId="60"/>
    <tableColumn id="16" xr3:uid="{D36C0059-AE2A-4D1C-98BD-3329DFA24629}" name="civil_parish_code" dataDxfId="59"/>
    <tableColumn id="17" xr3:uid="{EB147865-C262-4BB1-906D-18EE66384565}" name="nut3_code" dataDxfId="58"/>
    <tableColumn id="18" xr3:uid="{9543CD31-AEE6-4DDB-B9A9-60EEAFDB7D16}" name="postal_code" dataDxfId="57"/>
    <tableColumn id="19" xr3:uid="{DC929680-0421-43BD-88FF-8E972C06E9CD}" name="street_type_code" dataDxfId="56"/>
    <tableColumn id="20" xr3:uid="{4DA73170-4FFA-4810-BB03-643986928263}" name="street_name" dataDxfId="55"/>
    <tableColumn id="21" xr3:uid="{7EBC2E49-7599-4375-BD02-03554AF6CC3B}" name="building_type_code" dataDxfId="54"/>
    <tableColumn id="22" xr3:uid="{8981E2B9-4D75-4D34-915B-E9C5A390C728}" name="building_number" dataDxfId="53"/>
    <tableColumn id="23" xr3:uid="{A62CD2FA-BEE9-4228-A6FF-8EE8E4F7AD13}" name="building_details" dataDxfId="52"/>
    <tableColumn id="24" xr3:uid="{9FF48412-D29B-4873-9CE9-0D8B48CCA71A}" name="post_office_box_number" dataDxfId="51"/>
    <tableColumn id="25" xr3:uid="{4BB50834-59D6-4F21-8F20-7D90503DFB53}" name="full_address" dataDxfId="50"/>
    <tableColumn id="26" xr3:uid="{11929A16-A850-4CAB-8FA7-C9CB935C445C}" name="data_date_part" dataDxfId="49"/>
    <tableColumn id="27" xr3:uid="{3FE8B44C-7F53-4188-A2C3-8BFB995B9817}" name="data_timestamp_part" dataDxfId="48"/>
  </tableColumns>
  <tableStyleInfo name="TableStyleLight1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1B313C1E-ACBD-4FF9-A9C7-5178770ED447}" name="Table611192123252729313337414648" displayName="Table611192123252729313337414648" ref="B29:F47" totalsRowShown="0" headerRowDxfId="47" dataDxfId="45" headerRowBorderDxfId="46" tableBorderDxfId="44">
  <autoFilter ref="B29:F47" xr:uid="{FAE827E5-3076-45BE-B78C-B4C3B848B2EC}"/>
  <tableColumns count="5">
    <tableColumn id="1" xr3:uid="{1E79F71A-AB09-4942-A552-BCC8ED6044E1}" name="Test ID" dataDxfId="43"/>
    <tableColumn id="2" xr3:uid="{C36B5712-4DF3-4808-8045-91EE94FDA1DC}" name="Field" dataDxfId="42"/>
    <tableColumn id="3" xr3:uid="{D1D6368C-ABBE-4F10-8579-2D8220CC8166}" name="Justification" dataDxfId="41"/>
    <tableColumn id="4" xr3:uid="{75F8373C-4810-4201-A2BA-C7C92654B0D2}" name="Number of Occurences" dataDxfId="40"/>
    <tableColumn id="5" xr3:uid="{EE2FAB7C-CABD-4ED8-ABC6-2A9A5DDBB5DA}" name="Justification State" dataDxfId="39"/>
  </tableColumns>
  <tableStyleInfo name="TableStyleLight1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7B52C2B-5AB0-45F6-A702-124437174D23}" name="Table4101820222426283032364045" displayName="Table4101820222426283032364045" ref="B2:AB21" totalsRowShown="0" dataDxfId="38" tableBorderDxfId="37">
  <autoFilter ref="B2:AB21" xr:uid="{44DBA99F-A11F-464B-BABC-5B2630F7CBE8}"/>
  <tableColumns count="27">
    <tableColumn id="1" xr3:uid="{FABA03E7-E951-4920-9D3F-84080102FBE1}" name="case_test" dataDxfId="36"/>
    <tableColumn id="2" xr3:uid="{9F39D840-89FA-496F-9F0A-4C3AC65DA5C1}" name="test_id" dataDxfId="35"/>
    <tableColumn id="3" xr3:uid="{6D1895B7-3C64-433A-9E50-3024869EED72}" name="test_timestamp" dataDxfId="34"/>
    <tableColumn id="4" xr3:uid="{310FC998-9353-4BBA-AF78-AAFD98EB7A5F}" name="query_driver_data_date_part" dataDxfId="33"/>
    <tableColumn id="5" xr3:uid="{BDAE15E7-DA86-40D7-B2E7-1F7619F63B8D}" name="test_number" dataDxfId="32"/>
    <tableColumn id="6" xr3:uid="{47ACD8FB-B82A-4EB1-89E8-CC5631C54BEF}" name="score" dataDxfId="31"/>
    <tableColumn id="7" xr3:uid="{9CA3DE75-9AF6-4178-B3A3-7B513BD518B8}" name="general_result" dataDxfId="30"/>
    <tableColumn id="8" xr3:uid="{89C0AC5C-C282-46E8-90A2-018FBAFEF39F}" name="party_id" dataDxfId="29"/>
    <tableColumn id="9" xr3:uid="{19C59BEE-1665-4422-BF33-C4268DF9B6DF}" name="order_number" dataDxfId="28"/>
    <tableColumn id="10" xr3:uid="{8FAC578D-AEC6-45AC-9CD5-654A4364E13C}" name="start_date" dataDxfId="27"/>
    <tableColumn id="11" xr3:uid="{D3D3B5C4-6745-45FB-9651-2894D2ED1868}" name="address_type_code" dataDxfId="26"/>
    <tableColumn id="12" xr3:uid="{0E658FE0-C0BF-4413-B9BB-0A38172E5CE5}" name="country_code" dataDxfId="25"/>
    <tableColumn id="13" xr3:uid="{054A387A-0C51-4CD5-A0CB-0848A6166726}" name="district_name" dataDxfId="24"/>
    <tableColumn id="14" xr3:uid="{FCE88E17-8DF4-43E5-8316-6492A10DA659}" name="district_code" dataDxfId="23"/>
    <tableColumn id="15" xr3:uid="{45FF81E7-13DE-45B7-B418-DF0C81260477}" name="municipality_code" dataDxfId="22"/>
    <tableColumn id="16" xr3:uid="{50DAA18D-FD05-4A43-9409-3510E88C9DA1}" name="civil_parish_code" dataDxfId="21"/>
    <tableColumn id="17" xr3:uid="{390796CF-1935-4EEF-9016-A631BF656ACD}" name="nut3_code" dataDxfId="20"/>
    <tableColumn id="18" xr3:uid="{485B8810-373F-41D1-95AA-E71C7689018E}" name="postal_code" dataDxfId="19"/>
    <tableColumn id="19" xr3:uid="{0E21B0BE-CABC-4ACD-892D-E0285A23E5A0}" name="street_type_code" dataDxfId="18"/>
    <tableColumn id="20" xr3:uid="{ABC7B6D8-71E9-4E41-8AB9-7C51E499FD16}" name="street_name" dataDxfId="17"/>
    <tableColumn id="21" xr3:uid="{6CE72B8E-1010-43DF-9DD6-F65B7CB42C51}" name="building_type_code" dataDxfId="16"/>
    <tableColumn id="22" xr3:uid="{8A3F00D5-CF2F-422C-B3D0-625A7E68D3A4}" name="building_number" dataDxfId="15"/>
    <tableColumn id="23" xr3:uid="{EDC6C9DD-E359-45EE-BEA2-DF741BE0C0AA}" name="building_details" dataDxfId="14"/>
    <tableColumn id="24" xr3:uid="{BD0119A2-556F-44EB-8285-64559C400E10}" name="post_office_box_number" dataDxfId="13"/>
    <tableColumn id="25" xr3:uid="{BE7092E1-2E6A-4657-8BFF-CABD7E14D28B}" name="full_address" dataDxfId="12"/>
    <tableColumn id="26" xr3:uid="{44FC4F33-9C2E-49BA-A943-BCE13661E5F0}" name="data_date_part" dataDxfId="11"/>
    <tableColumn id="27" xr3:uid="{ED45928D-43F4-4815-8E3F-AA12C488294E}" name="data_timestamp_part" dataDxfId="10"/>
  </tableColumns>
  <tableStyleInfo name="TableStyleLight1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7967B35B-FAEB-4C78-9125-25BE747F77FA}" name="Table6111921232527293133374146" displayName="Table6111921232527293133374146" ref="B29:F43" totalsRowShown="0" headerRowDxfId="9" dataDxfId="7" headerRowBorderDxfId="8" tableBorderDxfId="6">
  <autoFilter ref="B29:F43" xr:uid="{FAE827E5-3076-45BE-B78C-B4C3B848B2EC}"/>
  <tableColumns count="5">
    <tableColumn id="1" xr3:uid="{2A1140A6-6FAB-4D4A-933D-CEAF98CD0A2F}" name="Test ID" dataDxfId="5"/>
    <tableColumn id="2" xr3:uid="{56D126E5-3157-49FA-99E0-DBAE4F8F8CBF}" name="Field" dataDxfId="4"/>
    <tableColumn id="3" xr3:uid="{3F72C88D-9A2F-4C37-9704-477F76DED9EA}" name="Justification" dataDxfId="3"/>
    <tableColumn id="4" xr3:uid="{B947E864-D190-426B-B028-2959F480FC5B}" name="Number of Occurences" dataDxfId="2"/>
    <tableColumn id="5" xr3:uid="{08E6F777-0E64-477B-B1F0-605212F3EA42}"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13" dT="2024-03-19T09:03:34.14" personId="{8E6E9D06-3031-453A-B801-4E04A91FC027}" id="{C5578884-D250-41B8-AC04-D6A87686E03D}">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83"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37.xml"/><Relationship Id="rId2" Type="http://schemas.openxmlformats.org/officeDocument/2006/relationships/table" Target="../tables/table36.xml"/><Relationship Id="rId1" Type="http://schemas.openxmlformats.org/officeDocument/2006/relationships/drawing" Target="../drawings/drawing21.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39.xml"/><Relationship Id="rId2" Type="http://schemas.openxmlformats.org/officeDocument/2006/relationships/table" Target="../tables/table38.xml"/><Relationship Id="rId1" Type="http://schemas.openxmlformats.org/officeDocument/2006/relationships/drawing" Target="../drawings/drawing22.xml"/></Relationships>
</file>

<file path=xl/worksheets/_rels/sheet29.xml.rels><?xml version="1.0" encoding="UTF-8" standalone="yes"?>
<Relationships xmlns="http://schemas.openxmlformats.org/package/2006/relationships"><Relationship Id="rId3" Type="http://schemas.openxmlformats.org/officeDocument/2006/relationships/table" Target="../tables/table41.xml"/><Relationship Id="rId2" Type="http://schemas.openxmlformats.org/officeDocument/2006/relationships/table" Target="../tables/table40.xml"/><Relationship Id="rId1" Type="http://schemas.openxmlformats.org/officeDocument/2006/relationships/drawing" Target="../drawings/drawing23.xml"/></Relationships>
</file>

<file path=xl/worksheets/_rels/sheet30.xml.rels><?xml version="1.0" encoding="UTF-8" standalone="yes"?>
<Relationships xmlns="http://schemas.openxmlformats.org/package/2006/relationships"><Relationship Id="rId3" Type="http://schemas.openxmlformats.org/officeDocument/2006/relationships/table" Target="../tables/table43.xml"/><Relationship Id="rId2" Type="http://schemas.openxmlformats.org/officeDocument/2006/relationships/table" Target="../tables/table42.xml"/><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3" Type="http://schemas.openxmlformats.org/officeDocument/2006/relationships/table" Target="../tables/table45.xml"/><Relationship Id="rId2" Type="http://schemas.openxmlformats.org/officeDocument/2006/relationships/table" Target="../tables/table44.xml"/><Relationship Id="rId1" Type="http://schemas.openxmlformats.org/officeDocument/2006/relationships/drawing" Target="../drawings/drawing25.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47.xml"/><Relationship Id="rId2" Type="http://schemas.openxmlformats.org/officeDocument/2006/relationships/table" Target="../tables/table46.xml"/><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53125" defaultRowHeight="12.5" zeroHeight="1" x14ac:dyDescent="0.25"/>
  <cols>
    <col min="1" max="1" width="3.54296875" style="1" customWidth="1"/>
    <col min="2" max="14" width="9.453125" style="1" customWidth="1"/>
    <col min="15" max="15" width="8.54296875" style="1" customWidth="1"/>
    <col min="16" max="16" width="9.453125" style="1" customWidth="1"/>
    <col min="17" max="16383" width="0" style="1" hidden="1" customWidth="1"/>
    <col min="16384" max="16384" width="8.453125" style="1" hidden="1" customWidth="1"/>
  </cols>
  <sheetData>
    <row r="1" spans="1:16" x14ac:dyDescent="0.25">
      <c r="A1" s="5"/>
      <c r="B1" s="5"/>
      <c r="C1" s="5"/>
      <c r="D1" s="5"/>
      <c r="E1" s="5"/>
      <c r="F1" s="5"/>
      <c r="G1" s="5"/>
      <c r="H1" s="5"/>
      <c r="I1" s="5"/>
      <c r="J1" s="5"/>
      <c r="K1" s="5"/>
      <c r="L1" s="5"/>
      <c r="M1" s="5"/>
      <c r="N1" s="5"/>
      <c r="O1" s="5"/>
      <c r="P1" s="5"/>
    </row>
    <row r="2" spans="1:16" x14ac:dyDescent="0.25">
      <c r="A2" s="5"/>
      <c r="B2" s="5"/>
      <c r="C2" s="5"/>
      <c r="D2" s="5"/>
      <c r="E2" s="5"/>
      <c r="F2" s="5"/>
      <c r="G2" s="5"/>
      <c r="H2" s="5"/>
      <c r="I2" s="5"/>
      <c r="J2" s="5"/>
      <c r="K2" s="5"/>
      <c r="L2" s="5"/>
      <c r="M2" s="5"/>
      <c r="N2" s="5"/>
      <c r="O2" s="5"/>
      <c r="P2" s="5"/>
    </row>
    <row r="3" spans="1:16" ht="29.5" x14ac:dyDescent="0.25">
      <c r="A3" s="5"/>
      <c r="B3" s="57" t="s">
        <v>0</v>
      </c>
      <c r="C3" s="5"/>
      <c r="D3" s="5"/>
      <c r="E3" s="5"/>
      <c r="F3" s="5"/>
      <c r="G3" s="5"/>
      <c r="H3" s="5"/>
      <c r="I3" s="5"/>
      <c r="J3" s="5"/>
      <c r="K3" s="5"/>
      <c r="L3" s="5"/>
      <c r="M3" s="5"/>
      <c r="N3" s="5"/>
      <c r="O3" s="5"/>
      <c r="P3" s="5"/>
    </row>
    <row r="4" spans="1:16" ht="17.5" x14ac:dyDescent="0.25">
      <c r="A4" s="5"/>
      <c r="B4" s="6"/>
      <c r="C4" s="5"/>
      <c r="D4" s="5"/>
      <c r="E4" s="5"/>
      <c r="F4" s="5"/>
      <c r="G4" s="5"/>
      <c r="H4" s="5"/>
      <c r="I4" s="5"/>
      <c r="J4" s="5"/>
      <c r="K4" s="5"/>
      <c r="L4" s="5"/>
      <c r="M4" s="5"/>
      <c r="N4" s="5"/>
      <c r="O4" s="5"/>
      <c r="P4" s="5"/>
    </row>
    <row r="5" spans="1:16" ht="13" thickBot="1" x14ac:dyDescent="0.3">
      <c r="A5" s="5"/>
      <c r="B5" s="7"/>
      <c r="C5" s="7"/>
      <c r="D5" s="7"/>
      <c r="E5" s="7"/>
      <c r="F5" s="7"/>
      <c r="G5" s="7"/>
      <c r="H5" s="7"/>
      <c r="I5" s="7"/>
      <c r="J5" s="5"/>
      <c r="K5" s="5"/>
      <c r="L5" s="5"/>
      <c r="M5" s="5"/>
      <c r="N5" s="5"/>
      <c r="O5" s="5"/>
      <c r="P5" s="5"/>
    </row>
    <row r="6" spans="1:16" ht="13.5" x14ac:dyDescent="0.35">
      <c r="A6" s="5"/>
      <c r="B6" s="5"/>
      <c r="C6" s="5"/>
      <c r="D6" s="5"/>
      <c r="E6" s="5"/>
      <c r="F6" s="8"/>
      <c r="G6" s="5"/>
      <c r="H6" s="5"/>
      <c r="I6" s="5"/>
      <c r="J6" s="5"/>
      <c r="K6" s="5"/>
      <c r="L6" s="5"/>
      <c r="M6" s="5"/>
      <c r="N6" s="5"/>
      <c r="O6" s="5"/>
      <c r="P6" s="5"/>
    </row>
    <row r="7" spans="1:16" x14ac:dyDescent="0.25">
      <c r="A7" s="5"/>
      <c r="B7" s="5"/>
      <c r="C7" s="5"/>
      <c r="D7" s="5"/>
      <c r="E7" s="5"/>
      <c r="F7" s="5"/>
      <c r="G7" s="5"/>
      <c r="H7" s="5"/>
      <c r="I7" s="5"/>
      <c r="J7" s="5"/>
      <c r="K7" s="5"/>
      <c r="L7" s="5"/>
      <c r="M7" s="5"/>
      <c r="N7" s="5"/>
      <c r="O7" s="5"/>
      <c r="P7" s="5"/>
    </row>
    <row r="8" spans="1:16" x14ac:dyDescent="0.25">
      <c r="A8" s="5"/>
      <c r="B8" s="5"/>
      <c r="C8" s="5"/>
      <c r="D8" s="5"/>
      <c r="E8" s="5"/>
      <c r="F8" s="5"/>
      <c r="G8" s="5"/>
      <c r="H8" s="5"/>
      <c r="I8" s="5"/>
      <c r="J8" s="5"/>
      <c r="K8" s="5"/>
      <c r="L8" s="5"/>
      <c r="M8" s="5"/>
      <c r="N8" s="5"/>
      <c r="O8" s="5"/>
      <c r="P8" s="5"/>
    </row>
    <row r="9" spans="1:16" x14ac:dyDescent="0.25">
      <c r="A9" s="5"/>
      <c r="B9" s="5"/>
      <c r="C9" s="5"/>
      <c r="D9" s="5"/>
      <c r="E9" s="5"/>
      <c r="F9" s="5"/>
      <c r="G9" s="5"/>
      <c r="H9" s="5"/>
      <c r="I9" s="5"/>
      <c r="J9" s="5"/>
      <c r="K9" s="5"/>
      <c r="L9" s="5"/>
      <c r="M9" s="5"/>
      <c r="N9" s="5"/>
      <c r="O9" s="5"/>
      <c r="P9" s="5"/>
    </row>
    <row r="10" spans="1:16" x14ac:dyDescent="0.25">
      <c r="A10" s="5"/>
      <c r="B10" s="5"/>
      <c r="C10" s="5"/>
      <c r="D10" s="5"/>
      <c r="E10" s="5"/>
      <c r="F10" s="5"/>
      <c r="G10" s="5"/>
      <c r="H10" s="5"/>
      <c r="I10" s="5"/>
      <c r="J10" s="5"/>
      <c r="K10" s="5"/>
      <c r="L10" s="5"/>
      <c r="M10" s="5"/>
      <c r="N10" s="5"/>
      <c r="O10" s="5"/>
      <c r="P10" s="5"/>
    </row>
    <row r="11" spans="1:16" x14ac:dyDescent="0.25">
      <c r="A11" s="5"/>
      <c r="B11" s="5"/>
      <c r="C11" s="5"/>
      <c r="D11" s="5"/>
      <c r="E11" s="5"/>
      <c r="F11" s="5"/>
      <c r="G11" s="5"/>
      <c r="H11" s="5"/>
      <c r="I11" s="5"/>
      <c r="J11" s="5"/>
      <c r="K11" s="5"/>
      <c r="L11" s="5"/>
      <c r="M11" s="5"/>
      <c r="N11" s="5"/>
      <c r="O11" s="5"/>
      <c r="P11" s="5"/>
    </row>
    <row r="12" spans="1:16" x14ac:dyDescent="0.25">
      <c r="A12" s="5"/>
      <c r="B12" s="5"/>
      <c r="C12" s="5"/>
      <c r="D12" s="5"/>
      <c r="E12" s="5"/>
      <c r="F12" s="5"/>
      <c r="G12" s="5"/>
      <c r="H12" s="5"/>
      <c r="I12" s="5"/>
      <c r="J12" s="5"/>
      <c r="K12" s="5"/>
      <c r="L12" s="5"/>
      <c r="M12" s="5"/>
      <c r="N12" s="5"/>
      <c r="O12" s="5"/>
      <c r="P12" s="5"/>
    </row>
    <row r="13" spans="1:16" x14ac:dyDescent="0.25">
      <c r="A13" s="5"/>
      <c r="B13" s="5"/>
      <c r="C13" s="5"/>
      <c r="D13" s="5"/>
      <c r="E13" s="5"/>
      <c r="F13" s="5"/>
      <c r="G13" s="5"/>
      <c r="H13" s="5"/>
      <c r="I13" s="5"/>
      <c r="J13" s="5"/>
      <c r="K13" s="5"/>
      <c r="L13" s="5"/>
      <c r="M13" s="5"/>
      <c r="N13" s="5"/>
      <c r="O13" s="5"/>
      <c r="P13" s="5"/>
    </row>
    <row r="14" spans="1:16" x14ac:dyDescent="0.25">
      <c r="A14" s="5"/>
      <c r="B14" s="5"/>
      <c r="C14" s="5"/>
      <c r="D14" s="5"/>
      <c r="E14" s="5"/>
      <c r="F14" s="5"/>
      <c r="G14" s="5"/>
      <c r="H14" s="5"/>
      <c r="I14" s="5"/>
      <c r="J14" s="5"/>
      <c r="K14" s="5"/>
      <c r="L14" s="5"/>
      <c r="M14" s="5"/>
      <c r="N14" s="5"/>
      <c r="O14" s="5"/>
      <c r="P14" s="5"/>
    </row>
    <row r="15" spans="1:16" x14ac:dyDescent="0.25">
      <c r="A15" s="5"/>
      <c r="B15" s="5"/>
      <c r="C15" s="5"/>
      <c r="D15" s="5"/>
      <c r="E15" s="5"/>
      <c r="F15" s="5"/>
      <c r="G15" s="5"/>
      <c r="H15" s="5"/>
      <c r="I15" s="5"/>
      <c r="J15" s="5"/>
      <c r="K15" s="5"/>
      <c r="L15" s="5"/>
      <c r="M15" s="5"/>
      <c r="N15" s="5"/>
      <c r="O15" s="5"/>
      <c r="P15" s="5"/>
    </row>
    <row r="16" spans="1:16" s="2" customFormat="1" ht="32" x14ac:dyDescent="0.35">
      <c r="A16" s="9"/>
      <c r="B16" s="9"/>
      <c r="C16" s="9"/>
      <c r="D16" s="9"/>
      <c r="E16" s="9"/>
      <c r="F16" s="9"/>
      <c r="G16" s="9"/>
      <c r="H16" s="9"/>
      <c r="I16" s="9"/>
      <c r="J16" s="9"/>
      <c r="K16" s="9"/>
      <c r="L16" s="9"/>
      <c r="M16" s="9"/>
      <c r="N16" s="9"/>
      <c r="O16" s="10"/>
      <c r="P16" s="9"/>
    </row>
    <row r="17" spans="1:16" s="3" customFormat="1" ht="25" x14ac:dyDescent="0.5">
      <c r="A17" s="11"/>
      <c r="B17" s="11"/>
      <c r="C17" s="11"/>
      <c r="D17" s="11"/>
      <c r="E17" s="11"/>
      <c r="F17" s="11"/>
      <c r="G17" s="11"/>
      <c r="H17" s="11"/>
      <c r="I17" s="11"/>
      <c r="J17" s="11"/>
      <c r="K17" s="11"/>
      <c r="L17" s="11"/>
      <c r="M17" s="11"/>
      <c r="N17" s="11"/>
      <c r="O17" s="12"/>
      <c r="P17" s="11"/>
    </row>
    <row r="18" spans="1:16" ht="13" x14ac:dyDescent="0.3">
      <c r="A18" s="5"/>
      <c r="B18" s="5"/>
      <c r="C18" s="5"/>
      <c r="D18" s="5"/>
      <c r="E18" s="5"/>
      <c r="F18" s="5"/>
      <c r="G18" s="5"/>
      <c r="H18" s="5"/>
      <c r="I18" s="5"/>
      <c r="J18" s="5"/>
      <c r="K18" s="5"/>
      <c r="L18" s="5"/>
      <c r="M18" s="5"/>
      <c r="N18" s="5"/>
      <c r="O18" s="13"/>
      <c r="P18" s="5"/>
    </row>
    <row r="19" spans="1:16" ht="13" x14ac:dyDescent="0.3">
      <c r="A19" s="5"/>
      <c r="B19" s="5"/>
      <c r="C19" s="5"/>
      <c r="D19" s="5"/>
      <c r="E19" s="5"/>
      <c r="F19" s="5"/>
      <c r="G19" s="5"/>
      <c r="H19" s="5"/>
      <c r="I19" s="5"/>
      <c r="J19" s="5"/>
      <c r="K19" s="5"/>
      <c r="L19" s="5"/>
      <c r="M19" s="5"/>
      <c r="N19" s="5"/>
      <c r="O19" s="13"/>
      <c r="P19" s="5"/>
    </row>
    <row r="20" spans="1:16" ht="15.5" x14ac:dyDescent="0.35">
      <c r="A20" s="5"/>
      <c r="B20" s="5"/>
      <c r="C20" s="5"/>
      <c r="D20" s="5"/>
      <c r="E20" s="5"/>
      <c r="F20" s="5"/>
      <c r="G20" s="5"/>
      <c r="H20" s="5"/>
      <c r="I20" s="5"/>
      <c r="J20" s="5"/>
      <c r="K20" s="5"/>
      <c r="L20" s="5"/>
      <c r="M20" s="5"/>
      <c r="N20" s="5"/>
      <c r="O20" s="14"/>
      <c r="P20" s="5"/>
    </row>
    <row r="21" spans="1:16" ht="13" x14ac:dyDescent="0.3">
      <c r="A21" s="5"/>
      <c r="B21" s="5"/>
      <c r="C21" s="5"/>
      <c r="D21" s="5"/>
      <c r="E21" s="5"/>
      <c r="F21" s="5"/>
      <c r="G21" s="5"/>
      <c r="H21" s="5"/>
      <c r="I21" s="5"/>
      <c r="J21" s="5"/>
      <c r="K21" s="5"/>
      <c r="L21" s="5"/>
      <c r="M21" s="5"/>
      <c r="N21" s="5"/>
      <c r="O21" s="15"/>
      <c r="P21" s="5"/>
    </row>
    <row r="22" spans="1:16" ht="13" x14ac:dyDescent="0.3">
      <c r="A22" s="5"/>
      <c r="B22" s="5"/>
      <c r="C22" s="5"/>
      <c r="D22" s="5"/>
      <c r="E22" s="5"/>
      <c r="F22" s="5"/>
      <c r="G22" s="5"/>
      <c r="H22" s="5"/>
      <c r="I22" s="5"/>
      <c r="J22" s="5"/>
      <c r="K22" s="5"/>
      <c r="L22" s="5"/>
      <c r="M22" s="5"/>
      <c r="N22" s="5"/>
      <c r="O22" s="15"/>
      <c r="P22" s="5"/>
    </row>
    <row r="23" spans="1:16" ht="15.5" x14ac:dyDescent="0.35">
      <c r="A23" s="5"/>
      <c r="B23" s="5"/>
      <c r="C23" s="5"/>
      <c r="D23" s="5"/>
      <c r="E23" s="5"/>
      <c r="F23" s="5"/>
      <c r="G23" s="5"/>
      <c r="H23" s="5"/>
      <c r="I23" s="5"/>
      <c r="J23" s="5"/>
      <c r="K23" s="5"/>
      <c r="L23" s="5"/>
      <c r="M23" s="5"/>
      <c r="N23" s="5"/>
      <c r="O23" s="16"/>
      <c r="P23" s="5"/>
    </row>
    <row r="24" spans="1:16" ht="13" x14ac:dyDescent="0.3">
      <c r="A24" s="5"/>
      <c r="B24" s="5"/>
      <c r="C24" s="5"/>
      <c r="D24" s="5"/>
      <c r="E24" s="5"/>
      <c r="F24" s="5"/>
      <c r="G24" s="5"/>
      <c r="H24" s="5"/>
      <c r="I24" s="5"/>
      <c r="J24" s="5"/>
      <c r="K24" s="5"/>
      <c r="L24" s="5"/>
      <c r="M24" s="5"/>
      <c r="N24" s="5"/>
      <c r="O24" s="13"/>
      <c r="P24" s="5"/>
    </row>
    <row r="25" spans="1:16" ht="13" x14ac:dyDescent="0.3">
      <c r="A25" s="5"/>
      <c r="B25" s="5"/>
      <c r="C25" s="5"/>
      <c r="D25" s="5"/>
      <c r="E25" s="5"/>
      <c r="F25" s="5"/>
      <c r="G25" s="5"/>
      <c r="H25" s="5"/>
      <c r="I25" s="5"/>
      <c r="J25" s="5"/>
      <c r="K25" s="5"/>
      <c r="L25" s="5"/>
      <c r="M25" s="5"/>
      <c r="N25" s="5"/>
      <c r="O25" s="13"/>
      <c r="P25" s="5"/>
    </row>
    <row r="26" spans="1:16" ht="13" x14ac:dyDescent="0.3">
      <c r="A26" s="5"/>
      <c r="B26" s="5"/>
      <c r="C26" s="5"/>
      <c r="D26" s="5"/>
      <c r="E26" s="5"/>
      <c r="F26" s="5"/>
      <c r="G26" s="5"/>
      <c r="H26" s="5"/>
      <c r="I26" s="5"/>
      <c r="J26" s="5"/>
      <c r="K26" s="5"/>
      <c r="L26" s="5"/>
      <c r="M26" s="5"/>
      <c r="N26" s="5"/>
      <c r="O26" s="13"/>
      <c r="P26" s="5"/>
    </row>
    <row r="27" spans="1:16" ht="13" x14ac:dyDescent="0.3">
      <c r="A27" s="5"/>
      <c r="B27" s="5"/>
      <c r="C27" s="5"/>
      <c r="D27" s="5"/>
      <c r="E27" s="5"/>
      <c r="F27" s="5"/>
      <c r="G27" s="5"/>
      <c r="H27" s="5"/>
      <c r="I27" s="5"/>
      <c r="J27" s="5"/>
      <c r="K27" s="5"/>
      <c r="L27" s="5"/>
      <c r="M27" s="5"/>
      <c r="N27" s="5"/>
      <c r="O27" s="13"/>
      <c r="P27" s="5"/>
    </row>
    <row r="28" spans="1:16" ht="13" x14ac:dyDescent="0.3">
      <c r="A28" s="5"/>
      <c r="B28" s="5"/>
      <c r="C28" s="5"/>
      <c r="D28" s="5"/>
      <c r="E28" s="5"/>
      <c r="F28" s="5"/>
      <c r="G28" s="5"/>
      <c r="H28" s="5"/>
      <c r="I28" s="5"/>
      <c r="J28" s="5"/>
      <c r="K28" s="5"/>
      <c r="L28" s="5"/>
      <c r="M28" s="5"/>
      <c r="N28" s="5"/>
      <c r="O28" s="13"/>
      <c r="P28" s="5"/>
    </row>
    <row r="29" spans="1:16" ht="13" x14ac:dyDescent="0.3">
      <c r="A29" s="5"/>
      <c r="B29" s="5"/>
      <c r="C29" s="5"/>
      <c r="D29" s="5"/>
      <c r="E29" s="5"/>
      <c r="F29" s="5"/>
      <c r="G29" s="5"/>
      <c r="H29" s="5"/>
      <c r="I29" s="5"/>
      <c r="J29" s="5"/>
      <c r="K29" s="5"/>
      <c r="L29" s="5"/>
      <c r="M29" s="5"/>
      <c r="N29" s="5"/>
      <c r="O29" s="13"/>
      <c r="P29" s="5"/>
    </row>
    <row r="30" spans="1:16" ht="13" x14ac:dyDescent="0.3">
      <c r="A30" s="5"/>
      <c r="B30" s="5"/>
      <c r="C30" s="5"/>
      <c r="D30" s="5"/>
      <c r="E30" s="5"/>
      <c r="F30" s="5"/>
      <c r="G30" s="5"/>
      <c r="H30" s="5"/>
      <c r="I30" s="5"/>
      <c r="J30" s="5"/>
      <c r="K30" s="5"/>
      <c r="L30" s="5"/>
      <c r="M30" s="5"/>
      <c r="N30" s="5"/>
      <c r="O30" s="13"/>
      <c r="P30" s="5"/>
    </row>
    <row r="31" spans="1:16" x14ac:dyDescent="0.25">
      <c r="A31" s="5"/>
      <c r="B31" s="5"/>
      <c r="C31" s="5"/>
      <c r="D31" s="5"/>
      <c r="E31" s="5"/>
      <c r="F31" s="5"/>
      <c r="G31" s="5"/>
      <c r="H31" s="5"/>
      <c r="I31" s="5"/>
      <c r="J31" s="5"/>
      <c r="K31" s="5"/>
      <c r="L31" s="5"/>
      <c r="M31" s="17"/>
      <c r="N31" s="18"/>
      <c r="O31" s="19"/>
      <c r="P31" s="5"/>
    </row>
    <row r="32" spans="1:16" x14ac:dyDescent="0.25">
      <c r="A32" s="5"/>
      <c r="B32" s="5"/>
      <c r="C32" s="5"/>
      <c r="D32" s="5"/>
      <c r="E32" s="5"/>
      <c r="F32" s="5"/>
      <c r="G32" s="5"/>
      <c r="H32" s="5"/>
      <c r="I32" s="5"/>
      <c r="J32" s="5"/>
      <c r="K32" s="5"/>
      <c r="L32" s="5"/>
      <c r="M32" s="5"/>
      <c r="N32" s="5"/>
      <c r="O32" s="5"/>
      <c r="P32" s="5"/>
    </row>
    <row r="33" spans="1:16" hidden="1" x14ac:dyDescent="0.25">
      <c r="A33" s="5"/>
      <c r="B33" s="5"/>
      <c r="C33" s="5"/>
      <c r="D33" s="5"/>
      <c r="E33" s="5"/>
      <c r="F33" s="5"/>
      <c r="G33" s="5"/>
      <c r="H33" s="5"/>
      <c r="I33" s="5"/>
      <c r="J33" s="5"/>
      <c r="K33" s="5"/>
      <c r="L33" s="5"/>
      <c r="M33" s="5"/>
      <c r="N33" s="5"/>
      <c r="O33" s="5"/>
      <c r="P33" s="5"/>
    </row>
    <row r="34" spans="1:16" hidden="1" x14ac:dyDescent="0.25">
      <c r="A34" s="5"/>
      <c r="B34" s="5"/>
      <c r="C34" s="5"/>
      <c r="D34" s="5"/>
      <c r="E34" s="5"/>
      <c r="F34" s="5"/>
      <c r="G34" s="5"/>
      <c r="H34" s="5"/>
      <c r="I34" s="5"/>
      <c r="J34" s="5"/>
      <c r="K34" s="5"/>
      <c r="L34" s="5"/>
      <c r="M34" s="5"/>
      <c r="N34" s="5"/>
      <c r="O34" s="5"/>
      <c r="P34" s="5"/>
    </row>
    <row r="35" spans="1:16" hidden="1" x14ac:dyDescent="0.25">
      <c r="A35" s="5"/>
      <c r="B35" s="5"/>
      <c r="C35" s="5"/>
      <c r="D35" s="5"/>
      <c r="E35" s="5"/>
      <c r="F35" s="5"/>
      <c r="G35" s="5"/>
      <c r="H35" s="5"/>
      <c r="I35" s="5"/>
      <c r="J35" s="5"/>
      <c r="K35" s="5"/>
      <c r="L35" s="5"/>
      <c r="M35" s="5"/>
      <c r="N35" s="5"/>
      <c r="O35" s="5"/>
      <c r="P35" s="5"/>
    </row>
    <row r="36" spans="1:16" hidden="1" x14ac:dyDescent="0.25">
      <c r="A36" s="5"/>
      <c r="B36" s="5"/>
      <c r="C36" s="5"/>
      <c r="D36" s="5"/>
      <c r="E36" s="5"/>
      <c r="F36" s="5"/>
      <c r="G36" s="5"/>
      <c r="H36" s="5"/>
      <c r="I36" s="5"/>
      <c r="J36" s="5"/>
      <c r="K36" s="5"/>
      <c r="L36" s="5"/>
      <c r="M36" s="5"/>
      <c r="N36" s="5"/>
      <c r="O36" s="5"/>
      <c r="P36" s="5"/>
    </row>
    <row r="37" spans="1:16" hidden="1" x14ac:dyDescent="0.25">
      <c r="A37" s="5"/>
      <c r="B37" s="5"/>
      <c r="C37" s="5"/>
      <c r="D37" s="5"/>
      <c r="E37" s="5"/>
      <c r="F37" s="5"/>
      <c r="G37" s="5"/>
      <c r="H37" s="5"/>
      <c r="I37" s="5"/>
      <c r="J37" s="5"/>
      <c r="K37" s="5"/>
      <c r="L37" s="5"/>
      <c r="M37" s="5"/>
      <c r="N37" s="5"/>
      <c r="O37" s="5"/>
      <c r="P37" s="5"/>
    </row>
    <row r="38" spans="1:16" hidden="1" x14ac:dyDescent="0.25">
      <c r="A38" s="5"/>
      <c r="B38" s="5"/>
      <c r="C38" s="5"/>
      <c r="D38" s="5"/>
      <c r="E38" s="5"/>
      <c r="F38" s="5"/>
      <c r="G38" s="5"/>
      <c r="H38" s="5"/>
      <c r="I38" s="5"/>
      <c r="J38" s="5"/>
      <c r="K38" s="5"/>
      <c r="L38" s="5"/>
      <c r="M38" s="5"/>
      <c r="N38" s="5"/>
      <c r="O38" s="5"/>
      <c r="P38" s="5"/>
    </row>
    <row r="39" spans="1:16" hidden="1" x14ac:dyDescent="0.25">
      <c r="A39" s="5"/>
      <c r="B39" s="5"/>
      <c r="C39" s="5"/>
      <c r="D39" s="5"/>
      <c r="E39" s="5"/>
      <c r="F39" s="5"/>
      <c r="G39" s="5"/>
      <c r="H39" s="5"/>
      <c r="I39" s="5"/>
      <c r="J39" s="5"/>
      <c r="K39" s="5"/>
      <c r="L39" s="5"/>
      <c r="M39" s="5"/>
      <c r="N39" s="5"/>
      <c r="O39" s="5"/>
      <c r="P39" s="5"/>
    </row>
    <row r="40" spans="1:16" hidden="1" x14ac:dyDescent="0.25">
      <c r="A40" s="5"/>
      <c r="B40" s="5"/>
      <c r="C40" s="5"/>
      <c r="D40" s="5"/>
      <c r="E40" s="5"/>
      <c r="F40" s="5"/>
      <c r="G40" s="5"/>
      <c r="H40" s="5"/>
      <c r="I40" s="5"/>
      <c r="J40" s="5"/>
      <c r="K40" s="5"/>
      <c r="L40" s="5"/>
      <c r="M40" s="5"/>
      <c r="N40" s="5"/>
      <c r="O40" s="5"/>
      <c r="P40" s="5"/>
    </row>
    <row r="41" spans="1:16" hidden="1" x14ac:dyDescent="0.25">
      <c r="A41" s="5"/>
      <c r="B41" s="5"/>
      <c r="C41" s="5"/>
      <c r="D41" s="5"/>
      <c r="E41" s="5"/>
      <c r="F41" s="5"/>
      <c r="G41" s="5"/>
      <c r="H41" s="5"/>
      <c r="I41" s="5"/>
      <c r="J41" s="5"/>
      <c r="K41" s="5"/>
      <c r="L41" s="5"/>
      <c r="M41" s="5"/>
      <c r="N41" s="5"/>
      <c r="O41" s="5"/>
      <c r="P41" s="5"/>
    </row>
    <row r="42" spans="1:16" hidden="1" x14ac:dyDescent="0.25">
      <c r="A42" s="5"/>
      <c r="B42" s="5"/>
      <c r="C42" s="5"/>
      <c r="D42" s="5"/>
      <c r="E42" s="5"/>
      <c r="F42" s="5"/>
      <c r="G42" s="5"/>
      <c r="H42" s="5"/>
      <c r="I42" s="5"/>
      <c r="J42" s="5"/>
      <c r="K42" s="5"/>
      <c r="L42" s="5"/>
      <c r="M42" s="5"/>
      <c r="N42" s="5"/>
      <c r="O42" s="5"/>
      <c r="P42" s="5"/>
    </row>
    <row r="43" spans="1:16" hidden="1" x14ac:dyDescent="0.25">
      <c r="A43" s="5"/>
      <c r="B43" s="5"/>
      <c r="C43" s="5"/>
      <c r="D43" s="5"/>
      <c r="E43" s="5"/>
      <c r="F43" s="5"/>
      <c r="G43" s="5"/>
      <c r="H43" s="5"/>
      <c r="I43" s="5"/>
      <c r="J43" s="5"/>
      <c r="K43" s="5"/>
      <c r="L43" s="5"/>
      <c r="M43" s="5"/>
      <c r="N43" s="5"/>
      <c r="O43" s="5"/>
      <c r="P43" s="5"/>
    </row>
    <row r="44" spans="1:16" hidden="1" x14ac:dyDescent="0.25">
      <c r="A44" s="5"/>
      <c r="B44" s="5"/>
      <c r="C44" s="5"/>
      <c r="D44" s="5"/>
      <c r="E44" s="5"/>
      <c r="F44" s="5"/>
      <c r="G44" s="5"/>
      <c r="H44" s="5"/>
      <c r="I44" s="5"/>
      <c r="J44" s="5"/>
      <c r="K44" s="5"/>
      <c r="L44" s="5"/>
      <c r="M44" s="5"/>
      <c r="N44" s="5"/>
      <c r="O44" s="5"/>
      <c r="P44" s="5"/>
    </row>
    <row r="45" spans="1:16" x14ac:dyDescent="0.25">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topLeftCell="B1" workbookViewId="0">
      <selection activeCell="D29" sqref="D29"/>
    </sheetView>
  </sheetViews>
  <sheetFormatPr defaultColWidth="0" defaultRowHeight="14.5" x14ac:dyDescent="0.35"/>
  <cols>
    <col min="1" max="1" width="8.81640625" customWidth="1"/>
    <col min="2" max="2" width="37.453125" bestFit="1" customWidth="1"/>
    <col min="3" max="3" width="50.1796875" customWidth="1"/>
    <col min="4" max="4" width="91.7265625" customWidth="1"/>
    <col min="5" max="5" width="0" hidden="1" customWidth="1"/>
    <col min="6" max="16384" width="8.81640625" hidden="1"/>
  </cols>
  <sheetData>
    <row r="1" spans="1:4" x14ac:dyDescent="0.35">
      <c r="A1" s="20"/>
      <c r="B1" s="20"/>
      <c r="C1" s="20"/>
      <c r="D1" s="20"/>
    </row>
    <row r="2" spans="1:4" x14ac:dyDescent="0.35">
      <c r="A2" s="20"/>
      <c r="B2" s="20"/>
      <c r="C2" s="20"/>
      <c r="D2" s="20"/>
    </row>
    <row r="3" spans="1:4" x14ac:dyDescent="0.35">
      <c r="A3" s="22"/>
      <c r="B3" s="22"/>
      <c r="C3" s="22"/>
      <c r="D3" s="22"/>
    </row>
    <row r="4" spans="1:4" x14ac:dyDescent="0.35">
      <c r="A4" s="21"/>
      <c r="B4" s="21"/>
      <c r="C4" s="21"/>
      <c r="D4" s="21"/>
    </row>
    <row r="5" spans="1:4" x14ac:dyDescent="0.35">
      <c r="A5" s="21"/>
      <c r="B5" s="66" t="s">
        <v>1</v>
      </c>
      <c r="C5" s="67" t="s">
        <v>2</v>
      </c>
      <c r="D5" s="68" t="s">
        <v>3</v>
      </c>
    </row>
    <row r="6" spans="1:4" x14ac:dyDescent="0.35">
      <c r="A6" s="21"/>
      <c r="B6" s="64" t="s">
        <v>4</v>
      </c>
      <c r="C6" s="195" t="s">
        <v>5</v>
      </c>
      <c r="D6" s="65" t="s">
        <v>6</v>
      </c>
    </row>
    <row r="7" spans="1:4" x14ac:dyDescent="0.35">
      <c r="A7" s="21"/>
      <c r="B7" s="64" t="s">
        <v>4</v>
      </c>
      <c r="C7" s="195" t="s">
        <v>7</v>
      </c>
      <c r="D7" s="65" t="s">
        <v>8</v>
      </c>
    </row>
    <row r="8" spans="1:4" x14ac:dyDescent="0.35">
      <c r="A8" s="21"/>
      <c r="B8" s="64" t="s">
        <v>9</v>
      </c>
      <c r="C8" s="195" t="s">
        <v>10</v>
      </c>
      <c r="D8" s="65" t="s">
        <v>11</v>
      </c>
    </row>
    <row r="9" spans="1:4" x14ac:dyDescent="0.35">
      <c r="A9" s="21"/>
      <c r="B9" s="64" t="s">
        <v>9</v>
      </c>
      <c r="C9" s="195" t="s">
        <v>12</v>
      </c>
      <c r="D9" s="71" t="s">
        <v>13</v>
      </c>
    </row>
    <row r="10" spans="1:4" x14ac:dyDescent="0.35">
      <c r="A10" s="21"/>
      <c r="B10" s="64" t="s">
        <v>9</v>
      </c>
      <c r="C10" s="195" t="s">
        <v>14</v>
      </c>
      <c r="D10" s="71" t="s">
        <v>15</v>
      </c>
    </row>
    <row r="11" spans="1:4" x14ac:dyDescent="0.35">
      <c r="A11" s="21"/>
      <c r="B11" s="64" t="s">
        <v>9</v>
      </c>
      <c r="C11" s="195" t="s">
        <v>16</v>
      </c>
      <c r="D11" s="71" t="s">
        <v>17</v>
      </c>
    </row>
    <row r="12" spans="1:4" x14ac:dyDescent="0.35">
      <c r="A12" s="21"/>
      <c r="B12" s="64" t="s">
        <v>9</v>
      </c>
      <c r="C12" s="195" t="s">
        <v>18</v>
      </c>
      <c r="D12" s="65" t="s">
        <v>19</v>
      </c>
    </row>
    <row r="13" spans="1:4" x14ac:dyDescent="0.35">
      <c r="A13" s="21"/>
      <c r="B13" s="64" t="s">
        <v>9</v>
      </c>
      <c r="C13" s="195" t="s">
        <v>20</v>
      </c>
      <c r="D13" s="65" t="s">
        <v>21</v>
      </c>
    </row>
    <row r="14" spans="1:4" x14ac:dyDescent="0.35">
      <c r="A14" s="21"/>
      <c r="B14" s="64" t="s">
        <v>9</v>
      </c>
      <c r="C14" s="195" t="s">
        <v>22</v>
      </c>
      <c r="D14" s="65" t="s">
        <v>23</v>
      </c>
    </row>
    <row r="15" spans="1:4" x14ac:dyDescent="0.35">
      <c r="A15" s="4"/>
      <c r="B15" s="64" t="s">
        <v>9</v>
      </c>
      <c r="C15" s="195" t="s">
        <v>24</v>
      </c>
      <c r="D15" s="65" t="s">
        <v>25</v>
      </c>
    </row>
    <row r="16" spans="1:4" x14ac:dyDescent="0.35">
      <c r="A16" s="4"/>
      <c r="B16" s="64" t="s">
        <v>9</v>
      </c>
      <c r="C16" s="195" t="s">
        <v>26</v>
      </c>
      <c r="D16" s="71" t="s">
        <v>27</v>
      </c>
    </row>
    <row r="17" spans="1:4" x14ac:dyDescent="0.35">
      <c r="A17" s="4"/>
      <c r="B17" s="64" t="s">
        <v>9</v>
      </c>
      <c r="C17" s="195" t="s">
        <v>28</v>
      </c>
      <c r="D17" s="69" t="s">
        <v>29</v>
      </c>
    </row>
    <row r="18" spans="1:4" s="4" customFormat="1" x14ac:dyDescent="0.35">
      <c r="B18" s="64" t="s">
        <v>30</v>
      </c>
      <c r="C18" s="195" t="s">
        <v>31</v>
      </c>
      <c r="D18" s="71" t="s">
        <v>32</v>
      </c>
    </row>
    <row r="19" spans="1:4" s="4" customFormat="1" x14ac:dyDescent="0.35">
      <c r="B19" s="64" t="s">
        <v>30</v>
      </c>
      <c r="C19" s="195" t="s">
        <v>33</v>
      </c>
      <c r="D19" s="71" t="s">
        <v>34</v>
      </c>
    </row>
    <row r="20" spans="1:4" s="45" customFormat="1" x14ac:dyDescent="0.35">
      <c r="A20"/>
      <c r="B20" s="64" t="s">
        <v>30</v>
      </c>
      <c r="C20" s="195" t="s">
        <v>35</v>
      </c>
      <c r="D20" s="71" t="s">
        <v>36</v>
      </c>
    </row>
    <row r="21" spans="1:4" s="4" customFormat="1" x14ac:dyDescent="0.35">
      <c r="B21" s="64" t="s">
        <v>30</v>
      </c>
      <c r="C21" s="195" t="s">
        <v>37</v>
      </c>
      <c r="D21" s="71" t="s">
        <v>38</v>
      </c>
    </row>
    <row r="22" spans="1:4" s="4" customFormat="1" x14ac:dyDescent="0.35">
      <c r="B22" s="64" t="s">
        <v>30</v>
      </c>
      <c r="C22" s="195" t="s">
        <v>39</v>
      </c>
      <c r="D22" s="71" t="s">
        <v>40</v>
      </c>
    </row>
    <row r="23" spans="1:4" s="4" customFormat="1" x14ac:dyDescent="0.35">
      <c r="B23" s="64" t="s">
        <v>30</v>
      </c>
      <c r="C23" s="195" t="s">
        <v>41</v>
      </c>
      <c r="D23" s="65" t="s">
        <v>42</v>
      </c>
    </row>
    <row r="24" spans="1:4" s="4" customFormat="1" x14ac:dyDescent="0.35">
      <c r="B24" s="64" t="s">
        <v>30</v>
      </c>
      <c r="C24" s="195" t="s">
        <v>43</v>
      </c>
      <c r="D24" s="65" t="s">
        <v>44</v>
      </c>
    </row>
    <row r="25" spans="1:4" s="4" customFormat="1" x14ac:dyDescent="0.35">
      <c r="B25" s="64" t="s">
        <v>30</v>
      </c>
      <c r="C25" s="195" t="s">
        <v>45</v>
      </c>
      <c r="D25" s="65" t="s">
        <v>46</v>
      </c>
    </row>
    <row r="26" spans="1:4" s="4" customFormat="1" x14ac:dyDescent="0.35">
      <c r="B26" s="64" t="s">
        <v>30</v>
      </c>
      <c r="C26" s="195" t="s">
        <v>47</v>
      </c>
      <c r="D26" s="71" t="s">
        <v>48</v>
      </c>
    </row>
    <row r="27" spans="1:4" s="4" customFormat="1" x14ac:dyDescent="0.35">
      <c r="B27" s="64" t="s">
        <v>30</v>
      </c>
      <c r="C27" s="195" t="s">
        <v>49</v>
      </c>
      <c r="D27" s="72" t="s">
        <v>50</v>
      </c>
    </row>
    <row r="28" spans="1:4" s="4" customFormat="1" x14ac:dyDescent="0.35">
      <c r="B28" s="64" t="s">
        <v>51</v>
      </c>
      <c r="C28" s="195" t="s">
        <v>52</v>
      </c>
      <c r="D28" s="196" t="s">
        <v>53</v>
      </c>
    </row>
    <row r="29" spans="1:4" s="4" customFormat="1" x14ac:dyDescent="0.35">
      <c r="B29" s="64" t="s">
        <v>51</v>
      </c>
      <c r="C29" s="195" t="s">
        <v>54</v>
      </c>
      <c r="D29" s="65" t="s">
        <v>55</v>
      </c>
    </row>
    <row r="30" spans="1:4" s="4" customFormat="1" x14ac:dyDescent="0.35">
      <c r="B30" s="64" t="s">
        <v>51</v>
      </c>
      <c r="C30" s="195" t="s">
        <v>56</v>
      </c>
      <c r="D30" s="71" t="s">
        <v>57</v>
      </c>
    </row>
    <row r="31" spans="1:4" s="4" customFormat="1" x14ac:dyDescent="0.35">
      <c r="B31"/>
      <c r="C31"/>
      <c r="D31"/>
    </row>
    <row r="32" spans="1:4" s="4" customFormat="1" x14ac:dyDescent="0.35">
      <c r="B32"/>
      <c r="C32"/>
      <c r="D32"/>
    </row>
    <row r="33" spans="1:4" s="4" customFormat="1" x14ac:dyDescent="0.35">
      <c r="B33"/>
      <c r="C33"/>
      <c r="D33"/>
    </row>
    <row r="34" spans="1:4" s="4" customFormat="1" x14ac:dyDescent="0.35">
      <c r="B34"/>
      <c r="C34"/>
      <c r="D34"/>
    </row>
    <row r="35" spans="1:4" s="4" customFormat="1" x14ac:dyDescent="0.35">
      <c r="B35"/>
      <c r="C35"/>
      <c r="D35"/>
    </row>
    <row r="36" spans="1:4" x14ac:dyDescent="0.35">
      <c r="A36" s="4"/>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5" x14ac:dyDescent="0.35"/>
  <cols>
    <col min="1" max="1" width="1.81640625" customWidth="1"/>
    <col min="2" max="2" width="21.453125" bestFit="1" customWidth="1"/>
    <col min="3" max="3" width="11.1796875" bestFit="1" customWidth="1"/>
    <col min="4" max="4" width="9.54296875" bestFit="1" customWidth="1"/>
    <col min="5" max="5" width="6" bestFit="1" customWidth="1"/>
    <col min="6" max="7" width="4" bestFit="1" customWidth="1"/>
    <col min="8" max="8" width="12.54296875" bestFit="1" customWidth="1"/>
    <col min="9" max="9" width="7.81640625" style="24" customWidth="1"/>
    <col min="11" max="13" width="4" bestFit="1" customWidth="1"/>
    <col min="14" max="14" width="14.453125" bestFit="1" customWidth="1"/>
    <col min="15" max="15" width="4.81640625" customWidth="1"/>
    <col min="17" max="17" width="3.81640625" bestFit="1" customWidth="1"/>
  </cols>
  <sheetData>
    <row r="1" spans="2:17" x14ac:dyDescent="0.35">
      <c r="B1" s="23"/>
      <c r="C1" s="23"/>
      <c r="D1" s="23" t="s">
        <v>58</v>
      </c>
      <c r="E1" s="23"/>
      <c r="F1" s="23"/>
      <c r="G1" s="23"/>
      <c r="H1" s="23" t="s">
        <v>59</v>
      </c>
      <c r="I1" s="34"/>
      <c r="J1" s="23"/>
      <c r="K1" s="23"/>
      <c r="L1" s="23"/>
      <c r="M1" s="23"/>
      <c r="N1" s="23" t="s">
        <v>60</v>
      </c>
      <c r="O1" s="23"/>
      <c r="P1" s="23"/>
      <c r="Q1" s="23"/>
    </row>
    <row r="2" spans="2:17" x14ac:dyDescent="0.35">
      <c r="B2" s="23" t="s">
        <v>61</v>
      </c>
      <c r="C2" s="23" t="s">
        <v>62</v>
      </c>
      <c r="D2" s="23" t="s">
        <v>63</v>
      </c>
      <c r="E2" s="23">
        <v>1</v>
      </c>
      <c r="F2" s="23">
        <v>500</v>
      </c>
      <c r="G2" s="23">
        <v>500</v>
      </c>
      <c r="H2" s="23"/>
      <c r="I2" s="34"/>
      <c r="J2" s="23" t="s">
        <v>62</v>
      </c>
      <c r="K2" s="23">
        <v>1</v>
      </c>
      <c r="L2" s="23">
        <v>500</v>
      </c>
      <c r="M2" s="23">
        <v>500</v>
      </c>
      <c r="N2" s="23"/>
      <c r="O2" s="23"/>
      <c r="P2" s="23" t="s">
        <v>64</v>
      </c>
      <c r="Q2" s="23" t="s">
        <v>63</v>
      </c>
    </row>
    <row r="3" spans="2:17" x14ac:dyDescent="0.35">
      <c r="B3" s="23" t="s">
        <v>65</v>
      </c>
      <c r="C3" s="23" t="s">
        <v>62</v>
      </c>
      <c r="D3" s="23">
        <v>25</v>
      </c>
      <c r="E3" s="23">
        <v>25</v>
      </c>
      <c r="F3" s="23">
        <v>29</v>
      </c>
      <c r="G3" s="23">
        <v>5</v>
      </c>
      <c r="H3" s="23" t="s">
        <v>66</v>
      </c>
      <c r="I3" s="34"/>
      <c r="J3" s="23" t="s">
        <v>62</v>
      </c>
      <c r="K3" s="23">
        <v>224</v>
      </c>
      <c r="L3" s="23">
        <v>228</v>
      </c>
      <c r="M3" s="23">
        <v>5</v>
      </c>
      <c r="N3" s="23" t="s">
        <v>67</v>
      </c>
      <c r="O3" s="23"/>
      <c r="P3" s="23" t="s">
        <v>68</v>
      </c>
      <c r="Q3" s="23" t="s">
        <v>69</v>
      </c>
    </row>
    <row r="4" spans="2:17" x14ac:dyDescent="0.35">
      <c r="B4" s="23" t="s">
        <v>70</v>
      </c>
      <c r="C4" s="23" t="s">
        <v>62</v>
      </c>
      <c r="D4" s="23">
        <v>26</v>
      </c>
      <c r="E4" s="23">
        <v>69</v>
      </c>
      <c r="F4" s="23">
        <v>73</v>
      </c>
      <c r="G4" s="23">
        <v>5</v>
      </c>
      <c r="H4" s="23" t="s">
        <v>71</v>
      </c>
      <c r="I4" s="34"/>
      <c r="J4" s="23" t="s">
        <v>62</v>
      </c>
      <c r="K4" s="23">
        <v>241</v>
      </c>
      <c r="L4" s="23">
        <v>246</v>
      </c>
      <c r="M4" s="23">
        <v>6</v>
      </c>
      <c r="N4" s="23" t="s">
        <v>72</v>
      </c>
      <c r="O4" s="23"/>
      <c r="P4" s="23" t="s">
        <v>73</v>
      </c>
      <c r="Q4" s="23" t="s">
        <v>69</v>
      </c>
    </row>
    <row r="5" spans="2:17" x14ac:dyDescent="0.35">
      <c r="B5" s="23" t="s">
        <v>74</v>
      </c>
      <c r="C5" s="23" t="s">
        <v>62</v>
      </c>
      <c r="D5" s="23">
        <v>26</v>
      </c>
      <c r="E5" s="23">
        <v>74</v>
      </c>
      <c r="F5" s="23">
        <v>78</v>
      </c>
      <c r="G5" s="23">
        <v>5</v>
      </c>
      <c r="H5" s="23" t="s">
        <v>75</v>
      </c>
      <c r="I5" s="34"/>
      <c r="J5" s="23" t="s">
        <v>62</v>
      </c>
      <c r="K5" s="23">
        <v>241</v>
      </c>
      <c r="L5" s="23">
        <v>246</v>
      </c>
      <c r="M5" s="23">
        <v>6</v>
      </c>
      <c r="N5" s="23" t="s">
        <v>72</v>
      </c>
      <c r="O5" s="23"/>
      <c r="P5" s="23" t="s">
        <v>73</v>
      </c>
      <c r="Q5" s="23" t="s">
        <v>76</v>
      </c>
    </row>
    <row r="6" spans="2:17" x14ac:dyDescent="0.35">
      <c r="B6" s="23" t="s">
        <v>77</v>
      </c>
      <c r="C6" s="23" t="s">
        <v>62</v>
      </c>
      <c r="D6" s="23">
        <v>532</v>
      </c>
      <c r="E6" s="23">
        <v>79</v>
      </c>
      <c r="F6" s="23">
        <v>83</v>
      </c>
      <c r="G6" s="23">
        <v>5</v>
      </c>
      <c r="H6" s="23" t="s">
        <v>78</v>
      </c>
      <c r="I6" s="34"/>
      <c r="J6" s="23" t="s">
        <v>62</v>
      </c>
      <c r="K6" s="23">
        <v>247</v>
      </c>
      <c r="L6" s="23">
        <v>247</v>
      </c>
      <c r="M6" s="23">
        <v>1</v>
      </c>
      <c r="N6" s="23" t="s">
        <v>79</v>
      </c>
      <c r="O6" s="23" t="s">
        <v>80</v>
      </c>
      <c r="P6" s="23" t="s">
        <v>81</v>
      </c>
      <c r="Q6" s="23" t="s">
        <v>76</v>
      </c>
    </row>
    <row r="7" spans="2:17" x14ac:dyDescent="0.35">
      <c r="B7" s="23" t="s">
        <v>82</v>
      </c>
      <c r="C7" s="23" t="s">
        <v>62</v>
      </c>
      <c r="D7" s="23">
        <v>27</v>
      </c>
      <c r="E7" s="23">
        <v>85</v>
      </c>
      <c r="F7" s="23">
        <v>89</v>
      </c>
      <c r="G7" s="23">
        <v>5</v>
      </c>
      <c r="H7" s="23" t="s">
        <v>83</v>
      </c>
      <c r="I7" s="34"/>
      <c r="J7" s="23" t="s">
        <v>62</v>
      </c>
      <c r="K7" s="23">
        <v>248</v>
      </c>
      <c r="L7" s="23">
        <v>248</v>
      </c>
      <c r="M7" s="23">
        <v>1</v>
      </c>
      <c r="N7" s="23" t="s">
        <v>84</v>
      </c>
      <c r="O7" s="23"/>
      <c r="P7" s="23" t="s">
        <v>85</v>
      </c>
      <c r="Q7" s="23" t="s">
        <v>69</v>
      </c>
    </row>
    <row r="8" spans="2:17" x14ac:dyDescent="0.35">
      <c r="B8" s="23" t="s">
        <v>86</v>
      </c>
      <c r="C8" s="23" t="s">
        <v>62</v>
      </c>
      <c r="D8" s="23">
        <v>28</v>
      </c>
      <c r="E8" s="23">
        <v>90</v>
      </c>
      <c r="F8" s="23">
        <v>94</v>
      </c>
      <c r="G8" s="23">
        <v>5</v>
      </c>
      <c r="H8" s="23" t="s">
        <v>87</v>
      </c>
      <c r="I8" s="34"/>
      <c r="J8" s="23" t="s">
        <v>62</v>
      </c>
      <c r="K8" s="23">
        <v>249</v>
      </c>
      <c r="L8" s="23">
        <v>249</v>
      </c>
      <c r="M8" s="23">
        <v>1</v>
      </c>
      <c r="N8" s="23" t="s">
        <v>88</v>
      </c>
      <c r="O8" s="23"/>
      <c r="P8" s="23" t="s">
        <v>89</v>
      </c>
      <c r="Q8" s="23" t="s">
        <v>69</v>
      </c>
    </row>
    <row r="9" spans="2:17" x14ac:dyDescent="0.35">
      <c r="B9" s="23" t="s">
        <v>90</v>
      </c>
      <c r="C9" s="23" t="s">
        <v>62</v>
      </c>
      <c r="D9" s="23">
        <v>29</v>
      </c>
      <c r="E9" s="23">
        <v>95</v>
      </c>
      <c r="F9" s="23">
        <v>99</v>
      </c>
      <c r="G9" s="23">
        <v>5</v>
      </c>
      <c r="H9" s="23" t="s">
        <v>91</v>
      </c>
      <c r="I9" s="34"/>
      <c r="J9" s="23" t="s">
        <v>62</v>
      </c>
      <c r="K9" s="23">
        <v>250</v>
      </c>
      <c r="L9" s="23">
        <v>254</v>
      </c>
      <c r="M9" s="23">
        <v>5</v>
      </c>
      <c r="N9" s="23" t="s">
        <v>92</v>
      </c>
      <c r="O9" s="23"/>
      <c r="P9" s="23" t="s">
        <v>93</v>
      </c>
      <c r="Q9" s="23" t="s">
        <v>69</v>
      </c>
    </row>
    <row r="10" spans="2:17" x14ac:dyDescent="0.35">
      <c r="B10" s="23" t="s">
        <v>94</v>
      </c>
      <c r="C10" s="23" t="s">
        <v>62</v>
      </c>
      <c r="D10" s="23">
        <v>30</v>
      </c>
      <c r="E10" s="23">
        <v>152</v>
      </c>
      <c r="F10" s="23">
        <v>156</v>
      </c>
      <c r="G10" s="23">
        <v>5</v>
      </c>
      <c r="H10" s="23" t="s">
        <v>95</v>
      </c>
      <c r="I10" s="34"/>
      <c r="J10" s="23" t="s">
        <v>62</v>
      </c>
      <c r="K10" s="23">
        <v>255</v>
      </c>
      <c r="L10" s="23">
        <v>256</v>
      </c>
      <c r="M10" s="23">
        <v>2</v>
      </c>
      <c r="N10" s="23" t="s">
        <v>96</v>
      </c>
      <c r="O10" s="23" t="s">
        <v>97</v>
      </c>
      <c r="P10" s="23" t="s">
        <v>98</v>
      </c>
      <c r="Q10" s="23" t="s">
        <v>69</v>
      </c>
    </row>
    <row r="11" spans="2:17" x14ac:dyDescent="0.35">
      <c r="B11" s="26" t="s">
        <v>99</v>
      </c>
      <c r="C11" s="26" t="s">
        <v>100</v>
      </c>
      <c r="D11" s="26" t="s">
        <v>63</v>
      </c>
      <c r="E11" s="26">
        <v>1</v>
      </c>
      <c r="F11" s="26">
        <v>500</v>
      </c>
      <c r="G11" s="26">
        <v>500</v>
      </c>
      <c r="H11" s="26"/>
      <c r="I11" s="36"/>
      <c r="J11" s="26" t="s">
        <v>100</v>
      </c>
      <c r="K11" s="26">
        <v>1</v>
      </c>
      <c r="L11" s="26">
        <v>500</v>
      </c>
      <c r="M11" s="26">
        <v>500</v>
      </c>
      <c r="N11" s="26"/>
      <c r="O11" s="26"/>
      <c r="P11" s="26" t="s">
        <v>64</v>
      </c>
      <c r="Q11" s="26" t="s">
        <v>63</v>
      </c>
    </row>
    <row r="12" spans="2:17" x14ac:dyDescent="0.35">
      <c r="B12" s="26" t="s">
        <v>101</v>
      </c>
      <c r="C12" s="26" t="s">
        <v>100</v>
      </c>
      <c r="D12" s="26" t="s">
        <v>63</v>
      </c>
      <c r="E12" s="26">
        <v>501</v>
      </c>
      <c r="F12" s="26">
        <v>999</v>
      </c>
      <c r="G12" s="26">
        <v>500</v>
      </c>
      <c r="H12" s="26"/>
      <c r="I12" s="36"/>
      <c r="J12" s="26" t="s">
        <v>100</v>
      </c>
      <c r="K12" s="26">
        <v>501</v>
      </c>
      <c r="L12" s="26">
        <v>999</v>
      </c>
      <c r="M12" s="26">
        <v>500</v>
      </c>
      <c r="N12" s="26"/>
      <c r="O12" s="26"/>
      <c r="P12" s="26" t="s">
        <v>64</v>
      </c>
      <c r="Q12" s="26" t="s">
        <v>63</v>
      </c>
    </row>
    <row r="13" spans="2:17" x14ac:dyDescent="0.35">
      <c r="B13" s="26" t="s">
        <v>102</v>
      </c>
      <c r="C13" s="26" t="s">
        <v>100</v>
      </c>
      <c r="D13" s="26">
        <v>508</v>
      </c>
      <c r="E13" s="26">
        <v>39</v>
      </c>
      <c r="F13" s="26">
        <v>43</v>
      </c>
      <c r="G13" s="26">
        <v>5</v>
      </c>
      <c r="H13" s="26" t="s">
        <v>103</v>
      </c>
      <c r="I13" s="36"/>
      <c r="J13" s="26" t="s">
        <v>100</v>
      </c>
      <c r="K13" s="26">
        <v>474</v>
      </c>
      <c r="L13" s="26">
        <v>477</v>
      </c>
      <c r="M13" s="26">
        <v>4</v>
      </c>
      <c r="N13" s="26" t="s">
        <v>104</v>
      </c>
      <c r="O13" s="26"/>
      <c r="P13" s="26" t="s">
        <v>105</v>
      </c>
      <c r="Q13" s="26" t="s">
        <v>76</v>
      </c>
    </row>
    <row r="14" spans="2:17" x14ac:dyDescent="0.35">
      <c r="B14" s="26" t="s">
        <v>106</v>
      </c>
      <c r="C14" s="26" t="s">
        <v>100</v>
      </c>
      <c r="D14" s="26">
        <v>20</v>
      </c>
      <c r="E14" s="26">
        <v>86</v>
      </c>
      <c r="F14" s="26">
        <v>90</v>
      </c>
      <c r="G14" s="26">
        <v>5</v>
      </c>
      <c r="H14" s="26" t="s">
        <v>107</v>
      </c>
      <c r="I14" s="36"/>
      <c r="J14" s="26" t="s">
        <v>100</v>
      </c>
      <c r="K14" s="26">
        <v>478</v>
      </c>
      <c r="L14" s="26">
        <v>482</v>
      </c>
      <c r="M14" s="26">
        <v>5</v>
      </c>
      <c r="N14" s="26" t="s">
        <v>108</v>
      </c>
      <c r="O14" s="26"/>
      <c r="P14" s="26" t="s">
        <v>109</v>
      </c>
      <c r="Q14" s="26" t="s">
        <v>69</v>
      </c>
    </row>
    <row r="15" spans="2:17" x14ac:dyDescent="0.35">
      <c r="B15" s="26" t="s">
        <v>110</v>
      </c>
      <c r="C15" s="26" t="s">
        <v>100</v>
      </c>
      <c r="D15" s="26">
        <v>32</v>
      </c>
      <c r="E15" s="26">
        <v>91</v>
      </c>
      <c r="F15" s="26">
        <v>95</v>
      </c>
      <c r="G15" s="26">
        <v>5</v>
      </c>
      <c r="H15" s="26" t="s">
        <v>111</v>
      </c>
      <c r="I15" s="36"/>
      <c r="J15" s="26" t="s">
        <v>100</v>
      </c>
      <c r="K15" s="26">
        <v>483</v>
      </c>
      <c r="L15" s="26">
        <v>487</v>
      </c>
      <c r="M15" s="26">
        <v>5</v>
      </c>
      <c r="N15" s="26" t="s">
        <v>112</v>
      </c>
      <c r="O15" s="26"/>
      <c r="P15" s="26" t="s">
        <v>113</v>
      </c>
      <c r="Q15" s="26" t="s">
        <v>69</v>
      </c>
    </row>
    <row r="16" spans="2:17" x14ac:dyDescent="0.35">
      <c r="B16" s="26" t="s">
        <v>114</v>
      </c>
      <c r="C16" s="26" t="s">
        <v>100</v>
      </c>
      <c r="D16" s="26">
        <v>13</v>
      </c>
      <c r="E16" s="26">
        <v>96</v>
      </c>
      <c r="F16" s="26">
        <v>100</v>
      </c>
      <c r="G16" s="26">
        <v>5</v>
      </c>
      <c r="H16" s="26" t="s">
        <v>115</v>
      </c>
      <c r="I16" s="36"/>
      <c r="J16" s="26" t="s">
        <v>100</v>
      </c>
      <c r="K16" s="26">
        <v>488</v>
      </c>
      <c r="L16" s="26">
        <v>492</v>
      </c>
      <c r="M16" s="26">
        <v>5</v>
      </c>
      <c r="N16" s="26" t="s">
        <v>116</v>
      </c>
      <c r="O16" s="26"/>
      <c r="P16" s="26" t="s">
        <v>117</v>
      </c>
      <c r="Q16" s="26" t="s">
        <v>69</v>
      </c>
    </row>
    <row r="17" spans="2:17" x14ac:dyDescent="0.35">
      <c r="B17" s="26" t="s">
        <v>118</v>
      </c>
      <c r="C17" s="26" t="s">
        <v>100</v>
      </c>
      <c r="D17" s="26">
        <v>503</v>
      </c>
      <c r="E17" s="26">
        <v>119</v>
      </c>
      <c r="F17" s="26">
        <v>123</v>
      </c>
      <c r="G17" s="26">
        <v>5</v>
      </c>
      <c r="H17" s="26" t="s">
        <v>119</v>
      </c>
      <c r="I17" s="36"/>
      <c r="J17" s="26" t="s">
        <v>100</v>
      </c>
      <c r="K17" s="26">
        <v>493</v>
      </c>
      <c r="L17" s="26">
        <v>497</v>
      </c>
      <c r="M17" s="26">
        <v>5</v>
      </c>
      <c r="N17" s="26" t="s">
        <v>120</v>
      </c>
      <c r="O17" s="26"/>
      <c r="P17" s="26" t="s">
        <v>121</v>
      </c>
      <c r="Q17" s="26" t="s">
        <v>76</v>
      </c>
    </row>
    <row r="18" spans="2:17" x14ac:dyDescent="0.35">
      <c r="B18" s="26" t="s">
        <v>122</v>
      </c>
      <c r="C18" s="26" t="s">
        <v>100</v>
      </c>
      <c r="D18" s="26">
        <v>2</v>
      </c>
      <c r="E18" s="26">
        <v>124</v>
      </c>
      <c r="F18" s="26">
        <v>128</v>
      </c>
      <c r="G18" s="26">
        <v>5</v>
      </c>
      <c r="H18" s="26" t="s">
        <v>123</v>
      </c>
      <c r="I18" s="36"/>
      <c r="J18" s="26" t="s">
        <v>100</v>
      </c>
      <c r="K18" s="26">
        <v>498</v>
      </c>
      <c r="L18" s="26">
        <v>500</v>
      </c>
      <c r="M18" s="26">
        <v>3</v>
      </c>
      <c r="N18" s="26" t="s">
        <v>124</v>
      </c>
      <c r="O18" s="26"/>
      <c r="P18" s="26" t="s">
        <v>125</v>
      </c>
      <c r="Q18" s="26" t="s">
        <v>69</v>
      </c>
    </row>
    <row r="19" spans="2:17" x14ac:dyDescent="0.35">
      <c r="B19" s="26" t="s">
        <v>126</v>
      </c>
      <c r="C19" s="26" t="s">
        <v>100</v>
      </c>
      <c r="D19" s="26">
        <v>6</v>
      </c>
      <c r="E19" s="26">
        <v>146</v>
      </c>
      <c r="F19" s="26">
        <v>148</v>
      </c>
      <c r="G19" s="26">
        <v>3</v>
      </c>
      <c r="H19" s="26" t="s">
        <v>127</v>
      </c>
      <c r="I19" s="36"/>
      <c r="J19" s="26" t="s">
        <v>100</v>
      </c>
      <c r="K19" s="26">
        <v>501</v>
      </c>
      <c r="L19" s="26">
        <v>503</v>
      </c>
      <c r="M19" s="26">
        <v>3</v>
      </c>
      <c r="N19" s="26" t="s">
        <v>128</v>
      </c>
      <c r="O19" s="26"/>
      <c r="P19" s="26" t="s">
        <v>129</v>
      </c>
      <c r="Q19" s="26" t="s">
        <v>69</v>
      </c>
    </row>
    <row r="20" spans="2:17" x14ac:dyDescent="0.35">
      <c r="B20" s="26" t="s">
        <v>130</v>
      </c>
      <c r="C20" s="26" t="s">
        <v>100</v>
      </c>
      <c r="D20" s="26">
        <v>40</v>
      </c>
      <c r="E20" s="26">
        <v>199</v>
      </c>
      <c r="F20" s="26">
        <v>203</v>
      </c>
      <c r="G20" s="26">
        <v>5</v>
      </c>
      <c r="H20" s="26" t="s">
        <v>131</v>
      </c>
      <c r="I20" s="36"/>
      <c r="J20" s="26" t="s">
        <v>100</v>
      </c>
      <c r="K20" s="26">
        <v>504</v>
      </c>
      <c r="L20" s="26">
        <v>508</v>
      </c>
      <c r="M20" s="26">
        <v>5</v>
      </c>
      <c r="N20" s="26" t="s">
        <v>132</v>
      </c>
      <c r="O20" s="26"/>
      <c r="P20" s="26" t="s">
        <v>133</v>
      </c>
      <c r="Q20" s="26" t="s">
        <v>69</v>
      </c>
    </row>
    <row r="21" spans="2:17" x14ac:dyDescent="0.35">
      <c r="B21" s="26" t="s">
        <v>134</v>
      </c>
      <c r="C21" s="26" t="s">
        <v>100</v>
      </c>
      <c r="D21" s="26">
        <v>47</v>
      </c>
      <c r="E21" s="26">
        <v>253</v>
      </c>
      <c r="F21" s="26">
        <v>257</v>
      </c>
      <c r="G21" s="26">
        <v>5</v>
      </c>
      <c r="H21" s="26" t="s">
        <v>135</v>
      </c>
      <c r="I21" s="36"/>
      <c r="J21" s="26" t="s">
        <v>100</v>
      </c>
      <c r="K21" s="26">
        <v>509</v>
      </c>
      <c r="L21" s="26">
        <v>513</v>
      </c>
      <c r="M21" s="26">
        <v>5</v>
      </c>
      <c r="N21" s="26" t="s">
        <v>136</v>
      </c>
      <c r="O21" s="26"/>
      <c r="P21" s="26" t="s">
        <v>137</v>
      </c>
      <c r="Q21" s="26" t="s">
        <v>69</v>
      </c>
    </row>
    <row r="22" spans="2:17" x14ac:dyDescent="0.35">
      <c r="B22" s="26" t="s">
        <v>138</v>
      </c>
      <c r="C22" s="26" t="s">
        <v>100</v>
      </c>
      <c r="D22" s="26">
        <v>49</v>
      </c>
      <c r="E22" s="26">
        <v>258</v>
      </c>
      <c r="F22" s="26">
        <v>262</v>
      </c>
      <c r="G22" s="26">
        <v>5</v>
      </c>
      <c r="H22" s="26" t="s">
        <v>139</v>
      </c>
      <c r="I22" s="36"/>
      <c r="J22" s="26" t="s">
        <v>100</v>
      </c>
      <c r="K22" s="26">
        <v>514</v>
      </c>
      <c r="L22" s="26">
        <v>517</v>
      </c>
      <c r="M22" s="26">
        <v>4</v>
      </c>
      <c r="N22" s="26" t="s">
        <v>140</v>
      </c>
      <c r="O22" s="26"/>
      <c r="P22" s="26" t="s">
        <v>141</v>
      </c>
      <c r="Q22" s="26" t="s">
        <v>69</v>
      </c>
    </row>
    <row r="23" spans="2:17" x14ac:dyDescent="0.35">
      <c r="B23" s="26" t="s">
        <v>142</v>
      </c>
      <c r="C23" s="26" t="s">
        <v>100</v>
      </c>
      <c r="D23" s="26">
        <v>50</v>
      </c>
      <c r="E23" s="26">
        <v>280</v>
      </c>
      <c r="F23" s="26">
        <v>284</v>
      </c>
      <c r="G23" s="26">
        <v>5</v>
      </c>
      <c r="H23" s="26" t="s">
        <v>143</v>
      </c>
      <c r="I23" s="36"/>
      <c r="J23" s="26" t="s">
        <v>100</v>
      </c>
      <c r="K23" s="26">
        <v>518</v>
      </c>
      <c r="L23" s="26">
        <v>522</v>
      </c>
      <c r="M23" s="26">
        <v>5</v>
      </c>
      <c r="N23" s="26" t="s">
        <v>144</v>
      </c>
      <c r="O23" s="26"/>
      <c r="P23" s="26" t="s">
        <v>145</v>
      </c>
      <c r="Q23" s="26" t="s">
        <v>69</v>
      </c>
    </row>
    <row r="24" spans="2:17" x14ac:dyDescent="0.35">
      <c r="B24" s="26" t="s">
        <v>146</v>
      </c>
      <c r="C24" s="26" t="s">
        <v>100</v>
      </c>
      <c r="D24" s="26">
        <v>8</v>
      </c>
      <c r="E24" s="26">
        <v>285</v>
      </c>
      <c r="F24" s="26">
        <v>289</v>
      </c>
      <c r="G24" s="26">
        <v>5</v>
      </c>
      <c r="H24" s="26" t="s">
        <v>147</v>
      </c>
      <c r="I24" s="36"/>
      <c r="J24" s="26" t="s">
        <v>100</v>
      </c>
      <c r="K24" s="26">
        <v>523</v>
      </c>
      <c r="L24" s="26">
        <v>523</v>
      </c>
      <c r="M24" s="26">
        <v>1</v>
      </c>
      <c r="N24" s="26" t="s">
        <v>148</v>
      </c>
      <c r="O24" s="26"/>
      <c r="P24" s="26" t="s">
        <v>149</v>
      </c>
      <c r="Q24" s="26" t="s">
        <v>69</v>
      </c>
    </row>
    <row r="25" spans="2:17" x14ac:dyDescent="0.35">
      <c r="B25" s="26" t="s">
        <v>150</v>
      </c>
      <c r="C25" s="26" t="s">
        <v>100</v>
      </c>
      <c r="D25" s="26">
        <v>101</v>
      </c>
      <c r="E25" s="26">
        <v>589</v>
      </c>
      <c r="F25" s="26">
        <v>593</v>
      </c>
      <c r="G25" s="26">
        <v>5</v>
      </c>
      <c r="H25" s="26" t="s">
        <v>151</v>
      </c>
      <c r="I25" s="36"/>
      <c r="J25" s="26" t="s">
        <v>100</v>
      </c>
      <c r="K25" s="26">
        <v>594</v>
      </c>
      <c r="L25" s="26">
        <v>599</v>
      </c>
      <c r="M25" s="26">
        <v>6</v>
      </c>
      <c r="N25" s="26" t="s">
        <v>72</v>
      </c>
      <c r="O25" s="26"/>
      <c r="P25" s="26" t="s">
        <v>152</v>
      </c>
      <c r="Q25" s="26" t="s">
        <v>69</v>
      </c>
    </row>
    <row r="26" spans="2:17" x14ac:dyDescent="0.35">
      <c r="B26" s="23" t="s">
        <v>153</v>
      </c>
      <c r="C26" s="23" t="s">
        <v>154</v>
      </c>
      <c r="D26" s="23" t="s">
        <v>63</v>
      </c>
      <c r="E26" s="23">
        <v>1</v>
      </c>
      <c r="F26" s="23">
        <v>500</v>
      </c>
      <c r="G26" s="23">
        <v>500</v>
      </c>
      <c r="H26" s="23"/>
      <c r="I26" s="34"/>
      <c r="J26" s="23" t="s">
        <v>154</v>
      </c>
      <c r="K26" s="23">
        <v>1</v>
      </c>
      <c r="L26" s="23">
        <v>500</v>
      </c>
      <c r="M26" s="23">
        <v>500</v>
      </c>
      <c r="N26" s="23"/>
      <c r="O26" s="23"/>
      <c r="P26" s="23" t="s">
        <v>64</v>
      </c>
      <c r="Q26" s="23" t="s">
        <v>63</v>
      </c>
    </row>
    <row r="27" spans="2:17" x14ac:dyDescent="0.35">
      <c r="B27" s="23" t="s">
        <v>155</v>
      </c>
      <c r="C27" s="23" t="s">
        <v>154</v>
      </c>
      <c r="D27" s="23">
        <v>26</v>
      </c>
      <c r="E27" s="23">
        <v>169</v>
      </c>
      <c r="F27" s="23">
        <v>173</v>
      </c>
      <c r="G27" s="23">
        <v>5</v>
      </c>
      <c r="H27" s="23" t="s">
        <v>71</v>
      </c>
      <c r="I27" s="34"/>
      <c r="J27" s="23" t="s">
        <v>154</v>
      </c>
      <c r="K27" s="23">
        <v>175</v>
      </c>
      <c r="L27" s="23">
        <v>180</v>
      </c>
      <c r="M27" s="23">
        <v>6</v>
      </c>
      <c r="N27" s="23" t="s">
        <v>72</v>
      </c>
      <c r="O27" s="23"/>
      <c r="P27" s="23" t="s">
        <v>73</v>
      </c>
      <c r="Q27" s="23" t="s">
        <v>69</v>
      </c>
    </row>
    <row r="28" spans="2:17" ht="43.5" x14ac:dyDescent="0.35">
      <c r="B28" s="23" t="s">
        <v>156</v>
      </c>
      <c r="C28" s="23" t="s">
        <v>154</v>
      </c>
      <c r="D28" s="23">
        <v>81</v>
      </c>
      <c r="E28" s="23">
        <v>147</v>
      </c>
      <c r="F28" s="23">
        <v>151</v>
      </c>
      <c r="G28" s="23">
        <v>5</v>
      </c>
      <c r="H28" s="23" t="s">
        <v>157</v>
      </c>
      <c r="I28" s="34"/>
      <c r="J28" s="23" t="s">
        <v>154</v>
      </c>
      <c r="K28" s="23">
        <v>169</v>
      </c>
      <c r="L28" s="23">
        <v>180</v>
      </c>
      <c r="M28" s="23">
        <v>12</v>
      </c>
      <c r="N28" s="34" t="s">
        <v>158</v>
      </c>
      <c r="O28" s="23"/>
      <c r="P28" s="23" t="s">
        <v>159</v>
      </c>
      <c r="Q28" s="23" t="s">
        <v>69</v>
      </c>
    </row>
    <row r="31" spans="2:17" x14ac:dyDescent="0.35">
      <c r="B31" s="23" t="s">
        <v>160</v>
      </c>
      <c r="C31" s="23" t="s">
        <v>161</v>
      </c>
      <c r="D31" s="23" t="s">
        <v>63</v>
      </c>
      <c r="E31" s="23">
        <v>1</v>
      </c>
      <c r="F31" s="23">
        <v>500</v>
      </c>
      <c r="G31" s="23">
        <v>500</v>
      </c>
      <c r="H31" s="23"/>
      <c r="I31" s="34"/>
      <c r="J31" s="23" t="s">
        <v>161</v>
      </c>
      <c r="K31" s="23">
        <v>1</v>
      </c>
      <c r="L31" s="23">
        <v>500</v>
      </c>
      <c r="M31" s="23">
        <v>500</v>
      </c>
      <c r="N31" s="23"/>
      <c r="O31" s="23"/>
      <c r="P31" s="23" t="s">
        <v>64</v>
      </c>
      <c r="Q31" s="23" t="s">
        <v>63</v>
      </c>
    </row>
    <row r="32" spans="2:17" x14ac:dyDescent="0.35">
      <c r="B32" s="23" t="s">
        <v>162</v>
      </c>
      <c r="C32" s="23" t="s">
        <v>161</v>
      </c>
      <c r="D32" s="23" t="s">
        <v>63</v>
      </c>
      <c r="E32" s="23">
        <v>501</v>
      </c>
      <c r="F32" s="23">
        <v>500</v>
      </c>
      <c r="G32" s="23">
        <v>500</v>
      </c>
      <c r="H32" s="23"/>
      <c r="I32" s="34"/>
      <c r="J32" s="23" t="s">
        <v>161</v>
      </c>
      <c r="K32" s="23">
        <v>501</v>
      </c>
      <c r="L32" s="23">
        <v>500</v>
      </c>
      <c r="M32" s="23">
        <v>500</v>
      </c>
      <c r="N32" s="23"/>
      <c r="O32" s="23"/>
      <c r="P32" s="23" t="s">
        <v>64</v>
      </c>
      <c r="Q32" s="23" t="s">
        <v>63</v>
      </c>
    </row>
    <row r="33" spans="2:17" x14ac:dyDescent="0.35">
      <c r="B33" s="23" t="s">
        <v>163</v>
      </c>
      <c r="C33" s="23" t="s">
        <v>161</v>
      </c>
      <c r="D33" s="23">
        <v>159</v>
      </c>
      <c r="E33" s="23">
        <v>25</v>
      </c>
      <c r="F33" s="23">
        <v>29</v>
      </c>
      <c r="G33" s="23">
        <v>5</v>
      </c>
      <c r="H33" s="23" t="s">
        <v>164</v>
      </c>
      <c r="I33" s="34"/>
      <c r="J33" s="23" t="s">
        <v>161</v>
      </c>
      <c r="K33" s="23">
        <v>501</v>
      </c>
      <c r="L33" s="23">
        <v>505</v>
      </c>
      <c r="M33" s="23">
        <v>5</v>
      </c>
      <c r="N33" s="23" t="s">
        <v>165</v>
      </c>
      <c r="O33" s="23"/>
      <c r="P33" s="23" t="s">
        <v>166</v>
      </c>
      <c r="Q33" s="23" t="s">
        <v>69</v>
      </c>
    </row>
    <row r="34" spans="2:17" x14ac:dyDescent="0.35">
      <c r="B34" s="23" t="s">
        <v>167</v>
      </c>
      <c r="C34" s="23" t="s">
        <v>161</v>
      </c>
      <c r="D34" s="23">
        <v>160</v>
      </c>
      <c r="E34" s="23">
        <v>220</v>
      </c>
      <c r="F34" s="23">
        <v>224</v>
      </c>
      <c r="G34" s="23">
        <v>5</v>
      </c>
      <c r="H34" s="23" t="s">
        <v>168</v>
      </c>
      <c r="I34" s="34"/>
      <c r="J34" s="23" t="s">
        <v>161</v>
      </c>
      <c r="K34" s="23">
        <v>506</v>
      </c>
      <c r="L34" s="23">
        <v>510</v>
      </c>
      <c r="M34" s="23">
        <v>5</v>
      </c>
      <c r="N34" s="23" t="s">
        <v>169</v>
      </c>
      <c r="O34" s="23"/>
      <c r="P34" s="23" t="s">
        <v>170</v>
      </c>
      <c r="Q34" s="23" t="s">
        <v>69</v>
      </c>
    </row>
    <row r="35" spans="2:17" x14ac:dyDescent="0.35">
      <c r="B35" s="23" t="s">
        <v>171</v>
      </c>
      <c r="C35" s="23" t="s">
        <v>161</v>
      </c>
      <c r="D35" s="23">
        <v>124</v>
      </c>
      <c r="E35" s="23">
        <v>327</v>
      </c>
      <c r="F35" s="23">
        <v>331</v>
      </c>
      <c r="G35" s="23">
        <v>5</v>
      </c>
      <c r="H35" s="23" t="s">
        <v>172</v>
      </c>
      <c r="I35" s="34"/>
      <c r="J35" s="23" t="s">
        <v>161</v>
      </c>
      <c r="K35" s="23">
        <v>511</v>
      </c>
      <c r="L35" s="23">
        <v>515</v>
      </c>
      <c r="M35" s="23">
        <v>5</v>
      </c>
      <c r="N35" s="23" t="s">
        <v>173</v>
      </c>
      <c r="O35" s="23"/>
      <c r="P35" s="23" t="s">
        <v>174</v>
      </c>
      <c r="Q35" s="23" t="s">
        <v>69</v>
      </c>
    </row>
    <row r="36" spans="2:17" x14ac:dyDescent="0.35">
      <c r="B36" s="23" t="s">
        <v>175</v>
      </c>
      <c r="C36" s="23" t="s">
        <v>176</v>
      </c>
      <c r="D36" s="23" t="s">
        <v>63</v>
      </c>
      <c r="E36" s="23">
        <v>1</v>
      </c>
      <c r="F36" s="23">
        <v>250</v>
      </c>
      <c r="G36" s="23">
        <v>250</v>
      </c>
      <c r="H36" s="23" t="s">
        <v>177</v>
      </c>
      <c r="I36" s="34"/>
      <c r="J36" s="23" t="s">
        <v>176</v>
      </c>
      <c r="K36" s="23">
        <v>1</v>
      </c>
      <c r="L36" s="23">
        <v>250</v>
      </c>
      <c r="M36" s="23">
        <v>250</v>
      </c>
      <c r="N36" s="23"/>
      <c r="O36" s="23"/>
      <c r="P36" s="23" t="s">
        <v>64</v>
      </c>
      <c r="Q36" s="23" t="s">
        <v>63</v>
      </c>
    </row>
    <row r="37" spans="2:17" x14ac:dyDescent="0.35">
      <c r="B37" s="23" t="s">
        <v>178</v>
      </c>
      <c r="C37" s="23" t="s">
        <v>176</v>
      </c>
      <c r="D37" s="23">
        <v>161</v>
      </c>
      <c r="E37" s="23">
        <v>35</v>
      </c>
      <c r="F37" s="23">
        <v>39</v>
      </c>
      <c r="G37" s="23">
        <v>5</v>
      </c>
      <c r="H37" s="23" t="s">
        <v>179</v>
      </c>
      <c r="I37" s="34"/>
      <c r="J37" s="23" t="s">
        <v>176</v>
      </c>
      <c r="K37" s="23">
        <v>129</v>
      </c>
      <c r="L37" s="23">
        <v>133</v>
      </c>
      <c r="M37" s="23">
        <v>5</v>
      </c>
      <c r="N37" s="23" t="s">
        <v>180</v>
      </c>
      <c r="O37" s="23"/>
      <c r="P37" s="23" t="s">
        <v>181</v>
      </c>
      <c r="Q37" s="23" t="s">
        <v>76</v>
      </c>
    </row>
    <row r="38" spans="2:17" x14ac:dyDescent="0.35">
      <c r="B38" s="23" t="s">
        <v>182</v>
      </c>
      <c r="C38" s="23" t="s">
        <v>176</v>
      </c>
      <c r="D38" s="23">
        <v>161</v>
      </c>
      <c r="E38" s="23">
        <v>40</v>
      </c>
      <c r="F38" s="23">
        <v>44</v>
      </c>
      <c r="G38" s="23">
        <v>5</v>
      </c>
      <c r="H38" s="23" t="s">
        <v>183</v>
      </c>
      <c r="I38" s="34"/>
      <c r="J38" s="23" t="s">
        <v>176</v>
      </c>
      <c r="K38" s="23">
        <v>129</v>
      </c>
      <c r="L38" s="23">
        <v>133</v>
      </c>
      <c r="M38" s="23">
        <v>5</v>
      </c>
      <c r="N38" s="23" t="s">
        <v>180</v>
      </c>
      <c r="O38" s="23"/>
      <c r="P38" s="23" t="s">
        <v>181</v>
      </c>
      <c r="Q38" s="23" t="s">
        <v>69</v>
      </c>
    </row>
    <row r="39" spans="2:17" x14ac:dyDescent="0.35">
      <c r="B39" s="23"/>
      <c r="C39" s="23"/>
      <c r="D39" s="23"/>
      <c r="E39" s="23"/>
      <c r="F39" s="23"/>
      <c r="G39" s="23"/>
      <c r="H39" s="23"/>
      <c r="I39" s="34"/>
      <c r="J39" s="23"/>
      <c r="K39" s="23"/>
      <c r="L39" s="23"/>
      <c r="M39" s="23"/>
      <c r="N39" s="23"/>
      <c r="O39" s="23"/>
      <c r="P39" s="23"/>
      <c r="Q39" s="23"/>
    </row>
    <row r="43" spans="2:17" x14ac:dyDescent="0.35">
      <c r="B43" t="s">
        <v>184</v>
      </c>
      <c r="C43" t="s">
        <v>177</v>
      </c>
      <c r="E43">
        <v>1</v>
      </c>
      <c r="F43" t="s">
        <v>63</v>
      </c>
      <c r="G43">
        <v>500</v>
      </c>
      <c r="K43">
        <v>1</v>
      </c>
      <c r="L43" t="s">
        <v>63</v>
      </c>
      <c r="M43">
        <v>500</v>
      </c>
      <c r="P43" t="s">
        <v>64</v>
      </c>
      <c r="Q43" t="s">
        <v>63</v>
      </c>
    </row>
    <row r="44" spans="2:17" x14ac:dyDescent="0.35">
      <c r="B44" t="s">
        <v>185</v>
      </c>
      <c r="C44" t="s">
        <v>186</v>
      </c>
      <c r="E44">
        <v>25</v>
      </c>
      <c r="F44">
        <v>29</v>
      </c>
      <c r="G44">
        <v>5</v>
      </c>
      <c r="K44">
        <v>228</v>
      </c>
      <c r="L44">
        <v>232</v>
      </c>
      <c r="M44">
        <v>5</v>
      </c>
      <c r="N44" t="s">
        <v>187</v>
      </c>
      <c r="P44" t="s">
        <v>188</v>
      </c>
      <c r="Q44" t="s">
        <v>76</v>
      </c>
    </row>
    <row r="45" spans="2:17" x14ac:dyDescent="0.35">
      <c r="B45" t="s">
        <v>189</v>
      </c>
      <c r="C45" t="s">
        <v>190</v>
      </c>
      <c r="E45">
        <v>30</v>
      </c>
      <c r="F45">
        <v>34</v>
      </c>
      <c r="G45">
        <v>5</v>
      </c>
      <c r="K45">
        <v>228</v>
      </c>
      <c r="L45">
        <v>232</v>
      </c>
      <c r="M45">
        <v>5</v>
      </c>
      <c r="N45" t="s">
        <v>187</v>
      </c>
      <c r="P45" t="s">
        <v>188</v>
      </c>
      <c r="Q45" t="s">
        <v>69</v>
      </c>
    </row>
    <row r="48" spans="2:17" x14ac:dyDescent="0.35">
      <c r="B48" t="s">
        <v>191</v>
      </c>
      <c r="C48" t="s">
        <v>192</v>
      </c>
      <c r="D48" t="s">
        <v>63</v>
      </c>
      <c r="E48">
        <v>1</v>
      </c>
      <c r="F48">
        <v>300</v>
      </c>
      <c r="G48">
        <v>300</v>
      </c>
      <c r="K48">
        <v>1</v>
      </c>
      <c r="L48">
        <v>300</v>
      </c>
      <c r="M48">
        <v>300</v>
      </c>
      <c r="P48" t="s">
        <v>64</v>
      </c>
    </row>
    <row r="49" spans="2:17" x14ac:dyDescent="0.35">
      <c r="B49" t="s">
        <v>193</v>
      </c>
      <c r="C49" t="s">
        <v>192</v>
      </c>
      <c r="D49">
        <v>1</v>
      </c>
      <c r="E49">
        <v>1</v>
      </c>
      <c r="F49">
        <v>5</v>
      </c>
      <c r="G49">
        <v>5</v>
      </c>
      <c r="H49" t="s">
        <v>194</v>
      </c>
      <c r="K49">
        <v>160</v>
      </c>
      <c r="L49">
        <v>161</v>
      </c>
      <c r="M49">
        <v>2</v>
      </c>
      <c r="N49" t="s">
        <v>195</v>
      </c>
      <c r="P49" t="s">
        <v>196</v>
      </c>
      <c r="Q49" t="s">
        <v>69</v>
      </c>
    </row>
    <row r="50" spans="2:17" x14ac:dyDescent="0.35">
      <c r="B50" t="s">
        <v>197</v>
      </c>
      <c r="C50" t="s">
        <v>192</v>
      </c>
      <c r="D50">
        <v>12</v>
      </c>
      <c r="E50">
        <v>57</v>
      </c>
      <c r="F50">
        <v>61</v>
      </c>
      <c r="G50">
        <v>5</v>
      </c>
      <c r="H50" t="s">
        <v>198</v>
      </c>
      <c r="K50">
        <v>182</v>
      </c>
      <c r="L50">
        <v>185</v>
      </c>
      <c r="M50">
        <v>4</v>
      </c>
      <c r="N50" t="s">
        <v>199</v>
      </c>
      <c r="P50" t="s">
        <v>200</v>
      </c>
      <c r="Q50" t="s">
        <v>69</v>
      </c>
    </row>
    <row r="51" spans="2:17" x14ac:dyDescent="0.35">
      <c r="B51" t="s">
        <v>201</v>
      </c>
      <c r="C51" t="s">
        <v>192</v>
      </c>
      <c r="D51">
        <v>12</v>
      </c>
      <c r="E51">
        <v>62</v>
      </c>
      <c r="F51">
        <v>66</v>
      </c>
      <c r="G51">
        <v>5</v>
      </c>
      <c r="H51" t="s">
        <v>202</v>
      </c>
      <c r="K51">
        <v>182</v>
      </c>
      <c r="L51">
        <v>185</v>
      </c>
      <c r="M51">
        <v>4</v>
      </c>
      <c r="N51" t="s">
        <v>199</v>
      </c>
      <c r="P51" t="s">
        <v>200</v>
      </c>
      <c r="Q51" t="s">
        <v>76</v>
      </c>
    </row>
    <row r="55" spans="2:17" x14ac:dyDescent="0.35">
      <c r="B55" t="s">
        <v>203</v>
      </c>
      <c r="C55" t="s">
        <v>194</v>
      </c>
      <c r="D55">
        <v>1</v>
      </c>
      <c r="E55">
        <v>1</v>
      </c>
      <c r="F55">
        <v>5</v>
      </c>
      <c r="G55">
        <v>5</v>
      </c>
      <c r="K55">
        <v>264</v>
      </c>
      <c r="L55">
        <v>265</v>
      </c>
      <c r="M55">
        <v>2</v>
      </c>
      <c r="N55" t="s">
        <v>195</v>
      </c>
      <c r="P55" t="s">
        <v>196</v>
      </c>
    </row>
    <row r="56" spans="2:17" x14ac:dyDescent="0.35">
      <c r="B56" t="s">
        <v>204</v>
      </c>
      <c r="C56" t="s">
        <v>205</v>
      </c>
      <c r="D56">
        <v>2</v>
      </c>
      <c r="E56">
        <v>164</v>
      </c>
      <c r="F56">
        <v>168</v>
      </c>
      <c r="G56">
        <v>5</v>
      </c>
      <c r="K56">
        <v>276</v>
      </c>
      <c r="L56">
        <v>278</v>
      </c>
      <c r="M56">
        <v>3</v>
      </c>
      <c r="N56" t="s">
        <v>206</v>
      </c>
      <c r="P56" t="s">
        <v>207</v>
      </c>
    </row>
    <row r="57" spans="2:17" x14ac:dyDescent="0.35">
      <c r="B57" t="s">
        <v>208</v>
      </c>
      <c r="C57" t="s">
        <v>209</v>
      </c>
      <c r="D57">
        <v>18</v>
      </c>
      <c r="E57">
        <v>212</v>
      </c>
      <c r="F57">
        <v>216</v>
      </c>
      <c r="G57">
        <v>5</v>
      </c>
      <c r="K57">
        <v>279</v>
      </c>
      <c r="L57">
        <v>283</v>
      </c>
      <c r="M57">
        <v>5</v>
      </c>
      <c r="N57" t="s">
        <v>210</v>
      </c>
      <c r="P57" t="s">
        <v>211</v>
      </c>
    </row>
    <row r="58" spans="2:17" x14ac:dyDescent="0.35">
      <c r="B58" t="s">
        <v>212</v>
      </c>
      <c r="C58" t="s">
        <v>213</v>
      </c>
      <c r="D58">
        <v>18</v>
      </c>
      <c r="E58">
        <v>217</v>
      </c>
      <c r="F58">
        <v>221</v>
      </c>
      <c r="G58">
        <v>5</v>
      </c>
      <c r="K58">
        <v>284</v>
      </c>
      <c r="L58">
        <v>288</v>
      </c>
      <c r="M58">
        <v>5</v>
      </c>
      <c r="N58" t="s">
        <v>214</v>
      </c>
      <c r="P58" t="s">
        <v>211</v>
      </c>
    </row>
    <row r="59" spans="2:17" x14ac:dyDescent="0.35">
      <c r="B59" t="s">
        <v>215</v>
      </c>
      <c r="C59" t="s">
        <v>216</v>
      </c>
      <c r="D59">
        <v>18</v>
      </c>
      <c r="E59">
        <v>222</v>
      </c>
      <c r="F59">
        <v>226</v>
      </c>
      <c r="G59">
        <v>5</v>
      </c>
      <c r="K59">
        <v>289</v>
      </c>
      <c r="L59">
        <v>293</v>
      </c>
      <c r="M59">
        <v>5</v>
      </c>
      <c r="N59" t="s">
        <v>217</v>
      </c>
      <c r="P59" t="s">
        <v>211</v>
      </c>
    </row>
    <row r="62" spans="2:17" x14ac:dyDescent="0.35">
      <c r="B62" t="s">
        <v>218</v>
      </c>
      <c r="C62" t="s">
        <v>194</v>
      </c>
      <c r="D62">
        <v>1</v>
      </c>
      <c r="E62">
        <v>1</v>
      </c>
      <c r="F62">
        <v>5</v>
      </c>
      <c r="K62">
        <v>59</v>
      </c>
      <c r="L62">
        <v>60</v>
      </c>
      <c r="M62">
        <v>2</v>
      </c>
      <c r="N62" t="s">
        <v>195</v>
      </c>
      <c r="P62" t="s">
        <v>196</v>
      </c>
    </row>
    <row r="63" spans="2:17" x14ac:dyDescent="0.35">
      <c r="B63" t="s">
        <v>219</v>
      </c>
      <c r="C63" t="s">
        <v>220</v>
      </c>
      <c r="D63">
        <v>58</v>
      </c>
      <c r="E63">
        <v>34</v>
      </c>
      <c r="F63">
        <v>38</v>
      </c>
      <c r="K63">
        <v>91</v>
      </c>
      <c r="L63">
        <v>91</v>
      </c>
      <c r="M63">
        <v>1</v>
      </c>
      <c r="N63" t="s">
        <v>221</v>
      </c>
      <c r="P63" t="s">
        <v>222</v>
      </c>
    </row>
    <row r="65" spans="2:16" x14ac:dyDescent="0.35">
      <c r="B65" t="s">
        <v>223</v>
      </c>
      <c r="C65" t="s">
        <v>177</v>
      </c>
      <c r="D65" t="s">
        <v>63</v>
      </c>
      <c r="E65">
        <v>1</v>
      </c>
      <c r="F65">
        <v>250</v>
      </c>
      <c r="G65">
        <v>250</v>
      </c>
      <c r="K65">
        <v>1</v>
      </c>
      <c r="L65">
        <v>250</v>
      </c>
      <c r="M65">
        <v>250</v>
      </c>
      <c r="P65" t="s">
        <v>64</v>
      </c>
    </row>
    <row r="66" spans="2:16" x14ac:dyDescent="0.35">
      <c r="B66" t="s">
        <v>224</v>
      </c>
      <c r="C66" t="s">
        <v>194</v>
      </c>
      <c r="D66">
        <v>1</v>
      </c>
      <c r="E66">
        <v>1</v>
      </c>
      <c r="F66">
        <v>5</v>
      </c>
      <c r="G66">
        <v>5</v>
      </c>
      <c r="K66">
        <v>113</v>
      </c>
      <c r="L66">
        <v>114</v>
      </c>
      <c r="M66">
        <v>2</v>
      </c>
      <c r="N66" t="s">
        <v>195</v>
      </c>
      <c r="P66" t="s">
        <v>196</v>
      </c>
    </row>
    <row r="67" spans="2:16" x14ac:dyDescent="0.35">
      <c r="B67" t="s">
        <v>225</v>
      </c>
      <c r="C67" t="s">
        <v>209</v>
      </c>
      <c r="D67">
        <v>18</v>
      </c>
      <c r="E67">
        <v>88</v>
      </c>
      <c r="F67">
        <v>92</v>
      </c>
      <c r="G67">
        <v>5</v>
      </c>
      <c r="K67">
        <v>135</v>
      </c>
      <c r="L67">
        <v>139</v>
      </c>
      <c r="M67">
        <v>5</v>
      </c>
      <c r="N67" t="s">
        <v>210</v>
      </c>
      <c r="P67" t="s">
        <v>211</v>
      </c>
    </row>
    <row r="68" spans="2:16" x14ac:dyDescent="0.35">
      <c r="B68" t="s">
        <v>226</v>
      </c>
      <c r="C68" t="s">
        <v>213</v>
      </c>
      <c r="D68">
        <v>18</v>
      </c>
      <c r="E68">
        <v>93</v>
      </c>
      <c r="F68">
        <v>97</v>
      </c>
      <c r="G68">
        <v>5</v>
      </c>
      <c r="K68">
        <v>140</v>
      </c>
      <c r="L68">
        <v>144</v>
      </c>
      <c r="M68">
        <v>5</v>
      </c>
      <c r="N68" t="s">
        <v>214</v>
      </c>
      <c r="P68" t="s">
        <v>211</v>
      </c>
    </row>
    <row r="69" spans="2:16" x14ac:dyDescent="0.35">
      <c r="B69" t="s">
        <v>227</v>
      </c>
      <c r="C69" t="s">
        <v>216</v>
      </c>
      <c r="D69">
        <v>67</v>
      </c>
      <c r="E69">
        <v>98</v>
      </c>
      <c r="F69">
        <v>102</v>
      </c>
      <c r="G69">
        <v>5</v>
      </c>
      <c r="K69">
        <v>145</v>
      </c>
      <c r="L69">
        <v>149</v>
      </c>
      <c r="M69">
        <v>5</v>
      </c>
      <c r="N69" t="s">
        <v>217</v>
      </c>
      <c r="P69" t="s">
        <v>228</v>
      </c>
    </row>
    <row r="76" spans="2:16" x14ac:dyDescent="0.35">
      <c r="B76" t="s">
        <v>229</v>
      </c>
      <c r="C76" t="s">
        <v>230</v>
      </c>
    </row>
    <row r="77" spans="2:16" x14ac:dyDescent="0.35">
      <c r="B77" t="s">
        <v>231</v>
      </c>
      <c r="C77" t="s">
        <v>232</v>
      </c>
    </row>
    <row r="78" spans="2:16" x14ac:dyDescent="0.35">
      <c r="B78" t="s">
        <v>233</v>
      </c>
      <c r="C78" t="s">
        <v>234</v>
      </c>
    </row>
    <row r="82" spans="2:5" x14ac:dyDescent="0.35">
      <c r="B82" t="s">
        <v>235</v>
      </c>
      <c r="C82" t="s">
        <v>236</v>
      </c>
      <c r="D82" t="s">
        <v>237</v>
      </c>
      <c r="E82" t="s">
        <v>238</v>
      </c>
    </row>
    <row r="83" spans="2:5" x14ac:dyDescent="0.35">
      <c r="C83" t="s">
        <v>239</v>
      </c>
      <c r="D83" t="s">
        <v>240</v>
      </c>
    </row>
    <row r="85" spans="2:5" x14ac:dyDescent="0.35">
      <c r="B85" t="s">
        <v>241</v>
      </c>
      <c r="C85" t="s">
        <v>242</v>
      </c>
      <c r="D85" t="s">
        <v>243</v>
      </c>
    </row>
    <row r="86" spans="2:5" x14ac:dyDescent="0.35">
      <c r="C86" t="s">
        <v>244</v>
      </c>
      <c r="D86" t="s">
        <v>245</v>
      </c>
      <c r="E86" t="s">
        <v>246</v>
      </c>
    </row>
    <row r="88" spans="2:5" x14ac:dyDescent="0.35">
      <c r="B88" t="s">
        <v>247</v>
      </c>
      <c r="E88" t="s">
        <v>234</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5" x14ac:dyDescent="0.35"/>
  <cols>
    <col min="1" max="1" width="4" bestFit="1" customWidth="1"/>
    <col min="2" max="2" width="2" bestFit="1" customWidth="1"/>
    <col min="3" max="3" width="34.54296875" style="37" bestFit="1" customWidth="1"/>
    <col min="4" max="4" width="84.81640625" style="37" bestFit="1" customWidth="1"/>
    <col min="5" max="5" width="11.453125" bestFit="1" customWidth="1"/>
  </cols>
  <sheetData>
    <row r="1" spans="1:5" x14ac:dyDescent="0.35">
      <c r="E1" t="s">
        <v>248</v>
      </c>
    </row>
    <row r="2" spans="1:5" x14ac:dyDescent="0.35">
      <c r="A2">
        <v>5</v>
      </c>
      <c r="B2" t="s">
        <v>63</v>
      </c>
      <c r="C2" s="37" t="s">
        <v>249</v>
      </c>
      <c r="D2" s="37" t="s">
        <v>250</v>
      </c>
    </row>
    <row r="3" spans="1:5" x14ac:dyDescent="0.35">
      <c r="A3">
        <v>9</v>
      </c>
      <c r="B3" t="s">
        <v>63</v>
      </c>
      <c r="C3" s="37" t="s">
        <v>251</v>
      </c>
      <c r="D3" s="37" t="s">
        <v>252</v>
      </c>
    </row>
    <row r="4" spans="1:5" x14ac:dyDescent="0.35">
      <c r="A4">
        <v>13</v>
      </c>
      <c r="B4" t="s">
        <v>63</v>
      </c>
      <c r="C4" s="37" t="s">
        <v>253</v>
      </c>
      <c r="D4" s="37" t="s">
        <v>254</v>
      </c>
    </row>
    <row r="5" spans="1:5" x14ac:dyDescent="0.35">
      <c r="A5">
        <v>17</v>
      </c>
      <c r="B5" t="s">
        <v>63</v>
      </c>
      <c r="C5" s="37" t="s">
        <v>255</v>
      </c>
      <c r="D5" s="37" t="s">
        <v>256</v>
      </c>
    </row>
    <row r="6" spans="1:5" x14ac:dyDescent="0.35">
      <c r="A6">
        <v>21</v>
      </c>
      <c r="B6" t="s">
        <v>63</v>
      </c>
      <c r="C6" s="37" t="s">
        <v>257</v>
      </c>
      <c r="D6" s="37" t="s">
        <v>258</v>
      </c>
    </row>
    <row r="7" spans="1:5" x14ac:dyDescent="0.35">
      <c r="A7">
        <v>25</v>
      </c>
      <c r="B7" t="s">
        <v>63</v>
      </c>
      <c r="C7" s="37" t="s">
        <v>259</v>
      </c>
      <c r="D7" s="37" t="s">
        <v>260</v>
      </c>
    </row>
    <row r="8" spans="1:5" x14ac:dyDescent="0.35">
      <c r="A8">
        <v>29</v>
      </c>
      <c r="B8" t="s">
        <v>63</v>
      </c>
      <c r="C8" s="37" t="s">
        <v>261</v>
      </c>
      <c r="D8" s="37" t="s">
        <v>262</v>
      </c>
    </row>
    <row r="9" spans="1:5" x14ac:dyDescent="0.35">
      <c r="A9">
        <v>33</v>
      </c>
      <c r="B9" t="s">
        <v>63</v>
      </c>
      <c r="C9" s="37" t="s">
        <v>263</v>
      </c>
      <c r="D9" s="37" t="s">
        <v>264</v>
      </c>
    </row>
    <row r="10" spans="1:5" x14ac:dyDescent="0.35">
      <c r="A10">
        <v>37</v>
      </c>
      <c r="B10" t="s">
        <v>63</v>
      </c>
      <c r="C10" s="37" t="s">
        <v>265</v>
      </c>
      <c r="D10" s="37" t="s">
        <v>266</v>
      </c>
    </row>
    <row r="11" spans="1:5" x14ac:dyDescent="0.35">
      <c r="A11">
        <v>41</v>
      </c>
      <c r="B11" t="s">
        <v>63</v>
      </c>
      <c r="C11" s="37" t="s">
        <v>267</v>
      </c>
      <c r="D11" s="37" t="s">
        <v>268</v>
      </c>
    </row>
    <row r="12" spans="1:5" x14ac:dyDescent="0.35">
      <c r="A12">
        <v>45</v>
      </c>
      <c r="B12" t="s">
        <v>63</v>
      </c>
      <c r="C12" s="37" t="s">
        <v>269</v>
      </c>
      <c r="D12" s="37" t="s">
        <v>270</v>
      </c>
    </row>
    <row r="13" spans="1:5" x14ac:dyDescent="0.35">
      <c r="A13">
        <v>49</v>
      </c>
      <c r="B13" t="s">
        <v>63</v>
      </c>
      <c r="C13" s="37" t="s">
        <v>271</v>
      </c>
      <c r="D13" s="37" t="s">
        <v>272</v>
      </c>
    </row>
    <row r="14" spans="1:5" x14ac:dyDescent="0.35">
      <c r="A14">
        <v>56</v>
      </c>
      <c r="B14" t="s">
        <v>63</v>
      </c>
      <c r="C14" s="37" t="s">
        <v>273</v>
      </c>
      <c r="D14" s="37" t="s">
        <v>274</v>
      </c>
    </row>
    <row r="15" spans="1:5" x14ac:dyDescent="0.35">
      <c r="A15">
        <v>60</v>
      </c>
      <c r="B15" t="s">
        <v>63</v>
      </c>
      <c r="C15" s="37" t="s">
        <v>275</v>
      </c>
      <c r="D15" s="37" t="s">
        <v>276</v>
      </c>
    </row>
    <row r="16" spans="1:5" x14ac:dyDescent="0.35">
      <c r="A16">
        <v>64</v>
      </c>
      <c r="B16" t="s">
        <v>63</v>
      </c>
      <c r="C16" s="37" t="s">
        <v>277</v>
      </c>
      <c r="D16" s="37" t="s">
        <v>278</v>
      </c>
    </row>
    <row r="17" spans="1:4" x14ac:dyDescent="0.35">
      <c r="A17">
        <v>68</v>
      </c>
      <c r="B17" t="s">
        <v>63</v>
      </c>
      <c r="C17" s="37" t="s">
        <v>279</v>
      </c>
      <c r="D17" s="37" t="s">
        <v>280</v>
      </c>
    </row>
    <row r="18" spans="1:4" x14ac:dyDescent="0.35">
      <c r="A18">
        <v>72</v>
      </c>
      <c r="B18" t="s">
        <v>63</v>
      </c>
      <c r="C18" s="37" t="s">
        <v>281</v>
      </c>
      <c r="D18" s="37" t="s">
        <v>282</v>
      </c>
    </row>
    <row r="19" spans="1:4" x14ac:dyDescent="0.35">
      <c r="A19">
        <v>73</v>
      </c>
      <c r="B19" t="s">
        <v>63</v>
      </c>
      <c r="C19" s="37" t="s">
        <v>63</v>
      </c>
      <c r="D19" s="37" t="s">
        <v>283</v>
      </c>
    </row>
    <row r="20" spans="1:4" x14ac:dyDescent="0.35">
      <c r="A20">
        <v>74</v>
      </c>
      <c r="B20" t="s">
        <v>63</v>
      </c>
      <c r="D20" s="37" t="s">
        <v>284</v>
      </c>
    </row>
    <row r="21" spans="1:4" x14ac:dyDescent="0.35">
      <c r="A21">
        <v>75</v>
      </c>
      <c r="B21" t="s">
        <v>63</v>
      </c>
      <c r="D21" s="37" t="s">
        <v>285</v>
      </c>
    </row>
    <row r="22" spans="1:4" x14ac:dyDescent="0.35">
      <c r="A22">
        <v>79</v>
      </c>
      <c r="B22" t="s">
        <v>63</v>
      </c>
      <c r="C22" s="37" t="s">
        <v>286</v>
      </c>
      <c r="D22" s="37" t="s">
        <v>287</v>
      </c>
    </row>
    <row r="23" spans="1:4" x14ac:dyDescent="0.35">
      <c r="A23">
        <v>83</v>
      </c>
      <c r="B23" t="s">
        <v>63</v>
      </c>
      <c r="C23" s="37" t="s">
        <v>288</v>
      </c>
      <c r="D23" s="37" t="s">
        <v>289</v>
      </c>
    </row>
    <row r="24" spans="1:4" x14ac:dyDescent="0.35">
      <c r="A24">
        <v>87</v>
      </c>
      <c r="B24" t="s">
        <v>63</v>
      </c>
      <c r="C24" s="37" t="s">
        <v>290</v>
      </c>
      <c r="D24" s="37" t="s">
        <v>291</v>
      </c>
    </row>
    <row r="25" spans="1:4" x14ac:dyDescent="0.35">
      <c r="A25">
        <v>91</v>
      </c>
      <c r="B25" t="s">
        <v>63</v>
      </c>
      <c r="C25" s="37" t="s">
        <v>292</v>
      </c>
      <c r="D25" s="37" t="s">
        <v>293</v>
      </c>
    </row>
    <row r="26" spans="1:4" x14ac:dyDescent="0.35">
      <c r="A26">
        <v>95</v>
      </c>
      <c r="B26" t="s">
        <v>63</v>
      </c>
      <c r="C26" s="37" t="s">
        <v>294</v>
      </c>
      <c r="D26" s="37" t="s">
        <v>295</v>
      </c>
    </row>
    <row r="27" spans="1:4" x14ac:dyDescent="0.35">
      <c r="A27">
        <v>96</v>
      </c>
      <c r="B27" t="s">
        <v>63</v>
      </c>
      <c r="C27" s="37" t="s">
        <v>63</v>
      </c>
      <c r="D27" s="37" t="s">
        <v>296</v>
      </c>
    </row>
    <row r="28" spans="1:4" x14ac:dyDescent="0.35">
      <c r="A28">
        <v>97</v>
      </c>
      <c r="B28" t="s">
        <v>63</v>
      </c>
      <c r="D28" s="37" t="s">
        <v>297</v>
      </c>
    </row>
    <row r="29" spans="1:4" x14ac:dyDescent="0.35">
      <c r="A29">
        <v>98</v>
      </c>
      <c r="B29" t="s">
        <v>63</v>
      </c>
      <c r="D29" s="37" t="s">
        <v>298</v>
      </c>
    </row>
    <row r="30" spans="1:4" x14ac:dyDescent="0.35">
      <c r="A30">
        <v>99</v>
      </c>
      <c r="B30" t="s">
        <v>63</v>
      </c>
      <c r="D30" s="37" t="s">
        <v>299</v>
      </c>
    </row>
    <row r="31" spans="1:4" x14ac:dyDescent="0.35">
      <c r="A31">
        <v>100</v>
      </c>
      <c r="B31" t="s">
        <v>63</v>
      </c>
      <c r="D31" s="37" t="s">
        <v>300</v>
      </c>
    </row>
    <row r="32" spans="1:4" x14ac:dyDescent="0.35">
      <c r="A32">
        <v>101</v>
      </c>
      <c r="B32" t="s">
        <v>63</v>
      </c>
      <c r="D32" s="37" t="s">
        <v>301</v>
      </c>
    </row>
    <row r="33" spans="1:4" x14ac:dyDescent="0.35">
      <c r="A33">
        <v>102</v>
      </c>
      <c r="B33" t="s">
        <v>63</v>
      </c>
      <c r="D33" s="37" t="s">
        <v>302</v>
      </c>
    </row>
    <row r="34" spans="1:4" x14ac:dyDescent="0.35">
      <c r="A34">
        <v>103</v>
      </c>
      <c r="B34" t="s">
        <v>63</v>
      </c>
      <c r="D34" s="37" t="s">
        <v>303</v>
      </c>
    </row>
    <row r="35" spans="1:4" x14ac:dyDescent="0.35">
      <c r="A35">
        <v>104</v>
      </c>
      <c r="B35" t="s">
        <v>63</v>
      </c>
      <c r="D35" s="37" t="s">
        <v>304</v>
      </c>
    </row>
    <row r="36" spans="1:4" x14ac:dyDescent="0.35">
      <c r="A36">
        <v>105</v>
      </c>
      <c r="B36" t="s">
        <v>63</v>
      </c>
      <c r="D36" s="37" t="s">
        <v>305</v>
      </c>
    </row>
    <row r="37" spans="1:4" x14ac:dyDescent="0.35">
      <c r="A37">
        <v>112</v>
      </c>
      <c r="B37" t="s">
        <v>63</v>
      </c>
      <c r="C37" s="37" t="s">
        <v>306</v>
      </c>
      <c r="D37" s="37" t="s">
        <v>307</v>
      </c>
    </row>
    <row r="38" spans="1:4" x14ac:dyDescent="0.35">
      <c r="A38">
        <v>116</v>
      </c>
      <c r="B38" t="s">
        <v>63</v>
      </c>
      <c r="C38" s="37" t="s">
        <v>308</v>
      </c>
      <c r="D38" s="37" t="s">
        <v>309</v>
      </c>
    </row>
    <row r="39" spans="1:4" x14ac:dyDescent="0.35">
      <c r="A39">
        <v>117</v>
      </c>
      <c r="B39" t="s">
        <v>63</v>
      </c>
      <c r="C39" s="37" t="s">
        <v>63</v>
      </c>
      <c r="D39" s="37" t="s">
        <v>310</v>
      </c>
    </row>
    <row r="40" spans="1:4" x14ac:dyDescent="0.35">
      <c r="A40">
        <v>118</v>
      </c>
      <c r="B40" t="s">
        <v>63</v>
      </c>
      <c r="D40" s="37" t="s">
        <v>311</v>
      </c>
    </row>
    <row r="41" spans="1:4" x14ac:dyDescent="0.35">
      <c r="A41">
        <v>119</v>
      </c>
      <c r="B41" t="s">
        <v>63</v>
      </c>
      <c r="D41" s="37" t="s">
        <v>312</v>
      </c>
    </row>
    <row r="42" spans="1:4" x14ac:dyDescent="0.35">
      <c r="A42">
        <v>120</v>
      </c>
      <c r="B42" t="s">
        <v>63</v>
      </c>
      <c r="D42" s="37" t="s">
        <v>313</v>
      </c>
    </row>
    <row r="43" spans="1:4" x14ac:dyDescent="0.35">
      <c r="A43">
        <v>121</v>
      </c>
      <c r="B43" t="s">
        <v>63</v>
      </c>
      <c r="D43" s="37" t="s">
        <v>314</v>
      </c>
    </row>
    <row r="44" spans="1:4" x14ac:dyDescent="0.35">
      <c r="A44">
        <v>122</v>
      </c>
      <c r="B44" t="s">
        <v>63</v>
      </c>
      <c r="D44" s="37" t="s">
        <v>315</v>
      </c>
    </row>
    <row r="45" spans="1:4" x14ac:dyDescent="0.35">
      <c r="A45">
        <v>123</v>
      </c>
      <c r="B45" t="s">
        <v>63</v>
      </c>
      <c r="D45" s="37" t="s">
        <v>316</v>
      </c>
    </row>
    <row r="46" spans="1:4" x14ac:dyDescent="0.35">
      <c r="A46">
        <v>124</v>
      </c>
      <c r="B46" t="s">
        <v>63</v>
      </c>
      <c r="D46" s="37" t="s">
        <v>317</v>
      </c>
    </row>
    <row r="47" spans="1:4" x14ac:dyDescent="0.35">
      <c r="A47">
        <v>125</v>
      </c>
      <c r="B47" t="s">
        <v>63</v>
      </c>
      <c r="D47" s="37" t="s">
        <v>318</v>
      </c>
    </row>
    <row r="48" spans="1:4" x14ac:dyDescent="0.35">
      <c r="A48">
        <v>129</v>
      </c>
      <c r="B48" t="s">
        <v>63</v>
      </c>
      <c r="C48" s="37" t="s">
        <v>319</v>
      </c>
      <c r="D48" s="37" t="s">
        <v>320</v>
      </c>
    </row>
    <row r="49" spans="1:4" x14ac:dyDescent="0.35">
      <c r="A49">
        <v>130</v>
      </c>
      <c r="B49" t="s">
        <v>63</v>
      </c>
      <c r="C49" s="37" t="s">
        <v>63</v>
      </c>
      <c r="D49" s="37" t="s">
        <v>321</v>
      </c>
    </row>
    <row r="50" spans="1:4" x14ac:dyDescent="0.35">
      <c r="A50">
        <v>134</v>
      </c>
      <c r="B50" t="s">
        <v>63</v>
      </c>
      <c r="C50" s="37" t="s">
        <v>322</v>
      </c>
      <c r="D50" s="37" t="s">
        <v>323</v>
      </c>
    </row>
    <row r="51" spans="1:4" x14ac:dyDescent="0.35">
      <c r="A51">
        <v>138</v>
      </c>
      <c r="B51" t="s">
        <v>63</v>
      </c>
      <c r="C51" s="37" t="s">
        <v>324</v>
      </c>
      <c r="D51" s="37" t="s">
        <v>325</v>
      </c>
    </row>
    <row r="52" spans="1:4" x14ac:dyDescent="0.35">
      <c r="A52">
        <v>142</v>
      </c>
      <c r="B52" t="s">
        <v>63</v>
      </c>
      <c r="C52" s="37" t="s">
        <v>326</v>
      </c>
      <c r="D52" s="37" t="s">
        <v>327</v>
      </c>
    </row>
    <row r="53" spans="1:4" x14ac:dyDescent="0.35">
      <c r="A53">
        <v>146</v>
      </c>
      <c r="B53" t="s">
        <v>63</v>
      </c>
      <c r="C53" s="37" t="s">
        <v>328</v>
      </c>
      <c r="D53" s="37" t="s">
        <v>329</v>
      </c>
    </row>
    <row r="54" spans="1:4" x14ac:dyDescent="0.35">
      <c r="A54">
        <v>150</v>
      </c>
      <c r="B54" t="s">
        <v>63</v>
      </c>
      <c r="C54" s="37" t="s">
        <v>330</v>
      </c>
      <c r="D54" s="37" t="s">
        <v>331</v>
      </c>
    </row>
    <row r="55" spans="1:4" x14ac:dyDescent="0.35">
      <c r="A55">
        <v>154</v>
      </c>
      <c r="B55" t="s">
        <v>63</v>
      </c>
      <c r="C55" s="37" t="s">
        <v>332</v>
      </c>
      <c r="D55" s="37" t="s">
        <v>333</v>
      </c>
    </row>
    <row r="56" spans="1:4" x14ac:dyDescent="0.35">
      <c r="A56">
        <v>158</v>
      </c>
      <c r="B56" t="s">
        <v>63</v>
      </c>
      <c r="C56" s="37" t="s">
        <v>334</v>
      </c>
      <c r="D56" s="37" t="s">
        <v>335</v>
      </c>
    </row>
    <row r="57" spans="1:4" x14ac:dyDescent="0.35">
      <c r="A57">
        <v>159</v>
      </c>
      <c r="B57" t="s">
        <v>63</v>
      </c>
      <c r="C57" s="37" t="s">
        <v>63</v>
      </c>
      <c r="D57" s="37" t="s">
        <v>336</v>
      </c>
    </row>
    <row r="58" spans="1:4" x14ac:dyDescent="0.35">
      <c r="A58">
        <v>166</v>
      </c>
      <c r="B58" t="s">
        <v>63</v>
      </c>
      <c r="C58" s="37" t="s">
        <v>337</v>
      </c>
      <c r="D58" s="37" t="s">
        <v>338</v>
      </c>
    </row>
    <row r="59" spans="1:4" x14ac:dyDescent="0.35">
      <c r="A59">
        <v>167</v>
      </c>
      <c r="B59" t="s">
        <v>63</v>
      </c>
      <c r="C59" s="37" t="s">
        <v>63</v>
      </c>
      <c r="D59" s="37" t="s">
        <v>339</v>
      </c>
    </row>
    <row r="60" spans="1:4" x14ac:dyDescent="0.35">
      <c r="A60">
        <v>171</v>
      </c>
      <c r="B60" t="s">
        <v>63</v>
      </c>
      <c r="C60" s="37" t="s">
        <v>340</v>
      </c>
      <c r="D60" s="37" t="s">
        <v>341</v>
      </c>
    </row>
    <row r="61" spans="1:4" x14ac:dyDescent="0.35">
      <c r="A61">
        <v>172</v>
      </c>
      <c r="B61" t="s">
        <v>63</v>
      </c>
      <c r="C61" s="37" t="s">
        <v>63</v>
      </c>
      <c r="D61" s="37" t="s">
        <v>342</v>
      </c>
    </row>
    <row r="62" spans="1:4" x14ac:dyDescent="0.35">
      <c r="A62">
        <v>173</v>
      </c>
      <c r="B62" t="s">
        <v>63</v>
      </c>
      <c r="D62" s="37" t="s">
        <v>343</v>
      </c>
    </row>
    <row r="63" spans="1:4" x14ac:dyDescent="0.35">
      <c r="A63">
        <v>177</v>
      </c>
      <c r="B63" t="s">
        <v>63</v>
      </c>
      <c r="C63" s="37" t="s">
        <v>344</v>
      </c>
      <c r="D63" s="37" t="s">
        <v>345</v>
      </c>
    </row>
    <row r="64" spans="1:4" x14ac:dyDescent="0.35">
      <c r="A64">
        <v>178</v>
      </c>
      <c r="B64" t="s">
        <v>63</v>
      </c>
      <c r="C64" s="37" t="s">
        <v>63</v>
      </c>
      <c r="D64" s="37" t="s">
        <v>346</v>
      </c>
    </row>
    <row r="65" spans="1:4" x14ac:dyDescent="0.35">
      <c r="A65">
        <v>182</v>
      </c>
      <c r="B65" t="s">
        <v>63</v>
      </c>
      <c r="C65" s="37" t="s">
        <v>347</v>
      </c>
      <c r="D65" s="37" t="s">
        <v>348</v>
      </c>
    </row>
    <row r="66" spans="1:4" x14ac:dyDescent="0.35">
      <c r="A66">
        <v>183</v>
      </c>
      <c r="B66" t="s">
        <v>63</v>
      </c>
      <c r="C66" s="37" t="s">
        <v>63</v>
      </c>
      <c r="D66" s="37" t="s">
        <v>349</v>
      </c>
    </row>
    <row r="67" spans="1:4" x14ac:dyDescent="0.35">
      <c r="A67">
        <v>184</v>
      </c>
      <c r="B67" t="s">
        <v>63</v>
      </c>
      <c r="D67" s="37" t="s">
        <v>350</v>
      </c>
    </row>
    <row r="68" spans="1:4" x14ac:dyDescent="0.35">
      <c r="A68">
        <v>185</v>
      </c>
      <c r="B68" t="s">
        <v>63</v>
      </c>
      <c r="D68" s="37" t="s">
        <v>351</v>
      </c>
    </row>
    <row r="69" spans="1:4" x14ac:dyDescent="0.35">
      <c r="A69">
        <v>186</v>
      </c>
      <c r="B69" t="s">
        <v>63</v>
      </c>
      <c r="D69" s="37" t="s">
        <v>352</v>
      </c>
    </row>
    <row r="70" spans="1:4" x14ac:dyDescent="0.35">
      <c r="A70">
        <v>190</v>
      </c>
      <c r="B70" t="s">
        <v>63</v>
      </c>
      <c r="C70" s="37" t="s">
        <v>353</v>
      </c>
      <c r="D70" s="37" t="s">
        <v>354</v>
      </c>
    </row>
    <row r="71" spans="1:4" x14ac:dyDescent="0.35">
      <c r="A71">
        <v>191</v>
      </c>
      <c r="B71" t="s">
        <v>63</v>
      </c>
      <c r="C71" s="37" t="s">
        <v>63</v>
      </c>
      <c r="D71" s="37" t="s">
        <v>355</v>
      </c>
    </row>
    <row r="72" spans="1:4" x14ac:dyDescent="0.35">
      <c r="A72">
        <v>192</v>
      </c>
      <c r="B72" t="s">
        <v>63</v>
      </c>
      <c r="D72" s="37" t="s">
        <v>356</v>
      </c>
    </row>
    <row r="73" spans="1:4" x14ac:dyDescent="0.35">
      <c r="A73">
        <v>196</v>
      </c>
      <c r="B73" t="s">
        <v>63</v>
      </c>
      <c r="C73" s="37" t="s">
        <v>357</v>
      </c>
      <c r="D73" s="37" t="s">
        <v>358</v>
      </c>
    </row>
    <row r="74" spans="1:4" x14ac:dyDescent="0.35">
      <c r="A74">
        <v>197</v>
      </c>
      <c r="B74" t="s">
        <v>63</v>
      </c>
      <c r="C74" s="37" t="s">
        <v>63</v>
      </c>
      <c r="D74" s="37" t="s">
        <v>359</v>
      </c>
    </row>
    <row r="75" spans="1:4" x14ac:dyDescent="0.35">
      <c r="A75">
        <v>198</v>
      </c>
      <c r="B75" t="s">
        <v>63</v>
      </c>
      <c r="D75" s="37" t="s">
        <v>360</v>
      </c>
    </row>
    <row r="76" spans="1:4" x14ac:dyDescent="0.35">
      <c r="A76">
        <v>202</v>
      </c>
      <c r="B76" t="s">
        <v>63</v>
      </c>
      <c r="C76" s="37" t="s">
        <v>361</v>
      </c>
      <c r="D76" s="37" t="s">
        <v>362</v>
      </c>
    </row>
    <row r="77" spans="1:4" x14ac:dyDescent="0.35">
      <c r="A77">
        <v>203</v>
      </c>
      <c r="B77" t="s">
        <v>63</v>
      </c>
      <c r="C77" s="37" t="s">
        <v>63</v>
      </c>
      <c r="D77" s="37" t="s">
        <v>363</v>
      </c>
    </row>
    <row r="78" spans="1:4" x14ac:dyDescent="0.35">
      <c r="A78">
        <v>207</v>
      </c>
      <c r="B78" t="s">
        <v>63</v>
      </c>
      <c r="C78" s="37" t="s">
        <v>364</v>
      </c>
      <c r="D78" s="37" t="s">
        <v>365</v>
      </c>
    </row>
    <row r="79" spans="1:4" x14ac:dyDescent="0.35">
      <c r="A79">
        <v>208</v>
      </c>
      <c r="B79" t="s">
        <v>63</v>
      </c>
      <c r="C79" s="37" t="s">
        <v>63</v>
      </c>
      <c r="D79" s="37" t="s">
        <v>366</v>
      </c>
    </row>
    <row r="80" spans="1:4" x14ac:dyDescent="0.35">
      <c r="A80">
        <v>209</v>
      </c>
      <c r="B80" t="s">
        <v>63</v>
      </c>
      <c r="D80" s="37" t="s">
        <v>367</v>
      </c>
    </row>
    <row r="81" spans="1:4" x14ac:dyDescent="0.35">
      <c r="A81">
        <v>210</v>
      </c>
      <c r="B81" t="s">
        <v>63</v>
      </c>
      <c r="D81" s="37" t="s">
        <v>368</v>
      </c>
    </row>
    <row r="82" spans="1:4" x14ac:dyDescent="0.35">
      <c r="A82">
        <v>211</v>
      </c>
      <c r="B82" t="s">
        <v>63</v>
      </c>
      <c r="D82" s="37" t="s">
        <v>369</v>
      </c>
    </row>
    <row r="83" spans="1:4" x14ac:dyDescent="0.35">
      <c r="A83">
        <v>212</v>
      </c>
      <c r="B83" t="s">
        <v>63</v>
      </c>
      <c r="D83" s="37" t="s">
        <v>370</v>
      </c>
    </row>
    <row r="84" spans="1:4" x14ac:dyDescent="0.35">
      <c r="A84">
        <v>213</v>
      </c>
      <c r="B84" t="s">
        <v>63</v>
      </c>
      <c r="D84" s="37" t="s">
        <v>371</v>
      </c>
    </row>
    <row r="85" spans="1:4" x14ac:dyDescent="0.35">
      <c r="A85">
        <v>214</v>
      </c>
      <c r="B85" t="s">
        <v>63</v>
      </c>
      <c r="D85" s="37" t="s">
        <v>372</v>
      </c>
    </row>
    <row r="86" spans="1:4" x14ac:dyDescent="0.35">
      <c r="A86">
        <v>215</v>
      </c>
      <c r="B86" t="s">
        <v>63</v>
      </c>
    </row>
    <row r="87" spans="1:4" x14ac:dyDescent="0.35">
      <c r="A87">
        <v>216</v>
      </c>
      <c r="B87" t="s">
        <v>63</v>
      </c>
    </row>
    <row r="88" spans="1:4" x14ac:dyDescent="0.35">
      <c r="A88">
        <v>217</v>
      </c>
      <c r="B88" t="s">
        <v>63</v>
      </c>
      <c r="C88" s="37" t="s">
        <v>63</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5" x14ac:dyDescent="0.35"/>
  <cols>
    <col min="1" max="1" width="16.54296875" bestFit="1" customWidth="1"/>
    <col min="2" max="2" width="17.453125" bestFit="1" customWidth="1"/>
    <col min="3" max="3" width="19.453125" bestFit="1" customWidth="1"/>
    <col min="4" max="4" width="17.453125" bestFit="1" customWidth="1"/>
    <col min="5" max="5" width="51.81640625" bestFit="1" customWidth="1"/>
    <col min="6" max="9" width="17.453125" bestFit="1" customWidth="1"/>
    <col min="10" max="11" width="4" bestFit="1" customWidth="1"/>
    <col min="12" max="12" width="7.81640625" bestFit="1" customWidth="1"/>
    <col min="13" max="13" width="3.453125" bestFit="1" customWidth="1"/>
  </cols>
  <sheetData>
    <row r="2" spans="1:13" x14ac:dyDescent="0.35">
      <c r="A2" s="24" t="s">
        <v>373</v>
      </c>
      <c r="B2" s="24" t="s">
        <v>177</v>
      </c>
      <c r="C2" s="24" t="s">
        <v>63</v>
      </c>
      <c r="D2" s="24">
        <v>1</v>
      </c>
      <c r="E2" s="24" t="s">
        <v>63</v>
      </c>
      <c r="F2" s="24">
        <v>732</v>
      </c>
      <c r="I2">
        <v>1</v>
      </c>
      <c r="J2" t="s">
        <v>63</v>
      </c>
      <c r="K2">
        <v>732</v>
      </c>
      <c r="L2" t="s">
        <v>64</v>
      </c>
      <c r="M2" t="s">
        <v>63</v>
      </c>
    </row>
    <row r="3" spans="1:13" x14ac:dyDescent="0.35">
      <c r="A3" s="24" t="s">
        <v>374</v>
      </c>
      <c r="B3" s="24" t="s">
        <v>375</v>
      </c>
      <c r="C3" s="24">
        <v>1</v>
      </c>
      <c r="D3" s="24">
        <v>11</v>
      </c>
      <c r="E3" s="24">
        <v>15</v>
      </c>
      <c r="F3" s="24">
        <v>5</v>
      </c>
      <c r="I3">
        <v>542</v>
      </c>
      <c r="J3">
        <v>543</v>
      </c>
      <c r="K3">
        <v>2</v>
      </c>
      <c r="L3" t="s">
        <v>196</v>
      </c>
      <c r="M3" t="s">
        <v>69</v>
      </c>
    </row>
    <row r="4" spans="1:13" x14ac:dyDescent="0.35">
      <c r="A4" s="24" t="s">
        <v>376</v>
      </c>
      <c r="B4" s="24" t="s">
        <v>377</v>
      </c>
      <c r="C4" s="24">
        <v>3</v>
      </c>
      <c r="D4" s="24">
        <v>314</v>
      </c>
      <c r="E4" s="24">
        <v>318</v>
      </c>
      <c r="F4" s="24">
        <v>5</v>
      </c>
      <c r="H4" t="s">
        <v>124</v>
      </c>
      <c r="I4">
        <v>724</v>
      </c>
      <c r="J4">
        <v>726</v>
      </c>
      <c r="K4">
        <v>3</v>
      </c>
      <c r="L4" t="s">
        <v>125</v>
      </c>
      <c r="M4" t="s">
        <v>69</v>
      </c>
    </row>
    <row r="5" spans="1:13" x14ac:dyDescent="0.35">
      <c r="A5" s="24" t="s">
        <v>378</v>
      </c>
      <c r="B5" s="24" t="s">
        <v>379</v>
      </c>
      <c r="C5" s="24">
        <v>112</v>
      </c>
      <c r="D5" s="24">
        <v>358</v>
      </c>
      <c r="E5" s="24">
        <v>362</v>
      </c>
      <c r="F5" s="24">
        <v>5</v>
      </c>
      <c r="H5" t="s">
        <v>380</v>
      </c>
      <c r="I5">
        <v>727</v>
      </c>
      <c r="J5">
        <v>727</v>
      </c>
      <c r="K5">
        <v>1</v>
      </c>
      <c r="L5" t="s">
        <v>381</v>
      </c>
      <c r="M5" t="s">
        <v>69</v>
      </c>
    </row>
    <row r="6" spans="1:13" x14ac:dyDescent="0.35">
      <c r="A6" s="24" t="s">
        <v>382</v>
      </c>
      <c r="B6" s="24" t="s">
        <v>383</v>
      </c>
      <c r="C6" s="24">
        <v>113</v>
      </c>
      <c r="D6" s="24">
        <v>492</v>
      </c>
      <c r="E6" s="24">
        <v>496</v>
      </c>
      <c r="F6" s="24">
        <v>5</v>
      </c>
      <c r="H6" t="s">
        <v>384</v>
      </c>
      <c r="I6">
        <v>728</v>
      </c>
      <c r="J6">
        <v>729</v>
      </c>
      <c r="K6">
        <v>2</v>
      </c>
      <c r="L6" t="s">
        <v>385</v>
      </c>
      <c r="M6" t="s">
        <v>69</v>
      </c>
    </row>
    <row r="7" spans="1:13" x14ac:dyDescent="0.35">
      <c r="A7" s="24" t="s">
        <v>386</v>
      </c>
      <c r="B7" s="24" t="s">
        <v>387</v>
      </c>
      <c r="C7" s="24">
        <v>6</v>
      </c>
      <c r="D7" s="24">
        <v>598</v>
      </c>
      <c r="E7" s="24">
        <v>602</v>
      </c>
      <c r="F7" s="24">
        <v>3</v>
      </c>
      <c r="H7" t="s">
        <v>388</v>
      </c>
      <c r="I7">
        <v>730</v>
      </c>
      <c r="J7">
        <v>732</v>
      </c>
      <c r="K7">
        <v>3</v>
      </c>
      <c r="L7" t="s">
        <v>389</v>
      </c>
      <c r="M7" t="s">
        <v>69</v>
      </c>
    </row>
    <row r="9" spans="1:13" x14ac:dyDescent="0.35">
      <c r="D9" t="s">
        <v>390</v>
      </c>
    </row>
    <row r="10" spans="1:13" x14ac:dyDescent="0.35">
      <c r="A10" s="31" t="s">
        <v>391</v>
      </c>
      <c r="B10" s="43" t="s">
        <v>392</v>
      </c>
      <c r="C10" t="s">
        <v>392</v>
      </c>
      <c r="D10" t="s">
        <v>393</v>
      </c>
      <c r="E10" t="s">
        <v>394</v>
      </c>
    </row>
    <row r="11" spans="1:13" x14ac:dyDescent="0.35">
      <c r="A11" s="31" t="s">
        <v>395</v>
      </c>
      <c r="B11" t="s">
        <v>396</v>
      </c>
      <c r="C11" t="s">
        <v>397</v>
      </c>
      <c r="D11" t="s">
        <v>375</v>
      </c>
      <c r="E11" t="s">
        <v>398</v>
      </c>
    </row>
    <row r="12" spans="1:13" x14ac:dyDescent="0.35">
      <c r="A12" s="31" t="s">
        <v>399</v>
      </c>
      <c r="B12" t="s">
        <v>400</v>
      </c>
      <c r="C12" t="s">
        <v>401</v>
      </c>
      <c r="D12" t="s">
        <v>402</v>
      </c>
      <c r="E12" s="50" t="s">
        <v>403</v>
      </c>
    </row>
    <row r="13" spans="1:13" x14ac:dyDescent="0.35">
      <c r="A13" s="31" t="s">
        <v>404</v>
      </c>
      <c r="B13" t="s">
        <v>405</v>
      </c>
      <c r="C13" t="s">
        <v>384</v>
      </c>
      <c r="D13" t="s">
        <v>406</v>
      </c>
      <c r="E13" s="49" t="s">
        <v>407</v>
      </c>
    </row>
    <row r="14" spans="1:13" x14ac:dyDescent="0.35">
      <c r="A14" s="29" t="s">
        <v>408</v>
      </c>
      <c r="B14" t="s">
        <v>380</v>
      </c>
      <c r="C14" t="s">
        <v>380</v>
      </c>
      <c r="D14" t="s">
        <v>409</v>
      </c>
      <c r="E14" s="35" t="s">
        <v>410</v>
      </c>
    </row>
    <row r="15" spans="1:13" x14ac:dyDescent="0.35">
      <c r="A15" s="29" t="s">
        <v>411</v>
      </c>
      <c r="B15" t="s">
        <v>412</v>
      </c>
      <c r="C15" t="s">
        <v>413</v>
      </c>
      <c r="D15" t="s">
        <v>414</v>
      </c>
      <c r="E15" s="35" t="s">
        <v>415</v>
      </c>
    </row>
    <row r="16" spans="1:13" x14ac:dyDescent="0.35">
      <c r="A16" s="32" t="s">
        <v>416</v>
      </c>
      <c r="B16" t="s">
        <v>417</v>
      </c>
      <c r="C16" t="s">
        <v>418</v>
      </c>
      <c r="D16" t="s">
        <v>419</v>
      </c>
      <c r="E16" s="45" t="s">
        <v>420</v>
      </c>
      <c r="F16" s="45" t="s">
        <v>421</v>
      </c>
      <c r="G16" s="45"/>
    </row>
    <row r="17" spans="1:8" x14ac:dyDescent="0.35">
      <c r="A17" s="29" t="s">
        <v>422</v>
      </c>
      <c r="B17" t="s">
        <v>423</v>
      </c>
      <c r="C17" t="s">
        <v>423</v>
      </c>
      <c r="D17" t="s">
        <v>377</v>
      </c>
      <c r="E17" s="35" t="s">
        <v>424</v>
      </c>
    </row>
    <row r="18" spans="1:8" x14ac:dyDescent="0.35">
      <c r="A18" s="29" t="s">
        <v>425</v>
      </c>
      <c r="B18" t="s">
        <v>426</v>
      </c>
      <c r="C18" t="s">
        <v>427</v>
      </c>
      <c r="D18" t="s">
        <v>428</v>
      </c>
      <c r="E18" s="35" t="s">
        <v>429</v>
      </c>
    </row>
    <row r="19" spans="1:8" x14ac:dyDescent="0.35">
      <c r="A19" s="29" t="s">
        <v>430</v>
      </c>
      <c r="B19" t="s">
        <v>431</v>
      </c>
      <c r="C19" t="s">
        <v>432</v>
      </c>
      <c r="D19" t="s">
        <v>433</v>
      </c>
      <c r="E19" s="47" t="s">
        <v>434</v>
      </c>
    </row>
    <row r="20" spans="1:8" x14ac:dyDescent="0.35">
      <c r="A20" s="29" t="s">
        <v>435</v>
      </c>
      <c r="B20" t="s">
        <v>436</v>
      </c>
      <c r="C20" t="s">
        <v>437</v>
      </c>
      <c r="D20" t="s">
        <v>438</v>
      </c>
      <c r="E20" s="47" t="s">
        <v>439</v>
      </c>
      <c r="H20" t="s">
        <v>440</v>
      </c>
    </row>
    <row r="21" spans="1:8" x14ac:dyDescent="0.35">
      <c r="A21" s="29" t="s">
        <v>441</v>
      </c>
      <c r="B21" t="s">
        <v>442</v>
      </c>
      <c r="C21" t="s">
        <v>443</v>
      </c>
      <c r="D21" t="s">
        <v>444</v>
      </c>
      <c r="E21" s="47" t="s">
        <v>445</v>
      </c>
      <c r="G21">
        <v>6</v>
      </c>
    </row>
    <row r="22" spans="1:8" x14ac:dyDescent="0.35">
      <c r="A22" s="29" t="s">
        <v>446</v>
      </c>
      <c r="B22" t="s">
        <v>447</v>
      </c>
      <c r="C22" t="s">
        <v>448</v>
      </c>
      <c r="D22" t="s">
        <v>449</v>
      </c>
      <c r="E22" s="47" t="s">
        <v>450</v>
      </c>
      <c r="G22">
        <v>10</v>
      </c>
    </row>
    <row r="23" spans="1:8" x14ac:dyDescent="0.35">
      <c r="A23" s="32" t="s">
        <v>451</v>
      </c>
      <c r="B23" t="s">
        <v>452</v>
      </c>
      <c r="C23" t="s">
        <v>453</v>
      </c>
      <c r="D23" t="s">
        <v>454</v>
      </c>
      <c r="G23">
        <v>3</v>
      </c>
    </row>
    <row r="24" spans="1:8" x14ac:dyDescent="0.35">
      <c r="A24" s="29" t="s">
        <v>455</v>
      </c>
      <c r="B24" t="s">
        <v>456</v>
      </c>
      <c r="C24" s="49" t="s">
        <v>457</v>
      </c>
      <c r="D24" t="s">
        <v>379</v>
      </c>
      <c r="E24" s="35" t="s">
        <v>458</v>
      </c>
      <c r="G24">
        <v>2</v>
      </c>
    </row>
    <row r="25" spans="1:8" x14ac:dyDescent="0.35">
      <c r="A25" s="29" t="s">
        <v>459</v>
      </c>
      <c r="B25" t="s">
        <v>460</v>
      </c>
      <c r="C25" t="s">
        <v>461</v>
      </c>
      <c r="D25" t="s">
        <v>462</v>
      </c>
      <c r="E25" s="35" t="s">
        <v>463</v>
      </c>
      <c r="G25">
        <v>1</v>
      </c>
    </row>
    <row r="26" spans="1:8" x14ac:dyDescent="0.35">
      <c r="A26" s="29" t="s">
        <v>464</v>
      </c>
      <c r="B26" s="48" t="s">
        <v>465</v>
      </c>
      <c r="C26" s="45" t="s">
        <v>466</v>
      </c>
      <c r="D26" t="s">
        <v>467</v>
      </c>
      <c r="E26" s="47" t="s">
        <v>468</v>
      </c>
      <c r="G26">
        <v>2</v>
      </c>
    </row>
    <row r="27" spans="1:8" x14ac:dyDescent="0.35">
      <c r="A27" s="29" t="s">
        <v>469</v>
      </c>
      <c r="B27" t="s">
        <v>470</v>
      </c>
      <c r="C27" s="45" t="s">
        <v>471</v>
      </c>
      <c r="D27" t="s">
        <v>472</v>
      </c>
      <c r="E27" s="47" t="s">
        <v>473</v>
      </c>
      <c r="G27">
        <v>10</v>
      </c>
    </row>
    <row r="28" spans="1:8" x14ac:dyDescent="0.35">
      <c r="A28" s="31" t="s">
        <v>474</v>
      </c>
      <c r="B28" t="s">
        <v>475</v>
      </c>
      <c r="C28" s="45" t="s">
        <v>476</v>
      </c>
      <c r="D28" t="s">
        <v>477</v>
      </c>
      <c r="E28" t="s">
        <v>478</v>
      </c>
      <c r="G28">
        <v>4</v>
      </c>
    </row>
    <row r="29" spans="1:8" x14ac:dyDescent="0.35">
      <c r="A29" s="29" t="s">
        <v>479</v>
      </c>
      <c r="B29" t="s">
        <v>480</v>
      </c>
      <c r="C29" t="s">
        <v>481</v>
      </c>
      <c r="D29" t="s">
        <v>482</v>
      </c>
      <c r="E29" s="35" t="s">
        <v>483</v>
      </c>
      <c r="G29">
        <v>11</v>
      </c>
    </row>
    <row r="30" spans="1:8" x14ac:dyDescent="0.35">
      <c r="A30" s="29" t="s">
        <v>484</v>
      </c>
      <c r="B30" t="s">
        <v>485</v>
      </c>
      <c r="C30" s="45" t="s">
        <v>486</v>
      </c>
      <c r="D30" t="s">
        <v>487</v>
      </c>
      <c r="E30" s="47" t="s">
        <v>488</v>
      </c>
      <c r="G30">
        <v>10</v>
      </c>
    </row>
    <row r="31" spans="1:8" x14ac:dyDescent="0.35">
      <c r="A31" s="32" t="s">
        <v>489</v>
      </c>
      <c r="B31" t="s">
        <v>490</v>
      </c>
      <c r="C31" t="s">
        <v>491</v>
      </c>
      <c r="D31" t="s">
        <v>492</v>
      </c>
      <c r="E31" s="45" t="s">
        <v>493</v>
      </c>
      <c r="G31">
        <v>5</v>
      </c>
    </row>
    <row r="32" spans="1:8" x14ac:dyDescent="0.35">
      <c r="A32" s="32" t="s">
        <v>494</v>
      </c>
      <c r="B32" s="44" t="s">
        <v>495</v>
      </c>
      <c r="C32" t="s">
        <v>496</v>
      </c>
      <c r="D32" t="s">
        <v>497</v>
      </c>
      <c r="E32" s="45" t="s">
        <v>498</v>
      </c>
      <c r="G32">
        <v>4</v>
      </c>
    </row>
    <row r="33" spans="1:7" x14ac:dyDescent="0.35">
      <c r="A33" s="29" t="s">
        <v>499</v>
      </c>
      <c r="B33" t="s">
        <v>500</v>
      </c>
      <c r="C33" t="s">
        <v>501</v>
      </c>
      <c r="D33" t="s">
        <v>383</v>
      </c>
      <c r="E33" s="35" t="s">
        <v>502</v>
      </c>
      <c r="G33">
        <v>9</v>
      </c>
    </row>
    <row r="34" spans="1:7" x14ac:dyDescent="0.35">
      <c r="A34" s="29" t="s">
        <v>503</v>
      </c>
      <c r="B34" t="s">
        <v>504</v>
      </c>
      <c r="C34" t="s">
        <v>505</v>
      </c>
      <c r="D34" t="s">
        <v>506</v>
      </c>
      <c r="E34" s="35" t="s">
        <v>507</v>
      </c>
      <c r="G34">
        <v>4</v>
      </c>
    </row>
    <row r="35" spans="1:7" x14ac:dyDescent="0.35">
      <c r="A35" s="31" t="s">
        <v>508</v>
      </c>
      <c r="C35" s="45" t="s">
        <v>380</v>
      </c>
      <c r="D35" t="s">
        <v>509</v>
      </c>
      <c r="E35" t="s">
        <v>510</v>
      </c>
      <c r="G35">
        <v>5</v>
      </c>
    </row>
    <row r="36" spans="1:7" x14ac:dyDescent="0.35">
      <c r="A36" s="31" t="s">
        <v>511</v>
      </c>
      <c r="C36" s="45" t="s">
        <v>384</v>
      </c>
      <c r="D36" t="s">
        <v>512</v>
      </c>
      <c r="E36" t="s">
        <v>513</v>
      </c>
      <c r="G36">
        <v>7</v>
      </c>
    </row>
    <row r="37" spans="1:7" x14ac:dyDescent="0.35">
      <c r="A37" s="29" t="s">
        <v>514</v>
      </c>
      <c r="C37" s="45" t="s">
        <v>515</v>
      </c>
      <c r="D37" t="s">
        <v>516</v>
      </c>
      <c r="E37" s="35" t="s">
        <v>517</v>
      </c>
      <c r="G37">
        <v>6</v>
      </c>
    </row>
    <row r="38" spans="1:7" x14ac:dyDescent="0.35">
      <c r="A38" s="31" t="s">
        <v>518</v>
      </c>
      <c r="C38" t="s">
        <v>423</v>
      </c>
      <c r="D38" t="s">
        <v>519</v>
      </c>
      <c r="E38" t="s">
        <v>520</v>
      </c>
      <c r="G38">
        <v>10</v>
      </c>
    </row>
    <row r="39" spans="1:7" x14ac:dyDescent="0.35">
      <c r="A39" s="29" t="s">
        <v>521</v>
      </c>
      <c r="C39" t="s">
        <v>427</v>
      </c>
      <c r="D39" t="s">
        <v>387</v>
      </c>
      <c r="E39" s="35" t="s">
        <v>522</v>
      </c>
      <c r="G39">
        <v>17</v>
      </c>
    </row>
    <row r="40" spans="1:7" x14ac:dyDescent="0.35">
      <c r="A40" s="29" t="s">
        <v>523</v>
      </c>
      <c r="C40" t="s">
        <v>432</v>
      </c>
      <c r="D40" t="s">
        <v>524</v>
      </c>
      <c r="E40" s="35" t="s">
        <v>525</v>
      </c>
      <c r="G40">
        <v>17</v>
      </c>
    </row>
    <row r="41" spans="1:7" x14ac:dyDescent="0.35">
      <c r="A41" s="29" t="s">
        <v>526</v>
      </c>
      <c r="C41" t="s">
        <v>437</v>
      </c>
      <c r="D41" t="s">
        <v>526</v>
      </c>
      <c r="E41" s="47" t="s">
        <v>527</v>
      </c>
      <c r="G41">
        <v>10</v>
      </c>
    </row>
    <row r="42" spans="1:7" x14ac:dyDescent="0.35">
      <c r="A42" s="29" t="s">
        <v>528</v>
      </c>
      <c r="C42" s="46" t="s">
        <v>529</v>
      </c>
      <c r="D42" t="s">
        <v>530</v>
      </c>
      <c r="E42" s="47" t="s">
        <v>531</v>
      </c>
      <c r="G42">
        <v>1</v>
      </c>
    </row>
    <row r="43" spans="1:7" x14ac:dyDescent="0.35">
      <c r="A43" s="29" t="s">
        <v>532</v>
      </c>
      <c r="C43" s="46" t="s">
        <v>533</v>
      </c>
      <c r="D43" t="s">
        <v>534</v>
      </c>
      <c r="E43" s="35" t="s">
        <v>535</v>
      </c>
      <c r="G43">
        <v>4</v>
      </c>
    </row>
    <row r="44" spans="1:7" x14ac:dyDescent="0.35">
      <c r="A44" s="29" t="s">
        <v>536</v>
      </c>
      <c r="C44" s="46" t="s">
        <v>537</v>
      </c>
      <c r="D44" t="s">
        <v>538</v>
      </c>
      <c r="E44" s="47" t="s">
        <v>539</v>
      </c>
      <c r="G44">
        <v>50</v>
      </c>
    </row>
    <row r="45" spans="1:7" x14ac:dyDescent="0.35">
      <c r="A45" s="29" t="s">
        <v>540</v>
      </c>
      <c r="D45" t="s">
        <v>541</v>
      </c>
      <c r="E45" s="47" t="s">
        <v>542</v>
      </c>
      <c r="G45">
        <v>10</v>
      </c>
    </row>
    <row r="46" spans="1:7" x14ac:dyDescent="0.35">
      <c r="A46" s="31"/>
      <c r="C46" t="s">
        <v>543</v>
      </c>
      <c r="D46" t="s">
        <v>544</v>
      </c>
      <c r="E46" s="50" t="s">
        <v>545</v>
      </c>
      <c r="G46">
        <v>1</v>
      </c>
    </row>
    <row r="47" spans="1:7" x14ac:dyDescent="0.35">
      <c r="A47" s="31"/>
      <c r="C47" t="s">
        <v>546</v>
      </c>
      <c r="D47" t="s">
        <v>547</v>
      </c>
      <c r="E47" s="49" t="s">
        <v>548</v>
      </c>
      <c r="G47">
        <v>2</v>
      </c>
    </row>
    <row r="48" spans="1:7" x14ac:dyDescent="0.35">
      <c r="A48" s="31"/>
      <c r="C48" t="s">
        <v>549</v>
      </c>
      <c r="D48" t="s">
        <v>550</v>
      </c>
      <c r="E48" t="s">
        <v>551</v>
      </c>
      <c r="G48">
        <v>3</v>
      </c>
    </row>
    <row r="49" spans="1:8" x14ac:dyDescent="0.35">
      <c r="A49" s="31"/>
      <c r="C49" t="s">
        <v>552</v>
      </c>
      <c r="D49" t="s">
        <v>553</v>
      </c>
      <c r="E49" t="s">
        <v>554</v>
      </c>
      <c r="G49">
        <v>15</v>
      </c>
    </row>
    <row r="50" spans="1:8" x14ac:dyDescent="0.35">
      <c r="A50" s="31" t="s">
        <v>555</v>
      </c>
      <c r="C50" t="s">
        <v>556</v>
      </c>
      <c r="D50" t="s">
        <v>557</v>
      </c>
      <c r="E50" s="45" t="s">
        <v>558</v>
      </c>
      <c r="G50">
        <v>10</v>
      </c>
    </row>
    <row r="51" spans="1:8" x14ac:dyDescent="0.35">
      <c r="C51" t="s">
        <v>559</v>
      </c>
      <c r="E51" s="45" t="s">
        <v>560</v>
      </c>
      <c r="G51">
        <v>5</v>
      </c>
    </row>
    <row r="52" spans="1:8" x14ac:dyDescent="0.35">
      <c r="C52" t="s">
        <v>561</v>
      </c>
      <c r="E52" s="45" t="s">
        <v>562</v>
      </c>
      <c r="G52">
        <v>4</v>
      </c>
    </row>
    <row r="53" spans="1:8" x14ac:dyDescent="0.35">
      <c r="C53" t="s">
        <v>563</v>
      </c>
      <c r="E53" s="45" t="s">
        <v>564</v>
      </c>
      <c r="G53">
        <v>11</v>
      </c>
    </row>
    <row r="54" spans="1:8" x14ac:dyDescent="0.35">
      <c r="C54" s="49" t="s">
        <v>565</v>
      </c>
      <c r="E54" s="45" t="s">
        <v>566</v>
      </c>
      <c r="G54">
        <v>2</v>
      </c>
      <c r="H54">
        <f>SUM(G21:G54)</f>
        <v>271</v>
      </c>
    </row>
    <row r="55" spans="1:8" x14ac:dyDescent="0.35">
      <c r="C55" s="49" t="s">
        <v>567</v>
      </c>
      <c r="E55" s="45" t="s">
        <v>568</v>
      </c>
    </row>
    <row r="56" spans="1:8" x14ac:dyDescent="0.35">
      <c r="C56" t="s">
        <v>569</v>
      </c>
      <c r="E56" s="45" t="s">
        <v>570</v>
      </c>
    </row>
    <row r="57" spans="1:8" x14ac:dyDescent="0.35">
      <c r="C57" t="s">
        <v>571</v>
      </c>
    </row>
    <row r="58" spans="1:8" x14ac:dyDescent="0.35">
      <c r="C58" t="s">
        <v>572</v>
      </c>
    </row>
    <row r="59" spans="1:8" x14ac:dyDescent="0.35">
      <c r="C59" t="s">
        <v>573</v>
      </c>
    </row>
    <row r="61" spans="1:8" x14ac:dyDescent="0.35">
      <c r="B61" t="s">
        <v>574</v>
      </c>
      <c r="C61" s="45" t="s">
        <v>575</v>
      </c>
    </row>
    <row r="62" spans="1:8" x14ac:dyDescent="0.35">
      <c r="C62" s="45" t="s">
        <v>576</v>
      </c>
    </row>
    <row r="63" spans="1:8" x14ac:dyDescent="0.35">
      <c r="C63" s="45" t="s">
        <v>124</v>
      </c>
    </row>
    <row r="64" spans="1:8" x14ac:dyDescent="0.35">
      <c r="C64" s="45" t="s">
        <v>388</v>
      </c>
    </row>
    <row r="65" spans="2:3" x14ac:dyDescent="0.35">
      <c r="C65" t="s">
        <v>577</v>
      </c>
    </row>
    <row r="66" spans="2:3" x14ac:dyDescent="0.35">
      <c r="C66" t="s">
        <v>578</v>
      </c>
    </row>
    <row r="67" spans="2:3" x14ac:dyDescent="0.35">
      <c r="C67" s="45" t="s">
        <v>579</v>
      </c>
    </row>
    <row r="68" spans="2:3" x14ac:dyDescent="0.35">
      <c r="C68" t="s">
        <v>402</v>
      </c>
    </row>
    <row r="70" spans="2:3" x14ac:dyDescent="0.35">
      <c r="B70" t="s">
        <v>580</v>
      </c>
      <c r="C70" s="50" t="s">
        <v>581</v>
      </c>
    </row>
    <row r="71" spans="2:3" x14ac:dyDescent="0.35">
      <c r="C71" s="50" t="s">
        <v>402</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1640625" defaultRowHeight="14.5" x14ac:dyDescent="0.35"/>
  <cols>
    <col min="1" max="1" width="14" style="24" bestFit="1" customWidth="1"/>
    <col min="2" max="2" width="32.453125" style="24" bestFit="1" customWidth="1"/>
    <col min="3" max="3" width="40.54296875" style="24" bestFit="1" customWidth="1"/>
    <col min="4" max="4" width="10.81640625" style="24" bestFit="1" customWidth="1"/>
    <col min="5" max="5" width="43.54296875" style="24" bestFit="1" customWidth="1"/>
    <col min="6" max="6" width="10" style="24" bestFit="1" customWidth="1"/>
    <col min="7" max="16384" width="8.81640625" style="24"/>
  </cols>
  <sheetData>
    <row r="1" spans="1:7" x14ac:dyDescent="0.35">
      <c r="A1" s="34" t="s">
        <v>582</v>
      </c>
      <c r="B1" s="40" t="s">
        <v>583</v>
      </c>
      <c r="C1" s="34" t="s">
        <v>584</v>
      </c>
      <c r="D1" s="34" t="s">
        <v>585</v>
      </c>
      <c r="E1" s="34" t="s">
        <v>586</v>
      </c>
      <c r="F1" s="34" t="s">
        <v>585</v>
      </c>
    </row>
    <row r="2" spans="1:7" x14ac:dyDescent="0.35">
      <c r="A2" s="270" t="s">
        <v>587</v>
      </c>
      <c r="B2" s="39" t="s">
        <v>588</v>
      </c>
      <c r="C2" s="30"/>
      <c r="D2" s="41"/>
      <c r="E2" s="30" t="s">
        <v>589</v>
      </c>
      <c r="F2" s="41" t="s">
        <v>590</v>
      </c>
    </row>
    <row r="3" spans="1:7" x14ac:dyDescent="0.35">
      <c r="A3" s="271"/>
      <c r="B3" s="40" t="s">
        <v>591</v>
      </c>
      <c r="C3" s="34" t="s">
        <v>592</v>
      </c>
      <c r="D3" s="34" t="s">
        <v>593</v>
      </c>
      <c r="E3" s="34" t="s">
        <v>594</v>
      </c>
      <c r="F3" s="34" t="s">
        <v>590</v>
      </c>
    </row>
    <row r="4" spans="1:7" x14ac:dyDescent="0.35">
      <c r="A4" s="272"/>
      <c r="B4" s="24" t="s">
        <v>595</v>
      </c>
      <c r="C4" s="34" t="s">
        <v>596</v>
      </c>
      <c r="D4" s="34"/>
      <c r="E4" s="34" t="s">
        <v>597</v>
      </c>
      <c r="F4" s="34" t="s">
        <v>590</v>
      </c>
    </row>
    <row r="5" spans="1:7" x14ac:dyDescent="0.35">
      <c r="A5" s="34" t="s">
        <v>598</v>
      </c>
      <c r="B5" s="28" t="s">
        <v>599</v>
      </c>
      <c r="C5" s="28" t="s">
        <v>600</v>
      </c>
      <c r="D5" s="34" t="s">
        <v>601</v>
      </c>
      <c r="E5" s="34"/>
      <c r="F5" s="34"/>
    </row>
    <row r="6" spans="1:7" x14ac:dyDescent="0.35">
      <c r="A6" s="34"/>
      <c r="B6" s="34"/>
      <c r="C6" s="34"/>
      <c r="D6" s="34"/>
      <c r="E6" s="34"/>
      <c r="F6" s="34"/>
    </row>
    <row r="7" spans="1:7" ht="29" x14ac:dyDescent="0.35">
      <c r="A7" s="34"/>
      <c r="B7" s="28"/>
      <c r="C7" s="28" t="s">
        <v>602</v>
      </c>
      <c r="D7" s="34"/>
      <c r="E7" s="34"/>
      <c r="F7" s="34"/>
      <c r="G7" s="34" t="s">
        <v>603</v>
      </c>
    </row>
    <row r="8" spans="1:7" x14ac:dyDescent="0.35">
      <c r="A8" s="34"/>
      <c r="B8" s="34"/>
      <c r="C8" s="34"/>
      <c r="D8" s="34"/>
      <c r="E8" s="34"/>
      <c r="F8" s="34"/>
    </row>
    <row r="9" spans="1:7" x14ac:dyDescent="0.35">
      <c r="A9" s="34" t="s">
        <v>604</v>
      </c>
      <c r="B9" s="34"/>
      <c r="C9" s="34" t="s">
        <v>605</v>
      </c>
      <c r="D9" s="34"/>
      <c r="E9" s="34"/>
      <c r="F9" s="34"/>
    </row>
    <row r="10" spans="1:7" x14ac:dyDescent="0.35">
      <c r="A10" s="42"/>
      <c r="B10" s="42"/>
      <c r="C10" s="42"/>
      <c r="D10" s="42"/>
      <c r="E10" s="34"/>
      <c r="F10" s="34"/>
    </row>
    <row r="11" spans="1:7" x14ac:dyDescent="0.35">
      <c r="A11" s="34" t="s">
        <v>606</v>
      </c>
      <c r="B11" s="34"/>
      <c r="C11" s="34" t="s">
        <v>607</v>
      </c>
      <c r="D11" s="34"/>
      <c r="E11" s="34"/>
      <c r="F11" s="34"/>
    </row>
    <row r="12" spans="1:7" x14ac:dyDescent="0.35">
      <c r="A12" s="34" t="s">
        <v>606</v>
      </c>
      <c r="B12" s="34"/>
      <c r="C12" s="34" t="s">
        <v>608</v>
      </c>
      <c r="D12" s="34"/>
      <c r="E12" s="34"/>
      <c r="F12" s="34"/>
    </row>
    <row r="13" spans="1:7" x14ac:dyDescent="0.35">
      <c r="A13" s="34" t="s">
        <v>606</v>
      </c>
      <c r="B13" s="34" t="s">
        <v>609</v>
      </c>
      <c r="C13" s="34" t="s">
        <v>610</v>
      </c>
      <c r="D13" s="34"/>
      <c r="E13" s="34" t="s">
        <v>611</v>
      </c>
      <c r="F13" s="34"/>
    </row>
    <row r="14" spans="1:7" x14ac:dyDescent="0.35">
      <c r="A14" s="34" t="s">
        <v>606</v>
      </c>
      <c r="B14" s="34" t="s">
        <v>612</v>
      </c>
      <c r="C14" s="34" t="s">
        <v>613</v>
      </c>
      <c r="D14" s="34"/>
      <c r="E14" s="34" t="s">
        <v>614</v>
      </c>
      <c r="F14" s="34"/>
    </row>
    <row r="15" spans="1:7" x14ac:dyDescent="0.35">
      <c r="A15" s="34"/>
      <c r="B15" s="34"/>
      <c r="C15" s="34"/>
      <c r="D15" s="34"/>
      <c r="E15" s="34"/>
      <c r="F15" s="34"/>
    </row>
    <row r="16" spans="1:7" x14ac:dyDescent="0.35">
      <c r="A16" s="270" t="s">
        <v>615</v>
      </c>
      <c r="B16" s="270" t="s">
        <v>616</v>
      </c>
      <c r="C16" s="34" t="s">
        <v>617</v>
      </c>
      <c r="D16" s="34" t="s">
        <v>233</v>
      </c>
      <c r="E16" s="34" t="s">
        <v>618</v>
      </c>
      <c r="F16" s="34"/>
    </row>
    <row r="17" spans="1:6" x14ac:dyDescent="0.35">
      <c r="A17" s="271"/>
      <c r="B17" s="271"/>
      <c r="C17" s="34" t="s">
        <v>619</v>
      </c>
      <c r="D17" s="34" t="s">
        <v>233</v>
      </c>
      <c r="E17" s="34" t="s">
        <v>620</v>
      </c>
      <c r="F17" s="34"/>
    </row>
    <row r="18" spans="1:6" x14ac:dyDescent="0.35">
      <c r="A18" s="271"/>
      <c r="B18" s="271"/>
      <c r="C18" s="34" t="s">
        <v>621</v>
      </c>
      <c r="D18" s="34" t="s">
        <v>233</v>
      </c>
      <c r="E18" s="34" t="s">
        <v>622</v>
      </c>
      <c r="F18" s="34"/>
    </row>
    <row r="19" spans="1:6" x14ac:dyDescent="0.35">
      <c r="A19" s="272"/>
      <c r="B19" s="272"/>
      <c r="C19" s="34" t="s">
        <v>623</v>
      </c>
      <c r="D19" s="34" t="s">
        <v>233</v>
      </c>
      <c r="E19" s="34" t="s">
        <v>624</v>
      </c>
      <c r="F19" s="34"/>
    </row>
    <row r="20" spans="1:6" x14ac:dyDescent="0.35">
      <c r="A20" s="34"/>
      <c r="B20" s="34"/>
      <c r="C20" s="34"/>
      <c r="D20" s="34"/>
      <c r="E20" s="34"/>
      <c r="F20" s="34"/>
    </row>
    <row r="21" spans="1:6" ht="29" x14ac:dyDescent="0.35">
      <c r="A21" s="34" t="s">
        <v>625</v>
      </c>
      <c r="B21" s="34" t="s">
        <v>626</v>
      </c>
      <c r="C21" s="34" t="s">
        <v>627</v>
      </c>
      <c r="D21" s="34" t="s">
        <v>628</v>
      </c>
      <c r="E21" s="34" t="s">
        <v>629</v>
      </c>
      <c r="F21" s="34"/>
    </row>
    <row r="22" spans="1:6" x14ac:dyDescent="0.35">
      <c r="A22" s="34"/>
      <c r="B22" s="34"/>
      <c r="C22" s="34"/>
      <c r="D22" s="34"/>
      <c r="E22" s="34"/>
      <c r="F22" s="34"/>
    </row>
    <row r="23" spans="1:6" x14ac:dyDescent="0.35">
      <c r="A23" s="34"/>
      <c r="B23" s="34"/>
      <c r="C23" s="34"/>
      <c r="D23" s="34"/>
      <c r="E23" s="34"/>
      <c r="F23" s="34"/>
    </row>
    <row r="24" spans="1:6" x14ac:dyDescent="0.3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5" x14ac:dyDescent="0.35"/>
  <cols>
    <col min="1" max="1" width="10" bestFit="1" customWidth="1"/>
    <col min="2" max="2" width="40.453125" bestFit="1" customWidth="1"/>
    <col min="3" max="3" width="44.453125" customWidth="1"/>
    <col min="5" max="5" width="43.54296875" bestFit="1" customWidth="1"/>
    <col min="6" max="6" width="10" bestFit="1" customWidth="1"/>
  </cols>
  <sheetData>
    <row r="1" spans="1:6" x14ac:dyDescent="0.35">
      <c r="A1" s="23" t="s">
        <v>582</v>
      </c>
      <c r="B1" s="25" t="s">
        <v>583</v>
      </c>
      <c r="C1" s="23" t="s">
        <v>584</v>
      </c>
      <c r="D1" s="23" t="s">
        <v>585</v>
      </c>
      <c r="E1" s="23" t="s">
        <v>586</v>
      </c>
      <c r="F1" s="23" t="s">
        <v>585</v>
      </c>
    </row>
    <row r="2" spans="1:6" x14ac:dyDescent="0.35">
      <c r="A2" s="273" t="s">
        <v>587</v>
      </c>
      <c r="B2" s="38" t="s">
        <v>588</v>
      </c>
      <c r="C2" s="28"/>
      <c r="D2" s="23"/>
      <c r="E2" s="28" t="s">
        <v>589</v>
      </c>
      <c r="F2" s="23" t="s">
        <v>590</v>
      </c>
    </row>
    <row r="3" spans="1:6" x14ac:dyDescent="0.35">
      <c r="A3" s="274"/>
      <c r="B3" s="25" t="s">
        <v>591</v>
      </c>
      <c r="C3" s="23" t="s">
        <v>592</v>
      </c>
      <c r="D3" s="23" t="s">
        <v>593</v>
      </c>
      <c r="E3" s="23" t="s">
        <v>594</v>
      </c>
      <c r="F3" s="23" t="s">
        <v>590</v>
      </c>
    </row>
    <row r="4" spans="1:6" x14ac:dyDescent="0.35">
      <c r="A4" s="275"/>
      <c r="B4" t="s">
        <v>595</v>
      </c>
      <c r="C4" s="34" t="s">
        <v>596</v>
      </c>
      <c r="D4" s="23"/>
      <c r="E4" s="34" t="s">
        <v>597</v>
      </c>
      <c r="F4" s="23" t="s">
        <v>590</v>
      </c>
    </row>
    <row r="5" spans="1:6" x14ac:dyDescent="0.35">
      <c r="A5" s="23"/>
      <c r="B5" s="25"/>
      <c r="C5" s="23"/>
      <c r="D5" s="23"/>
      <c r="E5" s="23"/>
      <c r="F5" s="23"/>
    </row>
    <row r="6" spans="1:6" x14ac:dyDescent="0.35">
      <c r="A6" s="276" t="s">
        <v>630</v>
      </c>
      <c r="B6" s="23"/>
      <c r="C6" s="23" t="s">
        <v>631</v>
      </c>
      <c r="D6" s="23"/>
      <c r="E6" s="23" t="s">
        <v>632</v>
      </c>
      <c r="F6" s="25"/>
    </row>
    <row r="7" spans="1:6" x14ac:dyDescent="0.35">
      <c r="A7" s="276"/>
      <c r="B7" s="23"/>
      <c r="C7" s="23" t="s">
        <v>633</v>
      </c>
      <c r="D7" s="23"/>
      <c r="E7" s="23" t="s">
        <v>634</v>
      </c>
      <c r="F7" s="25"/>
    </row>
    <row r="8" spans="1:6" x14ac:dyDescent="0.35">
      <c r="A8" s="276"/>
      <c r="B8" s="23"/>
      <c r="C8" s="23" t="s">
        <v>635</v>
      </c>
      <c r="D8" s="23"/>
      <c r="E8" s="23" t="s">
        <v>636</v>
      </c>
    </row>
    <row r="9" spans="1:6" x14ac:dyDescent="0.35">
      <c r="A9" s="276"/>
      <c r="B9" s="23"/>
      <c r="C9" s="23" t="s">
        <v>637</v>
      </c>
      <c r="D9" s="23"/>
      <c r="E9" s="23" t="s">
        <v>638</v>
      </c>
    </row>
    <row r="10" spans="1:6" x14ac:dyDescent="0.35">
      <c r="A10" s="276"/>
      <c r="B10" s="23"/>
      <c r="C10" s="23" t="s">
        <v>639</v>
      </c>
      <c r="D10" s="23"/>
      <c r="E10" s="23" t="s">
        <v>640</v>
      </c>
    </row>
    <row r="11" spans="1:6" x14ac:dyDescent="0.35">
      <c r="A11" s="276"/>
      <c r="B11" s="23"/>
      <c r="C11" s="23" t="s">
        <v>641</v>
      </c>
      <c r="D11" s="23"/>
      <c r="E11" s="23" t="s">
        <v>642</v>
      </c>
    </row>
    <row r="12" spans="1:6" x14ac:dyDescent="0.35">
      <c r="A12" s="276"/>
      <c r="B12" s="23"/>
      <c r="C12" s="23" t="s">
        <v>643</v>
      </c>
      <c r="D12" s="23"/>
      <c r="E12" s="23" t="s">
        <v>644</v>
      </c>
    </row>
    <row r="13" spans="1:6" x14ac:dyDescent="0.35">
      <c r="A13" s="276"/>
      <c r="B13" s="23"/>
      <c r="C13" s="23" t="s">
        <v>645</v>
      </c>
      <c r="D13" s="23"/>
      <c r="E13" s="23" t="s">
        <v>646</v>
      </c>
    </row>
    <row r="14" spans="1:6" x14ac:dyDescent="0.35">
      <c r="A14" s="276"/>
      <c r="B14" s="23"/>
      <c r="C14" s="23" t="s">
        <v>647</v>
      </c>
      <c r="D14" s="23"/>
      <c r="E14" s="23" t="s">
        <v>648</v>
      </c>
    </row>
    <row r="15" spans="1:6" x14ac:dyDescent="0.35">
      <c r="A15" s="276"/>
      <c r="B15" s="23"/>
      <c r="C15" s="23" t="s">
        <v>649</v>
      </c>
      <c r="D15" s="23"/>
      <c r="E15" s="23" t="s">
        <v>650</v>
      </c>
    </row>
    <row r="16" spans="1:6" x14ac:dyDescent="0.35">
      <c r="A16" s="276"/>
      <c r="B16" s="23"/>
      <c r="C16" s="23" t="s">
        <v>651</v>
      </c>
      <c r="D16" s="23"/>
      <c r="E16" s="23" t="s">
        <v>652</v>
      </c>
    </row>
    <row r="17" spans="1:5" x14ac:dyDescent="0.35">
      <c r="A17" s="276"/>
      <c r="B17" s="23"/>
      <c r="C17" s="23" t="s">
        <v>653</v>
      </c>
      <c r="D17" s="23"/>
      <c r="E17" s="23" t="s">
        <v>654</v>
      </c>
    </row>
    <row r="18" spans="1:5" x14ac:dyDescent="0.35">
      <c r="A18" s="276"/>
      <c r="B18" s="23"/>
      <c r="C18" s="23" t="s">
        <v>655</v>
      </c>
      <c r="D18" s="23"/>
      <c r="E18" s="23" t="s">
        <v>656</v>
      </c>
    </row>
    <row r="19" spans="1:5" x14ac:dyDescent="0.35">
      <c r="A19" s="276"/>
      <c r="B19" s="23"/>
      <c r="C19" s="23" t="s">
        <v>657</v>
      </c>
      <c r="D19" s="23"/>
      <c r="E19" s="23" t="s">
        <v>658</v>
      </c>
    </row>
    <row r="20" spans="1:5" x14ac:dyDescent="0.35">
      <c r="A20" s="273" t="s">
        <v>659</v>
      </c>
      <c r="B20" s="23"/>
      <c r="C20" s="23" t="s">
        <v>660</v>
      </c>
      <c r="D20" s="23"/>
      <c r="E20" s="23" t="s">
        <v>661</v>
      </c>
    </row>
    <row r="21" spans="1:5" x14ac:dyDescent="0.35">
      <c r="A21" s="274"/>
      <c r="B21" s="23"/>
      <c r="C21" s="23" t="s">
        <v>662</v>
      </c>
      <c r="D21" s="23"/>
      <c r="E21" s="23" t="s">
        <v>663</v>
      </c>
    </row>
    <row r="22" spans="1:5" x14ac:dyDescent="0.35">
      <c r="A22" s="274"/>
      <c r="B22" s="23"/>
      <c r="C22" s="23" t="s">
        <v>664</v>
      </c>
      <c r="D22" s="23"/>
      <c r="E22" s="23" t="s">
        <v>665</v>
      </c>
    </row>
    <row r="23" spans="1:5" x14ac:dyDescent="0.35">
      <c r="A23" s="274"/>
      <c r="B23" s="23"/>
      <c r="C23" s="23" t="s">
        <v>666</v>
      </c>
      <c r="D23" s="23"/>
      <c r="E23" s="23" t="s">
        <v>667</v>
      </c>
    </row>
    <row r="24" spans="1:5" x14ac:dyDescent="0.35">
      <c r="A24" s="274"/>
      <c r="B24" s="23"/>
      <c r="C24" s="23" t="s">
        <v>668</v>
      </c>
      <c r="D24" s="23"/>
      <c r="E24" s="23" t="s">
        <v>669</v>
      </c>
    </row>
    <row r="25" spans="1:5" x14ac:dyDescent="0.35">
      <c r="A25" s="274"/>
      <c r="B25" s="23"/>
      <c r="C25" s="23" t="s">
        <v>670</v>
      </c>
      <c r="D25" s="23"/>
      <c r="E25" s="23" t="s">
        <v>671</v>
      </c>
    </row>
    <row r="26" spans="1:5" x14ac:dyDescent="0.35">
      <c r="A26" s="274"/>
      <c r="B26" s="23"/>
      <c r="C26" s="23" t="s">
        <v>672</v>
      </c>
      <c r="D26" s="23"/>
      <c r="E26" s="23" t="s">
        <v>673</v>
      </c>
    </row>
    <row r="27" spans="1:5" x14ac:dyDescent="0.35">
      <c r="A27" s="274"/>
      <c r="B27" s="23"/>
      <c r="C27" s="23" t="s">
        <v>674</v>
      </c>
      <c r="D27" s="23"/>
      <c r="E27" s="23" t="s">
        <v>675</v>
      </c>
    </row>
    <row r="28" spans="1:5" x14ac:dyDescent="0.35">
      <c r="A28" s="274"/>
      <c r="B28" s="23"/>
      <c r="C28" s="23" t="s">
        <v>676</v>
      </c>
      <c r="D28" s="23"/>
      <c r="E28" s="23" t="s">
        <v>677</v>
      </c>
    </row>
    <row r="29" spans="1:5" x14ac:dyDescent="0.35">
      <c r="A29" s="274"/>
      <c r="B29" s="23"/>
      <c r="C29" s="23" t="s">
        <v>678</v>
      </c>
      <c r="D29" s="23"/>
      <c r="E29" s="23" t="s">
        <v>679</v>
      </c>
    </row>
    <row r="30" spans="1:5" x14ac:dyDescent="0.35">
      <c r="A30" s="275"/>
      <c r="B30" s="23"/>
      <c r="C30" s="23" t="s">
        <v>680</v>
      </c>
      <c r="D30" s="23"/>
      <c r="E30" s="23" t="s">
        <v>681</v>
      </c>
    </row>
    <row r="31" spans="1:5" x14ac:dyDescent="0.35">
      <c r="A31" s="23"/>
      <c r="B31" s="23"/>
      <c r="C31" s="23" t="s">
        <v>682</v>
      </c>
      <c r="D31" s="23"/>
      <c r="E31" s="23" t="s">
        <v>683</v>
      </c>
    </row>
    <row r="32" spans="1:5" x14ac:dyDescent="0.35">
      <c r="A32" s="23"/>
      <c r="B32" s="23"/>
      <c r="C32" s="23" t="s">
        <v>684</v>
      </c>
      <c r="D32" s="23"/>
      <c r="E32" s="23" t="s">
        <v>685</v>
      </c>
    </row>
    <row r="33" spans="1:5" x14ac:dyDescent="0.35">
      <c r="A33" s="23"/>
      <c r="B33" s="23"/>
      <c r="C33" s="23" t="s">
        <v>686</v>
      </c>
      <c r="D33" s="23"/>
      <c r="E33" s="23" t="s">
        <v>687</v>
      </c>
    </row>
    <row r="34" spans="1:5" x14ac:dyDescent="0.35">
      <c r="A34" s="23"/>
      <c r="B34" s="23"/>
      <c r="C34" s="23" t="s">
        <v>688</v>
      </c>
      <c r="D34" s="23"/>
      <c r="E34" s="23" t="s">
        <v>689</v>
      </c>
    </row>
    <row r="35" spans="1:5" x14ac:dyDescent="0.35">
      <c r="A35" s="23"/>
      <c r="B35" s="23"/>
      <c r="C35" s="23" t="s">
        <v>690</v>
      </c>
      <c r="D35" s="23"/>
      <c r="E35" s="23" t="s">
        <v>691</v>
      </c>
    </row>
    <row r="36" spans="1:5" x14ac:dyDescent="0.35">
      <c r="A36" s="23"/>
      <c r="B36" s="23"/>
      <c r="C36" s="23" t="s">
        <v>692</v>
      </c>
      <c r="D36" s="23"/>
      <c r="E36" s="23" t="s">
        <v>693</v>
      </c>
    </row>
    <row r="37" spans="1:5" x14ac:dyDescent="0.35">
      <c r="A37" s="23"/>
      <c r="B37" s="23"/>
      <c r="C37" s="23" t="s">
        <v>694</v>
      </c>
      <c r="D37" s="23"/>
      <c r="E37" s="23" t="s">
        <v>695</v>
      </c>
    </row>
    <row r="38" spans="1:5" x14ac:dyDescent="0.35">
      <c r="A38" s="23"/>
      <c r="B38" s="23"/>
      <c r="C38" s="23" t="s">
        <v>696</v>
      </c>
      <c r="D38" s="23"/>
      <c r="E38" s="23" t="s">
        <v>697</v>
      </c>
    </row>
    <row r="39" spans="1:5" x14ac:dyDescent="0.35">
      <c r="A39" s="23"/>
      <c r="B39" s="23"/>
      <c r="C39" s="23" t="s">
        <v>698</v>
      </c>
      <c r="D39" s="23"/>
      <c r="E39" s="23" t="s">
        <v>699</v>
      </c>
    </row>
    <row r="40" spans="1:5" x14ac:dyDescent="0.35">
      <c r="A40" s="23"/>
      <c r="B40" s="23"/>
      <c r="C40" s="23"/>
      <c r="D40" s="23"/>
      <c r="E40" s="23"/>
    </row>
    <row r="41" spans="1:5" x14ac:dyDescent="0.35">
      <c r="A41" s="23"/>
      <c r="B41" s="28"/>
      <c r="C41" s="28" t="s">
        <v>602</v>
      </c>
      <c r="D41" s="23"/>
      <c r="E41" s="23" t="s">
        <v>603</v>
      </c>
    </row>
    <row r="42" spans="1:5" x14ac:dyDescent="0.35">
      <c r="A42" s="23"/>
      <c r="B42" s="23"/>
      <c r="C42" s="23"/>
      <c r="D42" s="23"/>
      <c r="E42" s="23"/>
    </row>
    <row r="43" spans="1:5" x14ac:dyDescent="0.35">
      <c r="A43" s="23" t="s">
        <v>700</v>
      </c>
      <c r="B43" s="23"/>
      <c r="C43" s="23" t="s">
        <v>701</v>
      </c>
      <c r="D43" s="23"/>
      <c r="E43" s="23"/>
    </row>
    <row r="44" spans="1:5" x14ac:dyDescent="0.35">
      <c r="A44" s="23"/>
      <c r="B44" s="23"/>
      <c r="C44" s="23"/>
      <c r="D44" s="23"/>
      <c r="E44" s="23"/>
    </row>
    <row r="45" spans="1:5" x14ac:dyDescent="0.35">
      <c r="A45" s="23" t="s">
        <v>604</v>
      </c>
      <c r="B45" s="23"/>
      <c r="C45" s="23" t="s">
        <v>605</v>
      </c>
      <c r="D45" s="23"/>
      <c r="E45" s="23"/>
    </row>
    <row r="46" spans="1:5" x14ac:dyDescent="0.35">
      <c r="A46" s="23"/>
      <c r="B46" s="23"/>
      <c r="C46" s="23"/>
      <c r="D46" s="23"/>
      <c r="E46" s="23"/>
    </row>
    <row r="47" spans="1:5" x14ac:dyDescent="0.35">
      <c r="A47" s="23"/>
      <c r="B47" s="23"/>
      <c r="C47" s="23"/>
      <c r="D47" s="23"/>
      <c r="E47" s="23"/>
    </row>
    <row r="48" spans="1:5" x14ac:dyDescent="0.35">
      <c r="A48" s="23"/>
      <c r="B48" s="23"/>
      <c r="C48" s="23"/>
      <c r="D48" s="23"/>
      <c r="E48" s="23"/>
    </row>
    <row r="49" spans="1:5" x14ac:dyDescent="0.3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233"/>
  <sheetViews>
    <sheetView showGridLines="0" tabSelected="1" topLeftCell="A125" zoomScale="70" zoomScaleNormal="70" workbookViewId="0">
      <selection activeCell="F126" sqref="F126"/>
    </sheetView>
  </sheetViews>
  <sheetFormatPr defaultColWidth="8.54296875" defaultRowHeight="15" customHeight="1" x14ac:dyDescent="0.35"/>
  <cols>
    <col min="1" max="1" width="3.1796875" style="27" customWidth="1"/>
    <col min="2" max="2" width="34.7265625" style="53" customWidth="1"/>
    <col min="3" max="3" width="32" style="33" bestFit="1" customWidth="1"/>
    <col min="4" max="4" width="35.7265625" style="33" customWidth="1"/>
    <col min="5" max="5" width="14.81640625" style="33" customWidth="1"/>
    <col min="6" max="6" width="27" style="51" customWidth="1"/>
    <col min="7" max="7" width="33.453125" style="33" customWidth="1"/>
    <col min="8" max="8" width="25.1796875" style="51" customWidth="1"/>
    <col min="9" max="9" width="15.26953125" style="54" customWidth="1"/>
    <col min="10" max="10" width="15" style="54" customWidth="1"/>
    <col min="11" max="11" width="15.453125" style="52" customWidth="1"/>
    <col min="12" max="12" width="16.1796875" style="52" customWidth="1"/>
    <col min="13" max="13" width="66.54296875" style="53" customWidth="1"/>
    <col min="14" max="14" width="57.26953125" style="126" customWidth="1"/>
    <col min="15" max="15" width="17.1796875" style="33" customWidth="1"/>
    <col min="16" max="16" width="106.81640625" style="54" customWidth="1"/>
    <col min="17" max="18" width="30.7265625" style="54" customWidth="1"/>
    <col min="19" max="19" width="61" style="33" customWidth="1"/>
    <col min="20" max="20" width="33.54296875" style="33" customWidth="1"/>
    <col min="21" max="21" width="38.26953125" style="33" customWidth="1"/>
    <col min="22" max="22" width="105.54296875" style="52" customWidth="1"/>
    <col min="23" max="24" width="36.26953125" style="52" customWidth="1"/>
    <col min="25" max="25" width="34" style="33" customWidth="1"/>
    <col min="26" max="26" width="97.7265625" style="33" customWidth="1"/>
    <col min="27" max="27" width="31.7265625" customWidth="1"/>
  </cols>
  <sheetData>
    <row r="1" spans="1:27" s="33" customFormat="1" ht="14.5" x14ac:dyDescent="0.35">
      <c r="A1" s="27"/>
      <c r="B1" s="53"/>
      <c r="F1" s="51"/>
      <c r="H1" s="51"/>
      <c r="I1" s="54"/>
      <c r="J1" s="54"/>
      <c r="K1" s="52"/>
      <c r="L1" s="52"/>
      <c r="M1" s="53"/>
      <c r="N1" s="126"/>
      <c r="P1" s="54"/>
      <c r="Q1" s="54"/>
      <c r="R1" s="54"/>
      <c r="V1" s="52"/>
      <c r="W1" s="52"/>
      <c r="X1" s="52"/>
    </row>
    <row r="2" spans="1:27" s="33" customFormat="1" ht="14.5" x14ac:dyDescent="0.35">
      <c r="A2" s="27"/>
      <c r="B2" s="53"/>
      <c r="F2" s="51"/>
      <c r="H2" s="51"/>
      <c r="I2" s="54"/>
      <c r="J2" s="54"/>
      <c r="K2" s="52"/>
      <c r="L2" s="52"/>
      <c r="M2" s="53"/>
      <c r="N2" s="126"/>
      <c r="P2" s="54"/>
      <c r="Q2" s="54"/>
      <c r="R2" s="54"/>
      <c r="V2" s="52"/>
      <c r="W2" s="52"/>
      <c r="X2" s="52"/>
    </row>
    <row r="3" spans="1:27" s="33" customFormat="1" ht="14.5" x14ac:dyDescent="0.2">
      <c r="A3" s="58"/>
      <c r="B3" s="59"/>
      <c r="C3" s="60"/>
      <c r="D3" s="60"/>
      <c r="E3" s="60"/>
      <c r="F3" s="61"/>
      <c r="G3" s="60"/>
      <c r="H3" s="61"/>
      <c r="I3" s="63"/>
      <c r="J3" s="63"/>
      <c r="K3" s="62"/>
      <c r="L3" s="62"/>
      <c r="M3" s="59"/>
      <c r="N3" s="202"/>
      <c r="O3" s="60"/>
      <c r="P3" s="63"/>
      <c r="Q3" s="63"/>
      <c r="R3" s="63"/>
      <c r="S3" s="60"/>
      <c r="T3" s="60"/>
      <c r="U3" s="60"/>
      <c r="V3" s="62"/>
      <c r="W3" s="62"/>
      <c r="X3" s="62"/>
    </row>
    <row r="4" spans="1:27" s="33" customFormat="1" ht="14.5" x14ac:dyDescent="0.35">
      <c r="A4" s="27"/>
      <c r="B4" s="53"/>
      <c r="F4" s="51"/>
      <c r="H4" s="51"/>
      <c r="I4" s="54"/>
      <c r="J4" s="54"/>
      <c r="K4" s="52"/>
      <c r="L4" s="52"/>
      <c r="M4" s="53"/>
      <c r="N4" s="126"/>
      <c r="P4" s="54"/>
      <c r="Q4" s="54"/>
      <c r="R4" s="54"/>
      <c r="V4" s="52"/>
      <c r="W4" s="52"/>
      <c r="X4" s="52"/>
    </row>
    <row r="5" spans="1:27" s="51" customFormat="1" ht="21" customHeight="1" x14ac:dyDescent="0.35">
      <c r="B5" s="284" t="s">
        <v>702</v>
      </c>
      <c r="C5" s="284"/>
      <c r="D5" s="284"/>
      <c r="E5" s="284"/>
      <c r="F5" s="284"/>
      <c r="G5" s="284"/>
      <c r="H5" s="284"/>
      <c r="I5" s="284"/>
      <c r="J5" s="284"/>
      <c r="K5" s="284"/>
      <c r="L5" s="284"/>
      <c r="M5" s="284"/>
      <c r="N5" s="284"/>
      <c r="O5" s="284"/>
      <c r="P5" s="284"/>
      <c r="Q5" s="283" t="s">
        <v>703</v>
      </c>
      <c r="R5" s="283"/>
      <c r="S5" s="286" t="s">
        <v>704</v>
      </c>
      <c r="T5" s="287"/>
      <c r="U5" s="287"/>
      <c r="V5" s="287"/>
      <c r="W5" s="287"/>
      <c r="X5" s="277" t="s">
        <v>705</v>
      </c>
      <c r="Y5" s="278"/>
      <c r="Z5" s="278"/>
      <c r="AA5" s="279"/>
    </row>
    <row r="6" spans="1:27" s="33" customFormat="1" ht="14.5" x14ac:dyDescent="0.35">
      <c r="A6" s="27"/>
      <c r="B6" s="285" t="s">
        <v>706</v>
      </c>
      <c r="C6" s="285"/>
      <c r="D6" s="285"/>
      <c r="E6" s="285"/>
      <c r="F6" s="285"/>
      <c r="G6" s="285"/>
      <c r="H6" s="285"/>
      <c r="I6" s="285"/>
      <c r="J6" s="285"/>
      <c r="K6" s="285"/>
      <c r="L6" s="285"/>
      <c r="M6" s="285"/>
      <c r="N6" s="285"/>
      <c r="O6" s="285"/>
      <c r="P6" s="285"/>
      <c r="Q6" s="283" t="s">
        <v>707</v>
      </c>
      <c r="R6" s="283"/>
      <c r="S6" s="286" t="s">
        <v>708</v>
      </c>
      <c r="T6" s="287"/>
      <c r="U6" s="287"/>
      <c r="V6" s="288"/>
      <c r="W6" s="83" t="s">
        <v>709</v>
      </c>
      <c r="X6" s="280" t="s">
        <v>710</v>
      </c>
      <c r="Y6" s="281"/>
      <c r="Z6" s="281"/>
      <c r="AA6" s="282"/>
    </row>
    <row r="7" spans="1:27" s="53" customFormat="1" ht="39.75" customHeight="1" x14ac:dyDescent="0.35">
      <c r="B7" s="80" t="s">
        <v>711</v>
      </c>
      <c r="C7" s="55" t="s">
        <v>712</v>
      </c>
      <c r="D7" s="55" t="s">
        <v>713</v>
      </c>
      <c r="E7" s="55" t="s">
        <v>714</v>
      </c>
      <c r="F7" s="70" t="s">
        <v>715</v>
      </c>
      <c r="G7" s="70" t="s">
        <v>716</v>
      </c>
      <c r="H7" s="55" t="s">
        <v>717</v>
      </c>
      <c r="I7" s="55" t="s">
        <v>718</v>
      </c>
      <c r="J7" s="55" t="s">
        <v>719</v>
      </c>
      <c r="K7" s="55" t="s">
        <v>720</v>
      </c>
      <c r="L7" s="55" t="s">
        <v>721</v>
      </c>
      <c r="M7" s="55" t="s">
        <v>722</v>
      </c>
      <c r="N7" s="55" t="s">
        <v>723</v>
      </c>
      <c r="O7" s="55" t="s">
        <v>724</v>
      </c>
      <c r="P7" s="56" t="s">
        <v>725</v>
      </c>
      <c r="Q7" s="81" t="s">
        <v>726</v>
      </c>
      <c r="R7" s="55" t="s">
        <v>727</v>
      </c>
      <c r="S7" s="80" t="s">
        <v>728</v>
      </c>
      <c r="T7" s="80" t="s">
        <v>729</v>
      </c>
      <c r="U7" s="80" t="s">
        <v>730</v>
      </c>
      <c r="V7" s="80" t="s">
        <v>731</v>
      </c>
      <c r="W7" s="80" t="s">
        <v>732</v>
      </c>
      <c r="X7" s="80" t="s">
        <v>733</v>
      </c>
      <c r="Y7" s="80" t="s">
        <v>734</v>
      </c>
      <c r="Z7" s="80" t="s">
        <v>735</v>
      </c>
      <c r="AA7" s="84" t="s">
        <v>736</v>
      </c>
    </row>
    <row r="8" spans="1:27" s="33" customFormat="1" ht="107.25" customHeight="1" x14ac:dyDescent="0.35">
      <c r="A8" s="27"/>
      <c r="B8" s="227" t="s">
        <v>4</v>
      </c>
      <c r="C8" s="227" t="s">
        <v>737</v>
      </c>
      <c r="D8" s="228" t="s">
        <v>5</v>
      </c>
      <c r="E8" s="229">
        <v>1</v>
      </c>
      <c r="F8" s="228" t="s">
        <v>738</v>
      </c>
      <c r="G8" s="228" t="s">
        <v>739</v>
      </c>
      <c r="H8" s="228" t="s">
        <v>740</v>
      </c>
      <c r="I8" s="230">
        <v>1</v>
      </c>
      <c r="J8" s="231" t="s">
        <v>741</v>
      </c>
      <c r="K8" s="230">
        <v>10</v>
      </c>
      <c r="L8" s="230"/>
      <c r="M8" s="232" t="s">
        <v>742</v>
      </c>
      <c r="N8" s="227" t="s">
        <v>743</v>
      </c>
      <c r="O8" s="230" t="s">
        <v>744</v>
      </c>
      <c r="P8" s="227"/>
      <c r="Q8" s="228"/>
      <c r="R8" s="228"/>
      <c r="S8" s="233" t="s">
        <v>745</v>
      </c>
      <c r="T8" s="232" t="s">
        <v>746</v>
      </c>
      <c r="U8" s="233" t="s">
        <v>747</v>
      </c>
      <c r="V8" s="205" t="s">
        <v>748</v>
      </c>
      <c r="W8" s="228"/>
      <c r="X8" s="232" t="s">
        <v>749</v>
      </c>
      <c r="Y8" s="232" t="s">
        <v>749</v>
      </c>
      <c r="Z8" s="232" t="s">
        <v>749</v>
      </c>
      <c r="AA8" s="234" t="s">
        <v>749</v>
      </c>
    </row>
    <row r="9" spans="1:27" s="33" customFormat="1" ht="92.25" customHeight="1" x14ac:dyDescent="0.35">
      <c r="A9" s="27"/>
      <c r="B9" s="227" t="s">
        <v>4</v>
      </c>
      <c r="C9" s="227" t="s">
        <v>737</v>
      </c>
      <c r="D9" s="228" t="s">
        <v>5</v>
      </c>
      <c r="E9" s="229">
        <v>1</v>
      </c>
      <c r="F9" s="228" t="s">
        <v>750</v>
      </c>
      <c r="G9" s="228" t="s">
        <v>751</v>
      </c>
      <c r="H9" s="228" t="s">
        <v>752</v>
      </c>
      <c r="I9" s="230">
        <v>2</v>
      </c>
      <c r="J9" s="231" t="s">
        <v>741</v>
      </c>
      <c r="K9" s="230">
        <v>10</v>
      </c>
      <c r="L9" s="230"/>
      <c r="M9" s="232" t="s">
        <v>753</v>
      </c>
      <c r="N9" s="232" t="s">
        <v>754</v>
      </c>
      <c r="O9" s="230"/>
      <c r="P9" s="227"/>
      <c r="Q9" s="228"/>
      <c r="R9" s="228"/>
      <c r="S9" s="233" t="s">
        <v>745</v>
      </c>
      <c r="T9" s="232" t="s">
        <v>746</v>
      </c>
      <c r="U9" s="233" t="s">
        <v>755</v>
      </c>
      <c r="V9" s="205" t="s">
        <v>756</v>
      </c>
      <c r="W9" s="228"/>
      <c r="X9" s="232" t="s">
        <v>749</v>
      </c>
      <c r="Y9" s="235" t="s">
        <v>749</v>
      </c>
      <c r="Z9" s="235" t="s">
        <v>749</v>
      </c>
      <c r="AA9" s="234" t="s">
        <v>749</v>
      </c>
    </row>
    <row r="10" spans="1:27" s="33" customFormat="1" ht="108" customHeight="1" x14ac:dyDescent="0.35">
      <c r="A10" s="27"/>
      <c r="B10" s="227" t="s">
        <v>4</v>
      </c>
      <c r="C10" s="227" t="s">
        <v>737</v>
      </c>
      <c r="D10" s="228" t="s">
        <v>5</v>
      </c>
      <c r="E10" s="229">
        <v>1</v>
      </c>
      <c r="F10" s="228" t="s">
        <v>757</v>
      </c>
      <c r="G10" s="228" t="s">
        <v>758</v>
      </c>
      <c r="H10" s="228" t="s">
        <v>759</v>
      </c>
      <c r="I10" s="230">
        <v>3</v>
      </c>
      <c r="J10" s="231" t="s">
        <v>741</v>
      </c>
      <c r="K10" s="230"/>
      <c r="L10" s="230"/>
      <c r="M10" s="232" t="s">
        <v>760</v>
      </c>
      <c r="N10" s="227" t="s">
        <v>761</v>
      </c>
      <c r="O10" s="230"/>
      <c r="P10" s="227"/>
      <c r="Q10" s="228"/>
      <c r="R10" s="228"/>
      <c r="S10" s="233" t="s">
        <v>745</v>
      </c>
      <c r="T10" s="232" t="s">
        <v>746</v>
      </c>
      <c r="U10" s="233" t="s">
        <v>762</v>
      </c>
      <c r="V10" s="189" t="s">
        <v>763</v>
      </c>
      <c r="W10" s="228"/>
      <c r="X10" s="232" t="s">
        <v>749</v>
      </c>
      <c r="Y10" s="235" t="s">
        <v>749</v>
      </c>
      <c r="Z10" s="235" t="s">
        <v>749</v>
      </c>
      <c r="AA10" s="234" t="s">
        <v>749</v>
      </c>
    </row>
    <row r="11" spans="1:27" s="33" customFormat="1" ht="96.75" customHeight="1" x14ac:dyDescent="0.35">
      <c r="A11" s="27"/>
      <c r="B11" s="227" t="s">
        <v>4</v>
      </c>
      <c r="C11" s="227" t="s">
        <v>737</v>
      </c>
      <c r="D11" s="228" t="s">
        <v>5</v>
      </c>
      <c r="E11" s="229">
        <v>1</v>
      </c>
      <c r="F11" s="228" t="s">
        <v>764</v>
      </c>
      <c r="G11" s="228" t="s">
        <v>765</v>
      </c>
      <c r="H11" s="228" t="s">
        <v>766</v>
      </c>
      <c r="I11" s="230">
        <v>4</v>
      </c>
      <c r="J11" s="231" t="s">
        <v>741</v>
      </c>
      <c r="K11" s="230">
        <v>10</v>
      </c>
      <c r="L11" s="230"/>
      <c r="M11" s="227" t="s">
        <v>767</v>
      </c>
      <c r="N11" s="227" t="s">
        <v>768</v>
      </c>
      <c r="O11" s="230" t="s">
        <v>744</v>
      </c>
      <c r="P11" s="227"/>
      <c r="Q11" s="227"/>
      <c r="R11" s="227"/>
      <c r="S11" s="233" t="s">
        <v>745</v>
      </c>
      <c r="T11" s="232" t="s">
        <v>746</v>
      </c>
      <c r="U11" s="233" t="s">
        <v>769</v>
      </c>
      <c r="V11" s="189" t="s">
        <v>770</v>
      </c>
      <c r="W11" s="227"/>
      <c r="X11" s="232" t="s">
        <v>749</v>
      </c>
      <c r="Y11" s="232" t="s">
        <v>749</v>
      </c>
      <c r="Z11" s="232" t="s">
        <v>749</v>
      </c>
      <c r="AA11" s="234" t="s">
        <v>749</v>
      </c>
    </row>
    <row r="12" spans="1:27" s="33" customFormat="1" ht="111" customHeight="1" x14ac:dyDescent="0.35">
      <c r="A12" s="27"/>
      <c r="B12" s="227" t="s">
        <v>4</v>
      </c>
      <c r="C12" s="227" t="s">
        <v>737</v>
      </c>
      <c r="D12" s="228" t="s">
        <v>5</v>
      </c>
      <c r="E12" s="229">
        <v>1</v>
      </c>
      <c r="F12" s="228" t="s">
        <v>771</v>
      </c>
      <c r="G12" s="228" t="s">
        <v>772</v>
      </c>
      <c r="H12" s="228" t="s">
        <v>773</v>
      </c>
      <c r="I12" s="230">
        <v>5</v>
      </c>
      <c r="J12" s="231" t="s">
        <v>774</v>
      </c>
      <c r="K12" s="230">
        <v>23</v>
      </c>
      <c r="L12" s="230"/>
      <c r="M12" s="227" t="s">
        <v>775</v>
      </c>
      <c r="N12" s="74" t="s">
        <v>776</v>
      </c>
      <c r="O12" s="230"/>
      <c r="P12" s="227"/>
      <c r="Q12" s="227"/>
      <c r="R12" s="227"/>
      <c r="S12" s="233" t="s">
        <v>745</v>
      </c>
      <c r="T12" s="232" t="s">
        <v>746</v>
      </c>
      <c r="U12" s="233" t="s">
        <v>749</v>
      </c>
      <c r="V12" s="189" t="s">
        <v>777</v>
      </c>
      <c r="W12" s="227"/>
      <c r="X12" s="232" t="s">
        <v>749</v>
      </c>
      <c r="Y12" s="232" t="s">
        <v>749</v>
      </c>
      <c r="Z12" s="232" t="s">
        <v>749</v>
      </c>
      <c r="AA12" s="234" t="s">
        <v>749</v>
      </c>
    </row>
    <row r="13" spans="1:27" s="33" customFormat="1" ht="90" customHeight="1" x14ac:dyDescent="0.35">
      <c r="A13" s="27"/>
      <c r="B13" s="227" t="s">
        <v>4</v>
      </c>
      <c r="C13" s="227" t="s">
        <v>778</v>
      </c>
      <c r="D13" s="227" t="s">
        <v>7</v>
      </c>
      <c r="E13" s="229">
        <v>2</v>
      </c>
      <c r="F13" s="228" t="s">
        <v>738</v>
      </c>
      <c r="G13" s="228" t="s">
        <v>739</v>
      </c>
      <c r="H13" s="228" t="s">
        <v>740</v>
      </c>
      <c r="I13" s="230">
        <v>1</v>
      </c>
      <c r="J13" s="231" t="s">
        <v>741</v>
      </c>
      <c r="K13" s="230">
        <v>10</v>
      </c>
      <c r="L13" s="230"/>
      <c r="M13" s="232" t="s">
        <v>779</v>
      </c>
      <c r="N13" s="227" t="s">
        <v>743</v>
      </c>
      <c r="O13" s="230" t="s">
        <v>744</v>
      </c>
      <c r="P13" s="227"/>
      <c r="Q13" s="227"/>
      <c r="R13" s="227"/>
      <c r="S13" s="233" t="s">
        <v>780</v>
      </c>
      <c r="T13" s="232" t="s">
        <v>781</v>
      </c>
      <c r="U13" s="233" t="s">
        <v>782</v>
      </c>
      <c r="V13" s="205" t="s">
        <v>783</v>
      </c>
      <c r="W13" s="227"/>
      <c r="X13" s="232" t="s">
        <v>749</v>
      </c>
      <c r="Y13" s="232" t="s">
        <v>749</v>
      </c>
      <c r="Z13" s="232" t="s">
        <v>749</v>
      </c>
      <c r="AA13" s="234" t="s">
        <v>749</v>
      </c>
    </row>
    <row r="14" spans="1:27" s="33" customFormat="1" ht="105.75" customHeight="1" x14ac:dyDescent="0.35">
      <c r="A14" s="27"/>
      <c r="B14" s="227" t="s">
        <v>4</v>
      </c>
      <c r="C14" s="227" t="s">
        <v>778</v>
      </c>
      <c r="D14" s="227" t="s">
        <v>7</v>
      </c>
      <c r="E14" s="229">
        <v>2</v>
      </c>
      <c r="F14" s="228" t="s">
        <v>784</v>
      </c>
      <c r="G14" s="228" t="s">
        <v>785</v>
      </c>
      <c r="H14" s="228" t="s">
        <v>740</v>
      </c>
      <c r="I14" s="230">
        <v>2</v>
      </c>
      <c r="J14" s="231" t="s">
        <v>741</v>
      </c>
      <c r="K14" s="230">
        <v>10</v>
      </c>
      <c r="L14" s="230"/>
      <c r="M14" s="232" t="s">
        <v>786</v>
      </c>
      <c r="N14" s="227" t="s">
        <v>787</v>
      </c>
      <c r="O14" s="230" t="s">
        <v>744</v>
      </c>
      <c r="P14" s="227"/>
      <c r="Q14" s="227"/>
      <c r="R14" s="227"/>
      <c r="S14" s="233" t="s">
        <v>780</v>
      </c>
      <c r="T14" s="232" t="s">
        <v>781</v>
      </c>
      <c r="U14" s="233" t="s">
        <v>788</v>
      </c>
      <c r="V14" s="205" t="s">
        <v>789</v>
      </c>
      <c r="W14" s="227"/>
      <c r="X14" s="232" t="s">
        <v>749</v>
      </c>
      <c r="Y14" s="232" t="s">
        <v>749</v>
      </c>
      <c r="Z14" s="232" t="s">
        <v>749</v>
      </c>
      <c r="AA14" s="234" t="s">
        <v>749</v>
      </c>
    </row>
    <row r="15" spans="1:27" s="33" customFormat="1" ht="135.75" customHeight="1" x14ac:dyDescent="0.35">
      <c r="A15" s="27"/>
      <c r="B15" s="227" t="s">
        <v>4</v>
      </c>
      <c r="C15" s="227" t="s">
        <v>778</v>
      </c>
      <c r="D15" s="227" t="s">
        <v>7</v>
      </c>
      <c r="E15" s="229">
        <v>2</v>
      </c>
      <c r="F15" s="228" t="s">
        <v>790</v>
      </c>
      <c r="G15" s="228" t="s">
        <v>791</v>
      </c>
      <c r="H15" s="228" t="s">
        <v>740</v>
      </c>
      <c r="I15" s="230">
        <v>3</v>
      </c>
      <c r="J15" s="231" t="s">
        <v>741</v>
      </c>
      <c r="K15" s="230">
        <v>4</v>
      </c>
      <c r="L15" s="230"/>
      <c r="M15" s="232" t="s">
        <v>792</v>
      </c>
      <c r="N15" s="227" t="s">
        <v>793</v>
      </c>
      <c r="O15" s="230" t="s">
        <v>744</v>
      </c>
      <c r="P15" s="227"/>
      <c r="Q15" s="227"/>
      <c r="R15" s="227"/>
      <c r="S15" s="233" t="s">
        <v>780</v>
      </c>
      <c r="T15" s="232" t="s">
        <v>781</v>
      </c>
      <c r="U15" s="233" t="s">
        <v>794</v>
      </c>
      <c r="V15" s="205" t="s">
        <v>795</v>
      </c>
      <c r="W15" s="227"/>
      <c r="X15" s="232" t="s">
        <v>749</v>
      </c>
      <c r="Y15" s="232" t="s">
        <v>749</v>
      </c>
      <c r="Z15" s="232" t="s">
        <v>749</v>
      </c>
      <c r="AA15" s="234" t="s">
        <v>749</v>
      </c>
    </row>
    <row r="16" spans="1:27" s="33" customFormat="1" ht="96.75" customHeight="1" x14ac:dyDescent="0.35">
      <c r="A16" s="27"/>
      <c r="B16" s="227" t="s">
        <v>4</v>
      </c>
      <c r="C16" s="227" t="s">
        <v>778</v>
      </c>
      <c r="D16" s="227" t="s">
        <v>7</v>
      </c>
      <c r="E16" s="229">
        <v>2</v>
      </c>
      <c r="F16" s="228" t="s">
        <v>796</v>
      </c>
      <c r="G16" s="228" t="s">
        <v>797</v>
      </c>
      <c r="H16" s="228" t="s">
        <v>752</v>
      </c>
      <c r="I16" s="230">
        <v>4</v>
      </c>
      <c r="J16" s="231" t="s">
        <v>741</v>
      </c>
      <c r="K16" s="230">
        <v>10</v>
      </c>
      <c r="L16" s="230"/>
      <c r="M16" s="232" t="s">
        <v>798</v>
      </c>
      <c r="N16" s="227" t="s">
        <v>799</v>
      </c>
      <c r="O16" s="230"/>
      <c r="P16" s="227"/>
      <c r="Q16" s="227"/>
      <c r="R16" s="227"/>
      <c r="S16" s="233" t="s">
        <v>780</v>
      </c>
      <c r="T16" s="232" t="s">
        <v>781</v>
      </c>
      <c r="U16" s="233" t="s">
        <v>800</v>
      </c>
      <c r="V16" s="205" t="s">
        <v>801</v>
      </c>
      <c r="W16" s="227"/>
      <c r="X16" s="232" t="s">
        <v>749</v>
      </c>
      <c r="Y16" s="232" t="s">
        <v>749</v>
      </c>
      <c r="Z16" s="232" t="s">
        <v>749</v>
      </c>
      <c r="AA16" s="234" t="s">
        <v>749</v>
      </c>
    </row>
    <row r="17" spans="1:27" s="33" customFormat="1" ht="114.75" customHeight="1" x14ac:dyDescent="0.35">
      <c r="A17" s="27"/>
      <c r="B17" s="227" t="s">
        <v>4</v>
      </c>
      <c r="C17" s="227" t="s">
        <v>778</v>
      </c>
      <c r="D17" s="227" t="s">
        <v>7</v>
      </c>
      <c r="E17" s="229">
        <v>2</v>
      </c>
      <c r="F17" s="228" t="s">
        <v>802</v>
      </c>
      <c r="G17" s="228" t="s">
        <v>803</v>
      </c>
      <c r="H17" s="228" t="s">
        <v>804</v>
      </c>
      <c r="I17" s="230">
        <v>5</v>
      </c>
      <c r="J17" s="231" t="s">
        <v>741</v>
      </c>
      <c r="K17" s="230">
        <v>4</v>
      </c>
      <c r="L17" s="230"/>
      <c r="M17" s="232" t="s">
        <v>805</v>
      </c>
      <c r="N17" s="227" t="s">
        <v>806</v>
      </c>
      <c r="O17" s="230"/>
      <c r="P17" s="227"/>
      <c r="Q17" s="227"/>
      <c r="R17" s="227"/>
      <c r="S17" s="233" t="s">
        <v>780</v>
      </c>
      <c r="T17" s="232" t="s">
        <v>781</v>
      </c>
      <c r="U17" s="233" t="s">
        <v>807</v>
      </c>
      <c r="V17" s="205" t="s">
        <v>808</v>
      </c>
      <c r="W17" s="227"/>
      <c r="X17" s="232" t="s">
        <v>749</v>
      </c>
      <c r="Y17" s="232" t="s">
        <v>749</v>
      </c>
      <c r="Z17" s="232" t="s">
        <v>749</v>
      </c>
      <c r="AA17" s="234" t="s">
        <v>749</v>
      </c>
    </row>
    <row r="18" spans="1:27" s="33" customFormat="1" ht="105.75" customHeight="1" x14ac:dyDescent="0.35">
      <c r="A18" s="27"/>
      <c r="B18" s="227" t="s">
        <v>4</v>
      </c>
      <c r="C18" s="227" t="s">
        <v>778</v>
      </c>
      <c r="D18" s="227" t="s">
        <v>7</v>
      </c>
      <c r="E18" s="229">
        <v>2</v>
      </c>
      <c r="F18" s="228" t="s">
        <v>809</v>
      </c>
      <c r="G18" s="228" t="s">
        <v>810</v>
      </c>
      <c r="H18" s="228" t="s">
        <v>759</v>
      </c>
      <c r="I18" s="230">
        <v>6</v>
      </c>
      <c r="J18" s="236" t="s">
        <v>811</v>
      </c>
      <c r="K18" s="230">
        <v>23</v>
      </c>
      <c r="L18" s="230">
        <v>6</v>
      </c>
      <c r="M18" s="232" t="s">
        <v>812</v>
      </c>
      <c r="N18" s="227" t="s">
        <v>813</v>
      </c>
      <c r="O18" s="230"/>
      <c r="P18" s="227"/>
      <c r="Q18" s="227"/>
      <c r="R18" s="227"/>
      <c r="S18" s="233" t="s">
        <v>780</v>
      </c>
      <c r="T18" s="232" t="s">
        <v>781</v>
      </c>
      <c r="U18" s="233" t="s">
        <v>814</v>
      </c>
      <c r="V18" s="205" t="s">
        <v>815</v>
      </c>
      <c r="W18" s="227"/>
      <c r="X18" s="232" t="s">
        <v>749</v>
      </c>
      <c r="Y18" s="232" t="s">
        <v>749</v>
      </c>
      <c r="Z18" s="232" t="s">
        <v>749</v>
      </c>
      <c r="AA18" s="234" t="s">
        <v>749</v>
      </c>
    </row>
    <row r="19" spans="1:27" s="33" customFormat="1" ht="88.5" customHeight="1" x14ac:dyDescent="0.35">
      <c r="A19" s="27"/>
      <c r="B19" s="227" t="s">
        <v>4</v>
      </c>
      <c r="C19" s="227" t="s">
        <v>778</v>
      </c>
      <c r="D19" s="227" t="s">
        <v>7</v>
      </c>
      <c r="E19" s="229">
        <v>2</v>
      </c>
      <c r="F19" s="228" t="s">
        <v>816</v>
      </c>
      <c r="G19" s="228" t="s">
        <v>817</v>
      </c>
      <c r="H19" s="228" t="s">
        <v>818</v>
      </c>
      <c r="I19" s="230">
        <v>7</v>
      </c>
      <c r="J19" s="231" t="s">
        <v>741</v>
      </c>
      <c r="K19" s="230">
        <v>2</v>
      </c>
      <c r="L19" s="230"/>
      <c r="M19" s="76" t="s">
        <v>819</v>
      </c>
      <c r="N19" s="76" t="s">
        <v>820</v>
      </c>
      <c r="O19" s="230"/>
      <c r="P19" s="227"/>
      <c r="Q19" s="227"/>
      <c r="R19" s="227"/>
      <c r="S19" s="233" t="s">
        <v>780</v>
      </c>
      <c r="T19" s="232" t="s">
        <v>781</v>
      </c>
      <c r="U19" s="233" t="s">
        <v>821</v>
      </c>
      <c r="V19" s="205" t="s">
        <v>822</v>
      </c>
      <c r="W19" s="227"/>
      <c r="X19" s="232" t="s">
        <v>749</v>
      </c>
      <c r="Y19" s="232" t="s">
        <v>749</v>
      </c>
      <c r="Z19" s="232" t="s">
        <v>749</v>
      </c>
      <c r="AA19" s="234" t="s">
        <v>749</v>
      </c>
    </row>
    <row r="20" spans="1:27" s="33" customFormat="1" ht="86.25" customHeight="1" x14ac:dyDescent="0.35">
      <c r="A20" s="27"/>
      <c r="B20" s="227" t="s">
        <v>4</v>
      </c>
      <c r="C20" s="227" t="s">
        <v>778</v>
      </c>
      <c r="D20" s="227" t="s">
        <v>7</v>
      </c>
      <c r="E20" s="229">
        <v>2</v>
      </c>
      <c r="F20" s="228" t="s">
        <v>764</v>
      </c>
      <c r="G20" s="228" t="s">
        <v>765</v>
      </c>
      <c r="H20" s="228" t="s">
        <v>766</v>
      </c>
      <c r="I20" s="230">
        <v>8</v>
      </c>
      <c r="J20" s="231" t="s">
        <v>741</v>
      </c>
      <c r="K20" s="230">
        <v>10</v>
      </c>
      <c r="L20" s="230"/>
      <c r="M20" s="227" t="s">
        <v>767</v>
      </c>
      <c r="N20" s="77" t="s">
        <v>823</v>
      </c>
      <c r="O20" s="230" t="s">
        <v>744</v>
      </c>
      <c r="P20" s="227"/>
      <c r="Q20" s="227"/>
      <c r="R20" s="227"/>
      <c r="S20" s="233" t="s">
        <v>780</v>
      </c>
      <c r="T20" s="232" t="s">
        <v>781</v>
      </c>
      <c r="U20" s="233" t="s">
        <v>824</v>
      </c>
      <c r="V20" s="205" t="s">
        <v>825</v>
      </c>
      <c r="W20" s="227"/>
      <c r="X20" s="232" t="s">
        <v>749</v>
      </c>
      <c r="Y20" s="232" t="s">
        <v>749</v>
      </c>
      <c r="Z20" s="232" t="s">
        <v>749</v>
      </c>
      <c r="AA20" s="234" t="s">
        <v>749</v>
      </c>
    </row>
    <row r="21" spans="1:27" s="33" customFormat="1" ht="81.75" customHeight="1" x14ac:dyDescent="0.35">
      <c r="A21" s="27"/>
      <c r="B21" s="227" t="s">
        <v>4</v>
      </c>
      <c r="C21" s="227" t="s">
        <v>778</v>
      </c>
      <c r="D21" s="227" t="s">
        <v>7</v>
      </c>
      <c r="E21" s="229">
        <v>2</v>
      </c>
      <c r="F21" s="228" t="s">
        <v>771</v>
      </c>
      <c r="G21" s="228" t="s">
        <v>772</v>
      </c>
      <c r="H21" s="228" t="s">
        <v>773</v>
      </c>
      <c r="I21" s="230">
        <v>9</v>
      </c>
      <c r="J21" s="231" t="s">
        <v>774</v>
      </c>
      <c r="K21" s="230">
        <v>23</v>
      </c>
      <c r="L21" s="230"/>
      <c r="M21" s="227" t="s">
        <v>775</v>
      </c>
      <c r="N21" s="74" t="s">
        <v>776</v>
      </c>
      <c r="O21" s="230"/>
      <c r="P21" s="227"/>
      <c r="Q21" s="227"/>
      <c r="R21" s="227"/>
      <c r="S21" s="233" t="s">
        <v>780</v>
      </c>
      <c r="T21" s="232" t="s">
        <v>781</v>
      </c>
      <c r="U21" s="233" t="s">
        <v>826</v>
      </c>
      <c r="V21" s="205" t="s">
        <v>827</v>
      </c>
      <c r="W21" s="227"/>
      <c r="X21" s="232" t="s">
        <v>749</v>
      </c>
      <c r="Y21" s="232" t="s">
        <v>749</v>
      </c>
      <c r="Z21" s="232" t="s">
        <v>749</v>
      </c>
      <c r="AA21" s="234" t="s">
        <v>749</v>
      </c>
    </row>
    <row r="22" spans="1:27" s="33" customFormat="1" ht="112.5" customHeight="1" x14ac:dyDescent="0.35">
      <c r="A22" s="27"/>
      <c r="B22" s="228" t="s">
        <v>9</v>
      </c>
      <c r="C22" s="228" t="s">
        <v>828</v>
      </c>
      <c r="D22" s="228" t="s">
        <v>10</v>
      </c>
      <c r="E22" s="73">
        <v>1</v>
      </c>
      <c r="F22" s="228" t="s">
        <v>784</v>
      </c>
      <c r="G22" s="228" t="s">
        <v>785</v>
      </c>
      <c r="H22" s="228" t="s">
        <v>740</v>
      </c>
      <c r="I22" s="229">
        <v>1</v>
      </c>
      <c r="J22" s="231" t="s">
        <v>741</v>
      </c>
      <c r="K22" s="229">
        <v>10</v>
      </c>
      <c r="L22" s="229"/>
      <c r="M22" s="232" t="s">
        <v>786</v>
      </c>
      <c r="N22" s="233" t="s">
        <v>787</v>
      </c>
      <c r="O22" s="229" t="s">
        <v>744</v>
      </c>
      <c r="P22" s="228"/>
      <c r="Q22" s="228" t="s">
        <v>829</v>
      </c>
      <c r="R22" s="228" t="s">
        <v>784</v>
      </c>
      <c r="S22" s="237" t="s">
        <v>830</v>
      </c>
      <c r="T22" s="233" t="s">
        <v>831</v>
      </c>
      <c r="U22" s="233" t="s">
        <v>832</v>
      </c>
      <c r="V22" s="188" t="s">
        <v>833</v>
      </c>
      <c r="W22" s="228"/>
      <c r="X22" s="228" t="s">
        <v>834</v>
      </c>
      <c r="Y22" s="233" t="s">
        <v>835</v>
      </c>
      <c r="Z22" s="233" t="s">
        <v>836</v>
      </c>
      <c r="AA22" s="73" t="s">
        <v>837</v>
      </c>
    </row>
    <row r="23" spans="1:27" s="33" customFormat="1" ht="93.75" customHeight="1" x14ac:dyDescent="0.35">
      <c r="A23" s="27"/>
      <c r="B23" s="228" t="s">
        <v>9</v>
      </c>
      <c r="C23" s="228" t="s">
        <v>828</v>
      </c>
      <c r="D23" s="228" t="s">
        <v>10</v>
      </c>
      <c r="E23" s="73">
        <v>1</v>
      </c>
      <c r="F23" s="228" t="s">
        <v>838</v>
      </c>
      <c r="G23" s="228" t="s">
        <v>839</v>
      </c>
      <c r="H23" s="228" t="s">
        <v>840</v>
      </c>
      <c r="I23" s="229">
        <v>2</v>
      </c>
      <c r="J23" s="231" t="s">
        <v>741</v>
      </c>
      <c r="K23" s="229"/>
      <c r="L23" s="229"/>
      <c r="M23" s="233" t="s">
        <v>841</v>
      </c>
      <c r="N23" s="233" t="s">
        <v>842</v>
      </c>
      <c r="O23" s="229" t="s">
        <v>843</v>
      </c>
      <c r="P23" s="228"/>
      <c r="Q23" s="228" t="s">
        <v>844</v>
      </c>
      <c r="R23" s="228" t="s">
        <v>845</v>
      </c>
      <c r="S23" s="237" t="s">
        <v>830</v>
      </c>
      <c r="T23" s="233" t="s">
        <v>831</v>
      </c>
      <c r="U23" s="233" t="s">
        <v>846</v>
      </c>
      <c r="V23" s="176" t="s">
        <v>847</v>
      </c>
      <c r="W23" s="228"/>
      <c r="X23" s="228" t="s">
        <v>848</v>
      </c>
      <c r="Y23" s="228" t="s">
        <v>849</v>
      </c>
      <c r="Z23" s="228" t="s">
        <v>850</v>
      </c>
      <c r="AA23" s="229" t="s">
        <v>749</v>
      </c>
    </row>
    <row r="24" spans="1:27" s="33" customFormat="1" ht="100.5" customHeight="1" x14ac:dyDescent="0.35">
      <c r="A24" s="27"/>
      <c r="B24" s="228" t="s">
        <v>9</v>
      </c>
      <c r="C24" s="228" t="s">
        <v>828</v>
      </c>
      <c r="D24" s="228" t="s">
        <v>10</v>
      </c>
      <c r="E24" s="73">
        <v>1</v>
      </c>
      <c r="F24" s="228" t="s">
        <v>851</v>
      </c>
      <c r="G24" s="228" t="s">
        <v>852</v>
      </c>
      <c r="H24" s="77" t="s">
        <v>853</v>
      </c>
      <c r="I24" s="229">
        <v>5</v>
      </c>
      <c r="J24" s="231" t="s">
        <v>741</v>
      </c>
      <c r="K24" s="229">
        <v>20</v>
      </c>
      <c r="L24" s="230"/>
      <c r="M24" s="233" t="s">
        <v>854</v>
      </c>
      <c r="N24" s="233" t="s">
        <v>855</v>
      </c>
      <c r="O24" s="229" t="s">
        <v>843</v>
      </c>
      <c r="P24" s="228"/>
      <c r="Q24" s="228" t="s">
        <v>829</v>
      </c>
      <c r="R24" s="228" t="s">
        <v>856</v>
      </c>
      <c r="S24" s="233" t="s">
        <v>857</v>
      </c>
      <c r="T24" s="233" t="s">
        <v>858</v>
      </c>
      <c r="U24" s="233" t="s">
        <v>859</v>
      </c>
      <c r="V24" s="176" t="s">
        <v>860</v>
      </c>
      <c r="W24" s="228"/>
      <c r="X24" s="228" t="s">
        <v>848</v>
      </c>
      <c r="Y24" s="228" t="s">
        <v>861</v>
      </c>
      <c r="Z24" s="228" t="s">
        <v>862</v>
      </c>
      <c r="AA24" s="229" t="s">
        <v>749</v>
      </c>
    </row>
    <row r="25" spans="1:27" s="33" customFormat="1" ht="60" customHeight="1" x14ac:dyDescent="0.35">
      <c r="A25" s="27"/>
      <c r="B25" s="238" t="s">
        <v>9</v>
      </c>
      <c r="C25" s="238" t="s">
        <v>828</v>
      </c>
      <c r="D25" s="238" t="s">
        <v>10</v>
      </c>
      <c r="E25" s="239">
        <v>1</v>
      </c>
      <c r="F25" s="238" t="s">
        <v>863</v>
      </c>
      <c r="G25" s="240" t="s">
        <v>864</v>
      </c>
      <c r="H25" s="200"/>
      <c r="I25" s="241">
        <v>4</v>
      </c>
      <c r="J25" s="242" t="s">
        <v>741</v>
      </c>
      <c r="K25" s="241">
        <v>4</v>
      </c>
      <c r="L25" s="241"/>
      <c r="M25" s="243"/>
      <c r="N25" s="243"/>
      <c r="O25" s="241"/>
      <c r="P25" s="240"/>
      <c r="Q25" s="238"/>
      <c r="R25" s="238"/>
      <c r="S25" s="238"/>
      <c r="T25" s="240"/>
      <c r="U25" s="240"/>
      <c r="V25" s="240"/>
      <c r="W25" s="238"/>
      <c r="X25" s="240" t="s">
        <v>865</v>
      </c>
      <c r="Y25" s="240" t="s">
        <v>866</v>
      </c>
      <c r="Z25" s="240" t="s">
        <v>867</v>
      </c>
      <c r="AA25" s="239" t="s">
        <v>749</v>
      </c>
    </row>
    <row r="26" spans="1:27" s="33" customFormat="1" ht="60" customHeight="1" x14ac:dyDescent="0.35">
      <c r="A26" s="27"/>
      <c r="B26" s="228" t="s">
        <v>9</v>
      </c>
      <c r="C26" s="228" t="s">
        <v>828</v>
      </c>
      <c r="D26" s="228" t="s">
        <v>10</v>
      </c>
      <c r="E26" s="73">
        <v>1</v>
      </c>
      <c r="F26" s="228" t="s">
        <v>868</v>
      </c>
      <c r="G26" s="228" t="s">
        <v>869</v>
      </c>
      <c r="H26" s="228" t="s">
        <v>870</v>
      </c>
      <c r="I26" s="244">
        <v>5</v>
      </c>
      <c r="J26" s="231" t="s">
        <v>741</v>
      </c>
      <c r="K26" s="229">
        <v>4</v>
      </c>
      <c r="L26" s="230"/>
      <c r="M26" s="233" t="s">
        <v>871</v>
      </c>
      <c r="N26" s="233" t="s">
        <v>872</v>
      </c>
      <c r="O26" s="229" t="s">
        <v>843</v>
      </c>
      <c r="P26" s="233" t="s">
        <v>873</v>
      </c>
      <c r="Q26" s="228" t="s">
        <v>829</v>
      </c>
      <c r="R26" s="228" t="s">
        <v>874</v>
      </c>
      <c r="S26" s="233" t="s">
        <v>830</v>
      </c>
      <c r="T26" s="233" t="s">
        <v>875</v>
      </c>
      <c r="U26" s="233" t="s">
        <v>876</v>
      </c>
      <c r="V26" s="176" t="s">
        <v>877</v>
      </c>
      <c r="W26" s="228"/>
      <c r="X26" s="228" t="s">
        <v>848</v>
      </c>
      <c r="Y26" s="228" t="s">
        <v>849</v>
      </c>
      <c r="Z26" s="228" t="s">
        <v>878</v>
      </c>
      <c r="AA26" s="229" t="s">
        <v>749</v>
      </c>
    </row>
    <row r="27" spans="1:27" s="33" customFormat="1" ht="91.5" customHeight="1" x14ac:dyDescent="0.35">
      <c r="A27" s="27"/>
      <c r="B27" s="228" t="s">
        <v>9</v>
      </c>
      <c r="C27" s="228" t="s">
        <v>828</v>
      </c>
      <c r="D27" s="228" t="s">
        <v>10</v>
      </c>
      <c r="E27" s="73">
        <v>1</v>
      </c>
      <c r="F27" s="228" t="s">
        <v>879</v>
      </c>
      <c r="G27" s="228" t="s">
        <v>880</v>
      </c>
      <c r="H27" s="228" t="s">
        <v>870</v>
      </c>
      <c r="I27" s="229">
        <v>6</v>
      </c>
      <c r="J27" s="231" t="s">
        <v>741</v>
      </c>
      <c r="K27" s="229">
        <v>4</v>
      </c>
      <c r="L27" s="229"/>
      <c r="M27" s="233" t="s">
        <v>881</v>
      </c>
      <c r="N27" s="233" t="s">
        <v>882</v>
      </c>
      <c r="O27" s="229" t="s">
        <v>843</v>
      </c>
      <c r="P27" s="233" t="s">
        <v>883</v>
      </c>
      <c r="Q27" s="228" t="s">
        <v>829</v>
      </c>
      <c r="R27" s="228" t="s">
        <v>884</v>
      </c>
      <c r="S27" s="233" t="s">
        <v>885</v>
      </c>
      <c r="T27" s="233" t="s">
        <v>886</v>
      </c>
      <c r="U27" s="233" t="s">
        <v>887</v>
      </c>
      <c r="V27" s="176" t="s">
        <v>888</v>
      </c>
      <c r="W27" s="228"/>
      <c r="X27" s="228" t="s">
        <v>834</v>
      </c>
      <c r="Y27" s="228" t="s">
        <v>889</v>
      </c>
      <c r="Z27" s="228" t="s">
        <v>890</v>
      </c>
      <c r="AA27" s="73" t="s">
        <v>837</v>
      </c>
    </row>
    <row r="28" spans="1:27" s="33" customFormat="1" ht="60" customHeight="1" x14ac:dyDescent="0.35">
      <c r="A28" s="27"/>
      <c r="B28" s="228" t="s">
        <v>9</v>
      </c>
      <c r="C28" s="228" t="s">
        <v>828</v>
      </c>
      <c r="D28" s="228" t="s">
        <v>10</v>
      </c>
      <c r="E28" s="73">
        <v>1</v>
      </c>
      <c r="F28" s="228" t="s">
        <v>891</v>
      </c>
      <c r="G28" s="228" t="s">
        <v>892</v>
      </c>
      <c r="H28" s="228" t="s">
        <v>870</v>
      </c>
      <c r="I28" s="229">
        <v>7</v>
      </c>
      <c r="J28" s="231" t="s">
        <v>741</v>
      </c>
      <c r="K28" s="229">
        <v>10</v>
      </c>
      <c r="L28" s="229"/>
      <c r="M28" s="233" t="s">
        <v>893</v>
      </c>
      <c r="N28" s="203" t="s">
        <v>894</v>
      </c>
      <c r="O28" s="229" t="s">
        <v>843</v>
      </c>
      <c r="P28" s="228"/>
      <c r="Q28" s="228" t="s">
        <v>829</v>
      </c>
      <c r="R28" s="228" t="s">
        <v>895</v>
      </c>
      <c r="S28" s="233" t="s">
        <v>885</v>
      </c>
      <c r="T28" s="233" t="s">
        <v>896</v>
      </c>
      <c r="U28" s="233" t="s">
        <v>897</v>
      </c>
      <c r="V28" s="176" t="s">
        <v>898</v>
      </c>
      <c r="W28" s="228"/>
      <c r="X28" s="228" t="s">
        <v>848</v>
      </c>
      <c r="Y28" s="228" t="s">
        <v>849</v>
      </c>
      <c r="Z28" s="228" t="s">
        <v>899</v>
      </c>
      <c r="AA28" s="229" t="s">
        <v>749</v>
      </c>
    </row>
    <row r="29" spans="1:27" s="33" customFormat="1" ht="154.5" customHeight="1" x14ac:dyDescent="0.35">
      <c r="A29" s="27"/>
      <c r="B29" s="228" t="s">
        <v>9</v>
      </c>
      <c r="C29" s="228" t="s">
        <v>828</v>
      </c>
      <c r="D29" s="228" t="s">
        <v>10</v>
      </c>
      <c r="E29" s="73">
        <v>1</v>
      </c>
      <c r="F29" s="228" t="s">
        <v>900</v>
      </c>
      <c r="G29" s="228" t="s">
        <v>901</v>
      </c>
      <c r="H29" s="228" t="s">
        <v>902</v>
      </c>
      <c r="I29" s="229">
        <v>8</v>
      </c>
      <c r="J29" s="231" t="s">
        <v>741</v>
      </c>
      <c r="K29" s="229">
        <v>4</v>
      </c>
      <c r="L29" s="230"/>
      <c r="M29" s="233" t="s">
        <v>903</v>
      </c>
      <c r="N29" s="233" t="s">
        <v>904</v>
      </c>
      <c r="O29" s="229" t="s">
        <v>843</v>
      </c>
      <c r="P29" s="228"/>
      <c r="Q29" s="228" t="s">
        <v>905</v>
      </c>
      <c r="R29" s="228" t="s">
        <v>900</v>
      </c>
      <c r="S29" s="233" t="s">
        <v>906</v>
      </c>
      <c r="T29" s="233" t="s">
        <v>907</v>
      </c>
      <c r="U29" s="233" t="s">
        <v>826</v>
      </c>
      <c r="V29" s="188" t="s">
        <v>908</v>
      </c>
      <c r="W29" s="228"/>
      <c r="X29" s="228" t="s">
        <v>848</v>
      </c>
      <c r="Y29" s="228" t="s">
        <v>909</v>
      </c>
      <c r="Z29" s="233" t="s">
        <v>910</v>
      </c>
      <c r="AA29" s="229" t="s">
        <v>749</v>
      </c>
    </row>
    <row r="30" spans="1:27" s="33" customFormat="1" ht="138.75" customHeight="1" x14ac:dyDescent="0.35">
      <c r="A30" s="27"/>
      <c r="B30" s="228" t="s">
        <v>9</v>
      </c>
      <c r="C30" s="228" t="s">
        <v>828</v>
      </c>
      <c r="D30" s="228" t="s">
        <v>10</v>
      </c>
      <c r="E30" s="73">
        <v>1</v>
      </c>
      <c r="F30" s="228" t="s">
        <v>911</v>
      </c>
      <c r="G30" s="228" t="s">
        <v>912</v>
      </c>
      <c r="H30" s="228" t="s">
        <v>902</v>
      </c>
      <c r="I30" s="229">
        <v>9</v>
      </c>
      <c r="J30" s="231" t="s">
        <v>741</v>
      </c>
      <c r="K30" s="229">
        <v>4</v>
      </c>
      <c r="L30" s="230"/>
      <c r="M30" s="233" t="s">
        <v>913</v>
      </c>
      <c r="N30" s="233" t="s">
        <v>914</v>
      </c>
      <c r="O30" s="229" t="s">
        <v>843</v>
      </c>
      <c r="P30" s="228"/>
      <c r="Q30" s="228" t="s">
        <v>905</v>
      </c>
      <c r="R30" s="228" t="s">
        <v>911</v>
      </c>
      <c r="S30" s="233" t="s">
        <v>906</v>
      </c>
      <c r="T30" s="233" t="s">
        <v>915</v>
      </c>
      <c r="U30" s="233" t="s">
        <v>826</v>
      </c>
      <c r="V30" s="188" t="s">
        <v>916</v>
      </c>
      <c r="W30" s="228"/>
      <c r="X30" s="228" t="s">
        <v>848</v>
      </c>
      <c r="Y30" s="228" t="s">
        <v>917</v>
      </c>
      <c r="Z30" s="77" t="s">
        <v>918</v>
      </c>
      <c r="AA30" s="229" t="s">
        <v>749</v>
      </c>
    </row>
    <row r="31" spans="1:27" s="33" customFormat="1" ht="60" customHeight="1" x14ac:dyDescent="0.35">
      <c r="A31" s="27"/>
      <c r="B31" s="228" t="s">
        <v>9</v>
      </c>
      <c r="C31" s="228" t="s">
        <v>828</v>
      </c>
      <c r="D31" s="228" t="s">
        <v>10</v>
      </c>
      <c r="E31" s="73">
        <v>1</v>
      </c>
      <c r="F31" s="228" t="s">
        <v>764</v>
      </c>
      <c r="G31" s="228" t="s">
        <v>765</v>
      </c>
      <c r="H31" s="228" t="s">
        <v>766</v>
      </c>
      <c r="I31" s="229">
        <v>10</v>
      </c>
      <c r="J31" s="231" t="s">
        <v>741</v>
      </c>
      <c r="K31" s="229">
        <v>10</v>
      </c>
      <c r="L31" s="230"/>
      <c r="M31" s="233" t="s">
        <v>767</v>
      </c>
      <c r="N31" s="76" t="s">
        <v>823</v>
      </c>
      <c r="O31" s="229" t="s">
        <v>744</v>
      </c>
      <c r="P31" s="228"/>
      <c r="Q31" s="228"/>
      <c r="R31" s="228"/>
      <c r="S31" s="233" t="s">
        <v>830</v>
      </c>
      <c r="T31" s="233" t="s">
        <v>831</v>
      </c>
      <c r="U31" s="233" t="s">
        <v>919</v>
      </c>
      <c r="V31" s="176" t="s">
        <v>920</v>
      </c>
      <c r="W31" s="228"/>
      <c r="X31" s="228" t="s">
        <v>749</v>
      </c>
      <c r="Y31" s="228" t="s">
        <v>749</v>
      </c>
      <c r="Z31" s="228" t="s">
        <v>749</v>
      </c>
      <c r="AA31" s="229" t="s">
        <v>749</v>
      </c>
    </row>
    <row r="32" spans="1:27" s="33" customFormat="1" ht="60" customHeight="1" x14ac:dyDescent="0.35">
      <c r="A32" s="27"/>
      <c r="B32" s="228" t="s">
        <v>9</v>
      </c>
      <c r="C32" s="228" t="s">
        <v>828</v>
      </c>
      <c r="D32" s="228" t="s">
        <v>10</v>
      </c>
      <c r="E32" s="73">
        <v>1</v>
      </c>
      <c r="F32" s="228" t="s">
        <v>771</v>
      </c>
      <c r="G32" s="228" t="s">
        <v>772</v>
      </c>
      <c r="H32" s="228" t="s">
        <v>773</v>
      </c>
      <c r="I32" s="229">
        <v>11</v>
      </c>
      <c r="J32" s="231" t="s">
        <v>774</v>
      </c>
      <c r="K32" s="229">
        <v>23</v>
      </c>
      <c r="L32" s="230"/>
      <c r="M32" s="233" t="s">
        <v>775</v>
      </c>
      <c r="N32" s="176" t="s">
        <v>776</v>
      </c>
      <c r="O32" s="229" t="s">
        <v>843</v>
      </c>
      <c r="P32" s="228"/>
      <c r="Q32" s="228"/>
      <c r="R32" s="228"/>
      <c r="S32" s="233" t="s">
        <v>830</v>
      </c>
      <c r="T32" s="233" t="s">
        <v>875</v>
      </c>
      <c r="U32" s="233" t="s">
        <v>921</v>
      </c>
      <c r="V32" s="176" t="s">
        <v>922</v>
      </c>
      <c r="W32" s="228"/>
      <c r="X32" s="228" t="s">
        <v>749</v>
      </c>
      <c r="Y32" s="228" t="s">
        <v>749</v>
      </c>
      <c r="Z32" s="228" t="s">
        <v>749</v>
      </c>
      <c r="AA32" s="229" t="s">
        <v>749</v>
      </c>
    </row>
    <row r="33" spans="1:27" s="33" customFormat="1" ht="110.25" customHeight="1" x14ac:dyDescent="0.35">
      <c r="A33" s="27"/>
      <c r="B33" s="227" t="s">
        <v>9</v>
      </c>
      <c r="C33" s="228" t="s">
        <v>923</v>
      </c>
      <c r="D33" s="227" t="s">
        <v>12</v>
      </c>
      <c r="E33" s="230">
        <v>2</v>
      </c>
      <c r="F33" s="228" t="s">
        <v>784</v>
      </c>
      <c r="G33" s="227" t="s">
        <v>785</v>
      </c>
      <c r="H33" s="228" t="s">
        <v>740</v>
      </c>
      <c r="I33" s="230">
        <v>1</v>
      </c>
      <c r="J33" s="236" t="s">
        <v>741</v>
      </c>
      <c r="K33" s="230">
        <v>10</v>
      </c>
      <c r="L33" s="230"/>
      <c r="M33" s="232" t="s">
        <v>786</v>
      </c>
      <c r="N33" s="227" t="s">
        <v>787</v>
      </c>
      <c r="O33" s="230" t="s">
        <v>744</v>
      </c>
      <c r="P33" s="227"/>
      <c r="Q33" s="227" t="s">
        <v>924</v>
      </c>
      <c r="R33" s="227" t="s">
        <v>784</v>
      </c>
      <c r="S33" s="232" t="s">
        <v>925</v>
      </c>
      <c r="T33" s="159" t="s">
        <v>926</v>
      </c>
      <c r="U33" s="159" t="s">
        <v>927</v>
      </c>
      <c r="V33" s="189" t="s">
        <v>928</v>
      </c>
      <c r="W33" s="79"/>
      <c r="X33" s="79" t="s">
        <v>834</v>
      </c>
      <c r="Y33" s="79" t="s">
        <v>929</v>
      </c>
      <c r="Z33" s="79" t="s">
        <v>930</v>
      </c>
      <c r="AA33" s="85" t="s">
        <v>837</v>
      </c>
    </row>
    <row r="34" spans="1:27" s="33" customFormat="1" ht="110.25" customHeight="1" x14ac:dyDescent="0.35">
      <c r="A34" s="27"/>
      <c r="B34" s="227" t="s">
        <v>9</v>
      </c>
      <c r="C34" s="228" t="s">
        <v>923</v>
      </c>
      <c r="D34" s="227" t="s">
        <v>12</v>
      </c>
      <c r="E34" s="230">
        <v>2</v>
      </c>
      <c r="F34" s="228" t="s">
        <v>931</v>
      </c>
      <c r="G34" s="227" t="s">
        <v>932</v>
      </c>
      <c r="H34" s="228" t="s">
        <v>933</v>
      </c>
      <c r="I34" s="230">
        <v>2</v>
      </c>
      <c r="J34" s="236" t="s">
        <v>934</v>
      </c>
      <c r="K34" s="230"/>
      <c r="L34" s="230"/>
      <c r="M34" s="232" t="s">
        <v>935</v>
      </c>
      <c r="N34" s="227" t="s">
        <v>936</v>
      </c>
      <c r="O34" s="230" t="s">
        <v>744</v>
      </c>
      <c r="P34" s="227"/>
      <c r="Q34" s="227" t="s">
        <v>924</v>
      </c>
      <c r="R34" s="227" t="s">
        <v>937</v>
      </c>
      <c r="S34" s="232" t="s">
        <v>925</v>
      </c>
      <c r="T34" s="159" t="s">
        <v>926</v>
      </c>
      <c r="U34" s="159" t="s">
        <v>938</v>
      </c>
      <c r="V34" s="189" t="s">
        <v>939</v>
      </c>
      <c r="W34" s="79"/>
      <c r="X34" s="79" t="s">
        <v>848</v>
      </c>
      <c r="Y34" s="79" t="s">
        <v>940</v>
      </c>
      <c r="Z34" s="79" t="s">
        <v>941</v>
      </c>
      <c r="AA34" s="85" t="s">
        <v>749</v>
      </c>
    </row>
    <row r="35" spans="1:27" s="33" customFormat="1" ht="110.25" customHeight="1" x14ac:dyDescent="0.35">
      <c r="A35" s="27"/>
      <c r="B35" s="227" t="s">
        <v>9</v>
      </c>
      <c r="C35" s="228" t="s">
        <v>923</v>
      </c>
      <c r="D35" s="227" t="s">
        <v>12</v>
      </c>
      <c r="E35" s="78">
        <v>2</v>
      </c>
      <c r="F35" s="228" t="s">
        <v>942</v>
      </c>
      <c r="G35" s="227" t="s">
        <v>943</v>
      </c>
      <c r="H35" s="228" t="s">
        <v>944</v>
      </c>
      <c r="I35" s="230">
        <v>3</v>
      </c>
      <c r="J35" s="236" t="s">
        <v>741</v>
      </c>
      <c r="K35" s="230">
        <v>10</v>
      </c>
      <c r="L35" s="230"/>
      <c r="M35" s="233" t="s">
        <v>945</v>
      </c>
      <c r="N35" s="227" t="s">
        <v>946</v>
      </c>
      <c r="O35" s="230" t="s">
        <v>744</v>
      </c>
      <c r="P35" s="227"/>
      <c r="Q35" s="227" t="s">
        <v>924</v>
      </c>
      <c r="R35" s="227" t="s">
        <v>947</v>
      </c>
      <c r="S35" s="232" t="s">
        <v>925</v>
      </c>
      <c r="T35" s="159" t="s">
        <v>926</v>
      </c>
      <c r="U35" s="176" t="s">
        <v>948</v>
      </c>
      <c r="V35" s="176" t="s">
        <v>949</v>
      </c>
      <c r="W35" s="74"/>
      <c r="X35" s="79" t="s">
        <v>848</v>
      </c>
      <c r="Y35" s="74" t="s">
        <v>940</v>
      </c>
      <c r="Z35" s="74" t="s">
        <v>950</v>
      </c>
      <c r="AA35" s="85" t="s">
        <v>749</v>
      </c>
    </row>
    <row r="36" spans="1:27" s="33" customFormat="1" ht="110.25" customHeight="1" x14ac:dyDescent="0.35">
      <c r="A36" s="27"/>
      <c r="B36" s="227" t="s">
        <v>9</v>
      </c>
      <c r="C36" s="228" t="s">
        <v>923</v>
      </c>
      <c r="D36" s="227" t="s">
        <v>12</v>
      </c>
      <c r="E36" s="229">
        <v>2</v>
      </c>
      <c r="F36" s="228" t="s">
        <v>951</v>
      </c>
      <c r="G36" s="227" t="s">
        <v>952</v>
      </c>
      <c r="H36" s="228" t="s">
        <v>953</v>
      </c>
      <c r="I36" s="230">
        <v>4</v>
      </c>
      <c r="J36" s="236" t="s">
        <v>741</v>
      </c>
      <c r="K36" s="230">
        <v>4</v>
      </c>
      <c r="L36" s="230"/>
      <c r="M36" s="232" t="s">
        <v>954</v>
      </c>
      <c r="N36" s="227" t="s">
        <v>955</v>
      </c>
      <c r="O36" s="230" t="s">
        <v>744</v>
      </c>
      <c r="P36" s="232" t="s">
        <v>956</v>
      </c>
      <c r="Q36" s="227" t="s">
        <v>924</v>
      </c>
      <c r="R36" s="227" t="s">
        <v>957</v>
      </c>
      <c r="S36" s="232" t="s">
        <v>925</v>
      </c>
      <c r="T36" s="159" t="s">
        <v>926</v>
      </c>
      <c r="U36" s="176" t="s">
        <v>958</v>
      </c>
      <c r="V36" s="176" t="s">
        <v>959</v>
      </c>
      <c r="W36" s="228"/>
      <c r="X36" s="79" t="s">
        <v>848</v>
      </c>
      <c r="Y36" s="228" t="s">
        <v>960</v>
      </c>
      <c r="Z36" s="228" t="s">
        <v>961</v>
      </c>
      <c r="AA36" s="85" t="s">
        <v>749</v>
      </c>
    </row>
    <row r="37" spans="1:27" s="33" customFormat="1" ht="110.25" customHeight="1" x14ac:dyDescent="0.35">
      <c r="A37" s="27"/>
      <c r="B37" s="227" t="s">
        <v>9</v>
      </c>
      <c r="C37" s="228" t="s">
        <v>923</v>
      </c>
      <c r="D37" s="227" t="s">
        <v>12</v>
      </c>
      <c r="E37" s="229">
        <v>2</v>
      </c>
      <c r="F37" s="228" t="s">
        <v>962</v>
      </c>
      <c r="G37" s="227" t="s">
        <v>963</v>
      </c>
      <c r="H37" s="228" t="s">
        <v>964</v>
      </c>
      <c r="I37" s="230">
        <v>5</v>
      </c>
      <c r="J37" s="236" t="s">
        <v>741</v>
      </c>
      <c r="K37" s="230">
        <v>4</v>
      </c>
      <c r="L37" s="230"/>
      <c r="M37" s="232" t="s">
        <v>965</v>
      </c>
      <c r="N37" s="227" t="s">
        <v>966</v>
      </c>
      <c r="O37" s="230" t="s">
        <v>843</v>
      </c>
      <c r="P37" s="232" t="s">
        <v>967</v>
      </c>
      <c r="Q37" s="227" t="s">
        <v>924</v>
      </c>
      <c r="R37" s="227" t="s">
        <v>962</v>
      </c>
      <c r="S37" s="232" t="s">
        <v>968</v>
      </c>
      <c r="T37" s="159" t="s">
        <v>969</v>
      </c>
      <c r="U37" s="159" t="s">
        <v>970</v>
      </c>
      <c r="V37" s="176" t="s">
        <v>971</v>
      </c>
      <c r="W37" s="228"/>
      <c r="X37" s="79" t="s">
        <v>834</v>
      </c>
      <c r="Y37" s="228" t="s">
        <v>972</v>
      </c>
      <c r="Z37" s="228" t="s">
        <v>973</v>
      </c>
      <c r="AA37" s="229" t="s">
        <v>837</v>
      </c>
    </row>
    <row r="38" spans="1:27" s="33" customFormat="1" ht="55.5" customHeight="1" x14ac:dyDescent="0.35">
      <c r="A38" s="27"/>
      <c r="B38" s="227" t="s">
        <v>9</v>
      </c>
      <c r="C38" s="228" t="s">
        <v>923</v>
      </c>
      <c r="D38" s="227" t="s">
        <v>12</v>
      </c>
      <c r="E38" s="229">
        <v>2</v>
      </c>
      <c r="F38" s="228" t="s">
        <v>974</v>
      </c>
      <c r="G38" s="227" t="s">
        <v>975</v>
      </c>
      <c r="H38" s="228" t="s">
        <v>964</v>
      </c>
      <c r="I38" s="230">
        <v>6</v>
      </c>
      <c r="J38" s="236" t="s">
        <v>741</v>
      </c>
      <c r="K38" s="230">
        <v>6</v>
      </c>
      <c r="L38" s="230"/>
      <c r="M38" s="232" t="s">
        <v>976</v>
      </c>
      <c r="N38" s="227" t="s">
        <v>977</v>
      </c>
      <c r="O38" s="230"/>
      <c r="P38" s="232"/>
      <c r="Q38" s="227"/>
      <c r="R38" s="227"/>
      <c r="S38" s="232" t="s">
        <v>925</v>
      </c>
      <c r="T38" s="159" t="s">
        <v>926</v>
      </c>
      <c r="U38" s="232" t="s">
        <v>978</v>
      </c>
      <c r="V38" s="189" t="s">
        <v>979</v>
      </c>
      <c r="W38" s="228"/>
      <c r="X38" s="79" t="s">
        <v>848</v>
      </c>
      <c r="Y38" s="228" t="s">
        <v>980</v>
      </c>
      <c r="Z38" s="233" t="s">
        <v>981</v>
      </c>
      <c r="AA38" s="230" t="s">
        <v>982</v>
      </c>
    </row>
    <row r="39" spans="1:27" s="33" customFormat="1" ht="409.5" customHeight="1" x14ac:dyDescent="0.35">
      <c r="A39" s="27"/>
      <c r="B39" s="240" t="s">
        <v>9</v>
      </c>
      <c r="C39" s="238" t="s">
        <v>923</v>
      </c>
      <c r="D39" s="240" t="s">
        <v>12</v>
      </c>
      <c r="E39" s="239">
        <v>2</v>
      </c>
      <c r="F39" s="238" t="s">
        <v>983</v>
      </c>
      <c r="G39" s="240" t="s">
        <v>984</v>
      </c>
      <c r="H39" s="238" t="s">
        <v>964</v>
      </c>
      <c r="I39" s="241">
        <v>7</v>
      </c>
      <c r="J39" s="242" t="s">
        <v>741</v>
      </c>
      <c r="K39" s="241">
        <v>6</v>
      </c>
      <c r="L39" s="241"/>
      <c r="M39" s="243" t="s">
        <v>985</v>
      </c>
      <c r="N39" s="240" t="s">
        <v>986</v>
      </c>
      <c r="O39" s="241"/>
      <c r="P39" s="243" t="s">
        <v>987</v>
      </c>
      <c r="Q39" s="240"/>
      <c r="R39" s="240"/>
      <c r="S39" s="238"/>
      <c r="T39" s="243" t="s">
        <v>988</v>
      </c>
      <c r="U39" s="243" t="s">
        <v>989</v>
      </c>
      <c r="V39" s="213" t="s">
        <v>990</v>
      </c>
      <c r="W39" s="238"/>
      <c r="X39" s="181" t="s">
        <v>848</v>
      </c>
      <c r="Y39" s="238" t="s">
        <v>980</v>
      </c>
      <c r="Z39" s="245" t="s">
        <v>991</v>
      </c>
      <c r="AA39" s="241" t="s">
        <v>982</v>
      </c>
    </row>
    <row r="40" spans="1:27" s="33" customFormat="1" ht="237" customHeight="1" x14ac:dyDescent="0.35">
      <c r="A40" s="27"/>
      <c r="B40" s="240" t="s">
        <v>9</v>
      </c>
      <c r="C40" s="238" t="s">
        <v>923</v>
      </c>
      <c r="D40" s="240" t="s">
        <v>12</v>
      </c>
      <c r="E40" s="239">
        <v>2</v>
      </c>
      <c r="F40" s="238" t="s">
        <v>992</v>
      </c>
      <c r="G40" s="240" t="s">
        <v>993</v>
      </c>
      <c r="H40" s="238" t="s">
        <v>964</v>
      </c>
      <c r="I40" s="241">
        <v>8</v>
      </c>
      <c r="J40" s="242" t="s">
        <v>741</v>
      </c>
      <c r="K40" s="241">
        <v>6</v>
      </c>
      <c r="L40" s="241"/>
      <c r="M40" s="243" t="s">
        <v>994</v>
      </c>
      <c r="N40" s="240" t="s">
        <v>995</v>
      </c>
      <c r="O40" s="241" t="s">
        <v>843</v>
      </c>
      <c r="P40" s="243" t="s">
        <v>996</v>
      </c>
      <c r="Q40" s="240" t="s">
        <v>924</v>
      </c>
      <c r="R40" s="240" t="s">
        <v>997</v>
      </c>
      <c r="S40" s="238"/>
      <c r="T40" s="243" t="s">
        <v>988</v>
      </c>
      <c r="U40" s="243" t="s">
        <v>989</v>
      </c>
      <c r="V40" s="212" t="s">
        <v>998</v>
      </c>
      <c r="W40" s="238"/>
      <c r="X40" s="181" t="s">
        <v>848</v>
      </c>
      <c r="Y40" s="238" t="s">
        <v>980</v>
      </c>
      <c r="Z40" s="245" t="s">
        <v>999</v>
      </c>
      <c r="AA40" s="241" t="s">
        <v>982</v>
      </c>
    </row>
    <row r="41" spans="1:27" s="33" customFormat="1" ht="110.25" customHeight="1" x14ac:dyDescent="0.35">
      <c r="A41" s="27"/>
      <c r="B41" s="240" t="s">
        <v>9</v>
      </c>
      <c r="C41" s="238" t="s">
        <v>923</v>
      </c>
      <c r="D41" s="240" t="s">
        <v>12</v>
      </c>
      <c r="E41" s="239">
        <v>2</v>
      </c>
      <c r="F41" s="238" t="s">
        <v>1000</v>
      </c>
      <c r="G41" s="240" t="s">
        <v>1001</v>
      </c>
      <c r="H41" s="238" t="s">
        <v>964</v>
      </c>
      <c r="I41" s="241">
        <v>9</v>
      </c>
      <c r="J41" s="242" t="s">
        <v>741</v>
      </c>
      <c r="K41" s="241">
        <v>6</v>
      </c>
      <c r="L41" s="241"/>
      <c r="M41" s="243" t="s">
        <v>1002</v>
      </c>
      <c r="N41" s="198" t="s">
        <v>1003</v>
      </c>
      <c r="O41" s="241"/>
      <c r="P41" s="243" t="s">
        <v>1004</v>
      </c>
      <c r="Q41" s="240"/>
      <c r="R41" s="240"/>
      <c r="S41" s="238"/>
      <c r="T41" s="243" t="s">
        <v>988</v>
      </c>
      <c r="U41" s="243" t="s">
        <v>989</v>
      </c>
      <c r="V41" s="213" t="s">
        <v>1005</v>
      </c>
      <c r="W41" s="238"/>
      <c r="X41" s="181" t="s">
        <v>848</v>
      </c>
      <c r="Y41" s="238" t="s">
        <v>980</v>
      </c>
      <c r="Z41" s="245" t="s">
        <v>1006</v>
      </c>
      <c r="AA41" s="241" t="s">
        <v>982</v>
      </c>
    </row>
    <row r="42" spans="1:27" s="33" customFormat="1" ht="403.5" customHeight="1" x14ac:dyDescent="0.35">
      <c r="A42" s="27"/>
      <c r="B42" s="240" t="s">
        <v>9</v>
      </c>
      <c r="C42" s="238" t="s">
        <v>923</v>
      </c>
      <c r="D42" s="240" t="s">
        <v>12</v>
      </c>
      <c r="E42" s="239">
        <v>2</v>
      </c>
      <c r="F42" s="238" t="s">
        <v>1007</v>
      </c>
      <c r="G42" s="246" t="s">
        <v>1008</v>
      </c>
      <c r="H42" s="238" t="s">
        <v>964</v>
      </c>
      <c r="I42" s="241">
        <v>10</v>
      </c>
      <c r="J42" s="242" t="s">
        <v>741</v>
      </c>
      <c r="K42" s="241">
        <v>6</v>
      </c>
      <c r="L42" s="241"/>
      <c r="M42" s="243" t="s">
        <v>1009</v>
      </c>
      <c r="N42" s="240" t="s">
        <v>1010</v>
      </c>
      <c r="O42" s="241"/>
      <c r="P42" s="243" t="s">
        <v>1011</v>
      </c>
      <c r="Q42" s="240"/>
      <c r="R42" s="240"/>
      <c r="S42" s="238"/>
      <c r="T42" s="243" t="s">
        <v>1012</v>
      </c>
      <c r="U42" s="243" t="s">
        <v>1013</v>
      </c>
      <c r="V42" s="213" t="s">
        <v>1014</v>
      </c>
      <c r="W42" s="238"/>
      <c r="X42" s="181" t="s">
        <v>834</v>
      </c>
      <c r="Y42" s="238" t="s">
        <v>1015</v>
      </c>
      <c r="Z42" s="245" t="s">
        <v>1016</v>
      </c>
      <c r="AA42" s="247" t="s">
        <v>982</v>
      </c>
    </row>
    <row r="43" spans="1:27" s="33" customFormat="1" ht="246" customHeight="1" x14ac:dyDescent="0.35">
      <c r="A43" s="27"/>
      <c r="B43" s="227" t="s">
        <v>9</v>
      </c>
      <c r="C43" s="228" t="s">
        <v>923</v>
      </c>
      <c r="D43" s="227" t="s">
        <v>12</v>
      </c>
      <c r="E43" s="229">
        <v>2</v>
      </c>
      <c r="F43" s="228" t="s">
        <v>1017</v>
      </c>
      <c r="G43" s="227" t="s">
        <v>1018</v>
      </c>
      <c r="H43" s="228" t="s">
        <v>1019</v>
      </c>
      <c r="I43" s="230">
        <v>11</v>
      </c>
      <c r="J43" s="236" t="s">
        <v>741</v>
      </c>
      <c r="K43" s="230">
        <v>7</v>
      </c>
      <c r="L43" s="230"/>
      <c r="M43" s="232" t="s">
        <v>1020</v>
      </c>
      <c r="N43" s="227" t="s">
        <v>1021</v>
      </c>
      <c r="O43" s="230" t="s">
        <v>843</v>
      </c>
      <c r="P43" s="232" t="s">
        <v>1022</v>
      </c>
      <c r="Q43" s="227" t="s">
        <v>924</v>
      </c>
      <c r="R43" s="227" t="s">
        <v>1023</v>
      </c>
      <c r="S43" s="232" t="s">
        <v>925</v>
      </c>
      <c r="T43" s="159" t="s">
        <v>926</v>
      </c>
      <c r="U43" s="232" t="s">
        <v>978</v>
      </c>
      <c r="V43" s="205" t="s">
        <v>1024</v>
      </c>
      <c r="W43" s="228"/>
      <c r="X43" s="79" t="s">
        <v>848</v>
      </c>
      <c r="Y43" s="228" t="s">
        <v>980</v>
      </c>
      <c r="Z43" s="233" t="s">
        <v>1025</v>
      </c>
      <c r="AA43" s="230" t="s">
        <v>982</v>
      </c>
    </row>
    <row r="44" spans="1:27" s="33" customFormat="1" ht="202.5" customHeight="1" x14ac:dyDescent="0.35">
      <c r="A44" s="27"/>
      <c r="B44" s="227" t="s">
        <v>9</v>
      </c>
      <c r="C44" s="228" t="s">
        <v>923</v>
      </c>
      <c r="D44" s="227" t="s">
        <v>12</v>
      </c>
      <c r="E44" s="229">
        <v>2</v>
      </c>
      <c r="F44" s="228" t="s">
        <v>1026</v>
      </c>
      <c r="G44" s="227" t="s">
        <v>1027</v>
      </c>
      <c r="H44" s="228" t="s">
        <v>953</v>
      </c>
      <c r="I44" s="230">
        <v>12</v>
      </c>
      <c r="J44" s="236" t="s">
        <v>741</v>
      </c>
      <c r="K44" s="230">
        <v>4</v>
      </c>
      <c r="L44" s="230"/>
      <c r="M44" s="232" t="s">
        <v>1028</v>
      </c>
      <c r="N44" s="227" t="s">
        <v>1029</v>
      </c>
      <c r="O44" s="230" t="s">
        <v>843</v>
      </c>
      <c r="P44" s="232" t="s">
        <v>1030</v>
      </c>
      <c r="Q44" s="227" t="s">
        <v>924</v>
      </c>
      <c r="R44" s="227" t="s">
        <v>1031</v>
      </c>
      <c r="S44" s="232" t="s">
        <v>925</v>
      </c>
      <c r="T44" s="159" t="s">
        <v>926</v>
      </c>
      <c r="U44" s="232" t="s">
        <v>978</v>
      </c>
      <c r="V44" s="176" t="s">
        <v>1032</v>
      </c>
      <c r="W44" s="228"/>
      <c r="X44" s="79" t="s">
        <v>848</v>
      </c>
      <c r="Y44" s="228" t="s">
        <v>1033</v>
      </c>
      <c r="Z44" s="233" t="s">
        <v>1034</v>
      </c>
      <c r="AA44" s="230" t="s">
        <v>1035</v>
      </c>
    </row>
    <row r="45" spans="1:27" s="33" customFormat="1" ht="208.5" customHeight="1" x14ac:dyDescent="0.35">
      <c r="A45" s="27"/>
      <c r="B45" s="227" t="s">
        <v>9</v>
      </c>
      <c r="C45" s="228" t="s">
        <v>923</v>
      </c>
      <c r="D45" s="227" t="s">
        <v>12</v>
      </c>
      <c r="E45" s="229">
        <v>2</v>
      </c>
      <c r="F45" s="228" t="s">
        <v>1036</v>
      </c>
      <c r="G45" s="77" t="s">
        <v>1037</v>
      </c>
      <c r="H45" s="228" t="s">
        <v>1019</v>
      </c>
      <c r="I45" s="230">
        <v>13</v>
      </c>
      <c r="J45" s="236" t="s">
        <v>741</v>
      </c>
      <c r="K45" s="230"/>
      <c r="L45" s="230"/>
      <c r="M45" s="232" t="s">
        <v>1038</v>
      </c>
      <c r="N45" s="227" t="s">
        <v>1039</v>
      </c>
      <c r="O45" s="230" t="s">
        <v>843</v>
      </c>
      <c r="P45" s="227"/>
      <c r="Q45" s="227" t="s">
        <v>924</v>
      </c>
      <c r="R45" s="227" t="s">
        <v>1036</v>
      </c>
      <c r="S45" s="232" t="s">
        <v>925</v>
      </c>
      <c r="T45" s="159" t="s">
        <v>926</v>
      </c>
      <c r="U45" s="232" t="s">
        <v>978</v>
      </c>
      <c r="V45" s="190" t="s">
        <v>1040</v>
      </c>
      <c r="W45" s="228"/>
      <c r="X45" s="79" t="s">
        <v>848</v>
      </c>
      <c r="Y45" s="228" t="s">
        <v>1033</v>
      </c>
      <c r="Z45" s="233" t="s">
        <v>1041</v>
      </c>
      <c r="AA45" s="230" t="s">
        <v>1035</v>
      </c>
    </row>
    <row r="46" spans="1:27" s="33" customFormat="1" ht="198.75" customHeight="1" x14ac:dyDescent="0.35">
      <c r="A46" s="27"/>
      <c r="B46" s="227" t="s">
        <v>9</v>
      </c>
      <c r="C46" s="228" t="s">
        <v>923</v>
      </c>
      <c r="D46" s="227" t="s">
        <v>12</v>
      </c>
      <c r="E46" s="229">
        <v>2</v>
      </c>
      <c r="F46" s="228" t="s">
        <v>1042</v>
      </c>
      <c r="G46" s="227" t="s">
        <v>1043</v>
      </c>
      <c r="H46" s="228" t="s">
        <v>953</v>
      </c>
      <c r="I46" s="230">
        <v>14</v>
      </c>
      <c r="J46" s="236" t="s">
        <v>741</v>
      </c>
      <c r="K46" s="230">
        <v>4</v>
      </c>
      <c r="L46" s="230"/>
      <c r="M46" s="232" t="s">
        <v>1044</v>
      </c>
      <c r="N46" s="227" t="s">
        <v>1045</v>
      </c>
      <c r="O46" s="230"/>
      <c r="P46" s="232" t="s">
        <v>1046</v>
      </c>
      <c r="Q46" s="227"/>
      <c r="R46" s="227"/>
      <c r="S46" s="232" t="s">
        <v>925</v>
      </c>
      <c r="T46" s="159" t="s">
        <v>1047</v>
      </c>
      <c r="U46" s="232" t="s">
        <v>1048</v>
      </c>
      <c r="V46" s="205" t="s">
        <v>1049</v>
      </c>
      <c r="W46" s="228"/>
      <c r="X46" s="79" t="s">
        <v>848</v>
      </c>
      <c r="Y46" s="228" t="s">
        <v>1033</v>
      </c>
      <c r="Z46" s="233" t="s">
        <v>1050</v>
      </c>
      <c r="AA46" s="230" t="s">
        <v>1051</v>
      </c>
    </row>
    <row r="47" spans="1:27" s="33" customFormat="1" ht="110.25" customHeight="1" x14ac:dyDescent="0.35">
      <c r="A47" s="27"/>
      <c r="B47" s="227" t="s">
        <v>9</v>
      </c>
      <c r="C47" s="228" t="s">
        <v>923</v>
      </c>
      <c r="D47" s="227" t="s">
        <v>12</v>
      </c>
      <c r="E47" s="229">
        <v>2</v>
      </c>
      <c r="F47" s="228" t="s">
        <v>1052</v>
      </c>
      <c r="G47" s="227" t="s">
        <v>1053</v>
      </c>
      <c r="H47" s="228" t="s">
        <v>1019</v>
      </c>
      <c r="I47" s="230">
        <v>15</v>
      </c>
      <c r="J47" s="236" t="s">
        <v>741</v>
      </c>
      <c r="K47" s="230"/>
      <c r="L47" s="230"/>
      <c r="M47" s="232" t="s">
        <v>1054</v>
      </c>
      <c r="N47" s="148" t="s">
        <v>1055</v>
      </c>
      <c r="O47" s="230" t="s">
        <v>843</v>
      </c>
      <c r="P47" s="227"/>
      <c r="Q47" s="227" t="s">
        <v>924</v>
      </c>
      <c r="R47" s="227" t="s">
        <v>1052</v>
      </c>
      <c r="S47" s="232" t="s">
        <v>925</v>
      </c>
      <c r="T47" s="159" t="s">
        <v>926</v>
      </c>
      <c r="U47" s="232" t="s">
        <v>978</v>
      </c>
      <c r="V47" s="189" t="s">
        <v>1056</v>
      </c>
      <c r="W47" s="227"/>
      <c r="X47" s="79" t="s">
        <v>848</v>
      </c>
      <c r="Y47" s="228" t="s">
        <v>1033</v>
      </c>
      <c r="Z47" s="233" t="s">
        <v>1057</v>
      </c>
      <c r="AA47" s="230" t="s">
        <v>1035</v>
      </c>
    </row>
    <row r="48" spans="1:27" s="33" customFormat="1" ht="110.25" customHeight="1" x14ac:dyDescent="0.35">
      <c r="A48" s="27"/>
      <c r="B48" s="227" t="s">
        <v>9</v>
      </c>
      <c r="C48" s="228" t="s">
        <v>923</v>
      </c>
      <c r="D48" s="227" t="s">
        <v>12</v>
      </c>
      <c r="E48" s="229">
        <v>2</v>
      </c>
      <c r="F48" s="228" t="s">
        <v>1058</v>
      </c>
      <c r="G48" s="227" t="s">
        <v>1059</v>
      </c>
      <c r="H48" s="228" t="s">
        <v>1019</v>
      </c>
      <c r="I48" s="230">
        <v>16</v>
      </c>
      <c r="J48" s="236" t="s">
        <v>741</v>
      </c>
      <c r="K48" s="230"/>
      <c r="L48" s="230"/>
      <c r="M48" s="232" t="s">
        <v>1060</v>
      </c>
      <c r="N48" s="197" t="s">
        <v>1061</v>
      </c>
      <c r="O48" s="230" t="s">
        <v>843</v>
      </c>
      <c r="P48" s="227"/>
      <c r="Q48" s="227" t="s">
        <v>924</v>
      </c>
      <c r="R48" s="227" t="s">
        <v>1062</v>
      </c>
      <c r="S48" s="232" t="s">
        <v>925</v>
      </c>
      <c r="T48" s="159" t="s">
        <v>926</v>
      </c>
      <c r="U48" s="232" t="s">
        <v>978</v>
      </c>
      <c r="V48" s="176" t="s">
        <v>1063</v>
      </c>
      <c r="W48" s="228"/>
      <c r="X48" s="79" t="s">
        <v>848</v>
      </c>
      <c r="Y48" s="228" t="s">
        <v>1033</v>
      </c>
      <c r="Z48" s="233" t="s">
        <v>1064</v>
      </c>
      <c r="AA48" s="230" t="s">
        <v>1035</v>
      </c>
    </row>
    <row r="49" spans="1:27" s="33" customFormat="1" ht="110.25" customHeight="1" x14ac:dyDescent="0.35">
      <c r="A49" s="27"/>
      <c r="B49" s="227" t="s">
        <v>9</v>
      </c>
      <c r="C49" s="228" t="s">
        <v>923</v>
      </c>
      <c r="D49" s="227" t="s">
        <v>12</v>
      </c>
      <c r="E49" s="229">
        <v>2</v>
      </c>
      <c r="F49" s="228" t="s">
        <v>1065</v>
      </c>
      <c r="G49" s="227" t="s">
        <v>1066</v>
      </c>
      <c r="H49" s="228" t="s">
        <v>1019</v>
      </c>
      <c r="I49" s="230">
        <v>17</v>
      </c>
      <c r="J49" s="236" t="s">
        <v>741</v>
      </c>
      <c r="K49" s="230"/>
      <c r="L49" s="230"/>
      <c r="M49" s="232" t="s">
        <v>1067</v>
      </c>
      <c r="N49" s="227" t="s">
        <v>1068</v>
      </c>
      <c r="O49" s="230"/>
      <c r="P49" s="227"/>
      <c r="Q49" s="227"/>
      <c r="R49" s="227"/>
      <c r="S49" s="232" t="s">
        <v>925</v>
      </c>
      <c r="T49" s="159" t="s">
        <v>1047</v>
      </c>
      <c r="U49" s="232" t="s">
        <v>1048</v>
      </c>
      <c r="V49" s="205" t="s">
        <v>1069</v>
      </c>
      <c r="W49" s="228"/>
      <c r="X49" s="79" t="s">
        <v>848</v>
      </c>
      <c r="Y49" s="228" t="s">
        <v>1070</v>
      </c>
      <c r="Z49" s="233" t="s">
        <v>1071</v>
      </c>
      <c r="AA49" s="230" t="s">
        <v>1072</v>
      </c>
    </row>
    <row r="50" spans="1:27" s="33" customFormat="1" ht="110.25" customHeight="1" x14ac:dyDescent="0.35">
      <c r="A50" s="27"/>
      <c r="B50" s="227" t="s">
        <v>9</v>
      </c>
      <c r="C50" s="228" t="s">
        <v>923</v>
      </c>
      <c r="D50" s="227" t="s">
        <v>12</v>
      </c>
      <c r="E50" s="229">
        <v>2</v>
      </c>
      <c r="F50" s="228" t="s">
        <v>1073</v>
      </c>
      <c r="G50" s="227" t="s">
        <v>1074</v>
      </c>
      <c r="H50" s="228" t="s">
        <v>1075</v>
      </c>
      <c r="I50" s="230">
        <v>18</v>
      </c>
      <c r="J50" s="236" t="s">
        <v>741</v>
      </c>
      <c r="K50" s="230"/>
      <c r="L50" s="230"/>
      <c r="M50" s="232" t="s">
        <v>1076</v>
      </c>
      <c r="N50" s="227" t="s">
        <v>1077</v>
      </c>
      <c r="O50" s="230" t="s">
        <v>843</v>
      </c>
      <c r="P50" s="227"/>
      <c r="Q50" s="227" t="s">
        <v>924</v>
      </c>
      <c r="R50" s="227" t="s">
        <v>1073</v>
      </c>
      <c r="S50" s="232" t="s">
        <v>925</v>
      </c>
      <c r="T50" s="159" t="s">
        <v>926</v>
      </c>
      <c r="U50" s="232" t="s">
        <v>978</v>
      </c>
      <c r="V50" s="176" t="s">
        <v>1078</v>
      </c>
      <c r="W50" s="228"/>
      <c r="X50" s="79" t="s">
        <v>848</v>
      </c>
      <c r="Y50" s="228" t="s">
        <v>1079</v>
      </c>
      <c r="Z50" s="233" t="s">
        <v>1080</v>
      </c>
      <c r="AA50" s="230" t="s">
        <v>1081</v>
      </c>
    </row>
    <row r="51" spans="1:27" s="33" customFormat="1" ht="110.25" customHeight="1" x14ac:dyDescent="0.35">
      <c r="A51" s="27"/>
      <c r="B51" s="227" t="s">
        <v>9</v>
      </c>
      <c r="C51" s="228" t="s">
        <v>923</v>
      </c>
      <c r="D51" s="227" t="s">
        <v>12</v>
      </c>
      <c r="E51" s="229">
        <v>2</v>
      </c>
      <c r="F51" s="228" t="s">
        <v>764</v>
      </c>
      <c r="G51" s="227" t="s">
        <v>765</v>
      </c>
      <c r="H51" s="228" t="s">
        <v>766</v>
      </c>
      <c r="I51" s="230">
        <v>19</v>
      </c>
      <c r="J51" s="236" t="s">
        <v>741</v>
      </c>
      <c r="K51" s="230">
        <v>10</v>
      </c>
      <c r="L51" s="230"/>
      <c r="M51" s="232" t="s">
        <v>767</v>
      </c>
      <c r="N51" s="77" t="s">
        <v>823</v>
      </c>
      <c r="O51" s="230" t="s">
        <v>744</v>
      </c>
      <c r="P51" s="227"/>
      <c r="Q51" s="227"/>
      <c r="R51" s="227"/>
      <c r="S51" s="232" t="s">
        <v>925</v>
      </c>
      <c r="T51" s="159" t="s">
        <v>926</v>
      </c>
      <c r="U51" s="232" t="s">
        <v>1082</v>
      </c>
      <c r="V51" s="176" t="s">
        <v>1083</v>
      </c>
      <c r="W51" s="228"/>
      <c r="X51" s="228" t="s">
        <v>749</v>
      </c>
      <c r="Y51" s="228" t="s">
        <v>749</v>
      </c>
      <c r="Z51" s="228" t="s">
        <v>749</v>
      </c>
      <c r="AA51" s="229" t="s">
        <v>749</v>
      </c>
    </row>
    <row r="52" spans="1:27" s="33" customFormat="1" ht="110.25" customHeight="1" x14ac:dyDescent="0.35">
      <c r="A52" s="27"/>
      <c r="B52" s="227" t="s">
        <v>9</v>
      </c>
      <c r="C52" s="228" t="s">
        <v>923</v>
      </c>
      <c r="D52" s="227" t="s">
        <v>12</v>
      </c>
      <c r="E52" s="229">
        <v>2</v>
      </c>
      <c r="F52" s="228" t="s">
        <v>771</v>
      </c>
      <c r="G52" s="227" t="s">
        <v>772</v>
      </c>
      <c r="H52" s="228" t="s">
        <v>773</v>
      </c>
      <c r="I52" s="230">
        <v>20</v>
      </c>
      <c r="J52" s="236" t="s">
        <v>774</v>
      </c>
      <c r="K52" s="230">
        <v>23</v>
      </c>
      <c r="L52" s="230"/>
      <c r="M52" s="232" t="s">
        <v>775</v>
      </c>
      <c r="N52" s="74" t="s">
        <v>776</v>
      </c>
      <c r="O52" s="230" t="s">
        <v>843</v>
      </c>
      <c r="P52" s="227"/>
      <c r="Q52" s="227"/>
      <c r="R52" s="227"/>
      <c r="S52" s="232" t="s">
        <v>925</v>
      </c>
      <c r="T52" s="159" t="s">
        <v>926</v>
      </c>
      <c r="U52" s="232" t="s">
        <v>826</v>
      </c>
      <c r="V52" s="176" t="s">
        <v>1084</v>
      </c>
      <c r="W52" s="228"/>
      <c r="X52" s="228" t="s">
        <v>749</v>
      </c>
      <c r="Y52" s="228" t="s">
        <v>749</v>
      </c>
      <c r="Z52" s="228" t="s">
        <v>749</v>
      </c>
      <c r="AA52" s="229" t="s">
        <v>749</v>
      </c>
    </row>
    <row r="53" spans="1:27" s="33" customFormat="1" ht="126.75" customHeight="1" x14ac:dyDescent="0.35">
      <c r="A53" s="27"/>
      <c r="B53" s="228" t="s">
        <v>9</v>
      </c>
      <c r="C53" s="228" t="s">
        <v>1085</v>
      </c>
      <c r="D53" s="228" t="s">
        <v>14</v>
      </c>
      <c r="E53" s="229">
        <v>2</v>
      </c>
      <c r="F53" s="228" t="s">
        <v>784</v>
      </c>
      <c r="G53" s="228" t="s">
        <v>785</v>
      </c>
      <c r="H53" s="228" t="s">
        <v>740</v>
      </c>
      <c r="I53" s="229">
        <v>1</v>
      </c>
      <c r="J53" s="231" t="s">
        <v>741</v>
      </c>
      <c r="K53" s="229">
        <v>10</v>
      </c>
      <c r="L53" s="230"/>
      <c r="M53" s="232" t="s">
        <v>786</v>
      </c>
      <c r="N53" s="227" t="s">
        <v>787</v>
      </c>
      <c r="O53" s="229" t="s">
        <v>744</v>
      </c>
      <c r="P53" s="228"/>
      <c r="Q53" s="228" t="s">
        <v>1086</v>
      </c>
      <c r="R53" s="228" t="s">
        <v>784</v>
      </c>
      <c r="S53" s="233" t="s">
        <v>906</v>
      </c>
      <c r="T53" s="233" t="s">
        <v>1087</v>
      </c>
      <c r="U53" s="233" t="s">
        <v>927</v>
      </c>
      <c r="V53" s="176" t="s">
        <v>1088</v>
      </c>
      <c r="W53" s="228"/>
      <c r="X53" s="228" t="s">
        <v>848</v>
      </c>
      <c r="Y53" s="228" t="s">
        <v>1089</v>
      </c>
      <c r="Z53" s="82" t="s">
        <v>1090</v>
      </c>
      <c r="AA53" s="229" t="s">
        <v>837</v>
      </c>
    </row>
    <row r="54" spans="1:27" s="33" customFormat="1" ht="165" customHeight="1" x14ac:dyDescent="0.35">
      <c r="A54" s="27"/>
      <c r="B54" s="228" t="s">
        <v>9</v>
      </c>
      <c r="C54" s="228" t="s">
        <v>1085</v>
      </c>
      <c r="D54" s="228" t="s">
        <v>14</v>
      </c>
      <c r="E54" s="229">
        <v>2</v>
      </c>
      <c r="F54" s="228" t="s">
        <v>1091</v>
      </c>
      <c r="G54" s="228" t="s">
        <v>1092</v>
      </c>
      <c r="H54" s="228" t="s">
        <v>804</v>
      </c>
      <c r="I54" s="229">
        <v>2</v>
      </c>
      <c r="J54" s="231" t="s">
        <v>741</v>
      </c>
      <c r="K54" s="229">
        <v>20</v>
      </c>
      <c r="L54" s="230"/>
      <c r="M54" s="233" t="s">
        <v>1093</v>
      </c>
      <c r="N54" s="228" t="s">
        <v>1094</v>
      </c>
      <c r="O54" s="230" t="s">
        <v>744</v>
      </c>
      <c r="P54" s="233" t="s">
        <v>1095</v>
      </c>
      <c r="Q54" s="228" t="s">
        <v>1086</v>
      </c>
      <c r="R54" s="228" t="s">
        <v>1096</v>
      </c>
      <c r="S54" s="233" t="s">
        <v>906</v>
      </c>
      <c r="T54" s="233" t="s">
        <v>1087</v>
      </c>
      <c r="U54" s="233" t="s">
        <v>1097</v>
      </c>
      <c r="V54" s="176" t="s">
        <v>1098</v>
      </c>
      <c r="W54" s="228"/>
      <c r="X54" s="228" t="s">
        <v>848</v>
      </c>
      <c r="Y54" s="228" t="s">
        <v>1099</v>
      </c>
      <c r="Z54" s="228" t="s">
        <v>1100</v>
      </c>
      <c r="AA54" s="230" t="s">
        <v>749</v>
      </c>
    </row>
    <row r="55" spans="1:27" s="33" customFormat="1" ht="159.75" customHeight="1" x14ac:dyDescent="0.35">
      <c r="A55" s="27"/>
      <c r="B55" s="228" t="s">
        <v>9</v>
      </c>
      <c r="C55" s="228" t="s">
        <v>1085</v>
      </c>
      <c r="D55" s="228" t="s">
        <v>14</v>
      </c>
      <c r="E55" s="229">
        <v>2</v>
      </c>
      <c r="F55" s="228" t="s">
        <v>931</v>
      </c>
      <c r="G55" s="227" t="s">
        <v>932</v>
      </c>
      <c r="H55" s="228" t="s">
        <v>933</v>
      </c>
      <c r="I55" s="230">
        <v>3</v>
      </c>
      <c r="J55" s="231" t="s">
        <v>934</v>
      </c>
      <c r="K55" s="230"/>
      <c r="L55" s="230"/>
      <c r="M55" s="232" t="s">
        <v>1101</v>
      </c>
      <c r="N55" s="227" t="s">
        <v>1102</v>
      </c>
      <c r="O55" s="230" t="s">
        <v>744</v>
      </c>
      <c r="P55" s="227"/>
      <c r="Q55" s="227" t="s">
        <v>1086</v>
      </c>
      <c r="R55" s="227" t="s">
        <v>1103</v>
      </c>
      <c r="S55" s="233" t="s">
        <v>906</v>
      </c>
      <c r="T55" s="233" t="s">
        <v>1087</v>
      </c>
      <c r="U55" s="233" t="s">
        <v>1104</v>
      </c>
      <c r="V55" s="191" t="s">
        <v>1105</v>
      </c>
      <c r="W55" s="227"/>
      <c r="X55" s="228" t="s">
        <v>848</v>
      </c>
      <c r="Y55" s="227" t="s">
        <v>1099</v>
      </c>
      <c r="Z55" s="232" t="s">
        <v>1106</v>
      </c>
      <c r="AA55" s="230" t="s">
        <v>749</v>
      </c>
    </row>
    <row r="56" spans="1:27" s="33" customFormat="1" ht="174.75" customHeight="1" x14ac:dyDescent="0.35">
      <c r="A56" s="27"/>
      <c r="B56" s="228" t="s">
        <v>9</v>
      </c>
      <c r="C56" s="228" t="s">
        <v>1085</v>
      </c>
      <c r="D56" s="228" t="s">
        <v>14</v>
      </c>
      <c r="E56" s="229">
        <v>2</v>
      </c>
      <c r="F56" s="228" t="s">
        <v>1107</v>
      </c>
      <c r="G56" s="228" t="s">
        <v>1108</v>
      </c>
      <c r="H56" s="228" t="s">
        <v>1109</v>
      </c>
      <c r="I56" s="229">
        <v>4</v>
      </c>
      <c r="J56" s="231" t="s">
        <v>741</v>
      </c>
      <c r="K56" s="229">
        <v>4</v>
      </c>
      <c r="L56" s="230"/>
      <c r="M56" s="233" t="s">
        <v>1110</v>
      </c>
      <c r="N56" s="228" t="s">
        <v>1111</v>
      </c>
      <c r="O56" s="229" t="s">
        <v>843</v>
      </c>
      <c r="P56" s="228"/>
      <c r="Q56" s="228" t="s">
        <v>1086</v>
      </c>
      <c r="R56" s="228" t="s">
        <v>1107</v>
      </c>
      <c r="S56" s="233" t="s">
        <v>906</v>
      </c>
      <c r="T56" s="233" t="s">
        <v>1087</v>
      </c>
      <c r="U56" s="233" t="s">
        <v>1112</v>
      </c>
      <c r="V56" s="176" t="s">
        <v>1113</v>
      </c>
      <c r="W56" s="228"/>
      <c r="X56" s="228" t="s">
        <v>848</v>
      </c>
      <c r="Y56" s="228" t="s">
        <v>1099</v>
      </c>
      <c r="Z56" s="228" t="s">
        <v>1114</v>
      </c>
      <c r="AA56" s="230" t="s">
        <v>749</v>
      </c>
    </row>
    <row r="57" spans="1:27" s="33" customFormat="1" ht="135" customHeight="1" x14ac:dyDescent="0.35">
      <c r="A57" s="27"/>
      <c r="B57" s="228" t="s">
        <v>9</v>
      </c>
      <c r="C57" s="228" t="s">
        <v>1085</v>
      </c>
      <c r="D57" s="228" t="s">
        <v>14</v>
      </c>
      <c r="E57" s="229">
        <v>2</v>
      </c>
      <c r="F57" s="228" t="s">
        <v>942</v>
      </c>
      <c r="G57" s="227" t="s">
        <v>943</v>
      </c>
      <c r="H57" s="228" t="s">
        <v>1115</v>
      </c>
      <c r="I57" s="229">
        <v>5</v>
      </c>
      <c r="J57" s="231" t="s">
        <v>741</v>
      </c>
      <c r="K57" s="229">
        <v>10</v>
      </c>
      <c r="L57" s="230"/>
      <c r="M57" s="233" t="s">
        <v>1116</v>
      </c>
      <c r="N57" s="227" t="s">
        <v>1117</v>
      </c>
      <c r="O57" s="230"/>
      <c r="P57" s="228"/>
      <c r="Q57" s="228" t="s">
        <v>1086</v>
      </c>
      <c r="R57" s="228" t="s">
        <v>942</v>
      </c>
      <c r="S57" s="233" t="s">
        <v>906</v>
      </c>
      <c r="T57" s="233" t="s">
        <v>1087</v>
      </c>
      <c r="U57" s="233" t="s">
        <v>1118</v>
      </c>
      <c r="V57" s="176" t="s">
        <v>1119</v>
      </c>
      <c r="W57" s="228"/>
      <c r="X57" s="228" t="s">
        <v>848</v>
      </c>
      <c r="Y57" s="228" t="s">
        <v>1099</v>
      </c>
      <c r="Z57" s="228" t="s">
        <v>950</v>
      </c>
      <c r="AA57" s="230" t="s">
        <v>749</v>
      </c>
    </row>
    <row r="58" spans="1:27" s="33" customFormat="1" ht="135.75" customHeight="1" x14ac:dyDescent="0.35">
      <c r="A58" s="27"/>
      <c r="B58" s="228" t="s">
        <v>9</v>
      </c>
      <c r="C58" s="228" t="s">
        <v>1085</v>
      </c>
      <c r="D58" s="228" t="s">
        <v>14</v>
      </c>
      <c r="E58" s="229">
        <v>2</v>
      </c>
      <c r="F58" s="228" t="s">
        <v>1120</v>
      </c>
      <c r="G58" s="227" t="s">
        <v>1121</v>
      </c>
      <c r="H58" s="228" t="s">
        <v>1115</v>
      </c>
      <c r="I58" s="230">
        <v>6</v>
      </c>
      <c r="J58" s="231" t="s">
        <v>741</v>
      </c>
      <c r="K58" s="229">
        <v>10</v>
      </c>
      <c r="L58" s="230"/>
      <c r="M58" s="232" t="s">
        <v>1122</v>
      </c>
      <c r="N58" s="227" t="s">
        <v>1123</v>
      </c>
      <c r="O58" s="230"/>
      <c r="P58" s="227"/>
      <c r="Q58" s="228" t="s">
        <v>1086</v>
      </c>
      <c r="R58" s="228" t="s">
        <v>1124</v>
      </c>
      <c r="S58" s="233" t="s">
        <v>906</v>
      </c>
      <c r="T58" s="233" t="s">
        <v>1087</v>
      </c>
      <c r="U58" s="233" t="s">
        <v>1125</v>
      </c>
      <c r="V58" s="189" t="s">
        <v>1126</v>
      </c>
      <c r="W58" s="228"/>
      <c r="X58" s="228" t="s">
        <v>848</v>
      </c>
      <c r="Y58" s="228" t="s">
        <v>1099</v>
      </c>
      <c r="Z58" s="227" t="s">
        <v>1127</v>
      </c>
      <c r="AA58" s="230" t="s">
        <v>749</v>
      </c>
    </row>
    <row r="59" spans="1:27" s="33" customFormat="1" ht="129" customHeight="1" x14ac:dyDescent="0.35">
      <c r="A59" s="27"/>
      <c r="B59" s="228" t="s">
        <v>9</v>
      </c>
      <c r="C59" s="228" t="s">
        <v>1085</v>
      </c>
      <c r="D59" s="228" t="s">
        <v>14</v>
      </c>
      <c r="E59" s="229">
        <v>2</v>
      </c>
      <c r="F59" s="228" t="s">
        <v>1128</v>
      </c>
      <c r="G59" s="228" t="s">
        <v>1129</v>
      </c>
      <c r="H59" s="228" t="s">
        <v>759</v>
      </c>
      <c r="I59" s="229">
        <v>7</v>
      </c>
      <c r="J59" s="231" t="s">
        <v>741</v>
      </c>
      <c r="K59" s="229"/>
      <c r="L59" s="230"/>
      <c r="M59" s="233" t="s">
        <v>1130</v>
      </c>
      <c r="N59" s="77" t="s">
        <v>1131</v>
      </c>
      <c r="O59" s="229" t="s">
        <v>843</v>
      </c>
      <c r="P59" s="228"/>
      <c r="Q59" s="228" t="s">
        <v>1086</v>
      </c>
      <c r="R59" s="228" t="s">
        <v>1132</v>
      </c>
      <c r="S59" s="233" t="s">
        <v>906</v>
      </c>
      <c r="T59" s="233" t="s">
        <v>1087</v>
      </c>
      <c r="U59" s="233" t="s">
        <v>1133</v>
      </c>
      <c r="V59" s="176" t="s">
        <v>1134</v>
      </c>
      <c r="W59" s="228"/>
      <c r="X59" s="228" t="s">
        <v>848</v>
      </c>
      <c r="Y59" s="228" t="s">
        <v>1099</v>
      </c>
      <c r="Z59" s="228" t="s">
        <v>1135</v>
      </c>
      <c r="AA59" s="230" t="s">
        <v>749</v>
      </c>
    </row>
    <row r="60" spans="1:27" s="33" customFormat="1" ht="111.75" customHeight="1" x14ac:dyDescent="0.35">
      <c r="A60" s="27"/>
      <c r="B60" s="228" t="s">
        <v>9</v>
      </c>
      <c r="C60" s="228" t="s">
        <v>1085</v>
      </c>
      <c r="D60" s="228" t="s">
        <v>14</v>
      </c>
      <c r="E60" s="229">
        <v>2</v>
      </c>
      <c r="F60" s="228" t="s">
        <v>1136</v>
      </c>
      <c r="G60" s="228" t="s">
        <v>765</v>
      </c>
      <c r="H60" s="228" t="s">
        <v>766</v>
      </c>
      <c r="I60" s="229">
        <v>8</v>
      </c>
      <c r="J60" s="231" t="s">
        <v>741</v>
      </c>
      <c r="K60" s="229">
        <v>10</v>
      </c>
      <c r="L60" s="230"/>
      <c r="M60" s="233" t="s">
        <v>767</v>
      </c>
      <c r="N60" s="77" t="s">
        <v>823</v>
      </c>
      <c r="O60" s="229" t="s">
        <v>744</v>
      </c>
      <c r="P60" s="228"/>
      <c r="Q60" s="228"/>
      <c r="R60" s="228"/>
      <c r="S60" s="233" t="s">
        <v>906</v>
      </c>
      <c r="T60" s="233" t="s">
        <v>1087</v>
      </c>
      <c r="U60" s="233" t="s">
        <v>1082</v>
      </c>
      <c r="V60" s="176" t="s">
        <v>1137</v>
      </c>
      <c r="W60" s="228"/>
      <c r="X60" s="228" t="s">
        <v>749</v>
      </c>
      <c r="Y60" s="228" t="s">
        <v>749</v>
      </c>
      <c r="Z60" s="228" t="s">
        <v>749</v>
      </c>
      <c r="AA60" s="230" t="s">
        <v>749</v>
      </c>
    </row>
    <row r="61" spans="1:27" s="33" customFormat="1" ht="117" customHeight="1" x14ac:dyDescent="0.35">
      <c r="A61" s="27"/>
      <c r="B61" s="228" t="s">
        <v>9</v>
      </c>
      <c r="C61" s="228" t="s">
        <v>1085</v>
      </c>
      <c r="D61" s="228" t="s">
        <v>14</v>
      </c>
      <c r="E61" s="229">
        <v>2</v>
      </c>
      <c r="F61" s="228" t="s">
        <v>771</v>
      </c>
      <c r="G61" s="228" t="s">
        <v>772</v>
      </c>
      <c r="H61" s="228" t="s">
        <v>773</v>
      </c>
      <c r="I61" s="229">
        <v>9</v>
      </c>
      <c r="J61" s="231" t="s">
        <v>774</v>
      </c>
      <c r="K61" s="229">
        <v>23</v>
      </c>
      <c r="L61" s="230"/>
      <c r="M61" s="233" t="s">
        <v>775</v>
      </c>
      <c r="N61" s="74" t="s">
        <v>776</v>
      </c>
      <c r="O61" s="229" t="s">
        <v>843</v>
      </c>
      <c r="P61" s="228"/>
      <c r="Q61" s="228"/>
      <c r="R61" s="228"/>
      <c r="S61" s="233" t="s">
        <v>906</v>
      </c>
      <c r="T61" s="233" t="s">
        <v>1087</v>
      </c>
      <c r="U61" s="233" t="s">
        <v>826</v>
      </c>
      <c r="V61" s="176" t="s">
        <v>1138</v>
      </c>
      <c r="W61" s="228"/>
      <c r="X61" s="228" t="s">
        <v>749</v>
      </c>
      <c r="Y61" s="228" t="s">
        <v>749</v>
      </c>
      <c r="Z61" s="228" t="s">
        <v>749</v>
      </c>
      <c r="AA61" s="230" t="s">
        <v>749</v>
      </c>
    </row>
    <row r="62" spans="1:27" s="33" customFormat="1" ht="144.75" customHeight="1" x14ac:dyDescent="0.35">
      <c r="A62" s="27"/>
      <c r="B62" s="227" t="s">
        <v>9</v>
      </c>
      <c r="C62" s="228" t="s">
        <v>1139</v>
      </c>
      <c r="D62" s="227" t="s">
        <v>16</v>
      </c>
      <c r="E62" s="229">
        <v>2</v>
      </c>
      <c r="F62" s="228" t="s">
        <v>784</v>
      </c>
      <c r="G62" s="228" t="s">
        <v>785</v>
      </c>
      <c r="H62" s="228" t="s">
        <v>740</v>
      </c>
      <c r="I62" s="229">
        <v>1</v>
      </c>
      <c r="J62" s="231" t="s">
        <v>741</v>
      </c>
      <c r="K62" s="229">
        <v>10</v>
      </c>
      <c r="L62" s="229"/>
      <c r="M62" s="232" t="s">
        <v>786</v>
      </c>
      <c r="N62" s="227" t="s">
        <v>787</v>
      </c>
      <c r="O62" s="229" t="s">
        <v>744</v>
      </c>
      <c r="P62" s="227"/>
      <c r="Q62" s="232" t="s">
        <v>1140</v>
      </c>
      <c r="R62" s="232" t="s">
        <v>1141</v>
      </c>
      <c r="S62" s="233" t="s">
        <v>830</v>
      </c>
      <c r="T62" s="233" t="s">
        <v>831</v>
      </c>
      <c r="U62" s="233" t="s">
        <v>832</v>
      </c>
      <c r="V62" s="204" t="s">
        <v>1142</v>
      </c>
      <c r="W62" s="227"/>
      <c r="X62" s="227" t="s">
        <v>834</v>
      </c>
      <c r="Y62" s="232" t="s">
        <v>835</v>
      </c>
      <c r="Z62" s="227" t="s">
        <v>1143</v>
      </c>
      <c r="AA62" s="230" t="s">
        <v>837</v>
      </c>
    </row>
    <row r="63" spans="1:27" s="33" customFormat="1" ht="60" customHeight="1" x14ac:dyDescent="0.35">
      <c r="A63" s="27"/>
      <c r="B63" s="227" t="s">
        <v>9</v>
      </c>
      <c r="C63" s="228" t="s">
        <v>1139</v>
      </c>
      <c r="D63" s="227" t="s">
        <v>16</v>
      </c>
      <c r="E63" s="229">
        <v>2</v>
      </c>
      <c r="F63" s="228" t="s">
        <v>1144</v>
      </c>
      <c r="G63" s="228" t="s">
        <v>1145</v>
      </c>
      <c r="H63" s="228" t="s">
        <v>1146</v>
      </c>
      <c r="I63" s="230">
        <v>2</v>
      </c>
      <c r="J63" s="236" t="s">
        <v>741</v>
      </c>
      <c r="K63" s="230">
        <v>10</v>
      </c>
      <c r="L63" s="230"/>
      <c r="M63" s="232" t="s">
        <v>1147</v>
      </c>
      <c r="N63" s="227" t="s">
        <v>1148</v>
      </c>
      <c r="O63" s="230"/>
      <c r="P63" s="233" t="s">
        <v>1149</v>
      </c>
      <c r="Q63" s="227" t="s">
        <v>1150</v>
      </c>
      <c r="R63" s="227" t="s">
        <v>1151</v>
      </c>
      <c r="S63" s="233" t="s">
        <v>906</v>
      </c>
      <c r="T63" s="233" t="s">
        <v>1152</v>
      </c>
      <c r="U63" s="233" t="s">
        <v>1153</v>
      </c>
      <c r="V63" s="189" t="s">
        <v>1154</v>
      </c>
      <c r="W63" s="227"/>
      <c r="X63" s="227" t="s">
        <v>848</v>
      </c>
      <c r="Y63" s="227" t="s">
        <v>1155</v>
      </c>
      <c r="Z63" s="232" t="s">
        <v>1156</v>
      </c>
      <c r="AA63" s="230" t="s">
        <v>749</v>
      </c>
    </row>
    <row r="64" spans="1:27" s="33" customFormat="1" ht="60" customHeight="1" x14ac:dyDescent="0.35">
      <c r="A64" s="27"/>
      <c r="B64" s="227" t="s">
        <v>9</v>
      </c>
      <c r="C64" s="228" t="s">
        <v>1139</v>
      </c>
      <c r="D64" s="227" t="s">
        <v>16</v>
      </c>
      <c r="E64" s="229">
        <v>2</v>
      </c>
      <c r="F64" s="228" t="s">
        <v>1157</v>
      </c>
      <c r="G64" s="228" t="s">
        <v>1158</v>
      </c>
      <c r="H64" s="228" t="s">
        <v>804</v>
      </c>
      <c r="I64" s="229">
        <v>3</v>
      </c>
      <c r="J64" s="231" t="s">
        <v>741</v>
      </c>
      <c r="K64" s="229">
        <v>4</v>
      </c>
      <c r="L64" s="230"/>
      <c r="M64" s="233" t="s">
        <v>1159</v>
      </c>
      <c r="N64" s="227" t="s">
        <v>1160</v>
      </c>
      <c r="O64" s="230"/>
      <c r="P64" s="233" t="s">
        <v>1161</v>
      </c>
      <c r="Q64" s="228" t="s">
        <v>1162</v>
      </c>
      <c r="R64" s="228" t="s">
        <v>1163</v>
      </c>
      <c r="S64" s="233" t="s">
        <v>906</v>
      </c>
      <c r="T64" s="233" t="s">
        <v>1152</v>
      </c>
      <c r="U64" s="233" t="s">
        <v>1164</v>
      </c>
      <c r="V64" s="189" t="s">
        <v>1165</v>
      </c>
      <c r="W64" s="227"/>
      <c r="X64" s="227" t="s">
        <v>848</v>
      </c>
      <c r="Y64" s="227" t="s">
        <v>1155</v>
      </c>
      <c r="Z64" s="232" t="s">
        <v>1166</v>
      </c>
      <c r="AA64" s="230" t="s">
        <v>749</v>
      </c>
    </row>
    <row r="65" spans="1:27" s="33" customFormat="1" ht="60" customHeight="1" x14ac:dyDescent="0.35">
      <c r="A65" s="27"/>
      <c r="B65" s="227" t="s">
        <v>9</v>
      </c>
      <c r="C65" s="228" t="s">
        <v>1139</v>
      </c>
      <c r="D65" s="227" t="s">
        <v>16</v>
      </c>
      <c r="E65" s="229">
        <v>2</v>
      </c>
      <c r="F65" s="228" t="s">
        <v>1167</v>
      </c>
      <c r="G65" s="228" t="s">
        <v>1168</v>
      </c>
      <c r="H65" s="228" t="s">
        <v>1115</v>
      </c>
      <c r="I65" s="229">
        <v>4</v>
      </c>
      <c r="J65" s="231" t="s">
        <v>741</v>
      </c>
      <c r="K65" s="229">
        <v>10</v>
      </c>
      <c r="L65" s="230"/>
      <c r="M65" s="233" t="s">
        <v>1169</v>
      </c>
      <c r="N65" s="227" t="s">
        <v>1170</v>
      </c>
      <c r="O65" s="230"/>
      <c r="P65" s="227"/>
      <c r="Q65" s="227" t="s">
        <v>1150</v>
      </c>
      <c r="R65" s="227" t="s">
        <v>1171</v>
      </c>
      <c r="S65" s="233" t="s">
        <v>830</v>
      </c>
      <c r="T65" s="233" t="s">
        <v>831</v>
      </c>
      <c r="U65" s="233" t="s">
        <v>1172</v>
      </c>
      <c r="V65" s="189" t="s">
        <v>1173</v>
      </c>
      <c r="W65" s="227"/>
      <c r="X65" s="227" t="s">
        <v>848</v>
      </c>
      <c r="Y65" s="232" t="s">
        <v>849</v>
      </c>
      <c r="Z65" s="227" t="s">
        <v>1174</v>
      </c>
      <c r="AA65" s="230" t="s">
        <v>749</v>
      </c>
    </row>
    <row r="66" spans="1:27" s="33" customFormat="1" ht="60" customHeight="1" x14ac:dyDescent="0.35">
      <c r="A66" s="27"/>
      <c r="B66" s="227" t="s">
        <v>9</v>
      </c>
      <c r="C66" s="228" t="s">
        <v>1139</v>
      </c>
      <c r="D66" s="227" t="s">
        <v>16</v>
      </c>
      <c r="E66" s="229">
        <v>2</v>
      </c>
      <c r="F66" s="228" t="s">
        <v>1175</v>
      </c>
      <c r="G66" s="228" t="s">
        <v>1176</v>
      </c>
      <c r="H66" s="228" t="s">
        <v>1177</v>
      </c>
      <c r="I66" s="229">
        <v>5</v>
      </c>
      <c r="J66" s="231" t="s">
        <v>741</v>
      </c>
      <c r="K66" s="229">
        <v>10</v>
      </c>
      <c r="L66" s="230"/>
      <c r="M66" s="233" t="s">
        <v>1178</v>
      </c>
      <c r="N66" s="227" t="s">
        <v>1179</v>
      </c>
      <c r="O66" s="230"/>
      <c r="P66" s="227"/>
      <c r="Q66" s="227" t="s">
        <v>1150</v>
      </c>
      <c r="R66" s="227" t="s">
        <v>1175</v>
      </c>
      <c r="S66" s="233" t="s">
        <v>906</v>
      </c>
      <c r="T66" s="233" t="s">
        <v>1152</v>
      </c>
      <c r="U66" s="233" t="s">
        <v>1180</v>
      </c>
      <c r="V66" s="189" t="s">
        <v>1181</v>
      </c>
      <c r="W66" s="227"/>
      <c r="X66" s="227" t="s">
        <v>848</v>
      </c>
      <c r="Y66" s="227" t="s">
        <v>1155</v>
      </c>
      <c r="Z66" s="227" t="s">
        <v>1182</v>
      </c>
      <c r="AA66" s="230" t="s">
        <v>749</v>
      </c>
    </row>
    <row r="67" spans="1:27" s="33" customFormat="1" ht="60" customHeight="1" x14ac:dyDescent="0.35">
      <c r="A67" s="27"/>
      <c r="B67" s="227" t="s">
        <v>9</v>
      </c>
      <c r="C67" s="228" t="s">
        <v>1139</v>
      </c>
      <c r="D67" s="227" t="s">
        <v>16</v>
      </c>
      <c r="E67" s="229">
        <v>2</v>
      </c>
      <c r="F67" s="228" t="s">
        <v>764</v>
      </c>
      <c r="G67" s="228" t="s">
        <v>765</v>
      </c>
      <c r="H67" s="228" t="s">
        <v>766</v>
      </c>
      <c r="I67" s="229">
        <v>6</v>
      </c>
      <c r="J67" s="231" t="s">
        <v>741</v>
      </c>
      <c r="K67" s="229">
        <v>10</v>
      </c>
      <c r="L67" s="230"/>
      <c r="M67" s="233" t="s">
        <v>767</v>
      </c>
      <c r="N67" s="77" t="s">
        <v>823</v>
      </c>
      <c r="O67" s="229" t="s">
        <v>744</v>
      </c>
      <c r="P67" s="228"/>
      <c r="Q67" s="228"/>
      <c r="R67" s="228"/>
      <c r="S67" s="233" t="s">
        <v>830</v>
      </c>
      <c r="T67" s="233" t="s">
        <v>831</v>
      </c>
      <c r="U67" s="233" t="s">
        <v>919</v>
      </c>
      <c r="V67" s="189" t="s">
        <v>1183</v>
      </c>
      <c r="W67" s="227"/>
      <c r="X67" s="232" t="s">
        <v>749</v>
      </c>
      <c r="Y67" s="232" t="s">
        <v>749</v>
      </c>
      <c r="Z67" s="232" t="s">
        <v>749</v>
      </c>
      <c r="AA67" s="230" t="s">
        <v>749</v>
      </c>
    </row>
    <row r="68" spans="1:27" s="33" customFormat="1" ht="60" customHeight="1" x14ac:dyDescent="0.35">
      <c r="A68" s="27"/>
      <c r="B68" s="227" t="s">
        <v>9</v>
      </c>
      <c r="C68" s="228" t="s">
        <v>1139</v>
      </c>
      <c r="D68" s="227" t="s">
        <v>16</v>
      </c>
      <c r="E68" s="229">
        <v>2</v>
      </c>
      <c r="F68" s="228" t="s">
        <v>771</v>
      </c>
      <c r="G68" s="228" t="s">
        <v>772</v>
      </c>
      <c r="H68" s="228" t="s">
        <v>773</v>
      </c>
      <c r="I68" s="229">
        <v>7</v>
      </c>
      <c r="J68" s="231" t="s">
        <v>774</v>
      </c>
      <c r="K68" s="229">
        <v>23</v>
      </c>
      <c r="L68" s="230"/>
      <c r="M68" s="233" t="s">
        <v>775</v>
      </c>
      <c r="N68" s="74" t="s">
        <v>776</v>
      </c>
      <c r="O68" s="229" t="s">
        <v>843</v>
      </c>
      <c r="P68" s="228"/>
      <c r="Q68" s="228"/>
      <c r="R68" s="228"/>
      <c r="S68" s="233" t="s">
        <v>830</v>
      </c>
      <c r="T68" s="233" t="s">
        <v>831</v>
      </c>
      <c r="U68" s="233" t="s">
        <v>921</v>
      </c>
      <c r="V68" s="189" t="s">
        <v>777</v>
      </c>
      <c r="W68" s="227"/>
      <c r="X68" s="232" t="s">
        <v>749</v>
      </c>
      <c r="Y68" s="232" t="s">
        <v>749</v>
      </c>
      <c r="Z68" s="232" t="s">
        <v>749</v>
      </c>
      <c r="AA68" s="230" t="s">
        <v>749</v>
      </c>
    </row>
    <row r="69" spans="1:27" s="33" customFormat="1" ht="60" customHeight="1" x14ac:dyDescent="0.35">
      <c r="A69" s="27"/>
      <c r="B69" s="228" t="s">
        <v>9</v>
      </c>
      <c r="C69" s="228" t="s">
        <v>1184</v>
      </c>
      <c r="D69" s="228" t="s">
        <v>18</v>
      </c>
      <c r="E69" s="229">
        <v>2</v>
      </c>
      <c r="F69" s="228" t="s">
        <v>784</v>
      </c>
      <c r="G69" s="77" t="s">
        <v>785</v>
      </c>
      <c r="H69" s="228" t="s">
        <v>740</v>
      </c>
      <c r="I69" s="229">
        <v>1</v>
      </c>
      <c r="J69" s="231" t="s">
        <v>741</v>
      </c>
      <c r="K69" s="229">
        <v>10</v>
      </c>
      <c r="L69" s="230"/>
      <c r="M69" s="232" t="s">
        <v>786</v>
      </c>
      <c r="N69" s="227" t="s">
        <v>787</v>
      </c>
      <c r="O69" s="229" t="s">
        <v>744</v>
      </c>
      <c r="P69" s="228"/>
      <c r="Q69" s="228" t="s">
        <v>1185</v>
      </c>
      <c r="R69" s="228" t="s">
        <v>784</v>
      </c>
      <c r="S69" s="233" t="s">
        <v>830</v>
      </c>
      <c r="T69" s="233" t="s">
        <v>831</v>
      </c>
      <c r="U69" s="233" t="s">
        <v>832</v>
      </c>
      <c r="V69" s="176" t="s">
        <v>1186</v>
      </c>
      <c r="W69" s="228"/>
      <c r="X69" s="228" t="s">
        <v>834</v>
      </c>
      <c r="Y69" s="228" t="s">
        <v>835</v>
      </c>
      <c r="Z69" s="228" t="s">
        <v>836</v>
      </c>
      <c r="AA69" s="229" t="s">
        <v>837</v>
      </c>
    </row>
    <row r="70" spans="1:27" s="33" customFormat="1" ht="105" customHeight="1" x14ac:dyDescent="0.35">
      <c r="A70" s="27"/>
      <c r="B70" s="228" t="s">
        <v>9</v>
      </c>
      <c r="C70" s="228" t="s">
        <v>1184</v>
      </c>
      <c r="D70" s="228" t="s">
        <v>18</v>
      </c>
      <c r="E70" s="229">
        <v>2</v>
      </c>
      <c r="F70" s="228" t="s">
        <v>1187</v>
      </c>
      <c r="G70" s="77" t="s">
        <v>1188</v>
      </c>
      <c r="H70" s="228" t="s">
        <v>1189</v>
      </c>
      <c r="I70" s="229">
        <v>2</v>
      </c>
      <c r="J70" s="231" t="s">
        <v>741</v>
      </c>
      <c r="K70" s="229">
        <v>4</v>
      </c>
      <c r="L70" s="230"/>
      <c r="M70" s="233" t="s">
        <v>1190</v>
      </c>
      <c r="N70" s="228" t="s">
        <v>1191</v>
      </c>
      <c r="O70" s="229" t="s">
        <v>744</v>
      </c>
      <c r="P70" s="233" t="s">
        <v>1192</v>
      </c>
      <c r="Q70" s="228" t="s">
        <v>1185</v>
      </c>
      <c r="R70" s="228" t="s">
        <v>1193</v>
      </c>
      <c r="S70" s="233" t="s">
        <v>1194</v>
      </c>
      <c r="T70" s="233" t="s">
        <v>1195</v>
      </c>
      <c r="U70" s="233" t="s">
        <v>1196</v>
      </c>
      <c r="V70" s="204" t="s">
        <v>1197</v>
      </c>
      <c r="W70" s="228"/>
      <c r="X70" s="228" t="s">
        <v>848</v>
      </c>
      <c r="Y70" s="228" t="s">
        <v>749</v>
      </c>
      <c r="Z70" s="233" t="s">
        <v>749</v>
      </c>
      <c r="AA70" s="229" t="s">
        <v>1198</v>
      </c>
    </row>
    <row r="71" spans="1:27" s="33" customFormat="1" ht="60" customHeight="1" x14ac:dyDescent="0.35">
      <c r="A71" s="27"/>
      <c r="B71" s="228" t="s">
        <v>9</v>
      </c>
      <c r="C71" s="228" t="s">
        <v>1184</v>
      </c>
      <c r="D71" s="228" t="s">
        <v>18</v>
      </c>
      <c r="E71" s="229">
        <v>2</v>
      </c>
      <c r="F71" s="228" t="s">
        <v>931</v>
      </c>
      <c r="G71" s="228" t="s">
        <v>932</v>
      </c>
      <c r="H71" s="228" t="s">
        <v>759</v>
      </c>
      <c r="I71" s="229">
        <v>3</v>
      </c>
      <c r="J71" s="231" t="s">
        <v>934</v>
      </c>
      <c r="K71" s="229"/>
      <c r="L71" s="230"/>
      <c r="M71" s="233" t="s">
        <v>1199</v>
      </c>
      <c r="N71" s="228" t="s">
        <v>1200</v>
      </c>
      <c r="O71" s="229" t="s">
        <v>744</v>
      </c>
      <c r="P71" s="228"/>
      <c r="Q71" s="228" t="s">
        <v>1185</v>
      </c>
      <c r="R71" s="228" t="s">
        <v>1201</v>
      </c>
      <c r="S71" s="233" t="s">
        <v>830</v>
      </c>
      <c r="T71" s="233" t="s">
        <v>1195</v>
      </c>
      <c r="U71" s="233" t="s">
        <v>921</v>
      </c>
      <c r="V71" s="176" t="s">
        <v>1202</v>
      </c>
      <c r="W71" s="228"/>
      <c r="X71" s="228" t="s">
        <v>848</v>
      </c>
      <c r="Y71" s="228" t="s">
        <v>749</v>
      </c>
      <c r="Z71" s="228" t="s">
        <v>749</v>
      </c>
      <c r="AA71" s="229" t="s">
        <v>1203</v>
      </c>
    </row>
    <row r="72" spans="1:27" s="33" customFormat="1" ht="60" customHeight="1" x14ac:dyDescent="0.35">
      <c r="A72" s="27"/>
      <c r="B72" s="228" t="s">
        <v>9</v>
      </c>
      <c r="C72" s="228" t="s">
        <v>1184</v>
      </c>
      <c r="D72" s="228" t="s">
        <v>18</v>
      </c>
      <c r="E72" s="229">
        <v>2</v>
      </c>
      <c r="F72" s="228" t="s">
        <v>1204</v>
      </c>
      <c r="G72" s="77" t="s">
        <v>1205</v>
      </c>
      <c r="H72" s="228" t="s">
        <v>1189</v>
      </c>
      <c r="I72" s="229">
        <v>4</v>
      </c>
      <c r="J72" s="231" t="s">
        <v>741</v>
      </c>
      <c r="K72" s="229">
        <v>5</v>
      </c>
      <c r="L72" s="230"/>
      <c r="M72" s="233" t="s">
        <v>1206</v>
      </c>
      <c r="N72" s="228" t="s">
        <v>1207</v>
      </c>
      <c r="O72" s="229"/>
      <c r="P72" s="233" t="s">
        <v>1208</v>
      </c>
      <c r="Q72" s="228" t="s">
        <v>1185</v>
      </c>
      <c r="R72" s="228" t="s">
        <v>1209</v>
      </c>
      <c r="S72" s="233" t="s">
        <v>830</v>
      </c>
      <c r="T72" s="233" t="s">
        <v>1210</v>
      </c>
      <c r="U72" s="233" t="s">
        <v>1211</v>
      </c>
      <c r="V72" s="204" t="s">
        <v>1212</v>
      </c>
      <c r="W72" s="228"/>
      <c r="X72" s="228" t="s">
        <v>848</v>
      </c>
      <c r="Y72" s="228" t="s">
        <v>849</v>
      </c>
      <c r="Z72" s="79" t="s">
        <v>1213</v>
      </c>
      <c r="AA72" s="229" t="s">
        <v>749</v>
      </c>
    </row>
    <row r="73" spans="1:27" s="33" customFormat="1" ht="60" customHeight="1" x14ac:dyDescent="0.35">
      <c r="A73" s="27"/>
      <c r="B73" s="228" t="s">
        <v>9</v>
      </c>
      <c r="C73" s="228" t="s">
        <v>1184</v>
      </c>
      <c r="D73" s="228" t="s">
        <v>18</v>
      </c>
      <c r="E73" s="229">
        <v>2</v>
      </c>
      <c r="F73" s="228" t="s">
        <v>764</v>
      </c>
      <c r="G73" s="228" t="s">
        <v>765</v>
      </c>
      <c r="H73" s="228" t="s">
        <v>766</v>
      </c>
      <c r="I73" s="86">
        <v>6</v>
      </c>
      <c r="J73" s="231" t="s">
        <v>741</v>
      </c>
      <c r="K73" s="229">
        <v>10</v>
      </c>
      <c r="L73" s="230"/>
      <c r="M73" s="233" t="s">
        <v>767</v>
      </c>
      <c r="N73" s="77" t="s">
        <v>823</v>
      </c>
      <c r="O73" s="229" t="s">
        <v>744</v>
      </c>
      <c r="P73" s="228"/>
      <c r="Q73" s="228"/>
      <c r="R73" s="228"/>
      <c r="S73" s="233" t="s">
        <v>830</v>
      </c>
      <c r="T73" s="233" t="s">
        <v>831</v>
      </c>
      <c r="U73" s="233" t="s">
        <v>919</v>
      </c>
      <c r="V73" s="176" t="s">
        <v>1214</v>
      </c>
      <c r="W73" s="228"/>
      <c r="X73" s="228" t="s">
        <v>749</v>
      </c>
      <c r="Y73" s="228" t="s">
        <v>749</v>
      </c>
      <c r="Z73" s="228" t="s">
        <v>749</v>
      </c>
      <c r="AA73" s="229" t="s">
        <v>749</v>
      </c>
    </row>
    <row r="74" spans="1:27" s="33" customFormat="1" ht="60" customHeight="1" x14ac:dyDescent="0.35">
      <c r="A74" s="27"/>
      <c r="B74" s="228" t="s">
        <v>9</v>
      </c>
      <c r="C74" s="228" t="s">
        <v>1184</v>
      </c>
      <c r="D74" s="228" t="s">
        <v>18</v>
      </c>
      <c r="E74" s="229">
        <v>2</v>
      </c>
      <c r="F74" s="228" t="s">
        <v>771</v>
      </c>
      <c r="G74" s="228" t="s">
        <v>772</v>
      </c>
      <c r="H74" s="228" t="s">
        <v>773</v>
      </c>
      <c r="I74" s="229">
        <v>7</v>
      </c>
      <c r="J74" s="231" t="s">
        <v>774</v>
      </c>
      <c r="K74" s="229">
        <v>23</v>
      </c>
      <c r="L74" s="230"/>
      <c r="M74" s="233" t="s">
        <v>775</v>
      </c>
      <c r="N74" s="74" t="s">
        <v>776</v>
      </c>
      <c r="O74" s="229" t="s">
        <v>843</v>
      </c>
      <c r="P74" s="228"/>
      <c r="Q74" s="228"/>
      <c r="R74" s="228"/>
      <c r="S74" s="233" t="s">
        <v>830</v>
      </c>
      <c r="T74" s="233" t="s">
        <v>831</v>
      </c>
      <c r="U74" s="233" t="s">
        <v>921</v>
      </c>
      <c r="V74" s="176" t="s">
        <v>1215</v>
      </c>
      <c r="W74" s="228"/>
      <c r="X74" s="228" t="s">
        <v>749</v>
      </c>
      <c r="Y74" s="228" t="s">
        <v>749</v>
      </c>
      <c r="Z74" s="228" t="s">
        <v>749</v>
      </c>
      <c r="AA74" s="229" t="s">
        <v>749</v>
      </c>
    </row>
    <row r="75" spans="1:27" s="33" customFormat="1" ht="60" customHeight="1" x14ac:dyDescent="0.35">
      <c r="A75" s="27"/>
      <c r="B75" s="228" t="s">
        <v>9</v>
      </c>
      <c r="C75" s="228" t="s">
        <v>1216</v>
      </c>
      <c r="D75" s="228" t="s">
        <v>20</v>
      </c>
      <c r="E75" s="229">
        <v>2</v>
      </c>
      <c r="F75" s="228" t="s">
        <v>784</v>
      </c>
      <c r="G75" s="77" t="s">
        <v>785</v>
      </c>
      <c r="H75" s="228" t="s">
        <v>740</v>
      </c>
      <c r="I75" s="229">
        <v>1</v>
      </c>
      <c r="J75" s="231" t="s">
        <v>741</v>
      </c>
      <c r="K75" s="229">
        <v>10</v>
      </c>
      <c r="L75" s="229"/>
      <c r="M75" s="232" t="s">
        <v>786</v>
      </c>
      <c r="N75" s="227" t="s">
        <v>787</v>
      </c>
      <c r="O75" s="229" t="s">
        <v>744</v>
      </c>
      <c r="P75" s="228"/>
      <c r="Q75" s="228" t="s">
        <v>829</v>
      </c>
      <c r="R75" s="228" t="s">
        <v>784</v>
      </c>
      <c r="S75" s="233" t="s">
        <v>830</v>
      </c>
      <c r="T75" s="233" t="s">
        <v>831</v>
      </c>
      <c r="U75" s="233" t="s">
        <v>832</v>
      </c>
      <c r="V75" s="176" t="s">
        <v>1217</v>
      </c>
      <c r="W75" s="228"/>
      <c r="X75" s="228" t="s">
        <v>834</v>
      </c>
      <c r="Y75" s="233" t="s">
        <v>835</v>
      </c>
      <c r="Z75" s="233" t="s">
        <v>836</v>
      </c>
      <c r="AA75" s="229" t="s">
        <v>837</v>
      </c>
    </row>
    <row r="76" spans="1:27" s="33" customFormat="1" ht="135.75" customHeight="1" x14ac:dyDescent="0.35">
      <c r="A76" s="27"/>
      <c r="B76" s="228" t="s">
        <v>9</v>
      </c>
      <c r="C76" s="228" t="s">
        <v>1216</v>
      </c>
      <c r="D76" s="228" t="s">
        <v>20</v>
      </c>
      <c r="E76" s="229">
        <v>2</v>
      </c>
      <c r="F76" s="228" t="s">
        <v>1218</v>
      </c>
      <c r="G76" s="77" t="s">
        <v>1219</v>
      </c>
      <c r="H76" s="228" t="s">
        <v>766</v>
      </c>
      <c r="I76" s="229">
        <v>2</v>
      </c>
      <c r="J76" s="231" t="s">
        <v>741</v>
      </c>
      <c r="K76" s="229">
        <v>10</v>
      </c>
      <c r="L76" s="229"/>
      <c r="M76" s="233" t="s">
        <v>1220</v>
      </c>
      <c r="N76" s="228" t="s">
        <v>1221</v>
      </c>
      <c r="O76" s="229" t="s">
        <v>744</v>
      </c>
      <c r="P76" s="228"/>
      <c r="Q76" s="228"/>
      <c r="R76" s="228"/>
      <c r="S76" s="233" t="s">
        <v>1222</v>
      </c>
      <c r="T76" s="233" t="s">
        <v>1223</v>
      </c>
      <c r="U76" s="233" t="s">
        <v>1224</v>
      </c>
      <c r="V76" s="176" t="s">
        <v>1225</v>
      </c>
      <c r="W76" s="228"/>
      <c r="X76" s="228" t="s">
        <v>848</v>
      </c>
      <c r="Y76" s="228" t="s">
        <v>1226</v>
      </c>
      <c r="Z76" s="228" t="s">
        <v>1227</v>
      </c>
      <c r="AA76" s="229" t="s">
        <v>1228</v>
      </c>
    </row>
    <row r="77" spans="1:27" s="33" customFormat="1" ht="96" customHeight="1" x14ac:dyDescent="0.35">
      <c r="A77" s="27"/>
      <c r="B77" s="228" t="s">
        <v>9</v>
      </c>
      <c r="C77" s="228" t="s">
        <v>1216</v>
      </c>
      <c r="D77" s="228" t="s">
        <v>20</v>
      </c>
      <c r="E77" s="229">
        <v>2</v>
      </c>
      <c r="F77" s="228" t="s">
        <v>1229</v>
      </c>
      <c r="G77" s="77" t="s">
        <v>1230</v>
      </c>
      <c r="H77" s="228" t="s">
        <v>1231</v>
      </c>
      <c r="I77" s="229">
        <v>3</v>
      </c>
      <c r="J77" s="231" t="s">
        <v>741</v>
      </c>
      <c r="K77" s="229">
        <v>4</v>
      </c>
      <c r="L77" s="229"/>
      <c r="M77" s="233" t="s">
        <v>1232</v>
      </c>
      <c r="N77" s="228" t="s">
        <v>1233</v>
      </c>
      <c r="O77" s="229" t="s">
        <v>843</v>
      </c>
      <c r="P77" s="233" t="s">
        <v>1234</v>
      </c>
      <c r="Q77" s="228" t="s">
        <v>829</v>
      </c>
      <c r="R77" s="228" t="s">
        <v>1235</v>
      </c>
      <c r="S77" s="233" t="s">
        <v>1236</v>
      </c>
      <c r="T77" s="233" t="s">
        <v>1237</v>
      </c>
      <c r="U77" s="233" t="s">
        <v>1238</v>
      </c>
      <c r="V77" s="176" t="s">
        <v>1239</v>
      </c>
      <c r="W77" s="228"/>
      <c r="X77" s="228" t="s">
        <v>834</v>
      </c>
      <c r="Y77" s="228" t="s">
        <v>1240</v>
      </c>
      <c r="Z77" s="228" t="s">
        <v>1241</v>
      </c>
      <c r="AA77" s="229" t="s">
        <v>837</v>
      </c>
    </row>
    <row r="78" spans="1:27" s="33" customFormat="1" ht="92.25" customHeight="1" x14ac:dyDescent="0.35">
      <c r="A78" s="27"/>
      <c r="B78" s="228" t="s">
        <v>9</v>
      </c>
      <c r="C78" s="228" t="s">
        <v>1216</v>
      </c>
      <c r="D78" s="228" t="s">
        <v>20</v>
      </c>
      <c r="E78" s="229">
        <v>2</v>
      </c>
      <c r="F78" s="228" t="s">
        <v>1242</v>
      </c>
      <c r="G78" s="77" t="s">
        <v>1243</v>
      </c>
      <c r="H78" s="228" t="s">
        <v>1244</v>
      </c>
      <c r="I78" s="229">
        <v>4</v>
      </c>
      <c r="J78" s="231" t="s">
        <v>811</v>
      </c>
      <c r="K78" s="229">
        <v>23</v>
      </c>
      <c r="L78" s="229">
        <v>6</v>
      </c>
      <c r="M78" s="233" t="s">
        <v>1245</v>
      </c>
      <c r="N78" s="228" t="s">
        <v>1246</v>
      </c>
      <c r="O78" s="229" t="s">
        <v>843</v>
      </c>
      <c r="P78" s="228"/>
      <c r="Q78" s="228" t="s">
        <v>829</v>
      </c>
      <c r="R78" s="228" t="s">
        <v>1247</v>
      </c>
      <c r="S78" s="233" t="s">
        <v>906</v>
      </c>
      <c r="T78" s="233" t="s">
        <v>1248</v>
      </c>
      <c r="U78" s="233" t="s">
        <v>1249</v>
      </c>
      <c r="V78" s="176" t="s">
        <v>1250</v>
      </c>
      <c r="W78" s="228"/>
      <c r="X78" s="228" t="s">
        <v>848</v>
      </c>
      <c r="Y78" s="228" t="s">
        <v>1251</v>
      </c>
      <c r="Z78" s="228" t="s">
        <v>1252</v>
      </c>
      <c r="AA78" s="229" t="s">
        <v>749</v>
      </c>
    </row>
    <row r="79" spans="1:27" s="33" customFormat="1" ht="60" customHeight="1" x14ac:dyDescent="0.35">
      <c r="A79" s="27"/>
      <c r="B79" s="228" t="s">
        <v>9</v>
      </c>
      <c r="C79" s="228" t="s">
        <v>1216</v>
      </c>
      <c r="D79" s="228" t="s">
        <v>20</v>
      </c>
      <c r="E79" s="229">
        <v>2</v>
      </c>
      <c r="F79" s="228" t="s">
        <v>1253</v>
      </c>
      <c r="G79" s="77" t="s">
        <v>1254</v>
      </c>
      <c r="H79" s="228" t="s">
        <v>1244</v>
      </c>
      <c r="I79" s="229">
        <v>5</v>
      </c>
      <c r="J79" s="231" t="s">
        <v>811</v>
      </c>
      <c r="K79" s="229">
        <v>23</v>
      </c>
      <c r="L79" s="229">
        <v>6</v>
      </c>
      <c r="M79" s="233" t="s">
        <v>1255</v>
      </c>
      <c r="N79" s="228" t="s">
        <v>1256</v>
      </c>
      <c r="O79" s="229" t="s">
        <v>843</v>
      </c>
      <c r="P79" s="228"/>
      <c r="Q79" s="228" t="s">
        <v>829</v>
      </c>
      <c r="R79" s="228" t="s">
        <v>1257</v>
      </c>
      <c r="S79" s="233" t="s">
        <v>906</v>
      </c>
      <c r="T79" s="233" t="s">
        <v>1248</v>
      </c>
      <c r="U79" s="233" t="s">
        <v>1258</v>
      </c>
      <c r="V79" s="176" t="s">
        <v>1259</v>
      </c>
      <c r="W79" s="228"/>
      <c r="X79" s="228" t="s">
        <v>848</v>
      </c>
      <c r="Y79" s="228" t="s">
        <v>1251</v>
      </c>
      <c r="Z79" s="228" t="s">
        <v>1260</v>
      </c>
      <c r="AA79" s="229" t="s">
        <v>749</v>
      </c>
    </row>
    <row r="80" spans="1:27" s="33" customFormat="1" ht="102" customHeight="1" x14ac:dyDescent="0.35">
      <c r="A80" s="27"/>
      <c r="B80" s="228" t="s">
        <v>9</v>
      </c>
      <c r="C80" s="228" t="s">
        <v>1216</v>
      </c>
      <c r="D80" s="228" t="s">
        <v>20</v>
      </c>
      <c r="E80" s="229">
        <v>2</v>
      </c>
      <c r="F80" s="233" t="s">
        <v>1261</v>
      </c>
      <c r="G80" s="227" t="s">
        <v>1262</v>
      </c>
      <c r="H80" s="228" t="s">
        <v>1231</v>
      </c>
      <c r="I80" s="230">
        <v>6</v>
      </c>
      <c r="J80" s="236" t="s">
        <v>741</v>
      </c>
      <c r="K80" s="230">
        <v>4</v>
      </c>
      <c r="L80" s="230"/>
      <c r="M80" s="232" t="s">
        <v>1263</v>
      </c>
      <c r="N80" s="227" t="s">
        <v>1264</v>
      </c>
      <c r="O80" s="230"/>
      <c r="P80" s="227"/>
      <c r="Q80" s="228"/>
      <c r="R80" s="228"/>
      <c r="S80" s="233" t="s">
        <v>1236</v>
      </c>
      <c r="T80" s="233" t="s">
        <v>1237</v>
      </c>
      <c r="U80" s="233" t="s">
        <v>1265</v>
      </c>
      <c r="V80" s="176" t="s">
        <v>1266</v>
      </c>
      <c r="W80" s="228"/>
      <c r="X80" s="228" t="s">
        <v>834</v>
      </c>
      <c r="Y80" s="228" t="s">
        <v>1240</v>
      </c>
      <c r="Z80" s="227" t="s">
        <v>1267</v>
      </c>
      <c r="AA80" s="229" t="s">
        <v>837</v>
      </c>
    </row>
    <row r="81" spans="1:27" s="33" customFormat="1" ht="60" customHeight="1" x14ac:dyDescent="0.35">
      <c r="A81" s="27"/>
      <c r="B81" s="228" t="s">
        <v>9</v>
      </c>
      <c r="C81" s="228" t="s">
        <v>1216</v>
      </c>
      <c r="D81" s="228" t="s">
        <v>20</v>
      </c>
      <c r="E81" s="229">
        <v>2</v>
      </c>
      <c r="F81" s="228" t="s">
        <v>1268</v>
      </c>
      <c r="G81" s="77" t="s">
        <v>1269</v>
      </c>
      <c r="H81" s="228" t="s">
        <v>1244</v>
      </c>
      <c r="I81" s="229">
        <v>7</v>
      </c>
      <c r="J81" s="231" t="s">
        <v>1270</v>
      </c>
      <c r="K81" s="229"/>
      <c r="L81" s="229"/>
      <c r="M81" s="233" t="s">
        <v>1271</v>
      </c>
      <c r="N81" s="228" t="s">
        <v>1272</v>
      </c>
      <c r="O81" s="229" t="s">
        <v>843</v>
      </c>
      <c r="P81" s="228"/>
      <c r="Q81" s="228" t="s">
        <v>829</v>
      </c>
      <c r="R81" s="228" t="s">
        <v>1273</v>
      </c>
      <c r="S81" s="233" t="s">
        <v>906</v>
      </c>
      <c r="T81" s="233" t="s">
        <v>1274</v>
      </c>
      <c r="U81" s="233" t="s">
        <v>1275</v>
      </c>
      <c r="V81" s="176" t="s">
        <v>1276</v>
      </c>
      <c r="W81" s="228"/>
      <c r="X81" s="228" t="s">
        <v>848</v>
      </c>
      <c r="Y81" s="228" t="s">
        <v>1277</v>
      </c>
      <c r="Z81" s="228" t="s">
        <v>1278</v>
      </c>
      <c r="AA81" s="229" t="s">
        <v>749</v>
      </c>
    </row>
    <row r="82" spans="1:27" s="33" customFormat="1" ht="60" customHeight="1" x14ac:dyDescent="0.35">
      <c r="A82" s="27"/>
      <c r="B82" s="228" t="s">
        <v>9</v>
      </c>
      <c r="C82" s="228" t="s">
        <v>1216</v>
      </c>
      <c r="D82" s="228" t="s">
        <v>20</v>
      </c>
      <c r="E82" s="229">
        <v>2</v>
      </c>
      <c r="F82" s="228" t="s">
        <v>764</v>
      </c>
      <c r="G82" s="77" t="s">
        <v>765</v>
      </c>
      <c r="H82" s="228" t="s">
        <v>766</v>
      </c>
      <c r="I82" s="229">
        <v>8</v>
      </c>
      <c r="J82" s="231" t="s">
        <v>741</v>
      </c>
      <c r="K82" s="229">
        <v>10</v>
      </c>
      <c r="L82" s="229"/>
      <c r="M82" s="233" t="s">
        <v>767</v>
      </c>
      <c r="N82" s="77" t="s">
        <v>823</v>
      </c>
      <c r="O82" s="229" t="s">
        <v>744</v>
      </c>
      <c r="P82" s="228"/>
      <c r="Q82" s="228"/>
      <c r="R82" s="228"/>
      <c r="S82" s="233" t="s">
        <v>830</v>
      </c>
      <c r="T82" s="233" t="s">
        <v>831</v>
      </c>
      <c r="U82" s="233" t="s">
        <v>919</v>
      </c>
      <c r="V82" s="176" t="s">
        <v>1183</v>
      </c>
      <c r="W82" s="228"/>
      <c r="X82" s="228" t="s">
        <v>749</v>
      </c>
      <c r="Y82" s="228" t="s">
        <v>749</v>
      </c>
      <c r="Z82" s="228" t="s">
        <v>749</v>
      </c>
      <c r="AA82" s="229" t="s">
        <v>749</v>
      </c>
    </row>
    <row r="83" spans="1:27" s="33" customFormat="1" ht="60" customHeight="1" x14ac:dyDescent="0.35">
      <c r="A83" s="27"/>
      <c r="B83" s="228" t="s">
        <v>9</v>
      </c>
      <c r="C83" s="228" t="s">
        <v>1216</v>
      </c>
      <c r="D83" s="228" t="s">
        <v>20</v>
      </c>
      <c r="E83" s="229">
        <v>2</v>
      </c>
      <c r="F83" s="228" t="s">
        <v>771</v>
      </c>
      <c r="G83" s="77" t="s">
        <v>772</v>
      </c>
      <c r="H83" s="228" t="s">
        <v>773</v>
      </c>
      <c r="I83" s="229">
        <v>9</v>
      </c>
      <c r="J83" s="231" t="s">
        <v>774</v>
      </c>
      <c r="K83" s="229">
        <v>23</v>
      </c>
      <c r="L83" s="229"/>
      <c r="M83" s="233" t="s">
        <v>775</v>
      </c>
      <c r="N83" s="74" t="s">
        <v>776</v>
      </c>
      <c r="O83" s="229" t="s">
        <v>843</v>
      </c>
      <c r="P83" s="228"/>
      <c r="Q83" s="228"/>
      <c r="R83" s="228"/>
      <c r="S83" s="233" t="s">
        <v>830</v>
      </c>
      <c r="T83" s="233" t="s">
        <v>831</v>
      </c>
      <c r="U83" s="233" t="s">
        <v>921</v>
      </c>
      <c r="V83" s="176" t="s">
        <v>777</v>
      </c>
      <c r="W83" s="228"/>
      <c r="X83" s="228" t="s">
        <v>749</v>
      </c>
      <c r="Y83" s="228" t="s">
        <v>749</v>
      </c>
      <c r="Z83" s="228" t="s">
        <v>749</v>
      </c>
      <c r="AA83" s="229" t="s">
        <v>749</v>
      </c>
    </row>
    <row r="84" spans="1:27" s="33" customFormat="1" ht="146.25" customHeight="1" x14ac:dyDescent="0.35">
      <c r="A84" s="27"/>
      <c r="B84" s="228" t="s">
        <v>9</v>
      </c>
      <c r="C84" s="228" t="s">
        <v>1279</v>
      </c>
      <c r="D84" s="228" t="s">
        <v>22</v>
      </c>
      <c r="E84" s="229">
        <v>2</v>
      </c>
      <c r="F84" s="228" t="s">
        <v>784</v>
      </c>
      <c r="G84" s="228" t="s">
        <v>785</v>
      </c>
      <c r="H84" s="228" t="s">
        <v>1280</v>
      </c>
      <c r="I84" s="229">
        <v>1</v>
      </c>
      <c r="J84" s="231" t="s">
        <v>741</v>
      </c>
      <c r="K84" s="229">
        <v>10</v>
      </c>
      <c r="L84" s="230"/>
      <c r="M84" s="232" t="s">
        <v>786</v>
      </c>
      <c r="N84" s="227" t="s">
        <v>787</v>
      </c>
      <c r="O84" s="229" t="s">
        <v>744</v>
      </c>
      <c r="P84" s="228"/>
      <c r="Q84" s="228" t="s">
        <v>1281</v>
      </c>
      <c r="R84" s="228" t="s">
        <v>784</v>
      </c>
      <c r="S84" s="233" t="s">
        <v>906</v>
      </c>
      <c r="T84" s="233" t="s">
        <v>1282</v>
      </c>
      <c r="U84" s="233" t="s">
        <v>1283</v>
      </c>
      <c r="V84" s="176" t="s">
        <v>1284</v>
      </c>
      <c r="W84" s="228"/>
      <c r="X84" s="228" t="s">
        <v>834</v>
      </c>
      <c r="Y84" s="228" t="s">
        <v>1285</v>
      </c>
      <c r="Z84" s="228" t="s">
        <v>1286</v>
      </c>
      <c r="AA84" s="229" t="s">
        <v>837</v>
      </c>
    </row>
    <row r="85" spans="1:27" s="33" customFormat="1" ht="136.5" customHeight="1" x14ac:dyDescent="0.35">
      <c r="A85" s="27"/>
      <c r="B85" s="228" t="s">
        <v>9</v>
      </c>
      <c r="C85" s="228" t="s">
        <v>1279</v>
      </c>
      <c r="D85" s="228" t="s">
        <v>22</v>
      </c>
      <c r="E85" s="229">
        <v>2</v>
      </c>
      <c r="F85" s="228" t="s">
        <v>1287</v>
      </c>
      <c r="G85" s="227" t="s">
        <v>1288</v>
      </c>
      <c r="H85" s="228" t="s">
        <v>1189</v>
      </c>
      <c r="I85" s="229">
        <v>2</v>
      </c>
      <c r="J85" s="231" t="s">
        <v>741</v>
      </c>
      <c r="K85" s="229">
        <v>4</v>
      </c>
      <c r="L85" s="230"/>
      <c r="M85" s="232" t="s">
        <v>1289</v>
      </c>
      <c r="N85" s="228" t="s">
        <v>1290</v>
      </c>
      <c r="O85" s="229" t="s">
        <v>744</v>
      </c>
      <c r="P85" s="233" t="s">
        <v>1291</v>
      </c>
      <c r="Q85" s="228" t="s">
        <v>1281</v>
      </c>
      <c r="R85" s="228" t="s">
        <v>1292</v>
      </c>
      <c r="S85" s="233" t="s">
        <v>1236</v>
      </c>
      <c r="T85" s="233" t="s">
        <v>1293</v>
      </c>
      <c r="U85" s="233" t="s">
        <v>1294</v>
      </c>
      <c r="V85" s="176" t="s">
        <v>1295</v>
      </c>
      <c r="W85" s="228"/>
      <c r="X85" s="228" t="s">
        <v>834</v>
      </c>
      <c r="Y85" s="180" t="s">
        <v>1296</v>
      </c>
      <c r="Z85" s="228" t="s">
        <v>1297</v>
      </c>
      <c r="AA85" s="229" t="s">
        <v>837</v>
      </c>
    </row>
    <row r="86" spans="1:27" s="33" customFormat="1" ht="153.75" customHeight="1" x14ac:dyDescent="0.35">
      <c r="A86" s="27"/>
      <c r="B86" s="228" t="s">
        <v>30</v>
      </c>
      <c r="C86" s="228" t="s">
        <v>1298</v>
      </c>
      <c r="D86" s="227" t="s">
        <v>31</v>
      </c>
      <c r="E86" s="229">
        <v>1</v>
      </c>
      <c r="F86" s="228" t="s">
        <v>784</v>
      </c>
      <c r="G86" s="228" t="s">
        <v>785</v>
      </c>
      <c r="H86" s="228" t="s">
        <v>740</v>
      </c>
      <c r="I86" s="229">
        <v>1</v>
      </c>
      <c r="J86" s="231" t="s">
        <v>741</v>
      </c>
      <c r="K86" s="229">
        <v>10</v>
      </c>
      <c r="L86" s="230"/>
      <c r="M86" s="232" t="s">
        <v>786</v>
      </c>
      <c r="N86" s="227" t="s">
        <v>787</v>
      </c>
      <c r="O86" s="229" t="s">
        <v>744</v>
      </c>
      <c r="P86" s="228"/>
      <c r="Q86" s="228" t="s">
        <v>1299</v>
      </c>
      <c r="R86" s="228" t="s">
        <v>784</v>
      </c>
      <c r="S86" s="233" t="s">
        <v>1300</v>
      </c>
      <c r="T86" s="233" t="s">
        <v>1301</v>
      </c>
      <c r="U86" s="233" t="s">
        <v>1302</v>
      </c>
      <c r="V86" s="206" t="s">
        <v>1303</v>
      </c>
      <c r="W86" s="228"/>
      <c r="X86" s="228" t="s">
        <v>834</v>
      </c>
      <c r="Y86" s="228" t="s">
        <v>1304</v>
      </c>
      <c r="Z86" s="228" t="s">
        <v>836</v>
      </c>
      <c r="AA86" s="229" t="s">
        <v>749</v>
      </c>
    </row>
    <row r="87" spans="1:27" s="33" customFormat="1" ht="93" customHeight="1" x14ac:dyDescent="0.35">
      <c r="A87" s="27"/>
      <c r="B87" s="228" t="s">
        <v>9</v>
      </c>
      <c r="C87" s="228" t="s">
        <v>1279</v>
      </c>
      <c r="D87" s="228" t="s">
        <v>22</v>
      </c>
      <c r="E87" s="229">
        <v>2</v>
      </c>
      <c r="F87" s="228" t="s">
        <v>1305</v>
      </c>
      <c r="G87" s="227" t="s">
        <v>1306</v>
      </c>
      <c r="H87" s="228" t="s">
        <v>1189</v>
      </c>
      <c r="I87" s="229">
        <v>4</v>
      </c>
      <c r="J87" s="231" t="s">
        <v>741</v>
      </c>
      <c r="K87" s="229">
        <v>4</v>
      </c>
      <c r="L87" s="230"/>
      <c r="M87" s="233" t="s">
        <v>1307</v>
      </c>
      <c r="N87" s="228" t="s">
        <v>1308</v>
      </c>
      <c r="O87" s="229" t="s">
        <v>744</v>
      </c>
      <c r="P87" s="233" t="s">
        <v>883</v>
      </c>
      <c r="Q87" s="228" t="s">
        <v>1281</v>
      </c>
      <c r="R87" s="228" t="s">
        <v>1309</v>
      </c>
      <c r="S87" s="233" t="s">
        <v>1236</v>
      </c>
      <c r="T87" s="233" t="s">
        <v>1310</v>
      </c>
      <c r="U87" s="233" t="s">
        <v>1311</v>
      </c>
      <c r="V87" s="176" t="s">
        <v>1312</v>
      </c>
      <c r="W87" s="228"/>
      <c r="X87" s="228" t="s">
        <v>834</v>
      </c>
      <c r="Y87" s="228" t="s">
        <v>1313</v>
      </c>
      <c r="Z87" s="228" t="s">
        <v>1314</v>
      </c>
      <c r="AA87" s="229" t="s">
        <v>837</v>
      </c>
    </row>
    <row r="88" spans="1:27" s="33" customFormat="1" ht="95.25" customHeight="1" x14ac:dyDescent="0.35">
      <c r="A88" s="27"/>
      <c r="B88" s="228" t="s">
        <v>9</v>
      </c>
      <c r="C88" s="228" t="s">
        <v>1279</v>
      </c>
      <c r="D88" s="228" t="s">
        <v>22</v>
      </c>
      <c r="E88" s="229">
        <v>2</v>
      </c>
      <c r="F88" s="228" t="s">
        <v>1315</v>
      </c>
      <c r="G88" s="77" t="s">
        <v>1316</v>
      </c>
      <c r="H88" s="228" t="s">
        <v>933</v>
      </c>
      <c r="I88" s="229">
        <v>5</v>
      </c>
      <c r="J88" s="231" t="s">
        <v>741</v>
      </c>
      <c r="K88" s="229">
        <v>40</v>
      </c>
      <c r="L88" s="230"/>
      <c r="M88" s="232" t="s">
        <v>1317</v>
      </c>
      <c r="N88" s="228" t="s">
        <v>1318</v>
      </c>
      <c r="O88" s="229" t="s">
        <v>744</v>
      </c>
      <c r="P88" s="228"/>
      <c r="Q88" s="228" t="s">
        <v>1281</v>
      </c>
      <c r="R88" s="228" t="s">
        <v>1315</v>
      </c>
      <c r="S88" s="233" t="s">
        <v>906</v>
      </c>
      <c r="T88" s="233" t="s">
        <v>1282</v>
      </c>
      <c r="U88" s="233" t="s">
        <v>1319</v>
      </c>
      <c r="V88" s="176" t="s">
        <v>1320</v>
      </c>
      <c r="W88" s="228"/>
      <c r="X88" s="228" t="s">
        <v>834</v>
      </c>
      <c r="Y88" s="228" t="s">
        <v>1321</v>
      </c>
      <c r="Z88" s="228" t="s">
        <v>1322</v>
      </c>
      <c r="AA88" s="229" t="s">
        <v>749</v>
      </c>
    </row>
    <row r="89" spans="1:27" s="33" customFormat="1" ht="90.75" customHeight="1" x14ac:dyDescent="0.35">
      <c r="A89" s="27"/>
      <c r="B89" s="228" t="s">
        <v>9</v>
      </c>
      <c r="C89" s="228" t="s">
        <v>1279</v>
      </c>
      <c r="D89" s="228" t="s">
        <v>22</v>
      </c>
      <c r="E89" s="229">
        <v>2</v>
      </c>
      <c r="F89" s="228" t="s">
        <v>1323</v>
      </c>
      <c r="G89" s="77" t="s">
        <v>1324</v>
      </c>
      <c r="H89" s="228" t="s">
        <v>1115</v>
      </c>
      <c r="I89" s="229">
        <v>6</v>
      </c>
      <c r="J89" s="231" t="s">
        <v>741</v>
      </c>
      <c r="K89" s="229">
        <v>10</v>
      </c>
      <c r="L89" s="230"/>
      <c r="M89" s="233" t="s">
        <v>1325</v>
      </c>
      <c r="N89" s="228" t="s">
        <v>1326</v>
      </c>
      <c r="O89" s="229" t="s">
        <v>843</v>
      </c>
      <c r="P89" s="228"/>
      <c r="Q89" s="228" t="s">
        <v>1281</v>
      </c>
      <c r="R89" s="228" t="s">
        <v>1327</v>
      </c>
      <c r="S89" s="233" t="s">
        <v>906</v>
      </c>
      <c r="T89" s="233" t="s">
        <v>1282</v>
      </c>
      <c r="U89" s="233" t="s">
        <v>1328</v>
      </c>
      <c r="V89" s="176" t="s">
        <v>1329</v>
      </c>
      <c r="W89" s="228"/>
      <c r="X89" s="228" t="s">
        <v>834</v>
      </c>
      <c r="Y89" s="228" t="s">
        <v>1321</v>
      </c>
      <c r="Z89" s="228" t="s">
        <v>1330</v>
      </c>
      <c r="AA89" s="229" t="s">
        <v>749</v>
      </c>
    </row>
    <row r="90" spans="1:27" s="33" customFormat="1" ht="93.75" customHeight="1" x14ac:dyDescent="0.35">
      <c r="A90" s="27"/>
      <c r="B90" s="228" t="s">
        <v>9</v>
      </c>
      <c r="C90" s="228" t="s">
        <v>1279</v>
      </c>
      <c r="D90" s="228" t="s">
        <v>22</v>
      </c>
      <c r="E90" s="229">
        <v>2</v>
      </c>
      <c r="F90" s="228" t="s">
        <v>1331</v>
      </c>
      <c r="G90" s="228" t="s">
        <v>1332</v>
      </c>
      <c r="H90" s="228" t="s">
        <v>1115</v>
      </c>
      <c r="I90" s="229">
        <v>7</v>
      </c>
      <c r="J90" s="231" t="s">
        <v>741</v>
      </c>
      <c r="K90" s="229">
        <v>10</v>
      </c>
      <c r="L90" s="230"/>
      <c r="M90" s="233" t="s">
        <v>1333</v>
      </c>
      <c r="N90" s="197" t="s">
        <v>1334</v>
      </c>
      <c r="O90" s="229" t="s">
        <v>843</v>
      </c>
      <c r="P90" s="228"/>
      <c r="Q90" s="228" t="s">
        <v>1281</v>
      </c>
      <c r="R90" s="228" t="s">
        <v>1331</v>
      </c>
      <c r="S90" s="233" t="s">
        <v>906</v>
      </c>
      <c r="T90" s="233" t="s">
        <v>1282</v>
      </c>
      <c r="U90" s="233" t="s">
        <v>1335</v>
      </c>
      <c r="V90" s="176" t="s">
        <v>1336</v>
      </c>
      <c r="W90" s="228"/>
      <c r="X90" s="228" t="s">
        <v>834</v>
      </c>
      <c r="Y90" s="228" t="s">
        <v>1321</v>
      </c>
      <c r="Z90" s="228" t="s">
        <v>1337</v>
      </c>
      <c r="AA90" s="229" t="s">
        <v>749</v>
      </c>
    </row>
    <row r="91" spans="1:27" s="33" customFormat="1" ht="112.5" customHeight="1" x14ac:dyDescent="0.35">
      <c r="A91" s="27"/>
      <c r="B91" s="228" t="s">
        <v>9</v>
      </c>
      <c r="C91" s="228" t="s">
        <v>1279</v>
      </c>
      <c r="D91" s="228" t="s">
        <v>22</v>
      </c>
      <c r="E91" s="229">
        <v>2</v>
      </c>
      <c r="F91" s="228" t="s">
        <v>764</v>
      </c>
      <c r="G91" s="228" t="s">
        <v>765</v>
      </c>
      <c r="H91" s="228" t="s">
        <v>766</v>
      </c>
      <c r="I91" s="229">
        <v>8</v>
      </c>
      <c r="J91" s="231" t="s">
        <v>741</v>
      </c>
      <c r="K91" s="229">
        <v>10</v>
      </c>
      <c r="L91" s="230"/>
      <c r="M91" s="233" t="s">
        <v>767</v>
      </c>
      <c r="N91" s="77" t="s">
        <v>823</v>
      </c>
      <c r="O91" s="229" t="s">
        <v>744</v>
      </c>
      <c r="P91" s="228"/>
      <c r="Q91" s="228"/>
      <c r="R91" s="228"/>
      <c r="S91" s="233" t="s">
        <v>906</v>
      </c>
      <c r="T91" s="233" t="s">
        <v>1282</v>
      </c>
      <c r="U91" s="233" t="s">
        <v>1082</v>
      </c>
      <c r="V91" s="176" t="s">
        <v>1338</v>
      </c>
      <c r="W91" s="228"/>
      <c r="X91" s="228" t="s">
        <v>749</v>
      </c>
      <c r="Y91" s="228" t="s">
        <v>749</v>
      </c>
      <c r="Z91" s="228" t="s">
        <v>749</v>
      </c>
      <c r="AA91" s="229" t="s">
        <v>749</v>
      </c>
    </row>
    <row r="92" spans="1:27" s="33" customFormat="1" ht="96" customHeight="1" x14ac:dyDescent="0.35">
      <c r="A92" s="27"/>
      <c r="B92" s="228" t="s">
        <v>9</v>
      </c>
      <c r="C92" s="228" t="s">
        <v>1279</v>
      </c>
      <c r="D92" s="228" t="s">
        <v>22</v>
      </c>
      <c r="E92" s="229">
        <v>2</v>
      </c>
      <c r="F92" s="228" t="s">
        <v>771</v>
      </c>
      <c r="G92" s="228" t="s">
        <v>772</v>
      </c>
      <c r="H92" s="228" t="s">
        <v>773</v>
      </c>
      <c r="I92" s="229">
        <v>9</v>
      </c>
      <c r="J92" s="231" t="s">
        <v>774</v>
      </c>
      <c r="K92" s="229">
        <v>23</v>
      </c>
      <c r="L92" s="230"/>
      <c r="M92" s="233" t="s">
        <v>775</v>
      </c>
      <c r="N92" s="74" t="s">
        <v>776</v>
      </c>
      <c r="O92" s="229" t="s">
        <v>843</v>
      </c>
      <c r="P92" s="228"/>
      <c r="Q92" s="228"/>
      <c r="R92" s="228"/>
      <c r="S92" s="233" t="s">
        <v>906</v>
      </c>
      <c r="T92" s="233" t="s">
        <v>1282</v>
      </c>
      <c r="U92" s="233" t="s">
        <v>826</v>
      </c>
      <c r="V92" s="176" t="s">
        <v>777</v>
      </c>
      <c r="W92" s="228"/>
      <c r="X92" s="228" t="s">
        <v>749</v>
      </c>
      <c r="Y92" s="228" t="s">
        <v>749</v>
      </c>
      <c r="Z92" s="228" t="s">
        <v>749</v>
      </c>
      <c r="AA92" s="229" t="s">
        <v>749</v>
      </c>
    </row>
    <row r="93" spans="1:27" s="33" customFormat="1" ht="150.75" customHeight="1" x14ac:dyDescent="0.35">
      <c r="A93" s="27"/>
      <c r="B93" s="248" t="s">
        <v>9</v>
      </c>
      <c r="C93" s="228" t="s">
        <v>1339</v>
      </c>
      <c r="D93" s="227" t="s">
        <v>24</v>
      </c>
      <c r="E93" s="229">
        <v>3</v>
      </c>
      <c r="F93" s="228" t="s">
        <v>784</v>
      </c>
      <c r="G93" s="227" t="s">
        <v>785</v>
      </c>
      <c r="H93" s="228" t="s">
        <v>1280</v>
      </c>
      <c r="I93" s="230">
        <v>1</v>
      </c>
      <c r="J93" s="236" t="s">
        <v>741</v>
      </c>
      <c r="K93" s="230">
        <v>10</v>
      </c>
      <c r="L93" s="230"/>
      <c r="M93" s="232" t="s">
        <v>786</v>
      </c>
      <c r="N93" s="227" t="s">
        <v>787</v>
      </c>
      <c r="O93" s="230" t="s">
        <v>744</v>
      </c>
      <c r="P93" s="227"/>
      <c r="Q93" s="227" t="s">
        <v>1340</v>
      </c>
      <c r="R93" s="227" t="s">
        <v>784</v>
      </c>
      <c r="S93" s="233" t="s">
        <v>906</v>
      </c>
      <c r="T93" s="233" t="s">
        <v>1341</v>
      </c>
      <c r="U93" s="233" t="s">
        <v>788</v>
      </c>
      <c r="V93" s="176" t="s">
        <v>1342</v>
      </c>
      <c r="W93" s="227"/>
      <c r="X93" s="227" t="s">
        <v>848</v>
      </c>
      <c r="Y93" s="79" t="s">
        <v>1343</v>
      </c>
      <c r="Z93" s="79" t="s">
        <v>505</v>
      </c>
      <c r="AA93" s="85" t="s">
        <v>749</v>
      </c>
    </row>
    <row r="94" spans="1:27" s="33" customFormat="1" ht="92.25" customHeight="1" x14ac:dyDescent="0.35">
      <c r="A94" s="27"/>
      <c r="B94" s="227" t="s">
        <v>9</v>
      </c>
      <c r="C94" s="228" t="s">
        <v>1339</v>
      </c>
      <c r="D94" s="227" t="s">
        <v>24</v>
      </c>
      <c r="E94" s="229">
        <v>3</v>
      </c>
      <c r="F94" s="228" t="s">
        <v>1315</v>
      </c>
      <c r="G94" s="227" t="s">
        <v>1316</v>
      </c>
      <c r="H94" s="228" t="s">
        <v>933</v>
      </c>
      <c r="I94" s="230">
        <v>2</v>
      </c>
      <c r="J94" s="236" t="s">
        <v>741</v>
      </c>
      <c r="K94" s="230">
        <v>40</v>
      </c>
      <c r="L94" s="230"/>
      <c r="M94" s="232" t="s">
        <v>1344</v>
      </c>
      <c r="N94" s="227" t="s">
        <v>1345</v>
      </c>
      <c r="O94" s="230" t="s">
        <v>744</v>
      </c>
      <c r="P94" s="227"/>
      <c r="Q94" s="227" t="s">
        <v>1340</v>
      </c>
      <c r="R94" s="227" t="s">
        <v>1315</v>
      </c>
      <c r="S94" s="233" t="s">
        <v>906</v>
      </c>
      <c r="T94" s="233" t="s">
        <v>1341</v>
      </c>
      <c r="U94" s="233" t="s">
        <v>1346</v>
      </c>
      <c r="V94" s="176" t="s">
        <v>1347</v>
      </c>
      <c r="W94" s="227"/>
      <c r="X94" s="227" t="s">
        <v>848</v>
      </c>
      <c r="Y94" s="79" t="s">
        <v>1343</v>
      </c>
      <c r="Z94" s="79" t="s">
        <v>1348</v>
      </c>
      <c r="AA94" s="85" t="s">
        <v>749</v>
      </c>
    </row>
    <row r="95" spans="1:27" s="33" customFormat="1" ht="85.5" customHeight="1" x14ac:dyDescent="0.35">
      <c r="A95" s="27"/>
      <c r="B95" s="227" t="s">
        <v>9</v>
      </c>
      <c r="C95" s="228" t="s">
        <v>1339</v>
      </c>
      <c r="D95" s="227" t="s">
        <v>24</v>
      </c>
      <c r="E95" s="229">
        <v>3</v>
      </c>
      <c r="F95" s="228" t="s">
        <v>1287</v>
      </c>
      <c r="G95" s="227" t="s">
        <v>1288</v>
      </c>
      <c r="H95" s="228" t="s">
        <v>1189</v>
      </c>
      <c r="I95" s="230">
        <v>3</v>
      </c>
      <c r="J95" s="236" t="s">
        <v>741</v>
      </c>
      <c r="K95" s="230">
        <v>4</v>
      </c>
      <c r="L95" s="230"/>
      <c r="M95" s="232" t="s">
        <v>1349</v>
      </c>
      <c r="N95" s="227" t="s">
        <v>1350</v>
      </c>
      <c r="O95" s="230" t="s">
        <v>744</v>
      </c>
      <c r="P95" s="232" t="s">
        <v>1351</v>
      </c>
      <c r="Q95" s="227"/>
      <c r="R95" s="227"/>
      <c r="S95" s="233" t="s">
        <v>906</v>
      </c>
      <c r="T95" s="233" t="s">
        <v>1341</v>
      </c>
      <c r="U95" s="233" t="s">
        <v>1352</v>
      </c>
      <c r="V95" s="176" t="s">
        <v>1353</v>
      </c>
      <c r="W95" s="227"/>
      <c r="X95" s="227" t="s">
        <v>848</v>
      </c>
      <c r="Y95" s="79" t="s">
        <v>1343</v>
      </c>
      <c r="Z95" s="79" t="s">
        <v>1354</v>
      </c>
      <c r="AA95" s="85" t="s">
        <v>749</v>
      </c>
    </row>
    <row r="96" spans="1:27" s="33" customFormat="1" ht="78.75" customHeight="1" x14ac:dyDescent="0.35">
      <c r="A96" s="27"/>
      <c r="B96" s="227" t="s">
        <v>9</v>
      </c>
      <c r="C96" s="228" t="s">
        <v>1339</v>
      </c>
      <c r="D96" s="227" t="s">
        <v>24</v>
      </c>
      <c r="E96" s="229">
        <v>3</v>
      </c>
      <c r="F96" s="228" t="s">
        <v>1305</v>
      </c>
      <c r="G96" s="227" t="s">
        <v>1306</v>
      </c>
      <c r="H96" s="228" t="s">
        <v>1189</v>
      </c>
      <c r="I96" s="230">
        <v>4</v>
      </c>
      <c r="J96" s="236" t="s">
        <v>741</v>
      </c>
      <c r="K96" s="230">
        <v>4</v>
      </c>
      <c r="L96" s="230"/>
      <c r="M96" s="233" t="s">
        <v>1307</v>
      </c>
      <c r="N96" s="227" t="s">
        <v>1308</v>
      </c>
      <c r="O96" s="230" t="s">
        <v>744</v>
      </c>
      <c r="P96" s="232" t="s">
        <v>1355</v>
      </c>
      <c r="Q96" s="227"/>
      <c r="R96" s="227"/>
      <c r="S96" s="233" t="s">
        <v>906</v>
      </c>
      <c r="T96" s="233" t="s">
        <v>1341</v>
      </c>
      <c r="U96" s="233" t="s">
        <v>1356</v>
      </c>
      <c r="V96" s="176" t="s">
        <v>1357</v>
      </c>
      <c r="W96" s="227"/>
      <c r="X96" s="227" t="s">
        <v>848</v>
      </c>
      <c r="Y96" s="79" t="s">
        <v>1343</v>
      </c>
      <c r="Z96" s="79" t="s">
        <v>124</v>
      </c>
      <c r="AA96" s="85" t="s">
        <v>749</v>
      </c>
    </row>
    <row r="97" spans="1:27" s="33" customFormat="1" ht="94.5" customHeight="1" x14ac:dyDescent="0.35">
      <c r="A97" s="27"/>
      <c r="B97" s="227" t="s">
        <v>9</v>
      </c>
      <c r="C97" s="228" t="s">
        <v>1339</v>
      </c>
      <c r="D97" s="227" t="s">
        <v>24</v>
      </c>
      <c r="E97" s="229">
        <v>3</v>
      </c>
      <c r="F97" s="228" t="s">
        <v>1358</v>
      </c>
      <c r="G97" s="227" t="s">
        <v>1359</v>
      </c>
      <c r="H97" s="228" t="s">
        <v>1189</v>
      </c>
      <c r="I97" s="230">
        <v>5</v>
      </c>
      <c r="J97" s="236" t="s">
        <v>741</v>
      </c>
      <c r="K97" s="230">
        <v>4</v>
      </c>
      <c r="L97" s="230"/>
      <c r="M97" s="232" t="s">
        <v>1360</v>
      </c>
      <c r="N97" s="227" t="s">
        <v>1361</v>
      </c>
      <c r="O97" s="230" t="s">
        <v>744</v>
      </c>
      <c r="P97" s="232" t="s">
        <v>1362</v>
      </c>
      <c r="Q97" s="227" t="s">
        <v>1340</v>
      </c>
      <c r="R97" s="227" t="s">
        <v>1358</v>
      </c>
      <c r="S97" s="233" t="s">
        <v>906</v>
      </c>
      <c r="T97" s="233" t="s">
        <v>1341</v>
      </c>
      <c r="U97" s="233" t="s">
        <v>1363</v>
      </c>
      <c r="V97" s="176" t="s">
        <v>1364</v>
      </c>
      <c r="W97" s="227"/>
      <c r="X97" s="227" t="s">
        <v>848</v>
      </c>
      <c r="Y97" s="79" t="s">
        <v>1343</v>
      </c>
      <c r="Z97" s="79" t="s">
        <v>1365</v>
      </c>
      <c r="AA97" s="85" t="s">
        <v>749</v>
      </c>
    </row>
    <row r="98" spans="1:27" s="33" customFormat="1" ht="90" customHeight="1" x14ac:dyDescent="0.35">
      <c r="A98" s="27"/>
      <c r="B98" s="227" t="s">
        <v>9</v>
      </c>
      <c r="C98" s="228" t="s">
        <v>1339</v>
      </c>
      <c r="D98" s="227" t="s">
        <v>24</v>
      </c>
      <c r="E98" s="229">
        <v>3</v>
      </c>
      <c r="F98" s="228" t="s">
        <v>942</v>
      </c>
      <c r="G98" s="227" t="s">
        <v>943</v>
      </c>
      <c r="H98" s="228" t="s">
        <v>1366</v>
      </c>
      <c r="I98" s="230">
        <v>6</v>
      </c>
      <c r="J98" s="236" t="s">
        <v>741</v>
      </c>
      <c r="K98" s="230">
        <v>10</v>
      </c>
      <c r="L98" s="230"/>
      <c r="M98" s="232" t="s">
        <v>1367</v>
      </c>
      <c r="N98" s="227" t="s">
        <v>1368</v>
      </c>
      <c r="O98" s="230" t="s">
        <v>744</v>
      </c>
      <c r="P98" s="227"/>
      <c r="Q98" s="227"/>
      <c r="R98" s="227"/>
      <c r="S98" s="233" t="s">
        <v>906</v>
      </c>
      <c r="T98" s="233" t="s">
        <v>1341</v>
      </c>
      <c r="U98" s="233" t="s">
        <v>1369</v>
      </c>
      <c r="V98" s="176" t="s">
        <v>1370</v>
      </c>
      <c r="W98" s="227"/>
      <c r="X98" s="227" t="s">
        <v>848</v>
      </c>
      <c r="Y98" s="79" t="s">
        <v>1343</v>
      </c>
      <c r="Z98" s="79" t="s">
        <v>1371</v>
      </c>
      <c r="AA98" s="85" t="s">
        <v>749</v>
      </c>
    </row>
    <row r="99" spans="1:27" s="33" customFormat="1" ht="90.75" customHeight="1" x14ac:dyDescent="0.35">
      <c r="A99" s="27"/>
      <c r="B99" s="227" t="s">
        <v>9</v>
      </c>
      <c r="C99" s="228" t="s">
        <v>1339</v>
      </c>
      <c r="D99" s="227" t="s">
        <v>24</v>
      </c>
      <c r="E99" s="229">
        <v>3</v>
      </c>
      <c r="F99" s="228" t="s">
        <v>764</v>
      </c>
      <c r="G99" s="227" t="s">
        <v>765</v>
      </c>
      <c r="H99" s="228" t="s">
        <v>766</v>
      </c>
      <c r="I99" s="230">
        <v>7</v>
      </c>
      <c r="J99" s="236" t="s">
        <v>741</v>
      </c>
      <c r="K99" s="230">
        <v>10</v>
      </c>
      <c r="L99" s="230"/>
      <c r="M99" s="232" t="s">
        <v>767</v>
      </c>
      <c r="N99" s="77" t="s">
        <v>823</v>
      </c>
      <c r="O99" s="230"/>
      <c r="P99" s="227"/>
      <c r="Q99" s="227"/>
      <c r="R99" s="227"/>
      <c r="S99" s="233" t="s">
        <v>906</v>
      </c>
      <c r="T99" s="233" t="s">
        <v>1341</v>
      </c>
      <c r="U99" s="233" t="s">
        <v>1082</v>
      </c>
      <c r="V99" s="176" t="s">
        <v>1372</v>
      </c>
      <c r="W99" s="227"/>
      <c r="X99" s="227" t="s">
        <v>749</v>
      </c>
      <c r="Y99" s="227" t="s">
        <v>749</v>
      </c>
      <c r="Z99" s="227" t="s">
        <v>749</v>
      </c>
      <c r="AA99" s="85" t="s">
        <v>749</v>
      </c>
    </row>
    <row r="100" spans="1:27" s="33" customFormat="1" ht="105.75" customHeight="1" x14ac:dyDescent="0.35">
      <c r="A100" s="27"/>
      <c r="B100" s="249" t="s">
        <v>9</v>
      </c>
      <c r="C100" s="228" t="s">
        <v>1339</v>
      </c>
      <c r="D100" s="227" t="s">
        <v>24</v>
      </c>
      <c r="E100" s="229">
        <v>3</v>
      </c>
      <c r="F100" s="250" t="s">
        <v>771</v>
      </c>
      <c r="G100" s="227" t="s">
        <v>772</v>
      </c>
      <c r="H100" s="228" t="s">
        <v>773</v>
      </c>
      <c r="I100" s="230">
        <v>8</v>
      </c>
      <c r="J100" s="236" t="s">
        <v>774</v>
      </c>
      <c r="K100" s="230">
        <v>23</v>
      </c>
      <c r="L100" s="230"/>
      <c r="M100" s="232" t="s">
        <v>775</v>
      </c>
      <c r="N100" s="74" t="s">
        <v>776</v>
      </c>
      <c r="O100" s="230"/>
      <c r="P100" s="227"/>
      <c r="Q100" s="227"/>
      <c r="R100" s="227"/>
      <c r="S100" s="233" t="s">
        <v>906</v>
      </c>
      <c r="T100" s="233" t="s">
        <v>1341</v>
      </c>
      <c r="U100" s="233" t="s">
        <v>826</v>
      </c>
      <c r="V100" s="176" t="s">
        <v>1373</v>
      </c>
      <c r="W100" s="227"/>
      <c r="X100" s="227" t="s">
        <v>749</v>
      </c>
      <c r="Y100" s="227" t="s">
        <v>749</v>
      </c>
      <c r="Z100" s="227" t="s">
        <v>749</v>
      </c>
      <c r="AA100" s="85" t="s">
        <v>749</v>
      </c>
    </row>
    <row r="101" spans="1:27" s="33" customFormat="1" ht="104.25" customHeight="1" x14ac:dyDescent="0.35">
      <c r="A101" s="27"/>
      <c r="B101" s="251" t="s">
        <v>9</v>
      </c>
      <c r="C101" s="228" t="s">
        <v>1374</v>
      </c>
      <c r="D101" s="227" t="s">
        <v>26</v>
      </c>
      <c r="E101" s="229">
        <v>2</v>
      </c>
      <c r="F101" s="228" t="s">
        <v>784</v>
      </c>
      <c r="G101" s="228" t="s">
        <v>785</v>
      </c>
      <c r="H101" s="228" t="s">
        <v>740</v>
      </c>
      <c r="I101" s="229">
        <v>1</v>
      </c>
      <c r="J101" s="231" t="s">
        <v>741</v>
      </c>
      <c r="K101" s="229">
        <v>10</v>
      </c>
      <c r="L101" s="229"/>
      <c r="M101" s="232" t="s">
        <v>786</v>
      </c>
      <c r="N101" s="227" t="s">
        <v>787</v>
      </c>
      <c r="O101" s="229" t="s">
        <v>744</v>
      </c>
      <c r="P101" s="227"/>
      <c r="Q101" s="227" t="s">
        <v>905</v>
      </c>
      <c r="R101" s="227" t="s">
        <v>784</v>
      </c>
      <c r="S101" s="233" t="s">
        <v>906</v>
      </c>
      <c r="T101" s="233" t="s">
        <v>1375</v>
      </c>
      <c r="U101" s="233" t="s">
        <v>1283</v>
      </c>
      <c r="V101" s="176" t="s">
        <v>1376</v>
      </c>
      <c r="W101" s="227"/>
      <c r="X101" s="227" t="s">
        <v>834</v>
      </c>
      <c r="Y101" s="227" t="s">
        <v>1377</v>
      </c>
      <c r="Z101" s="232" t="s">
        <v>1090</v>
      </c>
      <c r="AA101" s="230" t="s">
        <v>837</v>
      </c>
    </row>
    <row r="102" spans="1:27" s="33" customFormat="1" ht="84" customHeight="1" x14ac:dyDescent="0.35">
      <c r="A102" s="27"/>
      <c r="B102" s="227" t="s">
        <v>9</v>
      </c>
      <c r="C102" s="252" t="s">
        <v>1374</v>
      </c>
      <c r="D102" s="227" t="s">
        <v>26</v>
      </c>
      <c r="E102" s="253">
        <v>2</v>
      </c>
      <c r="F102" s="228" t="s">
        <v>1378</v>
      </c>
      <c r="G102" s="227" t="s">
        <v>1379</v>
      </c>
      <c r="H102" s="228" t="s">
        <v>1189</v>
      </c>
      <c r="I102" s="230">
        <v>2</v>
      </c>
      <c r="J102" s="236" t="s">
        <v>741</v>
      </c>
      <c r="K102" s="230">
        <v>4</v>
      </c>
      <c r="L102" s="230"/>
      <c r="M102" s="232" t="s">
        <v>1380</v>
      </c>
      <c r="N102" s="227" t="s">
        <v>1381</v>
      </c>
      <c r="O102" s="229" t="s">
        <v>744</v>
      </c>
      <c r="P102" s="232" t="s">
        <v>1382</v>
      </c>
      <c r="Q102" s="227" t="s">
        <v>905</v>
      </c>
      <c r="R102" s="227" t="s">
        <v>1383</v>
      </c>
      <c r="S102" s="233" t="s">
        <v>906</v>
      </c>
      <c r="T102" s="233" t="s">
        <v>1375</v>
      </c>
      <c r="U102" s="233" t="s">
        <v>1384</v>
      </c>
      <c r="V102" s="189" t="s">
        <v>1385</v>
      </c>
      <c r="W102" s="227"/>
      <c r="X102" s="227" t="s">
        <v>848</v>
      </c>
      <c r="Y102" s="227" t="s">
        <v>1386</v>
      </c>
      <c r="Z102" s="227" t="s">
        <v>1387</v>
      </c>
      <c r="AA102" s="230" t="s">
        <v>749</v>
      </c>
    </row>
    <row r="103" spans="1:27" s="33" customFormat="1" ht="96.75" customHeight="1" x14ac:dyDescent="0.35">
      <c r="A103" s="27"/>
      <c r="B103" s="228" t="s">
        <v>9</v>
      </c>
      <c r="C103" s="228" t="s">
        <v>1374</v>
      </c>
      <c r="D103" s="227" t="s">
        <v>26</v>
      </c>
      <c r="E103" s="229">
        <v>2</v>
      </c>
      <c r="F103" s="228" t="s">
        <v>1388</v>
      </c>
      <c r="G103" s="227" t="s">
        <v>1389</v>
      </c>
      <c r="H103" s="228" t="s">
        <v>1189</v>
      </c>
      <c r="I103" s="229">
        <v>3</v>
      </c>
      <c r="J103" s="236" t="s">
        <v>741</v>
      </c>
      <c r="K103" s="230">
        <v>4</v>
      </c>
      <c r="L103" s="230"/>
      <c r="M103" s="232" t="s">
        <v>1390</v>
      </c>
      <c r="N103" s="227" t="s">
        <v>1391</v>
      </c>
      <c r="O103" s="229" t="s">
        <v>744</v>
      </c>
      <c r="P103" s="232" t="s">
        <v>1392</v>
      </c>
      <c r="Q103" s="227" t="s">
        <v>905</v>
      </c>
      <c r="R103" s="227" t="s">
        <v>1393</v>
      </c>
      <c r="S103" s="233" t="s">
        <v>906</v>
      </c>
      <c r="T103" s="233" t="s">
        <v>1375</v>
      </c>
      <c r="U103" s="233" t="s">
        <v>1394</v>
      </c>
      <c r="V103" s="189" t="s">
        <v>1395</v>
      </c>
      <c r="W103" s="227"/>
      <c r="X103" s="227" t="s">
        <v>848</v>
      </c>
      <c r="Y103" s="227" t="s">
        <v>1386</v>
      </c>
      <c r="Z103" s="232" t="s">
        <v>1396</v>
      </c>
      <c r="AA103" s="230" t="s">
        <v>749</v>
      </c>
    </row>
    <row r="104" spans="1:27" s="33" customFormat="1" ht="93.75" customHeight="1" x14ac:dyDescent="0.35">
      <c r="A104" s="27"/>
      <c r="B104" s="228" t="s">
        <v>9</v>
      </c>
      <c r="C104" s="228" t="s">
        <v>1374</v>
      </c>
      <c r="D104" s="227" t="s">
        <v>26</v>
      </c>
      <c r="E104" s="229">
        <v>2</v>
      </c>
      <c r="F104" s="228" t="s">
        <v>764</v>
      </c>
      <c r="G104" s="228" t="s">
        <v>765</v>
      </c>
      <c r="H104" s="228" t="s">
        <v>766</v>
      </c>
      <c r="I104" s="229">
        <v>4</v>
      </c>
      <c r="J104" s="236" t="s">
        <v>741</v>
      </c>
      <c r="K104" s="230">
        <v>10</v>
      </c>
      <c r="L104" s="230"/>
      <c r="M104" s="232" t="s">
        <v>767</v>
      </c>
      <c r="N104" s="77" t="s">
        <v>823</v>
      </c>
      <c r="O104" s="230"/>
      <c r="P104" s="227"/>
      <c r="Q104" s="227"/>
      <c r="R104" s="227"/>
      <c r="S104" s="233" t="s">
        <v>906</v>
      </c>
      <c r="T104" s="233" t="s">
        <v>1375</v>
      </c>
      <c r="U104" s="233" t="s">
        <v>1082</v>
      </c>
      <c r="V104" s="189" t="s">
        <v>1397</v>
      </c>
      <c r="W104" s="227"/>
      <c r="X104" s="227" t="s">
        <v>749</v>
      </c>
      <c r="Y104" s="227" t="s">
        <v>749</v>
      </c>
      <c r="Z104" s="227" t="s">
        <v>749</v>
      </c>
      <c r="AA104" s="230" t="s">
        <v>749</v>
      </c>
    </row>
    <row r="105" spans="1:27" ht="93" customHeight="1" x14ac:dyDescent="0.35">
      <c r="B105" s="228" t="s">
        <v>9</v>
      </c>
      <c r="C105" s="228" t="s">
        <v>1374</v>
      </c>
      <c r="D105" s="227" t="s">
        <v>26</v>
      </c>
      <c r="E105" s="229">
        <v>2</v>
      </c>
      <c r="F105" s="228" t="s">
        <v>771</v>
      </c>
      <c r="G105" s="228" t="s">
        <v>772</v>
      </c>
      <c r="H105" s="228" t="s">
        <v>773</v>
      </c>
      <c r="I105" s="229">
        <v>5</v>
      </c>
      <c r="J105" s="236" t="s">
        <v>774</v>
      </c>
      <c r="K105" s="230">
        <v>23</v>
      </c>
      <c r="L105" s="230"/>
      <c r="M105" s="232" t="s">
        <v>775</v>
      </c>
      <c r="N105" s="74" t="s">
        <v>776</v>
      </c>
      <c r="O105" s="230"/>
      <c r="P105" s="227"/>
      <c r="Q105" s="227"/>
      <c r="R105" s="227"/>
      <c r="S105" s="233" t="s">
        <v>906</v>
      </c>
      <c r="T105" s="233" t="s">
        <v>1375</v>
      </c>
      <c r="U105" s="233" t="s">
        <v>826</v>
      </c>
      <c r="V105" s="189" t="s">
        <v>777</v>
      </c>
      <c r="W105" s="227"/>
      <c r="X105" s="227" t="s">
        <v>749</v>
      </c>
      <c r="Y105" s="227" t="s">
        <v>749</v>
      </c>
      <c r="Z105" s="227" t="s">
        <v>749</v>
      </c>
      <c r="AA105" s="230" t="s">
        <v>749</v>
      </c>
    </row>
    <row r="106" spans="1:27" ht="90.75" customHeight="1" x14ac:dyDescent="0.35">
      <c r="B106" s="227" t="s">
        <v>9</v>
      </c>
      <c r="C106" s="228" t="s">
        <v>1398</v>
      </c>
      <c r="D106" s="227" t="s">
        <v>28</v>
      </c>
      <c r="E106" s="229">
        <v>2</v>
      </c>
      <c r="F106" s="228" t="s">
        <v>784</v>
      </c>
      <c r="G106" s="227" t="s">
        <v>785</v>
      </c>
      <c r="H106" s="228" t="s">
        <v>740</v>
      </c>
      <c r="I106" s="230">
        <v>1</v>
      </c>
      <c r="J106" s="236" t="s">
        <v>741</v>
      </c>
      <c r="K106" s="230">
        <v>10</v>
      </c>
      <c r="L106" s="230"/>
      <c r="M106" s="232" t="s">
        <v>786</v>
      </c>
      <c r="N106" s="227" t="s">
        <v>787</v>
      </c>
      <c r="O106" s="230" t="s">
        <v>744</v>
      </c>
      <c r="P106" s="227"/>
      <c r="Q106" s="228" t="s">
        <v>1399</v>
      </c>
      <c r="R106" s="228" t="s">
        <v>784</v>
      </c>
      <c r="S106" s="233" t="s">
        <v>906</v>
      </c>
      <c r="T106" s="233" t="s">
        <v>1400</v>
      </c>
      <c r="U106" s="233" t="s">
        <v>1283</v>
      </c>
      <c r="V106" s="176" t="s">
        <v>1284</v>
      </c>
      <c r="W106" s="227"/>
      <c r="X106" s="228" t="s">
        <v>834</v>
      </c>
      <c r="Y106" s="233" t="s">
        <v>1401</v>
      </c>
      <c r="Z106" s="228" t="s">
        <v>930</v>
      </c>
      <c r="AA106" s="229" t="s">
        <v>749</v>
      </c>
    </row>
    <row r="107" spans="1:27" ht="88.5" customHeight="1" x14ac:dyDescent="0.35">
      <c r="B107" s="227" t="s">
        <v>9</v>
      </c>
      <c r="C107" s="228" t="s">
        <v>1398</v>
      </c>
      <c r="D107" s="227" t="s">
        <v>28</v>
      </c>
      <c r="E107" s="229">
        <v>2</v>
      </c>
      <c r="F107" s="228" t="s">
        <v>962</v>
      </c>
      <c r="G107" s="227" t="s">
        <v>963</v>
      </c>
      <c r="H107" s="228" t="s">
        <v>1189</v>
      </c>
      <c r="I107" s="230">
        <v>2</v>
      </c>
      <c r="J107" s="236" t="s">
        <v>741</v>
      </c>
      <c r="K107" s="230">
        <v>4</v>
      </c>
      <c r="L107" s="230"/>
      <c r="M107" s="232" t="s">
        <v>1402</v>
      </c>
      <c r="N107" s="227" t="s">
        <v>1403</v>
      </c>
      <c r="O107" s="230" t="s">
        <v>744</v>
      </c>
      <c r="P107" s="233" t="s">
        <v>883</v>
      </c>
      <c r="Q107" s="228" t="s">
        <v>1399</v>
      </c>
      <c r="R107" s="228" t="s">
        <v>1404</v>
      </c>
      <c r="S107" s="233" t="s">
        <v>906</v>
      </c>
      <c r="T107" s="233" t="s">
        <v>1405</v>
      </c>
      <c r="U107" s="233" t="s">
        <v>1406</v>
      </c>
      <c r="V107" s="176" t="s">
        <v>1312</v>
      </c>
      <c r="W107" s="227"/>
      <c r="X107" s="228" t="s">
        <v>834</v>
      </c>
      <c r="Y107" s="254" t="s">
        <v>1407</v>
      </c>
      <c r="Z107" s="233" t="s">
        <v>973</v>
      </c>
      <c r="AA107" s="229" t="s">
        <v>749</v>
      </c>
    </row>
    <row r="108" spans="1:27" ht="90.75" customHeight="1" x14ac:dyDescent="0.35">
      <c r="B108" s="227" t="s">
        <v>9</v>
      </c>
      <c r="C108" s="228" t="s">
        <v>1398</v>
      </c>
      <c r="D108" s="227" t="s">
        <v>28</v>
      </c>
      <c r="E108" s="229">
        <v>2</v>
      </c>
      <c r="F108" s="228" t="s">
        <v>942</v>
      </c>
      <c r="G108" s="227" t="s">
        <v>943</v>
      </c>
      <c r="H108" s="228" t="s">
        <v>1115</v>
      </c>
      <c r="I108" s="230">
        <v>3</v>
      </c>
      <c r="J108" s="231" t="s">
        <v>741</v>
      </c>
      <c r="K108" s="230">
        <v>10</v>
      </c>
      <c r="L108" s="230"/>
      <c r="M108" s="232" t="s">
        <v>1408</v>
      </c>
      <c r="N108" s="227" t="s">
        <v>1409</v>
      </c>
      <c r="O108" s="230"/>
      <c r="P108" s="227"/>
      <c r="Q108" s="228" t="s">
        <v>1399</v>
      </c>
      <c r="R108" s="228" t="s">
        <v>942</v>
      </c>
      <c r="S108" s="233" t="s">
        <v>906</v>
      </c>
      <c r="T108" s="233" t="s">
        <v>1400</v>
      </c>
      <c r="U108" s="233" t="s">
        <v>1410</v>
      </c>
      <c r="V108" s="176" t="s">
        <v>1411</v>
      </c>
      <c r="W108" s="227"/>
      <c r="X108" s="228" t="s">
        <v>848</v>
      </c>
      <c r="Y108" s="233" t="s">
        <v>1412</v>
      </c>
      <c r="Z108" s="228" t="s">
        <v>1413</v>
      </c>
      <c r="AA108" s="229" t="s">
        <v>749</v>
      </c>
    </row>
    <row r="109" spans="1:27" ht="93.75" customHeight="1" x14ac:dyDescent="0.35">
      <c r="B109" s="227" t="s">
        <v>9</v>
      </c>
      <c r="C109" s="228" t="s">
        <v>1398</v>
      </c>
      <c r="D109" s="227" t="s">
        <v>28</v>
      </c>
      <c r="E109" s="229">
        <v>2</v>
      </c>
      <c r="F109" s="228" t="s">
        <v>764</v>
      </c>
      <c r="G109" s="227" t="s">
        <v>765</v>
      </c>
      <c r="H109" s="228" t="s">
        <v>766</v>
      </c>
      <c r="I109" s="230">
        <v>4</v>
      </c>
      <c r="J109" s="236" t="s">
        <v>741</v>
      </c>
      <c r="K109" s="230">
        <v>10</v>
      </c>
      <c r="L109" s="230"/>
      <c r="M109" s="232" t="s">
        <v>767</v>
      </c>
      <c r="N109" s="77" t="s">
        <v>823</v>
      </c>
      <c r="O109" s="230" t="s">
        <v>744</v>
      </c>
      <c r="P109" s="227"/>
      <c r="Q109" s="228"/>
      <c r="R109" s="228"/>
      <c r="S109" s="233" t="s">
        <v>906</v>
      </c>
      <c r="T109" s="233" t="s">
        <v>1400</v>
      </c>
      <c r="U109" s="233" t="s">
        <v>1414</v>
      </c>
      <c r="V109" s="176" t="s">
        <v>1415</v>
      </c>
      <c r="W109" s="227"/>
      <c r="X109" s="228" t="s">
        <v>749</v>
      </c>
      <c r="Y109" s="228" t="s">
        <v>749</v>
      </c>
      <c r="Z109" s="228" t="s">
        <v>749</v>
      </c>
      <c r="AA109" s="229" t="s">
        <v>749</v>
      </c>
    </row>
    <row r="110" spans="1:27" ht="93" customHeight="1" x14ac:dyDescent="0.35">
      <c r="B110" s="227" t="s">
        <v>9</v>
      </c>
      <c r="C110" s="228" t="s">
        <v>1398</v>
      </c>
      <c r="D110" s="227" t="s">
        <v>28</v>
      </c>
      <c r="E110" s="229">
        <v>2</v>
      </c>
      <c r="F110" s="228" t="s">
        <v>771</v>
      </c>
      <c r="G110" s="227" t="s">
        <v>772</v>
      </c>
      <c r="H110" s="228" t="s">
        <v>773</v>
      </c>
      <c r="I110" s="230">
        <v>5</v>
      </c>
      <c r="J110" s="236" t="s">
        <v>774</v>
      </c>
      <c r="K110" s="230">
        <v>23</v>
      </c>
      <c r="L110" s="230"/>
      <c r="M110" s="232" t="s">
        <v>775</v>
      </c>
      <c r="N110" s="74" t="s">
        <v>776</v>
      </c>
      <c r="O110" s="230" t="s">
        <v>843</v>
      </c>
      <c r="P110" s="227"/>
      <c r="Q110" s="228"/>
      <c r="R110" s="228"/>
      <c r="S110" s="233" t="s">
        <v>906</v>
      </c>
      <c r="T110" s="233" t="s">
        <v>1400</v>
      </c>
      <c r="U110" s="233" t="s">
        <v>826</v>
      </c>
      <c r="V110" s="176" t="s">
        <v>777</v>
      </c>
      <c r="W110" s="227"/>
      <c r="X110" s="228" t="s">
        <v>749</v>
      </c>
      <c r="Y110" s="228" t="s">
        <v>749</v>
      </c>
      <c r="Z110" s="228" t="s">
        <v>749</v>
      </c>
      <c r="AA110" s="229" t="s">
        <v>749</v>
      </c>
    </row>
    <row r="111" spans="1:27" ht="85.5" customHeight="1" x14ac:dyDescent="0.35">
      <c r="B111" s="228" t="s">
        <v>30</v>
      </c>
      <c r="C111" s="228" t="s">
        <v>1298</v>
      </c>
      <c r="D111" s="227" t="s">
        <v>31</v>
      </c>
      <c r="E111" s="229">
        <v>1</v>
      </c>
      <c r="F111" s="228" t="s">
        <v>838</v>
      </c>
      <c r="G111" s="228" t="s">
        <v>839</v>
      </c>
      <c r="H111" s="228" t="s">
        <v>840</v>
      </c>
      <c r="I111" s="229">
        <v>2</v>
      </c>
      <c r="J111" s="231" t="s">
        <v>741</v>
      </c>
      <c r="K111" s="229"/>
      <c r="L111" s="230"/>
      <c r="M111" s="233" t="s">
        <v>1416</v>
      </c>
      <c r="N111" s="197" t="s">
        <v>1417</v>
      </c>
      <c r="O111" s="229" t="s">
        <v>843</v>
      </c>
      <c r="P111" s="228"/>
      <c r="Q111" s="228" t="s">
        <v>1418</v>
      </c>
      <c r="R111" s="228" t="s">
        <v>845</v>
      </c>
      <c r="S111" s="233" t="s">
        <v>1300</v>
      </c>
      <c r="T111" s="233" t="s">
        <v>1301</v>
      </c>
      <c r="U111" s="233" t="s">
        <v>1419</v>
      </c>
      <c r="V111" s="207" t="s">
        <v>1420</v>
      </c>
      <c r="W111" s="228"/>
      <c r="X111" s="228" t="s">
        <v>848</v>
      </c>
      <c r="Y111" s="228" t="s">
        <v>1421</v>
      </c>
      <c r="Z111" s="228" t="s">
        <v>1422</v>
      </c>
      <c r="AA111" s="229" t="s">
        <v>749</v>
      </c>
    </row>
    <row r="112" spans="1:27" ht="138.75" customHeight="1" x14ac:dyDescent="0.35">
      <c r="B112" s="228" t="s">
        <v>30</v>
      </c>
      <c r="C112" s="228" t="s">
        <v>1298</v>
      </c>
      <c r="D112" s="227" t="s">
        <v>31</v>
      </c>
      <c r="E112" s="229">
        <v>1</v>
      </c>
      <c r="F112" s="228" t="s">
        <v>1423</v>
      </c>
      <c r="G112" s="227" t="s">
        <v>1424</v>
      </c>
      <c r="H112" s="228" t="s">
        <v>840</v>
      </c>
      <c r="I112" s="230">
        <v>3</v>
      </c>
      <c r="J112" s="236" t="s">
        <v>741</v>
      </c>
      <c r="K112" s="230"/>
      <c r="L112" s="230"/>
      <c r="M112" s="233" t="s">
        <v>1425</v>
      </c>
      <c r="N112" s="199" t="s">
        <v>1426</v>
      </c>
      <c r="O112" s="230"/>
      <c r="P112" s="227"/>
      <c r="Q112" s="228" t="s">
        <v>1418</v>
      </c>
      <c r="R112" s="227" t="s">
        <v>1427</v>
      </c>
      <c r="S112" s="233" t="s">
        <v>1300</v>
      </c>
      <c r="T112" s="233" t="s">
        <v>1301</v>
      </c>
      <c r="U112" s="233" t="s">
        <v>1428</v>
      </c>
      <c r="V112" s="207" t="s">
        <v>1429</v>
      </c>
      <c r="W112" s="227"/>
      <c r="X112" s="228" t="s">
        <v>848</v>
      </c>
      <c r="Y112" s="228" t="s">
        <v>1421</v>
      </c>
      <c r="Z112" s="228" t="s">
        <v>1430</v>
      </c>
      <c r="AA112" s="229" t="s">
        <v>749</v>
      </c>
    </row>
    <row r="113" spans="2:27" ht="136.5" customHeight="1" x14ac:dyDescent="0.35">
      <c r="B113" s="228" t="s">
        <v>30</v>
      </c>
      <c r="C113" s="228" t="s">
        <v>1298</v>
      </c>
      <c r="D113" s="227" t="s">
        <v>31</v>
      </c>
      <c r="E113" s="229">
        <v>1</v>
      </c>
      <c r="F113" s="228" t="s">
        <v>1431</v>
      </c>
      <c r="G113" s="228" t="s">
        <v>1432</v>
      </c>
      <c r="H113" s="228" t="s">
        <v>840</v>
      </c>
      <c r="I113" s="229">
        <v>4</v>
      </c>
      <c r="J113" s="231" t="s">
        <v>741</v>
      </c>
      <c r="K113" s="229"/>
      <c r="L113" s="230"/>
      <c r="M113" s="233" t="s">
        <v>1433</v>
      </c>
      <c r="N113" s="197" t="s">
        <v>1434</v>
      </c>
      <c r="O113" s="229" t="s">
        <v>843</v>
      </c>
      <c r="P113" s="228"/>
      <c r="Q113" s="228" t="s">
        <v>1418</v>
      </c>
      <c r="R113" s="228" t="s">
        <v>1435</v>
      </c>
      <c r="S113" s="233" t="s">
        <v>1300</v>
      </c>
      <c r="T113" s="233" t="s">
        <v>1301</v>
      </c>
      <c r="U113" s="233" t="s">
        <v>1436</v>
      </c>
      <c r="V113" s="206" t="s">
        <v>1437</v>
      </c>
      <c r="W113" s="228"/>
      <c r="X113" s="228" t="s">
        <v>848</v>
      </c>
      <c r="Y113" s="228" t="s">
        <v>1421</v>
      </c>
      <c r="Z113" s="228" t="s">
        <v>1438</v>
      </c>
      <c r="AA113" s="229" t="s">
        <v>749</v>
      </c>
    </row>
    <row r="114" spans="2:27" ht="60" customHeight="1" x14ac:dyDescent="0.35">
      <c r="B114" s="228" t="s">
        <v>30</v>
      </c>
      <c r="C114" s="228" t="s">
        <v>1298</v>
      </c>
      <c r="D114" s="227" t="s">
        <v>31</v>
      </c>
      <c r="E114" s="229">
        <v>1</v>
      </c>
      <c r="F114" s="228" t="s">
        <v>1439</v>
      </c>
      <c r="G114" s="252" t="s">
        <v>1440</v>
      </c>
      <c r="H114" s="228" t="s">
        <v>870</v>
      </c>
      <c r="I114" s="229">
        <v>5</v>
      </c>
      <c r="J114" s="231" t="s">
        <v>741</v>
      </c>
      <c r="K114" s="229">
        <v>4</v>
      </c>
      <c r="L114" s="230"/>
      <c r="M114" s="233" t="s">
        <v>1441</v>
      </c>
      <c r="N114" s="228" t="s">
        <v>1442</v>
      </c>
      <c r="O114" s="229" t="s">
        <v>843</v>
      </c>
      <c r="P114" s="233" t="s">
        <v>1443</v>
      </c>
      <c r="Q114" s="228" t="s">
        <v>1299</v>
      </c>
      <c r="R114" s="228" t="s">
        <v>1444</v>
      </c>
      <c r="S114" s="233" t="s">
        <v>1445</v>
      </c>
      <c r="T114" s="233" t="s">
        <v>1446</v>
      </c>
      <c r="U114" s="233" t="s">
        <v>1447</v>
      </c>
      <c r="V114" s="206" t="s">
        <v>1448</v>
      </c>
      <c r="W114" s="228"/>
      <c r="X114" s="228" t="s">
        <v>834</v>
      </c>
      <c r="Y114" s="228" t="s">
        <v>1449</v>
      </c>
      <c r="Z114" s="228" t="s">
        <v>1450</v>
      </c>
      <c r="AA114" s="229" t="s">
        <v>837</v>
      </c>
    </row>
    <row r="115" spans="2:27" ht="60" customHeight="1" x14ac:dyDescent="0.35">
      <c r="B115" s="228" t="s">
        <v>30</v>
      </c>
      <c r="C115" s="228" t="s">
        <v>1298</v>
      </c>
      <c r="D115" s="227" t="s">
        <v>31</v>
      </c>
      <c r="E115" s="229">
        <v>1</v>
      </c>
      <c r="F115" s="228" t="s">
        <v>1451</v>
      </c>
      <c r="G115" s="228" t="s">
        <v>1452</v>
      </c>
      <c r="H115" s="228" t="s">
        <v>870</v>
      </c>
      <c r="I115" s="229">
        <v>6</v>
      </c>
      <c r="J115" s="231" t="s">
        <v>741</v>
      </c>
      <c r="K115" s="229">
        <v>4</v>
      </c>
      <c r="L115" s="230"/>
      <c r="M115" s="233" t="s">
        <v>1453</v>
      </c>
      <c r="N115" s="228" t="s">
        <v>1454</v>
      </c>
      <c r="O115" s="229" t="s">
        <v>843</v>
      </c>
      <c r="P115" s="233" t="s">
        <v>1455</v>
      </c>
      <c r="Q115" s="228" t="s">
        <v>1299</v>
      </c>
      <c r="R115" s="228" t="s">
        <v>1456</v>
      </c>
      <c r="S115" s="233" t="s">
        <v>1445</v>
      </c>
      <c r="T115" s="233" t="s">
        <v>1457</v>
      </c>
      <c r="U115" s="233" t="s">
        <v>1458</v>
      </c>
      <c r="V115" s="206" t="s">
        <v>1459</v>
      </c>
      <c r="W115" s="228"/>
      <c r="X115" s="228" t="s">
        <v>834</v>
      </c>
      <c r="Y115" s="228" t="s">
        <v>1460</v>
      </c>
      <c r="Z115" s="228" t="s">
        <v>1461</v>
      </c>
      <c r="AA115" s="229" t="s">
        <v>837</v>
      </c>
    </row>
    <row r="116" spans="2:27" ht="60" customHeight="1" x14ac:dyDescent="0.35">
      <c r="B116" s="228" t="s">
        <v>30</v>
      </c>
      <c r="C116" s="228" t="s">
        <v>1298</v>
      </c>
      <c r="D116" s="227" t="s">
        <v>31</v>
      </c>
      <c r="E116" s="229">
        <v>1</v>
      </c>
      <c r="F116" s="228" t="s">
        <v>1462</v>
      </c>
      <c r="G116" s="228" t="s">
        <v>1463</v>
      </c>
      <c r="H116" s="228" t="s">
        <v>870</v>
      </c>
      <c r="I116" s="229">
        <v>7</v>
      </c>
      <c r="J116" s="231" t="s">
        <v>741</v>
      </c>
      <c r="K116" s="229">
        <v>4</v>
      </c>
      <c r="L116" s="230"/>
      <c r="M116" s="233" t="s">
        <v>1464</v>
      </c>
      <c r="N116" s="199" t="s">
        <v>1465</v>
      </c>
      <c r="O116" s="229" t="s">
        <v>843</v>
      </c>
      <c r="P116" s="233" t="s">
        <v>1466</v>
      </c>
      <c r="Q116" s="233" t="s">
        <v>1467</v>
      </c>
      <c r="R116" s="233" t="s">
        <v>1468</v>
      </c>
      <c r="S116" s="233" t="s">
        <v>1445</v>
      </c>
      <c r="T116" s="233" t="s">
        <v>1469</v>
      </c>
      <c r="U116" s="233" t="s">
        <v>1470</v>
      </c>
      <c r="V116" s="206" t="s">
        <v>1471</v>
      </c>
      <c r="W116" s="228"/>
      <c r="X116" s="228" t="s">
        <v>834</v>
      </c>
      <c r="Y116" s="228" t="s">
        <v>1472</v>
      </c>
      <c r="Z116" s="228" t="s">
        <v>1473</v>
      </c>
      <c r="AA116" s="229" t="s">
        <v>837</v>
      </c>
    </row>
    <row r="117" spans="2:27" ht="60" customHeight="1" x14ac:dyDescent="0.35">
      <c r="B117" s="228" t="s">
        <v>30</v>
      </c>
      <c r="C117" s="228" t="s">
        <v>1298</v>
      </c>
      <c r="D117" s="227" t="s">
        <v>31</v>
      </c>
      <c r="E117" s="229">
        <v>1</v>
      </c>
      <c r="F117" s="228" t="s">
        <v>1474</v>
      </c>
      <c r="G117" s="228" t="s">
        <v>1475</v>
      </c>
      <c r="H117" s="228" t="s">
        <v>1476</v>
      </c>
      <c r="I117" s="229">
        <v>8</v>
      </c>
      <c r="J117" s="231" t="s">
        <v>741</v>
      </c>
      <c r="K117" s="229">
        <v>10</v>
      </c>
      <c r="L117" s="230"/>
      <c r="M117" s="233" t="s">
        <v>1477</v>
      </c>
      <c r="N117" s="228" t="s">
        <v>1478</v>
      </c>
      <c r="O117" s="229" t="s">
        <v>843</v>
      </c>
      <c r="P117" s="228"/>
      <c r="Q117" s="228" t="s">
        <v>1299</v>
      </c>
      <c r="R117" s="228" t="s">
        <v>1474</v>
      </c>
      <c r="S117" s="233" t="s">
        <v>1300</v>
      </c>
      <c r="T117" s="233" t="s">
        <v>1301</v>
      </c>
      <c r="U117" s="233" t="s">
        <v>1479</v>
      </c>
      <c r="V117" s="206" t="s">
        <v>1480</v>
      </c>
      <c r="W117" s="228"/>
      <c r="X117" s="228" t="s">
        <v>848</v>
      </c>
      <c r="Y117" s="228" t="s">
        <v>1421</v>
      </c>
      <c r="Z117" s="228" t="s">
        <v>1481</v>
      </c>
      <c r="AA117" s="229" t="s">
        <v>749</v>
      </c>
    </row>
    <row r="118" spans="2:27" ht="249" customHeight="1" x14ac:dyDescent="0.35">
      <c r="B118" s="228" t="s">
        <v>30</v>
      </c>
      <c r="C118" s="228" t="s">
        <v>1298</v>
      </c>
      <c r="D118" s="227" t="s">
        <v>31</v>
      </c>
      <c r="E118" s="229">
        <v>1</v>
      </c>
      <c r="F118" s="228" t="s">
        <v>1482</v>
      </c>
      <c r="G118" s="228" t="s">
        <v>1483</v>
      </c>
      <c r="H118" s="228" t="s">
        <v>1484</v>
      </c>
      <c r="I118" s="229">
        <v>9</v>
      </c>
      <c r="J118" s="231" t="s">
        <v>741</v>
      </c>
      <c r="K118" s="229">
        <v>4</v>
      </c>
      <c r="L118" s="230"/>
      <c r="M118" s="233" t="s">
        <v>1485</v>
      </c>
      <c r="N118" s="228" t="s">
        <v>1486</v>
      </c>
      <c r="O118" s="229" t="s">
        <v>843</v>
      </c>
      <c r="P118" s="228"/>
      <c r="Q118" s="228" t="s">
        <v>1299</v>
      </c>
      <c r="R118" s="228" t="s">
        <v>1487</v>
      </c>
      <c r="S118" s="233" t="s">
        <v>1488</v>
      </c>
      <c r="T118" s="208" t="s">
        <v>1489</v>
      </c>
      <c r="U118" s="233" t="s">
        <v>1196</v>
      </c>
      <c r="V118" s="206" t="s">
        <v>1490</v>
      </c>
      <c r="W118" s="228"/>
      <c r="X118" s="228" t="s">
        <v>848</v>
      </c>
      <c r="Y118" s="228" t="s">
        <v>1491</v>
      </c>
      <c r="Z118" s="228" t="s">
        <v>1492</v>
      </c>
      <c r="AA118" s="229" t="s">
        <v>749</v>
      </c>
    </row>
    <row r="119" spans="2:27" ht="237.75" customHeight="1" x14ac:dyDescent="0.35">
      <c r="B119" s="228" t="s">
        <v>30</v>
      </c>
      <c r="C119" s="228" t="s">
        <v>1298</v>
      </c>
      <c r="D119" s="227" t="s">
        <v>31</v>
      </c>
      <c r="E119" s="229">
        <v>1</v>
      </c>
      <c r="F119" s="228" t="s">
        <v>1493</v>
      </c>
      <c r="G119" s="228" t="s">
        <v>1494</v>
      </c>
      <c r="H119" s="228" t="s">
        <v>1484</v>
      </c>
      <c r="I119" s="229">
        <v>10</v>
      </c>
      <c r="J119" s="231" t="s">
        <v>741</v>
      </c>
      <c r="K119" s="229">
        <v>4</v>
      </c>
      <c r="L119" s="230"/>
      <c r="M119" s="233" t="s">
        <v>1495</v>
      </c>
      <c r="N119" s="228" t="s">
        <v>1496</v>
      </c>
      <c r="O119" s="229" t="s">
        <v>843</v>
      </c>
      <c r="P119" s="228"/>
      <c r="Q119" s="228" t="s">
        <v>1299</v>
      </c>
      <c r="R119" s="228" t="s">
        <v>1487</v>
      </c>
      <c r="S119" s="233" t="s">
        <v>1488</v>
      </c>
      <c r="T119" s="233" t="s">
        <v>1489</v>
      </c>
      <c r="U119" s="233" t="s">
        <v>1196</v>
      </c>
      <c r="V119" s="206" t="s">
        <v>1497</v>
      </c>
      <c r="W119" s="228"/>
      <c r="X119" s="228" t="s">
        <v>848</v>
      </c>
      <c r="Y119" s="228" t="s">
        <v>1491</v>
      </c>
      <c r="Z119" s="228" t="s">
        <v>1492</v>
      </c>
      <c r="AA119" s="229" t="s">
        <v>749</v>
      </c>
    </row>
    <row r="120" spans="2:27" ht="88.5" customHeight="1" x14ac:dyDescent="0.35">
      <c r="B120" s="228" t="s">
        <v>30</v>
      </c>
      <c r="C120" s="228" t="s">
        <v>1298</v>
      </c>
      <c r="D120" s="227" t="s">
        <v>31</v>
      </c>
      <c r="E120" s="229">
        <v>1</v>
      </c>
      <c r="F120" s="228" t="s">
        <v>1498</v>
      </c>
      <c r="G120" s="228" t="s">
        <v>1499</v>
      </c>
      <c r="H120" s="228" t="s">
        <v>902</v>
      </c>
      <c r="I120" s="229">
        <v>11</v>
      </c>
      <c r="J120" s="231" t="s">
        <v>741</v>
      </c>
      <c r="K120" s="229">
        <v>4</v>
      </c>
      <c r="L120" s="230"/>
      <c r="M120" s="233" t="s">
        <v>1500</v>
      </c>
      <c r="N120" s="228" t="s">
        <v>1501</v>
      </c>
      <c r="O120" s="229" t="s">
        <v>843</v>
      </c>
      <c r="P120" s="233" t="s">
        <v>1466</v>
      </c>
      <c r="Q120" s="233" t="s">
        <v>1502</v>
      </c>
      <c r="R120" s="233" t="s">
        <v>1503</v>
      </c>
      <c r="S120" s="233" t="s">
        <v>1445</v>
      </c>
      <c r="T120" s="233" t="s">
        <v>1469</v>
      </c>
      <c r="U120" s="233" t="s">
        <v>1470</v>
      </c>
      <c r="V120" s="206" t="s">
        <v>1471</v>
      </c>
      <c r="W120" s="228"/>
      <c r="X120" s="228" t="s">
        <v>834</v>
      </c>
      <c r="Y120" s="228" t="s">
        <v>1421</v>
      </c>
      <c r="Z120" s="228" t="s">
        <v>1504</v>
      </c>
      <c r="AA120" s="229" t="s">
        <v>837</v>
      </c>
    </row>
    <row r="121" spans="2:27" ht="247.5" customHeight="1" x14ac:dyDescent="0.35">
      <c r="B121" s="228" t="s">
        <v>30</v>
      </c>
      <c r="C121" s="228" t="s">
        <v>1298</v>
      </c>
      <c r="D121" s="227" t="s">
        <v>31</v>
      </c>
      <c r="E121" s="229">
        <v>1</v>
      </c>
      <c r="F121" s="228" t="s">
        <v>900</v>
      </c>
      <c r="G121" s="228" t="s">
        <v>901</v>
      </c>
      <c r="H121" s="228" t="s">
        <v>1505</v>
      </c>
      <c r="I121" s="229">
        <v>12</v>
      </c>
      <c r="J121" s="231" t="s">
        <v>741</v>
      </c>
      <c r="K121" s="229">
        <v>4</v>
      </c>
      <c r="L121" s="230"/>
      <c r="M121" s="233" t="s">
        <v>1506</v>
      </c>
      <c r="N121" s="197" t="s">
        <v>1507</v>
      </c>
      <c r="O121" s="229" t="s">
        <v>843</v>
      </c>
      <c r="P121" s="228"/>
      <c r="Q121" s="228" t="s">
        <v>905</v>
      </c>
      <c r="R121" s="228" t="s">
        <v>900</v>
      </c>
      <c r="S121" s="233" t="s">
        <v>1488</v>
      </c>
      <c r="T121" s="233" t="s">
        <v>1508</v>
      </c>
      <c r="U121" s="233" t="s">
        <v>1196</v>
      </c>
      <c r="V121" s="206" t="s">
        <v>1509</v>
      </c>
      <c r="W121" s="228"/>
      <c r="X121" s="228" t="s">
        <v>848</v>
      </c>
      <c r="Y121" s="228" t="s">
        <v>909</v>
      </c>
      <c r="Z121" s="233" t="s">
        <v>910</v>
      </c>
      <c r="AA121" s="229" t="s">
        <v>749</v>
      </c>
    </row>
    <row r="122" spans="2:27" ht="215.25" customHeight="1" x14ac:dyDescent="0.35">
      <c r="B122" s="228" t="s">
        <v>30</v>
      </c>
      <c r="C122" s="228" t="s">
        <v>1298</v>
      </c>
      <c r="D122" s="227" t="s">
        <v>31</v>
      </c>
      <c r="E122" s="229">
        <v>1</v>
      </c>
      <c r="F122" s="228" t="s">
        <v>911</v>
      </c>
      <c r="G122" s="228" t="s">
        <v>912</v>
      </c>
      <c r="H122" s="228" t="s">
        <v>1505</v>
      </c>
      <c r="I122" s="229">
        <v>13</v>
      </c>
      <c r="J122" s="231" t="s">
        <v>741</v>
      </c>
      <c r="K122" s="229">
        <v>4</v>
      </c>
      <c r="L122" s="228"/>
      <c r="M122" s="233" t="s">
        <v>1510</v>
      </c>
      <c r="N122" s="199" t="s">
        <v>1511</v>
      </c>
      <c r="O122" s="228" t="s">
        <v>843</v>
      </c>
      <c r="P122" s="228"/>
      <c r="Q122" s="228" t="s">
        <v>905</v>
      </c>
      <c r="R122" s="228" t="s">
        <v>911</v>
      </c>
      <c r="S122" s="233" t="s">
        <v>1488</v>
      </c>
      <c r="T122" s="233" t="s">
        <v>1512</v>
      </c>
      <c r="U122" s="233" t="s">
        <v>1196</v>
      </c>
      <c r="V122" s="206" t="s">
        <v>1513</v>
      </c>
      <c r="W122" s="228"/>
      <c r="X122" s="228" t="s">
        <v>848</v>
      </c>
      <c r="Y122" s="228" t="s">
        <v>917</v>
      </c>
      <c r="Z122" s="228" t="s">
        <v>918</v>
      </c>
      <c r="AA122" s="229" t="s">
        <v>749</v>
      </c>
    </row>
    <row r="123" spans="2:27" ht="95.25" customHeight="1" x14ac:dyDescent="0.35">
      <c r="B123" s="228" t="s">
        <v>30</v>
      </c>
      <c r="C123" s="228" t="s">
        <v>1298</v>
      </c>
      <c r="D123" s="227" t="s">
        <v>31</v>
      </c>
      <c r="E123" s="229">
        <v>1</v>
      </c>
      <c r="F123" s="228" t="s">
        <v>1514</v>
      </c>
      <c r="G123" s="228" t="s">
        <v>1515</v>
      </c>
      <c r="H123" s="228" t="s">
        <v>1516</v>
      </c>
      <c r="I123" s="229">
        <v>14</v>
      </c>
      <c r="J123" s="231" t="s">
        <v>741</v>
      </c>
      <c r="K123" s="229">
        <v>4</v>
      </c>
      <c r="L123" s="230"/>
      <c r="M123" s="233" t="s">
        <v>1517</v>
      </c>
      <c r="N123" s="228" t="s">
        <v>1518</v>
      </c>
      <c r="O123" s="229" t="s">
        <v>843</v>
      </c>
      <c r="P123" s="233"/>
      <c r="Q123" s="228"/>
      <c r="R123" s="228"/>
      <c r="S123" s="233" t="s">
        <v>1488</v>
      </c>
      <c r="T123" s="233" t="s">
        <v>1519</v>
      </c>
      <c r="U123" s="233" t="s">
        <v>1196</v>
      </c>
      <c r="V123" s="206" t="s">
        <v>1520</v>
      </c>
      <c r="W123" s="228" t="s">
        <v>63</v>
      </c>
      <c r="X123" s="228" t="s">
        <v>848</v>
      </c>
      <c r="Y123" s="228" t="s">
        <v>1386</v>
      </c>
      <c r="Z123" s="228" t="s">
        <v>1396</v>
      </c>
      <c r="AA123" s="229" t="s">
        <v>749</v>
      </c>
    </row>
    <row r="124" spans="2:27" ht="60" customHeight="1" x14ac:dyDescent="0.35">
      <c r="B124" s="228" t="s">
        <v>30</v>
      </c>
      <c r="C124" s="228" t="s">
        <v>1298</v>
      </c>
      <c r="D124" s="227" t="s">
        <v>31</v>
      </c>
      <c r="E124" s="229">
        <v>1</v>
      </c>
      <c r="F124" s="228" t="s">
        <v>1521</v>
      </c>
      <c r="G124" s="227" t="s">
        <v>1522</v>
      </c>
      <c r="H124" s="228" t="s">
        <v>1516</v>
      </c>
      <c r="I124" s="230">
        <v>15</v>
      </c>
      <c r="J124" s="75" t="s">
        <v>741</v>
      </c>
      <c r="K124" s="230">
        <v>4</v>
      </c>
      <c r="L124" s="230"/>
      <c r="M124" s="232" t="s">
        <v>1523</v>
      </c>
      <c r="N124" s="77" t="s">
        <v>1524</v>
      </c>
      <c r="O124" s="230"/>
      <c r="P124" s="227"/>
      <c r="Q124" s="228" t="s">
        <v>905</v>
      </c>
      <c r="R124" s="228" t="s">
        <v>1521</v>
      </c>
      <c r="S124" s="233" t="s">
        <v>1488</v>
      </c>
      <c r="T124" s="233" t="s">
        <v>1525</v>
      </c>
      <c r="U124" s="233" t="s">
        <v>1196</v>
      </c>
      <c r="V124" s="207" t="s">
        <v>1526</v>
      </c>
      <c r="W124" s="228"/>
      <c r="X124" s="228" t="s">
        <v>848</v>
      </c>
      <c r="Y124" s="227" t="s">
        <v>861</v>
      </c>
      <c r="Z124" s="227" t="s">
        <v>1527</v>
      </c>
      <c r="AA124" s="229" t="s">
        <v>749</v>
      </c>
    </row>
    <row r="125" spans="2:27" ht="60" customHeight="1" x14ac:dyDescent="0.35">
      <c r="B125" s="77" t="s">
        <v>30</v>
      </c>
      <c r="C125" s="77" t="s">
        <v>1298</v>
      </c>
      <c r="D125" s="79" t="s">
        <v>31</v>
      </c>
      <c r="E125" s="73">
        <v>1</v>
      </c>
      <c r="F125" s="228" t="s">
        <v>1528</v>
      </c>
      <c r="G125" s="227" t="s">
        <v>1529</v>
      </c>
      <c r="H125" s="77" t="s">
        <v>1530</v>
      </c>
      <c r="I125" s="230">
        <v>16</v>
      </c>
      <c r="J125" s="75" t="s">
        <v>741</v>
      </c>
      <c r="K125" s="230">
        <v>4</v>
      </c>
      <c r="L125" s="230"/>
      <c r="M125" s="232" t="s">
        <v>1531</v>
      </c>
      <c r="N125" s="255" t="s">
        <v>1532</v>
      </c>
      <c r="O125" s="230"/>
      <c r="P125" s="227"/>
      <c r="Q125" s="77" t="s">
        <v>905</v>
      </c>
      <c r="R125" s="228" t="s">
        <v>1533</v>
      </c>
      <c r="S125" s="233" t="s">
        <v>1534</v>
      </c>
      <c r="T125" s="233" t="s">
        <v>1535</v>
      </c>
      <c r="U125" s="233" t="s">
        <v>1536</v>
      </c>
      <c r="V125" s="207" t="s">
        <v>1537</v>
      </c>
      <c r="W125" s="228" t="s">
        <v>63</v>
      </c>
      <c r="X125" s="77" t="s">
        <v>848</v>
      </c>
      <c r="Y125" s="79" t="s">
        <v>861</v>
      </c>
      <c r="Z125" s="227" t="s">
        <v>1538</v>
      </c>
      <c r="AA125" s="73" t="s">
        <v>749</v>
      </c>
    </row>
    <row r="126" spans="2:27" ht="60" customHeight="1" x14ac:dyDescent="0.35">
      <c r="B126" s="228" t="s">
        <v>30</v>
      </c>
      <c r="C126" s="228" t="s">
        <v>1298</v>
      </c>
      <c r="D126" s="227" t="s">
        <v>31</v>
      </c>
      <c r="E126" s="229">
        <v>1</v>
      </c>
      <c r="F126" s="228" t="s">
        <v>1539</v>
      </c>
      <c r="G126" s="227" t="s">
        <v>1540</v>
      </c>
      <c r="H126" s="228" t="s">
        <v>1541</v>
      </c>
      <c r="I126" s="230">
        <v>17</v>
      </c>
      <c r="J126" s="236" t="s">
        <v>741</v>
      </c>
      <c r="K126" s="230">
        <v>4</v>
      </c>
      <c r="L126" s="230"/>
      <c r="M126" s="232" t="s">
        <v>1542</v>
      </c>
      <c r="N126" s="197" t="s">
        <v>1543</v>
      </c>
      <c r="O126" s="230"/>
      <c r="P126" s="232" t="s">
        <v>1544</v>
      </c>
      <c r="Q126" s="228" t="s">
        <v>1299</v>
      </c>
      <c r="R126" s="228" t="s">
        <v>1545</v>
      </c>
      <c r="S126" s="233" t="s">
        <v>1300</v>
      </c>
      <c r="T126" s="233" t="s">
        <v>1301</v>
      </c>
      <c r="U126" s="232" t="s">
        <v>1546</v>
      </c>
      <c r="V126" s="207" t="s">
        <v>1547</v>
      </c>
      <c r="W126" s="228"/>
      <c r="X126" s="228" t="s">
        <v>848</v>
      </c>
      <c r="Y126" s="228" t="s">
        <v>1421</v>
      </c>
      <c r="Z126" s="88" t="s">
        <v>1548</v>
      </c>
      <c r="AA126" s="229" t="s">
        <v>749</v>
      </c>
    </row>
    <row r="127" spans="2:27" ht="60" customHeight="1" x14ac:dyDescent="0.35">
      <c r="B127" s="228" t="s">
        <v>30</v>
      </c>
      <c r="C127" s="228" t="s">
        <v>1298</v>
      </c>
      <c r="D127" s="227" t="s">
        <v>31</v>
      </c>
      <c r="E127" s="229">
        <v>1</v>
      </c>
      <c r="F127" s="228" t="s">
        <v>1549</v>
      </c>
      <c r="G127" s="228" t="s">
        <v>1550</v>
      </c>
      <c r="H127" s="228" t="s">
        <v>1551</v>
      </c>
      <c r="I127" s="229">
        <v>18</v>
      </c>
      <c r="J127" s="231" t="s">
        <v>741</v>
      </c>
      <c r="K127" s="229">
        <v>4</v>
      </c>
      <c r="L127" s="230"/>
      <c r="M127" s="233" t="s">
        <v>1552</v>
      </c>
      <c r="N127" s="197" t="s">
        <v>1553</v>
      </c>
      <c r="O127" s="229" t="s">
        <v>843</v>
      </c>
      <c r="P127" s="233" t="s">
        <v>1554</v>
      </c>
      <c r="Q127" s="228" t="s">
        <v>1299</v>
      </c>
      <c r="R127" s="228" t="s">
        <v>1555</v>
      </c>
      <c r="S127" s="233" t="s">
        <v>1300</v>
      </c>
      <c r="T127" s="233" t="s">
        <v>1301</v>
      </c>
      <c r="U127" s="233" t="s">
        <v>1556</v>
      </c>
      <c r="V127" s="206" t="s">
        <v>1557</v>
      </c>
      <c r="W127" s="228"/>
      <c r="X127" s="228" t="s">
        <v>848</v>
      </c>
      <c r="Y127" s="228" t="s">
        <v>1421</v>
      </c>
      <c r="Z127" s="228" t="s">
        <v>1558</v>
      </c>
      <c r="AA127" s="229" t="s">
        <v>749</v>
      </c>
    </row>
    <row r="128" spans="2:27" ht="60" customHeight="1" x14ac:dyDescent="0.35">
      <c r="B128" s="228" t="s">
        <v>30</v>
      </c>
      <c r="C128" s="228" t="s">
        <v>1298</v>
      </c>
      <c r="D128" s="227" t="s">
        <v>31</v>
      </c>
      <c r="E128" s="229">
        <v>1</v>
      </c>
      <c r="F128" s="228" t="s">
        <v>1559</v>
      </c>
      <c r="G128" s="227" t="s">
        <v>1560</v>
      </c>
      <c r="H128" s="228" t="s">
        <v>1551</v>
      </c>
      <c r="I128" s="230">
        <v>19</v>
      </c>
      <c r="J128" s="231" t="s">
        <v>741</v>
      </c>
      <c r="K128" s="230"/>
      <c r="L128" s="230"/>
      <c r="M128" s="232" t="s">
        <v>1561</v>
      </c>
      <c r="N128" s="197" t="s">
        <v>1562</v>
      </c>
      <c r="O128" s="230"/>
      <c r="P128" s="227"/>
      <c r="Q128" s="228" t="s">
        <v>1299</v>
      </c>
      <c r="R128" s="228" t="s">
        <v>1559</v>
      </c>
      <c r="S128" s="233" t="s">
        <v>1534</v>
      </c>
      <c r="T128" s="233" t="s">
        <v>1563</v>
      </c>
      <c r="U128" s="232" t="s">
        <v>1564</v>
      </c>
      <c r="V128" s="207" t="s">
        <v>1565</v>
      </c>
      <c r="W128" s="228"/>
      <c r="X128" s="228" t="s">
        <v>848</v>
      </c>
      <c r="Y128" s="87" t="s">
        <v>1566</v>
      </c>
      <c r="Z128" s="87" t="s">
        <v>1567</v>
      </c>
      <c r="AA128" s="229" t="s">
        <v>749</v>
      </c>
    </row>
    <row r="129" spans="2:27" ht="60" customHeight="1" x14ac:dyDescent="0.35">
      <c r="B129" s="228" t="s">
        <v>30</v>
      </c>
      <c r="C129" s="228" t="s">
        <v>1298</v>
      </c>
      <c r="D129" s="227" t="s">
        <v>31</v>
      </c>
      <c r="E129" s="229">
        <v>1</v>
      </c>
      <c r="F129" s="228" t="s">
        <v>764</v>
      </c>
      <c r="G129" s="228" t="s">
        <v>765</v>
      </c>
      <c r="H129" s="228" t="s">
        <v>766</v>
      </c>
      <c r="I129" s="229">
        <v>20</v>
      </c>
      <c r="J129" s="231" t="s">
        <v>741</v>
      </c>
      <c r="K129" s="229">
        <v>10</v>
      </c>
      <c r="L129" s="230"/>
      <c r="M129" s="233" t="s">
        <v>767</v>
      </c>
      <c r="N129" s="77" t="s">
        <v>823</v>
      </c>
      <c r="O129" s="229" t="s">
        <v>744</v>
      </c>
      <c r="P129" s="228"/>
      <c r="Q129" s="228"/>
      <c r="R129" s="228"/>
      <c r="S129" s="233" t="s">
        <v>1300</v>
      </c>
      <c r="T129" s="233" t="s">
        <v>1301</v>
      </c>
      <c r="U129" s="233" t="s">
        <v>1568</v>
      </c>
      <c r="V129" s="207" t="s">
        <v>1569</v>
      </c>
      <c r="W129" s="228"/>
      <c r="X129" s="228" t="s">
        <v>749</v>
      </c>
      <c r="Y129" s="228" t="s">
        <v>749</v>
      </c>
      <c r="Z129" s="228" t="s">
        <v>749</v>
      </c>
      <c r="AA129" s="229" t="s">
        <v>749</v>
      </c>
    </row>
    <row r="130" spans="2:27" ht="60" customHeight="1" x14ac:dyDescent="0.35">
      <c r="B130" s="228" t="s">
        <v>30</v>
      </c>
      <c r="C130" s="228" t="s">
        <v>1298</v>
      </c>
      <c r="D130" s="227" t="s">
        <v>31</v>
      </c>
      <c r="E130" s="229">
        <v>1</v>
      </c>
      <c r="F130" s="228" t="s">
        <v>771</v>
      </c>
      <c r="G130" s="228" t="s">
        <v>772</v>
      </c>
      <c r="H130" s="228" t="s">
        <v>773</v>
      </c>
      <c r="I130" s="229">
        <v>21</v>
      </c>
      <c r="J130" s="231" t="s">
        <v>774</v>
      </c>
      <c r="K130" s="229">
        <v>23</v>
      </c>
      <c r="L130" s="230"/>
      <c r="M130" s="233" t="s">
        <v>775</v>
      </c>
      <c r="N130" s="74" t="s">
        <v>776</v>
      </c>
      <c r="O130" s="229" t="s">
        <v>843</v>
      </c>
      <c r="P130" s="228"/>
      <c r="Q130" s="228"/>
      <c r="R130" s="228"/>
      <c r="S130" s="233" t="s">
        <v>1300</v>
      </c>
      <c r="T130" s="233" t="s">
        <v>1301</v>
      </c>
      <c r="U130" s="233" t="s">
        <v>1570</v>
      </c>
      <c r="V130" s="207" t="s">
        <v>1571</v>
      </c>
      <c r="W130" s="228"/>
      <c r="X130" s="228" t="s">
        <v>749</v>
      </c>
      <c r="Y130" s="228" t="s">
        <v>749</v>
      </c>
      <c r="Z130" s="228" t="s">
        <v>749</v>
      </c>
      <c r="AA130" s="229" t="s">
        <v>749</v>
      </c>
    </row>
    <row r="131" spans="2:27" ht="60" customHeight="1" x14ac:dyDescent="0.35">
      <c r="B131" s="74" t="s">
        <v>30</v>
      </c>
      <c r="C131" s="74" t="s">
        <v>1572</v>
      </c>
      <c r="D131" s="74" t="s">
        <v>33</v>
      </c>
      <c r="E131" s="230">
        <v>2</v>
      </c>
      <c r="F131" s="228" t="s">
        <v>784</v>
      </c>
      <c r="G131" s="227" t="s">
        <v>785</v>
      </c>
      <c r="H131" s="228" t="s">
        <v>740</v>
      </c>
      <c r="I131" s="230">
        <v>1</v>
      </c>
      <c r="J131" s="236" t="s">
        <v>741</v>
      </c>
      <c r="K131" s="230">
        <v>10</v>
      </c>
      <c r="L131" s="230"/>
      <c r="M131" s="232" t="s">
        <v>786</v>
      </c>
      <c r="N131" s="227" t="s">
        <v>787</v>
      </c>
      <c r="O131" s="230" t="s">
        <v>744</v>
      </c>
      <c r="P131" s="227"/>
      <c r="Q131" s="227" t="s">
        <v>924</v>
      </c>
      <c r="R131" s="227" t="s">
        <v>784</v>
      </c>
      <c r="S131" s="232" t="s">
        <v>1534</v>
      </c>
      <c r="T131" s="209" t="s">
        <v>1573</v>
      </c>
      <c r="U131" s="159" t="s">
        <v>1574</v>
      </c>
      <c r="V131" s="205" t="s">
        <v>1575</v>
      </c>
      <c r="W131" s="79"/>
      <c r="X131" s="79" t="s">
        <v>834</v>
      </c>
      <c r="Y131" s="79" t="s">
        <v>929</v>
      </c>
      <c r="Z131" s="79" t="s">
        <v>930</v>
      </c>
      <c r="AA131" s="85" t="s">
        <v>837</v>
      </c>
    </row>
    <row r="132" spans="2:27" ht="99.75" customHeight="1" x14ac:dyDescent="0.35">
      <c r="B132" s="74" t="s">
        <v>30</v>
      </c>
      <c r="C132" s="74" t="s">
        <v>1572</v>
      </c>
      <c r="D132" s="74" t="s">
        <v>33</v>
      </c>
      <c r="E132" s="230">
        <v>2</v>
      </c>
      <c r="F132" s="228" t="s">
        <v>931</v>
      </c>
      <c r="G132" s="227" t="s">
        <v>932</v>
      </c>
      <c r="H132" s="228" t="s">
        <v>933</v>
      </c>
      <c r="I132" s="230">
        <v>2</v>
      </c>
      <c r="J132" s="236" t="s">
        <v>934</v>
      </c>
      <c r="K132" s="230"/>
      <c r="L132" s="230"/>
      <c r="M132" s="232" t="s">
        <v>935</v>
      </c>
      <c r="N132" s="227" t="s">
        <v>936</v>
      </c>
      <c r="O132" s="230" t="s">
        <v>744</v>
      </c>
      <c r="P132" s="227"/>
      <c r="Q132" s="227" t="s">
        <v>924</v>
      </c>
      <c r="R132" s="227" t="s">
        <v>937</v>
      </c>
      <c r="S132" s="232" t="s">
        <v>1534</v>
      </c>
      <c r="T132" s="159" t="s">
        <v>1573</v>
      </c>
      <c r="U132" s="159" t="s">
        <v>1576</v>
      </c>
      <c r="V132" s="205" t="s">
        <v>1577</v>
      </c>
      <c r="W132" s="79"/>
      <c r="X132" s="79" t="s">
        <v>848</v>
      </c>
      <c r="Y132" s="79" t="s">
        <v>940</v>
      </c>
      <c r="Z132" s="79" t="s">
        <v>941</v>
      </c>
      <c r="AA132" s="85" t="s">
        <v>749</v>
      </c>
    </row>
    <row r="133" spans="2:27" ht="99.75" customHeight="1" x14ac:dyDescent="0.35">
      <c r="B133" s="74" t="s">
        <v>30</v>
      </c>
      <c r="C133" s="74" t="s">
        <v>1572</v>
      </c>
      <c r="D133" s="74" t="s">
        <v>33</v>
      </c>
      <c r="E133" s="78">
        <v>2</v>
      </c>
      <c r="F133" s="228" t="s">
        <v>942</v>
      </c>
      <c r="G133" s="227" t="s">
        <v>943</v>
      </c>
      <c r="H133" s="228" t="s">
        <v>944</v>
      </c>
      <c r="I133" s="230">
        <v>3</v>
      </c>
      <c r="J133" s="236" t="s">
        <v>741</v>
      </c>
      <c r="K133" s="230">
        <v>10</v>
      </c>
      <c r="L133" s="230"/>
      <c r="M133" s="233" t="s">
        <v>945</v>
      </c>
      <c r="N133" s="227" t="s">
        <v>946</v>
      </c>
      <c r="O133" s="230" t="s">
        <v>744</v>
      </c>
      <c r="P133" s="227"/>
      <c r="Q133" s="227" t="s">
        <v>924</v>
      </c>
      <c r="R133" s="227" t="s">
        <v>947</v>
      </c>
      <c r="S133" s="232" t="s">
        <v>1534</v>
      </c>
      <c r="T133" s="159" t="s">
        <v>1573</v>
      </c>
      <c r="U133" s="176" t="s">
        <v>1578</v>
      </c>
      <c r="V133" s="204" t="s">
        <v>1579</v>
      </c>
      <c r="W133" s="74"/>
      <c r="X133" s="79" t="s">
        <v>848</v>
      </c>
      <c r="Y133" s="74" t="s">
        <v>940</v>
      </c>
      <c r="Z133" s="74" t="s">
        <v>950</v>
      </c>
      <c r="AA133" s="85" t="s">
        <v>749</v>
      </c>
    </row>
    <row r="134" spans="2:27" ht="99.75" customHeight="1" x14ac:dyDescent="0.35">
      <c r="B134" s="228" t="s">
        <v>30</v>
      </c>
      <c r="C134" s="228" t="s">
        <v>1572</v>
      </c>
      <c r="D134" s="74" t="s">
        <v>33</v>
      </c>
      <c r="E134" s="229">
        <v>2</v>
      </c>
      <c r="F134" s="228" t="s">
        <v>951</v>
      </c>
      <c r="G134" s="227" t="s">
        <v>952</v>
      </c>
      <c r="H134" s="228" t="s">
        <v>953</v>
      </c>
      <c r="I134" s="230">
        <v>4</v>
      </c>
      <c r="J134" s="236" t="s">
        <v>741</v>
      </c>
      <c r="K134" s="230">
        <v>4</v>
      </c>
      <c r="L134" s="230"/>
      <c r="M134" s="232" t="s">
        <v>954</v>
      </c>
      <c r="N134" s="227" t="s">
        <v>955</v>
      </c>
      <c r="O134" s="230" t="s">
        <v>744</v>
      </c>
      <c r="P134" s="232" t="s">
        <v>956</v>
      </c>
      <c r="Q134" s="227" t="s">
        <v>924</v>
      </c>
      <c r="R134" s="227" t="s">
        <v>957</v>
      </c>
      <c r="S134" s="232" t="s">
        <v>1534</v>
      </c>
      <c r="T134" s="159" t="s">
        <v>1573</v>
      </c>
      <c r="U134" s="176" t="s">
        <v>1580</v>
      </c>
      <c r="V134" s="204" t="s">
        <v>1581</v>
      </c>
      <c r="W134" s="228"/>
      <c r="X134" s="79" t="s">
        <v>848</v>
      </c>
      <c r="Y134" s="228" t="s">
        <v>960</v>
      </c>
      <c r="Z134" s="228" t="s">
        <v>961</v>
      </c>
      <c r="AA134" s="85" t="s">
        <v>749</v>
      </c>
    </row>
    <row r="135" spans="2:27" ht="99.75" customHeight="1" x14ac:dyDescent="0.35">
      <c r="B135" s="228" t="s">
        <v>30</v>
      </c>
      <c r="C135" s="228" t="s">
        <v>1572</v>
      </c>
      <c r="D135" s="74" t="s">
        <v>33</v>
      </c>
      <c r="E135" s="229">
        <v>2</v>
      </c>
      <c r="F135" s="228" t="s">
        <v>962</v>
      </c>
      <c r="G135" s="227" t="s">
        <v>963</v>
      </c>
      <c r="H135" s="228" t="s">
        <v>964</v>
      </c>
      <c r="I135" s="230">
        <v>5</v>
      </c>
      <c r="J135" s="236" t="s">
        <v>741</v>
      </c>
      <c r="K135" s="230">
        <v>4</v>
      </c>
      <c r="L135" s="230"/>
      <c r="M135" s="232" t="s">
        <v>965</v>
      </c>
      <c r="N135" s="227" t="s">
        <v>966</v>
      </c>
      <c r="O135" s="230" t="s">
        <v>843</v>
      </c>
      <c r="P135" s="232" t="s">
        <v>967</v>
      </c>
      <c r="Q135" s="227" t="s">
        <v>924</v>
      </c>
      <c r="R135" s="227" t="s">
        <v>962</v>
      </c>
      <c r="S135" s="232" t="s">
        <v>1582</v>
      </c>
      <c r="T135" s="159" t="s">
        <v>1583</v>
      </c>
      <c r="U135" s="159" t="s">
        <v>1406</v>
      </c>
      <c r="V135" s="204" t="s">
        <v>1584</v>
      </c>
      <c r="W135" s="228"/>
      <c r="X135" s="79" t="s">
        <v>834</v>
      </c>
      <c r="Y135" s="228" t="s">
        <v>972</v>
      </c>
      <c r="Z135" s="228" t="s">
        <v>973</v>
      </c>
      <c r="AA135" s="229" t="s">
        <v>837</v>
      </c>
    </row>
    <row r="136" spans="2:27" ht="99.75" customHeight="1" x14ac:dyDescent="0.35">
      <c r="B136" s="228" t="s">
        <v>30</v>
      </c>
      <c r="C136" s="228" t="s">
        <v>1572</v>
      </c>
      <c r="D136" s="74" t="s">
        <v>33</v>
      </c>
      <c r="E136" s="229">
        <v>2</v>
      </c>
      <c r="F136" s="228" t="s">
        <v>974</v>
      </c>
      <c r="G136" s="227" t="s">
        <v>975</v>
      </c>
      <c r="H136" s="228" t="s">
        <v>964</v>
      </c>
      <c r="I136" s="230">
        <v>6</v>
      </c>
      <c r="J136" s="236" t="s">
        <v>741</v>
      </c>
      <c r="K136" s="230">
        <v>6</v>
      </c>
      <c r="L136" s="230"/>
      <c r="M136" s="232" t="s">
        <v>976</v>
      </c>
      <c r="N136" s="227" t="s">
        <v>977</v>
      </c>
      <c r="O136" s="230"/>
      <c r="P136" s="232"/>
      <c r="Q136" s="227"/>
      <c r="R136" s="227"/>
      <c r="S136" s="232" t="s">
        <v>1534</v>
      </c>
      <c r="T136" s="159" t="s">
        <v>1573</v>
      </c>
      <c r="U136" s="232" t="s">
        <v>1585</v>
      </c>
      <c r="V136" s="205" t="s">
        <v>1586</v>
      </c>
      <c r="W136" s="228"/>
      <c r="X136" s="79" t="s">
        <v>848</v>
      </c>
      <c r="Y136" s="228" t="s">
        <v>980</v>
      </c>
      <c r="Z136" s="233" t="s">
        <v>981</v>
      </c>
      <c r="AA136" s="230" t="s">
        <v>982</v>
      </c>
    </row>
    <row r="137" spans="2:27" ht="186" customHeight="1" x14ac:dyDescent="0.35">
      <c r="B137" s="238" t="s">
        <v>30</v>
      </c>
      <c r="C137" s="238" t="s">
        <v>1572</v>
      </c>
      <c r="D137" s="182" t="s">
        <v>33</v>
      </c>
      <c r="E137" s="239">
        <v>2</v>
      </c>
      <c r="F137" s="238" t="s">
        <v>983</v>
      </c>
      <c r="G137" s="240" t="s">
        <v>984</v>
      </c>
      <c r="H137" s="238" t="s">
        <v>964</v>
      </c>
      <c r="I137" s="241">
        <v>7</v>
      </c>
      <c r="J137" s="242" t="s">
        <v>741</v>
      </c>
      <c r="K137" s="241">
        <v>6</v>
      </c>
      <c r="L137" s="241"/>
      <c r="M137" s="243" t="s">
        <v>985</v>
      </c>
      <c r="N137" s="240" t="s">
        <v>986</v>
      </c>
      <c r="O137" s="241"/>
      <c r="P137" s="243" t="s">
        <v>987</v>
      </c>
      <c r="Q137" s="240"/>
      <c r="R137" s="240"/>
      <c r="S137" s="183" t="s">
        <v>1582</v>
      </c>
      <c r="T137" s="210" t="s">
        <v>1587</v>
      </c>
      <c r="U137" s="183" t="s">
        <v>1588</v>
      </c>
      <c r="V137" s="217" t="s">
        <v>1589</v>
      </c>
      <c r="W137" s="238"/>
      <c r="X137" s="181" t="s">
        <v>848</v>
      </c>
      <c r="Y137" s="238" t="s">
        <v>980</v>
      </c>
      <c r="Z137" s="245" t="s">
        <v>991</v>
      </c>
      <c r="AA137" s="241" t="s">
        <v>982</v>
      </c>
    </row>
    <row r="138" spans="2:27" ht="99.75" customHeight="1" x14ac:dyDescent="0.35">
      <c r="B138" s="238" t="s">
        <v>30</v>
      </c>
      <c r="C138" s="238" t="s">
        <v>1572</v>
      </c>
      <c r="D138" s="182" t="s">
        <v>33</v>
      </c>
      <c r="E138" s="239">
        <v>2</v>
      </c>
      <c r="F138" s="238" t="s">
        <v>992</v>
      </c>
      <c r="G138" s="240" t="s">
        <v>993</v>
      </c>
      <c r="H138" s="238" t="s">
        <v>964</v>
      </c>
      <c r="I138" s="241">
        <v>8</v>
      </c>
      <c r="J138" s="242" t="s">
        <v>741</v>
      </c>
      <c r="K138" s="241">
        <v>6</v>
      </c>
      <c r="L138" s="241"/>
      <c r="M138" s="243" t="s">
        <v>994</v>
      </c>
      <c r="N138" s="240" t="s">
        <v>995</v>
      </c>
      <c r="O138" s="241" t="s">
        <v>843</v>
      </c>
      <c r="P138" s="243" t="s">
        <v>996</v>
      </c>
      <c r="Q138" s="240" t="s">
        <v>924</v>
      </c>
      <c r="R138" s="240" t="s">
        <v>997</v>
      </c>
      <c r="S138" s="243" t="s">
        <v>1582</v>
      </c>
      <c r="T138" s="210" t="s">
        <v>1587</v>
      </c>
      <c r="U138" s="243" t="s">
        <v>1590</v>
      </c>
      <c r="V138" s="211" t="s">
        <v>1591</v>
      </c>
      <c r="W138" s="238"/>
      <c r="X138" s="181" t="s">
        <v>848</v>
      </c>
      <c r="Y138" s="238" t="s">
        <v>980</v>
      </c>
      <c r="Z138" s="245" t="s">
        <v>999</v>
      </c>
      <c r="AA138" s="241" t="s">
        <v>982</v>
      </c>
    </row>
    <row r="139" spans="2:27" ht="99.75" customHeight="1" x14ac:dyDescent="0.35">
      <c r="B139" s="238" t="s">
        <v>30</v>
      </c>
      <c r="C139" s="238" t="s">
        <v>1572</v>
      </c>
      <c r="D139" s="182" t="s">
        <v>33</v>
      </c>
      <c r="E139" s="239">
        <v>2</v>
      </c>
      <c r="F139" s="238" t="s">
        <v>1000</v>
      </c>
      <c r="G139" s="240" t="s">
        <v>1001</v>
      </c>
      <c r="H139" s="238" t="s">
        <v>964</v>
      </c>
      <c r="I139" s="241">
        <v>9</v>
      </c>
      <c r="J139" s="242" t="s">
        <v>741</v>
      </c>
      <c r="K139" s="241">
        <v>6</v>
      </c>
      <c r="L139" s="241"/>
      <c r="M139" s="243" t="s">
        <v>1002</v>
      </c>
      <c r="N139" s="240" t="s">
        <v>1592</v>
      </c>
      <c r="O139" s="241"/>
      <c r="P139" s="243" t="s">
        <v>1004</v>
      </c>
      <c r="Q139" s="240"/>
      <c r="R139" s="240"/>
      <c r="S139" s="243" t="s">
        <v>1582</v>
      </c>
      <c r="T139" s="210" t="s">
        <v>1587</v>
      </c>
      <c r="U139" s="243" t="s">
        <v>1593</v>
      </c>
      <c r="V139" s="211" t="s">
        <v>1594</v>
      </c>
      <c r="W139" s="238"/>
      <c r="X139" s="181" t="s">
        <v>848</v>
      </c>
      <c r="Y139" s="238" t="s">
        <v>980</v>
      </c>
      <c r="Z139" s="245" t="s">
        <v>1006</v>
      </c>
      <c r="AA139" s="241" t="s">
        <v>982</v>
      </c>
    </row>
    <row r="140" spans="2:27" ht="99.75" customHeight="1" x14ac:dyDescent="0.35">
      <c r="B140" s="238" t="s">
        <v>30</v>
      </c>
      <c r="C140" s="238" t="s">
        <v>1572</v>
      </c>
      <c r="D140" s="182" t="s">
        <v>33</v>
      </c>
      <c r="E140" s="239">
        <v>2</v>
      </c>
      <c r="F140" s="238" t="s">
        <v>1007</v>
      </c>
      <c r="G140" s="240" t="s">
        <v>1008</v>
      </c>
      <c r="H140" s="238" t="s">
        <v>964</v>
      </c>
      <c r="I140" s="241">
        <v>10</v>
      </c>
      <c r="J140" s="242" t="s">
        <v>741</v>
      </c>
      <c r="K140" s="241">
        <v>6</v>
      </c>
      <c r="L140" s="241"/>
      <c r="M140" s="243" t="s">
        <v>1009</v>
      </c>
      <c r="N140" s="240" t="s">
        <v>1010</v>
      </c>
      <c r="O140" s="241"/>
      <c r="P140" s="243" t="s">
        <v>1011</v>
      </c>
      <c r="Q140" s="240"/>
      <c r="R140" s="240"/>
      <c r="S140" s="243" t="s">
        <v>1595</v>
      </c>
      <c r="T140" s="210" t="s">
        <v>1596</v>
      </c>
      <c r="U140" s="243" t="s">
        <v>1597</v>
      </c>
      <c r="V140" s="211" t="s">
        <v>1598</v>
      </c>
      <c r="W140" s="238"/>
      <c r="X140" s="181" t="s">
        <v>834</v>
      </c>
      <c r="Y140" s="238" t="s">
        <v>1015</v>
      </c>
      <c r="Z140" s="245" t="s">
        <v>1016</v>
      </c>
      <c r="AA140" s="247" t="s">
        <v>982</v>
      </c>
    </row>
    <row r="141" spans="2:27" ht="99.75" customHeight="1" x14ac:dyDescent="0.35">
      <c r="B141" s="228" t="s">
        <v>30</v>
      </c>
      <c r="C141" s="228" t="s">
        <v>1572</v>
      </c>
      <c r="D141" s="74" t="s">
        <v>33</v>
      </c>
      <c r="E141" s="229">
        <v>2</v>
      </c>
      <c r="F141" s="228" t="s">
        <v>1017</v>
      </c>
      <c r="G141" s="227" t="s">
        <v>1018</v>
      </c>
      <c r="H141" s="228" t="s">
        <v>1019</v>
      </c>
      <c r="I141" s="230">
        <v>11</v>
      </c>
      <c r="J141" s="236" t="s">
        <v>741</v>
      </c>
      <c r="K141" s="230">
        <v>7</v>
      </c>
      <c r="L141" s="230"/>
      <c r="M141" s="232" t="s">
        <v>1020</v>
      </c>
      <c r="N141" s="227" t="s">
        <v>1599</v>
      </c>
      <c r="O141" s="230" t="s">
        <v>843</v>
      </c>
      <c r="P141" s="232" t="s">
        <v>1022</v>
      </c>
      <c r="Q141" s="227" t="s">
        <v>924</v>
      </c>
      <c r="R141" s="227" t="s">
        <v>1023</v>
      </c>
      <c r="S141" s="232" t="s">
        <v>1534</v>
      </c>
      <c r="T141" s="159" t="s">
        <v>1573</v>
      </c>
      <c r="U141" s="232" t="s">
        <v>1585</v>
      </c>
      <c r="V141" s="205" t="s">
        <v>1600</v>
      </c>
      <c r="W141" s="228"/>
      <c r="X141" s="79" t="s">
        <v>848</v>
      </c>
      <c r="Y141" s="228" t="s">
        <v>980</v>
      </c>
      <c r="Z141" s="233" t="s">
        <v>1025</v>
      </c>
      <c r="AA141" s="230" t="s">
        <v>982</v>
      </c>
    </row>
    <row r="142" spans="2:27" ht="240.75" customHeight="1" x14ac:dyDescent="0.35">
      <c r="B142" s="228" t="s">
        <v>30</v>
      </c>
      <c r="C142" s="228" t="s">
        <v>1572</v>
      </c>
      <c r="D142" s="74" t="s">
        <v>33</v>
      </c>
      <c r="E142" s="229">
        <v>2</v>
      </c>
      <c r="F142" s="228" t="s">
        <v>1026</v>
      </c>
      <c r="G142" s="227" t="s">
        <v>1027</v>
      </c>
      <c r="H142" s="228" t="s">
        <v>953</v>
      </c>
      <c r="I142" s="230">
        <v>12</v>
      </c>
      <c r="J142" s="236" t="s">
        <v>741</v>
      </c>
      <c r="K142" s="230">
        <v>4</v>
      </c>
      <c r="L142" s="230"/>
      <c r="M142" s="232" t="s">
        <v>1028</v>
      </c>
      <c r="N142" s="227" t="s">
        <v>1029</v>
      </c>
      <c r="O142" s="230" t="s">
        <v>843</v>
      </c>
      <c r="P142" s="232" t="s">
        <v>1030</v>
      </c>
      <c r="Q142" s="227" t="s">
        <v>924</v>
      </c>
      <c r="R142" s="227" t="s">
        <v>1031</v>
      </c>
      <c r="S142" s="232" t="s">
        <v>1534</v>
      </c>
      <c r="T142" s="159" t="s">
        <v>1573</v>
      </c>
      <c r="U142" s="232" t="s">
        <v>1585</v>
      </c>
      <c r="V142" s="204" t="s">
        <v>1601</v>
      </c>
      <c r="W142" s="228"/>
      <c r="X142" s="79" t="s">
        <v>848</v>
      </c>
      <c r="Y142" s="228" t="s">
        <v>1033</v>
      </c>
      <c r="Z142" s="233" t="s">
        <v>1034</v>
      </c>
      <c r="AA142" s="230" t="s">
        <v>1035</v>
      </c>
    </row>
    <row r="143" spans="2:27" ht="180" customHeight="1" x14ac:dyDescent="0.35">
      <c r="B143" s="228" t="s">
        <v>30</v>
      </c>
      <c r="C143" s="228" t="s">
        <v>1572</v>
      </c>
      <c r="D143" s="74" t="s">
        <v>33</v>
      </c>
      <c r="E143" s="229">
        <v>2</v>
      </c>
      <c r="F143" s="228" t="s">
        <v>1036</v>
      </c>
      <c r="G143" s="77" t="s">
        <v>1037</v>
      </c>
      <c r="H143" s="228" t="s">
        <v>1019</v>
      </c>
      <c r="I143" s="230">
        <v>13</v>
      </c>
      <c r="J143" s="236" t="s">
        <v>741</v>
      </c>
      <c r="K143" s="230"/>
      <c r="L143" s="230"/>
      <c r="M143" s="232" t="s">
        <v>1038</v>
      </c>
      <c r="N143" s="227" t="s">
        <v>1602</v>
      </c>
      <c r="O143" s="230" t="s">
        <v>843</v>
      </c>
      <c r="P143" s="227"/>
      <c r="Q143" s="227" t="s">
        <v>924</v>
      </c>
      <c r="R143" s="227" t="s">
        <v>1036</v>
      </c>
      <c r="S143" s="232" t="s">
        <v>1534</v>
      </c>
      <c r="T143" s="159" t="s">
        <v>1573</v>
      </c>
      <c r="U143" s="232" t="s">
        <v>1585</v>
      </c>
      <c r="V143" s="205" t="s">
        <v>1603</v>
      </c>
      <c r="W143" s="228"/>
      <c r="X143" s="79" t="s">
        <v>848</v>
      </c>
      <c r="Y143" s="228" t="s">
        <v>1033</v>
      </c>
      <c r="Z143" s="233" t="s">
        <v>1041</v>
      </c>
      <c r="AA143" s="230" t="s">
        <v>1035</v>
      </c>
    </row>
    <row r="144" spans="2:27" ht="176.25" customHeight="1" x14ac:dyDescent="0.35">
      <c r="B144" s="228" t="s">
        <v>30</v>
      </c>
      <c r="C144" s="228" t="s">
        <v>1572</v>
      </c>
      <c r="D144" s="74" t="s">
        <v>33</v>
      </c>
      <c r="E144" s="229">
        <v>2</v>
      </c>
      <c r="F144" s="228" t="s">
        <v>1042</v>
      </c>
      <c r="G144" s="227" t="s">
        <v>1043</v>
      </c>
      <c r="H144" s="228" t="s">
        <v>953</v>
      </c>
      <c r="I144" s="230">
        <v>14</v>
      </c>
      <c r="J144" s="236" t="s">
        <v>741</v>
      </c>
      <c r="K144" s="230">
        <v>4</v>
      </c>
      <c r="L144" s="230"/>
      <c r="M144" s="232" t="s">
        <v>1044</v>
      </c>
      <c r="N144" s="227" t="s">
        <v>1045</v>
      </c>
      <c r="O144" s="230"/>
      <c r="P144" s="232" t="s">
        <v>1046</v>
      </c>
      <c r="Q144" s="227"/>
      <c r="R144" s="227"/>
      <c r="S144" s="232" t="s">
        <v>1534</v>
      </c>
      <c r="T144" s="159" t="s">
        <v>1573</v>
      </c>
      <c r="U144" s="232" t="s">
        <v>1585</v>
      </c>
      <c r="V144" s="205" t="s">
        <v>1604</v>
      </c>
      <c r="W144" s="228"/>
      <c r="X144" s="79" t="s">
        <v>848</v>
      </c>
      <c r="Y144" s="228" t="s">
        <v>1033</v>
      </c>
      <c r="Z144" s="233" t="s">
        <v>1050</v>
      </c>
      <c r="AA144" s="230" t="s">
        <v>1051</v>
      </c>
    </row>
    <row r="145" spans="2:27" ht="236.25" customHeight="1" x14ac:dyDescent="0.35">
      <c r="B145" s="227" t="s">
        <v>30</v>
      </c>
      <c r="C145" s="228" t="s">
        <v>1572</v>
      </c>
      <c r="D145" s="74" t="s">
        <v>33</v>
      </c>
      <c r="E145" s="229">
        <v>2</v>
      </c>
      <c r="F145" s="228" t="s">
        <v>1052</v>
      </c>
      <c r="G145" s="227" t="s">
        <v>1053</v>
      </c>
      <c r="H145" s="228" t="s">
        <v>1019</v>
      </c>
      <c r="I145" s="230">
        <v>15</v>
      </c>
      <c r="J145" s="236" t="s">
        <v>741</v>
      </c>
      <c r="K145" s="230"/>
      <c r="L145" s="230"/>
      <c r="M145" s="232" t="s">
        <v>1054</v>
      </c>
      <c r="N145" s="227" t="s">
        <v>1605</v>
      </c>
      <c r="O145" s="230" t="s">
        <v>843</v>
      </c>
      <c r="P145" s="227"/>
      <c r="Q145" s="227" t="s">
        <v>924</v>
      </c>
      <c r="R145" s="227" t="s">
        <v>1052</v>
      </c>
      <c r="S145" s="232" t="s">
        <v>1534</v>
      </c>
      <c r="T145" s="159" t="s">
        <v>1573</v>
      </c>
      <c r="U145" s="232" t="s">
        <v>1585</v>
      </c>
      <c r="V145" s="205" t="s">
        <v>1606</v>
      </c>
      <c r="W145" s="227"/>
      <c r="X145" s="79" t="s">
        <v>848</v>
      </c>
      <c r="Y145" s="228" t="s">
        <v>1033</v>
      </c>
      <c r="Z145" s="233" t="s">
        <v>1057</v>
      </c>
      <c r="AA145" s="230" t="s">
        <v>1035</v>
      </c>
    </row>
    <row r="146" spans="2:27" ht="217.5" customHeight="1" x14ac:dyDescent="0.35">
      <c r="B146" s="228" t="s">
        <v>30</v>
      </c>
      <c r="C146" s="228" t="s">
        <v>1572</v>
      </c>
      <c r="D146" s="74" t="s">
        <v>33</v>
      </c>
      <c r="E146" s="229">
        <v>2</v>
      </c>
      <c r="F146" s="228" t="s">
        <v>1058</v>
      </c>
      <c r="G146" s="227" t="s">
        <v>1059</v>
      </c>
      <c r="H146" s="228" t="s">
        <v>1019</v>
      </c>
      <c r="I146" s="230">
        <v>16</v>
      </c>
      <c r="J146" s="236" t="s">
        <v>741</v>
      </c>
      <c r="K146" s="230"/>
      <c r="L146" s="230"/>
      <c r="M146" s="232" t="s">
        <v>1060</v>
      </c>
      <c r="N146" s="227" t="s">
        <v>1607</v>
      </c>
      <c r="O146" s="230" t="s">
        <v>843</v>
      </c>
      <c r="P146" s="227"/>
      <c r="Q146" s="227" t="s">
        <v>924</v>
      </c>
      <c r="R146" s="227" t="s">
        <v>1062</v>
      </c>
      <c r="S146" s="232" t="s">
        <v>1534</v>
      </c>
      <c r="T146" s="159" t="s">
        <v>1573</v>
      </c>
      <c r="U146" s="232" t="s">
        <v>1585</v>
      </c>
      <c r="V146" s="204" t="s">
        <v>1608</v>
      </c>
      <c r="W146" s="228"/>
      <c r="X146" s="79" t="s">
        <v>848</v>
      </c>
      <c r="Y146" s="228" t="s">
        <v>1033</v>
      </c>
      <c r="Z146" s="233" t="s">
        <v>1064</v>
      </c>
      <c r="AA146" s="230" t="s">
        <v>1035</v>
      </c>
    </row>
    <row r="147" spans="2:27" ht="196.5" customHeight="1" x14ac:dyDescent="0.35">
      <c r="B147" s="228" t="s">
        <v>30</v>
      </c>
      <c r="C147" s="228" t="s">
        <v>1572</v>
      </c>
      <c r="D147" s="74" t="s">
        <v>33</v>
      </c>
      <c r="E147" s="229">
        <v>2</v>
      </c>
      <c r="F147" s="228" t="s">
        <v>1065</v>
      </c>
      <c r="G147" s="227" t="s">
        <v>1066</v>
      </c>
      <c r="H147" s="228" t="s">
        <v>1019</v>
      </c>
      <c r="I147" s="230">
        <v>17</v>
      </c>
      <c r="J147" s="236" t="s">
        <v>741</v>
      </c>
      <c r="K147" s="230"/>
      <c r="L147" s="230"/>
      <c r="M147" s="232" t="s">
        <v>1067</v>
      </c>
      <c r="N147" s="227" t="s">
        <v>1068</v>
      </c>
      <c r="O147" s="230"/>
      <c r="P147" s="227"/>
      <c r="Q147" s="227"/>
      <c r="R147" s="227"/>
      <c r="S147" s="232" t="s">
        <v>1534</v>
      </c>
      <c r="T147" s="209" t="s">
        <v>1609</v>
      </c>
      <c r="U147" s="232" t="s">
        <v>1585</v>
      </c>
      <c r="V147" s="205" t="s">
        <v>1610</v>
      </c>
      <c r="W147" s="228"/>
      <c r="X147" s="79" t="s">
        <v>848</v>
      </c>
      <c r="Y147" s="228" t="s">
        <v>1070</v>
      </c>
      <c r="Z147" s="233" t="s">
        <v>1071</v>
      </c>
      <c r="AA147" s="230" t="s">
        <v>1072</v>
      </c>
    </row>
    <row r="148" spans="2:27" ht="194.25" customHeight="1" x14ac:dyDescent="0.35">
      <c r="B148" s="228" t="s">
        <v>30</v>
      </c>
      <c r="C148" s="228" t="s">
        <v>1572</v>
      </c>
      <c r="D148" s="74" t="s">
        <v>33</v>
      </c>
      <c r="E148" s="229">
        <v>2</v>
      </c>
      <c r="F148" s="228" t="s">
        <v>1073</v>
      </c>
      <c r="G148" s="227" t="s">
        <v>1074</v>
      </c>
      <c r="H148" s="228" t="s">
        <v>1075</v>
      </c>
      <c r="I148" s="230">
        <v>18</v>
      </c>
      <c r="J148" s="236" t="s">
        <v>741</v>
      </c>
      <c r="K148" s="230"/>
      <c r="L148" s="230"/>
      <c r="M148" s="232" t="s">
        <v>1076</v>
      </c>
      <c r="N148" s="227" t="s">
        <v>1077</v>
      </c>
      <c r="O148" s="230" t="s">
        <v>843</v>
      </c>
      <c r="P148" s="227"/>
      <c r="Q148" s="227" t="s">
        <v>924</v>
      </c>
      <c r="R148" s="227" t="s">
        <v>1073</v>
      </c>
      <c r="S148" s="232" t="s">
        <v>1534</v>
      </c>
      <c r="T148" s="159" t="s">
        <v>1573</v>
      </c>
      <c r="U148" s="232" t="s">
        <v>1585</v>
      </c>
      <c r="V148" s="204" t="s">
        <v>1611</v>
      </c>
      <c r="W148" s="228"/>
      <c r="X148" s="79" t="s">
        <v>848</v>
      </c>
      <c r="Y148" s="228" t="s">
        <v>1079</v>
      </c>
      <c r="Z148" s="233" t="s">
        <v>1080</v>
      </c>
      <c r="AA148" s="230" t="s">
        <v>1081</v>
      </c>
    </row>
    <row r="149" spans="2:27" ht="222.75" customHeight="1" x14ac:dyDescent="0.35">
      <c r="B149" s="228" t="s">
        <v>30</v>
      </c>
      <c r="C149" s="228" t="s">
        <v>1572</v>
      </c>
      <c r="D149" s="74" t="s">
        <v>33</v>
      </c>
      <c r="E149" s="229">
        <v>2</v>
      </c>
      <c r="F149" s="228" t="s">
        <v>764</v>
      </c>
      <c r="G149" s="227" t="s">
        <v>765</v>
      </c>
      <c r="H149" s="228" t="s">
        <v>766</v>
      </c>
      <c r="I149" s="230">
        <v>19</v>
      </c>
      <c r="J149" s="236" t="s">
        <v>741</v>
      </c>
      <c r="K149" s="230">
        <v>10</v>
      </c>
      <c r="L149" s="230"/>
      <c r="M149" s="232" t="s">
        <v>767</v>
      </c>
      <c r="N149" s="77" t="s">
        <v>823</v>
      </c>
      <c r="O149" s="230" t="s">
        <v>744</v>
      </c>
      <c r="P149" s="227"/>
      <c r="Q149" s="227"/>
      <c r="R149" s="227"/>
      <c r="S149" s="232" t="s">
        <v>1534</v>
      </c>
      <c r="T149" s="159" t="s">
        <v>1573</v>
      </c>
      <c r="U149" s="233" t="s">
        <v>919</v>
      </c>
      <c r="V149" s="204" t="s">
        <v>1612</v>
      </c>
      <c r="W149" s="228"/>
      <c r="X149" s="228" t="s">
        <v>749</v>
      </c>
      <c r="Y149" s="228" t="s">
        <v>749</v>
      </c>
      <c r="Z149" s="228" t="s">
        <v>749</v>
      </c>
      <c r="AA149" s="229" t="s">
        <v>749</v>
      </c>
    </row>
    <row r="150" spans="2:27" ht="192.75" customHeight="1" x14ac:dyDescent="0.35">
      <c r="B150" s="228" t="s">
        <v>30</v>
      </c>
      <c r="C150" s="228" t="s">
        <v>1572</v>
      </c>
      <c r="D150" s="74" t="s">
        <v>33</v>
      </c>
      <c r="E150" s="229">
        <v>2</v>
      </c>
      <c r="F150" s="228" t="s">
        <v>771</v>
      </c>
      <c r="G150" s="227" t="s">
        <v>772</v>
      </c>
      <c r="H150" s="228" t="s">
        <v>773</v>
      </c>
      <c r="I150" s="230">
        <v>20</v>
      </c>
      <c r="J150" s="236" t="s">
        <v>774</v>
      </c>
      <c r="K150" s="230">
        <v>23</v>
      </c>
      <c r="L150" s="230"/>
      <c r="M150" s="232" t="s">
        <v>775</v>
      </c>
      <c r="N150" s="74" t="s">
        <v>776</v>
      </c>
      <c r="O150" s="230" t="s">
        <v>843</v>
      </c>
      <c r="P150" s="227"/>
      <c r="Q150" s="227"/>
      <c r="R150" s="227"/>
      <c r="S150" s="232" t="s">
        <v>1534</v>
      </c>
      <c r="T150" s="159" t="s">
        <v>1573</v>
      </c>
      <c r="U150" s="233" t="s">
        <v>921</v>
      </c>
      <c r="V150" s="204" t="s">
        <v>1613</v>
      </c>
      <c r="W150" s="228"/>
      <c r="X150" s="228" t="s">
        <v>749</v>
      </c>
      <c r="Y150" s="228" t="s">
        <v>749</v>
      </c>
      <c r="Z150" s="228" t="s">
        <v>749</v>
      </c>
      <c r="AA150" s="229" t="s">
        <v>749</v>
      </c>
    </row>
    <row r="151" spans="2:27" ht="99.75" customHeight="1" x14ac:dyDescent="0.35">
      <c r="B151" s="228" t="s">
        <v>30</v>
      </c>
      <c r="C151" s="228" t="s">
        <v>1614</v>
      </c>
      <c r="D151" s="228" t="s">
        <v>35</v>
      </c>
      <c r="E151" s="229">
        <v>2</v>
      </c>
      <c r="F151" s="228" t="s">
        <v>784</v>
      </c>
      <c r="G151" s="228" t="s">
        <v>785</v>
      </c>
      <c r="H151" s="228" t="s">
        <v>740</v>
      </c>
      <c r="I151" s="229">
        <v>1</v>
      </c>
      <c r="J151" s="231" t="s">
        <v>741</v>
      </c>
      <c r="K151" s="229">
        <v>10</v>
      </c>
      <c r="L151" s="229"/>
      <c r="M151" s="232" t="s">
        <v>786</v>
      </c>
      <c r="N151" s="227" t="s">
        <v>787</v>
      </c>
      <c r="O151" s="229" t="s">
        <v>744</v>
      </c>
      <c r="P151" s="228"/>
      <c r="Q151" s="228" t="s">
        <v>1615</v>
      </c>
      <c r="R151" s="228" t="s">
        <v>784</v>
      </c>
      <c r="S151" s="233" t="s">
        <v>1534</v>
      </c>
      <c r="T151" s="233" t="s">
        <v>1616</v>
      </c>
      <c r="U151" s="233" t="s">
        <v>1617</v>
      </c>
      <c r="V151" s="204" t="s">
        <v>1618</v>
      </c>
      <c r="W151" s="228"/>
      <c r="X151" s="233" t="s">
        <v>1619</v>
      </c>
      <c r="Y151" s="233" t="s">
        <v>1620</v>
      </c>
      <c r="Z151" s="233" t="s">
        <v>1621</v>
      </c>
      <c r="AA151" s="244" t="s">
        <v>1570</v>
      </c>
    </row>
    <row r="152" spans="2:27" ht="172.5" customHeight="1" x14ac:dyDescent="0.35">
      <c r="B152" s="228" t="s">
        <v>30</v>
      </c>
      <c r="C152" s="228" t="s">
        <v>1614</v>
      </c>
      <c r="D152" s="228" t="s">
        <v>35</v>
      </c>
      <c r="E152" s="229">
        <v>2</v>
      </c>
      <c r="F152" s="228" t="s">
        <v>962</v>
      </c>
      <c r="G152" s="228" t="s">
        <v>963</v>
      </c>
      <c r="H152" s="228" t="s">
        <v>1189</v>
      </c>
      <c r="I152" s="229">
        <v>2</v>
      </c>
      <c r="J152" s="231" t="s">
        <v>741</v>
      </c>
      <c r="K152" s="229">
        <v>4</v>
      </c>
      <c r="L152" s="229"/>
      <c r="M152" s="233" t="s">
        <v>1622</v>
      </c>
      <c r="N152" s="197" t="s">
        <v>1623</v>
      </c>
      <c r="O152" s="230" t="s">
        <v>744</v>
      </c>
      <c r="P152" s="232" t="s">
        <v>967</v>
      </c>
      <c r="Q152" s="228" t="s">
        <v>1615</v>
      </c>
      <c r="R152" s="228" t="s">
        <v>1624</v>
      </c>
      <c r="S152" s="233" t="s">
        <v>1582</v>
      </c>
      <c r="T152" s="233" t="s">
        <v>1625</v>
      </c>
      <c r="U152" s="233" t="s">
        <v>1626</v>
      </c>
      <c r="V152" s="204" t="s">
        <v>1627</v>
      </c>
      <c r="W152" s="228"/>
      <c r="X152" s="233" t="s">
        <v>1619</v>
      </c>
      <c r="Y152" s="233" t="s">
        <v>1628</v>
      </c>
      <c r="Z152" s="233" t="s">
        <v>1629</v>
      </c>
      <c r="AA152" s="244" t="s">
        <v>1570</v>
      </c>
    </row>
    <row r="153" spans="2:27" ht="222.75" customHeight="1" x14ac:dyDescent="0.35">
      <c r="B153" s="228" t="s">
        <v>30</v>
      </c>
      <c r="C153" s="228" t="s">
        <v>1614</v>
      </c>
      <c r="D153" s="228" t="s">
        <v>35</v>
      </c>
      <c r="E153" s="229">
        <v>2</v>
      </c>
      <c r="F153" s="228" t="s">
        <v>931</v>
      </c>
      <c r="G153" s="227" t="s">
        <v>932</v>
      </c>
      <c r="H153" s="228" t="s">
        <v>759</v>
      </c>
      <c r="I153" s="230">
        <v>3</v>
      </c>
      <c r="J153" s="231" t="s">
        <v>934</v>
      </c>
      <c r="K153" s="230"/>
      <c r="L153" s="230"/>
      <c r="M153" s="232" t="s">
        <v>1630</v>
      </c>
      <c r="N153" s="199" t="s">
        <v>1631</v>
      </c>
      <c r="O153" s="230" t="s">
        <v>744</v>
      </c>
      <c r="P153" s="227"/>
      <c r="Q153" s="228"/>
      <c r="R153" s="228"/>
      <c r="S153" s="233" t="s">
        <v>1488</v>
      </c>
      <c r="T153" s="208" t="s">
        <v>1632</v>
      </c>
      <c r="U153" s="233" t="s">
        <v>1633</v>
      </c>
      <c r="V153" s="205" t="s">
        <v>1634</v>
      </c>
      <c r="W153" s="228"/>
      <c r="X153" s="233" t="s">
        <v>1619</v>
      </c>
      <c r="Y153" s="232" t="s">
        <v>1635</v>
      </c>
      <c r="Z153" s="232" t="s">
        <v>1636</v>
      </c>
      <c r="AA153" s="234" t="s">
        <v>1637</v>
      </c>
    </row>
    <row r="154" spans="2:27" ht="157.5" customHeight="1" x14ac:dyDescent="0.35">
      <c r="B154" s="228" t="s">
        <v>30</v>
      </c>
      <c r="C154" s="228" t="s">
        <v>1614</v>
      </c>
      <c r="D154" s="228" t="s">
        <v>35</v>
      </c>
      <c r="E154" s="229">
        <v>2</v>
      </c>
      <c r="F154" s="228" t="s">
        <v>942</v>
      </c>
      <c r="G154" s="227" t="s">
        <v>943</v>
      </c>
      <c r="H154" s="228" t="s">
        <v>1115</v>
      </c>
      <c r="I154" s="229">
        <v>4</v>
      </c>
      <c r="J154" s="231" t="s">
        <v>741</v>
      </c>
      <c r="K154" s="229">
        <v>10</v>
      </c>
      <c r="L154" s="229"/>
      <c r="M154" s="233" t="s">
        <v>1638</v>
      </c>
      <c r="N154" s="228" t="s">
        <v>1639</v>
      </c>
      <c r="O154" s="229" t="s">
        <v>843</v>
      </c>
      <c r="P154" s="228"/>
      <c r="Q154" s="228" t="s">
        <v>1615</v>
      </c>
      <c r="R154" s="228" t="s">
        <v>942</v>
      </c>
      <c r="S154" s="233" t="s">
        <v>1534</v>
      </c>
      <c r="T154" s="233" t="s">
        <v>1616</v>
      </c>
      <c r="U154" s="233" t="s">
        <v>1640</v>
      </c>
      <c r="V154" s="205" t="s">
        <v>1641</v>
      </c>
      <c r="W154" s="228"/>
      <c r="X154" s="233" t="s">
        <v>1619</v>
      </c>
      <c r="Y154" s="233" t="s">
        <v>1635</v>
      </c>
      <c r="Z154" s="233" t="s">
        <v>1642</v>
      </c>
      <c r="AA154" s="244" t="s">
        <v>1643</v>
      </c>
    </row>
    <row r="155" spans="2:27" ht="154.5" customHeight="1" x14ac:dyDescent="0.35">
      <c r="B155" s="228" t="s">
        <v>30</v>
      </c>
      <c r="C155" s="228" t="s">
        <v>1614</v>
      </c>
      <c r="D155" s="228" t="s">
        <v>35</v>
      </c>
      <c r="E155" s="229">
        <v>2</v>
      </c>
      <c r="F155" s="228" t="s">
        <v>764</v>
      </c>
      <c r="G155" s="77" t="s">
        <v>765</v>
      </c>
      <c r="H155" s="228" t="s">
        <v>766</v>
      </c>
      <c r="I155" s="229">
        <v>5</v>
      </c>
      <c r="J155" s="231" t="s">
        <v>741</v>
      </c>
      <c r="K155" s="229">
        <v>10</v>
      </c>
      <c r="L155" s="229"/>
      <c r="M155" s="233" t="s">
        <v>767</v>
      </c>
      <c r="N155" s="77" t="s">
        <v>823</v>
      </c>
      <c r="O155" s="229"/>
      <c r="P155" s="228"/>
      <c r="Q155" s="228"/>
      <c r="R155" s="228"/>
      <c r="S155" s="233" t="s">
        <v>1534</v>
      </c>
      <c r="T155" s="233" t="s">
        <v>1616</v>
      </c>
      <c r="U155" s="233" t="s">
        <v>1644</v>
      </c>
      <c r="V155" s="205" t="s">
        <v>1645</v>
      </c>
      <c r="W155" s="228"/>
      <c r="X155" s="233" t="s">
        <v>1570</v>
      </c>
      <c r="Y155" s="233" t="s">
        <v>1570</v>
      </c>
      <c r="Z155" s="233" t="s">
        <v>1570</v>
      </c>
      <c r="AA155" s="244" t="s">
        <v>1570</v>
      </c>
    </row>
    <row r="156" spans="2:27" ht="157.5" customHeight="1" x14ac:dyDescent="0.35">
      <c r="B156" s="228" t="s">
        <v>30</v>
      </c>
      <c r="C156" s="228" t="s">
        <v>1614</v>
      </c>
      <c r="D156" s="228" t="s">
        <v>35</v>
      </c>
      <c r="E156" s="229">
        <v>2</v>
      </c>
      <c r="F156" s="228" t="s">
        <v>771</v>
      </c>
      <c r="G156" s="77" t="s">
        <v>772</v>
      </c>
      <c r="H156" s="228" t="s">
        <v>773</v>
      </c>
      <c r="I156" s="229">
        <v>6</v>
      </c>
      <c r="J156" s="231" t="s">
        <v>774</v>
      </c>
      <c r="K156" s="229">
        <v>23</v>
      </c>
      <c r="L156" s="229"/>
      <c r="M156" s="233" t="s">
        <v>775</v>
      </c>
      <c r="N156" s="74" t="s">
        <v>776</v>
      </c>
      <c r="O156" s="229" t="s">
        <v>843</v>
      </c>
      <c r="P156" s="228"/>
      <c r="Q156" s="228"/>
      <c r="R156" s="228"/>
      <c r="S156" s="233" t="s">
        <v>1534</v>
      </c>
      <c r="T156" s="233" t="s">
        <v>1616</v>
      </c>
      <c r="U156" s="233" t="s">
        <v>921</v>
      </c>
      <c r="V156" s="205" t="s">
        <v>1646</v>
      </c>
      <c r="W156" s="228"/>
      <c r="X156" s="233" t="s">
        <v>1570</v>
      </c>
      <c r="Y156" s="233" t="s">
        <v>1570</v>
      </c>
      <c r="Z156" s="233" t="s">
        <v>1570</v>
      </c>
      <c r="AA156" s="244" t="s">
        <v>1570</v>
      </c>
    </row>
    <row r="157" spans="2:27" ht="149.25" customHeight="1" x14ac:dyDescent="0.35">
      <c r="B157" s="228" t="s">
        <v>30</v>
      </c>
      <c r="C157" s="228" t="s">
        <v>1647</v>
      </c>
      <c r="D157" s="228" t="s">
        <v>37</v>
      </c>
      <c r="E157" s="229">
        <v>2</v>
      </c>
      <c r="F157" s="228" t="s">
        <v>784</v>
      </c>
      <c r="G157" s="228" t="s">
        <v>785</v>
      </c>
      <c r="H157" s="228" t="s">
        <v>740</v>
      </c>
      <c r="I157" s="229">
        <v>1</v>
      </c>
      <c r="J157" s="231" t="s">
        <v>741</v>
      </c>
      <c r="K157" s="229">
        <v>10</v>
      </c>
      <c r="L157" s="230"/>
      <c r="M157" s="232" t="s">
        <v>786</v>
      </c>
      <c r="N157" s="227" t="s">
        <v>787</v>
      </c>
      <c r="O157" s="229" t="s">
        <v>744</v>
      </c>
      <c r="P157" s="228"/>
      <c r="Q157" s="228" t="s">
        <v>1086</v>
      </c>
      <c r="R157" s="228" t="s">
        <v>784</v>
      </c>
      <c r="S157" s="233" t="s">
        <v>1300</v>
      </c>
      <c r="T157" s="233" t="s">
        <v>1648</v>
      </c>
      <c r="U157" s="233" t="s">
        <v>1649</v>
      </c>
      <c r="V157" s="204" t="s">
        <v>1650</v>
      </c>
      <c r="W157" s="228"/>
      <c r="X157" s="228" t="s">
        <v>848</v>
      </c>
      <c r="Y157" s="228" t="s">
        <v>1089</v>
      </c>
      <c r="Z157" s="82" t="s">
        <v>1090</v>
      </c>
      <c r="AA157" s="229" t="s">
        <v>837</v>
      </c>
    </row>
    <row r="158" spans="2:27" ht="153" customHeight="1" x14ac:dyDescent="0.35">
      <c r="B158" s="228" t="s">
        <v>30</v>
      </c>
      <c r="C158" s="228" t="s">
        <v>1647</v>
      </c>
      <c r="D158" s="228" t="s">
        <v>37</v>
      </c>
      <c r="E158" s="229">
        <v>2</v>
      </c>
      <c r="F158" s="228" t="s">
        <v>1091</v>
      </c>
      <c r="G158" s="228" t="s">
        <v>1092</v>
      </c>
      <c r="H158" s="228" t="s">
        <v>804</v>
      </c>
      <c r="I158" s="229">
        <v>2</v>
      </c>
      <c r="J158" s="231" t="s">
        <v>741</v>
      </c>
      <c r="K158" s="229">
        <v>4</v>
      </c>
      <c r="L158" s="230"/>
      <c r="M158" s="233" t="s">
        <v>1093</v>
      </c>
      <c r="N158" s="228" t="s">
        <v>1094</v>
      </c>
      <c r="O158" s="230" t="s">
        <v>744</v>
      </c>
      <c r="P158" s="233" t="s">
        <v>1095</v>
      </c>
      <c r="Q158" s="228" t="s">
        <v>1086</v>
      </c>
      <c r="R158" s="228" t="s">
        <v>1096</v>
      </c>
      <c r="S158" s="233" t="s">
        <v>1300</v>
      </c>
      <c r="T158" s="233" t="s">
        <v>1648</v>
      </c>
      <c r="U158" s="233" t="s">
        <v>1651</v>
      </c>
      <c r="V158" s="204" t="s">
        <v>1652</v>
      </c>
      <c r="W158" s="228"/>
      <c r="X158" s="228" t="s">
        <v>848</v>
      </c>
      <c r="Y158" s="228" t="s">
        <v>1099</v>
      </c>
      <c r="Z158" s="228" t="s">
        <v>1100</v>
      </c>
      <c r="AA158" s="230" t="s">
        <v>749</v>
      </c>
    </row>
    <row r="159" spans="2:27" ht="107.25" customHeight="1" x14ac:dyDescent="0.35">
      <c r="B159" s="228" t="s">
        <v>30</v>
      </c>
      <c r="C159" s="228" t="s">
        <v>1647</v>
      </c>
      <c r="D159" s="228" t="s">
        <v>37</v>
      </c>
      <c r="E159" s="229">
        <v>2</v>
      </c>
      <c r="F159" s="228" t="s">
        <v>931</v>
      </c>
      <c r="G159" s="227" t="s">
        <v>932</v>
      </c>
      <c r="H159" s="228" t="s">
        <v>933</v>
      </c>
      <c r="I159" s="230">
        <v>3</v>
      </c>
      <c r="J159" s="231" t="s">
        <v>934</v>
      </c>
      <c r="K159" s="230"/>
      <c r="L159" s="230"/>
      <c r="M159" s="232" t="s">
        <v>1101</v>
      </c>
      <c r="N159" s="227" t="s">
        <v>1102</v>
      </c>
      <c r="O159" s="230" t="s">
        <v>744</v>
      </c>
      <c r="P159" s="227"/>
      <c r="Q159" s="227" t="s">
        <v>1086</v>
      </c>
      <c r="R159" s="227" t="s">
        <v>1103</v>
      </c>
      <c r="S159" s="233" t="s">
        <v>1300</v>
      </c>
      <c r="T159" s="233" t="s">
        <v>1648</v>
      </c>
      <c r="U159" s="233" t="s">
        <v>1653</v>
      </c>
      <c r="V159" s="204" t="s">
        <v>1654</v>
      </c>
      <c r="W159" s="227"/>
      <c r="X159" s="228" t="s">
        <v>848</v>
      </c>
      <c r="Y159" s="227" t="s">
        <v>1099</v>
      </c>
      <c r="Z159" s="232" t="s">
        <v>1106</v>
      </c>
      <c r="AA159" s="230" t="s">
        <v>749</v>
      </c>
    </row>
    <row r="160" spans="2:27" ht="106.5" customHeight="1" x14ac:dyDescent="0.35">
      <c r="B160" s="228" t="s">
        <v>30</v>
      </c>
      <c r="C160" s="228" t="s">
        <v>1647</v>
      </c>
      <c r="D160" s="228" t="s">
        <v>37</v>
      </c>
      <c r="E160" s="229">
        <v>2</v>
      </c>
      <c r="F160" s="228" t="s">
        <v>1107</v>
      </c>
      <c r="G160" s="228" t="s">
        <v>1108</v>
      </c>
      <c r="H160" s="228" t="s">
        <v>1109</v>
      </c>
      <c r="I160" s="229">
        <v>4</v>
      </c>
      <c r="J160" s="231" t="s">
        <v>741</v>
      </c>
      <c r="K160" s="229"/>
      <c r="L160" s="230"/>
      <c r="M160" s="233" t="s">
        <v>1110</v>
      </c>
      <c r="N160" s="228" t="s">
        <v>1655</v>
      </c>
      <c r="O160" s="229" t="s">
        <v>843</v>
      </c>
      <c r="P160" s="228"/>
      <c r="Q160" s="228" t="s">
        <v>1086</v>
      </c>
      <c r="R160" s="228" t="s">
        <v>1107</v>
      </c>
      <c r="S160" s="233" t="s">
        <v>1656</v>
      </c>
      <c r="T160" s="208" t="s">
        <v>1657</v>
      </c>
      <c r="U160" s="233" t="s">
        <v>1658</v>
      </c>
      <c r="V160" s="204" t="s">
        <v>1659</v>
      </c>
      <c r="W160" s="228"/>
      <c r="X160" s="228" t="s">
        <v>848</v>
      </c>
      <c r="Y160" s="228" t="s">
        <v>1099</v>
      </c>
      <c r="Z160" s="228" t="s">
        <v>1114</v>
      </c>
      <c r="AA160" s="230" t="s">
        <v>749</v>
      </c>
    </row>
    <row r="161" spans="2:27" ht="159" customHeight="1" x14ac:dyDescent="0.35">
      <c r="B161" s="228" t="s">
        <v>30</v>
      </c>
      <c r="C161" s="228" t="s">
        <v>1647</v>
      </c>
      <c r="D161" s="228" t="s">
        <v>37</v>
      </c>
      <c r="E161" s="229">
        <v>2</v>
      </c>
      <c r="F161" s="228" t="s">
        <v>942</v>
      </c>
      <c r="G161" s="227" t="s">
        <v>943</v>
      </c>
      <c r="H161" s="228" t="s">
        <v>1115</v>
      </c>
      <c r="I161" s="229">
        <v>5</v>
      </c>
      <c r="J161" s="231" t="s">
        <v>741</v>
      </c>
      <c r="K161" s="229">
        <v>10</v>
      </c>
      <c r="L161" s="230"/>
      <c r="M161" s="233" t="s">
        <v>1116</v>
      </c>
      <c r="N161" s="227" t="s">
        <v>1117</v>
      </c>
      <c r="O161" s="230"/>
      <c r="P161" s="228"/>
      <c r="Q161" s="228" t="s">
        <v>1086</v>
      </c>
      <c r="R161" s="228" t="s">
        <v>942</v>
      </c>
      <c r="S161" s="233" t="s">
        <v>1300</v>
      </c>
      <c r="T161" s="233" t="s">
        <v>1648</v>
      </c>
      <c r="U161" s="233" t="s">
        <v>1660</v>
      </c>
      <c r="V161" s="204" t="s">
        <v>1661</v>
      </c>
      <c r="W161" s="228"/>
      <c r="X161" s="228" t="s">
        <v>848</v>
      </c>
      <c r="Y161" s="228" t="s">
        <v>1099</v>
      </c>
      <c r="Z161" s="228" t="s">
        <v>950</v>
      </c>
      <c r="AA161" s="230" t="s">
        <v>749</v>
      </c>
    </row>
    <row r="162" spans="2:27" ht="110.25" customHeight="1" x14ac:dyDescent="0.35">
      <c r="B162" s="228" t="s">
        <v>30</v>
      </c>
      <c r="C162" s="228" t="s">
        <v>1647</v>
      </c>
      <c r="D162" s="228" t="s">
        <v>37</v>
      </c>
      <c r="E162" s="229">
        <v>2</v>
      </c>
      <c r="F162" s="228" t="s">
        <v>1120</v>
      </c>
      <c r="G162" s="227" t="s">
        <v>1121</v>
      </c>
      <c r="H162" s="228" t="s">
        <v>1115</v>
      </c>
      <c r="I162" s="230">
        <v>6</v>
      </c>
      <c r="J162" s="231" t="s">
        <v>741</v>
      </c>
      <c r="K162" s="229">
        <v>10</v>
      </c>
      <c r="L162" s="230"/>
      <c r="M162" s="232" t="s">
        <v>1122</v>
      </c>
      <c r="N162" s="227" t="s">
        <v>1123</v>
      </c>
      <c r="O162" s="230"/>
      <c r="P162" s="227"/>
      <c r="Q162" s="228" t="s">
        <v>1086</v>
      </c>
      <c r="R162" s="228" t="s">
        <v>1124</v>
      </c>
      <c r="S162" s="233" t="s">
        <v>1300</v>
      </c>
      <c r="T162" s="233" t="s">
        <v>1648</v>
      </c>
      <c r="U162" s="233" t="s">
        <v>1662</v>
      </c>
      <c r="V162" s="205" t="s">
        <v>1663</v>
      </c>
      <c r="W162" s="228"/>
      <c r="X162" s="228" t="s">
        <v>848</v>
      </c>
      <c r="Y162" s="228" t="s">
        <v>1099</v>
      </c>
      <c r="Z162" s="227" t="s">
        <v>1127</v>
      </c>
      <c r="AA162" s="230" t="s">
        <v>749</v>
      </c>
    </row>
    <row r="163" spans="2:27" ht="112.5" customHeight="1" x14ac:dyDescent="0.35">
      <c r="B163" s="228" t="s">
        <v>30</v>
      </c>
      <c r="C163" s="228" t="s">
        <v>1647</v>
      </c>
      <c r="D163" s="228" t="s">
        <v>37</v>
      </c>
      <c r="E163" s="229">
        <v>2</v>
      </c>
      <c r="F163" s="228" t="s">
        <v>1128</v>
      </c>
      <c r="G163" s="228" t="s">
        <v>1129</v>
      </c>
      <c r="H163" s="228" t="s">
        <v>759</v>
      </c>
      <c r="I163" s="229">
        <v>7</v>
      </c>
      <c r="J163" s="231" t="s">
        <v>741</v>
      </c>
      <c r="K163" s="229"/>
      <c r="L163" s="230"/>
      <c r="M163" s="233" t="s">
        <v>1130</v>
      </c>
      <c r="N163" s="228" t="s">
        <v>1664</v>
      </c>
      <c r="O163" s="229" t="s">
        <v>843</v>
      </c>
      <c r="P163" s="228"/>
      <c r="Q163" s="228" t="s">
        <v>1086</v>
      </c>
      <c r="R163" s="228" t="s">
        <v>1132</v>
      </c>
      <c r="S163" s="233" t="s">
        <v>1300</v>
      </c>
      <c r="T163" s="233" t="s">
        <v>1648</v>
      </c>
      <c r="U163" s="233" t="s">
        <v>1665</v>
      </c>
      <c r="V163" s="204" t="s">
        <v>1666</v>
      </c>
      <c r="W163" s="228"/>
      <c r="X163" s="228" t="s">
        <v>848</v>
      </c>
      <c r="Y163" s="228" t="s">
        <v>1099</v>
      </c>
      <c r="Z163" s="228" t="s">
        <v>1135</v>
      </c>
      <c r="AA163" s="230" t="s">
        <v>749</v>
      </c>
    </row>
    <row r="164" spans="2:27" ht="100.5" customHeight="1" x14ac:dyDescent="0.35">
      <c r="B164" s="228" t="s">
        <v>30</v>
      </c>
      <c r="C164" s="228" t="s">
        <v>1647</v>
      </c>
      <c r="D164" s="228" t="s">
        <v>37</v>
      </c>
      <c r="E164" s="229">
        <v>2</v>
      </c>
      <c r="F164" s="228" t="s">
        <v>764</v>
      </c>
      <c r="G164" s="227" t="s">
        <v>765</v>
      </c>
      <c r="H164" s="228" t="s">
        <v>766</v>
      </c>
      <c r="I164" s="230">
        <v>8</v>
      </c>
      <c r="J164" s="236" t="s">
        <v>741</v>
      </c>
      <c r="K164" s="230">
        <v>10</v>
      </c>
      <c r="L164" s="230"/>
      <c r="M164" s="232" t="s">
        <v>767</v>
      </c>
      <c r="N164" s="77" t="s">
        <v>823</v>
      </c>
      <c r="O164" s="230" t="s">
        <v>744</v>
      </c>
      <c r="P164" s="227"/>
      <c r="Q164" s="228"/>
      <c r="R164" s="228"/>
      <c r="S164" s="233" t="s">
        <v>1300</v>
      </c>
      <c r="T164" s="233" t="s">
        <v>1648</v>
      </c>
      <c r="U164" s="233" t="s">
        <v>1568</v>
      </c>
      <c r="V164" s="204" t="s">
        <v>1667</v>
      </c>
      <c r="W164" s="228"/>
      <c r="X164" s="227" t="s">
        <v>749</v>
      </c>
      <c r="Y164" s="227" t="s">
        <v>749</v>
      </c>
      <c r="Z164" s="227" t="s">
        <v>749</v>
      </c>
      <c r="AA164" s="230" t="s">
        <v>749</v>
      </c>
    </row>
    <row r="165" spans="2:27" ht="116.25" customHeight="1" x14ac:dyDescent="0.35">
      <c r="B165" s="228" t="s">
        <v>30</v>
      </c>
      <c r="C165" s="228" t="s">
        <v>1647</v>
      </c>
      <c r="D165" s="228" t="s">
        <v>37</v>
      </c>
      <c r="E165" s="229">
        <v>2</v>
      </c>
      <c r="F165" s="228" t="s">
        <v>771</v>
      </c>
      <c r="G165" s="227" t="s">
        <v>772</v>
      </c>
      <c r="H165" s="228" t="s">
        <v>773</v>
      </c>
      <c r="I165" s="230">
        <v>9</v>
      </c>
      <c r="J165" s="236" t="s">
        <v>774</v>
      </c>
      <c r="K165" s="230">
        <v>23</v>
      </c>
      <c r="L165" s="230"/>
      <c r="M165" s="232" t="s">
        <v>775</v>
      </c>
      <c r="N165" s="74" t="s">
        <v>776</v>
      </c>
      <c r="O165" s="230" t="s">
        <v>843</v>
      </c>
      <c r="P165" s="227"/>
      <c r="Q165" s="228"/>
      <c r="R165" s="228"/>
      <c r="S165" s="233" t="s">
        <v>1300</v>
      </c>
      <c r="T165" s="233" t="s">
        <v>1648</v>
      </c>
      <c r="U165" s="233" t="s">
        <v>1570</v>
      </c>
      <c r="V165" s="204" t="s">
        <v>1668</v>
      </c>
      <c r="W165" s="228"/>
      <c r="X165" s="227" t="s">
        <v>749</v>
      </c>
      <c r="Y165" s="227" t="s">
        <v>749</v>
      </c>
      <c r="Z165" s="227" t="s">
        <v>749</v>
      </c>
      <c r="AA165" s="230" t="s">
        <v>749</v>
      </c>
    </row>
    <row r="166" spans="2:27" ht="94.5" customHeight="1" x14ac:dyDescent="0.35">
      <c r="B166" s="228" t="s">
        <v>30</v>
      </c>
      <c r="C166" s="228" t="s">
        <v>1669</v>
      </c>
      <c r="D166" s="228" t="s">
        <v>39</v>
      </c>
      <c r="E166" s="229">
        <v>2</v>
      </c>
      <c r="F166" s="228" t="s">
        <v>784</v>
      </c>
      <c r="G166" s="228" t="s">
        <v>785</v>
      </c>
      <c r="H166" s="228" t="s">
        <v>740</v>
      </c>
      <c r="I166" s="229">
        <v>1</v>
      </c>
      <c r="J166" s="231" t="s">
        <v>741</v>
      </c>
      <c r="K166" s="229">
        <v>10</v>
      </c>
      <c r="L166" s="229"/>
      <c r="M166" s="232" t="s">
        <v>786</v>
      </c>
      <c r="N166" s="227" t="s">
        <v>787</v>
      </c>
      <c r="O166" s="229" t="s">
        <v>744</v>
      </c>
      <c r="P166" s="227"/>
      <c r="Q166" s="232" t="s">
        <v>1140</v>
      </c>
      <c r="R166" s="232" t="s">
        <v>1141</v>
      </c>
      <c r="S166" s="233" t="s">
        <v>1300</v>
      </c>
      <c r="T166" s="233" t="s">
        <v>1301</v>
      </c>
      <c r="U166" s="233" t="s">
        <v>1302</v>
      </c>
      <c r="V166" s="204" t="s">
        <v>1303</v>
      </c>
      <c r="W166" s="227"/>
      <c r="X166" s="227" t="s">
        <v>834</v>
      </c>
      <c r="Y166" s="232" t="s">
        <v>1304</v>
      </c>
      <c r="Z166" s="227" t="s">
        <v>1143</v>
      </c>
      <c r="AA166" s="230" t="s">
        <v>837</v>
      </c>
    </row>
    <row r="167" spans="2:27" ht="74.25" customHeight="1" x14ac:dyDescent="0.35">
      <c r="B167" s="228" t="s">
        <v>30</v>
      </c>
      <c r="C167" s="228" t="s">
        <v>1669</v>
      </c>
      <c r="D167" s="228" t="s">
        <v>39</v>
      </c>
      <c r="E167" s="229">
        <v>2</v>
      </c>
      <c r="F167" s="228" t="s">
        <v>1144</v>
      </c>
      <c r="G167" s="228" t="s">
        <v>1145</v>
      </c>
      <c r="H167" s="228" t="s">
        <v>1146</v>
      </c>
      <c r="I167" s="230">
        <v>2</v>
      </c>
      <c r="J167" s="236" t="s">
        <v>741</v>
      </c>
      <c r="K167" s="230">
        <v>10</v>
      </c>
      <c r="L167" s="230"/>
      <c r="M167" s="232" t="s">
        <v>1147</v>
      </c>
      <c r="N167" s="197" t="s">
        <v>1148</v>
      </c>
      <c r="O167" s="230"/>
      <c r="P167" s="233" t="s">
        <v>1149</v>
      </c>
      <c r="Q167" s="227" t="s">
        <v>1150</v>
      </c>
      <c r="R167" s="227" t="s">
        <v>1151</v>
      </c>
      <c r="S167" s="233" t="s">
        <v>1534</v>
      </c>
      <c r="T167" s="233" t="s">
        <v>1670</v>
      </c>
      <c r="U167" s="233" t="s">
        <v>1671</v>
      </c>
      <c r="V167" s="205" t="s">
        <v>1672</v>
      </c>
      <c r="W167" s="227"/>
      <c r="X167" s="227" t="s">
        <v>848</v>
      </c>
      <c r="Y167" s="227" t="s">
        <v>1155</v>
      </c>
      <c r="Z167" s="232" t="s">
        <v>1156</v>
      </c>
      <c r="AA167" s="230" t="s">
        <v>749</v>
      </c>
    </row>
    <row r="168" spans="2:27" ht="85.5" customHeight="1" x14ac:dyDescent="0.35">
      <c r="B168" s="228" t="s">
        <v>30</v>
      </c>
      <c r="C168" s="228" t="s">
        <v>1669</v>
      </c>
      <c r="D168" s="228" t="s">
        <v>39</v>
      </c>
      <c r="E168" s="229">
        <v>2</v>
      </c>
      <c r="F168" s="228" t="s">
        <v>1157</v>
      </c>
      <c r="G168" s="228" t="s">
        <v>1158</v>
      </c>
      <c r="H168" s="228" t="s">
        <v>804</v>
      </c>
      <c r="I168" s="229">
        <v>3</v>
      </c>
      <c r="J168" s="231" t="s">
        <v>741</v>
      </c>
      <c r="K168" s="229">
        <v>4</v>
      </c>
      <c r="L168" s="230"/>
      <c r="M168" s="233" t="s">
        <v>1673</v>
      </c>
      <c r="N168" s="199" t="s">
        <v>1674</v>
      </c>
      <c r="O168" s="229" t="s">
        <v>843</v>
      </c>
      <c r="P168" s="233" t="s">
        <v>1161</v>
      </c>
      <c r="Q168" s="228" t="s">
        <v>1162</v>
      </c>
      <c r="R168" s="228" t="s">
        <v>1163</v>
      </c>
      <c r="S168" s="233" t="s">
        <v>1534</v>
      </c>
      <c r="T168" s="233" t="s">
        <v>1670</v>
      </c>
      <c r="U168" s="233" t="s">
        <v>1675</v>
      </c>
      <c r="V168" s="205" t="s">
        <v>1676</v>
      </c>
      <c r="W168" s="227"/>
      <c r="X168" s="227" t="s">
        <v>848</v>
      </c>
      <c r="Y168" s="227" t="s">
        <v>1155</v>
      </c>
      <c r="Z168" s="232" t="s">
        <v>1166</v>
      </c>
      <c r="AA168" s="230" t="s">
        <v>749</v>
      </c>
    </row>
    <row r="169" spans="2:27" ht="78.75" customHeight="1" x14ac:dyDescent="0.35">
      <c r="B169" s="228" t="s">
        <v>30</v>
      </c>
      <c r="C169" s="228" t="s">
        <v>1669</v>
      </c>
      <c r="D169" s="228" t="s">
        <v>39</v>
      </c>
      <c r="E169" s="229">
        <v>2</v>
      </c>
      <c r="F169" s="228" t="s">
        <v>1167</v>
      </c>
      <c r="G169" s="228" t="s">
        <v>1168</v>
      </c>
      <c r="H169" s="228" t="s">
        <v>1115</v>
      </c>
      <c r="I169" s="229">
        <v>4</v>
      </c>
      <c r="J169" s="231" t="s">
        <v>741</v>
      </c>
      <c r="K169" s="229">
        <v>10</v>
      </c>
      <c r="L169" s="230"/>
      <c r="M169" s="233" t="s">
        <v>1677</v>
      </c>
      <c r="N169" s="227" t="s">
        <v>1170</v>
      </c>
      <c r="O169" s="230"/>
      <c r="P169" s="227"/>
      <c r="Q169" s="227" t="s">
        <v>1150</v>
      </c>
      <c r="R169" s="227" t="s">
        <v>1171</v>
      </c>
      <c r="S169" s="233" t="s">
        <v>1300</v>
      </c>
      <c r="T169" s="233" t="s">
        <v>1301</v>
      </c>
      <c r="U169" s="233" t="s">
        <v>1678</v>
      </c>
      <c r="V169" s="205" t="s">
        <v>1679</v>
      </c>
      <c r="W169" s="227"/>
      <c r="X169" s="227" t="s">
        <v>848</v>
      </c>
      <c r="Y169" s="248" t="s">
        <v>1421</v>
      </c>
      <c r="Z169" s="227" t="s">
        <v>1174</v>
      </c>
      <c r="AA169" s="230" t="s">
        <v>749</v>
      </c>
    </row>
    <row r="170" spans="2:27" ht="87.75" customHeight="1" x14ac:dyDescent="0.35">
      <c r="B170" s="228" t="s">
        <v>30</v>
      </c>
      <c r="C170" s="228" t="s">
        <v>1669</v>
      </c>
      <c r="D170" s="228" t="s">
        <v>39</v>
      </c>
      <c r="E170" s="229">
        <v>2</v>
      </c>
      <c r="F170" s="228" t="s">
        <v>1175</v>
      </c>
      <c r="G170" s="228" t="s">
        <v>1176</v>
      </c>
      <c r="H170" s="228" t="s">
        <v>1177</v>
      </c>
      <c r="I170" s="229">
        <v>5</v>
      </c>
      <c r="J170" s="231" t="s">
        <v>741</v>
      </c>
      <c r="K170" s="229">
        <v>10</v>
      </c>
      <c r="L170" s="230"/>
      <c r="M170" s="233" t="s">
        <v>1178</v>
      </c>
      <c r="N170" s="227" t="s">
        <v>1179</v>
      </c>
      <c r="O170" s="230"/>
      <c r="P170" s="227"/>
      <c r="Q170" s="227" t="s">
        <v>1150</v>
      </c>
      <c r="R170" s="227" t="s">
        <v>1175</v>
      </c>
      <c r="S170" s="233" t="s">
        <v>1534</v>
      </c>
      <c r="T170" s="233" t="s">
        <v>1670</v>
      </c>
      <c r="U170" s="233" t="s">
        <v>1680</v>
      </c>
      <c r="V170" s="205" t="s">
        <v>1681</v>
      </c>
      <c r="W170" s="227"/>
      <c r="X170" s="227" t="s">
        <v>848</v>
      </c>
      <c r="Y170" s="227" t="s">
        <v>1155</v>
      </c>
      <c r="Z170" s="227" t="s">
        <v>1182</v>
      </c>
      <c r="AA170" s="230" t="s">
        <v>749</v>
      </c>
    </row>
    <row r="171" spans="2:27" ht="91.5" customHeight="1" x14ac:dyDescent="0.35">
      <c r="B171" s="228" t="s">
        <v>30</v>
      </c>
      <c r="C171" s="228" t="s">
        <v>1669</v>
      </c>
      <c r="D171" s="228" t="s">
        <v>39</v>
      </c>
      <c r="E171" s="229">
        <v>2</v>
      </c>
      <c r="F171" s="228" t="s">
        <v>764</v>
      </c>
      <c r="G171" s="228" t="s">
        <v>765</v>
      </c>
      <c r="H171" s="228" t="s">
        <v>766</v>
      </c>
      <c r="I171" s="229">
        <v>6</v>
      </c>
      <c r="J171" s="231" t="s">
        <v>741</v>
      </c>
      <c r="K171" s="229">
        <v>10</v>
      </c>
      <c r="L171" s="230"/>
      <c r="M171" s="233" t="s">
        <v>767</v>
      </c>
      <c r="N171" s="77" t="s">
        <v>823</v>
      </c>
      <c r="O171" s="229" t="s">
        <v>744</v>
      </c>
      <c r="P171" s="228"/>
      <c r="Q171" s="228"/>
      <c r="R171" s="228"/>
      <c r="S171" s="233" t="s">
        <v>1300</v>
      </c>
      <c r="T171" s="233" t="s">
        <v>1301</v>
      </c>
      <c r="U171" s="233" t="s">
        <v>1568</v>
      </c>
      <c r="V171" s="205" t="s">
        <v>1682</v>
      </c>
      <c r="W171" s="228"/>
      <c r="X171" s="228" t="s">
        <v>749</v>
      </c>
      <c r="Y171" s="228" t="s">
        <v>749</v>
      </c>
      <c r="Z171" s="228" t="s">
        <v>749</v>
      </c>
      <c r="AA171" s="230" t="s">
        <v>749</v>
      </c>
    </row>
    <row r="172" spans="2:27" ht="93" customHeight="1" x14ac:dyDescent="0.35">
      <c r="B172" s="228" t="s">
        <v>30</v>
      </c>
      <c r="C172" s="228" t="s">
        <v>1669</v>
      </c>
      <c r="D172" s="228" t="s">
        <v>39</v>
      </c>
      <c r="E172" s="229">
        <v>2</v>
      </c>
      <c r="F172" s="228" t="s">
        <v>771</v>
      </c>
      <c r="G172" s="228" t="s">
        <v>772</v>
      </c>
      <c r="H172" s="228" t="s">
        <v>773</v>
      </c>
      <c r="I172" s="229">
        <v>7</v>
      </c>
      <c r="J172" s="231" t="s">
        <v>774</v>
      </c>
      <c r="K172" s="229">
        <v>23</v>
      </c>
      <c r="L172" s="230"/>
      <c r="M172" s="233" t="s">
        <v>775</v>
      </c>
      <c r="N172" s="74" t="s">
        <v>776</v>
      </c>
      <c r="O172" s="229" t="s">
        <v>843</v>
      </c>
      <c r="P172" s="228"/>
      <c r="Q172" s="228"/>
      <c r="R172" s="228"/>
      <c r="S172" s="233" t="s">
        <v>1300</v>
      </c>
      <c r="T172" s="233" t="s">
        <v>1301</v>
      </c>
      <c r="U172" s="233" t="s">
        <v>1570</v>
      </c>
      <c r="V172" s="205" t="s">
        <v>1571</v>
      </c>
      <c r="W172" s="228"/>
      <c r="X172" s="228" t="s">
        <v>749</v>
      </c>
      <c r="Y172" s="228" t="s">
        <v>749</v>
      </c>
      <c r="Z172" s="228" t="s">
        <v>749</v>
      </c>
      <c r="AA172" s="230" t="s">
        <v>749</v>
      </c>
    </row>
    <row r="173" spans="2:27" ht="76.5" customHeight="1" x14ac:dyDescent="0.35">
      <c r="B173" s="228" t="s">
        <v>30</v>
      </c>
      <c r="C173" s="228" t="s">
        <v>1683</v>
      </c>
      <c r="D173" s="228" t="s">
        <v>41</v>
      </c>
      <c r="E173" s="229">
        <v>2</v>
      </c>
      <c r="F173" s="228" t="s">
        <v>784</v>
      </c>
      <c r="G173" s="228" t="s">
        <v>785</v>
      </c>
      <c r="H173" s="228" t="s">
        <v>740</v>
      </c>
      <c r="I173" s="229">
        <v>1</v>
      </c>
      <c r="J173" s="231" t="s">
        <v>741</v>
      </c>
      <c r="K173" s="229">
        <v>10</v>
      </c>
      <c r="L173" s="230"/>
      <c r="M173" s="232" t="s">
        <v>786</v>
      </c>
      <c r="N173" s="227" t="s">
        <v>787</v>
      </c>
      <c r="O173" s="229" t="s">
        <v>744</v>
      </c>
      <c r="P173" s="228"/>
      <c r="Q173" s="228" t="s">
        <v>1185</v>
      </c>
      <c r="R173" s="228" t="s">
        <v>784</v>
      </c>
      <c r="S173" s="233" t="s">
        <v>1300</v>
      </c>
      <c r="T173" s="233" t="s">
        <v>1301</v>
      </c>
      <c r="U173" s="233" t="s">
        <v>1302</v>
      </c>
      <c r="V173" s="204" t="s">
        <v>1684</v>
      </c>
      <c r="W173" s="228"/>
      <c r="X173" s="228" t="s">
        <v>834</v>
      </c>
      <c r="Y173" s="228" t="s">
        <v>1304</v>
      </c>
      <c r="Z173" s="228" t="s">
        <v>836</v>
      </c>
      <c r="AA173" s="229" t="s">
        <v>837</v>
      </c>
    </row>
    <row r="174" spans="2:27" ht="93" customHeight="1" x14ac:dyDescent="0.35">
      <c r="B174" s="228" t="s">
        <v>30</v>
      </c>
      <c r="C174" s="228" t="s">
        <v>1683</v>
      </c>
      <c r="D174" s="228" t="s">
        <v>41</v>
      </c>
      <c r="E174" s="229">
        <v>2</v>
      </c>
      <c r="F174" s="228" t="s">
        <v>1187</v>
      </c>
      <c r="G174" s="228" t="s">
        <v>1188</v>
      </c>
      <c r="H174" s="77" t="s">
        <v>1189</v>
      </c>
      <c r="I174" s="229">
        <v>2</v>
      </c>
      <c r="J174" s="231" t="s">
        <v>741</v>
      </c>
      <c r="K174" s="229">
        <v>4</v>
      </c>
      <c r="L174" s="230"/>
      <c r="M174" s="233" t="s">
        <v>1685</v>
      </c>
      <c r="N174" s="197" t="s">
        <v>1686</v>
      </c>
      <c r="O174" s="229" t="s">
        <v>744</v>
      </c>
      <c r="P174" s="233" t="s">
        <v>1192</v>
      </c>
      <c r="Q174" s="228" t="s">
        <v>1185</v>
      </c>
      <c r="R174" s="228" t="s">
        <v>1193</v>
      </c>
      <c r="S174" s="233" t="s">
        <v>1656</v>
      </c>
      <c r="T174" s="233" t="s">
        <v>1687</v>
      </c>
      <c r="U174" s="233" t="s">
        <v>1688</v>
      </c>
      <c r="V174" s="204" t="s">
        <v>1689</v>
      </c>
      <c r="W174" s="228"/>
      <c r="X174" s="228" t="s">
        <v>848</v>
      </c>
      <c r="Y174" s="228" t="s">
        <v>749</v>
      </c>
      <c r="Z174" s="233" t="s">
        <v>749</v>
      </c>
      <c r="AA174" s="229" t="s">
        <v>1198</v>
      </c>
    </row>
    <row r="175" spans="2:27" ht="133.5" customHeight="1" x14ac:dyDescent="0.35">
      <c r="B175" s="228" t="s">
        <v>30</v>
      </c>
      <c r="C175" s="228" t="s">
        <v>1683</v>
      </c>
      <c r="D175" s="228" t="s">
        <v>41</v>
      </c>
      <c r="E175" s="229">
        <v>2</v>
      </c>
      <c r="F175" s="256" t="s">
        <v>931</v>
      </c>
      <c r="G175" s="256" t="s">
        <v>932</v>
      </c>
      <c r="H175" s="256" t="s">
        <v>759</v>
      </c>
      <c r="I175" s="257">
        <v>3</v>
      </c>
      <c r="J175" s="258" t="s">
        <v>934</v>
      </c>
      <c r="K175" s="257"/>
      <c r="L175" s="259"/>
      <c r="M175" s="260" t="s">
        <v>1690</v>
      </c>
      <c r="N175" s="199" t="s">
        <v>1691</v>
      </c>
      <c r="O175" s="257" t="s">
        <v>744</v>
      </c>
      <c r="P175" s="256"/>
      <c r="Q175" s="256" t="s">
        <v>1185</v>
      </c>
      <c r="R175" s="256" t="s">
        <v>1201</v>
      </c>
      <c r="S175" s="233" t="s">
        <v>1656</v>
      </c>
      <c r="T175" s="208" t="s">
        <v>1687</v>
      </c>
      <c r="U175" s="233" t="s">
        <v>1688</v>
      </c>
      <c r="V175" s="204" t="s">
        <v>1692</v>
      </c>
      <c r="W175" s="256"/>
      <c r="X175" s="256" t="s">
        <v>848</v>
      </c>
      <c r="Y175" s="256" t="s">
        <v>749</v>
      </c>
      <c r="Z175" s="256" t="s">
        <v>749</v>
      </c>
      <c r="AA175" s="261" t="s">
        <v>1203</v>
      </c>
    </row>
    <row r="176" spans="2:27" ht="99.75" customHeight="1" x14ac:dyDescent="0.35">
      <c r="B176" s="228" t="s">
        <v>30</v>
      </c>
      <c r="C176" s="228" t="s">
        <v>1683</v>
      </c>
      <c r="D176" s="228" t="s">
        <v>41</v>
      </c>
      <c r="E176" s="229">
        <v>2</v>
      </c>
      <c r="F176" s="228" t="s">
        <v>1204</v>
      </c>
      <c r="G176" s="77" t="s">
        <v>1205</v>
      </c>
      <c r="H176" s="77" t="s">
        <v>1189</v>
      </c>
      <c r="I176" s="229">
        <v>4</v>
      </c>
      <c r="J176" s="231" t="s">
        <v>741</v>
      </c>
      <c r="K176" s="229">
        <v>5</v>
      </c>
      <c r="L176" s="230"/>
      <c r="M176" s="233" t="s">
        <v>1206</v>
      </c>
      <c r="N176" s="233" t="s">
        <v>1207</v>
      </c>
      <c r="O176" s="229"/>
      <c r="P176" s="233" t="s">
        <v>1208</v>
      </c>
      <c r="Q176" s="228" t="s">
        <v>1185</v>
      </c>
      <c r="R176" s="228" t="s">
        <v>1209</v>
      </c>
      <c r="S176" s="233" t="s">
        <v>1445</v>
      </c>
      <c r="T176" s="208" t="s">
        <v>1693</v>
      </c>
      <c r="U176" s="233" t="s">
        <v>1694</v>
      </c>
      <c r="V176" s="204" t="s">
        <v>1695</v>
      </c>
      <c r="W176" s="228"/>
      <c r="X176" s="228" t="s">
        <v>834</v>
      </c>
      <c r="Y176" s="228" t="s">
        <v>1421</v>
      </c>
      <c r="Z176" s="79" t="s">
        <v>1213</v>
      </c>
      <c r="AA176" s="229" t="s">
        <v>749</v>
      </c>
    </row>
    <row r="177" spans="2:27" ht="75.75" customHeight="1" x14ac:dyDescent="0.35">
      <c r="B177" s="228" t="s">
        <v>30</v>
      </c>
      <c r="C177" s="228" t="s">
        <v>1683</v>
      </c>
      <c r="D177" s="228" t="s">
        <v>41</v>
      </c>
      <c r="E177" s="229">
        <v>2</v>
      </c>
      <c r="F177" s="228" t="s">
        <v>764</v>
      </c>
      <c r="G177" s="228" t="s">
        <v>765</v>
      </c>
      <c r="H177" s="228" t="s">
        <v>766</v>
      </c>
      <c r="I177" s="229">
        <v>5</v>
      </c>
      <c r="J177" s="231" t="s">
        <v>741</v>
      </c>
      <c r="K177" s="229">
        <v>10</v>
      </c>
      <c r="L177" s="230"/>
      <c r="M177" s="233" t="s">
        <v>767</v>
      </c>
      <c r="N177" s="77" t="s">
        <v>823</v>
      </c>
      <c r="O177" s="229" t="s">
        <v>744</v>
      </c>
      <c r="P177" s="228"/>
      <c r="Q177" s="228"/>
      <c r="R177" s="228"/>
      <c r="S177" s="233" t="s">
        <v>1300</v>
      </c>
      <c r="T177" s="233" t="s">
        <v>1301</v>
      </c>
      <c r="U177" s="233" t="s">
        <v>1568</v>
      </c>
      <c r="V177" s="204" t="s">
        <v>1696</v>
      </c>
      <c r="W177" s="228"/>
      <c r="X177" s="228" t="s">
        <v>749</v>
      </c>
      <c r="Y177" s="228" t="s">
        <v>749</v>
      </c>
      <c r="Z177" s="228" t="s">
        <v>749</v>
      </c>
      <c r="AA177" s="229" t="s">
        <v>749</v>
      </c>
    </row>
    <row r="178" spans="2:27" ht="75.75" customHeight="1" x14ac:dyDescent="0.35">
      <c r="B178" s="228" t="s">
        <v>30</v>
      </c>
      <c r="C178" s="228" t="s">
        <v>1683</v>
      </c>
      <c r="D178" s="228" t="s">
        <v>41</v>
      </c>
      <c r="E178" s="229">
        <v>2</v>
      </c>
      <c r="F178" s="228" t="s">
        <v>771</v>
      </c>
      <c r="G178" s="228" t="s">
        <v>772</v>
      </c>
      <c r="H178" s="228" t="s">
        <v>773</v>
      </c>
      <c r="I178" s="229">
        <v>6</v>
      </c>
      <c r="J178" s="231" t="s">
        <v>774</v>
      </c>
      <c r="K178" s="229">
        <v>23</v>
      </c>
      <c r="L178" s="230"/>
      <c r="M178" s="233" t="s">
        <v>775</v>
      </c>
      <c r="N178" s="74" t="s">
        <v>776</v>
      </c>
      <c r="O178" s="229" t="s">
        <v>843</v>
      </c>
      <c r="P178" s="228"/>
      <c r="Q178" s="228"/>
      <c r="R178" s="228"/>
      <c r="S178" s="233" t="s">
        <v>1300</v>
      </c>
      <c r="T178" s="233" t="s">
        <v>1301</v>
      </c>
      <c r="U178" s="233" t="s">
        <v>1570</v>
      </c>
      <c r="V178" s="204" t="s">
        <v>1697</v>
      </c>
      <c r="W178" s="228"/>
      <c r="X178" s="228" t="s">
        <v>749</v>
      </c>
      <c r="Y178" s="228" t="s">
        <v>749</v>
      </c>
      <c r="Z178" s="228" t="s">
        <v>749</v>
      </c>
      <c r="AA178" s="229" t="s">
        <v>749</v>
      </c>
    </row>
    <row r="179" spans="2:27" ht="94.5" customHeight="1" x14ac:dyDescent="0.35">
      <c r="B179" s="228" t="s">
        <v>30</v>
      </c>
      <c r="C179" s="228" t="s">
        <v>1698</v>
      </c>
      <c r="D179" s="228" t="s">
        <v>43</v>
      </c>
      <c r="E179" s="229">
        <v>2</v>
      </c>
      <c r="F179" s="228" t="s">
        <v>784</v>
      </c>
      <c r="G179" s="228" t="s">
        <v>785</v>
      </c>
      <c r="H179" s="228" t="s">
        <v>1280</v>
      </c>
      <c r="I179" s="229">
        <v>1</v>
      </c>
      <c r="J179" s="231" t="s">
        <v>741</v>
      </c>
      <c r="K179" s="229">
        <v>10</v>
      </c>
      <c r="L179" s="230"/>
      <c r="M179" s="232" t="s">
        <v>786</v>
      </c>
      <c r="N179" s="227" t="s">
        <v>787</v>
      </c>
      <c r="O179" s="229" t="s">
        <v>744</v>
      </c>
      <c r="P179" s="228"/>
      <c r="Q179" s="228" t="s">
        <v>1281</v>
      </c>
      <c r="R179" s="228" t="s">
        <v>784</v>
      </c>
      <c r="S179" s="233" t="s">
        <v>1300</v>
      </c>
      <c r="T179" s="233" t="s">
        <v>1699</v>
      </c>
      <c r="U179" s="233" t="s">
        <v>1302</v>
      </c>
      <c r="V179" s="204" t="s">
        <v>1700</v>
      </c>
      <c r="W179" s="228"/>
      <c r="X179" s="228" t="s">
        <v>834</v>
      </c>
      <c r="Y179" s="228" t="s">
        <v>1285</v>
      </c>
      <c r="Z179" s="228" t="s">
        <v>1286</v>
      </c>
      <c r="AA179" s="229" t="s">
        <v>837</v>
      </c>
    </row>
    <row r="180" spans="2:27" ht="62.25" customHeight="1" x14ac:dyDescent="0.35">
      <c r="B180" s="228" t="s">
        <v>30</v>
      </c>
      <c r="C180" s="228" t="s">
        <v>1698</v>
      </c>
      <c r="D180" s="228" t="s">
        <v>43</v>
      </c>
      <c r="E180" s="229">
        <v>2</v>
      </c>
      <c r="F180" s="228" t="s">
        <v>1287</v>
      </c>
      <c r="G180" s="227" t="s">
        <v>1288</v>
      </c>
      <c r="H180" s="228" t="s">
        <v>1189</v>
      </c>
      <c r="I180" s="229">
        <v>2</v>
      </c>
      <c r="J180" s="231" t="s">
        <v>741</v>
      </c>
      <c r="K180" s="229">
        <v>4</v>
      </c>
      <c r="L180" s="230"/>
      <c r="M180" s="232" t="s">
        <v>1289</v>
      </c>
      <c r="N180" s="228" t="s">
        <v>1290</v>
      </c>
      <c r="O180" s="229" t="s">
        <v>744</v>
      </c>
      <c r="P180" s="233" t="s">
        <v>1701</v>
      </c>
      <c r="Q180" s="228" t="s">
        <v>1281</v>
      </c>
      <c r="R180" s="228" t="s">
        <v>1292</v>
      </c>
      <c r="S180" s="233" t="s">
        <v>1445</v>
      </c>
      <c r="T180" s="233" t="s">
        <v>1702</v>
      </c>
      <c r="U180" s="233" t="s">
        <v>1703</v>
      </c>
      <c r="V180" s="204" t="s">
        <v>1704</v>
      </c>
      <c r="W180" s="228"/>
      <c r="X180" s="228" t="s">
        <v>834</v>
      </c>
      <c r="Y180" s="180" t="s">
        <v>1296</v>
      </c>
      <c r="Z180" s="228" t="s">
        <v>1297</v>
      </c>
      <c r="AA180" s="229" t="s">
        <v>837</v>
      </c>
    </row>
    <row r="181" spans="2:27" ht="105" customHeight="1" x14ac:dyDescent="0.35">
      <c r="B181" s="228" t="s">
        <v>9</v>
      </c>
      <c r="C181" s="228" t="s">
        <v>1279</v>
      </c>
      <c r="D181" s="228" t="s">
        <v>22</v>
      </c>
      <c r="E181" s="229">
        <v>2</v>
      </c>
      <c r="F181" s="228" t="s">
        <v>1705</v>
      </c>
      <c r="G181" s="227" t="s">
        <v>1706</v>
      </c>
      <c r="H181" s="228" t="s">
        <v>1189</v>
      </c>
      <c r="I181" s="230">
        <v>3</v>
      </c>
      <c r="J181" s="231" t="s">
        <v>741</v>
      </c>
      <c r="K181" s="230">
        <v>4</v>
      </c>
      <c r="L181" s="230"/>
      <c r="M181" s="232" t="s">
        <v>1707</v>
      </c>
      <c r="N181" s="227" t="s">
        <v>1708</v>
      </c>
      <c r="O181" s="229" t="s">
        <v>744</v>
      </c>
      <c r="P181" s="232" t="s">
        <v>1709</v>
      </c>
      <c r="Q181" s="228"/>
      <c r="R181" s="228"/>
      <c r="S181" s="233" t="s">
        <v>1236</v>
      </c>
      <c r="T181" s="233" t="s">
        <v>1710</v>
      </c>
      <c r="U181" s="233" t="s">
        <v>1711</v>
      </c>
      <c r="V181" s="176" t="s">
        <v>1712</v>
      </c>
      <c r="W181" s="228"/>
      <c r="X181" s="228" t="s">
        <v>834</v>
      </c>
      <c r="Y181" s="180" t="s">
        <v>1296</v>
      </c>
      <c r="Z181" s="227" t="s">
        <v>1713</v>
      </c>
      <c r="AA181" s="229" t="s">
        <v>749</v>
      </c>
    </row>
    <row r="182" spans="2:27" ht="105" customHeight="1" x14ac:dyDescent="0.35">
      <c r="B182" s="228" t="s">
        <v>30</v>
      </c>
      <c r="C182" s="228" t="s">
        <v>1698</v>
      </c>
      <c r="D182" s="228" t="s">
        <v>43</v>
      </c>
      <c r="E182" s="229">
        <v>2</v>
      </c>
      <c r="F182" s="228" t="s">
        <v>1705</v>
      </c>
      <c r="G182" s="227" t="s">
        <v>1706</v>
      </c>
      <c r="H182" s="228" t="s">
        <v>1189</v>
      </c>
      <c r="I182" s="230">
        <v>3</v>
      </c>
      <c r="J182" s="231" t="s">
        <v>741</v>
      </c>
      <c r="K182" s="230">
        <v>4</v>
      </c>
      <c r="L182" s="230"/>
      <c r="M182" s="232" t="s">
        <v>1707</v>
      </c>
      <c r="N182" s="227" t="s">
        <v>1708</v>
      </c>
      <c r="O182" s="229" t="s">
        <v>744</v>
      </c>
      <c r="P182" s="232" t="s">
        <v>1709</v>
      </c>
      <c r="Q182" s="228"/>
      <c r="R182" s="228"/>
      <c r="S182" s="233" t="s">
        <v>1714</v>
      </c>
      <c r="T182" s="208" t="s">
        <v>1715</v>
      </c>
      <c r="U182" s="233" t="s">
        <v>1716</v>
      </c>
      <c r="V182" s="205" t="s">
        <v>1717</v>
      </c>
      <c r="W182" s="228"/>
      <c r="X182" s="228" t="s">
        <v>834</v>
      </c>
      <c r="Y182" s="180" t="s">
        <v>1296</v>
      </c>
      <c r="Z182" s="227" t="s">
        <v>1713</v>
      </c>
      <c r="AA182" s="229" t="s">
        <v>749</v>
      </c>
    </row>
    <row r="183" spans="2:27" ht="105" customHeight="1" x14ac:dyDescent="0.35">
      <c r="B183" s="228" t="s">
        <v>30</v>
      </c>
      <c r="C183" s="228" t="s">
        <v>1698</v>
      </c>
      <c r="D183" s="228" t="s">
        <v>43</v>
      </c>
      <c r="E183" s="229">
        <v>2</v>
      </c>
      <c r="F183" s="228" t="s">
        <v>1305</v>
      </c>
      <c r="G183" s="227" t="s">
        <v>1306</v>
      </c>
      <c r="H183" s="228" t="s">
        <v>1189</v>
      </c>
      <c r="I183" s="229">
        <v>4</v>
      </c>
      <c r="J183" s="231" t="s">
        <v>741</v>
      </c>
      <c r="K183" s="229">
        <v>4</v>
      </c>
      <c r="L183" s="230"/>
      <c r="M183" s="233" t="s">
        <v>1307</v>
      </c>
      <c r="N183" s="228" t="s">
        <v>1308</v>
      </c>
      <c r="O183" s="229" t="s">
        <v>744</v>
      </c>
      <c r="P183" s="233" t="s">
        <v>883</v>
      </c>
      <c r="Q183" s="228" t="s">
        <v>1281</v>
      </c>
      <c r="R183" s="228" t="s">
        <v>1309</v>
      </c>
      <c r="S183" s="233" t="s">
        <v>1445</v>
      </c>
      <c r="T183" s="233" t="s">
        <v>1718</v>
      </c>
      <c r="U183" s="233" t="s">
        <v>1470</v>
      </c>
      <c r="V183" s="204" t="s">
        <v>1719</v>
      </c>
      <c r="W183" s="228"/>
      <c r="X183" s="228" t="s">
        <v>834</v>
      </c>
      <c r="Y183" s="228" t="s">
        <v>1313</v>
      </c>
      <c r="Z183" s="228" t="s">
        <v>1314</v>
      </c>
      <c r="AA183" s="229" t="s">
        <v>837</v>
      </c>
    </row>
    <row r="184" spans="2:27" ht="113.25" customHeight="1" x14ac:dyDescent="0.35">
      <c r="B184" s="228" t="s">
        <v>30</v>
      </c>
      <c r="C184" s="228" t="s">
        <v>1698</v>
      </c>
      <c r="D184" s="228" t="s">
        <v>43</v>
      </c>
      <c r="E184" s="229">
        <v>2</v>
      </c>
      <c r="F184" s="228" t="s">
        <v>1315</v>
      </c>
      <c r="G184" s="227" t="s">
        <v>1316</v>
      </c>
      <c r="H184" s="228" t="s">
        <v>933</v>
      </c>
      <c r="I184" s="229">
        <v>5</v>
      </c>
      <c r="J184" s="231" t="s">
        <v>741</v>
      </c>
      <c r="K184" s="229">
        <v>40</v>
      </c>
      <c r="L184" s="230"/>
      <c r="M184" s="233" t="s">
        <v>1720</v>
      </c>
      <c r="N184" s="199" t="s">
        <v>1721</v>
      </c>
      <c r="O184" s="229" t="s">
        <v>744</v>
      </c>
      <c r="P184" s="228"/>
      <c r="Q184" s="228" t="s">
        <v>1281</v>
      </c>
      <c r="R184" s="228" t="s">
        <v>1315</v>
      </c>
      <c r="S184" s="233" t="s">
        <v>1300</v>
      </c>
      <c r="T184" s="233" t="s">
        <v>1699</v>
      </c>
      <c r="U184" s="233" t="s">
        <v>1722</v>
      </c>
      <c r="V184" s="204" t="s">
        <v>1723</v>
      </c>
      <c r="W184" s="228"/>
      <c r="X184" s="228" t="s">
        <v>834</v>
      </c>
      <c r="Y184" s="228" t="s">
        <v>1321</v>
      </c>
      <c r="Z184" s="228" t="s">
        <v>1322</v>
      </c>
      <c r="AA184" s="229" t="s">
        <v>749</v>
      </c>
    </row>
    <row r="185" spans="2:27" ht="89.25" customHeight="1" x14ac:dyDescent="0.35">
      <c r="B185" s="228" t="s">
        <v>30</v>
      </c>
      <c r="C185" s="228" t="s">
        <v>1698</v>
      </c>
      <c r="D185" s="228" t="s">
        <v>43</v>
      </c>
      <c r="E185" s="229">
        <v>2</v>
      </c>
      <c r="F185" s="228" t="s">
        <v>1323</v>
      </c>
      <c r="G185" s="77" t="s">
        <v>1324</v>
      </c>
      <c r="H185" s="228" t="s">
        <v>1115</v>
      </c>
      <c r="I185" s="229">
        <v>6</v>
      </c>
      <c r="J185" s="231" t="s">
        <v>741</v>
      </c>
      <c r="K185" s="229">
        <v>10</v>
      </c>
      <c r="L185" s="230"/>
      <c r="M185" s="233" t="s">
        <v>1325</v>
      </c>
      <c r="N185" s="228" t="s">
        <v>1326</v>
      </c>
      <c r="O185" s="229" t="s">
        <v>843</v>
      </c>
      <c r="P185" s="228"/>
      <c r="Q185" s="228" t="s">
        <v>1281</v>
      </c>
      <c r="R185" s="228" t="s">
        <v>1327</v>
      </c>
      <c r="S185" s="233" t="s">
        <v>1300</v>
      </c>
      <c r="T185" s="233" t="s">
        <v>1699</v>
      </c>
      <c r="U185" s="233" t="s">
        <v>1724</v>
      </c>
      <c r="V185" s="204" t="s">
        <v>1725</v>
      </c>
      <c r="W185" s="228"/>
      <c r="X185" s="228" t="s">
        <v>834</v>
      </c>
      <c r="Y185" s="228" t="s">
        <v>1321</v>
      </c>
      <c r="Z185" s="228" t="s">
        <v>1330</v>
      </c>
      <c r="AA185" s="229" t="s">
        <v>749</v>
      </c>
    </row>
    <row r="186" spans="2:27" ht="86.25" customHeight="1" x14ac:dyDescent="0.35">
      <c r="B186" s="228" t="s">
        <v>30</v>
      </c>
      <c r="C186" s="228" t="s">
        <v>1698</v>
      </c>
      <c r="D186" s="228" t="s">
        <v>43</v>
      </c>
      <c r="E186" s="229">
        <v>2</v>
      </c>
      <c r="F186" s="228" t="s">
        <v>1331</v>
      </c>
      <c r="G186" s="228" t="s">
        <v>1332</v>
      </c>
      <c r="H186" s="228" t="s">
        <v>1115</v>
      </c>
      <c r="I186" s="229">
        <v>7</v>
      </c>
      <c r="J186" s="231" t="s">
        <v>741</v>
      </c>
      <c r="K186" s="229">
        <v>10</v>
      </c>
      <c r="L186" s="230"/>
      <c r="M186" s="233" t="s">
        <v>1333</v>
      </c>
      <c r="N186" s="199" t="s">
        <v>1334</v>
      </c>
      <c r="O186" s="229" t="s">
        <v>843</v>
      </c>
      <c r="P186" s="228"/>
      <c r="Q186" s="228" t="s">
        <v>1281</v>
      </c>
      <c r="R186" s="228" t="s">
        <v>1331</v>
      </c>
      <c r="S186" s="233" t="s">
        <v>1300</v>
      </c>
      <c r="T186" s="233" t="s">
        <v>1699</v>
      </c>
      <c r="U186" s="233" t="s">
        <v>1726</v>
      </c>
      <c r="V186" s="204" t="s">
        <v>1727</v>
      </c>
      <c r="W186" s="228"/>
      <c r="X186" s="228" t="s">
        <v>834</v>
      </c>
      <c r="Y186" s="228" t="s">
        <v>1321</v>
      </c>
      <c r="Z186" s="228" t="s">
        <v>1337</v>
      </c>
      <c r="AA186" s="229" t="s">
        <v>749</v>
      </c>
    </row>
    <row r="187" spans="2:27" ht="89.25" customHeight="1" x14ac:dyDescent="0.35">
      <c r="B187" s="228" t="s">
        <v>30</v>
      </c>
      <c r="C187" s="228" t="s">
        <v>1698</v>
      </c>
      <c r="D187" s="228" t="s">
        <v>43</v>
      </c>
      <c r="E187" s="229">
        <v>2</v>
      </c>
      <c r="F187" s="228" t="s">
        <v>764</v>
      </c>
      <c r="G187" s="228" t="s">
        <v>765</v>
      </c>
      <c r="H187" s="228" t="s">
        <v>766</v>
      </c>
      <c r="I187" s="229">
        <v>8</v>
      </c>
      <c r="J187" s="231" t="s">
        <v>741</v>
      </c>
      <c r="K187" s="229">
        <v>10</v>
      </c>
      <c r="L187" s="230"/>
      <c r="M187" s="233" t="s">
        <v>767</v>
      </c>
      <c r="N187" s="77" t="s">
        <v>823</v>
      </c>
      <c r="O187" s="229" t="s">
        <v>744</v>
      </c>
      <c r="P187" s="228"/>
      <c r="Q187" s="228"/>
      <c r="R187" s="228"/>
      <c r="S187" s="233" t="s">
        <v>1300</v>
      </c>
      <c r="T187" s="233" t="s">
        <v>1699</v>
      </c>
      <c r="U187" s="233" t="s">
        <v>1568</v>
      </c>
      <c r="V187" s="214" t="s">
        <v>1728</v>
      </c>
      <c r="W187" s="228"/>
      <c r="X187" s="228" t="s">
        <v>749</v>
      </c>
      <c r="Y187" s="228" t="s">
        <v>749</v>
      </c>
      <c r="Z187" s="228" t="s">
        <v>749</v>
      </c>
      <c r="AA187" s="229" t="s">
        <v>749</v>
      </c>
    </row>
    <row r="188" spans="2:27" ht="96.75" customHeight="1" x14ac:dyDescent="0.35">
      <c r="B188" s="228" t="s">
        <v>30</v>
      </c>
      <c r="C188" s="228" t="s">
        <v>1698</v>
      </c>
      <c r="D188" s="228" t="s">
        <v>43</v>
      </c>
      <c r="E188" s="229">
        <v>2</v>
      </c>
      <c r="F188" s="228" t="s">
        <v>771</v>
      </c>
      <c r="G188" s="228" t="s">
        <v>772</v>
      </c>
      <c r="H188" s="228" t="s">
        <v>773</v>
      </c>
      <c r="I188" s="229">
        <v>9</v>
      </c>
      <c r="J188" s="231" t="s">
        <v>774</v>
      </c>
      <c r="K188" s="229">
        <v>23</v>
      </c>
      <c r="L188" s="230"/>
      <c r="M188" s="233" t="s">
        <v>775</v>
      </c>
      <c r="N188" s="74" t="s">
        <v>776</v>
      </c>
      <c r="O188" s="229" t="s">
        <v>843</v>
      </c>
      <c r="P188" s="228"/>
      <c r="Q188" s="228"/>
      <c r="R188" s="228"/>
      <c r="S188" s="233" t="s">
        <v>1300</v>
      </c>
      <c r="T188" s="233" t="s">
        <v>1699</v>
      </c>
      <c r="U188" s="262" t="s">
        <v>1570</v>
      </c>
      <c r="V188" s="204" t="s">
        <v>1571</v>
      </c>
      <c r="W188" s="250"/>
      <c r="X188" s="228" t="s">
        <v>749</v>
      </c>
      <c r="Y188" s="228" t="s">
        <v>749</v>
      </c>
      <c r="Z188" s="228" t="s">
        <v>749</v>
      </c>
      <c r="AA188" s="229" t="s">
        <v>749</v>
      </c>
    </row>
    <row r="189" spans="2:27" ht="80.25" customHeight="1" x14ac:dyDescent="0.35">
      <c r="B189" s="227" t="s">
        <v>30</v>
      </c>
      <c r="C189" s="228" t="s">
        <v>1729</v>
      </c>
      <c r="D189" s="227" t="s">
        <v>45</v>
      </c>
      <c r="E189" s="229">
        <v>3</v>
      </c>
      <c r="F189" s="77" t="s">
        <v>784</v>
      </c>
      <c r="G189" s="77" t="s">
        <v>785</v>
      </c>
      <c r="H189" s="77" t="s">
        <v>1280</v>
      </c>
      <c r="I189" s="73">
        <v>1</v>
      </c>
      <c r="J189" s="75" t="s">
        <v>741</v>
      </c>
      <c r="K189" s="73">
        <v>10</v>
      </c>
      <c r="L189" s="73"/>
      <c r="M189" s="76" t="s">
        <v>786</v>
      </c>
      <c r="N189" s="227" t="s">
        <v>787</v>
      </c>
      <c r="O189" s="73" t="s">
        <v>744</v>
      </c>
      <c r="P189" s="77"/>
      <c r="Q189" s="77" t="s">
        <v>1340</v>
      </c>
      <c r="R189" s="77" t="s">
        <v>784</v>
      </c>
      <c r="S189" s="233" t="s">
        <v>1730</v>
      </c>
      <c r="T189" s="233" t="s">
        <v>1731</v>
      </c>
      <c r="U189" s="233" t="s">
        <v>505</v>
      </c>
      <c r="V189" s="215" t="s">
        <v>1732</v>
      </c>
      <c r="W189" s="77"/>
      <c r="X189" s="77" t="s">
        <v>848</v>
      </c>
      <c r="Y189" s="77" t="s">
        <v>1343</v>
      </c>
      <c r="Z189" s="77" t="s">
        <v>505</v>
      </c>
      <c r="AA189" s="73" t="s">
        <v>749</v>
      </c>
    </row>
    <row r="190" spans="2:27" ht="97.5" customHeight="1" x14ac:dyDescent="0.35">
      <c r="B190" s="227" t="s">
        <v>30</v>
      </c>
      <c r="C190" s="228" t="s">
        <v>1729</v>
      </c>
      <c r="D190" s="227" t="s">
        <v>45</v>
      </c>
      <c r="E190" s="229">
        <v>3</v>
      </c>
      <c r="F190" s="228" t="s">
        <v>1315</v>
      </c>
      <c r="G190" s="227" t="s">
        <v>1316</v>
      </c>
      <c r="H190" s="228" t="s">
        <v>933</v>
      </c>
      <c r="I190" s="230">
        <v>2</v>
      </c>
      <c r="J190" s="236" t="s">
        <v>741</v>
      </c>
      <c r="K190" s="230">
        <v>40</v>
      </c>
      <c r="L190" s="230"/>
      <c r="M190" s="232" t="s">
        <v>1733</v>
      </c>
      <c r="N190" s="197" t="s">
        <v>1734</v>
      </c>
      <c r="O190" s="230" t="s">
        <v>744</v>
      </c>
      <c r="P190" s="227"/>
      <c r="Q190" s="227" t="s">
        <v>1340</v>
      </c>
      <c r="R190" s="227" t="s">
        <v>1315</v>
      </c>
      <c r="S190" s="233" t="s">
        <v>1730</v>
      </c>
      <c r="T190" s="233" t="s">
        <v>1731</v>
      </c>
      <c r="U190" s="233" t="s">
        <v>1348</v>
      </c>
      <c r="V190" s="204" t="s">
        <v>1735</v>
      </c>
      <c r="W190" s="227"/>
      <c r="X190" s="233" t="s">
        <v>848</v>
      </c>
      <c r="Y190" s="79" t="s">
        <v>1343</v>
      </c>
      <c r="Z190" s="79" t="s">
        <v>1348</v>
      </c>
      <c r="AA190" s="85" t="s">
        <v>749</v>
      </c>
    </row>
    <row r="191" spans="2:27" ht="83.25" customHeight="1" x14ac:dyDescent="0.35">
      <c r="B191" s="227" t="s">
        <v>30</v>
      </c>
      <c r="C191" s="228" t="s">
        <v>1729</v>
      </c>
      <c r="D191" s="227" t="s">
        <v>45</v>
      </c>
      <c r="E191" s="229">
        <v>3</v>
      </c>
      <c r="F191" s="228" t="s">
        <v>1287</v>
      </c>
      <c r="G191" s="227" t="s">
        <v>1288</v>
      </c>
      <c r="H191" s="228" t="s">
        <v>1189</v>
      </c>
      <c r="I191" s="230">
        <v>3</v>
      </c>
      <c r="J191" s="236" t="s">
        <v>741</v>
      </c>
      <c r="K191" s="230">
        <v>4</v>
      </c>
      <c r="L191" s="230"/>
      <c r="M191" s="232" t="s">
        <v>1736</v>
      </c>
      <c r="N191" s="199" t="s">
        <v>1737</v>
      </c>
      <c r="O191" s="230" t="s">
        <v>744</v>
      </c>
      <c r="P191" s="232" t="s">
        <v>1351</v>
      </c>
      <c r="Q191" s="227"/>
      <c r="R191" s="227"/>
      <c r="S191" s="233" t="s">
        <v>1730</v>
      </c>
      <c r="T191" s="233" t="s">
        <v>1731</v>
      </c>
      <c r="U191" s="233" t="s">
        <v>1354</v>
      </c>
      <c r="V191" s="204" t="s">
        <v>1738</v>
      </c>
      <c r="W191" s="227"/>
      <c r="X191" s="233" t="s">
        <v>848</v>
      </c>
      <c r="Y191" s="79" t="s">
        <v>1343</v>
      </c>
      <c r="Z191" s="79" t="s">
        <v>1354</v>
      </c>
      <c r="AA191" s="85" t="s">
        <v>749</v>
      </c>
    </row>
    <row r="192" spans="2:27" ht="92.25" customHeight="1" x14ac:dyDescent="0.35">
      <c r="B192" s="227" t="s">
        <v>30</v>
      </c>
      <c r="C192" s="228" t="s">
        <v>1729</v>
      </c>
      <c r="D192" s="227" t="s">
        <v>45</v>
      </c>
      <c r="E192" s="229">
        <v>3</v>
      </c>
      <c r="F192" s="228" t="s">
        <v>1305</v>
      </c>
      <c r="G192" s="227" t="s">
        <v>1306</v>
      </c>
      <c r="H192" s="228" t="s">
        <v>1189</v>
      </c>
      <c r="I192" s="230">
        <v>4</v>
      </c>
      <c r="J192" s="236" t="s">
        <v>741</v>
      </c>
      <c r="K192" s="230">
        <v>4</v>
      </c>
      <c r="L192" s="230"/>
      <c r="M192" s="233" t="s">
        <v>1307</v>
      </c>
      <c r="N192" s="227" t="s">
        <v>1308</v>
      </c>
      <c r="O192" s="230" t="s">
        <v>744</v>
      </c>
      <c r="P192" s="232" t="s">
        <v>1355</v>
      </c>
      <c r="Q192" s="227"/>
      <c r="R192" s="227"/>
      <c r="S192" s="233" t="s">
        <v>1730</v>
      </c>
      <c r="T192" s="233" t="s">
        <v>1731</v>
      </c>
      <c r="U192" s="233" t="s">
        <v>124</v>
      </c>
      <c r="V192" s="204" t="s">
        <v>1739</v>
      </c>
      <c r="W192" s="227"/>
      <c r="X192" s="233" t="s">
        <v>848</v>
      </c>
      <c r="Y192" s="79" t="s">
        <v>1343</v>
      </c>
      <c r="Z192" s="79" t="s">
        <v>124</v>
      </c>
      <c r="AA192" s="85" t="s">
        <v>749</v>
      </c>
    </row>
    <row r="193" spans="2:27" ht="80.25" customHeight="1" x14ac:dyDescent="0.35">
      <c r="B193" s="227" t="s">
        <v>30</v>
      </c>
      <c r="C193" s="228" t="s">
        <v>1729</v>
      </c>
      <c r="D193" s="227" t="s">
        <v>45</v>
      </c>
      <c r="E193" s="229">
        <v>3</v>
      </c>
      <c r="F193" s="228" t="s">
        <v>1358</v>
      </c>
      <c r="G193" s="227" t="s">
        <v>1359</v>
      </c>
      <c r="H193" s="228" t="s">
        <v>1189</v>
      </c>
      <c r="I193" s="230">
        <v>5</v>
      </c>
      <c r="J193" s="236" t="s">
        <v>741</v>
      </c>
      <c r="K193" s="230">
        <v>4</v>
      </c>
      <c r="L193" s="230"/>
      <c r="M193" s="232" t="s">
        <v>1740</v>
      </c>
      <c r="N193" s="227" t="s">
        <v>1361</v>
      </c>
      <c r="O193" s="230" t="s">
        <v>744</v>
      </c>
      <c r="P193" s="232" t="s">
        <v>1362</v>
      </c>
      <c r="Q193" s="227" t="s">
        <v>1340</v>
      </c>
      <c r="R193" s="227" t="s">
        <v>1358</v>
      </c>
      <c r="S193" s="233" t="s">
        <v>1730</v>
      </c>
      <c r="T193" s="233" t="s">
        <v>1731</v>
      </c>
      <c r="U193" s="233" t="s">
        <v>1365</v>
      </c>
      <c r="V193" s="204" t="s">
        <v>1741</v>
      </c>
      <c r="W193" s="227"/>
      <c r="X193" s="233" t="s">
        <v>848</v>
      </c>
      <c r="Y193" s="79" t="s">
        <v>1343</v>
      </c>
      <c r="Z193" s="79" t="s">
        <v>1365</v>
      </c>
      <c r="AA193" s="85" t="s">
        <v>749</v>
      </c>
    </row>
    <row r="194" spans="2:27" ht="78" customHeight="1" x14ac:dyDescent="0.35">
      <c r="B194" s="263" t="s">
        <v>30</v>
      </c>
      <c r="C194" s="264" t="s">
        <v>1729</v>
      </c>
      <c r="D194" s="227" t="s">
        <v>45</v>
      </c>
      <c r="E194" s="265">
        <v>3</v>
      </c>
      <c r="F194" s="264" t="s">
        <v>942</v>
      </c>
      <c r="G194" s="263" t="s">
        <v>943</v>
      </c>
      <c r="H194" s="264" t="s">
        <v>1366</v>
      </c>
      <c r="I194" s="266">
        <v>6</v>
      </c>
      <c r="J194" s="267" t="s">
        <v>741</v>
      </c>
      <c r="K194" s="266">
        <v>10</v>
      </c>
      <c r="L194" s="266"/>
      <c r="M194" s="237" t="s">
        <v>1367</v>
      </c>
      <c r="N194" s="227" t="s">
        <v>1368</v>
      </c>
      <c r="O194" s="266" t="s">
        <v>744</v>
      </c>
      <c r="P194" s="263"/>
      <c r="Q194" s="227"/>
      <c r="R194" s="227"/>
      <c r="S194" s="233" t="s">
        <v>1730</v>
      </c>
      <c r="T194" s="233" t="s">
        <v>1731</v>
      </c>
      <c r="U194" s="233" t="s">
        <v>1371</v>
      </c>
      <c r="V194" s="204" t="s">
        <v>1742</v>
      </c>
      <c r="W194" s="263"/>
      <c r="X194" s="233" t="s">
        <v>848</v>
      </c>
      <c r="Y194" s="79" t="s">
        <v>1343</v>
      </c>
      <c r="Z194" s="79" t="s">
        <v>1371</v>
      </c>
      <c r="AA194" s="85" t="s">
        <v>749</v>
      </c>
    </row>
    <row r="195" spans="2:27" ht="96.75" customHeight="1" x14ac:dyDescent="0.35">
      <c r="B195" s="227" t="s">
        <v>30</v>
      </c>
      <c r="C195" s="228" t="s">
        <v>1729</v>
      </c>
      <c r="D195" s="227" t="s">
        <v>45</v>
      </c>
      <c r="E195" s="229">
        <v>3</v>
      </c>
      <c r="F195" s="228" t="s">
        <v>764</v>
      </c>
      <c r="G195" s="227" t="s">
        <v>765</v>
      </c>
      <c r="H195" s="228" t="s">
        <v>766</v>
      </c>
      <c r="I195" s="230">
        <v>7</v>
      </c>
      <c r="J195" s="236" t="s">
        <v>741</v>
      </c>
      <c r="K195" s="230">
        <v>10</v>
      </c>
      <c r="L195" s="230"/>
      <c r="M195" s="232" t="s">
        <v>767</v>
      </c>
      <c r="N195" s="77" t="s">
        <v>823</v>
      </c>
      <c r="O195" s="230"/>
      <c r="P195" s="227"/>
      <c r="Q195" s="227"/>
      <c r="R195" s="227"/>
      <c r="S195" s="233" t="s">
        <v>1730</v>
      </c>
      <c r="T195" s="233" t="s">
        <v>1731</v>
      </c>
      <c r="U195" s="233" t="s">
        <v>1743</v>
      </c>
      <c r="V195" s="204" t="s">
        <v>1744</v>
      </c>
      <c r="W195" s="227"/>
      <c r="X195" s="233" t="s">
        <v>749</v>
      </c>
      <c r="Y195" s="233" t="s">
        <v>749</v>
      </c>
      <c r="Z195" s="233" t="s">
        <v>749</v>
      </c>
      <c r="AA195" s="85" t="s">
        <v>749</v>
      </c>
    </row>
    <row r="196" spans="2:27" ht="92.25" customHeight="1" x14ac:dyDescent="0.35">
      <c r="B196" s="227" t="s">
        <v>30</v>
      </c>
      <c r="C196" s="228" t="s">
        <v>1729</v>
      </c>
      <c r="D196" s="227" t="s">
        <v>45</v>
      </c>
      <c r="E196" s="229">
        <v>3</v>
      </c>
      <c r="F196" s="228" t="s">
        <v>771</v>
      </c>
      <c r="G196" s="227" t="s">
        <v>772</v>
      </c>
      <c r="H196" s="228" t="s">
        <v>773</v>
      </c>
      <c r="I196" s="230">
        <v>8</v>
      </c>
      <c r="J196" s="236" t="s">
        <v>774</v>
      </c>
      <c r="K196" s="230">
        <v>23</v>
      </c>
      <c r="L196" s="230"/>
      <c r="M196" s="232" t="s">
        <v>775</v>
      </c>
      <c r="N196" s="74" t="s">
        <v>776</v>
      </c>
      <c r="O196" s="230"/>
      <c r="P196" s="227"/>
      <c r="Q196" s="227"/>
      <c r="R196" s="227"/>
      <c r="S196" s="233" t="s">
        <v>1730</v>
      </c>
      <c r="T196" s="233" t="s">
        <v>1731</v>
      </c>
      <c r="U196" s="233" t="s">
        <v>749</v>
      </c>
      <c r="V196" s="204" t="s">
        <v>1745</v>
      </c>
      <c r="W196" s="227"/>
      <c r="X196" s="233" t="s">
        <v>749</v>
      </c>
      <c r="Y196" s="233" t="s">
        <v>749</v>
      </c>
      <c r="Z196" s="233" t="s">
        <v>749</v>
      </c>
      <c r="AA196" s="85" t="s">
        <v>749</v>
      </c>
    </row>
    <row r="197" spans="2:27" ht="114.75" customHeight="1" x14ac:dyDescent="0.35">
      <c r="B197" s="228" t="s">
        <v>30</v>
      </c>
      <c r="C197" s="228" t="s">
        <v>1746</v>
      </c>
      <c r="D197" s="227" t="s">
        <v>47</v>
      </c>
      <c r="E197" s="229">
        <v>2</v>
      </c>
      <c r="F197" s="228" t="s">
        <v>784</v>
      </c>
      <c r="G197" s="228" t="s">
        <v>785</v>
      </c>
      <c r="H197" s="228" t="s">
        <v>740</v>
      </c>
      <c r="I197" s="230">
        <v>1</v>
      </c>
      <c r="J197" s="236" t="s">
        <v>741</v>
      </c>
      <c r="K197" s="230">
        <v>10</v>
      </c>
      <c r="L197" s="230"/>
      <c r="M197" s="232" t="s">
        <v>786</v>
      </c>
      <c r="N197" s="199" t="s">
        <v>787</v>
      </c>
      <c r="O197" s="229" t="s">
        <v>744</v>
      </c>
      <c r="P197" s="227"/>
      <c r="Q197" s="227" t="s">
        <v>905</v>
      </c>
      <c r="R197" s="227" t="s">
        <v>784</v>
      </c>
      <c r="S197" s="233" t="s">
        <v>1300</v>
      </c>
      <c r="T197" s="233" t="s">
        <v>1375</v>
      </c>
      <c r="U197" s="233" t="s">
        <v>1302</v>
      </c>
      <c r="V197" s="204" t="s">
        <v>1303</v>
      </c>
      <c r="W197" s="227"/>
      <c r="X197" s="227" t="s">
        <v>834</v>
      </c>
      <c r="Y197" s="227" t="s">
        <v>1377</v>
      </c>
      <c r="Z197" s="232" t="s">
        <v>1090</v>
      </c>
      <c r="AA197" s="230" t="s">
        <v>837</v>
      </c>
    </row>
    <row r="198" spans="2:27" ht="90" customHeight="1" x14ac:dyDescent="0.35">
      <c r="B198" s="227" t="s">
        <v>30</v>
      </c>
      <c r="C198" s="228" t="s">
        <v>1746</v>
      </c>
      <c r="D198" s="227" t="s">
        <v>47</v>
      </c>
      <c r="E198" s="229">
        <v>2</v>
      </c>
      <c r="F198" s="228" t="s">
        <v>1378</v>
      </c>
      <c r="G198" s="227" t="s">
        <v>1379</v>
      </c>
      <c r="H198" s="228" t="s">
        <v>1189</v>
      </c>
      <c r="I198" s="230">
        <v>2</v>
      </c>
      <c r="J198" s="236" t="s">
        <v>741</v>
      </c>
      <c r="K198" s="230">
        <v>4</v>
      </c>
      <c r="L198" s="230"/>
      <c r="M198" s="232" t="s">
        <v>1380</v>
      </c>
      <c r="N198" s="197" t="s">
        <v>1747</v>
      </c>
      <c r="O198" s="229" t="s">
        <v>744</v>
      </c>
      <c r="P198" s="232" t="s">
        <v>1382</v>
      </c>
      <c r="Q198" s="227" t="s">
        <v>905</v>
      </c>
      <c r="R198" s="227" t="s">
        <v>1383</v>
      </c>
      <c r="S198" s="233" t="s">
        <v>1300</v>
      </c>
      <c r="T198" s="233" t="s">
        <v>1375</v>
      </c>
      <c r="U198" s="233" t="s">
        <v>1748</v>
      </c>
      <c r="V198" s="205" t="s">
        <v>1749</v>
      </c>
      <c r="W198" s="227"/>
      <c r="X198" s="227" t="s">
        <v>848</v>
      </c>
      <c r="Y198" s="227" t="s">
        <v>1386</v>
      </c>
      <c r="Z198" s="227" t="s">
        <v>1387</v>
      </c>
      <c r="AA198" s="230" t="s">
        <v>749</v>
      </c>
    </row>
    <row r="199" spans="2:27" ht="117" customHeight="1" x14ac:dyDescent="0.35">
      <c r="B199" s="228" t="s">
        <v>30</v>
      </c>
      <c r="C199" s="228" t="s">
        <v>1746</v>
      </c>
      <c r="D199" s="227" t="s">
        <v>47</v>
      </c>
      <c r="E199" s="229">
        <v>2</v>
      </c>
      <c r="F199" s="228" t="s">
        <v>1388</v>
      </c>
      <c r="G199" s="227" t="s">
        <v>1389</v>
      </c>
      <c r="H199" s="228" t="s">
        <v>1189</v>
      </c>
      <c r="I199" s="230">
        <v>3</v>
      </c>
      <c r="J199" s="236" t="s">
        <v>741</v>
      </c>
      <c r="K199" s="230">
        <v>4</v>
      </c>
      <c r="L199" s="230"/>
      <c r="M199" s="232" t="s">
        <v>1390</v>
      </c>
      <c r="N199" s="199" t="s">
        <v>1750</v>
      </c>
      <c r="O199" s="229" t="s">
        <v>744</v>
      </c>
      <c r="P199" s="232" t="s">
        <v>1392</v>
      </c>
      <c r="Q199" s="227" t="s">
        <v>905</v>
      </c>
      <c r="R199" s="227" t="s">
        <v>1393</v>
      </c>
      <c r="S199" s="233" t="s">
        <v>1300</v>
      </c>
      <c r="T199" s="233" t="s">
        <v>1375</v>
      </c>
      <c r="U199" s="233" t="s">
        <v>1751</v>
      </c>
      <c r="V199" s="205" t="s">
        <v>1752</v>
      </c>
      <c r="W199" s="227"/>
      <c r="X199" s="227" t="s">
        <v>848</v>
      </c>
      <c r="Y199" s="227" t="s">
        <v>1386</v>
      </c>
      <c r="Z199" s="232" t="s">
        <v>1396</v>
      </c>
      <c r="AA199" s="230" t="s">
        <v>749</v>
      </c>
    </row>
    <row r="200" spans="2:27" ht="77.25" customHeight="1" x14ac:dyDescent="0.35">
      <c r="B200" s="228" t="s">
        <v>30</v>
      </c>
      <c r="C200" s="228" t="s">
        <v>1746</v>
      </c>
      <c r="D200" s="227" t="s">
        <v>47</v>
      </c>
      <c r="E200" s="229">
        <v>2</v>
      </c>
      <c r="F200" s="228" t="s">
        <v>764</v>
      </c>
      <c r="G200" s="228" t="s">
        <v>765</v>
      </c>
      <c r="H200" s="228" t="s">
        <v>766</v>
      </c>
      <c r="I200" s="230">
        <v>4</v>
      </c>
      <c r="J200" s="236" t="s">
        <v>741</v>
      </c>
      <c r="K200" s="230">
        <v>10</v>
      </c>
      <c r="L200" s="230"/>
      <c r="M200" s="232" t="s">
        <v>767</v>
      </c>
      <c r="N200" s="197" t="s">
        <v>823</v>
      </c>
      <c r="O200" s="230"/>
      <c r="P200" s="227"/>
      <c r="Q200" s="227"/>
      <c r="R200" s="227"/>
      <c r="S200" s="233" t="s">
        <v>1300</v>
      </c>
      <c r="T200" s="233" t="s">
        <v>1375</v>
      </c>
      <c r="U200" s="233" t="s">
        <v>1568</v>
      </c>
      <c r="V200" s="205" t="s">
        <v>1753</v>
      </c>
      <c r="W200" s="227"/>
      <c r="X200" s="227" t="s">
        <v>749</v>
      </c>
      <c r="Y200" s="227" t="s">
        <v>749</v>
      </c>
      <c r="Z200" s="227" t="s">
        <v>749</v>
      </c>
      <c r="AA200" s="230" t="s">
        <v>749</v>
      </c>
    </row>
    <row r="201" spans="2:27" ht="80.25" customHeight="1" x14ac:dyDescent="0.35">
      <c r="B201" s="228" t="s">
        <v>30</v>
      </c>
      <c r="C201" s="228" t="s">
        <v>1746</v>
      </c>
      <c r="D201" s="227" t="s">
        <v>47</v>
      </c>
      <c r="E201" s="229">
        <v>2</v>
      </c>
      <c r="F201" s="228" t="s">
        <v>771</v>
      </c>
      <c r="G201" s="228" t="s">
        <v>772</v>
      </c>
      <c r="H201" s="228" t="s">
        <v>773</v>
      </c>
      <c r="I201" s="230">
        <v>5</v>
      </c>
      <c r="J201" s="236" t="s">
        <v>774</v>
      </c>
      <c r="K201" s="230">
        <v>23</v>
      </c>
      <c r="L201" s="230"/>
      <c r="M201" s="232" t="s">
        <v>775</v>
      </c>
      <c r="N201" s="199" t="s">
        <v>776</v>
      </c>
      <c r="O201" s="230"/>
      <c r="P201" s="227"/>
      <c r="Q201" s="227"/>
      <c r="R201" s="227"/>
      <c r="S201" s="233" t="s">
        <v>1300</v>
      </c>
      <c r="T201" s="233" t="s">
        <v>1375</v>
      </c>
      <c r="U201" s="233" t="s">
        <v>1570</v>
      </c>
      <c r="V201" s="205" t="s">
        <v>1571</v>
      </c>
      <c r="W201" s="227"/>
      <c r="X201" s="227" t="s">
        <v>749</v>
      </c>
      <c r="Y201" s="227" t="s">
        <v>749</v>
      </c>
      <c r="Z201" s="227" t="s">
        <v>749</v>
      </c>
      <c r="AA201" s="230" t="s">
        <v>749</v>
      </c>
    </row>
    <row r="202" spans="2:27" ht="108" customHeight="1" x14ac:dyDescent="0.35">
      <c r="B202" s="228" t="s">
        <v>30</v>
      </c>
      <c r="C202" s="228" t="s">
        <v>1754</v>
      </c>
      <c r="D202" s="228" t="s">
        <v>49</v>
      </c>
      <c r="E202" s="265">
        <v>2</v>
      </c>
      <c r="F202" s="228" t="s">
        <v>784</v>
      </c>
      <c r="G202" s="264" t="s">
        <v>785</v>
      </c>
      <c r="H202" s="264" t="s">
        <v>740</v>
      </c>
      <c r="I202" s="265">
        <v>1</v>
      </c>
      <c r="J202" s="268" t="s">
        <v>741</v>
      </c>
      <c r="K202" s="265">
        <v>10</v>
      </c>
      <c r="L202" s="266"/>
      <c r="M202" s="237" t="s">
        <v>786</v>
      </c>
      <c r="N202" s="227" t="s">
        <v>787</v>
      </c>
      <c r="O202" s="265" t="s">
        <v>744</v>
      </c>
      <c r="P202" s="264"/>
      <c r="Q202" s="264" t="s">
        <v>1399</v>
      </c>
      <c r="R202" s="264" t="s">
        <v>784</v>
      </c>
      <c r="S202" s="233" t="s">
        <v>1534</v>
      </c>
      <c r="T202" s="233" t="s">
        <v>1755</v>
      </c>
      <c r="U202" s="233" t="s">
        <v>832</v>
      </c>
      <c r="V202" s="204" t="s">
        <v>1756</v>
      </c>
      <c r="W202" s="264"/>
      <c r="X202" s="264" t="s">
        <v>834</v>
      </c>
      <c r="Y202" s="269" t="s">
        <v>1401</v>
      </c>
      <c r="Z202" s="264" t="s">
        <v>930</v>
      </c>
      <c r="AA202" s="229" t="s">
        <v>749</v>
      </c>
    </row>
    <row r="203" spans="2:27" ht="98.25" customHeight="1" x14ac:dyDescent="0.35">
      <c r="B203" s="228" t="s">
        <v>30</v>
      </c>
      <c r="C203" s="228" t="s">
        <v>1754</v>
      </c>
      <c r="D203" s="228" t="s">
        <v>49</v>
      </c>
      <c r="E203" s="229">
        <v>2</v>
      </c>
      <c r="F203" s="228" t="s">
        <v>962</v>
      </c>
      <c r="G203" s="227" t="s">
        <v>963</v>
      </c>
      <c r="H203" s="264" t="s">
        <v>1189</v>
      </c>
      <c r="I203" s="229">
        <v>2</v>
      </c>
      <c r="J203" s="231" t="s">
        <v>741</v>
      </c>
      <c r="K203" s="229">
        <v>4</v>
      </c>
      <c r="L203" s="230"/>
      <c r="M203" s="232" t="s">
        <v>1402</v>
      </c>
      <c r="N203" s="227" t="s">
        <v>1403</v>
      </c>
      <c r="O203" s="229" t="s">
        <v>744</v>
      </c>
      <c r="P203" s="233" t="s">
        <v>883</v>
      </c>
      <c r="Q203" s="228" t="s">
        <v>1399</v>
      </c>
      <c r="R203" s="228" t="s">
        <v>1404</v>
      </c>
      <c r="S203" s="233" t="s">
        <v>1582</v>
      </c>
      <c r="T203" s="233" t="s">
        <v>1757</v>
      </c>
      <c r="U203" s="233" t="s">
        <v>1406</v>
      </c>
      <c r="V203" s="204" t="s">
        <v>1758</v>
      </c>
      <c r="W203" s="228"/>
      <c r="X203" s="228" t="s">
        <v>834</v>
      </c>
      <c r="Y203" s="233" t="s">
        <v>1407</v>
      </c>
      <c r="Z203" s="233" t="s">
        <v>973</v>
      </c>
      <c r="AA203" s="229" t="s">
        <v>749</v>
      </c>
    </row>
    <row r="204" spans="2:27" ht="90" customHeight="1" x14ac:dyDescent="0.35">
      <c r="B204" s="228" t="s">
        <v>30</v>
      </c>
      <c r="C204" s="228" t="s">
        <v>1754</v>
      </c>
      <c r="D204" s="228" t="s">
        <v>49</v>
      </c>
      <c r="E204" s="229">
        <v>2</v>
      </c>
      <c r="F204" s="228" t="s">
        <v>942</v>
      </c>
      <c r="G204" s="227" t="s">
        <v>943</v>
      </c>
      <c r="H204" s="228" t="s">
        <v>1115</v>
      </c>
      <c r="I204" s="229">
        <v>3</v>
      </c>
      <c r="J204" s="231" t="s">
        <v>741</v>
      </c>
      <c r="K204" s="229">
        <v>10</v>
      </c>
      <c r="L204" s="230"/>
      <c r="M204" s="233" t="s">
        <v>1408</v>
      </c>
      <c r="N204" s="227" t="s">
        <v>1409</v>
      </c>
      <c r="O204" s="229"/>
      <c r="P204" s="228"/>
      <c r="Q204" s="228" t="s">
        <v>1399</v>
      </c>
      <c r="R204" s="228" t="s">
        <v>942</v>
      </c>
      <c r="S204" s="233" t="s">
        <v>1534</v>
      </c>
      <c r="T204" s="233" t="s">
        <v>1755</v>
      </c>
      <c r="U204" s="233" t="s">
        <v>1759</v>
      </c>
      <c r="V204" s="204" t="s">
        <v>1760</v>
      </c>
      <c r="W204" s="228"/>
      <c r="X204" s="228" t="s">
        <v>848</v>
      </c>
      <c r="Y204" s="233" t="s">
        <v>1412</v>
      </c>
      <c r="Z204" s="228" t="s">
        <v>1413</v>
      </c>
      <c r="AA204" s="229" t="s">
        <v>749</v>
      </c>
    </row>
    <row r="205" spans="2:27" ht="78.75" customHeight="1" x14ac:dyDescent="0.35">
      <c r="B205" s="228" t="s">
        <v>30</v>
      </c>
      <c r="C205" s="228" t="s">
        <v>1754</v>
      </c>
      <c r="D205" s="228" t="s">
        <v>49</v>
      </c>
      <c r="E205" s="229">
        <v>2</v>
      </c>
      <c r="F205" s="228" t="s">
        <v>764</v>
      </c>
      <c r="G205" s="228" t="s">
        <v>765</v>
      </c>
      <c r="H205" s="228" t="s">
        <v>766</v>
      </c>
      <c r="I205" s="229">
        <v>4</v>
      </c>
      <c r="J205" s="231" t="s">
        <v>741</v>
      </c>
      <c r="K205" s="229">
        <v>10</v>
      </c>
      <c r="L205" s="230"/>
      <c r="M205" s="233" t="s">
        <v>767</v>
      </c>
      <c r="N205" s="77" t="s">
        <v>823</v>
      </c>
      <c r="O205" s="229" t="s">
        <v>744</v>
      </c>
      <c r="P205" s="228"/>
      <c r="Q205" s="228"/>
      <c r="R205" s="228"/>
      <c r="S205" s="233" t="s">
        <v>1534</v>
      </c>
      <c r="T205" s="233" t="s">
        <v>1755</v>
      </c>
      <c r="U205" s="233" t="s">
        <v>1644</v>
      </c>
      <c r="V205" s="204" t="s">
        <v>1761</v>
      </c>
      <c r="W205" s="228"/>
      <c r="X205" s="228" t="s">
        <v>749</v>
      </c>
      <c r="Y205" s="228" t="s">
        <v>749</v>
      </c>
      <c r="Z205" s="228" t="s">
        <v>749</v>
      </c>
      <c r="AA205" s="229" t="s">
        <v>749</v>
      </c>
    </row>
    <row r="206" spans="2:27" ht="82.5" customHeight="1" x14ac:dyDescent="0.35">
      <c r="B206" s="228" t="s">
        <v>30</v>
      </c>
      <c r="C206" s="228" t="s">
        <v>1754</v>
      </c>
      <c r="D206" s="228" t="s">
        <v>49</v>
      </c>
      <c r="E206" s="229">
        <v>2</v>
      </c>
      <c r="F206" s="228" t="s">
        <v>771</v>
      </c>
      <c r="G206" s="228" t="s">
        <v>772</v>
      </c>
      <c r="H206" s="228" t="s">
        <v>773</v>
      </c>
      <c r="I206" s="229">
        <v>5</v>
      </c>
      <c r="J206" s="231" t="s">
        <v>774</v>
      </c>
      <c r="K206" s="229">
        <v>23</v>
      </c>
      <c r="L206" s="230"/>
      <c r="M206" s="233" t="s">
        <v>775</v>
      </c>
      <c r="N206" s="74" t="s">
        <v>776</v>
      </c>
      <c r="O206" s="229" t="s">
        <v>843</v>
      </c>
      <c r="P206" s="228"/>
      <c r="Q206" s="228"/>
      <c r="R206" s="228"/>
      <c r="S206" s="233" t="s">
        <v>1534</v>
      </c>
      <c r="T206" s="233" t="s">
        <v>1755</v>
      </c>
      <c r="U206" s="233" t="s">
        <v>921</v>
      </c>
      <c r="V206" s="204" t="s">
        <v>1762</v>
      </c>
      <c r="W206" s="228"/>
      <c r="X206" s="228" t="s">
        <v>749</v>
      </c>
      <c r="Y206" s="228" t="s">
        <v>749</v>
      </c>
      <c r="Z206" s="228" t="s">
        <v>749</v>
      </c>
      <c r="AA206" s="229" t="s">
        <v>749</v>
      </c>
    </row>
    <row r="207" spans="2:27" ht="135" customHeight="1" x14ac:dyDescent="0.35">
      <c r="B207" s="228" t="s">
        <v>51</v>
      </c>
      <c r="C207" s="228" t="s">
        <v>1763</v>
      </c>
      <c r="D207" s="228" t="s">
        <v>52</v>
      </c>
      <c r="E207" s="229">
        <v>0</v>
      </c>
      <c r="F207" s="228" t="s">
        <v>784</v>
      </c>
      <c r="G207" s="264" t="s">
        <v>785</v>
      </c>
      <c r="H207" s="264" t="s">
        <v>740</v>
      </c>
      <c r="I207" s="265">
        <v>1</v>
      </c>
      <c r="J207" s="268" t="s">
        <v>741</v>
      </c>
      <c r="K207" s="265">
        <v>10</v>
      </c>
      <c r="L207" s="266"/>
      <c r="M207" s="237" t="s">
        <v>786</v>
      </c>
      <c r="N207" s="227" t="s">
        <v>787</v>
      </c>
      <c r="O207" s="265" t="s">
        <v>744</v>
      </c>
      <c r="P207" s="264"/>
      <c r="Q207" s="264" t="s">
        <v>1162</v>
      </c>
      <c r="R207" s="264" t="s">
        <v>784</v>
      </c>
      <c r="S207" s="233" t="s">
        <v>1764</v>
      </c>
      <c r="T207" s="159" t="s">
        <v>1765</v>
      </c>
      <c r="U207" s="233" t="s">
        <v>1766</v>
      </c>
      <c r="V207" s="194" t="s">
        <v>1767</v>
      </c>
      <c r="W207" s="264"/>
      <c r="X207" s="228" t="s">
        <v>749</v>
      </c>
      <c r="Y207" s="228" t="s">
        <v>749</v>
      </c>
      <c r="Z207" s="228" t="s">
        <v>749</v>
      </c>
      <c r="AA207" s="229" t="s">
        <v>749</v>
      </c>
    </row>
    <row r="208" spans="2:27" ht="137.25" customHeight="1" x14ac:dyDescent="0.35">
      <c r="B208" s="228" t="s">
        <v>51</v>
      </c>
      <c r="C208" s="228" t="s">
        <v>1763</v>
      </c>
      <c r="D208" s="228" t="s">
        <v>52</v>
      </c>
      <c r="E208" s="229">
        <v>0</v>
      </c>
      <c r="F208" s="228" t="s">
        <v>1768</v>
      </c>
      <c r="G208" s="264" t="s">
        <v>1769</v>
      </c>
      <c r="H208" s="89" t="s">
        <v>1770</v>
      </c>
      <c r="I208" s="229">
        <v>2</v>
      </c>
      <c r="J208" s="231" t="s">
        <v>741</v>
      </c>
      <c r="K208" s="229">
        <v>10</v>
      </c>
      <c r="L208" s="230"/>
      <c r="M208" s="233" t="s">
        <v>1771</v>
      </c>
      <c r="N208" s="228" t="s">
        <v>1772</v>
      </c>
      <c r="O208" s="229" t="s">
        <v>843</v>
      </c>
      <c r="P208" s="228"/>
      <c r="Q208" s="228"/>
      <c r="R208" s="228"/>
      <c r="S208" s="233" t="s">
        <v>1773</v>
      </c>
      <c r="T208" s="159" t="s">
        <v>1774</v>
      </c>
      <c r="U208" s="233" t="s">
        <v>1775</v>
      </c>
      <c r="V208" s="176" t="s">
        <v>1776</v>
      </c>
      <c r="W208" s="228"/>
      <c r="X208" s="227" t="s">
        <v>848</v>
      </c>
      <c r="Y208" s="82" t="s">
        <v>1777</v>
      </c>
      <c r="Z208" s="82" t="s">
        <v>1778</v>
      </c>
      <c r="AA208" s="229" t="s">
        <v>1228</v>
      </c>
    </row>
    <row r="209" spans="2:27" ht="119.25" customHeight="1" x14ac:dyDescent="0.35">
      <c r="B209" s="228" t="s">
        <v>51</v>
      </c>
      <c r="C209" s="228" t="s">
        <v>1763</v>
      </c>
      <c r="D209" s="228" t="s">
        <v>52</v>
      </c>
      <c r="E209" s="229">
        <v>0</v>
      </c>
      <c r="F209" s="228" t="s">
        <v>1779</v>
      </c>
      <c r="G209" s="264" t="s">
        <v>1780</v>
      </c>
      <c r="H209" s="89" t="s">
        <v>1770</v>
      </c>
      <c r="I209" s="229">
        <v>3</v>
      </c>
      <c r="J209" s="231" t="s">
        <v>741</v>
      </c>
      <c r="K209" s="229">
        <v>10</v>
      </c>
      <c r="L209" s="230"/>
      <c r="M209" s="233" t="s">
        <v>1781</v>
      </c>
      <c r="N209" s="228" t="s">
        <v>1782</v>
      </c>
      <c r="O209" s="229" t="s">
        <v>843</v>
      </c>
      <c r="P209" s="228"/>
      <c r="Q209" s="228"/>
      <c r="R209" s="228"/>
      <c r="S209" s="233" t="s">
        <v>1783</v>
      </c>
      <c r="T209" s="159" t="s">
        <v>1784</v>
      </c>
      <c r="U209" s="233" t="s">
        <v>1785</v>
      </c>
      <c r="V209" s="176" t="s">
        <v>1786</v>
      </c>
      <c r="W209" s="228"/>
      <c r="X209" s="227" t="s">
        <v>848</v>
      </c>
      <c r="Y209" s="82" t="s">
        <v>1787</v>
      </c>
      <c r="Z209" s="82" t="s">
        <v>577</v>
      </c>
      <c r="AA209" s="229" t="s">
        <v>749</v>
      </c>
    </row>
    <row r="210" spans="2:27" ht="125.25" customHeight="1" x14ac:dyDescent="0.35">
      <c r="B210" s="227" t="s">
        <v>51</v>
      </c>
      <c r="C210" s="228" t="s">
        <v>1763</v>
      </c>
      <c r="D210" s="228" t="s">
        <v>52</v>
      </c>
      <c r="E210" s="229">
        <v>0</v>
      </c>
      <c r="F210" s="228" t="s">
        <v>1788</v>
      </c>
      <c r="G210" s="263" t="s">
        <v>1789</v>
      </c>
      <c r="H210" s="77" t="s">
        <v>1770</v>
      </c>
      <c r="I210" s="230">
        <v>4</v>
      </c>
      <c r="J210" s="236" t="s">
        <v>741</v>
      </c>
      <c r="K210" s="230">
        <v>10</v>
      </c>
      <c r="L210" s="230"/>
      <c r="M210" s="232" t="s">
        <v>1790</v>
      </c>
      <c r="N210" s="227" t="s">
        <v>1791</v>
      </c>
      <c r="O210" s="230"/>
      <c r="P210" s="227"/>
      <c r="Q210" s="227"/>
      <c r="R210" s="227"/>
      <c r="S210" s="233" t="s">
        <v>1783</v>
      </c>
      <c r="T210" s="159" t="s">
        <v>1792</v>
      </c>
      <c r="U210" s="233" t="s">
        <v>1793</v>
      </c>
      <c r="V210" s="176" t="s">
        <v>1794</v>
      </c>
      <c r="W210" s="227"/>
      <c r="X210" s="227" t="s">
        <v>848</v>
      </c>
      <c r="Y210" s="227" t="s">
        <v>1795</v>
      </c>
      <c r="Z210" s="227" t="s">
        <v>1796</v>
      </c>
      <c r="AA210" s="229" t="s">
        <v>749</v>
      </c>
    </row>
    <row r="211" spans="2:27" ht="125.25" customHeight="1" x14ac:dyDescent="0.35">
      <c r="B211" s="227" t="s">
        <v>51</v>
      </c>
      <c r="C211" s="228" t="s">
        <v>1763</v>
      </c>
      <c r="D211" s="228" t="s">
        <v>52</v>
      </c>
      <c r="E211" s="229">
        <v>0</v>
      </c>
      <c r="F211" s="228" t="s">
        <v>1797</v>
      </c>
      <c r="G211" s="263" t="s">
        <v>1798</v>
      </c>
      <c r="H211" s="89" t="s">
        <v>1770</v>
      </c>
      <c r="I211" s="230">
        <v>5</v>
      </c>
      <c r="J211" s="236" t="s">
        <v>741</v>
      </c>
      <c r="K211" s="230">
        <v>10</v>
      </c>
      <c r="L211" s="230"/>
      <c r="M211" s="232" t="s">
        <v>1790</v>
      </c>
      <c r="N211" s="227" t="s">
        <v>1791</v>
      </c>
      <c r="O211" s="230"/>
      <c r="P211" s="227"/>
      <c r="Q211" s="227"/>
      <c r="R211" s="227"/>
      <c r="S211" s="233" t="s">
        <v>1783</v>
      </c>
      <c r="T211" s="159" t="s">
        <v>1799</v>
      </c>
      <c r="U211" s="233" t="s">
        <v>1800</v>
      </c>
      <c r="V211" s="189" t="s">
        <v>1801</v>
      </c>
      <c r="W211" s="227"/>
      <c r="X211" s="227" t="s">
        <v>848</v>
      </c>
      <c r="Y211" s="227" t="s">
        <v>861</v>
      </c>
      <c r="Z211" s="227" t="s">
        <v>1802</v>
      </c>
      <c r="AA211" s="229" t="s">
        <v>749</v>
      </c>
    </row>
    <row r="212" spans="2:27" ht="125.25" customHeight="1" x14ac:dyDescent="0.35">
      <c r="B212" s="240" t="s">
        <v>51</v>
      </c>
      <c r="C212" s="238" t="s">
        <v>1763</v>
      </c>
      <c r="D212" s="240" t="s">
        <v>52</v>
      </c>
      <c r="E212" s="239">
        <v>0</v>
      </c>
      <c r="F212" s="238" t="s">
        <v>1803</v>
      </c>
      <c r="G212" s="240" t="s">
        <v>1804</v>
      </c>
      <c r="H212" s="238"/>
      <c r="I212" s="241">
        <v>6</v>
      </c>
      <c r="J212" s="242" t="s">
        <v>741</v>
      </c>
      <c r="K212" s="241"/>
      <c r="L212" s="241"/>
      <c r="M212" s="243"/>
      <c r="N212" s="240"/>
      <c r="O212" s="241"/>
      <c r="P212" s="240"/>
      <c r="Q212" s="240"/>
      <c r="R212" s="240"/>
      <c r="S212" s="238"/>
      <c r="T212" s="181"/>
      <c r="U212" s="240"/>
      <c r="V212" s="201"/>
      <c r="W212" s="240"/>
      <c r="X212" s="240" t="s">
        <v>865</v>
      </c>
      <c r="Y212" s="240" t="s">
        <v>866</v>
      </c>
      <c r="Z212" s="240" t="s">
        <v>1805</v>
      </c>
      <c r="AA212" s="241" t="s">
        <v>749</v>
      </c>
    </row>
    <row r="213" spans="2:27" ht="114" customHeight="1" x14ac:dyDescent="0.35">
      <c r="B213" s="228" t="s">
        <v>51</v>
      </c>
      <c r="C213" s="228" t="s">
        <v>1763</v>
      </c>
      <c r="D213" s="228" t="s">
        <v>52</v>
      </c>
      <c r="E213" s="229">
        <v>0</v>
      </c>
      <c r="F213" s="228" t="s">
        <v>1806</v>
      </c>
      <c r="G213" s="263" t="s">
        <v>1807</v>
      </c>
      <c r="H213" s="77" t="s">
        <v>1770</v>
      </c>
      <c r="I213" s="230">
        <v>7</v>
      </c>
      <c r="J213" s="231" t="s">
        <v>741</v>
      </c>
      <c r="K213" s="230">
        <v>10</v>
      </c>
      <c r="L213" s="230"/>
      <c r="M213" s="232" t="s">
        <v>1808</v>
      </c>
      <c r="N213" s="227" t="s">
        <v>1809</v>
      </c>
      <c r="O213" s="230"/>
      <c r="P213" s="227"/>
      <c r="Q213" s="233" t="s">
        <v>1810</v>
      </c>
      <c r="R213" s="233" t="s">
        <v>1811</v>
      </c>
      <c r="S213" s="233" t="s">
        <v>1783</v>
      </c>
      <c r="T213" s="159" t="s">
        <v>1799</v>
      </c>
      <c r="U213" s="233" t="s">
        <v>1812</v>
      </c>
      <c r="V213" s="189" t="s">
        <v>1813</v>
      </c>
      <c r="W213" s="227"/>
      <c r="X213" s="227" t="s">
        <v>848</v>
      </c>
      <c r="Y213" s="227" t="s">
        <v>861</v>
      </c>
      <c r="Z213" s="227" t="s">
        <v>1814</v>
      </c>
      <c r="AA213" s="230" t="s">
        <v>749</v>
      </c>
    </row>
    <row r="214" spans="2:27" ht="137.25" customHeight="1" x14ac:dyDescent="0.35">
      <c r="B214" s="228" t="s">
        <v>51</v>
      </c>
      <c r="C214" s="228" t="s">
        <v>1763</v>
      </c>
      <c r="D214" s="228" t="s">
        <v>52</v>
      </c>
      <c r="E214" s="229">
        <v>0</v>
      </c>
      <c r="F214" s="228" t="s">
        <v>1815</v>
      </c>
      <c r="G214" s="264" t="s">
        <v>1816</v>
      </c>
      <c r="H214" s="228" t="s">
        <v>804</v>
      </c>
      <c r="I214" s="229">
        <v>8</v>
      </c>
      <c r="J214" s="231" t="s">
        <v>741</v>
      </c>
      <c r="K214" s="229">
        <v>4</v>
      </c>
      <c r="L214" s="230"/>
      <c r="M214" s="233" t="s">
        <v>1817</v>
      </c>
      <c r="N214" s="228" t="s">
        <v>1818</v>
      </c>
      <c r="O214" s="229" t="s">
        <v>843</v>
      </c>
      <c r="P214" s="233" t="s">
        <v>1819</v>
      </c>
      <c r="Q214" s="228" t="s">
        <v>905</v>
      </c>
      <c r="R214" s="228" t="s">
        <v>1820</v>
      </c>
      <c r="S214" s="233" t="s">
        <v>1773</v>
      </c>
      <c r="T214" s="159" t="s">
        <v>1774</v>
      </c>
      <c r="U214" s="233" t="s">
        <v>1821</v>
      </c>
      <c r="V214" s="176" t="s">
        <v>1822</v>
      </c>
      <c r="W214" s="228"/>
      <c r="X214" s="227" t="s">
        <v>848</v>
      </c>
      <c r="Y214" s="233" t="s">
        <v>1777</v>
      </c>
      <c r="Z214" s="233" t="s">
        <v>1823</v>
      </c>
      <c r="AA214" s="229" t="s">
        <v>1228</v>
      </c>
    </row>
    <row r="215" spans="2:27" ht="146.25" customHeight="1" x14ac:dyDescent="0.35">
      <c r="B215" s="228" t="s">
        <v>51</v>
      </c>
      <c r="C215" s="228" t="s">
        <v>1763</v>
      </c>
      <c r="D215" s="228" t="s">
        <v>52</v>
      </c>
      <c r="E215" s="229">
        <v>0</v>
      </c>
      <c r="F215" s="75" t="s">
        <v>1824</v>
      </c>
      <c r="G215" s="128" t="s">
        <v>1825</v>
      </c>
      <c r="H215" s="264" t="s">
        <v>1826</v>
      </c>
      <c r="I215" s="229">
        <v>9</v>
      </c>
      <c r="J215" s="75" t="s">
        <v>741</v>
      </c>
      <c r="K215" s="73"/>
      <c r="L215" s="73"/>
      <c r="M215" s="76" t="s">
        <v>1827</v>
      </c>
      <c r="N215" s="197" t="s">
        <v>1828</v>
      </c>
      <c r="O215" s="230"/>
      <c r="P215" s="227"/>
      <c r="Q215" s="227"/>
      <c r="R215" s="227"/>
      <c r="S215" s="233" t="s">
        <v>1764</v>
      </c>
      <c r="T215" s="159" t="s">
        <v>1765</v>
      </c>
      <c r="U215" s="233" t="s">
        <v>1766</v>
      </c>
      <c r="V215" s="176" t="s">
        <v>1829</v>
      </c>
      <c r="W215" s="227"/>
      <c r="X215" s="227" t="s">
        <v>749</v>
      </c>
      <c r="Y215" s="227" t="s">
        <v>749</v>
      </c>
      <c r="Z215" s="227" t="s">
        <v>749</v>
      </c>
      <c r="AA215" s="230" t="s">
        <v>749</v>
      </c>
    </row>
    <row r="216" spans="2:27" ht="111" customHeight="1" x14ac:dyDescent="0.35">
      <c r="B216" s="228" t="s">
        <v>51</v>
      </c>
      <c r="C216" s="228" t="s">
        <v>1763</v>
      </c>
      <c r="D216" s="228" t="s">
        <v>52</v>
      </c>
      <c r="E216" s="229">
        <v>0</v>
      </c>
      <c r="F216" s="228" t="s">
        <v>764</v>
      </c>
      <c r="G216" s="228" t="s">
        <v>765</v>
      </c>
      <c r="H216" s="228" t="s">
        <v>766</v>
      </c>
      <c r="I216" s="229">
        <v>10</v>
      </c>
      <c r="J216" s="231" t="s">
        <v>741</v>
      </c>
      <c r="K216" s="229">
        <v>10</v>
      </c>
      <c r="L216" s="230"/>
      <c r="M216" s="233" t="s">
        <v>767</v>
      </c>
      <c r="N216" s="77" t="s">
        <v>823</v>
      </c>
      <c r="O216" s="229" t="s">
        <v>744</v>
      </c>
      <c r="P216" s="228"/>
      <c r="Q216" s="228"/>
      <c r="R216" s="228"/>
      <c r="S216" s="233" t="s">
        <v>1764</v>
      </c>
      <c r="T216" s="159" t="s">
        <v>1765</v>
      </c>
      <c r="U216" s="233" t="s">
        <v>1830</v>
      </c>
      <c r="V216" s="176" t="s">
        <v>1831</v>
      </c>
      <c r="W216" s="228"/>
      <c r="X216" s="227" t="s">
        <v>749</v>
      </c>
      <c r="Y216" s="227" t="s">
        <v>749</v>
      </c>
      <c r="Z216" s="227" t="s">
        <v>749</v>
      </c>
      <c r="AA216" s="230" t="s">
        <v>749</v>
      </c>
    </row>
    <row r="217" spans="2:27" ht="115.5" customHeight="1" x14ac:dyDescent="0.35">
      <c r="B217" s="228" t="s">
        <v>51</v>
      </c>
      <c r="C217" s="228" t="s">
        <v>1763</v>
      </c>
      <c r="D217" s="228" t="s">
        <v>52</v>
      </c>
      <c r="E217" s="229">
        <v>0</v>
      </c>
      <c r="F217" s="228" t="s">
        <v>771</v>
      </c>
      <c r="G217" s="264" t="s">
        <v>772</v>
      </c>
      <c r="H217" s="264" t="s">
        <v>773</v>
      </c>
      <c r="I217" s="265">
        <v>11</v>
      </c>
      <c r="J217" s="268" t="s">
        <v>774</v>
      </c>
      <c r="K217" s="265">
        <v>23</v>
      </c>
      <c r="L217" s="266"/>
      <c r="M217" s="269" t="s">
        <v>775</v>
      </c>
      <c r="N217" s="74" t="s">
        <v>776</v>
      </c>
      <c r="O217" s="265" t="s">
        <v>843</v>
      </c>
      <c r="P217" s="264"/>
      <c r="Q217" s="264"/>
      <c r="R217" s="264"/>
      <c r="S217" s="233" t="s">
        <v>1764</v>
      </c>
      <c r="T217" s="159" t="s">
        <v>1765</v>
      </c>
      <c r="U217" s="233" t="s">
        <v>1570</v>
      </c>
      <c r="V217" s="194" t="s">
        <v>1832</v>
      </c>
      <c r="W217" s="264"/>
      <c r="X217" s="227" t="s">
        <v>749</v>
      </c>
      <c r="Y217" s="227" t="s">
        <v>749</v>
      </c>
      <c r="Z217" s="227" t="s">
        <v>749</v>
      </c>
      <c r="AA217" s="230" t="s">
        <v>749</v>
      </c>
    </row>
    <row r="218" spans="2:27" ht="210" customHeight="1" x14ac:dyDescent="0.35">
      <c r="B218" s="228" t="s">
        <v>51</v>
      </c>
      <c r="C218" s="228" t="s">
        <v>1833</v>
      </c>
      <c r="D218" s="227" t="s">
        <v>56</v>
      </c>
      <c r="E218" s="229">
        <v>0</v>
      </c>
      <c r="F218" s="228" t="s">
        <v>784</v>
      </c>
      <c r="G218" s="228" t="s">
        <v>785</v>
      </c>
      <c r="H218" s="228" t="s">
        <v>740</v>
      </c>
      <c r="I218" s="230">
        <v>1</v>
      </c>
      <c r="J218" s="231" t="s">
        <v>741</v>
      </c>
      <c r="K218" s="229">
        <v>10</v>
      </c>
      <c r="L218" s="230"/>
      <c r="M218" s="232" t="s">
        <v>786</v>
      </c>
      <c r="N218" s="227" t="s">
        <v>787</v>
      </c>
      <c r="O218" s="230" t="s">
        <v>744</v>
      </c>
      <c r="P218" s="227"/>
      <c r="Q218" s="227" t="s">
        <v>1834</v>
      </c>
      <c r="R218" s="227" t="s">
        <v>784</v>
      </c>
      <c r="S218" s="232" t="s">
        <v>1300</v>
      </c>
      <c r="T218" s="232" t="s">
        <v>1835</v>
      </c>
      <c r="U218" s="232" t="s">
        <v>1836</v>
      </c>
      <c r="V218" s="205" t="s">
        <v>1303</v>
      </c>
      <c r="W218" s="227"/>
      <c r="X218" s="232" t="s">
        <v>834</v>
      </c>
      <c r="Y218" s="232" t="s">
        <v>1837</v>
      </c>
      <c r="Z218" s="232" t="s">
        <v>1838</v>
      </c>
      <c r="AA218" s="234" t="s">
        <v>837</v>
      </c>
    </row>
    <row r="219" spans="2:27" ht="227.25" customHeight="1" x14ac:dyDescent="0.35">
      <c r="B219" s="228" t="s">
        <v>51</v>
      </c>
      <c r="C219" s="228" t="s">
        <v>1833</v>
      </c>
      <c r="D219" s="227" t="s">
        <v>56</v>
      </c>
      <c r="E219" s="229">
        <v>0</v>
      </c>
      <c r="F219" s="264" t="s">
        <v>1839</v>
      </c>
      <c r="G219" s="228" t="s">
        <v>1840</v>
      </c>
      <c r="H219" s="264" t="s">
        <v>740</v>
      </c>
      <c r="I219" s="266">
        <v>2</v>
      </c>
      <c r="J219" s="268" t="s">
        <v>741</v>
      </c>
      <c r="K219" s="265">
        <v>10</v>
      </c>
      <c r="L219" s="266"/>
      <c r="M219" s="269" t="s">
        <v>1841</v>
      </c>
      <c r="N219" s="263" t="s">
        <v>1842</v>
      </c>
      <c r="O219" s="265" t="s">
        <v>744</v>
      </c>
      <c r="P219" s="263"/>
      <c r="Q219" s="263" t="s">
        <v>1834</v>
      </c>
      <c r="R219" s="263" t="s">
        <v>1839</v>
      </c>
      <c r="S219" s="232" t="s">
        <v>1300</v>
      </c>
      <c r="T219" s="232" t="s">
        <v>1835</v>
      </c>
      <c r="U219" s="232" t="s">
        <v>1843</v>
      </c>
      <c r="V219" s="205" t="s">
        <v>1303</v>
      </c>
      <c r="W219" s="263"/>
      <c r="X219" s="232" t="s">
        <v>834</v>
      </c>
      <c r="Y219" s="232" t="s">
        <v>1837</v>
      </c>
      <c r="Z219" s="232" t="s">
        <v>1844</v>
      </c>
      <c r="AA219" s="234" t="s">
        <v>837</v>
      </c>
    </row>
    <row r="220" spans="2:27" ht="201.75" customHeight="1" x14ac:dyDescent="0.35">
      <c r="B220" s="228" t="s">
        <v>51</v>
      </c>
      <c r="C220" s="228" t="s">
        <v>1833</v>
      </c>
      <c r="D220" s="227" t="s">
        <v>56</v>
      </c>
      <c r="E220" s="229">
        <v>0</v>
      </c>
      <c r="F220" s="228" t="s">
        <v>1845</v>
      </c>
      <c r="G220" s="227" t="s">
        <v>1846</v>
      </c>
      <c r="H220" s="228" t="s">
        <v>1189</v>
      </c>
      <c r="I220" s="230">
        <v>3</v>
      </c>
      <c r="J220" s="231" t="s">
        <v>741</v>
      </c>
      <c r="K220" s="229">
        <v>4</v>
      </c>
      <c r="L220" s="230"/>
      <c r="M220" s="232" t="s">
        <v>1847</v>
      </c>
      <c r="N220" s="227" t="s">
        <v>1848</v>
      </c>
      <c r="O220" s="230" t="s">
        <v>744</v>
      </c>
      <c r="P220" s="232" t="s">
        <v>1849</v>
      </c>
      <c r="Q220" s="227" t="s">
        <v>1834</v>
      </c>
      <c r="R220" s="227" t="s">
        <v>1850</v>
      </c>
      <c r="S220" s="232" t="s">
        <v>1445</v>
      </c>
      <c r="T220" s="232" t="s">
        <v>1851</v>
      </c>
      <c r="U220" s="232" t="s">
        <v>1852</v>
      </c>
      <c r="V220" s="205" t="s">
        <v>1853</v>
      </c>
      <c r="W220" s="227"/>
      <c r="X220" s="232" t="s">
        <v>834</v>
      </c>
      <c r="Y220" s="232" t="s">
        <v>1854</v>
      </c>
      <c r="Z220" s="232" t="s">
        <v>1855</v>
      </c>
      <c r="AA220" s="234" t="s">
        <v>837</v>
      </c>
    </row>
    <row r="221" spans="2:27" ht="222" customHeight="1" x14ac:dyDescent="0.35">
      <c r="B221" s="228" t="s">
        <v>51</v>
      </c>
      <c r="C221" s="228" t="s">
        <v>1833</v>
      </c>
      <c r="D221" s="227" t="s">
        <v>56</v>
      </c>
      <c r="E221" s="229">
        <v>0</v>
      </c>
      <c r="F221" s="228" t="s">
        <v>942</v>
      </c>
      <c r="G221" s="227" t="s">
        <v>943</v>
      </c>
      <c r="H221" s="228" t="s">
        <v>1115</v>
      </c>
      <c r="I221" s="230">
        <v>4</v>
      </c>
      <c r="J221" s="231" t="s">
        <v>741</v>
      </c>
      <c r="K221" s="230">
        <v>10</v>
      </c>
      <c r="L221" s="230"/>
      <c r="M221" s="232" t="s">
        <v>1856</v>
      </c>
      <c r="N221" s="227" t="s">
        <v>1857</v>
      </c>
      <c r="O221" s="230" t="s">
        <v>744</v>
      </c>
      <c r="P221" s="227"/>
      <c r="Q221" s="227" t="s">
        <v>1834</v>
      </c>
      <c r="R221" s="227" t="s">
        <v>942</v>
      </c>
      <c r="S221" s="232" t="s">
        <v>1300</v>
      </c>
      <c r="T221" s="232" t="s">
        <v>1835</v>
      </c>
      <c r="U221" s="232" t="s">
        <v>1858</v>
      </c>
      <c r="V221" s="205" t="s">
        <v>1859</v>
      </c>
      <c r="W221" s="227"/>
      <c r="X221" s="232" t="s">
        <v>848</v>
      </c>
      <c r="Y221" s="232" t="s">
        <v>1860</v>
      </c>
      <c r="Z221" s="232" t="s">
        <v>1861</v>
      </c>
      <c r="AA221" s="234" t="s">
        <v>749</v>
      </c>
    </row>
    <row r="222" spans="2:27" ht="190.5" customHeight="1" x14ac:dyDescent="0.35">
      <c r="B222" s="228" t="s">
        <v>51</v>
      </c>
      <c r="C222" s="228" t="s">
        <v>1833</v>
      </c>
      <c r="D222" s="227" t="s">
        <v>56</v>
      </c>
      <c r="E222" s="229">
        <v>0</v>
      </c>
      <c r="F222" s="228" t="s">
        <v>1862</v>
      </c>
      <c r="G222" s="227" t="s">
        <v>1863</v>
      </c>
      <c r="H222" s="228" t="s">
        <v>759</v>
      </c>
      <c r="I222" s="230">
        <v>5</v>
      </c>
      <c r="J222" s="236" t="s">
        <v>811</v>
      </c>
      <c r="K222" s="230">
        <v>23</v>
      </c>
      <c r="L222" s="230">
        <v>6</v>
      </c>
      <c r="M222" s="232" t="s">
        <v>1864</v>
      </c>
      <c r="N222" s="227" t="s">
        <v>1865</v>
      </c>
      <c r="O222" s="230"/>
      <c r="P222" s="227"/>
      <c r="Q222" s="227" t="s">
        <v>1834</v>
      </c>
      <c r="R222" s="227" t="s">
        <v>1862</v>
      </c>
      <c r="S222" s="232" t="s">
        <v>1300</v>
      </c>
      <c r="T222" s="232" t="s">
        <v>1835</v>
      </c>
      <c r="U222" s="232" t="s">
        <v>1866</v>
      </c>
      <c r="V222" s="205" t="s">
        <v>1867</v>
      </c>
      <c r="W222" s="227"/>
      <c r="X222" s="232" t="s">
        <v>848</v>
      </c>
      <c r="Y222" s="232" t="s">
        <v>1860</v>
      </c>
      <c r="Z222" s="232" t="s">
        <v>1868</v>
      </c>
      <c r="AA222" s="234" t="s">
        <v>749</v>
      </c>
    </row>
    <row r="223" spans="2:27" ht="210" customHeight="1" x14ac:dyDescent="0.35">
      <c r="B223" s="228" t="s">
        <v>51</v>
      </c>
      <c r="C223" s="228" t="s">
        <v>1833</v>
      </c>
      <c r="D223" s="227" t="s">
        <v>56</v>
      </c>
      <c r="E223" s="229">
        <v>0</v>
      </c>
      <c r="F223" s="228" t="s">
        <v>764</v>
      </c>
      <c r="G223" s="228" t="s">
        <v>765</v>
      </c>
      <c r="H223" s="228" t="s">
        <v>766</v>
      </c>
      <c r="I223" s="230">
        <v>6</v>
      </c>
      <c r="J223" s="231" t="s">
        <v>741</v>
      </c>
      <c r="K223" s="230">
        <v>10</v>
      </c>
      <c r="L223" s="230"/>
      <c r="M223" s="227" t="s">
        <v>767</v>
      </c>
      <c r="N223" s="77" t="s">
        <v>823</v>
      </c>
      <c r="O223" s="230" t="s">
        <v>744</v>
      </c>
      <c r="P223" s="227"/>
      <c r="Q223" s="227"/>
      <c r="R223" s="227"/>
      <c r="S223" s="232" t="s">
        <v>1300</v>
      </c>
      <c r="T223" s="232" t="s">
        <v>1835</v>
      </c>
      <c r="U223" s="232" t="s">
        <v>1568</v>
      </c>
      <c r="V223" s="205" t="s">
        <v>1869</v>
      </c>
      <c r="W223" s="227"/>
      <c r="X223" s="232" t="s">
        <v>749</v>
      </c>
      <c r="Y223" s="232" t="s">
        <v>749</v>
      </c>
      <c r="Z223" s="232" t="s">
        <v>749</v>
      </c>
      <c r="AA223" s="234" t="s">
        <v>749</v>
      </c>
    </row>
    <row r="224" spans="2:27" ht="155.25" customHeight="1" x14ac:dyDescent="0.35">
      <c r="B224" s="228" t="s">
        <v>51</v>
      </c>
      <c r="C224" s="228" t="s">
        <v>1833</v>
      </c>
      <c r="D224" s="227" t="s">
        <v>56</v>
      </c>
      <c r="E224" s="265">
        <v>0</v>
      </c>
      <c r="F224" s="228" t="s">
        <v>771</v>
      </c>
      <c r="G224" s="264" t="s">
        <v>772</v>
      </c>
      <c r="H224" s="264" t="s">
        <v>773</v>
      </c>
      <c r="I224" s="266">
        <v>7</v>
      </c>
      <c r="J224" s="268" t="s">
        <v>774</v>
      </c>
      <c r="K224" s="266">
        <v>23</v>
      </c>
      <c r="L224" s="266"/>
      <c r="M224" s="263" t="s">
        <v>775</v>
      </c>
      <c r="N224" s="74" t="s">
        <v>776</v>
      </c>
      <c r="O224" s="266"/>
      <c r="P224" s="263"/>
      <c r="Q224" s="263"/>
      <c r="R224" s="263"/>
      <c r="S224" s="232" t="s">
        <v>1300</v>
      </c>
      <c r="T224" s="232" t="s">
        <v>1835</v>
      </c>
      <c r="U224" s="232" t="s">
        <v>1570</v>
      </c>
      <c r="V224" s="205" t="s">
        <v>1571</v>
      </c>
      <c r="W224" s="263"/>
      <c r="X224" s="232" t="s">
        <v>749</v>
      </c>
      <c r="Y224" s="232" t="s">
        <v>749</v>
      </c>
      <c r="Z224" s="232" t="s">
        <v>749</v>
      </c>
      <c r="AA224" s="234" t="s">
        <v>749</v>
      </c>
    </row>
    <row r="225" spans="2:27" ht="103.5" customHeight="1" x14ac:dyDescent="0.35">
      <c r="B225" s="263" t="s">
        <v>51</v>
      </c>
      <c r="C225" s="263" t="s">
        <v>1870</v>
      </c>
      <c r="D225" s="263" t="s">
        <v>54</v>
      </c>
      <c r="E225" s="266">
        <v>0</v>
      </c>
      <c r="F225" s="263" t="s">
        <v>1871</v>
      </c>
      <c r="G225" s="263" t="s">
        <v>1872</v>
      </c>
      <c r="H225" s="228" t="s">
        <v>740</v>
      </c>
      <c r="I225" s="266">
        <v>1</v>
      </c>
      <c r="J225" s="267" t="s">
        <v>741</v>
      </c>
      <c r="K225" s="266">
        <v>10</v>
      </c>
      <c r="L225" s="266"/>
      <c r="M225" s="237" t="s">
        <v>1873</v>
      </c>
      <c r="N225" s="237" t="s">
        <v>1874</v>
      </c>
      <c r="O225" s="230" t="s">
        <v>744</v>
      </c>
      <c r="P225" s="263"/>
      <c r="Q225" s="263"/>
      <c r="R225" s="263"/>
      <c r="S225" s="237" t="s">
        <v>1222</v>
      </c>
      <c r="T225" s="187" t="s">
        <v>1875</v>
      </c>
      <c r="U225" s="187" t="s">
        <v>1876</v>
      </c>
      <c r="V225" s="193" t="s">
        <v>1877</v>
      </c>
      <c r="W225" s="263"/>
      <c r="X225" s="232" t="s">
        <v>848</v>
      </c>
      <c r="Y225" s="186" t="s">
        <v>1878</v>
      </c>
      <c r="Z225" s="186" t="s">
        <v>1879</v>
      </c>
      <c r="AA225" s="234" t="s">
        <v>749</v>
      </c>
    </row>
    <row r="226" spans="2:27" ht="90.75" customHeight="1" x14ac:dyDescent="0.35">
      <c r="B226" s="263" t="s">
        <v>51</v>
      </c>
      <c r="C226" s="263" t="s">
        <v>1870</v>
      </c>
      <c r="D226" s="263" t="s">
        <v>54</v>
      </c>
      <c r="E226" s="266">
        <v>0</v>
      </c>
      <c r="F226" s="227" t="s">
        <v>1880</v>
      </c>
      <c r="G226" s="227" t="s">
        <v>1881</v>
      </c>
      <c r="H226" s="228" t="s">
        <v>752</v>
      </c>
      <c r="I226" s="266">
        <v>2</v>
      </c>
      <c r="J226" s="267" t="s">
        <v>741</v>
      </c>
      <c r="K226" s="266">
        <v>10</v>
      </c>
      <c r="L226" s="266"/>
      <c r="M226" s="237" t="s">
        <v>1882</v>
      </c>
      <c r="N226" s="237" t="s">
        <v>1883</v>
      </c>
      <c r="O226" s="266"/>
      <c r="P226" s="263"/>
      <c r="Q226" s="263"/>
      <c r="R226" s="263"/>
      <c r="S226" s="237" t="s">
        <v>1222</v>
      </c>
      <c r="T226" s="187" t="s">
        <v>1875</v>
      </c>
      <c r="U226" s="187" t="s">
        <v>1884</v>
      </c>
      <c r="V226" s="193" t="s">
        <v>1885</v>
      </c>
      <c r="W226" s="263"/>
      <c r="X226" s="232" t="s">
        <v>848</v>
      </c>
      <c r="Y226" s="186" t="s">
        <v>1878</v>
      </c>
      <c r="Z226" s="186" t="s">
        <v>1886</v>
      </c>
      <c r="AA226" s="234" t="s">
        <v>749</v>
      </c>
    </row>
    <row r="227" spans="2:27" ht="102.75" customHeight="1" x14ac:dyDescent="0.35">
      <c r="B227" s="263" t="s">
        <v>51</v>
      </c>
      <c r="C227" s="263" t="s">
        <v>1870</v>
      </c>
      <c r="D227" s="263" t="s">
        <v>54</v>
      </c>
      <c r="E227" s="266">
        <v>0</v>
      </c>
      <c r="F227" s="263" t="s">
        <v>1887</v>
      </c>
      <c r="G227" s="263" t="s">
        <v>1888</v>
      </c>
      <c r="H227" s="228" t="s">
        <v>752</v>
      </c>
      <c r="I227" s="266">
        <v>3</v>
      </c>
      <c r="J227" s="267" t="s">
        <v>741</v>
      </c>
      <c r="K227" s="266">
        <v>10</v>
      </c>
      <c r="L227" s="266"/>
      <c r="M227" s="237" t="s">
        <v>1889</v>
      </c>
      <c r="N227" s="237" t="s">
        <v>1890</v>
      </c>
      <c r="O227" s="266"/>
      <c r="P227" s="263"/>
      <c r="Q227" s="263"/>
      <c r="R227" s="263"/>
      <c r="S227" s="237" t="s">
        <v>1222</v>
      </c>
      <c r="T227" s="187" t="s">
        <v>1875</v>
      </c>
      <c r="U227" s="187" t="s">
        <v>788</v>
      </c>
      <c r="V227" s="193" t="s">
        <v>1891</v>
      </c>
      <c r="W227" s="263"/>
      <c r="X227" s="232" t="s">
        <v>848</v>
      </c>
      <c r="Y227" s="186" t="s">
        <v>1878</v>
      </c>
      <c r="Z227" s="186" t="s">
        <v>505</v>
      </c>
      <c r="AA227" s="234" t="s">
        <v>749</v>
      </c>
    </row>
    <row r="228" spans="2:27" ht="90" customHeight="1" x14ac:dyDescent="0.35">
      <c r="B228" s="263" t="s">
        <v>51</v>
      </c>
      <c r="C228" s="263" t="s">
        <v>1870</v>
      </c>
      <c r="D228" s="263" t="s">
        <v>54</v>
      </c>
      <c r="E228" s="266">
        <v>0</v>
      </c>
      <c r="F228" s="263" t="s">
        <v>1892</v>
      </c>
      <c r="G228" s="263" t="s">
        <v>1893</v>
      </c>
      <c r="H228" s="228" t="s">
        <v>1115</v>
      </c>
      <c r="I228" s="266">
        <v>4</v>
      </c>
      <c r="J228" s="267" t="s">
        <v>741</v>
      </c>
      <c r="K228" s="266">
        <v>10</v>
      </c>
      <c r="L228" s="266"/>
      <c r="M228" s="237" t="s">
        <v>1894</v>
      </c>
      <c r="N228" s="237" t="s">
        <v>1895</v>
      </c>
      <c r="O228" s="266"/>
      <c r="P228" s="263"/>
      <c r="Q228" s="263"/>
      <c r="R228" s="263"/>
      <c r="S228" s="237" t="s">
        <v>1222</v>
      </c>
      <c r="T228" s="187" t="s">
        <v>1875</v>
      </c>
      <c r="U228" s="187" t="s">
        <v>1896</v>
      </c>
      <c r="V228" s="193" t="s">
        <v>1897</v>
      </c>
      <c r="W228" s="263"/>
      <c r="X228" s="232" t="s">
        <v>848</v>
      </c>
      <c r="Y228" s="186" t="s">
        <v>1878</v>
      </c>
      <c r="Z228" s="186" t="s">
        <v>1898</v>
      </c>
      <c r="AA228" s="234" t="s">
        <v>749</v>
      </c>
    </row>
    <row r="229" spans="2:27" ht="110.25" customHeight="1" x14ac:dyDescent="0.35">
      <c r="B229" s="263" t="s">
        <v>51</v>
      </c>
      <c r="C229" s="263" t="s">
        <v>1870</v>
      </c>
      <c r="D229" s="263" t="s">
        <v>54</v>
      </c>
      <c r="E229" s="266">
        <v>0</v>
      </c>
      <c r="F229" s="263" t="s">
        <v>1899</v>
      </c>
      <c r="G229" s="263" t="s">
        <v>1900</v>
      </c>
      <c r="H229" s="228" t="s">
        <v>1115</v>
      </c>
      <c r="I229" s="266">
        <v>5</v>
      </c>
      <c r="J229" s="267" t="s">
        <v>741</v>
      </c>
      <c r="K229" s="266">
        <v>10</v>
      </c>
      <c r="L229" s="266"/>
      <c r="M229" s="237" t="s">
        <v>1901</v>
      </c>
      <c r="N229" s="237" t="s">
        <v>1902</v>
      </c>
      <c r="O229" s="266"/>
      <c r="P229" s="263"/>
      <c r="Q229" s="263"/>
      <c r="R229" s="263"/>
      <c r="S229" s="237" t="s">
        <v>1222</v>
      </c>
      <c r="T229" s="187" t="s">
        <v>1875</v>
      </c>
      <c r="U229" s="187" t="s">
        <v>1903</v>
      </c>
      <c r="V229" s="193" t="s">
        <v>1904</v>
      </c>
      <c r="W229" s="263"/>
      <c r="X229" s="232" t="s">
        <v>848</v>
      </c>
      <c r="Y229" s="186" t="s">
        <v>1878</v>
      </c>
      <c r="Z229" s="186" t="s">
        <v>1905</v>
      </c>
      <c r="AA229" s="234" t="s">
        <v>749</v>
      </c>
    </row>
    <row r="230" spans="2:27" ht="98.25" customHeight="1" x14ac:dyDescent="0.35">
      <c r="B230" s="263" t="s">
        <v>51</v>
      </c>
      <c r="C230" s="263" t="s">
        <v>1870</v>
      </c>
      <c r="D230" s="263" t="s">
        <v>54</v>
      </c>
      <c r="E230" s="229">
        <v>0</v>
      </c>
      <c r="F230" s="228" t="s">
        <v>764</v>
      </c>
      <c r="G230" s="227" t="s">
        <v>765</v>
      </c>
      <c r="H230" s="228" t="s">
        <v>766</v>
      </c>
      <c r="I230" s="230">
        <v>6</v>
      </c>
      <c r="J230" s="236" t="s">
        <v>741</v>
      </c>
      <c r="K230" s="230">
        <v>10</v>
      </c>
      <c r="L230" s="230"/>
      <c r="M230" s="232" t="s">
        <v>767</v>
      </c>
      <c r="N230" s="76" t="s">
        <v>768</v>
      </c>
      <c r="O230" s="230" t="s">
        <v>744</v>
      </c>
      <c r="P230" s="227"/>
      <c r="Q230" s="227"/>
      <c r="R230" s="227"/>
      <c r="S230" s="237" t="s">
        <v>1222</v>
      </c>
      <c r="T230" s="187" t="s">
        <v>1875</v>
      </c>
      <c r="U230" s="232" t="s">
        <v>1082</v>
      </c>
      <c r="V230" s="193" t="s">
        <v>1906</v>
      </c>
      <c r="W230" s="227"/>
      <c r="X230" s="227" t="s">
        <v>749</v>
      </c>
      <c r="Y230" s="227" t="s">
        <v>749</v>
      </c>
      <c r="Z230" s="227" t="s">
        <v>749</v>
      </c>
      <c r="AA230" s="234" t="s">
        <v>749</v>
      </c>
    </row>
    <row r="231" spans="2:27" ht="100.5" customHeight="1" x14ac:dyDescent="0.35">
      <c r="B231" s="263" t="s">
        <v>51</v>
      </c>
      <c r="C231" s="263" t="s">
        <v>1870</v>
      </c>
      <c r="D231" s="263" t="s">
        <v>54</v>
      </c>
      <c r="E231" s="265">
        <v>0</v>
      </c>
      <c r="F231" s="264" t="s">
        <v>771</v>
      </c>
      <c r="G231" s="263" t="s">
        <v>772</v>
      </c>
      <c r="H231" s="264" t="s">
        <v>773</v>
      </c>
      <c r="I231" s="266">
        <v>7</v>
      </c>
      <c r="J231" s="267" t="s">
        <v>774</v>
      </c>
      <c r="K231" s="266">
        <v>23</v>
      </c>
      <c r="L231" s="266"/>
      <c r="M231" s="237" t="s">
        <v>775</v>
      </c>
      <c r="N231" s="176" t="s">
        <v>776</v>
      </c>
      <c r="O231" s="266"/>
      <c r="P231" s="263"/>
      <c r="Q231" s="263"/>
      <c r="R231" s="263"/>
      <c r="S231" s="237" t="s">
        <v>1222</v>
      </c>
      <c r="T231" s="187" t="s">
        <v>1875</v>
      </c>
      <c r="U231" s="232" t="s">
        <v>826</v>
      </c>
      <c r="V231" s="193" t="s">
        <v>1907</v>
      </c>
      <c r="W231" s="263"/>
      <c r="X231" s="263" t="s">
        <v>749</v>
      </c>
      <c r="Y231" s="263" t="s">
        <v>749</v>
      </c>
      <c r="Z231" s="263" t="s">
        <v>749</v>
      </c>
      <c r="AA231" s="234" t="s">
        <v>749</v>
      </c>
    </row>
    <row r="232" spans="2:27" ht="14.5" x14ac:dyDescent="0.35"/>
    <row r="233" spans="2:27" ht="14.5" x14ac:dyDescent="0.35"/>
  </sheetData>
  <protectedRanges>
    <protectedRange sqref="N28" name="Campos"/>
    <protectedRange sqref="N41" name="Campos_1"/>
    <protectedRange sqref="N47" name="Campos_2"/>
    <protectedRange sqref="N48" name="Campos_3"/>
    <protectedRange sqref="N59" name="Campos_4"/>
    <protectedRange sqref="N90" name="Campos_5"/>
    <protectedRange sqref="N112" name="Campos_6"/>
    <protectedRange sqref="N113" name="Campos_7"/>
    <protectedRange sqref="N114" name="Campos_8"/>
    <protectedRange sqref="N125" name="Campos_9"/>
    <protectedRange sqref="N127" name="Campos_10"/>
    <protectedRange sqref="N129" name="Campos_11"/>
    <protectedRange sqref="N153" name="Campos_12"/>
    <protectedRange sqref="N184" name="Campos_13"/>
    <protectedRange sqref="N186" name="Campos_14"/>
    <protectedRange sqref="N190" name="Campos_15"/>
    <protectedRange sqref="N191" name="Campos_16"/>
    <protectedRange sqref="N197:N201" name="Campos_17"/>
    <protectedRange sqref="N215" name="Campos_18"/>
    <protectedRange sqref="N117" name="Campos_19"/>
    <protectedRange sqref="N122:N123" name="Campos_20"/>
    <protectedRange sqref="N128" name="Campos_21"/>
    <protectedRange sqref="N154" name="Campos_22"/>
    <protectedRange sqref="N168" name="Campos_23"/>
    <protectedRange sqref="N169" name="Campos_24"/>
    <protectedRange sqref="N175" name="Campos_25"/>
    <protectedRange sqref="N176" name="Campos_26"/>
  </protectedRanges>
  <sortState xmlns:xlrd2="http://schemas.microsoft.com/office/spreadsheetml/2017/richdata2" ref="B8:AA98">
    <sortCondition ref="C8:C98"/>
    <sortCondition ref="G8:G98"/>
  </sortState>
  <mergeCells count="8">
    <mergeCell ref="X5:AA5"/>
    <mergeCell ref="X6:AA6"/>
    <mergeCell ref="Q5:R5"/>
    <mergeCell ref="Q6:R6"/>
    <mergeCell ref="B5:P5"/>
    <mergeCell ref="B6:P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9C4B-2215-4219-A2C7-BA20C181CC7D}">
  <dimension ref="B1:I608"/>
  <sheetViews>
    <sheetView showGridLines="0" workbookViewId="0">
      <selection activeCell="H8" sqref="H8"/>
    </sheetView>
  </sheetViews>
  <sheetFormatPr defaultRowHeight="14.5" x14ac:dyDescent="0.35"/>
  <cols>
    <col min="2" max="2" width="39.26953125" style="126" bestFit="1" customWidth="1"/>
    <col min="3" max="4" width="43.7265625" style="54" customWidth="1"/>
    <col min="5" max="5" width="34" style="54" customWidth="1"/>
    <col min="6" max="6" width="50.453125" style="54" customWidth="1"/>
    <col min="7" max="7" width="37.26953125" customWidth="1"/>
    <col min="8" max="8" width="125.54296875" style="24" customWidth="1"/>
    <col min="9" max="9" width="32.54296875" customWidth="1"/>
  </cols>
  <sheetData>
    <row r="1" spans="2:9" ht="35.25" customHeight="1" x14ac:dyDescent="0.35"/>
    <row r="2" spans="2:9" ht="39.75" customHeight="1" x14ac:dyDescent="0.35">
      <c r="B2" s="127" t="s">
        <v>1908</v>
      </c>
      <c r="C2" s="127" t="s">
        <v>713</v>
      </c>
      <c r="D2" s="127" t="s">
        <v>1909</v>
      </c>
      <c r="E2" s="127" t="s">
        <v>1910</v>
      </c>
      <c r="F2" s="127" t="s">
        <v>1911</v>
      </c>
      <c r="G2" s="127" t="s">
        <v>1912</v>
      </c>
      <c r="H2" s="127" t="s">
        <v>1913</v>
      </c>
      <c r="I2" s="216" t="s">
        <v>1914</v>
      </c>
    </row>
    <row r="3" spans="2:9" ht="39.75" hidden="1" customHeight="1" x14ac:dyDescent="0.35">
      <c r="B3" s="227" t="s">
        <v>4</v>
      </c>
      <c r="C3" s="227" t="s">
        <v>7</v>
      </c>
      <c r="D3" s="75" t="s">
        <v>1915</v>
      </c>
      <c r="E3" s="75" t="s">
        <v>1916</v>
      </c>
      <c r="F3" s="75" t="s">
        <v>1917</v>
      </c>
      <c r="G3" s="75" t="s">
        <v>1918</v>
      </c>
      <c r="H3" s="121" t="s">
        <v>1919</v>
      </c>
      <c r="I3" s="121" t="s">
        <v>1920</v>
      </c>
    </row>
    <row r="4" spans="2:9" ht="39.75" hidden="1" customHeight="1" x14ac:dyDescent="0.35">
      <c r="B4" s="227" t="s">
        <v>4</v>
      </c>
      <c r="C4" s="227" t="s">
        <v>7</v>
      </c>
      <c r="D4" s="75" t="s">
        <v>1917</v>
      </c>
      <c r="E4" s="75" t="s">
        <v>1918</v>
      </c>
      <c r="F4" s="75" t="s">
        <v>1921</v>
      </c>
      <c r="G4" s="75" t="s">
        <v>1922</v>
      </c>
      <c r="H4" s="121" t="s">
        <v>1923</v>
      </c>
      <c r="I4" s="121" t="s">
        <v>1920</v>
      </c>
    </row>
    <row r="5" spans="2:9" ht="39.75" hidden="1" customHeight="1" x14ac:dyDescent="0.35">
      <c r="B5" s="227" t="s">
        <v>4</v>
      </c>
      <c r="C5" s="227" t="s">
        <v>7</v>
      </c>
      <c r="D5" s="75" t="s">
        <v>1917</v>
      </c>
      <c r="E5" s="75" t="s">
        <v>1918</v>
      </c>
      <c r="F5" s="75" t="s">
        <v>1924</v>
      </c>
      <c r="G5" s="75" t="s">
        <v>1925</v>
      </c>
      <c r="H5" s="121" t="s">
        <v>1926</v>
      </c>
      <c r="I5" s="121" t="s">
        <v>1927</v>
      </c>
    </row>
    <row r="6" spans="2:9" ht="39.75" customHeight="1" x14ac:dyDescent="0.35">
      <c r="B6" s="75" t="s">
        <v>9</v>
      </c>
      <c r="C6" s="75" t="s">
        <v>10</v>
      </c>
      <c r="D6" s="75" t="s">
        <v>1921</v>
      </c>
      <c r="E6" s="75" t="s">
        <v>1928</v>
      </c>
      <c r="F6" s="75" t="s">
        <v>1921</v>
      </c>
      <c r="G6" s="75" t="s">
        <v>1928</v>
      </c>
      <c r="H6" s="121" t="s">
        <v>1929</v>
      </c>
      <c r="I6" s="121" t="s">
        <v>1920</v>
      </c>
    </row>
    <row r="7" spans="2:9" ht="39.75" customHeight="1" x14ac:dyDescent="0.35">
      <c r="B7" s="75" t="s">
        <v>9</v>
      </c>
      <c r="C7" s="75" t="s">
        <v>10</v>
      </c>
      <c r="D7" s="75" t="s">
        <v>1921</v>
      </c>
      <c r="E7" s="75" t="s">
        <v>1922</v>
      </c>
      <c r="F7" s="75" t="s">
        <v>1917</v>
      </c>
      <c r="G7" s="75" t="s">
        <v>1918</v>
      </c>
      <c r="H7" s="121" t="s">
        <v>1923</v>
      </c>
      <c r="I7" s="121" t="s">
        <v>1920</v>
      </c>
    </row>
    <row r="8" spans="2:9" ht="39.75" customHeight="1" x14ac:dyDescent="0.35">
      <c r="B8" s="75" t="s">
        <v>9</v>
      </c>
      <c r="C8" s="75" t="s">
        <v>10</v>
      </c>
      <c r="D8" s="75" t="s">
        <v>1921</v>
      </c>
      <c r="E8" s="75" t="s">
        <v>1922</v>
      </c>
      <c r="F8" s="75" t="s">
        <v>1921</v>
      </c>
      <c r="G8" s="75" t="s">
        <v>1930</v>
      </c>
      <c r="H8" s="121" t="s">
        <v>1931</v>
      </c>
      <c r="I8" s="121" t="s">
        <v>1927</v>
      </c>
    </row>
    <row r="9" spans="2:9" ht="39.75" customHeight="1" x14ac:dyDescent="0.35">
      <c r="B9" s="75" t="s">
        <v>9</v>
      </c>
      <c r="C9" s="75" t="s">
        <v>10</v>
      </c>
      <c r="D9" s="75" t="s">
        <v>1921</v>
      </c>
      <c r="E9" s="75" t="s">
        <v>1922</v>
      </c>
      <c r="F9" s="75" t="s">
        <v>1921</v>
      </c>
      <c r="G9" s="75" t="s">
        <v>1928</v>
      </c>
      <c r="H9" s="121" t="s">
        <v>1932</v>
      </c>
      <c r="I9" s="121" t="s">
        <v>1927</v>
      </c>
    </row>
    <row r="10" spans="2:9" ht="39.75" customHeight="1" x14ac:dyDescent="0.35">
      <c r="B10" s="75" t="s">
        <v>9</v>
      </c>
      <c r="C10" s="75" t="s">
        <v>10</v>
      </c>
      <c r="D10" s="75" t="s">
        <v>1921</v>
      </c>
      <c r="E10" s="75" t="s">
        <v>1922</v>
      </c>
      <c r="F10" s="75" t="s">
        <v>1917</v>
      </c>
      <c r="G10" s="75" t="s">
        <v>1933</v>
      </c>
      <c r="H10" s="121" t="s">
        <v>1934</v>
      </c>
      <c r="I10" s="121" t="s">
        <v>1927</v>
      </c>
    </row>
    <row r="11" spans="2:9" ht="39.75" customHeight="1" x14ac:dyDescent="0.35">
      <c r="B11" s="75" t="s">
        <v>9</v>
      </c>
      <c r="C11" s="75" t="s">
        <v>10</v>
      </c>
      <c r="D11" s="75" t="s">
        <v>1917</v>
      </c>
      <c r="E11" s="75" t="s">
        <v>1918</v>
      </c>
      <c r="F11" s="75" t="s">
        <v>1921</v>
      </c>
      <c r="G11" s="75" t="s">
        <v>1935</v>
      </c>
      <c r="H11" s="121" t="s">
        <v>1936</v>
      </c>
      <c r="I11" s="121" t="s">
        <v>1927</v>
      </c>
    </row>
    <row r="12" spans="2:9" ht="39.75" customHeight="1" x14ac:dyDescent="0.35">
      <c r="B12" s="75" t="s">
        <v>9</v>
      </c>
      <c r="C12" s="75" t="s">
        <v>10</v>
      </c>
      <c r="D12" s="75" t="s">
        <v>1917</v>
      </c>
      <c r="E12" s="75" t="s">
        <v>1918</v>
      </c>
      <c r="F12" s="75" t="s">
        <v>1937</v>
      </c>
      <c r="G12" s="75" t="s">
        <v>1938</v>
      </c>
      <c r="H12" s="121" t="s">
        <v>1939</v>
      </c>
      <c r="I12" s="123" t="s">
        <v>1920</v>
      </c>
    </row>
    <row r="13" spans="2:9" ht="39.75" customHeight="1" x14ac:dyDescent="0.35">
      <c r="B13" s="236" t="s">
        <v>9</v>
      </c>
      <c r="C13" s="227" t="s">
        <v>12</v>
      </c>
      <c r="D13" s="75" t="s">
        <v>1921</v>
      </c>
      <c r="E13" s="75" t="s">
        <v>1940</v>
      </c>
      <c r="F13" s="75" t="s">
        <v>1917</v>
      </c>
      <c r="G13" s="75" t="s">
        <v>1918</v>
      </c>
      <c r="H13" s="121" t="s">
        <v>1941</v>
      </c>
      <c r="I13" s="121" t="s">
        <v>1920</v>
      </c>
    </row>
    <row r="14" spans="2:9" ht="39.75" customHeight="1" x14ac:dyDescent="0.35">
      <c r="B14" s="236" t="s">
        <v>9</v>
      </c>
      <c r="C14" s="236" t="s">
        <v>12</v>
      </c>
      <c r="D14" s="75" t="s">
        <v>1921</v>
      </c>
      <c r="E14" s="75" t="s">
        <v>1940</v>
      </c>
      <c r="F14" s="75" t="s">
        <v>1921</v>
      </c>
      <c r="G14" s="75" t="s">
        <v>1942</v>
      </c>
      <c r="H14" s="121" t="s">
        <v>1943</v>
      </c>
      <c r="I14" s="121" t="s">
        <v>1920</v>
      </c>
    </row>
    <row r="15" spans="2:9" ht="39.75" customHeight="1" x14ac:dyDescent="0.35">
      <c r="B15" s="236" t="s">
        <v>9</v>
      </c>
      <c r="C15" s="236" t="s">
        <v>12</v>
      </c>
      <c r="D15" s="75" t="s">
        <v>1921</v>
      </c>
      <c r="E15" s="75" t="s">
        <v>1940</v>
      </c>
      <c r="F15" s="75" t="s">
        <v>1917</v>
      </c>
      <c r="G15" s="75" t="s">
        <v>1933</v>
      </c>
      <c r="H15" s="121" t="s">
        <v>1944</v>
      </c>
      <c r="I15" s="121" t="s">
        <v>1927</v>
      </c>
    </row>
    <row r="16" spans="2:9" ht="39.75" customHeight="1" x14ac:dyDescent="0.35">
      <c r="B16" s="75" t="s">
        <v>9</v>
      </c>
      <c r="C16" s="75" t="s">
        <v>14</v>
      </c>
      <c r="D16" s="75" t="s">
        <v>1921</v>
      </c>
      <c r="E16" s="75" t="s">
        <v>1945</v>
      </c>
      <c r="F16" s="75" t="s">
        <v>1917</v>
      </c>
      <c r="G16" s="75" t="s">
        <v>1918</v>
      </c>
      <c r="H16" s="121" t="s">
        <v>1946</v>
      </c>
      <c r="I16" s="121" t="s">
        <v>1920</v>
      </c>
    </row>
    <row r="17" spans="2:9" ht="39.75" customHeight="1" x14ac:dyDescent="0.35">
      <c r="B17" s="75" t="s">
        <v>9</v>
      </c>
      <c r="C17" s="75" t="s">
        <v>16</v>
      </c>
      <c r="D17" s="75" t="s">
        <v>1921</v>
      </c>
      <c r="E17" s="75" t="s">
        <v>1922</v>
      </c>
      <c r="F17" s="75" t="s">
        <v>1917</v>
      </c>
      <c r="G17" s="128" t="s">
        <v>1918</v>
      </c>
      <c r="H17" s="123" t="s">
        <v>1947</v>
      </c>
      <c r="I17" s="121" t="s">
        <v>1920</v>
      </c>
    </row>
    <row r="18" spans="2:9" ht="39.75" customHeight="1" x14ac:dyDescent="0.35">
      <c r="B18" s="75" t="s">
        <v>9</v>
      </c>
      <c r="C18" s="75" t="s">
        <v>16</v>
      </c>
      <c r="D18" s="75" t="s">
        <v>1917</v>
      </c>
      <c r="E18" s="75" t="s">
        <v>1918</v>
      </c>
      <c r="F18" s="75" t="s">
        <v>1921</v>
      </c>
      <c r="G18" s="75" t="s">
        <v>1948</v>
      </c>
      <c r="H18" s="121" t="s">
        <v>1949</v>
      </c>
      <c r="I18" s="123" t="s">
        <v>1927</v>
      </c>
    </row>
    <row r="19" spans="2:9" ht="39.75" customHeight="1" x14ac:dyDescent="0.35">
      <c r="B19" s="75" t="s">
        <v>9</v>
      </c>
      <c r="C19" s="75" t="s">
        <v>18</v>
      </c>
      <c r="D19" s="75" t="s">
        <v>1921</v>
      </c>
      <c r="E19" s="75" t="s">
        <v>1922</v>
      </c>
      <c r="F19" s="75" t="s">
        <v>1917</v>
      </c>
      <c r="G19" s="75" t="s">
        <v>1918</v>
      </c>
      <c r="H19" s="121" t="s">
        <v>1923</v>
      </c>
      <c r="I19" s="123" t="s">
        <v>1920</v>
      </c>
    </row>
    <row r="20" spans="2:9" ht="39.75" customHeight="1" x14ac:dyDescent="0.35">
      <c r="B20" s="75" t="s">
        <v>9</v>
      </c>
      <c r="C20" s="228" t="s">
        <v>20</v>
      </c>
      <c r="D20" s="75" t="s">
        <v>1921</v>
      </c>
      <c r="E20" s="75" t="s">
        <v>1922</v>
      </c>
      <c r="F20" s="75" t="s">
        <v>1917</v>
      </c>
      <c r="G20" s="75" t="s">
        <v>1918</v>
      </c>
      <c r="H20" s="121" t="s">
        <v>1923</v>
      </c>
      <c r="I20" s="123" t="s">
        <v>1920</v>
      </c>
    </row>
    <row r="21" spans="2:9" ht="39.75" customHeight="1" x14ac:dyDescent="0.35">
      <c r="B21" s="75" t="s">
        <v>9</v>
      </c>
      <c r="C21" s="228" t="s">
        <v>20</v>
      </c>
      <c r="D21" s="75" t="s">
        <v>1921</v>
      </c>
      <c r="E21" s="75" t="s">
        <v>1922</v>
      </c>
      <c r="F21" s="75" t="s">
        <v>1921</v>
      </c>
      <c r="G21" s="75" t="s">
        <v>1950</v>
      </c>
      <c r="H21" s="121" t="s">
        <v>1951</v>
      </c>
      <c r="I21" s="123" t="s">
        <v>1927</v>
      </c>
    </row>
    <row r="22" spans="2:9" ht="39.75" customHeight="1" x14ac:dyDescent="0.35">
      <c r="B22" s="75" t="s">
        <v>9</v>
      </c>
      <c r="C22" s="228" t="s">
        <v>20</v>
      </c>
      <c r="D22" s="75" t="s">
        <v>1921</v>
      </c>
      <c r="E22" s="75" t="s">
        <v>1922</v>
      </c>
      <c r="F22" s="75" t="s">
        <v>1921</v>
      </c>
      <c r="G22" s="75" t="s">
        <v>1952</v>
      </c>
      <c r="H22" s="121" t="s">
        <v>1953</v>
      </c>
      <c r="I22" s="123" t="s">
        <v>1927</v>
      </c>
    </row>
    <row r="23" spans="2:9" ht="39.75" customHeight="1" x14ac:dyDescent="0.35">
      <c r="B23" s="75" t="s">
        <v>9</v>
      </c>
      <c r="C23" s="231" t="s">
        <v>22</v>
      </c>
      <c r="D23" s="75" t="s">
        <v>1921</v>
      </c>
      <c r="E23" s="75" t="s">
        <v>1954</v>
      </c>
      <c r="F23" s="75" t="s">
        <v>1917</v>
      </c>
      <c r="G23" s="75" t="s">
        <v>1918</v>
      </c>
      <c r="H23" s="121" t="s">
        <v>1955</v>
      </c>
      <c r="I23" s="123" t="s">
        <v>1920</v>
      </c>
    </row>
    <row r="24" spans="2:9" ht="39.75" customHeight="1" x14ac:dyDescent="0.35">
      <c r="B24" s="75" t="s">
        <v>9</v>
      </c>
      <c r="C24" s="231" t="s">
        <v>22</v>
      </c>
      <c r="D24" s="75" t="s">
        <v>1921</v>
      </c>
      <c r="E24" s="75" t="s">
        <v>1954</v>
      </c>
      <c r="F24" s="75" t="s">
        <v>1917</v>
      </c>
      <c r="G24" s="75" t="s">
        <v>1933</v>
      </c>
      <c r="H24" s="121" t="s">
        <v>1956</v>
      </c>
      <c r="I24" s="123" t="s">
        <v>1927</v>
      </c>
    </row>
    <row r="25" spans="2:9" ht="39.75" customHeight="1" x14ac:dyDescent="0.35">
      <c r="B25" s="231" t="s">
        <v>9</v>
      </c>
      <c r="C25" s="231" t="s">
        <v>22</v>
      </c>
      <c r="D25" s="75" t="s">
        <v>1921</v>
      </c>
      <c r="E25" s="75" t="s">
        <v>1954</v>
      </c>
      <c r="F25" s="75" t="s">
        <v>1917</v>
      </c>
      <c r="G25" s="75" t="s">
        <v>1957</v>
      </c>
      <c r="H25" s="121" t="s">
        <v>1958</v>
      </c>
      <c r="I25" s="123" t="s">
        <v>1927</v>
      </c>
    </row>
    <row r="26" spans="2:9" ht="39.75" customHeight="1" x14ac:dyDescent="0.35">
      <c r="B26" s="75" t="s">
        <v>9</v>
      </c>
      <c r="C26" s="236" t="s">
        <v>26</v>
      </c>
      <c r="D26" s="75" t="s">
        <v>1921</v>
      </c>
      <c r="E26" s="75" t="s">
        <v>1959</v>
      </c>
      <c r="F26" s="75" t="s">
        <v>1917</v>
      </c>
      <c r="G26" s="75" t="s">
        <v>1918</v>
      </c>
      <c r="H26" s="121" t="s">
        <v>1960</v>
      </c>
      <c r="I26" s="123" t="s">
        <v>1920</v>
      </c>
    </row>
    <row r="27" spans="2:9" ht="39.75" customHeight="1" x14ac:dyDescent="0.35">
      <c r="B27" s="75" t="s">
        <v>9</v>
      </c>
      <c r="C27" s="228" t="s">
        <v>28</v>
      </c>
      <c r="D27" s="128" t="s">
        <v>1921</v>
      </c>
      <c r="E27" s="75" t="s">
        <v>1922</v>
      </c>
      <c r="F27" s="75" t="s">
        <v>1917</v>
      </c>
      <c r="G27" s="75" t="s">
        <v>1918</v>
      </c>
      <c r="H27" s="121" t="s">
        <v>1961</v>
      </c>
      <c r="I27" s="123" t="s">
        <v>1927</v>
      </c>
    </row>
    <row r="28" spans="2:9" ht="39.75" customHeight="1" x14ac:dyDescent="0.35">
      <c r="B28" s="75" t="s">
        <v>9</v>
      </c>
      <c r="C28" s="228" t="s">
        <v>28</v>
      </c>
      <c r="D28" s="128" t="s">
        <v>1921</v>
      </c>
      <c r="E28" s="75" t="s">
        <v>1922</v>
      </c>
      <c r="F28" s="75" t="s">
        <v>1917</v>
      </c>
      <c r="G28" s="75" t="s">
        <v>1933</v>
      </c>
      <c r="H28" s="121" t="s">
        <v>1962</v>
      </c>
      <c r="I28" s="123" t="s">
        <v>1927</v>
      </c>
    </row>
    <row r="29" spans="2:9" ht="39.75" customHeight="1" x14ac:dyDescent="0.35">
      <c r="B29" s="75" t="s">
        <v>9</v>
      </c>
      <c r="C29" s="228" t="s">
        <v>28</v>
      </c>
      <c r="D29" s="75" t="s">
        <v>1921</v>
      </c>
      <c r="E29" s="75" t="s">
        <v>1963</v>
      </c>
      <c r="F29" s="75" t="s">
        <v>1917</v>
      </c>
      <c r="G29" s="75" t="s">
        <v>1918</v>
      </c>
      <c r="H29" s="121" t="s">
        <v>1964</v>
      </c>
      <c r="I29" s="123" t="s">
        <v>1920</v>
      </c>
    </row>
    <row r="30" spans="2:9" ht="39.75" customHeight="1" x14ac:dyDescent="0.35">
      <c r="B30" s="75" t="s">
        <v>9</v>
      </c>
      <c r="C30" s="228" t="s">
        <v>28</v>
      </c>
      <c r="D30" s="75" t="s">
        <v>1921</v>
      </c>
      <c r="E30" s="75" t="s">
        <v>1963</v>
      </c>
      <c r="F30" s="75" t="s">
        <v>1921</v>
      </c>
      <c r="G30" s="75" t="s">
        <v>1922</v>
      </c>
      <c r="H30" s="121" t="s">
        <v>1965</v>
      </c>
      <c r="I30" s="123" t="s">
        <v>1920</v>
      </c>
    </row>
    <row r="31" spans="2:9" ht="39.75" customHeight="1" x14ac:dyDescent="0.35">
      <c r="B31" s="75" t="s">
        <v>9</v>
      </c>
      <c r="C31" s="228" t="s">
        <v>28</v>
      </c>
      <c r="D31" s="75" t="s">
        <v>1921</v>
      </c>
      <c r="E31" s="75" t="s">
        <v>1963</v>
      </c>
      <c r="F31" s="75" t="s">
        <v>1917</v>
      </c>
      <c r="G31" s="75" t="s">
        <v>1933</v>
      </c>
      <c r="H31" s="121" t="s">
        <v>1966</v>
      </c>
      <c r="I31" s="123" t="s">
        <v>1927</v>
      </c>
    </row>
    <row r="32" spans="2:9" ht="39.75" hidden="1" customHeight="1" x14ac:dyDescent="0.35">
      <c r="B32" s="75" t="s">
        <v>30</v>
      </c>
      <c r="C32" s="75" t="s">
        <v>31</v>
      </c>
      <c r="D32" s="75" t="s">
        <v>1921</v>
      </c>
      <c r="E32" s="75" t="s">
        <v>1928</v>
      </c>
      <c r="F32" s="75" t="s">
        <v>1921</v>
      </c>
      <c r="G32" s="75" t="s">
        <v>1928</v>
      </c>
      <c r="H32" s="121" t="s">
        <v>1967</v>
      </c>
      <c r="I32" s="123" t="s">
        <v>1920</v>
      </c>
    </row>
    <row r="33" spans="2:9" ht="39.75" hidden="1" customHeight="1" x14ac:dyDescent="0.35">
      <c r="B33" s="75" t="s">
        <v>30</v>
      </c>
      <c r="C33" s="75" t="s">
        <v>31</v>
      </c>
      <c r="D33" s="75" t="s">
        <v>1921</v>
      </c>
      <c r="E33" s="75" t="s">
        <v>1968</v>
      </c>
      <c r="F33" s="75" t="s">
        <v>1917</v>
      </c>
      <c r="G33" s="75" t="s">
        <v>1918</v>
      </c>
      <c r="H33" s="121" t="s">
        <v>1969</v>
      </c>
      <c r="I33" s="123" t="s">
        <v>1920</v>
      </c>
    </row>
    <row r="34" spans="2:9" ht="39.75" hidden="1" customHeight="1" x14ac:dyDescent="0.35">
      <c r="B34" s="75" t="s">
        <v>30</v>
      </c>
      <c r="C34" s="75" t="s">
        <v>31</v>
      </c>
      <c r="D34" s="75" t="s">
        <v>1921</v>
      </c>
      <c r="E34" s="75" t="s">
        <v>1968</v>
      </c>
      <c r="F34" s="75" t="s">
        <v>1921</v>
      </c>
      <c r="G34" s="75" t="s">
        <v>1970</v>
      </c>
      <c r="H34" s="121" t="s">
        <v>1971</v>
      </c>
      <c r="I34" s="123" t="s">
        <v>1927</v>
      </c>
    </row>
    <row r="35" spans="2:9" ht="39.75" hidden="1" customHeight="1" x14ac:dyDescent="0.35">
      <c r="B35" s="75" t="s">
        <v>30</v>
      </c>
      <c r="C35" s="75" t="s">
        <v>31</v>
      </c>
      <c r="D35" s="75" t="s">
        <v>1921</v>
      </c>
      <c r="E35" s="75" t="s">
        <v>1968</v>
      </c>
      <c r="F35" s="75" t="s">
        <v>1921</v>
      </c>
      <c r="G35" s="75" t="s">
        <v>1930</v>
      </c>
      <c r="H35" s="121" t="s">
        <v>1972</v>
      </c>
      <c r="I35" s="123" t="s">
        <v>1927</v>
      </c>
    </row>
    <row r="36" spans="2:9" ht="39.75" hidden="1" customHeight="1" x14ac:dyDescent="0.35">
      <c r="B36" s="75" t="s">
        <v>30</v>
      </c>
      <c r="C36" s="75" t="s">
        <v>31</v>
      </c>
      <c r="D36" s="75" t="s">
        <v>1921</v>
      </c>
      <c r="E36" s="75" t="s">
        <v>1968</v>
      </c>
      <c r="F36" s="75" t="s">
        <v>1921</v>
      </c>
      <c r="G36" s="75" t="s">
        <v>1928</v>
      </c>
      <c r="H36" s="121" t="s">
        <v>1973</v>
      </c>
      <c r="I36" s="123" t="s">
        <v>1927</v>
      </c>
    </row>
    <row r="37" spans="2:9" ht="39.75" hidden="1" customHeight="1" x14ac:dyDescent="0.35">
      <c r="B37" s="75" t="s">
        <v>30</v>
      </c>
      <c r="C37" s="75" t="s">
        <v>31</v>
      </c>
      <c r="D37" s="75" t="s">
        <v>1921</v>
      </c>
      <c r="E37" s="75" t="s">
        <v>1968</v>
      </c>
      <c r="F37" s="75" t="s">
        <v>1921</v>
      </c>
      <c r="G37" s="75" t="s">
        <v>1959</v>
      </c>
      <c r="H37" s="121" t="s">
        <v>1974</v>
      </c>
      <c r="I37" s="123" t="s">
        <v>1927</v>
      </c>
    </row>
    <row r="38" spans="2:9" ht="39.75" hidden="1" customHeight="1" x14ac:dyDescent="0.35">
      <c r="B38" s="75" t="s">
        <v>30</v>
      </c>
      <c r="C38" s="75" t="s">
        <v>31</v>
      </c>
      <c r="D38" s="75" t="s">
        <v>1921</v>
      </c>
      <c r="E38" s="75" t="s">
        <v>1968</v>
      </c>
      <c r="F38" s="75" t="s">
        <v>1921</v>
      </c>
      <c r="G38" s="75" t="s">
        <v>1975</v>
      </c>
      <c r="H38" s="121" t="s">
        <v>1976</v>
      </c>
      <c r="I38" s="123" t="s">
        <v>1927</v>
      </c>
    </row>
    <row r="39" spans="2:9" ht="39.75" hidden="1" customHeight="1" x14ac:dyDescent="0.35">
      <c r="B39" s="75" t="s">
        <v>30</v>
      </c>
      <c r="C39" s="75" t="s">
        <v>31</v>
      </c>
      <c r="D39" s="75" t="s">
        <v>1921</v>
      </c>
      <c r="E39" s="75" t="s">
        <v>1968</v>
      </c>
      <c r="F39" s="75" t="s">
        <v>1917</v>
      </c>
      <c r="G39" s="75" t="s">
        <v>1977</v>
      </c>
      <c r="H39" s="121" t="s">
        <v>1978</v>
      </c>
      <c r="I39" s="123" t="s">
        <v>1927</v>
      </c>
    </row>
    <row r="40" spans="2:9" ht="39.75" hidden="1" customHeight="1" x14ac:dyDescent="0.35">
      <c r="B40" s="75" t="s">
        <v>30</v>
      </c>
      <c r="C40" s="75" t="s">
        <v>31</v>
      </c>
      <c r="D40" s="75" t="s">
        <v>1921</v>
      </c>
      <c r="E40" s="75" t="s">
        <v>1968</v>
      </c>
      <c r="F40" s="128" t="s">
        <v>1917</v>
      </c>
      <c r="G40" s="128" t="s">
        <v>1979</v>
      </c>
      <c r="H40" s="121" t="s">
        <v>1980</v>
      </c>
      <c r="I40" s="123" t="s">
        <v>1927</v>
      </c>
    </row>
    <row r="41" spans="2:9" ht="39.75" hidden="1" customHeight="1" x14ac:dyDescent="0.35">
      <c r="B41" s="75" t="s">
        <v>30</v>
      </c>
      <c r="C41" s="75" t="s">
        <v>31</v>
      </c>
      <c r="D41" s="75" t="s">
        <v>1921</v>
      </c>
      <c r="E41" s="75" t="s">
        <v>1968</v>
      </c>
      <c r="F41" s="75" t="s">
        <v>1917</v>
      </c>
      <c r="G41" s="75" t="s">
        <v>1981</v>
      </c>
      <c r="H41" s="121" t="s">
        <v>1982</v>
      </c>
      <c r="I41" s="123" t="s">
        <v>1927</v>
      </c>
    </row>
    <row r="42" spans="2:9" ht="39.75" hidden="1" customHeight="1" x14ac:dyDescent="0.35">
      <c r="B42" s="75" t="s">
        <v>30</v>
      </c>
      <c r="C42" s="75" t="s">
        <v>31</v>
      </c>
      <c r="D42" s="75" t="s">
        <v>1921</v>
      </c>
      <c r="E42" s="75" t="s">
        <v>1968</v>
      </c>
      <c r="F42" s="75" t="s">
        <v>1917</v>
      </c>
      <c r="G42" s="75" t="s">
        <v>1983</v>
      </c>
      <c r="H42" s="121" t="s">
        <v>1984</v>
      </c>
      <c r="I42" s="123" t="s">
        <v>1927</v>
      </c>
    </row>
    <row r="43" spans="2:9" ht="39.75" hidden="1" customHeight="1" x14ac:dyDescent="0.35">
      <c r="B43" s="75" t="s">
        <v>30</v>
      </c>
      <c r="C43" s="227" t="s">
        <v>31</v>
      </c>
      <c r="D43" s="75" t="s">
        <v>1917</v>
      </c>
      <c r="E43" s="75" t="s">
        <v>1918</v>
      </c>
      <c r="F43" s="75" t="s">
        <v>1937</v>
      </c>
      <c r="G43" s="75" t="s">
        <v>1985</v>
      </c>
      <c r="H43" s="121" t="s">
        <v>1986</v>
      </c>
      <c r="I43" s="121" t="s">
        <v>1920</v>
      </c>
    </row>
    <row r="44" spans="2:9" ht="39.75" hidden="1" customHeight="1" x14ac:dyDescent="0.35">
      <c r="B44" s="75" t="s">
        <v>30</v>
      </c>
      <c r="C44" s="75" t="s">
        <v>31</v>
      </c>
      <c r="D44" s="75" t="s">
        <v>1921</v>
      </c>
      <c r="E44" s="75" t="s">
        <v>1918</v>
      </c>
      <c r="F44" s="75" t="s">
        <v>1921</v>
      </c>
      <c r="G44" s="75" t="s">
        <v>1935</v>
      </c>
      <c r="H44" s="121" t="s">
        <v>1936</v>
      </c>
      <c r="I44" s="123" t="s">
        <v>1927</v>
      </c>
    </row>
    <row r="45" spans="2:9" ht="39.75" hidden="1" customHeight="1" x14ac:dyDescent="0.35">
      <c r="B45" s="231" t="s">
        <v>30</v>
      </c>
      <c r="C45" s="236" t="s">
        <v>33</v>
      </c>
      <c r="D45" s="75" t="s">
        <v>1921</v>
      </c>
      <c r="E45" s="75" t="s">
        <v>1940</v>
      </c>
      <c r="F45" s="75" t="s">
        <v>1917</v>
      </c>
      <c r="G45" s="75" t="s">
        <v>1918</v>
      </c>
      <c r="H45" s="121" t="s">
        <v>1987</v>
      </c>
      <c r="I45" s="123" t="s">
        <v>1920</v>
      </c>
    </row>
    <row r="46" spans="2:9" ht="39.75" hidden="1" customHeight="1" x14ac:dyDescent="0.35">
      <c r="B46" s="75" t="s">
        <v>30</v>
      </c>
      <c r="C46" s="79" t="s">
        <v>33</v>
      </c>
      <c r="D46" s="75" t="s">
        <v>1917</v>
      </c>
      <c r="E46" s="75" t="s">
        <v>1918</v>
      </c>
      <c r="F46" s="75" t="s">
        <v>1937</v>
      </c>
      <c r="G46" s="75" t="s">
        <v>1985</v>
      </c>
      <c r="H46" s="121" t="s">
        <v>1986</v>
      </c>
      <c r="I46" s="121" t="s">
        <v>1920</v>
      </c>
    </row>
    <row r="47" spans="2:9" ht="39.75" hidden="1" customHeight="1" x14ac:dyDescent="0.35">
      <c r="B47" s="231" t="s">
        <v>30</v>
      </c>
      <c r="C47" s="192" t="s">
        <v>33</v>
      </c>
      <c r="D47" s="75" t="s">
        <v>1921</v>
      </c>
      <c r="E47" s="75" t="s">
        <v>1940</v>
      </c>
      <c r="F47" s="75" t="s">
        <v>1921</v>
      </c>
      <c r="G47" s="75" t="s">
        <v>1942</v>
      </c>
      <c r="H47" s="121" t="s">
        <v>1988</v>
      </c>
      <c r="I47" s="123" t="s">
        <v>1920</v>
      </c>
    </row>
    <row r="48" spans="2:9" ht="39.75" hidden="1" customHeight="1" x14ac:dyDescent="0.35">
      <c r="B48" s="231" t="s">
        <v>30</v>
      </c>
      <c r="C48" s="236" t="s">
        <v>33</v>
      </c>
      <c r="D48" s="75" t="s">
        <v>1921</v>
      </c>
      <c r="E48" s="75" t="s">
        <v>1940</v>
      </c>
      <c r="F48" s="128" t="s">
        <v>1917</v>
      </c>
      <c r="G48" s="128" t="s">
        <v>1933</v>
      </c>
      <c r="H48" s="121" t="s">
        <v>1944</v>
      </c>
      <c r="I48" s="123" t="s">
        <v>1927</v>
      </c>
    </row>
    <row r="49" spans="2:9" ht="39.75" hidden="1" customHeight="1" x14ac:dyDescent="0.35">
      <c r="B49" s="231" t="s">
        <v>30</v>
      </c>
      <c r="C49" s="236" t="s">
        <v>33</v>
      </c>
      <c r="D49" s="75" t="s">
        <v>1921</v>
      </c>
      <c r="E49" s="75" t="s">
        <v>1940</v>
      </c>
      <c r="F49" s="75" t="s">
        <v>1917</v>
      </c>
      <c r="G49" s="75" t="s">
        <v>1989</v>
      </c>
      <c r="H49" s="121" t="s">
        <v>1990</v>
      </c>
      <c r="I49" s="123" t="s">
        <v>1927</v>
      </c>
    </row>
    <row r="50" spans="2:9" ht="39.75" hidden="1" customHeight="1" x14ac:dyDescent="0.35">
      <c r="B50" s="231" t="s">
        <v>30</v>
      </c>
      <c r="C50" s="236" t="s">
        <v>33</v>
      </c>
      <c r="D50" s="75" t="s">
        <v>1921</v>
      </c>
      <c r="E50" s="75" t="s">
        <v>1940</v>
      </c>
      <c r="F50" s="75" t="s">
        <v>1917</v>
      </c>
      <c r="G50" s="75" t="s">
        <v>1991</v>
      </c>
      <c r="H50" s="121" t="s">
        <v>1992</v>
      </c>
      <c r="I50" s="123" t="s">
        <v>1927</v>
      </c>
    </row>
    <row r="51" spans="2:9" ht="39.75" hidden="1" customHeight="1" x14ac:dyDescent="0.35">
      <c r="B51" s="231" t="s">
        <v>30</v>
      </c>
      <c r="C51" s="236" t="s">
        <v>33</v>
      </c>
      <c r="D51" s="75" t="s">
        <v>1917</v>
      </c>
      <c r="E51" s="75" t="s">
        <v>1989</v>
      </c>
      <c r="F51" s="75" t="s">
        <v>1917</v>
      </c>
      <c r="G51" s="75" t="s">
        <v>1993</v>
      </c>
      <c r="H51" s="121" t="s">
        <v>1994</v>
      </c>
      <c r="I51" s="123" t="s">
        <v>1927</v>
      </c>
    </row>
    <row r="52" spans="2:9" ht="39.75" hidden="1" customHeight="1" x14ac:dyDescent="0.35">
      <c r="B52" s="231" t="s">
        <v>30</v>
      </c>
      <c r="C52" s="236" t="s">
        <v>33</v>
      </c>
      <c r="D52" s="75" t="s">
        <v>1917</v>
      </c>
      <c r="E52" s="75" t="s">
        <v>1991</v>
      </c>
      <c r="F52" s="75" t="s">
        <v>1917</v>
      </c>
      <c r="G52" s="75" t="s">
        <v>1995</v>
      </c>
      <c r="H52" s="121" t="s">
        <v>1996</v>
      </c>
      <c r="I52" s="123" t="s">
        <v>1927</v>
      </c>
    </row>
    <row r="53" spans="2:9" ht="39.75" hidden="1" customHeight="1" x14ac:dyDescent="0.35">
      <c r="B53" s="75" t="s">
        <v>30</v>
      </c>
      <c r="C53" s="228" t="s">
        <v>35</v>
      </c>
      <c r="D53" s="75" t="s">
        <v>1921</v>
      </c>
      <c r="E53" s="75" t="s">
        <v>1997</v>
      </c>
      <c r="F53" s="128" t="s">
        <v>1917</v>
      </c>
      <c r="G53" s="128" t="s">
        <v>1918</v>
      </c>
      <c r="H53" s="121" t="s">
        <v>1998</v>
      </c>
      <c r="I53" s="123" t="s">
        <v>1920</v>
      </c>
    </row>
    <row r="54" spans="2:9" ht="39.75" hidden="1" customHeight="1" x14ac:dyDescent="0.35">
      <c r="B54" s="75" t="s">
        <v>30</v>
      </c>
      <c r="C54" s="228" t="s">
        <v>35</v>
      </c>
      <c r="D54" s="75" t="s">
        <v>1921</v>
      </c>
      <c r="E54" s="75" t="s">
        <v>1968</v>
      </c>
      <c r="F54" s="75" t="s">
        <v>1917</v>
      </c>
      <c r="G54" s="75" t="s">
        <v>1918</v>
      </c>
      <c r="H54" s="121" t="s">
        <v>1969</v>
      </c>
      <c r="I54" s="123" t="s">
        <v>1920</v>
      </c>
    </row>
    <row r="55" spans="2:9" ht="39.75" hidden="1" customHeight="1" x14ac:dyDescent="0.35">
      <c r="B55" s="75" t="s">
        <v>30</v>
      </c>
      <c r="C55" s="228" t="s">
        <v>35</v>
      </c>
      <c r="D55" s="75" t="s">
        <v>1921</v>
      </c>
      <c r="E55" s="75" t="s">
        <v>1997</v>
      </c>
      <c r="F55" s="75" t="s">
        <v>1917</v>
      </c>
      <c r="G55" s="75" t="s">
        <v>1933</v>
      </c>
      <c r="H55" s="121" t="s">
        <v>1999</v>
      </c>
      <c r="I55" s="123" t="s">
        <v>1927</v>
      </c>
    </row>
    <row r="56" spans="2:9" ht="39.75" hidden="1" customHeight="1" x14ac:dyDescent="0.35">
      <c r="B56" s="75" t="s">
        <v>30</v>
      </c>
      <c r="C56" s="228" t="s">
        <v>35</v>
      </c>
      <c r="D56" s="75" t="s">
        <v>1921</v>
      </c>
      <c r="E56" s="75" t="s">
        <v>1968</v>
      </c>
      <c r="F56" s="75" t="s">
        <v>1917</v>
      </c>
      <c r="G56" s="75" t="s">
        <v>1933</v>
      </c>
      <c r="H56" s="121" t="s">
        <v>2000</v>
      </c>
      <c r="I56" s="123" t="s">
        <v>1927</v>
      </c>
    </row>
    <row r="57" spans="2:9" ht="39.75" hidden="1" customHeight="1" x14ac:dyDescent="0.35">
      <c r="B57" s="75" t="s">
        <v>30</v>
      </c>
      <c r="C57" s="79" t="s">
        <v>35</v>
      </c>
      <c r="D57" s="75" t="s">
        <v>1917</v>
      </c>
      <c r="E57" s="75" t="s">
        <v>1918</v>
      </c>
      <c r="F57" s="75" t="s">
        <v>1937</v>
      </c>
      <c r="G57" s="75" t="s">
        <v>1985</v>
      </c>
      <c r="H57" s="121" t="s">
        <v>2001</v>
      </c>
      <c r="I57" s="121" t="s">
        <v>1920</v>
      </c>
    </row>
    <row r="58" spans="2:9" ht="39.75" hidden="1" customHeight="1" x14ac:dyDescent="0.35">
      <c r="B58" s="228" t="s">
        <v>30</v>
      </c>
      <c r="C58" s="228" t="s">
        <v>37</v>
      </c>
      <c r="D58" s="75" t="s">
        <v>1921</v>
      </c>
      <c r="E58" s="75" t="s">
        <v>1945</v>
      </c>
      <c r="F58" s="75" t="s">
        <v>1917</v>
      </c>
      <c r="G58" s="75" t="s">
        <v>1918</v>
      </c>
      <c r="H58" s="121" t="s">
        <v>2002</v>
      </c>
      <c r="I58" s="123" t="s">
        <v>1920</v>
      </c>
    </row>
    <row r="59" spans="2:9" ht="39.75" hidden="1" customHeight="1" x14ac:dyDescent="0.35">
      <c r="B59" s="75" t="s">
        <v>30</v>
      </c>
      <c r="C59" s="79" t="s">
        <v>37</v>
      </c>
      <c r="D59" s="75" t="s">
        <v>1917</v>
      </c>
      <c r="E59" s="75" t="s">
        <v>1918</v>
      </c>
      <c r="F59" s="75" t="s">
        <v>1937</v>
      </c>
      <c r="G59" s="75" t="s">
        <v>1985</v>
      </c>
      <c r="H59" s="121" t="s">
        <v>1986</v>
      </c>
      <c r="I59" s="121" t="s">
        <v>1920</v>
      </c>
    </row>
    <row r="60" spans="2:9" ht="39.75" hidden="1" customHeight="1" x14ac:dyDescent="0.35">
      <c r="B60" s="228" t="s">
        <v>30</v>
      </c>
      <c r="C60" s="228" t="s">
        <v>39</v>
      </c>
      <c r="D60" s="75" t="s">
        <v>1921</v>
      </c>
      <c r="E60" s="75" t="s">
        <v>1968</v>
      </c>
      <c r="F60" s="75" t="s">
        <v>1917</v>
      </c>
      <c r="G60" s="75" t="s">
        <v>1918</v>
      </c>
      <c r="H60" s="121" t="s">
        <v>2003</v>
      </c>
      <c r="I60" s="123" t="s">
        <v>1920</v>
      </c>
    </row>
    <row r="61" spans="2:9" ht="39.75" hidden="1" customHeight="1" x14ac:dyDescent="0.35">
      <c r="B61" s="75" t="s">
        <v>30</v>
      </c>
      <c r="C61" s="77" t="s">
        <v>39</v>
      </c>
      <c r="D61" s="75" t="s">
        <v>1917</v>
      </c>
      <c r="E61" s="75" t="s">
        <v>1918</v>
      </c>
      <c r="F61" s="75" t="s">
        <v>1937</v>
      </c>
      <c r="G61" s="75" t="s">
        <v>1985</v>
      </c>
      <c r="H61" s="121" t="s">
        <v>2001</v>
      </c>
      <c r="I61" s="121" t="s">
        <v>1920</v>
      </c>
    </row>
    <row r="62" spans="2:9" ht="39.75" hidden="1" customHeight="1" x14ac:dyDescent="0.35">
      <c r="B62" s="228" t="s">
        <v>30</v>
      </c>
      <c r="C62" s="228" t="s">
        <v>39</v>
      </c>
      <c r="D62" s="75" t="s">
        <v>1917</v>
      </c>
      <c r="E62" s="75" t="s">
        <v>1918</v>
      </c>
      <c r="F62" s="75" t="s">
        <v>1921</v>
      </c>
      <c r="G62" s="75" t="s">
        <v>1948</v>
      </c>
      <c r="H62" s="121" t="s">
        <v>2004</v>
      </c>
      <c r="I62" s="123" t="s">
        <v>1927</v>
      </c>
    </row>
    <row r="63" spans="2:9" ht="39.75" hidden="1" customHeight="1" x14ac:dyDescent="0.35">
      <c r="B63" s="75" t="s">
        <v>30</v>
      </c>
      <c r="C63" s="89" t="s">
        <v>41</v>
      </c>
      <c r="D63" s="75" t="s">
        <v>1917</v>
      </c>
      <c r="E63" s="75" t="s">
        <v>1918</v>
      </c>
      <c r="F63" s="75" t="s">
        <v>1937</v>
      </c>
      <c r="G63" s="75" t="s">
        <v>1985</v>
      </c>
      <c r="H63" s="121" t="s">
        <v>1986</v>
      </c>
      <c r="I63" s="121" t="s">
        <v>1920</v>
      </c>
    </row>
    <row r="64" spans="2:9" ht="33.75" hidden="1" customHeight="1" x14ac:dyDescent="0.35">
      <c r="B64" s="264" t="s">
        <v>30</v>
      </c>
      <c r="C64" s="264" t="s">
        <v>41</v>
      </c>
      <c r="D64" s="75" t="s">
        <v>1921</v>
      </c>
      <c r="E64" s="75" t="s">
        <v>1968</v>
      </c>
      <c r="F64" s="75" t="s">
        <v>1917</v>
      </c>
      <c r="G64" s="75" t="s">
        <v>1918</v>
      </c>
      <c r="H64" s="121" t="s">
        <v>2003</v>
      </c>
      <c r="I64" s="123" t="s">
        <v>1920</v>
      </c>
    </row>
    <row r="65" spans="2:9" ht="33.75" hidden="1" customHeight="1" x14ac:dyDescent="0.35">
      <c r="B65" s="89" t="s">
        <v>30</v>
      </c>
      <c r="C65" s="89" t="s">
        <v>41</v>
      </c>
      <c r="D65" s="75" t="s">
        <v>1917</v>
      </c>
      <c r="E65" s="75" t="s">
        <v>1968</v>
      </c>
      <c r="F65" s="75" t="s">
        <v>1917</v>
      </c>
      <c r="G65" s="75" t="s">
        <v>2005</v>
      </c>
      <c r="H65" s="121" t="s">
        <v>2006</v>
      </c>
      <c r="I65" s="123" t="s">
        <v>1927</v>
      </c>
    </row>
    <row r="66" spans="2:9" ht="45" hidden="1" customHeight="1" x14ac:dyDescent="0.35">
      <c r="B66" s="264" t="s">
        <v>30</v>
      </c>
      <c r="C66" s="264" t="s">
        <v>43</v>
      </c>
      <c r="D66" s="128" t="s">
        <v>1921</v>
      </c>
      <c r="E66" s="128" t="s">
        <v>1954</v>
      </c>
      <c r="F66" s="128" t="s">
        <v>1917</v>
      </c>
      <c r="G66" s="128" t="s">
        <v>1918</v>
      </c>
      <c r="H66" s="123" t="s">
        <v>2007</v>
      </c>
      <c r="I66" s="123" t="s">
        <v>1920</v>
      </c>
    </row>
    <row r="67" spans="2:9" ht="40.5" hidden="1" customHeight="1" x14ac:dyDescent="0.35">
      <c r="B67" s="75" t="s">
        <v>30</v>
      </c>
      <c r="C67" s="89" t="s">
        <v>43</v>
      </c>
      <c r="D67" s="75" t="s">
        <v>1917</v>
      </c>
      <c r="E67" s="75" t="s">
        <v>1918</v>
      </c>
      <c r="F67" s="75" t="s">
        <v>1937</v>
      </c>
      <c r="G67" s="75" t="s">
        <v>1985</v>
      </c>
      <c r="H67" s="121" t="s">
        <v>1986</v>
      </c>
      <c r="I67" s="121" t="s">
        <v>1920</v>
      </c>
    </row>
    <row r="68" spans="2:9" ht="51" hidden="1" customHeight="1" x14ac:dyDescent="0.35">
      <c r="B68" s="264" t="s">
        <v>30</v>
      </c>
      <c r="C68" s="264" t="s">
        <v>43</v>
      </c>
      <c r="D68" s="128" t="s">
        <v>1921</v>
      </c>
      <c r="E68" s="128" t="s">
        <v>1954</v>
      </c>
      <c r="F68" s="75" t="s">
        <v>1917</v>
      </c>
      <c r="G68" s="75" t="s">
        <v>1933</v>
      </c>
      <c r="H68" s="121" t="s">
        <v>1956</v>
      </c>
      <c r="I68" s="123" t="s">
        <v>1927</v>
      </c>
    </row>
    <row r="69" spans="2:9" ht="69.75" hidden="1" customHeight="1" x14ac:dyDescent="0.35">
      <c r="B69" s="268" t="s">
        <v>30</v>
      </c>
      <c r="C69" s="268" t="s">
        <v>43</v>
      </c>
      <c r="D69" s="128" t="s">
        <v>1921</v>
      </c>
      <c r="E69" s="128" t="s">
        <v>1954</v>
      </c>
      <c r="F69" s="128" t="s">
        <v>1917</v>
      </c>
      <c r="G69" s="75" t="s">
        <v>1957</v>
      </c>
      <c r="H69" s="123" t="s">
        <v>1958</v>
      </c>
      <c r="I69" s="123" t="s">
        <v>1927</v>
      </c>
    </row>
    <row r="70" spans="2:9" ht="61.5" hidden="1" customHeight="1" x14ac:dyDescent="0.35">
      <c r="B70" s="75" t="s">
        <v>30</v>
      </c>
      <c r="C70" s="79" t="s">
        <v>45</v>
      </c>
      <c r="D70" s="75" t="s">
        <v>1917</v>
      </c>
      <c r="E70" s="75" t="s">
        <v>1918</v>
      </c>
      <c r="F70" s="75" t="s">
        <v>1937</v>
      </c>
      <c r="G70" s="75" t="s">
        <v>1985</v>
      </c>
      <c r="H70" s="121" t="s">
        <v>1986</v>
      </c>
      <c r="I70" s="121" t="s">
        <v>1920</v>
      </c>
    </row>
    <row r="71" spans="2:9" ht="60.75" hidden="1" customHeight="1" x14ac:dyDescent="0.35">
      <c r="B71" s="264" t="s">
        <v>30</v>
      </c>
      <c r="C71" s="263" t="s">
        <v>47</v>
      </c>
      <c r="D71" s="128" t="s">
        <v>1921</v>
      </c>
      <c r="E71" s="128" t="s">
        <v>1959</v>
      </c>
      <c r="F71" s="75" t="s">
        <v>1917</v>
      </c>
      <c r="G71" s="75" t="s">
        <v>1918</v>
      </c>
      <c r="H71" s="121" t="s">
        <v>2008</v>
      </c>
      <c r="I71" s="123" t="s">
        <v>1920</v>
      </c>
    </row>
    <row r="72" spans="2:9" ht="53.25" hidden="1" customHeight="1" x14ac:dyDescent="0.35">
      <c r="B72" s="75" t="s">
        <v>30</v>
      </c>
      <c r="C72" s="186" t="s">
        <v>47</v>
      </c>
      <c r="D72" s="75" t="s">
        <v>1917</v>
      </c>
      <c r="E72" s="75" t="s">
        <v>1918</v>
      </c>
      <c r="F72" s="75" t="s">
        <v>1937</v>
      </c>
      <c r="G72" s="75" t="s">
        <v>1985</v>
      </c>
      <c r="H72" s="121" t="s">
        <v>1986</v>
      </c>
      <c r="I72" s="121" t="s">
        <v>1920</v>
      </c>
    </row>
    <row r="73" spans="2:9" ht="30.75" hidden="1" customHeight="1" x14ac:dyDescent="0.35">
      <c r="B73" s="264" t="s">
        <v>30</v>
      </c>
      <c r="C73" s="264" t="s">
        <v>49</v>
      </c>
      <c r="D73" s="128" t="s">
        <v>1921</v>
      </c>
      <c r="E73" s="75" t="s">
        <v>1968</v>
      </c>
      <c r="F73" s="75" t="s">
        <v>1917</v>
      </c>
      <c r="G73" s="75" t="s">
        <v>1918</v>
      </c>
      <c r="H73" s="121" t="s">
        <v>2009</v>
      </c>
      <c r="I73" s="123" t="s">
        <v>1920</v>
      </c>
    </row>
    <row r="74" spans="2:9" ht="30.75" hidden="1" customHeight="1" x14ac:dyDescent="0.35">
      <c r="B74" s="264" t="s">
        <v>30</v>
      </c>
      <c r="C74" s="264" t="s">
        <v>49</v>
      </c>
      <c r="D74" s="128" t="s">
        <v>1921</v>
      </c>
      <c r="E74" s="75" t="s">
        <v>1968</v>
      </c>
      <c r="F74" s="75" t="s">
        <v>1917</v>
      </c>
      <c r="G74" s="75" t="s">
        <v>1933</v>
      </c>
      <c r="H74" s="121" t="s">
        <v>2010</v>
      </c>
      <c r="I74" s="123" t="s">
        <v>1927</v>
      </c>
    </row>
    <row r="75" spans="2:9" ht="30.75" hidden="1" customHeight="1" x14ac:dyDescent="0.35">
      <c r="B75" s="264" t="s">
        <v>30</v>
      </c>
      <c r="C75" s="264" t="s">
        <v>49</v>
      </c>
      <c r="D75" s="75" t="s">
        <v>1921</v>
      </c>
      <c r="E75" s="128" t="s">
        <v>1963</v>
      </c>
      <c r="F75" s="75" t="s">
        <v>1917</v>
      </c>
      <c r="G75" s="75" t="s">
        <v>1918</v>
      </c>
      <c r="H75" s="123" t="s">
        <v>1964</v>
      </c>
      <c r="I75" s="123" t="s">
        <v>1920</v>
      </c>
    </row>
    <row r="76" spans="2:9" ht="45.75" hidden="1" customHeight="1" x14ac:dyDescent="0.35">
      <c r="B76" s="264" t="s">
        <v>30</v>
      </c>
      <c r="C76" s="264" t="s">
        <v>49</v>
      </c>
      <c r="D76" s="75" t="s">
        <v>1921</v>
      </c>
      <c r="E76" s="75" t="s">
        <v>1963</v>
      </c>
      <c r="F76" s="75" t="s">
        <v>1917</v>
      </c>
      <c r="G76" s="75" t="s">
        <v>1933</v>
      </c>
      <c r="H76" s="121" t="s">
        <v>1966</v>
      </c>
      <c r="I76" s="123" t="s">
        <v>1927</v>
      </c>
    </row>
    <row r="77" spans="2:9" ht="39.75" hidden="1" customHeight="1" x14ac:dyDescent="0.35">
      <c r="B77" s="75" t="s">
        <v>30</v>
      </c>
      <c r="C77" s="89" t="s">
        <v>49</v>
      </c>
      <c r="D77" s="75" t="s">
        <v>1917</v>
      </c>
      <c r="E77" s="75" t="s">
        <v>1918</v>
      </c>
      <c r="F77" s="75" t="s">
        <v>1937</v>
      </c>
      <c r="G77" s="75" t="s">
        <v>1985</v>
      </c>
      <c r="H77" s="121" t="s">
        <v>1986</v>
      </c>
      <c r="I77" s="121" t="s">
        <v>1920</v>
      </c>
    </row>
    <row r="78" spans="2:9" ht="39.75" hidden="1" customHeight="1" x14ac:dyDescent="0.35">
      <c r="B78" s="264" t="s">
        <v>51</v>
      </c>
      <c r="C78" s="264" t="s">
        <v>52</v>
      </c>
      <c r="D78" s="128" t="s">
        <v>9</v>
      </c>
      <c r="E78" s="128" t="s">
        <v>10</v>
      </c>
      <c r="F78" s="128" t="s">
        <v>1917</v>
      </c>
      <c r="G78" s="128" t="s">
        <v>1918</v>
      </c>
      <c r="H78" s="123" t="s">
        <v>2011</v>
      </c>
      <c r="I78" s="123" t="s">
        <v>1927</v>
      </c>
    </row>
    <row r="79" spans="2:9" ht="39.75" hidden="1" customHeight="1" x14ac:dyDescent="0.35">
      <c r="B79" s="264" t="s">
        <v>51</v>
      </c>
      <c r="C79" s="228" t="s">
        <v>52</v>
      </c>
      <c r="D79" s="128" t="s">
        <v>9</v>
      </c>
      <c r="E79" s="128" t="s">
        <v>10</v>
      </c>
      <c r="F79" s="75" t="s">
        <v>1921</v>
      </c>
      <c r="G79" s="75" t="s">
        <v>2012</v>
      </c>
      <c r="H79" s="121" t="s">
        <v>2013</v>
      </c>
      <c r="I79" s="123" t="s">
        <v>1927</v>
      </c>
    </row>
    <row r="80" spans="2:9" ht="39.75" hidden="1" customHeight="1" x14ac:dyDescent="0.35">
      <c r="B80" s="264" t="s">
        <v>51</v>
      </c>
      <c r="C80" s="264" t="s">
        <v>52</v>
      </c>
      <c r="D80" s="128" t="s">
        <v>9</v>
      </c>
      <c r="E80" s="128" t="s">
        <v>10</v>
      </c>
      <c r="F80" s="128" t="s">
        <v>1921</v>
      </c>
      <c r="G80" s="128" t="s">
        <v>1935</v>
      </c>
      <c r="H80" s="123" t="s">
        <v>2014</v>
      </c>
      <c r="I80" s="123" t="s">
        <v>1927</v>
      </c>
    </row>
    <row r="81" spans="2:9" ht="43.5" hidden="1" customHeight="1" x14ac:dyDescent="0.35">
      <c r="B81" s="264" t="s">
        <v>51</v>
      </c>
      <c r="C81" s="264" t="s">
        <v>52</v>
      </c>
      <c r="D81" s="128" t="s">
        <v>9</v>
      </c>
      <c r="E81" s="128" t="s">
        <v>10</v>
      </c>
      <c r="F81" s="128" t="s">
        <v>1921</v>
      </c>
      <c r="G81" s="128" t="s">
        <v>2015</v>
      </c>
      <c r="H81" s="123" t="s">
        <v>2016</v>
      </c>
      <c r="I81" s="123" t="s">
        <v>1927</v>
      </c>
    </row>
    <row r="82" spans="2:9" ht="44.25" hidden="1" customHeight="1" x14ac:dyDescent="0.35">
      <c r="B82" s="264" t="s">
        <v>51</v>
      </c>
      <c r="C82" s="264" t="s">
        <v>52</v>
      </c>
      <c r="D82" s="128" t="s">
        <v>30</v>
      </c>
      <c r="E82" s="128" t="s">
        <v>31</v>
      </c>
      <c r="F82" s="128" t="s">
        <v>1917</v>
      </c>
      <c r="G82" s="128" t="s">
        <v>1918</v>
      </c>
      <c r="H82" s="123" t="s">
        <v>2017</v>
      </c>
      <c r="I82" s="123" t="s">
        <v>1927</v>
      </c>
    </row>
    <row r="83" spans="2:9" ht="50.25" hidden="1" customHeight="1" x14ac:dyDescent="0.35">
      <c r="B83" s="228" t="s">
        <v>51</v>
      </c>
      <c r="C83" s="228" t="s">
        <v>52</v>
      </c>
      <c r="D83" s="75" t="s">
        <v>30</v>
      </c>
      <c r="E83" s="75" t="s">
        <v>31</v>
      </c>
      <c r="F83" s="75" t="s">
        <v>1921</v>
      </c>
      <c r="G83" s="75" t="s">
        <v>2012</v>
      </c>
      <c r="H83" s="121" t="s">
        <v>2018</v>
      </c>
      <c r="I83" s="123" t="s">
        <v>1927</v>
      </c>
    </row>
    <row r="84" spans="2:9" ht="43.5" hidden="1" customHeight="1" x14ac:dyDescent="0.35">
      <c r="B84" s="264" t="s">
        <v>51</v>
      </c>
      <c r="C84" s="264" t="s">
        <v>52</v>
      </c>
      <c r="D84" s="128" t="s">
        <v>30</v>
      </c>
      <c r="E84" s="128" t="s">
        <v>31</v>
      </c>
      <c r="F84" s="128" t="s">
        <v>1921</v>
      </c>
      <c r="G84" s="128" t="s">
        <v>1935</v>
      </c>
      <c r="H84" s="123" t="s">
        <v>2019</v>
      </c>
      <c r="I84" s="123" t="s">
        <v>1927</v>
      </c>
    </row>
    <row r="85" spans="2:9" ht="33.75" hidden="1" customHeight="1" x14ac:dyDescent="0.35">
      <c r="B85" s="228" t="s">
        <v>51</v>
      </c>
      <c r="C85" s="228" t="s">
        <v>52</v>
      </c>
      <c r="D85" s="75" t="s">
        <v>30</v>
      </c>
      <c r="E85" s="75" t="s">
        <v>31</v>
      </c>
      <c r="F85" s="75" t="s">
        <v>1921</v>
      </c>
      <c r="G85" s="75" t="s">
        <v>2015</v>
      </c>
      <c r="H85" s="121" t="s">
        <v>2020</v>
      </c>
      <c r="I85" s="123" t="s">
        <v>1927</v>
      </c>
    </row>
    <row r="86" spans="2:9" ht="48" hidden="1" customHeight="1" x14ac:dyDescent="0.35">
      <c r="B86" s="231" t="s">
        <v>51</v>
      </c>
      <c r="C86" s="75" t="s">
        <v>54</v>
      </c>
      <c r="D86" s="128" t="s">
        <v>1921</v>
      </c>
      <c r="E86" s="128" t="s">
        <v>2021</v>
      </c>
      <c r="F86" s="75" t="s">
        <v>1937</v>
      </c>
      <c r="G86" s="75" t="s">
        <v>1938</v>
      </c>
      <c r="H86" s="123" t="s">
        <v>2022</v>
      </c>
      <c r="I86" s="123" t="s">
        <v>1920</v>
      </c>
    </row>
    <row r="87" spans="2:9" ht="48" hidden="1" customHeight="1" x14ac:dyDescent="0.35">
      <c r="B87" s="268" t="s">
        <v>51</v>
      </c>
      <c r="C87" s="128" t="s">
        <v>54</v>
      </c>
      <c r="D87" s="128" t="s">
        <v>1921</v>
      </c>
      <c r="E87" s="128" t="s">
        <v>2021</v>
      </c>
      <c r="F87" s="75" t="s">
        <v>1937</v>
      </c>
      <c r="G87" s="128" t="s">
        <v>1985</v>
      </c>
      <c r="H87" s="123" t="s">
        <v>2023</v>
      </c>
      <c r="I87" s="123" t="s">
        <v>1920</v>
      </c>
    </row>
    <row r="88" spans="2:9" ht="48" hidden="1" customHeight="1" x14ac:dyDescent="0.35">
      <c r="B88" s="268" t="s">
        <v>51</v>
      </c>
      <c r="C88" s="128" t="s">
        <v>54</v>
      </c>
      <c r="D88" s="128" t="s">
        <v>1921</v>
      </c>
      <c r="E88" s="128" t="s">
        <v>1918</v>
      </c>
      <c r="F88" s="128" t="s">
        <v>1921</v>
      </c>
      <c r="G88" s="128" t="s">
        <v>1922</v>
      </c>
      <c r="H88" s="123" t="s">
        <v>1923</v>
      </c>
      <c r="I88" s="123" t="s">
        <v>1920</v>
      </c>
    </row>
    <row r="89" spans="2:9" ht="55.5" hidden="1" customHeight="1" x14ac:dyDescent="0.35">
      <c r="B89" s="231" t="s">
        <v>51</v>
      </c>
      <c r="C89" s="75" t="s">
        <v>54</v>
      </c>
      <c r="D89" s="75" t="s">
        <v>1921</v>
      </c>
      <c r="E89" s="75" t="s">
        <v>1918</v>
      </c>
      <c r="F89" s="128" t="s">
        <v>1921</v>
      </c>
      <c r="G89" s="128" t="s">
        <v>1968</v>
      </c>
      <c r="H89" s="123" t="s">
        <v>2024</v>
      </c>
      <c r="I89" s="123" t="s">
        <v>1920</v>
      </c>
    </row>
    <row r="90" spans="2:9" ht="41.25" hidden="1" customHeight="1" x14ac:dyDescent="0.35">
      <c r="B90" s="231" t="s">
        <v>51</v>
      </c>
      <c r="C90" s="227" t="s">
        <v>56</v>
      </c>
      <c r="D90" s="128" t="s">
        <v>1921</v>
      </c>
      <c r="E90" s="128" t="s">
        <v>2025</v>
      </c>
      <c r="F90" s="75" t="s">
        <v>1917</v>
      </c>
      <c r="G90" s="75" t="s">
        <v>1918</v>
      </c>
      <c r="H90" s="123" t="s">
        <v>2026</v>
      </c>
      <c r="I90" s="123" t="s">
        <v>1920</v>
      </c>
    </row>
    <row r="91" spans="2:9" ht="41.25" hidden="1" customHeight="1" x14ac:dyDescent="0.35">
      <c r="B91" s="231" t="s">
        <v>51</v>
      </c>
      <c r="C91" s="236" t="s">
        <v>56</v>
      </c>
      <c r="D91" s="128" t="s">
        <v>1921</v>
      </c>
      <c r="E91" s="128" t="s">
        <v>2025</v>
      </c>
      <c r="F91" s="128" t="s">
        <v>1917</v>
      </c>
      <c r="G91" s="128" t="s">
        <v>1918</v>
      </c>
      <c r="H91" s="123" t="s">
        <v>2027</v>
      </c>
      <c r="I91" s="123" t="s">
        <v>1920</v>
      </c>
    </row>
    <row r="92" spans="2:9" ht="41.25" hidden="1" customHeight="1" x14ac:dyDescent="0.35">
      <c r="B92" s="231" t="s">
        <v>51</v>
      </c>
      <c r="C92" s="236" t="s">
        <v>56</v>
      </c>
      <c r="D92" s="128" t="s">
        <v>1921</v>
      </c>
      <c r="E92" s="128" t="s">
        <v>2025</v>
      </c>
      <c r="F92" s="128" t="s">
        <v>1917</v>
      </c>
      <c r="G92" s="75" t="s">
        <v>2028</v>
      </c>
      <c r="H92" s="121" t="s">
        <v>2029</v>
      </c>
      <c r="I92" s="123" t="s">
        <v>1927</v>
      </c>
    </row>
    <row r="93" spans="2:9" ht="41.25" hidden="1" customHeight="1" x14ac:dyDescent="0.35">
      <c r="B93" s="268" t="s">
        <v>51</v>
      </c>
      <c r="C93" s="227" t="s">
        <v>56</v>
      </c>
      <c r="D93" s="75" t="s">
        <v>1917</v>
      </c>
      <c r="E93" s="75" t="s">
        <v>1918</v>
      </c>
      <c r="F93" s="75" t="s">
        <v>1937</v>
      </c>
      <c r="G93" s="75" t="s">
        <v>1985</v>
      </c>
      <c r="H93" s="121" t="s">
        <v>1986</v>
      </c>
      <c r="I93" s="121" t="s">
        <v>1920</v>
      </c>
    </row>
    <row r="94" spans="2:9" ht="41.25" hidden="1" customHeight="1" x14ac:dyDescent="0.35">
      <c r="B94" s="268" t="s">
        <v>51</v>
      </c>
      <c r="C94" s="227" t="s">
        <v>56</v>
      </c>
      <c r="D94" s="75" t="s">
        <v>1917</v>
      </c>
      <c r="E94" s="75" t="s">
        <v>1918</v>
      </c>
      <c r="F94" s="75" t="s">
        <v>1937</v>
      </c>
      <c r="G94" s="75" t="s">
        <v>1938</v>
      </c>
      <c r="H94" s="121" t="s">
        <v>2030</v>
      </c>
      <c r="I94" s="123" t="s">
        <v>1920</v>
      </c>
    </row>
    <row r="95" spans="2:9" ht="45" customHeight="1" x14ac:dyDescent="0.35">
      <c r="B95" s="267" t="s">
        <v>9</v>
      </c>
      <c r="C95" s="267" t="s">
        <v>12</v>
      </c>
      <c r="D95" s="128" t="s">
        <v>1921</v>
      </c>
      <c r="E95" s="75" t="s">
        <v>1918</v>
      </c>
      <c r="F95" s="75" t="s">
        <v>1937</v>
      </c>
      <c r="G95" s="75" t="s">
        <v>1938</v>
      </c>
      <c r="H95" s="123" t="s">
        <v>2031</v>
      </c>
      <c r="I95" s="121" t="s">
        <v>1920</v>
      </c>
    </row>
    <row r="96" spans="2:9" ht="130.5" x14ac:dyDescent="0.35">
      <c r="B96" s="267" t="s">
        <v>9</v>
      </c>
      <c r="C96" s="267" t="s">
        <v>12</v>
      </c>
      <c r="D96" s="128" t="s">
        <v>1917</v>
      </c>
      <c r="E96" s="128" t="s">
        <v>1940</v>
      </c>
      <c r="F96" s="75" t="s">
        <v>1921</v>
      </c>
      <c r="G96" s="226" t="s">
        <v>2032</v>
      </c>
      <c r="H96" s="123" t="s">
        <v>2033</v>
      </c>
      <c r="I96" s="123" t="s">
        <v>1927</v>
      </c>
    </row>
    <row r="97" spans="2:9" ht="130.5" x14ac:dyDescent="0.35">
      <c r="B97" s="267" t="s">
        <v>9</v>
      </c>
      <c r="C97" s="267" t="s">
        <v>12</v>
      </c>
      <c r="D97" s="128" t="s">
        <v>1917</v>
      </c>
      <c r="E97" s="128" t="s">
        <v>1940</v>
      </c>
      <c r="F97" s="218" t="s">
        <v>1921</v>
      </c>
      <c r="G97" s="75" t="s">
        <v>2034</v>
      </c>
      <c r="H97" s="219" t="s">
        <v>2035</v>
      </c>
      <c r="I97" s="123" t="s">
        <v>1927</v>
      </c>
    </row>
    <row r="98" spans="2:9" x14ac:dyDescent="0.35">
      <c r="B98" s="267" t="s">
        <v>9</v>
      </c>
      <c r="C98" s="267" t="s">
        <v>12</v>
      </c>
      <c r="D98" s="128" t="s">
        <v>1917</v>
      </c>
      <c r="E98" s="128" t="s">
        <v>2032</v>
      </c>
      <c r="F98" s="218" t="s">
        <v>1921</v>
      </c>
      <c r="G98" s="180" t="s">
        <v>2036</v>
      </c>
      <c r="H98" s="219" t="s">
        <v>2037</v>
      </c>
      <c r="I98" s="123" t="s">
        <v>1927</v>
      </c>
    </row>
    <row r="99" spans="2:9" x14ac:dyDescent="0.35">
      <c r="B99" s="267" t="s">
        <v>9</v>
      </c>
      <c r="C99" s="267" t="s">
        <v>12</v>
      </c>
      <c r="D99" s="128" t="s">
        <v>1917</v>
      </c>
      <c r="E99" s="128" t="s">
        <v>2034</v>
      </c>
      <c r="F99" s="128" t="s">
        <v>1921</v>
      </c>
      <c r="G99" s="220" t="s">
        <v>2038</v>
      </c>
      <c r="H99" s="123" t="s">
        <v>2039</v>
      </c>
      <c r="I99" s="123" t="s">
        <v>1927</v>
      </c>
    </row>
    <row r="100" spans="2:9" ht="29" x14ac:dyDescent="0.35">
      <c r="B100" s="128" t="s">
        <v>9</v>
      </c>
      <c r="C100" s="75" t="s">
        <v>14</v>
      </c>
      <c r="D100" s="128" t="s">
        <v>1917</v>
      </c>
      <c r="E100" s="128" t="s">
        <v>1918</v>
      </c>
      <c r="F100" s="128" t="s">
        <v>1937</v>
      </c>
      <c r="G100" s="128" t="s">
        <v>1938</v>
      </c>
      <c r="H100" s="123" t="s">
        <v>2040</v>
      </c>
      <c r="I100" s="121" t="s">
        <v>1920</v>
      </c>
    </row>
    <row r="101" spans="2:9" ht="29" x14ac:dyDescent="0.35">
      <c r="B101" s="267" t="s">
        <v>9</v>
      </c>
      <c r="C101" s="75" t="s">
        <v>16</v>
      </c>
      <c r="D101" s="128" t="s">
        <v>1921</v>
      </c>
      <c r="E101" s="128" t="s">
        <v>1918</v>
      </c>
      <c r="F101" s="128" t="s">
        <v>1937</v>
      </c>
      <c r="G101" s="128" t="s">
        <v>1938</v>
      </c>
      <c r="H101" s="123" t="s">
        <v>2031</v>
      </c>
      <c r="I101" s="123" t="s">
        <v>1920</v>
      </c>
    </row>
    <row r="102" spans="2:9" x14ac:dyDescent="0.35">
      <c r="B102" s="75" t="s">
        <v>9</v>
      </c>
      <c r="C102" s="75" t="s">
        <v>18</v>
      </c>
      <c r="D102" s="75" t="s">
        <v>1921</v>
      </c>
      <c r="E102" s="75" t="s">
        <v>1922</v>
      </c>
      <c r="F102" s="75" t="s">
        <v>1917</v>
      </c>
      <c r="G102" s="75" t="s">
        <v>2005</v>
      </c>
      <c r="H102" s="221" t="s">
        <v>2041</v>
      </c>
      <c r="I102" s="123" t="s">
        <v>1927</v>
      </c>
    </row>
    <row r="103" spans="2:9" ht="29" x14ac:dyDescent="0.35">
      <c r="B103" s="267" t="s">
        <v>9</v>
      </c>
      <c r="C103" s="75" t="s">
        <v>18</v>
      </c>
      <c r="D103" s="128" t="s">
        <v>1921</v>
      </c>
      <c r="E103" s="128" t="s">
        <v>1918</v>
      </c>
      <c r="F103" s="128" t="s">
        <v>1937</v>
      </c>
      <c r="G103" s="128" t="s">
        <v>1938</v>
      </c>
      <c r="H103" s="123" t="s">
        <v>2031</v>
      </c>
      <c r="I103" s="123" t="s">
        <v>1920</v>
      </c>
    </row>
    <row r="104" spans="2:9" ht="29" x14ac:dyDescent="0.35">
      <c r="B104" s="267" t="s">
        <v>9</v>
      </c>
      <c r="C104" s="228" t="s">
        <v>20</v>
      </c>
      <c r="D104" s="128" t="s">
        <v>1921</v>
      </c>
      <c r="E104" s="128" t="s">
        <v>1918</v>
      </c>
      <c r="F104" s="128" t="s">
        <v>1937</v>
      </c>
      <c r="G104" s="128" t="s">
        <v>1938</v>
      </c>
      <c r="H104" s="123" t="s">
        <v>2031</v>
      </c>
      <c r="I104" s="123" t="s">
        <v>1920</v>
      </c>
    </row>
    <row r="105" spans="2:9" x14ac:dyDescent="0.35">
      <c r="B105" s="267" t="s">
        <v>9</v>
      </c>
      <c r="C105" s="228" t="s">
        <v>20</v>
      </c>
      <c r="D105" s="75" t="s">
        <v>1921</v>
      </c>
      <c r="E105" s="75" t="s">
        <v>1950</v>
      </c>
      <c r="F105" s="75" t="s">
        <v>1917</v>
      </c>
      <c r="G105" s="128" t="s">
        <v>2042</v>
      </c>
      <c r="H105" s="123" t="s">
        <v>2043</v>
      </c>
      <c r="I105" s="123" t="s">
        <v>1927</v>
      </c>
    </row>
    <row r="106" spans="2:9" x14ac:dyDescent="0.35">
      <c r="B106" s="267" t="s">
        <v>9</v>
      </c>
      <c r="C106" s="268" t="s">
        <v>20</v>
      </c>
      <c r="D106" s="128" t="s">
        <v>1921</v>
      </c>
      <c r="E106" s="128" t="s">
        <v>1950</v>
      </c>
      <c r="F106" s="128" t="s">
        <v>1917</v>
      </c>
      <c r="G106" s="128" t="s">
        <v>2044</v>
      </c>
      <c r="H106" s="123" t="s">
        <v>2045</v>
      </c>
      <c r="I106" s="123" t="s">
        <v>1927</v>
      </c>
    </row>
    <row r="107" spans="2:9" ht="29" x14ac:dyDescent="0.35">
      <c r="B107" s="267" t="s">
        <v>9</v>
      </c>
      <c r="C107" s="231" t="s">
        <v>22</v>
      </c>
      <c r="D107" s="128" t="s">
        <v>1921</v>
      </c>
      <c r="E107" s="128" t="s">
        <v>1918</v>
      </c>
      <c r="F107" s="128" t="s">
        <v>1937</v>
      </c>
      <c r="G107" s="128" t="s">
        <v>1938</v>
      </c>
      <c r="H107" s="123" t="s">
        <v>2031</v>
      </c>
      <c r="I107" s="123" t="s">
        <v>1920</v>
      </c>
    </row>
    <row r="108" spans="2:9" ht="29" hidden="1" x14ac:dyDescent="0.35">
      <c r="B108" s="236" t="s">
        <v>9</v>
      </c>
      <c r="C108" s="231" t="s">
        <v>24</v>
      </c>
      <c r="D108" s="222" t="s">
        <v>1921</v>
      </c>
      <c r="E108" s="180" t="s">
        <v>2046</v>
      </c>
      <c r="F108" s="223" t="s">
        <v>1937</v>
      </c>
      <c r="G108" s="75" t="s">
        <v>1938</v>
      </c>
      <c r="H108" s="121" t="s">
        <v>2047</v>
      </c>
      <c r="I108" s="121" t="s">
        <v>1920</v>
      </c>
    </row>
    <row r="109" spans="2:9" ht="29" hidden="1" x14ac:dyDescent="0.35">
      <c r="B109" s="267" t="s">
        <v>9</v>
      </c>
      <c r="C109" s="267" t="s">
        <v>26</v>
      </c>
      <c r="D109" s="218" t="s">
        <v>1921</v>
      </c>
      <c r="E109" s="224" t="s">
        <v>1918</v>
      </c>
      <c r="F109" s="225" t="s">
        <v>1937</v>
      </c>
      <c r="G109" s="128" t="s">
        <v>1938</v>
      </c>
      <c r="H109" s="123" t="s">
        <v>2048</v>
      </c>
      <c r="I109" s="123" t="s">
        <v>1920</v>
      </c>
    </row>
    <row r="110" spans="2:9" ht="29" hidden="1" x14ac:dyDescent="0.35">
      <c r="B110" s="236" t="s">
        <v>9</v>
      </c>
      <c r="C110" s="228" t="s">
        <v>28</v>
      </c>
      <c r="D110" s="75" t="s">
        <v>1921</v>
      </c>
      <c r="E110" s="75" t="s">
        <v>1918</v>
      </c>
      <c r="F110" s="75" t="s">
        <v>1937</v>
      </c>
      <c r="G110" s="75" t="s">
        <v>1938</v>
      </c>
      <c r="H110" s="121" t="s">
        <v>2031</v>
      </c>
      <c r="I110" s="121" t="s">
        <v>1920</v>
      </c>
    </row>
    <row r="111" spans="2:9" x14ac:dyDescent="0.35">
      <c r="B111"/>
      <c r="C111"/>
      <c r="D111"/>
      <c r="E111"/>
      <c r="F111"/>
    </row>
    <row r="112" spans="2:9" x14ac:dyDescent="0.35">
      <c r="B112"/>
      <c r="C112"/>
      <c r="D112"/>
      <c r="E112"/>
      <c r="F112"/>
    </row>
    <row r="113" spans="2:6" x14ac:dyDescent="0.35">
      <c r="B113"/>
      <c r="C113"/>
      <c r="D113"/>
      <c r="E113"/>
      <c r="F113"/>
    </row>
    <row r="114" spans="2:6" x14ac:dyDescent="0.35">
      <c r="B114"/>
      <c r="C114"/>
      <c r="D114"/>
      <c r="E114"/>
      <c r="F114"/>
    </row>
    <row r="115" spans="2:6" x14ac:dyDescent="0.35">
      <c r="B115"/>
      <c r="C115"/>
      <c r="D115"/>
      <c r="E115"/>
      <c r="F115"/>
    </row>
    <row r="116" spans="2:6" x14ac:dyDescent="0.35">
      <c r="B116"/>
      <c r="C116"/>
      <c r="D116"/>
      <c r="E116"/>
      <c r="F116"/>
    </row>
    <row r="117" spans="2:6" x14ac:dyDescent="0.35">
      <c r="B117"/>
      <c r="C117"/>
      <c r="D117"/>
      <c r="E117"/>
      <c r="F117"/>
    </row>
    <row r="118" spans="2:6" x14ac:dyDescent="0.35">
      <c r="B118"/>
      <c r="C118"/>
      <c r="D118"/>
      <c r="E118"/>
      <c r="F118"/>
    </row>
    <row r="119" spans="2:6" x14ac:dyDescent="0.35">
      <c r="B119"/>
      <c r="C119"/>
      <c r="D119"/>
      <c r="E119"/>
      <c r="F119"/>
    </row>
    <row r="120" spans="2:6" x14ac:dyDescent="0.35">
      <c r="B120"/>
      <c r="C120"/>
      <c r="D120"/>
      <c r="E120"/>
      <c r="F120"/>
    </row>
    <row r="121" spans="2:6" x14ac:dyDescent="0.35">
      <c r="B121"/>
      <c r="C121"/>
      <c r="D121"/>
      <c r="E121"/>
      <c r="F121"/>
    </row>
    <row r="122" spans="2:6" x14ac:dyDescent="0.35">
      <c r="B122"/>
      <c r="C122"/>
      <c r="D122"/>
      <c r="E122"/>
      <c r="F122"/>
    </row>
    <row r="123" spans="2:6" x14ac:dyDescent="0.35">
      <c r="B123"/>
      <c r="C123"/>
      <c r="D123"/>
      <c r="E123"/>
      <c r="F123"/>
    </row>
    <row r="124" spans="2:6" x14ac:dyDescent="0.35">
      <c r="B124"/>
      <c r="C124"/>
      <c r="D124"/>
      <c r="E124"/>
      <c r="F124"/>
    </row>
    <row r="125" spans="2:6" x14ac:dyDescent="0.35">
      <c r="B125"/>
      <c r="C125"/>
      <c r="D125"/>
      <c r="E125"/>
      <c r="F125"/>
    </row>
    <row r="126" spans="2:6" x14ac:dyDescent="0.35">
      <c r="B126"/>
      <c r="C126"/>
      <c r="D126"/>
      <c r="E126"/>
      <c r="F126"/>
    </row>
    <row r="127" spans="2:6" x14ac:dyDescent="0.35">
      <c r="B127"/>
      <c r="C127"/>
      <c r="D127"/>
      <c r="E127"/>
      <c r="F127"/>
    </row>
    <row r="128" spans="2:6" x14ac:dyDescent="0.35">
      <c r="B128"/>
      <c r="C128"/>
      <c r="D128"/>
      <c r="E128"/>
      <c r="F128"/>
    </row>
    <row r="129" spans="2:6" x14ac:dyDescent="0.35">
      <c r="B129"/>
      <c r="C129"/>
      <c r="D129"/>
      <c r="E129"/>
      <c r="F129"/>
    </row>
    <row r="130" spans="2:6" x14ac:dyDescent="0.35">
      <c r="B130"/>
      <c r="C130"/>
      <c r="D130"/>
      <c r="E130"/>
      <c r="F130"/>
    </row>
    <row r="131" spans="2:6" x14ac:dyDescent="0.35">
      <c r="B131"/>
      <c r="C131"/>
      <c r="D131"/>
      <c r="E131"/>
      <c r="F131"/>
    </row>
    <row r="132" spans="2:6" x14ac:dyDescent="0.35">
      <c r="B132"/>
      <c r="C132"/>
      <c r="D132"/>
      <c r="E132"/>
      <c r="F132"/>
    </row>
    <row r="133" spans="2:6" x14ac:dyDescent="0.35">
      <c r="B133"/>
      <c r="C133"/>
      <c r="D133"/>
      <c r="E133"/>
      <c r="F133"/>
    </row>
    <row r="134" spans="2:6" x14ac:dyDescent="0.35">
      <c r="B134"/>
      <c r="C134"/>
      <c r="D134"/>
      <c r="E134"/>
      <c r="F134"/>
    </row>
    <row r="135" spans="2:6" x14ac:dyDescent="0.35">
      <c r="B135"/>
      <c r="C135"/>
      <c r="D135"/>
      <c r="E135"/>
      <c r="F135"/>
    </row>
    <row r="136" spans="2:6" x14ac:dyDescent="0.35">
      <c r="B136"/>
      <c r="C136"/>
      <c r="D136"/>
      <c r="E136"/>
      <c r="F136"/>
    </row>
    <row r="137" spans="2:6" x14ac:dyDescent="0.35">
      <c r="B137"/>
      <c r="C137"/>
      <c r="D137"/>
      <c r="E137"/>
      <c r="F137"/>
    </row>
    <row r="138" spans="2:6" x14ac:dyDescent="0.35">
      <c r="B138"/>
      <c r="C138"/>
      <c r="D138"/>
      <c r="E138"/>
      <c r="F138"/>
    </row>
    <row r="139" spans="2:6" x14ac:dyDescent="0.35">
      <c r="B139"/>
      <c r="C139"/>
      <c r="D139"/>
      <c r="E139"/>
      <c r="F139"/>
    </row>
    <row r="140" spans="2:6" x14ac:dyDescent="0.35">
      <c r="B140"/>
      <c r="C140"/>
      <c r="D140"/>
      <c r="E140"/>
      <c r="F140"/>
    </row>
    <row r="141" spans="2:6" x14ac:dyDescent="0.35">
      <c r="B141"/>
      <c r="C141"/>
      <c r="D141"/>
      <c r="E141"/>
      <c r="F141"/>
    </row>
    <row r="142" spans="2:6" x14ac:dyDescent="0.35">
      <c r="B142"/>
      <c r="C142"/>
      <c r="D142"/>
      <c r="E142"/>
      <c r="F142"/>
    </row>
    <row r="143" spans="2:6" x14ac:dyDescent="0.35">
      <c r="B143"/>
      <c r="C143"/>
      <c r="D143"/>
      <c r="E143"/>
      <c r="F143"/>
    </row>
    <row r="144" spans="2:6" x14ac:dyDescent="0.35">
      <c r="B144"/>
      <c r="C144"/>
      <c r="D144"/>
      <c r="E144"/>
      <c r="F144"/>
    </row>
    <row r="145" spans="2:6" x14ac:dyDescent="0.35">
      <c r="B145"/>
      <c r="C145"/>
      <c r="D145"/>
      <c r="E145"/>
      <c r="F145"/>
    </row>
    <row r="146" spans="2:6" x14ac:dyDescent="0.35">
      <c r="B146"/>
      <c r="C146"/>
      <c r="D146"/>
      <c r="E146"/>
      <c r="F146"/>
    </row>
    <row r="147" spans="2:6" x14ac:dyDescent="0.35">
      <c r="B147"/>
      <c r="C147"/>
      <c r="D147"/>
      <c r="E147"/>
      <c r="F147"/>
    </row>
    <row r="148" spans="2:6" x14ac:dyDescent="0.35">
      <c r="B148"/>
      <c r="C148"/>
      <c r="D148"/>
      <c r="E148"/>
      <c r="F148"/>
    </row>
    <row r="149" spans="2:6" x14ac:dyDescent="0.35">
      <c r="B149"/>
      <c r="C149"/>
      <c r="D149"/>
      <c r="E149"/>
      <c r="F149"/>
    </row>
    <row r="150" spans="2:6" x14ac:dyDescent="0.35">
      <c r="B150"/>
      <c r="C150"/>
      <c r="D150"/>
      <c r="E150"/>
      <c r="F150"/>
    </row>
    <row r="151" spans="2:6" x14ac:dyDescent="0.35">
      <c r="B151"/>
      <c r="C151"/>
      <c r="D151"/>
      <c r="E151"/>
      <c r="F151"/>
    </row>
    <row r="152" spans="2:6" x14ac:dyDescent="0.35">
      <c r="B152"/>
      <c r="C152"/>
      <c r="D152"/>
      <c r="E152"/>
      <c r="F152"/>
    </row>
    <row r="153" spans="2:6" x14ac:dyDescent="0.35">
      <c r="B153"/>
      <c r="C153"/>
      <c r="D153"/>
      <c r="E153"/>
      <c r="F153"/>
    </row>
    <row r="154" spans="2:6" x14ac:dyDescent="0.35">
      <c r="B154"/>
      <c r="C154"/>
      <c r="D154"/>
      <c r="E154"/>
      <c r="F154"/>
    </row>
    <row r="155" spans="2:6" x14ac:dyDescent="0.35">
      <c r="B155"/>
      <c r="C155"/>
      <c r="D155"/>
      <c r="E155"/>
      <c r="F155"/>
    </row>
    <row r="156" spans="2:6" x14ac:dyDescent="0.35">
      <c r="B156"/>
      <c r="C156"/>
      <c r="D156"/>
      <c r="E156"/>
      <c r="F156"/>
    </row>
    <row r="157" spans="2:6" x14ac:dyDescent="0.35">
      <c r="B157"/>
      <c r="C157"/>
      <c r="D157"/>
      <c r="E157"/>
      <c r="F157"/>
    </row>
    <row r="158" spans="2:6" x14ac:dyDescent="0.35">
      <c r="B158"/>
      <c r="C158"/>
      <c r="D158"/>
      <c r="E158"/>
      <c r="F158"/>
    </row>
    <row r="159" spans="2:6" x14ac:dyDescent="0.35">
      <c r="B159"/>
      <c r="C159"/>
      <c r="D159"/>
      <c r="E159"/>
      <c r="F159"/>
    </row>
    <row r="160" spans="2:6" x14ac:dyDescent="0.35">
      <c r="B160"/>
      <c r="C160"/>
      <c r="D160"/>
      <c r="E160"/>
      <c r="F160"/>
    </row>
    <row r="161" spans="2:6" x14ac:dyDescent="0.35">
      <c r="B161"/>
      <c r="C161"/>
      <c r="D161"/>
      <c r="E161"/>
      <c r="F161"/>
    </row>
    <row r="162" spans="2:6" x14ac:dyDescent="0.35">
      <c r="B162"/>
      <c r="C162"/>
      <c r="D162"/>
      <c r="E162"/>
      <c r="F162"/>
    </row>
    <row r="163" spans="2:6" x14ac:dyDescent="0.35">
      <c r="B163"/>
      <c r="C163"/>
      <c r="D163"/>
      <c r="E163"/>
      <c r="F163"/>
    </row>
    <row r="164" spans="2:6" x14ac:dyDescent="0.35">
      <c r="B164"/>
      <c r="C164"/>
      <c r="D164"/>
      <c r="E164"/>
      <c r="F164"/>
    </row>
    <row r="165" spans="2:6" x14ac:dyDescent="0.35">
      <c r="B165"/>
      <c r="C165"/>
      <c r="D165"/>
      <c r="E165"/>
      <c r="F165"/>
    </row>
    <row r="166" spans="2:6" x14ac:dyDescent="0.35">
      <c r="B166"/>
      <c r="C166"/>
      <c r="D166"/>
      <c r="E166"/>
      <c r="F166"/>
    </row>
    <row r="167" spans="2:6" x14ac:dyDescent="0.35">
      <c r="B167"/>
      <c r="C167"/>
      <c r="D167"/>
      <c r="E167"/>
      <c r="F167"/>
    </row>
    <row r="168" spans="2:6" x14ac:dyDescent="0.35">
      <c r="B168"/>
      <c r="C168"/>
      <c r="D168"/>
      <c r="E168"/>
      <c r="F168"/>
    </row>
    <row r="169" spans="2:6" x14ac:dyDescent="0.35">
      <c r="B169"/>
      <c r="C169"/>
      <c r="D169"/>
      <c r="E169"/>
      <c r="F169"/>
    </row>
    <row r="170" spans="2:6" x14ac:dyDescent="0.35">
      <c r="B170"/>
      <c r="C170"/>
      <c r="D170"/>
      <c r="E170"/>
      <c r="F170"/>
    </row>
    <row r="171" spans="2:6" x14ac:dyDescent="0.35">
      <c r="B171"/>
      <c r="C171"/>
      <c r="D171"/>
      <c r="E171"/>
      <c r="F171"/>
    </row>
    <row r="172" spans="2:6" x14ac:dyDescent="0.35">
      <c r="B172"/>
      <c r="C172"/>
      <c r="D172"/>
      <c r="E172"/>
      <c r="F172"/>
    </row>
    <row r="173" spans="2:6" x14ac:dyDescent="0.35">
      <c r="B173"/>
      <c r="C173"/>
      <c r="D173"/>
      <c r="E173"/>
      <c r="F173"/>
    </row>
    <row r="174" spans="2:6" x14ac:dyDescent="0.35">
      <c r="B174"/>
      <c r="C174"/>
      <c r="D174"/>
      <c r="E174"/>
      <c r="F174"/>
    </row>
    <row r="175" spans="2:6" x14ac:dyDescent="0.35">
      <c r="B175"/>
      <c r="C175"/>
      <c r="D175"/>
      <c r="E175"/>
      <c r="F175"/>
    </row>
    <row r="176" spans="2:6" x14ac:dyDescent="0.35">
      <c r="B176"/>
      <c r="C176"/>
      <c r="D176"/>
      <c r="E176"/>
      <c r="F176"/>
    </row>
    <row r="177" spans="2:6" x14ac:dyDescent="0.35">
      <c r="B177"/>
      <c r="C177"/>
      <c r="D177"/>
      <c r="E177"/>
      <c r="F177"/>
    </row>
    <row r="178" spans="2:6" x14ac:dyDescent="0.35">
      <c r="B178"/>
      <c r="C178"/>
      <c r="D178"/>
      <c r="E178"/>
      <c r="F178"/>
    </row>
    <row r="179" spans="2:6" x14ac:dyDescent="0.35">
      <c r="B179"/>
      <c r="C179"/>
      <c r="D179"/>
      <c r="E179"/>
      <c r="F179"/>
    </row>
    <row r="180" spans="2:6" x14ac:dyDescent="0.35">
      <c r="B180"/>
      <c r="C180"/>
      <c r="D180"/>
      <c r="E180"/>
      <c r="F180"/>
    </row>
    <row r="181" spans="2:6" x14ac:dyDescent="0.35">
      <c r="B181"/>
      <c r="C181"/>
      <c r="D181"/>
      <c r="E181"/>
      <c r="F181"/>
    </row>
    <row r="182" spans="2:6" x14ac:dyDescent="0.35">
      <c r="B182"/>
      <c r="C182"/>
      <c r="D182"/>
      <c r="E182"/>
      <c r="F182"/>
    </row>
    <row r="183" spans="2:6" x14ac:dyDescent="0.35">
      <c r="B183"/>
      <c r="C183"/>
      <c r="D183"/>
      <c r="E183"/>
      <c r="F183"/>
    </row>
    <row r="184" spans="2:6" x14ac:dyDescent="0.35">
      <c r="B184"/>
      <c r="C184"/>
      <c r="D184"/>
      <c r="E184"/>
      <c r="F184"/>
    </row>
    <row r="185" spans="2:6" x14ac:dyDescent="0.35">
      <c r="B185"/>
      <c r="C185"/>
      <c r="D185"/>
      <c r="E185"/>
      <c r="F185"/>
    </row>
    <row r="186" spans="2:6" x14ac:dyDescent="0.35">
      <c r="B186"/>
      <c r="C186"/>
      <c r="D186"/>
      <c r="E186"/>
      <c r="F186"/>
    </row>
    <row r="187" spans="2:6" x14ac:dyDescent="0.35">
      <c r="B187"/>
      <c r="C187"/>
      <c r="D187"/>
      <c r="E187"/>
      <c r="F187"/>
    </row>
    <row r="188" spans="2:6" x14ac:dyDescent="0.35">
      <c r="B188"/>
      <c r="C188"/>
      <c r="D188"/>
      <c r="E188"/>
      <c r="F188"/>
    </row>
    <row r="189" spans="2:6" x14ac:dyDescent="0.35">
      <c r="B189"/>
      <c r="C189"/>
      <c r="D189"/>
      <c r="E189"/>
      <c r="F189"/>
    </row>
    <row r="190" spans="2:6" x14ac:dyDescent="0.35">
      <c r="B190"/>
      <c r="C190"/>
      <c r="D190"/>
      <c r="E190"/>
      <c r="F190"/>
    </row>
    <row r="191" spans="2:6" x14ac:dyDescent="0.35">
      <c r="B191"/>
      <c r="C191"/>
      <c r="D191"/>
      <c r="E191"/>
      <c r="F191"/>
    </row>
    <row r="192" spans="2:6" x14ac:dyDescent="0.35">
      <c r="B192"/>
      <c r="C192"/>
      <c r="D192"/>
      <c r="E192"/>
      <c r="F192"/>
    </row>
    <row r="193" spans="2:6" x14ac:dyDescent="0.35">
      <c r="B193"/>
      <c r="C193"/>
      <c r="D193"/>
      <c r="E193"/>
      <c r="F193"/>
    </row>
    <row r="194" spans="2:6" x14ac:dyDescent="0.35">
      <c r="B194"/>
      <c r="C194"/>
      <c r="D194"/>
      <c r="E194"/>
      <c r="F194"/>
    </row>
    <row r="195" spans="2:6" x14ac:dyDescent="0.35">
      <c r="B195"/>
      <c r="C195"/>
      <c r="D195"/>
      <c r="E195"/>
      <c r="F195"/>
    </row>
    <row r="196" spans="2:6" x14ac:dyDescent="0.35">
      <c r="B196"/>
      <c r="C196"/>
      <c r="D196"/>
      <c r="E196"/>
      <c r="F196"/>
    </row>
    <row r="197" spans="2:6" x14ac:dyDescent="0.35">
      <c r="B197"/>
      <c r="C197"/>
      <c r="D197"/>
      <c r="E197"/>
      <c r="F197"/>
    </row>
    <row r="198" spans="2:6" x14ac:dyDescent="0.35">
      <c r="B198"/>
      <c r="C198"/>
      <c r="D198"/>
      <c r="E198"/>
      <c r="F198"/>
    </row>
    <row r="199" spans="2:6" x14ac:dyDescent="0.35">
      <c r="B199"/>
      <c r="C199"/>
      <c r="D199"/>
      <c r="E199"/>
      <c r="F199"/>
    </row>
    <row r="200" spans="2:6" x14ac:dyDescent="0.35">
      <c r="B200"/>
      <c r="C200"/>
      <c r="D200"/>
      <c r="E200"/>
      <c r="F200"/>
    </row>
    <row r="201" spans="2:6" x14ac:dyDescent="0.35">
      <c r="B201"/>
      <c r="C201"/>
      <c r="D201"/>
      <c r="E201"/>
      <c r="F201"/>
    </row>
    <row r="202" spans="2:6" x14ac:dyDescent="0.35">
      <c r="B202"/>
      <c r="C202"/>
      <c r="D202"/>
      <c r="E202"/>
      <c r="F202"/>
    </row>
    <row r="203" spans="2:6" x14ac:dyDescent="0.35">
      <c r="B203"/>
      <c r="C203"/>
      <c r="D203"/>
      <c r="E203"/>
      <c r="F203"/>
    </row>
    <row r="204" spans="2:6" x14ac:dyDescent="0.35">
      <c r="B204"/>
      <c r="C204"/>
      <c r="D204"/>
      <c r="E204"/>
      <c r="F204"/>
    </row>
    <row r="205" spans="2:6" x14ac:dyDescent="0.35">
      <c r="B205"/>
      <c r="C205"/>
      <c r="D205"/>
      <c r="E205"/>
      <c r="F205"/>
    </row>
    <row r="206" spans="2:6" x14ac:dyDescent="0.35">
      <c r="B206"/>
      <c r="C206"/>
      <c r="D206"/>
      <c r="E206"/>
      <c r="F206"/>
    </row>
    <row r="207" spans="2:6" x14ac:dyDescent="0.35">
      <c r="B207"/>
      <c r="C207"/>
      <c r="D207"/>
      <c r="E207"/>
      <c r="F207"/>
    </row>
    <row r="208" spans="2:6" x14ac:dyDescent="0.35">
      <c r="B208"/>
      <c r="C208"/>
      <c r="D208"/>
      <c r="E208"/>
      <c r="F208"/>
    </row>
    <row r="209" spans="2:6" x14ac:dyDescent="0.35">
      <c r="B209"/>
      <c r="C209"/>
      <c r="D209"/>
      <c r="E209"/>
      <c r="F209"/>
    </row>
    <row r="210" spans="2:6" x14ac:dyDescent="0.35">
      <c r="B210"/>
      <c r="C210"/>
      <c r="D210"/>
      <c r="E210"/>
      <c r="F210"/>
    </row>
    <row r="211" spans="2:6" x14ac:dyDescent="0.35">
      <c r="B211"/>
      <c r="C211"/>
      <c r="D211"/>
      <c r="E211"/>
      <c r="F211"/>
    </row>
    <row r="212" spans="2:6" x14ac:dyDescent="0.35">
      <c r="B212"/>
      <c r="C212"/>
      <c r="D212"/>
      <c r="E212"/>
      <c r="F212"/>
    </row>
    <row r="213" spans="2:6" x14ac:dyDescent="0.35">
      <c r="B213"/>
      <c r="C213"/>
      <c r="D213"/>
      <c r="E213"/>
      <c r="F213"/>
    </row>
    <row r="214" spans="2:6" x14ac:dyDescent="0.35">
      <c r="B214"/>
      <c r="C214"/>
      <c r="D214"/>
      <c r="E214"/>
      <c r="F214"/>
    </row>
    <row r="215" spans="2:6" x14ac:dyDescent="0.35">
      <c r="B215"/>
      <c r="C215"/>
      <c r="D215"/>
      <c r="E215"/>
      <c r="F215"/>
    </row>
    <row r="216" spans="2:6" x14ac:dyDescent="0.35">
      <c r="B216"/>
      <c r="C216"/>
      <c r="D216"/>
      <c r="E216"/>
      <c r="F216"/>
    </row>
    <row r="217" spans="2:6" x14ac:dyDescent="0.35">
      <c r="B217"/>
      <c r="C217"/>
      <c r="D217"/>
      <c r="E217"/>
      <c r="F217"/>
    </row>
    <row r="218" spans="2:6" x14ac:dyDescent="0.35">
      <c r="B218"/>
      <c r="C218"/>
      <c r="D218"/>
      <c r="E218"/>
      <c r="F218"/>
    </row>
    <row r="219" spans="2:6" x14ac:dyDescent="0.35">
      <c r="B219"/>
      <c r="C219"/>
      <c r="D219"/>
      <c r="E219"/>
      <c r="F219"/>
    </row>
    <row r="220" spans="2:6" x14ac:dyDescent="0.35">
      <c r="B220"/>
      <c r="C220"/>
      <c r="D220"/>
      <c r="E220"/>
      <c r="F220"/>
    </row>
    <row r="221" spans="2:6" x14ac:dyDescent="0.35">
      <c r="B221"/>
      <c r="C221"/>
      <c r="D221"/>
      <c r="E221"/>
      <c r="F221"/>
    </row>
    <row r="222" spans="2:6" x14ac:dyDescent="0.35">
      <c r="B222"/>
      <c r="C222"/>
      <c r="D222"/>
      <c r="E222"/>
      <c r="F222"/>
    </row>
    <row r="223" spans="2:6" x14ac:dyDescent="0.35">
      <c r="B223"/>
      <c r="C223"/>
      <c r="D223"/>
      <c r="E223"/>
      <c r="F223"/>
    </row>
    <row r="224" spans="2:6" x14ac:dyDescent="0.35">
      <c r="B224"/>
      <c r="C224"/>
      <c r="D224"/>
      <c r="E224"/>
      <c r="F224"/>
    </row>
    <row r="225" spans="2:6" x14ac:dyDescent="0.35">
      <c r="B225"/>
      <c r="C225"/>
      <c r="D225"/>
      <c r="E225"/>
      <c r="F225"/>
    </row>
    <row r="226" spans="2:6" x14ac:dyDescent="0.35">
      <c r="B226"/>
      <c r="C226"/>
      <c r="D226"/>
      <c r="E226"/>
      <c r="F226"/>
    </row>
    <row r="227" spans="2:6" x14ac:dyDescent="0.35">
      <c r="B227"/>
      <c r="C227"/>
      <c r="D227"/>
      <c r="E227"/>
      <c r="F227"/>
    </row>
    <row r="228" spans="2:6" x14ac:dyDescent="0.35">
      <c r="B228"/>
      <c r="C228"/>
      <c r="D228"/>
      <c r="E228"/>
      <c r="F228"/>
    </row>
    <row r="229" spans="2:6" x14ac:dyDescent="0.35">
      <c r="B229"/>
      <c r="C229"/>
      <c r="D229"/>
      <c r="E229"/>
      <c r="F229"/>
    </row>
    <row r="230" spans="2:6" x14ac:dyDescent="0.35">
      <c r="B230"/>
      <c r="C230"/>
      <c r="D230"/>
      <c r="E230"/>
      <c r="F230"/>
    </row>
    <row r="231" spans="2:6" x14ac:dyDescent="0.35">
      <c r="B231"/>
      <c r="C231"/>
      <c r="D231"/>
      <c r="E231"/>
      <c r="F231"/>
    </row>
    <row r="232" spans="2:6" x14ac:dyDescent="0.35">
      <c r="B232"/>
      <c r="C232"/>
      <c r="D232"/>
      <c r="E232"/>
      <c r="F232"/>
    </row>
    <row r="233" spans="2:6" x14ac:dyDescent="0.35">
      <c r="B233"/>
      <c r="C233"/>
      <c r="D233"/>
      <c r="E233"/>
      <c r="F233"/>
    </row>
    <row r="234" spans="2:6" x14ac:dyDescent="0.35">
      <c r="B234"/>
      <c r="C234"/>
      <c r="D234"/>
      <c r="E234"/>
      <c r="F234"/>
    </row>
    <row r="235" spans="2:6" x14ac:dyDescent="0.35">
      <c r="B235"/>
      <c r="C235"/>
      <c r="D235"/>
      <c r="E235"/>
      <c r="F235"/>
    </row>
    <row r="236" spans="2:6" x14ac:dyDescent="0.35">
      <c r="B236"/>
      <c r="C236"/>
      <c r="D236"/>
      <c r="E236"/>
      <c r="F236"/>
    </row>
    <row r="237" spans="2:6" x14ac:dyDescent="0.35">
      <c r="B237"/>
      <c r="C237"/>
      <c r="D237"/>
      <c r="E237"/>
      <c r="F237"/>
    </row>
    <row r="238" spans="2:6" x14ac:dyDescent="0.35">
      <c r="B238"/>
      <c r="C238"/>
      <c r="D238"/>
      <c r="E238"/>
      <c r="F238"/>
    </row>
    <row r="239" spans="2:6" x14ac:dyDescent="0.35">
      <c r="B239"/>
      <c r="C239"/>
      <c r="D239"/>
      <c r="E239"/>
      <c r="F239"/>
    </row>
    <row r="240" spans="2:6" x14ac:dyDescent="0.35">
      <c r="B240"/>
      <c r="C240"/>
      <c r="D240"/>
      <c r="E240"/>
      <c r="F240"/>
    </row>
    <row r="241" spans="2:6" x14ac:dyDescent="0.35">
      <c r="B241"/>
      <c r="C241"/>
      <c r="D241"/>
      <c r="E241"/>
      <c r="F241"/>
    </row>
    <row r="242" spans="2:6" x14ac:dyDescent="0.35">
      <c r="B242"/>
      <c r="C242"/>
      <c r="D242"/>
      <c r="E242"/>
      <c r="F242"/>
    </row>
    <row r="243" spans="2:6" x14ac:dyDescent="0.35">
      <c r="B243"/>
      <c r="C243"/>
      <c r="D243"/>
      <c r="E243"/>
      <c r="F243"/>
    </row>
    <row r="244" spans="2:6" x14ac:dyDescent="0.35">
      <c r="B244"/>
      <c r="C244"/>
      <c r="D244"/>
      <c r="E244"/>
      <c r="F244"/>
    </row>
    <row r="245" spans="2:6" x14ac:dyDescent="0.35">
      <c r="B245"/>
      <c r="C245"/>
      <c r="D245"/>
      <c r="E245"/>
      <c r="F245"/>
    </row>
    <row r="246" spans="2:6" x14ac:dyDescent="0.35">
      <c r="B246"/>
      <c r="C246"/>
      <c r="D246"/>
      <c r="E246"/>
      <c r="F246"/>
    </row>
    <row r="247" spans="2:6" x14ac:dyDescent="0.35">
      <c r="B247"/>
      <c r="C247"/>
      <c r="D247"/>
      <c r="E247"/>
      <c r="F247"/>
    </row>
    <row r="248" spans="2:6" x14ac:dyDescent="0.35">
      <c r="B248"/>
      <c r="C248"/>
      <c r="D248"/>
      <c r="E248"/>
      <c r="F248"/>
    </row>
    <row r="249" spans="2:6" x14ac:dyDescent="0.35">
      <c r="B249"/>
      <c r="C249"/>
      <c r="D249"/>
      <c r="E249"/>
      <c r="F249"/>
    </row>
    <row r="250" spans="2:6" x14ac:dyDescent="0.35">
      <c r="B250"/>
      <c r="C250"/>
      <c r="D250"/>
      <c r="E250"/>
      <c r="F250"/>
    </row>
    <row r="251" spans="2:6" x14ac:dyDescent="0.35">
      <c r="B251"/>
      <c r="C251"/>
      <c r="D251"/>
      <c r="E251"/>
      <c r="F251"/>
    </row>
    <row r="252" spans="2:6" x14ac:dyDescent="0.35">
      <c r="B252"/>
      <c r="C252"/>
      <c r="D252"/>
      <c r="E252"/>
      <c r="F252"/>
    </row>
    <row r="253" spans="2:6" x14ac:dyDescent="0.35">
      <c r="B253"/>
      <c r="C253"/>
      <c r="D253"/>
      <c r="E253"/>
      <c r="F253"/>
    </row>
    <row r="254" spans="2:6" x14ac:dyDescent="0.35">
      <c r="B254"/>
      <c r="C254"/>
      <c r="D254"/>
      <c r="E254"/>
      <c r="F254"/>
    </row>
    <row r="255" spans="2:6" x14ac:dyDescent="0.35">
      <c r="B255"/>
      <c r="C255"/>
      <c r="D255"/>
      <c r="E255"/>
      <c r="F255"/>
    </row>
    <row r="256" spans="2:6" x14ac:dyDescent="0.35">
      <c r="B256"/>
      <c r="C256"/>
      <c r="D256"/>
      <c r="E256"/>
      <c r="F256"/>
    </row>
    <row r="257" spans="2:6" x14ac:dyDescent="0.35">
      <c r="B257"/>
      <c r="C257"/>
      <c r="D257"/>
      <c r="E257"/>
      <c r="F257"/>
    </row>
    <row r="258" spans="2:6" x14ac:dyDescent="0.35">
      <c r="B258"/>
      <c r="C258"/>
      <c r="D258"/>
      <c r="E258"/>
      <c r="F258"/>
    </row>
    <row r="259" spans="2:6" x14ac:dyDescent="0.35">
      <c r="B259"/>
      <c r="C259"/>
      <c r="D259"/>
      <c r="E259"/>
      <c r="F259"/>
    </row>
    <row r="260" spans="2:6" x14ac:dyDescent="0.35">
      <c r="B260"/>
      <c r="C260"/>
      <c r="D260"/>
      <c r="E260"/>
      <c r="F260"/>
    </row>
    <row r="261" spans="2:6" x14ac:dyDescent="0.35">
      <c r="B261"/>
      <c r="C261"/>
      <c r="D261"/>
      <c r="E261"/>
      <c r="F261"/>
    </row>
    <row r="262" spans="2:6" x14ac:dyDescent="0.35">
      <c r="B262"/>
      <c r="C262"/>
      <c r="D262"/>
      <c r="E262"/>
      <c r="F262"/>
    </row>
    <row r="263" spans="2:6" x14ac:dyDescent="0.35">
      <c r="B263"/>
      <c r="C263"/>
      <c r="D263"/>
      <c r="E263"/>
      <c r="F263"/>
    </row>
    <row r="264" spans="2:6" x14ac:dyDescent="0.35">
      <c r="B264"/>
      <c r="C264"/>
      <c r="D264"/>
      <c r="E264"/>
      <c r="F264"/>
    </row>
    <row r="265" spans="2:6" x14ac:dyDescent="0.35">
      <c r="B265"/>
      <c r="C265"/>
      <c r="D265"/>
      <c r="E265"/>
      <c r="F265"/>
    </row>
    <row r="266" spans="2:6" x14ac:dyDescent="0.35">
      <c r="B266"/>
      <c r="C266"/>
      <c r="D266"/>
      <c r="E266"/>
      <c r="F266"/>
    </row>
    <row r="267" spans="2:6" x14ac:dyDescent="0.35">
      <c r="B267"/>
      <c r="C267"/>
      <c r="D267"/>
      <c r="E267"/>
      <c r="F267"/>
    </row>
    <row r="268" spans="2:6" x14ac:dyDescent="0.35">
      <c r="B268"/>
      <c r="C268"/>
      <c r="D268"/>
      <c r="E268"/>
      <c r="F268"/>
    </row>
    <row r="269" spans="2:6" x14ac:dyDescent="0.35">
      <c r="B269"/>
      <c r="C269"/>
      <c r="D269"/>
      <c r="E269"/>
      <c r="F269"/>
    </row>
    <row r="270" spans="2:6" x14ac:dyDescent="0.35">
      <c r="B270"/>
      <c r="C270"/>
      <c r="D270"/>
      <c r="E270"/>
      <c r="F270"/>
    </row>
    <row r="271" spans="2:6" x14ac:dyDescent="0.35">
      <c r="B271"/>
      <c r="C271"/>
      <c r="D271"/>
      <c r="E271"/>
      <c r="F271"/>
    </row>
    <row r="272" spans="2:6" x14ac:dyDescent="0.35">
      <c r="B272"/>
      <c r="C272"/>
      <c r="D272"/>
      <c r="E272"/>
      <c r="F272"/>
    </row>
    <row r="273" spans="2:6" x14ac:dyDescent="0.35">
      <c r="B273"/>
      <c r="C273"/>
      <c r="D273"/>
      <c r="E273"/>
      <c r="F273"/>
    </row>
    <row r="274" spans="2:6" x14ac:dyDescent="0.35">
      <c r="B274"/>
      <c r="C274"/>
      <c r="D274"/>
      <c r="E274"/>
      <c r="F274"/>
    </row>
    <row r="275" spans="2:6" x14ac:dyDescent="0.35">
      <c r="B275"/>
      <c r="C275"/>
      <c r="D275"/>
      <c r="E275"/>
      <c r="F275"/>
    </row>
    <row r="276" spans="2:6" x14ac:dyDescent="0.35">
      <c r="B276"/>
      <c r="C276"/>
      <c r="D276"/>
      <c r="E276"/>
      <c r="F276"/>
    </row>
    <row r="277" spans="2:6" x14ac:dyDescent="0.35">
      <c r="B277"/>
      <c r="C277"/>
      <c r="D277"/>
      <c r="E277"/>
      <c r="F277"/>
    </row>
    <row r="278" spans="2:6" x14ac:dyDescent="0.35">
      <c r="B278"/>
      <c r="C278"/>
      <c r="D278"/>
      <c r="E278"/>
      <c r="F278"/>
    </row>
    <row r="279" spans="2:6" x14ac:dyDescent="0.35">
      <c r="B279"/>
      <c r="C279"/>
      <c r="D279"/>
      <c r="E279"/>
      <c r="F279"/>
    </row>
    <row r="280" spans="2:6" x14ac:dyDescent="0.35">
      <c r="B280"/>
      <c r="C280"/>
      <c r="D280"/>
      <c r="E280"/>
      <c r="F280"/>
    </row>
    <row r="281" spans="2:6" x14ac:dyDescent="0.35">
      <c r="B281"/>
      <c r="C281"/>
      <c r="D281"/>
      <c r="E281"/>
      <c r="F281"/>
    </row>
    <row r="282" spans="2:6" x14ac:dyDescent="0.35">
      <c r="B282"/>
      <c r="C282"/>
      <c r="D282"/>
      <c r="E282"/>
      <c r="F282"/>
    </row>
    <row r="283" spans="2:6" x14ac:dyDescent="0.35">
      <c r="B283"/>
      <c r="C283"/>
      <c r="D283"/>
      <c r="E283"/>
      <c r="F283"/>
    </row>
    <row r="284" spans="2:6" x14ac:dyDescent="0.35">
      <c r="B284"/>
      <c r="C284"/>
      <c r="D284"/>
      <c r="E284"/>
      <c r="F284"/>
    </row>
    <row r="285" spans="2:6" x14ac:dyDescent="0.35">
      <c r="B285"/>
      <c r="C285"/>
      <c r="D285"/>
      <c r="E285"/>
      <c r="F285"/>
    </row>
    <row r="286" spans="2:6" x14ac:dyDescent="0.35">
      <c r="B286"/>
      <c r="C286"/>
      <c r="D286"/>
      <c r="E286"/>
      <c r="F286"/>
    </row>
    <row r="287" spans="2:6" x14ac:dyDescent="0.35">
      <c r="B287"/>
      <c r="C287"/>
      <c r="D287"/>
      <c r="E287"/>
      <c r="F287"/>
    </row>
    <row r="288" spans="2:6" x14ac:dyDescent="0.35">
      <c r="B288"/>
      <c r="C288"/>
      <c r="D288"/>
      <c r="E288"/>
      <c r="F288"/>
    </row>
    <row r="289" spans="2:6" x14ac:dyDescent="0.35">
      <c r="B289"/>
      <c r="C289"/>
      <c r="D289"/>
      <c r="E289"/>
      <c r="F289"/>
    </row>
    <row r="290" spans="2:6" x14ac:dyDescent="0.35">
      <c r="B290"/>
      <c r="C290"/>
      <c r="D290"/>
      <c r="E290"/>
      <c r="F290"/>
    </row>
    <row r="291" spans="2:6" x14ac:dyDescent="0.35">
      <c r="B291"/>
      <c r="C291"/>
      <c r="D291"/>
      <c r="E291"/>
      <c r="F291"/>
    </row>
    <row r="292" spans="2:6" x14ac:dyDescent="0.35">
      <c r="B292"/>
      <c r="C292"/>
      <c r="D292"/>
      <c r="E292"/>
      <c r="F292"/>
    </row>
    <row r="293" spans="2:6" x14ac:dyDescent="0.35">
      <c r="B293"/>
      <c r="C293"/>
      <c r="D293"/>
      <c r="E293"/>
      <c r="F293"/>
    </row>
    <row r="294" spans="2:6" x14ac:dyDescent="0.35">
      <c r="B294"/>
      <c r="C294"/>
      <c r="D294"/>
      <c r="E294"/>
      <c r="F294"/>
    </row>
    <row r="295" spans="2:6" x14ac:dyDescent="0.35">
      <c r="B295"/>
      <c r="C295"/>
      <c r="D295"/>
      <c r="E295"/>
      <c r="F295"/>
    </row>
    <row r="296" spans="2:6" x14ac:dyDescent="0.35">
      <c r="B296"/>
      <c r="C296"/>
      <c r="D296"/>
      <c r="E296"/>
      <c r="F296"/>
    </row>
    <row r="297" spans="2:6" x14ac:dyDescent="0.35">
      <c r="B297"/>
      <c r="C297"/>
      <c r="D297"/>
      <c r="E297"/>
      <c r="F297"/>
    </row>
    <row r="298" spans="2:6" x14ac:dyDescent="0.35">
      <c r="B298"/>
      <c r="C298"/>
      <c r="D298"/>
      <c r="E298"/>
      <c r="F298"/>
    </row>
    <row r="299" spans="2:6" x14ac:dyDescent="0.35">
      <c r="B299"/>
      <c r="C299"/>
      <c r="D299"/>
      <c r="E299"/>
      <c r="F299"/>
    </row>
    <row r="300" spans="2:6" x14ac:dyDescent="0.35">
      <c r="B300"/>
      <c r="C300"/>
      <c r="D300"/>
      <c r="E300"/>
      <c r="F300"/>
    </row>
    <row r="301" spans="2:6" x14ac:dyDescent="0.35">
      <c r="B301"/>
      <c r="C301"/>
      <c r="D301"/>
      <c r="E301"/>
      <c r="F301"/>
    </row>
    <row r="302" spans="2:6" x14ac:dyDescent="0.35">
      <c r="B302"/>
      <c r="C302"/>
      <c r="D302"/>
      <c r="E302"/>
      <c r="F302"/>
    </row>
    <row r="303" spans="2:6" x14ac:dyDescent="0.35">
      <c r="B303"/>
      <c r="C303"/>
      <c r="D303"/>
      <c r="E303"/>
      <c r="F303"/>
    </row>
    <row r="304" spans="2:6" x14ac:dyDescent="0.35">
      <c r="B304"/>
      <c r="C304"/>
      <c r="D304"/>
      <c r="E304"/>
      <c r="F304"/>
    </row>
    <row r="305" spans="2:6" x14ac:dyDescent="0.35">
      <c r="B305"/>
      <c r="C305"/>
      <c r="D305"/>
      <c r="E305"/>
      <c r="F305"/>
    </row>
    <row r="306" spans="2:6" x14ac:dyDescent="0.35">
      <c r="B306"/>
      <c r="C306"/>
      <c r="D306"/>
      <c r="E306"/>
      <c r="F306"/>
    </row>
    <row r="307" spans="2:6" x14ac:dyDescent="0.35">
      <c r="B307"/>
      <c r="C307"/>
      <c r="D307"/>
      <c r="E307"/>
      <c r="F307"/>
    </row>
    <row r="308" spans="2:6" x14ac:dyDescent="0.35">
      <c r="B308"/>
      <c r="C308"/>
      <c r="D308"/>
      <c r="E308"/>
      <c r="F308"/>
    </row>
    <row r="309" spans="2:6" x14ac:dyDescent="0.35">
      <c r="B309"/>
      <c r="C309"/>
      <c r="D309"/>
      <c r="E309"/>
      <c r="F309"/>
    </row>
    <row r="310" spans="2:6" x14ac:dyDescent="0.35">
      <c r="B310"/>
      <c r="C310"/>
      <c r="D310"/>
      <c r="E310"/>
      <c r="F310"/>
    </row>
    <row r="311" spans="2:6" x14ac:dyDescent="0.35">
      <c r="B311"/>
      <c r="C311"/>
      <c r="D311"/>
      <c r="E311"/>
      <c r="F311"/>
    </row>
    <row r="312" spans="2:6" x14ac:dyDescent="0.35">
      <c r="B312"/>
      <c r="C312"/>
      <c r="D312"/>
      <c r="E312"/>
      <c r="F312"/>
    </row>
    <row r="313" spans="2:6" x14ac:dyDescent="0.35">
      <c r="B313"/>
      <c r="C313"/>
      <c r="D313"/>
      <c r="E313"/>
      <c r="F313"/>
    </row>
    <row r="314" spans="2:6" x14ac:dyDescent="0.35">
      <c r="B314"/>
      <c r="C314"/>
      <c r="D314"/>
      <c r="E314"/>
      <c r="F314"/>
    </row>
    <row r="315" spans="2:6" x14ac:dyDescent="0.35">
      <c r="B315"/>
      <c r="C315"/>
      <c r="D315"/>
      <c r="E315"/>
      <c r="F315"/>
    </row>
    <row r="316" spans="2:6" x14ac:dyDescent="0.35">
      <c r="B316"/>
      <c r="C316"/>
      <c r="D316"/>
      <c r="E316"/>
      <c r="F316"/>
    </row>
    <row r="317" spans="2:6" x14ac:dyDescent="0.35">
      <c r="B317"/>
      <c r="C317"/>
      <c r="D317"/>
      <c r="E317"/>
      <c r="F317"/>
    </row>
    <row r="318" spans="2:6" x14ac:dyDescent="0.35">
      <c r="B318"/>
      <c r="C318"/>
      <c r="D318"/>
      <c r="E318"/>
      <c r="F318"/>
    </row>
    <row r="319" spans="2:6" x14ac:dyDescent="0.35">
      <c r="B319"/>
      <c r="C319"/>
      <c r="D319"/>
      <c r="E319"/>
      <c r="F319"/>
    </row>
    <row r="320" spans="2:6" x14ac:dyDescent="0.35">
      <c r="B320"/>
      <c r="C320"/>
      <c r="D320"/>
      <c r="E320"/>
      <c r="F320"/>
    </row>
    <row r="321" spans="2:6" x14ac:dyDescent="0.35">
      <c r="B321"/>
      <c r="C321"/>
      <c r="D321"/>
      <c r="E321"/>
      <c r="F321"/>
    </row>
    <row r="322" spans="2:6" x14ac:dyDescent="0.35">
      <c r="B322"/>
      <c r="C322"/>
      <c r="D322"/>
      <c r="E322"/>
      <c r="F322"/>
    </row>
    <row r="323" spans="2:6" x14ac:dyDescent="0.35">
      <c r="B323"/>
      <c r="C323"/>
      <c r="D323"/>
      <c r="E323"/>
      <c r="F323"/>
    </row>
    <row r="324" spans="2:6" x14ac:dyDescent="0.35">
      <c r="B324"/>
      <c r="C324"/>
      <c r="D324"/>
      <c r="E324"/>
      <c r="F324"/>
    </row>
    <row r="325" spans="2:6" x14ac:dyDescent="0.35">
      <c r="B325"/>
      <c r="C325"/>
      <c r="D325"/>
      <c r="E325"/>
      <c r="F325"/>
    </row>
    <row r="326" spans="2:6" x14ac:dyDescent="0.35">
      <c r="B326"/>
      <c r="C326"/>
      <c r="D326"/>
      <c r="E326"/>
      <c r="F326"/>
    </row>
    <row r="327" spans="2:6" x14ac:dyDescent="0.35">
      <c r="B327"/>
      <c r="C327"/>
      <c r="D327"/>
      <c r="E327"/>
      <c r="F327"/>
    </row>
    <row r="328" spans="2:6" x14ac:dyDescent="0.35">
      <c r="B328"/>
      <c r="C328"/>
      <c r="D328"/>
      <c r="E328"/>
      <c r="F328"/>
    </row>
    <row r="329" spans="2:6" x14ac:dyDescent="0.35">
      <c r="B329"/>
      <c r="C329"/>
      <c r="D329"/>
      <c r="E329"/>
      <c r="F329"/>
    </row>
    <row r="330" spans="2:6" x14ac:dyDescent="0.35">
      <c r="B330"/>
      <c r="C330"/>
      <c r="D330"/>
      <c r="E330"/>
      <c r="F330"/>
    </row>
    <row r="331" spans="2:6" x14ac:dyDescent="0.35">
      <c r="B331"/>
      <c r="C331"/>
      <c r="D331"/>
      <c r="E331"/>
      <c r="F331"/>
    </row>
    <row r="332" spans="2:6" x14ac:dyDescent="0.35">
      <c r="B332"/>
      <c r="C332"/>
      <c r="D332"/>
      <c r="E332"/>
      <c r="F332"/>
    </row>
    <row r="333" spans="2:6" x14ac:dyDescent="0.35">
      <c r="B333"/>
      <c r="C333"/>
      <c r="D333"/>
      <c r="E333"/>
      <c r="F333"/>
    </row>
    <row r="334" spans="2:6" x14ac:dyDescent="0.35">
      <c r="B334"/>
      <c r="C334"/>
      <c r="D334"/>
      <c r="E334"/>
      <c r="F334"/>
    </row>
    <row r="335" spans="2:6" x14ac:dyDescent="0.35">
      <c r="B335"/>
      <c r="C335"/>
      <c r="D335"/>
      <c r="E335"/>
      <c r="F335"/>
    </row>
    <row r="336" spans="2:6" x14ac:dyDescent="0.35">
      <c r="B336"/>
      <c r="C336"/>
      <c r="D336"/>
      <c r="E336"/>
      <c r="F336"/>
    </row>
    <row r="337" spans="2:6" x14ac:dyDescent="0.35">
      <c r="B337"/>
      <c r="C337"/>
      <c r="D337"/>
      <c r="E337"/>
      <c r="F337"/>
    </row>
    <row r="338" spans="2:6" x14ac:dyDescent="0.35">
      <c r="B338"/>
      <c r="C338"/>
      <c r="D338"/>
      <c r="E338"/>
      <c r="F338"/>
    </row>
    <row r="339" spans="2:6" x14ac:dyDescent="0.35">
      <c r="B339"/>
      <c r="C339"/>
      <c r="D339"/>
      <c r="E339"/>
      <c r="F339"/>
    </row>
    <row r="340" spans="2:6" x14ac:dyDescent="0.35">
      <c r="B340"/>
      <c r="C340"/>
      <c r="D340"/>
      <c r="E340"/>
      <c r="F340"/>
    </row>
    <row r="341" spans="2:6" x14ac:dyDescent="0.35">
      <c r="B341"/>
      <c r="C341"/>
      <c r="D341"/>
      <c r="E341"/>
      <c r="F341"/>
    </row>
    <row r="342" spans="2:6" x14ac:dyDescent="0.35">
      <c r="B342"/>
      <c r="C342"/>
      <c r="D342"/>
      <c r="E342"/>
      <c r="F342"/>
    </row>
    <row r="343" spans="2:6" x14ac:dyDescent="0.35">
      <c r="B343"/>
      <c r="C343"/>
      <c r="D343"/>
      <c r="E343"/>
      <c r="F343"/>
    </row>
    <row r="344" spans="2:6" x14ac:dyDescent="0.35">
      <c r="B344"/>
      <c r="C344"/>
      <c r="D344"/>
      <c r="E344"/>
      <c r="F344"/>
    </row>
    <row r="345" spans="2:6" x14ac:dyDescent="0.35">
      <c r="B345"/>
      <c r="C345"/>
      <c r="D345"/>
      <c r="E345"/>
      <c r="F345"/>
    </row>
    <row r="346" spans="2:6" x14ac:dyDescent="0.35">
      <c r="B346"/>
      <c r="C346"/>
      <c r="D346"/>
      <c r="E346"/>
      <c r="F346"/>
    </row>
    <row r="347" spans="2:6" x14ac:dyDescent="0.35">
      <c r="B347"/>
      <c r="C347"/>
      <c r="D347"/>
      <c r="E347"/>
      <c r="F347"/>
    </row>
    <row r="348" spans="2:6" x14ac:dyDescent="0.35">
      <c r="B348"/>
      <c r="C348"/>
      <c r="D348"/>
      <c r="E348"/>
      <c r="F348"/>
    </row>
    <row r="349" spans="2:6" x14ac:dyDescent="0.35">
      <c r="B349"/>
      <c r="C349"/>
      <c r="D349"/>
      <c r="E349"/>
      <c r="F349"/>
    </row>
    <row r="350" spans="2:6" x14ac:dyDescent="0.35">
      <c r="B350"/>
      <c r="C350"/>
      <c r="D350"/>
      <c r="E350"/>
      <c r="F350"/>
    </row>
    <row r="351" spans="2:6" x14ac:dyDescent="0.35">
      <c r="B351"/>
      <c r="C351"/>
      <c r="D351"/>
      <c r="E351"/>
      <c r="F351"/>
    </row>
    <row r="352" spans="2:6" x14ac:dyDescent="0.35">
      <c r="B352"/>
      <c r="C352"/>
      <c r="D352"/>
      <c r="E352"/>
      <c r="F352"/>
    </row>
    <row r="353" spans="2:6" x14ac:dyDescent="0.35">
      <c r="B353"/>
      <c r="C353"/>
      <c r="D353"/>
      <c r="E353"/>
      <c r="F353"/>
    </row>
    <row r="354" spans="2:6" x14ac:dyDescent="0.35">
      <c r="B354"/>
      <c r="C354"/>
      <c r="D354"/>
      <c r="E354"/>
      <c r="F354"/>
    </row>
    <row r="355" spans="2:6" x14ac:dyDescent="0.35">
      <c r="B355"/>
      <c r="C355"/>
      <c r="D355"/>
      <c r="E355"/>
      <c r="F355"/>
    </row>
    <row r="356" spans="2:6" x14ac:dyDescent="0.35">
      <c r="B356"/>
      <c r="C356"/>
      <c r="D356"/>
      <c r="E356"/>
      <c r="F356"/>
    </row>
    <row r="357" spans="2:6" x14ac:dyDescent="0.35">
      <c r="B357"/>
      <c r="C357"/>
      <c r="D357"/>
      <c r="E357"/>
      <c r="F357"/>
    </row>
    <row r="358" spans="2:6" x14ac:dyDescent="0.35">
      <c r="B358"/>
      <c r="C358"/>
      <c r="D358"/>
      <c r="E358"/>
      <c r="F358"/>
    </row>
    <row r="359" spans="2:6" x14ac:dyDescent="0.35">
      <c r="B359"/>
      <c r="C359"/>
      <c r="D359"/>
      <c r="E359"/>
      <c r="F359"/>
    </row>
    <row r="360" spans="2:6" x14ac:dyDescent="0.35">
      <c r="B360"/>
      <c r="C360"/>
      <c r="D360"/>
      <c r="E360"/>
      <c r="F360"/>
    </row>
    <row r="361" spans="2:6" x14ac:dyDescent="0.35">
      <c r="B361"/>
      <c r="C361"/>
      <c r="D361"/>
      <c r="E361"/>
      <c r="F361"/>
    </row>
    <row r="362" spans="2:6" x14ac:dyDescent="0.35">
      <c r="B362"/>
      <c r="C362"/>
      <c r="D362"/>
      <c r="E362"/>
      <c r="F362"/>
    </row>
    <row r="363" spans="2:6" x14ac:dyDescent="0.35">
      <c r="B363"/>
      <c r="C363"/>
      <c r="D363"/>
      <c r="E363"/>
      <c r="F363"/>
    </row>
    <row r="364" spans="2:6" x14ac:dyDescent="0.35">
      <c r="B364"/>
      <c r="C364"/>
      <c r="D364"/>
      <c r="E364"/>
      <c r="F364"/>
    </row>
    <row r="365" spans="2:6" x14ac:dyDescent="0.35">
      <c r="B365"/>
      <c r="C365"/>
      <c r="D365"/>
      <c r="E365"/>
      <c r="F365"/>
    </row>
    <row r="366" spans="2:6" x14ac:dyDescent="0.35">
      <c r="B366"/>
      <c r="C366"/>
      <c r="D366"/>
      <c r="E366"/>
      <c r="F366"/>
    </row>
    <row r="367" spans="2:6" x14ac:dyDescent="0.35">
      <c r="B367"/>
      <c r="C367"/>
      <c r="D367"/>
      <c r="E367"/>
      <c r="F367"/>
    </row>
    <row r="368" spans="2:6" x14ac:dyDescent="0.35">
      <c r="B368"/>
      <c r="C368"/>
      <c r="D368"/>
      <c r="E368"/>
      <c r="F368"/>
    </row>
    <row r="369" spans="2:6" x14ac:dyDescent="0.35">
      <c r="B369"/>
      <c r="C369"/>
      <c r="D369"/>
      <c r="E369"/>
      <c r="F369"/>
    </row>
    <row r="370" spans="2:6" x14ac:dyDescent="0.35">
      <c r="B370"/>
      <c r="C370"/>
      <c r="D370"/>
      <c r="E370"/>
      <c r="F370"/>
    </row>
    <row r="371" spans="2:6" x14ac:dyDescent="0.35">
      <c r="B371"/>
      <c r="C371"/>
      <c r="D371"/>
      <c r="E371"/>
      <c r="F371"/>
    </row>
    <row r="372" spans="2:6" x14ac:dyDescent="0.35">
      <c r="B372"/>
      <c r="C372"/>
      <c r="D372"/>
      <c r="E372"/>
      <c r="F372"/>
    </row>
    <row r="373" spans="2:6" x14ac:dyDescent="0.35">
      <c r="B373"/>
      <c r="C373"/>
      <c r="D373"/>
      <c r="E373"/>
      <c r="F373"/>
    </row>
    <row r="374" spans="2:6" x14ac:dyDescent="0.35">
      <c r="B374"/>
      <c r="C374"/>
      <c r="D374"/>
      <c r="E374"/>
      <c r="F374"/>
    </row>
    <row r="375" spans="2:6" x14ac:dyDescent="0.35">
      <c r="B375"/>
      <c r="C375"/>
      <c r="D375"/>
      <c r="E375"/>
      <c r="F375"/>
    </row>
    <row r="376" spans="2:6" x14ac:dyDescent="0.35">
      <c r="B376"/>
      <c r="C376"/>
      <c r="D376"/>
      <c r="E376"/>
      <c r="F376"/>
    </row>
    <row r="377" spans="2:6" x14ac:dyDescent="0.35">
      <c r="B377"/>
      <c r="C377"/>
      <c r="D377"/>
      <c r="E377"/>
      <c r="F377"/>
    </row>
    <row r="378" spans="2:6" x14ac:dyDescent="0.35">
      <c r="B378"/>
      <c r="C378"/>
      <c r="D378"/>
      <c r="E378"/>
      <c r="F378"/>
    </row>
    <row r="379" spans="2:6" x14ac:dyDescent="0.35">
      <c r="B379"/>
      <c r="C379"/>
      <c r="D379"/>
      <c r="E379"/>
      <c r="F379"/>
    </row>
    <row r="380" spans="2:6" x14ac:dyDescent="0.35">
      <c r="B380"/>
      <c r="C380"/>
      <c r="D380"/>
      <c r="E380"/>
      <c r="F380"/>
    </row>
    <row r="381" spans="2:6" x14ac:dyDescent="0.35">
      <c r="B381"/>
      <c r="C381"/>
      <c r="D381"/>
      <c r="E381"/>
      <c r="F381"/>
    </row>
    <row r="382" spans="2:6" x14ac:dyDescent="0.35">
      <c r="B382"/>
      <c r="C382"/>
      <c r="D382"/>
      <c r="E382"/>
      <c r="F382"/>
    </row>
    <row r="383" spans="2:6" x14ac:dyDescent="0.35">
      <c r="B383"/>
      <c r="C383"/>
      <c r="D383"/>
      <c r="E383"/>
      <c r="F383"/>
    </row>
    <row r="384" spans="2:6" x14ac:dyDescent="0.35">
      <c r="B384"/>
      <c r="C384"/>
      <c r="D384"/>
      <c r="E384"/>
      <c r="F384"/>
    </row>
    <row r="385" spans="2:6" x14ac:dyDescent="0.35">
      <c r="B385"/>
      <c r="C385"/>
      <c r="D385"/>
      <c r="E385"/>
      <c r="F385"/>
    </row>
    <row r="386" spans="2:6" x14ac:dyDescent="0.35">
      <c r="B386"/>
      <c r="C386"/>
      <c r="D386"/>
      <c r="E386"/>
      <c r="F386"/>
    </row>
    <row r="387" spans="2:6" x14ac:dyDescent="0.35">
      <c r="B387"/>
      <c r="C387"/>
      <c r="D387"/>
      <c r="E387"/>
      <c r="F387"/>
    </row>
    <row r="388" spans="2:6" x14ac:dyDescent="0.35">
      <c r="B388"/>
      <c r="C388"/>
      <c r="D388"/>
      <c r="E388"/>
      <c r="F388"/>
    </row>
    <row r="389" spans="2:6" x14ac:dyDescent="0.35">
      <c r="B389"/>
      <c r="C389"/>
      <c r="D389"/>
      <c r="E389"/>
      <c r="F389"/>
    </row>
    <row r="390" spans="2:6" x14ac:dyDescent="0.35">
      <c r="B390"/>
      <c r="C390"/>
      <c r="D390"/>
      <c r="E390"/>
      <c r="F390"/>
    </row>
    <row r="391" spans="2:6" x14ac:dyDescent="0.35">
      <c r="B391"/>
      <c r="C391"/>
      <c r="D391"/>
      <c r="E391"/>
      <c r="F391"/>
    </row>
    <row r="392" spans="2:6" x14ac:dyDescent="0.35">
      <c r="B392"/>
      <c r="C392"/>
      <c r="D392"/>
      <c r="E392"/>
      <c r="F392"/>
    </row>
    <row r="393" spans="2:6" x14ac:dyDescent="0.35">
      <c r="B393"/>
      <c r="C393"/>
      <c r="D393"/>
      <c r="E393"/>
      <c r="F393"/>
    </row>
    <row r="394" spans="2:6" x14ac:dyDescent="0.35">
      <c r="B394"/>
      <c r="C394"/>
      <c r="D394"/>
      <c r="E394"/>
      <c r="F394"/>
    </row>
    <row r="395" spans="2:6" x14ac:dyDescent="0.35">
      <c r="B395"/>
      <c r="C395"/>
      <c r="D395"/>
      <c r="E395"/>
      <c r="F395"/>
    </row>
    <row r="396" spans="2:6" x14ac:dyDescent="0.35">
      <c r="B396"/>
      <c r="C396"/>
      <c r="D396"/>
      <c r="E396"/>
      <c r="F396"/>
    </row>
    <row r="397" spans="2:6" x14ac:dyDescent="0.35">
      <c r="B397"/>
      <c r="C397"/>
      <c r="D397"/>
      <c r="E397"/>
      <c r="F397"/>
    </row>
    <row r="398" spans="2:6" x14ac:dyDescent="0.35">
      <c r="B398"/>
      <c r="C398"/>
      <c r="D398"/>
      <c r="E398"/>
      <c r="F398"/>
    </row>
    <row r="399" spans="2:6" x14ac:dyDescent="0.35">
      <c r="B399"/>
      <c r="C399"/>
      <c r="D399"/>
      <c r="E399"/>
      <c r="F399"/>
    </row>
    <row r="400" spans="2:6" x14ac:dyDescent="0.35">
      <c r="B400"/>
      <c r="C400"/>
      <c r="D400"/>
      <c r="E400"/>
      <c r="F400"/>
    </row>
    <row r="401" spans="2:6" x14ac:dyDescent="0.35">
      <c r="B401"/>
      <c r="C401"/>
      <c r="D401"/>
      <c r="E401"/>
      <c r="F401"/>
    </row>
    <row r="402" spans="2:6" x14ac:dyDescent="0.35">
      <c r="B402"/>
      <c r="C402"/>
      <c r="D402"/>
      <c r="E402"/>
      <c r="F402"/>
    </row>
    <row r="403" spans="2:6" x14ac:dyDescent="0.35">
      <c r="B403"/>
      <c r="C403"/>
      <c r="D403"/>
      <c r="E403"/>
      <c r="F403"/>
    </row>
    <row r="404" spans="2:6" x14ac:dyDescent="0.35">
      <c r="B404"/>
      <c r="C404"/>
      <c r="D404"/>
      <c r="E404"/>
      <c r="F404"/>
    </row>
    <row r="405" spans="2:6" x14ac:dyDescent="0.35">
      <c r="B405"/>
      <c r="C405"/>
      <c r="D405"/>
      <c r="E405"/>
      <c r="F405"/>
    </row>
    <row r="406" spans="2:6" x14ac:dyDescent="0.35">
      <c r="B406"/>
      <c r="C406"/>
      <c r="D406"/>
      <c r="E406"/>
      <c r="F406"/>
    </row>
    <row r="407" spans="2:6" x14ac:dyDescent="0.35">
      <c r="B407"/>
      <c r="C407"/>
      <c r="D407"/>
      <c r="E407"/>
      <c r="F407"/>
    </row>
    <row r="408" spans="2:6" x14ac:dyDescent="0.35">
      <c r="B408"/>
      <c r="C408"/>
      <c r="D408"/>
      <c r="E408"/>
      <c r="F408"/>
    </row>
    <row r="409" spans="2:6" x14ac:dyDescent="0.35">
      <c r="B409"/>
      <c r="C409"/>
      <c r="D409"/>
      <c r="E409"/>
      <c r="F409"/>
    </row>
    <row r="410" spans="2:6" x14ac:dyDescent="0.35">
      <c r="B410"/>
      <c r="C410"/>
      <c r="D410"/>
      <c r="E410"/>
      <c r="F410"/>
    </row>
    <row r="411" spans="2:6" x14ac:dyDescent="0.35">
      <c r="B411"/>
      <c r="C411"/>
      <c r="D411"/>
      <c r="E411"/>
      <c r="F411"/>
    </row>
    <row r="412" spans="2:6" x14ac:dyDescent="0.35">
      <c r="B412"/>
      <c r="C412"/>
      <c r="D412"/>
      <c r="E412"/>
      <c r="F412"/>
    </row>
    <row r="413" spans="2:6" x14ac:dyDescent="0.35">
      <c r="B413"/>
      <c r="C413"/>
      <c r="D413"/>
      <c r="E413"/>
      <c r="F413"/>
    </row>
    <row r="414" spans="2:6" x14ac:dyDescent="0.35">
      <c r="B414"/>
      <c r="C414"/>
      <c r="D414"/>
      <c r="E414"/>
      <c r="F414"/>
    </row>
    <row r="415" spans="2:6" x14ac:dyDescent="0.35">
      <c r="B415"/>
      <c r="C415"/>
      <c r="D415"/>
      <c r="E415"/>
      <c r="F415"/>
    </row>
    <row r="416" spans="2:6" x14ac:dyDescent="0.35">
      <c r="B416"/>
      <c r="C416"/>
      <c r="D416"/>
      <c r="E416"/>
      <c r="F416"/>
    </row>
    <row r="417" spans="2:6" x14ac:dyDescent="0.35">
      <c r="B417"/>
      <c r="C417"/>
      <c r="D417"/>
      <c r="E417"/>
      <c r="F417"/>
    </row>
    <row r="418" spans="2:6" x14ac:dyDescent="0.35">
      <c r="B418"/>
      <c r="C418"/>
      <c r="D418"/>
      <c r="E418"/>
      <c r="F418"/>
    </row>
    <row r="419" spans="2:6" x14ac:dyDescent="0.35">
      <c r="B419"/>
      <c r="C419"/>
      <c r="D419"/>
      <c r="E419"/>
      <c r="F419"/>
    </row>
    <row r="420" spans="2:6" x14ac:dyDescent="0.35">
      <c r="B420"/>
      <c r="C420"/>
      <c r="D420"/>
      <c r="E420"/>
      <c r="F420"/>
    </row>
    <row r="421" spans="2:6" x14ac:dyDescent="0.35">
      <c r="B421"/>
      <c r="C421"/>
      <c r="D421"/>
      <c r="E421"/>
      <c r="F421"/>
    </row>
    <row r="422" spans="2:6" x14ac:dyDescent="0.35">
      <c r="B422"/>
      <c r="C422"/>
      <c r="D422"/>
      <c r="E422"/>
      <c r="F422"/>
    </row>
    <row r="423" spans="2:6" x14ac:dyDescent="0.35">
      <c r="B423"/>
      <c r="C423"/>
      <c r="D423"/>
      <c r="E423"/>
      <c r="F423"/>
    </row>
    <row r="424" spans="2:6" x14ac:dyDescent="0.35">
      <c r="B424"/>
      <c r="C424"/>
      <c r="D424"/>
      <c r="E424"/>
      <c r="F424"/>
    </row>
    <row r="425" spans="2:6" x14ac:dyDescent="0.35">
      <c r="B425"/>
      <c r="C425"/>
      <c r="D425"/>
      <c r="E425"/>
      <c r="F425"/>
    </row>
    <row r="426" spans="2:6" x14ac:dyDescent="0.35">
      <c r="B426"/>
      <c r="C426"/>
      <c r="D426"/>
      <c r="E426"/>
      <c r="F426"/>
    </row>
    <row r="427" spans="2:6" x14ac:dyDescent="0.35">
      <c r="B427"/>
      <c r="C427"/>
      <c r="D427"/>
      <c r="E427"/>
      <c r="F427"/>
    </row>
    <row r="428" spans="2:6" x14ac:dyDescent="0.35">
      <c r="B428"/>
      <c r="C428"/>
      <c r="D428"/>
      <c r="E428"/>
      <c r="F428"/>
    </row>
    <row r="429" spans="2:6" x14ac:dyDescent="0.35">
      <c r="B429"/>
      <c r="C429"/>
      <c r="D429"/>
      <c r="E429"/>
      <c r="F429"/>
    </row>
    <row r="430" spans="2:6" x14ac:dyDescent="0.35">
      <c r="B430"/>
      <c r="C430"/>
      <c r="D430"/>
      <c r="E430"/>
      <c r="F430"/>
    </row>
    <row r="431" spans="2:6" x14ac:dyDescent="0.35">
      <c r="B431"/>
      <c r="C431"/>
      <c r="D431"/>
      <c r="E431"/>
      <c r="F431"/>
    </row>
    <row r="432" spans="2:6" x14ac:dyDescent="0.35">
      <c r="B432"/>
      <c r="C432"/>
      <c r="D432"/>
      <c r="E432"/>
      <c r="F432"/>
    </row>
    <row r="433" spans="2:6" x14ac:dyDescent="0.35">
      <c r="B433"/>
      <c r="C433"/>
      <c r="D433"/>
      <c r="E433"/>
      <c r="F433"/>
    </row>
    <row r="434" spans="2:6" x14ac:dyDescent="0.35">
      <c r="B434"/>
      <c r="C434"/>
      <c r="D434"/>
      <c r="E434"/>
      <c r="F434"/>
    </row>
    <row r="435" spans="2:6" x14ac:dyDescent="0.35">
      <c r="B435"/>
      <c r="C435"/>
      <c r="D435"/>
      <c r="E435"/>
      <c r="F435"/>
    </row>
    <row r="436" spans="2:6" x14ac:dyDescent="0.35">
      <c r="B436"/>
      <c r="C436"/>
      <c r="D436"/>
      <c r="E436"/>
      <c r="F436"/>
    </row>
    <row r="437" spans="2:6" x14ac:dyDescent="0.35">
      <c r="B437"/>
      <c r="C437"/>
      <c r="D437"/>
      <c r="E437"/>
      <c r="F437"/>
    </row>
    <row r="438" spans="2:6" x14ac:dyDescent="0.35">
      <c r="B438"/>
      <c r="C438"/>
      <c r="D438"/>
      <c r="E438"/>
      <c r="F438"/>
    </row>
    <row r="439" spans="2:6" x14ac:dyDescent="0.35">
      <c r="B439"/>
      <c r="C439"/>
      <c r="D439"/>
      <c r="E439"/>
      <c r="F439"/>
    </row>
    <row r="440" spans="2:6" x14ac:dyDescent="0.35">
      <c r="B440"/>
      <c r="C440"/>
      <c r="D440"/>
      <c r="E440"/>
      <c r="F440"/>
    </row>
    <row r="441" spans="2:6" x14ac:dyDescent="0.35">
      <c r="B441"/>
      <c r="C441"/>
      <c r="D441"/>
      <c r="E441"/>
      <c r="F441"/>
    </row>
    <row r="442" spans="2:6" x14ac:dyDescent="0.35">
      <c r="B442"/>
      <c r="C442"/>
      <c r="D442"/>
      <c r="E442"/>
      <c r="F442"/>
    </row>
    <row r="443" spans="2:6" x14ac:dyDescent="0.35">
      <c r="B443"/>
      <c r="C443"/>
      <c r="D443"/>
      <c r="E443"/>
      <c r="F443"/>
    </row>
    <row r="444" spans="2:6" x14ac:dyDescent="0.35">
      <c r="B444"/>
      <c r="C444"/>
      <c r="D444"/>
      <c r="E444"/>
      <c r="F444"/>
    </row>
    <row r="445" spans="2:6" x14ac:dyDescent="0.35">
      <c r="B445"/>
      <c r="C445"/>
      <c r="D445"/>
      <c r="E445"/>
      <c r="F445"/>
    </row>
    <row r="446" spans="2:6" x14ac:dyDescent="0.35">
      <c r="B446"/>
      <c r="C446"/>
      <c r="D446"/>
      <c r="E446"/>
      <c r="F446"/>
    </row>
    <row r="447" spans="2:6" x14ac:dyDescent="0.35">
      <c r="B447"/>
      <c r="C447"/>
      <c r="D447"/>
      <c r="E447"/>
      <c r="F447"/>
    </row>
    <row r="448" spans="2:6" x14ac:dyDescent="0.35">
      <c r="B448"/>
      <c r="C448"/>
      <c r="D448"/>
      <c r="E448"/>
      <c r="F448"/>
    </row>
    <row r="449" spans="2:6" x14ac:dyDescent="0.35">
      <c r="B449"/>
      <c r="C449"/>
      <c r="D449"/>
      <c r="E449"/>
      <c r="F449"/>
    </row>
    <row r="450" spans="2:6" x14ac:dyDescent="0.35">
      <c r="B450"/>
      <c r="C450"/>
      <c r="D450"/>
      <c r="E450"/>
      <c r="F450"/>
    </row>
    <row r="451" spans="2:6" x14ac:dyDescent="0.35">
      <c r="B451"/>
      <c r="C451"/>
      <c r="D451"/>
      <c r="E451"/>
      <c r="F451"/>
    </row>
    <row r="452" spans="2:6" x14ac:dyDescent="0.35">
      <c r="B452"/>
      <c r="C452"/>
      <c r="D452"/>
      <c r="E452"/>
      <c r="F452"/>
    </row>
    <row r="453" spans="2:6" x14ac:dyDescent="0.35">
      <c r="B453"/>
      <c r="C453"/>
      <c r="D453"/>
      <c r="E453"/>
      <c r="F453"/>
    </row>
    <row r="454" spans="2:6" x14ac:dyDescent="0.35">
      <c r="B454"/>
      <c r="C454"/>
      <c r="D454"/>
      <c r="E454"/>
      <c r="F454"/>
    </row>
    <row r="455" spans="2:6" x14ac:dyDescent="0.35">
      <c r="B455"/>
      <c r="C455"/>
      <c r="D455"/>
      <c r="E455"/>
      <c r="F455"/>
    </row>
    <row r="456" spans="2:6" x14ac:dyDescent="0.35">
      <c r="B456"/>
      <c r="C456"/>
      <c r="D456"/>
      <c r="E456"/>
      <c r="F456"/>
    </row>
    <row r="457" spans="2:6" x14ac:dyDescent="0.35">
      <c r="B457"/>
      <c r="C457"/>
      <c r="D457"/>
      <c r="E457"/>
      <c r="F457"/>
    </row>
    <row r="458" spans="2:6" x14ac:dyDescent="0.35">
      <c r="B458"/>
      <c r="C458"/>
      <c r="D458"/>
      <c r="E458"/>
      <c r="F458"/>
    </row>
    <row r="459" spans="2:6" x14ac:dyDescent="0.35">
      <c r="B459"/>
      <c r="C459"/>
      <c r="D459"/>
      <c r="E459"/>
      <c r="F459"/>
    </row>
    <row r="460" spans="2:6" x14ac:dyDescent="0.35">
      <c r="B460"/>
      <c r="C460"/>
      <c r="D460"/>
      <c r="E460"/>
      <c r="F460"/>
    </row>
    <row r="461" spans="2:6" x14ac:dyDescent="0.35">
      <c r="B461"/>
      <c r="C461"/>
      <c r="D461"/>
      <c r="E461"/>
      <c r="F461"/>
    </row>
    <row r="462" spans="2:6" x14ac:dyDescent="0.35">
      <c r="B462"/>
      <c r="C462"/>
      <c r="D462"/>
      <c r="E462"/>
      <c r="F462"/>
    </row>
    <row r="463" spans="2:6" x14ac:dyDescent="0.35">
      <c r="B463"/>
      <c r="C463"/>
      <c r="D463"/>
      <c r="E463"/>
      <c r="F463"/>
    </row>
    <row r="464" spans="2:6" x14ac:dyDescent="0.35">
      <c r="B464"/>
      <c r="C464"/>
      <c r="D464"/>
      <c r="E464"/>
      <c r="F464"/>
    </row>
    <row r="465" spans="2:6" x14ac:dyDescent="0.35">
      <c r="B465"/>
      <c r="C465"/>
      <c r="D465"/>
      <c r="E465"/>
      <c r="F465"/>
    </row>
    <row r="466" spans="2:6" x14ac:dyDescent="0.35">
      <c r="B466"/>
      <c r="C466"/>
      <c r="D466"/>
      <c r="E466"/>
      <c r="F466"/>
    </row>
    <row r="467" spans="2:6" x14ac:dyDescent="0.35">
      <c r="B467"/>
      <c r="C467"/>
      <c r="D467"/>
      <c r="E467"/>
      <c r="F467"/>
    </row>
    <row r="468" spans="2:6" x14ac:dyDescent="0.35">
      <c r="B468"/>
      <c r="C468"/>
      <c r="D468"/>
      <c r="E468"/>
      <c r="F468"/>
    </row>
    <row r="469" spans="2:6" x14ac:dyDescent="0.35">
      <c r="B469"/>
      <c r="C469"/>
      <c r="D469"/>
      <c r="E469"/>
      <c r="F469"/>
    </row>
    <row r="470" spans="2:6" x14ac:dyDescent="0.35">
      <c r="B470"/>
      <c r="C470"/>
      <c r="D470"/>
      <c r="E470"/>
      <c r="F470"/>
    </row>
    <row r="471" spans="2:6" x14ac:dyDescent="0.35">
      <c r="B471"/>
      <c r="C471"/>
      <c r="D471"/>
      <c r="E471"/>
      <c r="F471"/>
    </row>
    <row r="472" spans="2:6" x14ac:dyDescent="0.35">
      <c r="B472"/>
      <c r="C472"/>
      <c r="D472"/>
      <c r="E472"/>
      <c r="F472"/>
    </row>
    <row r="473" spans="2:6" x14ac:dyDescent="0.35">
      <c r="B473"/>
      <c r="C473"/>
      <c r="D473"/>
      <c r="E473"/>
      <c r="F473"/>
    </row>
    <row r="474" spans="2:6" x14ac:dyDescent="0.35">
      <c r="B474"/>
      <c r="C474"/>
      <c r="D474"/>
      <c r="E474"/>
      <c r="F474"/>
    </row>
    <row r="475" spans="2:6" x14ac:dyDescent="0.35">
      <c r="B475"/>
      <c r="C475"/>
      <c r="D475"/>
      <c r="E475"/>
      <c r="F475"/>
    </row>
    <row r="476" spans="2:6" x14ac:dyDescent="0.35">
      <c r="B476"/>
      <c r="C476"/>
      <c r="D476"/>
      <c r="E476"/>
      <c r="F476"/>
    </row>
    <row r="477" spans="2:6" x14ac:dyDescent="0.35">
      <c r="B477"/>
      <c r="C477"/>
      <c r="D477"/>
      <c r="E477"/>
      <c r="F477"/>
    </row>
    <row r="478" spans="2:6" x14ac:dyDescent="0.35">
      <c r="B478"/>
      <c r="C478"/>
      <c r="D478"/>
      <c r="E478"/>
      <c r="F478"/>
    </row>
    <row r="479" spans="2:6" x14ac:dyDescent="0.35">
      <c r="B479"/>
      <c r="C479"/>
      <c r="D479"/>
      <c r="E479"/>
      <c r="F479"/>
    </row>
    <row r="480" spans="2:6" x14ac:dyDescent="0.35">
      <c r="B480"/>
      <c r="C480"/>
      <c r="D480"/>
      <c r="E480"/>
      <c r="F480"/>
    </row>
    <row r="481" spans="2:6" x14ac:dyDescent="0.35">
      <c r="B481"/>
      <c r="C481"/>
      <c r="D481"/>
      <c r="E481"/>
      <c r="F481"/>
    </row>
    <row r="482" spans="2:6" x14ac:dyDescent="0.35">
      <c r="B482"/>
      <c r="C482"/>
      <c r="D482"/>
      <c r="E482"/>
      <c r="F482"/>
    </row>
    <row r="483" spans="2:6" x14ac:dyDescent="0.35">
      <c r="B483"/>
      <c r="C483"/>
      <c r="D483"/>
      <c r="E483"/>
      <c r="F483"/>
    </row>
    <row r="484" spans="2:6" x14ac:dyDescent="0.35">
      <c r="B484"/>
      <c r="C484"/>
      <c r="D484"/>
      <c r="E484"/>
      <c r="F484"/>
    </row>
    <row r="485" spans="2:6" x14ac:dyDescent="0.35">
      <c r="B485"/>
      <c r="C485"/>
      <c r="D485"/>
      <c r="E485"/>
      <c r="F485"/>
    </row>
    <row r="486" spans="2:6" x14ac:dyDescent="0.35">
      <c r="B486"/>
      <c r="C486"/>
      <c r="D486"/>
      <c r="E486"/>
      <c r="F486"/>
    </row>
    <row r="487" spans="2:6" x14ac:dyDescent="0.35">
      <c r="B487"/>
      <c r="C487"/>
      <c r="D487"/>
      <c r="E487"/>
      <c r="F487"/>
    </row>
    <row r="488" spans="2:6" x14ac:dyDescent="0.35">
      <c r="B488"/>
      <c r="C488"/>
      <c r="D488"/>
      <c r="E488"/>
      <c r="F488"/>
    </row>
    <row r="489" spans="2:6" x14ac:dyDescent="0.35">
      <c r="B489"/>
      <c r="C489"/>
      <c r="D489"/>
      <c r="E489"/>
      <c r="F489"/>
    </row>
    <row r="490" spans="2:6" x14ac:dyDescent="0.35">
      <c r="B490"/>
      <c r="C490"/>
      <c r="D490"/>
      <c r="E490"/>
      <c r="F490"/>
    </row>
    <row r="491" spans="2:6" x14ac:dyDescent="0.35">
      <c r="B491"/>
      <c r="C491"/>
      <c r="D491"/>
      <c r="E491"/>
      <c r="F491"/>
    </row>
    <row r="492" spans="2:6" x14ac:dyDescent="0.35">
      <c r="B492"/>
      <c r="C492"/>
      <c r="D492"/>
      <c r="E492"/>
      <c r="F492"/>
    </row>
    <row r="493" spans="2:6" x14ac:dyDescent="0.35">
      <c r="B493"/>
      <c r="C493"/>
      <c r="D493"/>
      <c r="E493"/>
      <c r="F493"/>
    </row>
    <row r="494" spans="2:6" x14ac:dyDescent="0.35">
      <c r="B494"/>
      <c r="C494"/>
      <c r="D494"/>
      <c r="E494"/>
      <c r="F494"/>
    </row>
    <row r="495" spans="2:6" x14ac:dyDescent="0.35">
      <c r="B495"/>
      <c r="C495"/>
      <c r="D495"/>
      <c r="E495"/>
      <c r="F495"/>
    </row>
    <row r="496" spans="2:6" x14ac:dyDescent="0.35">
      <c r="B496"/>
      <c r="C496"/>
      <c r="D496"/>
      <c r="E496"/>
      <c r="F496"/>
    </row>
    <row r="497" spans="2:6" x14ac:dyDescent="0.35">
      <c r="B497"/>
      <c r="C497"/>
      <c r="D497"/>
      <c r="E497"/>
      <c r="F497"/>
    </row>
    <row r="498" spans="2:6" x14ac:dyDescent="0.35">
      <c r="B498"/>
      <c r="C498"/>
      <c r="D498"/>
      <c r="E498"/>
      <c r="F498"/>
    </row>
    <row r="499" spans="2:6" x14ac:dyDescent="0.35">
      <c r="B499"/>
      <c r="C499"/>
      <c r="D499"/>
      <c r="E499"/>
      <c r="F499"/>
    </row>
    <row r="500" spans="2:6" x14ac:dyDescent="0.35">
      <c r="B500"/>
      <c r="C500"/>
      <c r="D500"/>
      <c r="E500"/>
      <c r="F500"/>
    </row>
    <row r="501" spans="2:6" x14ac:dyDescent="0.35">
      <c r="B501"/>
      <c r="C501"/>
      <c r="D501"/>
      <c r="E501"/>
      <c r="F501"/>
    </row>
    <row r="502" spans="2:6" x14ac:dyDescent="0.35">
      <c r="B502"/>
      <c r="C502"/>
      <c r="D502"/>
      <c r="E502"/>
      <c r="F502"/>
    </row>
    <row r="503" spans="2:6" x14ac:dyDescent="0.35">
      <c r="B503"/>
      <c r="C503"/>
      <c r="D503"/>
      <c r="E503"/>
      <c r="F503"/>
    </row>
    <row r="504" spans="2:6" x14ac:dyDescent="0.35">
      <c r="B504"/>
      <c r="C504"/>
      <c r="D504"/>
      <c r="E504"/>
      <c r="F504"/>
    </row>
    <row r="505" spans="2:6" x14ac:dyDescent="0.35">
      <c r="B505"/>
      <c r="C505"/>
      <c r="D505"/>
      <c r="E505"/>
      <c r="F505"/>
    </row>
    <row r="506" spans="2:6" x14ac:dyDescent="0.35">
      <c r="B506"/>
      <c r="C506"/>
      <c r="D506"/>
      <c r="E506"/>
      <c r="F506"/>
    </row>
    <row r="507" spans="2:6" x14ac:dyDescent="0.35">
      <c r="B507"/>
      <c r="C507"/>
      <c r="D507"/>
      <c r="E507"/>
      <c r="F507"/>
    </row>
    <row r="508" spans="2:6" x14ac:dyDescent="0.35">
      <c r="B508"/>
      <c r="C508"/>
      <c r="D508"/>
      <c r="E508"/>
      <c r="F508"/>
    </row>
    <row r="509" spans="2:6" x14ac:dyDescent="0.35">
      <c r="B509"/>
      <c r="C509"/>
      <c r="D509"/>
      <c r="E509"/>
      <c r="F509"/>
    </row>
    <row r="510" spans="2:6" x14ac:dyDescent="0.35">
      <c r="B510"/>
      <c r="C510"/>
      <c r="D510"/>
      <c r="E510"/>
      <c r="F510"/>
    </row>
    <row r="511" spans="2:6" x14ac:dyDescent="0.35">
      <c r="B511"/>
      <c r="C511"/>
      <c r="D511"/>
      <c r="E511"/>
      <c r="F511"/>
    </row>
    <row r="512" spans="2:6" x14ac:dyDescent="0.35">
      <c r="B512"/>
      <c r="C512"/>
      <c r="D512"/>
      <c r="E512"/>
      <c r="F512"/>
    </row>
    <row r="513" spans="2:6" x14ac:dyDescent="0.35">
      <c r="B513"/>
      <c r="C513"/>
      <c r="D513"/>
      <c r="E513"/>
      <c r="F513"/>
    </row>
    <row r="514" spans="2:6" x14ac:dyDescent="0.35">
      <c r="B514"/>
      <c r="C514"/>
      <c r="D514"/>
      <c r="E514"/>
      <c r="F514"/>
    </row>
    <row r="515" spans="2:6" x14ac:dyDescent="0.35">
      <c r="B515"/>
      <c r="C515"/>
      <c r="D515"/>
      <c r="E515"/>
      <c r="F515"/>
    </row>
    <row r="516" spans="2:6" x14ac:dyDescent="0.35">
      <c r="B516"/>
      <c r="C516"/>
      <c r="D516"/>
      <c r="E516"/>
      <c r="F516"/>
    </row>
    <row r="517" spans="2:6" x14ac:dyDescent="0.35">
      <c r="B517"/>
      <c r="C517"/>
      <c r="D517"/>
      <c r="E517"/>
      <c r="F517"/>
    </row>
    <row r="518" spans="2:6" x14ac:dyDescent="0.35">
      <c r="B518"/>
      <c r="C518"/>
      <c r="D518"/>
      <c r="E518"/>
      <c r="F518"/>
    </row>
    <row r="519" spans="2:6" x14ac:dyDescent="0.35">
      <c r="B519"/>
      <c r="C519"/>
      <c r="D519"/>
      <c r="E519"/>
      <c r="F519"/>
    </row>
    <row r="520" spans="2:6" x14ac:dyDescent="0.35">
      <c r="B520"/>
      <c r="C520"/>
      <c r="D520"/>
      <c r="E520"/>
      <c r="F520"/>
    </row>
    <row r="521" spans="2:6" x14ac:dyDescent="0.35">
      <c r="B521"/>
      <c r="C521"/>
      <c r="D521"/>
      <c r="E521"/>
      <c r="F521"/>
    </row>
    <row r="522" spans="2:6" x14ac:dyDescent="0.35">
      <c r="B522"/>
      <c r="C522"/>
      <c r="D522"/>
      <c r="E522"/>
      <c r="F522"/>
    </row>
    <row r="523" spans="2:6" x14ac:dyDescent="0.35">
      <c r="B523"/>
      <c r="C523"/>
      <c r="D523"/>
      <c r="E523"/>
      <c r="F523"/>
    </row>
    <row r="524" spans="2:6" x14ac:dyDescent="0.35">
      <c r="B524"/>
      <c r="C524"/>
      <c r="D524"/>
      <c r="E524"/>
      <c r="F524"/>
    </row>
    <row r="525" spans="2:6" x14ac:dyDescent="0.35">
      <c r="B525"/>
      <c r="C525"/>
      <c r="D525"/>
      <c r="E525"/>
      <c r="F525"/>
    </row>
    <row r="526" spans="2:6" x14ac:dyDescent="0.35">
      <c r="B526"/>
      <c r="C526"/>
      <c r="D526"/>
      <c r="E526"/>
      <c r="F526"/>
    </row>
    <row r="527" spans="2:6" x14ac:dyDescent="0.35">
      <c r="B527"/>
      <c r="C527"/>
      <c r="D527"/>
      <c r="E527"/>
      <c r="F527"/>
    </row>
    <row r="528" spans="2:6" x14ac:dyDescent="0.35">
      <c r="B528"/>
      <c r="C528"/>
      <c r="D528"/>
      <c r="E528"/>
      <c r="F528"/>
    </row>
    <row r="529" spans="2:6" x14ac:dyDescent="0.35">
      <c r="B529"/>
      <c r="C529"/>
      <c r="D529"/>
      <c r="E529"/>
      <c r="F529"/>
    </row>
    <row r="530" spans="2:6" x14ac:dyDescent="0.35">
      <c r="B530"/>
      <c r="C530"/>
      <c r="D530"/>
      <c r="E530"/>
      <c r="F530"/>
    </row>
    <row r="531" spans="2:6" x14ac:dyDescent="0.35">
      <c r="B531"/>
      <c r="C531"/>
      <c r="D531"/>
      <c r="E531"/>
      <c r="F531"/>
    </row>
    <row r="532" spans="2:6" x14ac:dyDescent="0.35">
      <c r="B532"/>
      <c r="C532"/>
      <c r="D532"/>
      <c r="E532"/>
      <c r="F532"/>
    </row>
    <row r="533" spans="2:6" x14ac:dyDescent="0.35">
      <c r="B533"/>
      <c r="C533"/>
      <c r="D533"/>
      <c r="E533"/>
      <c r="F533"/>
    </row>
    <row r="534" spans="2:6" x14ac:dyDescent="0.35">
      <c r="B534"/>
      <c r="C534"/>
      <c r="D534"/>
      <c r="E534"/>
      <c r="F534"/>
    </row>
    <row r="535" spans="2:6" x14ac:dyDescent="0.35">
      <c r="B535"/>
      <c r="C535"/>
      <c r="D535"/>
      <c r="E535"/>
      <c r="F535"/>
    </row>
    <row r="536" spans="2:6" x14ac:dyDescent="0.35">
      <c r="B536"/>
      <c r="C536"/>
      <c r="D536"/>
      <c r="E536"/>
      <c r="F536"/>
    </row>
    <row r="537" spans="2:6" x14ac:dyDescent="0.35">
      <c r="B537"/>
      <c r="C537"/>
      <c r="D537"/>
      <c r="E537"/>
      <c r="F537"/>
    </row>
    <row r="538" spans="2:6" x14ac:dyDescent="0.35">
      <c r="B538"/>
      <c r="C538"/>
      <c r="D538"/>
      <c r="E538"/>
      <c r="F538"/>
    </row>
    <row r="539" spans="2:6" x14ac:dyDescent="0.35">
      <c r="B539"/>
      <c r="C539"/>
      <c r="D539"/>
      <c r="E539"/>
      <c r="F539"/>
    </row>
    <row r="540" spans="2:6" x14ac:dyDescent="0.35">
      <c r="B540"/>
      <c r="C540"/>
      <c r="D540"/>
      <c r="E540"/>
      <c r="F540"/>
    </row>
    <row r="541" spans="2:6" x14ac:dyDescent="0.35">
      <c r="B541"/>
      <c r="C541"/>
      <c r="D541"/>
      <c r="E541"/>
      <c r="F541"/>
    </row>
    <row r="542" spans="2:6" x14ac:dyDescent="0.35">
      <c r="B542"/>
      <c r="C542"/>
      <c r="D542"/>
      <c r="E542"/>
      <c r="F542"/>
    </row>
    <row r="543" spans="2:6" x14ac:dyDescent="0.35">
      <c r="B543"/>
      <c r="C543"/>
      <c r="D543"/>
      <c r="E543"/>
      <c r="F543"/>
    </row>
    <row r="544" spans="2:6" x14ac:dyDescent="0.35">
      <c r="B544"/>
      <c r="C544"/>
      <c r="D544"/>
      <c r="E544"/>
      <c r="F544"/>
    </row>
    <row r="545" spans="2:6" x14ac:dyDescent="0.35">
      <c r="B545"/>
      <c r="C545"/>
      <c r="D545"/>
      <c r="E545"/>
      <c r="F545"/>
    </row>
    <row r="546" spans="2:6" x14ac:dyDescent="0.35">
      <c r="B546"/>
      <c r="C546"/>
      <c r="D546"/>
      <c r="E546"/>
      <c r="F546"/>
    </row>
    <row r="547" spans="2:6" x14ac:dyDescent="0.35">
      <c r="B547"/>
      <c r="C547"/>
      <c r="D547"/>
      <c r="E547"/>
      <c r="F547"/>
    </row>
    <row r="548" spans="2:6" x14ac:dyDescent="0.35">
      <c r="B548"/>
      <c r="C548"/>
      <c r="D548"/>
      <c r="E548"/>
      <c r="F548"/>
    </row>
    <row r="549" spans="2:6" x14ac:dyDescent="0.35">
      <c r="B549"/>
      <c r="C549"/>
      <c r="D549"/>
      <c r="E549"/>
      <c r="F549"/>
    </row>
    <row r="550" spans="2:6" x14ac:dyDescent="0.35">
      <c r="B550"/>
      <c r="C550"/>
      <c r="D550"/>
      <c r="E550"/>
      <c r="F550"/>
    </row>
    <row r="551" spans="2:6" x14ac:dyDescent="0.35">
      <c r="B551"/>
      <c r="C551"/>
      <c r="D551"/>
      <c r="E551"/>
      <c r="F551"/>
    </row>
    <row r="552" spans="2:6" x14ac:dyDescent="0.35">
      <c r="B552"/>
      <c r="C552"/>
      <c r="D552"/>
      <c r="E552"/>
      <c r="F552"/>
    </row>
    <row r="553" spans="2:6" x14ac:dyDescent="0.35">
      <c r="B553"/>
      <c r="C553"/>
      <c r="D553"/>
      <c r="E553"/>
      <c r="F553"/>
    </row>
    <row r="554" spans="2:6" x14ac:dyDescent="0.35">
      <c r="B554"/>
      <c r="C554"/>
      <c r="D554"/>
      <c r="E554"/>
      <c r="F554"/>
    </row>
    <row r="555" spans="2:6" x14ac:dyDescent="0.35">
      <c r="B555"/>
      <c r="C555"/>
      <c r="D555"/>
      <c r="E555"/>
      <c r="F555"/>
    </row>
    <row r="556" spans="2:6" x14ac:dyDescent="0.35">
      <c r="B556"/>
      <c r="C556"/>
      <c r="D556"/>
      <c r="E556"/>
      <c r="F556"/>
    </row>
    <row r="557" spans="2:6" x14ac:dyDescent="0.35">
      <c r="B557"/>
      <c r="C557"/>
      <c r="D557"/>
      <c r="E557"/>
      <c r="F557"/>
    </row>
    <row r="558" spans="2:6" x14ac:dyDescent="0.35">
      <c r="B558"/>
      <c r="C558"/>
      <c r="D558"/>
      <c r="E558"/>
      <c r="F558"/>
    </row>
    <row r="559" spans="2:6" x14ac:dyDescent="0.35">
      <c r="B559"/>
      <c r="C559"/>
      <c r="D559"/>
      <c r="E559"/>
      <c r="F559"/>
    </row>
    <row r="560" spans="2:6" x14ac:dyDescent="0.35">
      <c r="B560"/>
      <c r="C560"/>
      <c r="D560"/>
      <c r="E560"/>
      <c r="F560"/>
    </row>
    <row r="561" spans="2:6" x14ac:dyDescent="0.35">
      <c r="B561"/>
      <c r="C561"/>
      <c r="D561"/>
      <c r="E561"/>
      <c r="F561"/>
    </row>
    <row r="562" spans="2:6" x14ac:dyDescent="0.35">
      <c r="B562"/>
      <c r="C562"/>
      <c r="D562"/>
      <c r="E562"/>
      <c r="F562"/>
    </row>
    <row r="563" spans="2:6" x14ac:dyDescent="0.35">
      <c r="B563"/>
      <c r="C563"/>
      <c r="D563"/>
      <c r="E563"/>
      <c r="F563"/>
    </row>
    <row r="564" spans="2:6" x14ac:dyDescent="0.35">
      <c r="B564"/>
      <c r="C564"/>
      <c r="D564"/>
      <c r="E564"/>
      <c r="F564"/>
    </row>
    <row r="565" spans="2:6" x14ac:dyDescent="0.35">
      <c r="B565"/>
      <c r="C565"/>
      <c r="D565"/>
      <c r="E565"/>
      <c r="F565"/>
    </row>
    <row r="566" spans="2:6" x14ac:dyDescent="0.35">
      <c r="B566"/>
      <c r="C566"/>
      <c r="D566"/>
      <c r="E566"/>
      <c r="F566"/>
    </row>
    <row r="567" spans="2:6" x14ac:dyDescent="0.35">
      <c r="B567"/>
      <c r="C567"/>
      <c r="D567"/>
      <c r="E567"/>
      <c r="F567"/>
    </row>
    <row r="568" spans="2:6" x14ac:dyDescent="0.35">
      <c r="B568"/>
      <c r="C568"/>
      <c r="D568"/>
      <c r="E568"/>
      <c r="F568"/>
    </row>
    <row r="569" spans="2:6" x14ac:dyDescent="0.35">
      <c r="B569"/>
      <c r="C569"/>
      <c r="D569"/>
      <c r="E569"/>
      <c r="F569"/>
    </row>
    <row r="570" spans="2:6" x14ac:dyDescent="0.35">
      <c r="B570"/>
      <c r="C570"/>
      <c r="D570"/>
      <c r="E570"/>
      <c r="F570"/>
    </row>
    <row r="571" spans="2:6" x14ac:dyDescent="0.35">
      <c r="B571"/>
      <c r="C571"/>
      <c r="D571"/>
      <c r="E571"/>
      <c r="F571"/>
    </row>
    <row r="572" spans="2:6" x14ac:dyDescent="0.35">
      <c r="B572"/>
      <c r="C572"/>
      <c r="D572"/>
      <c r="E572"/>
      <c r="F572"/>
    </row>
    <row r="573" spans="2:6" x14ac:dyDescent="0.35">
      <c r="B573"/>
      <c r="C573"/>
      <c r="D573"/>
      <c r="E573"/>
      <c r="F573"/>
    </row>
    <row r="574" spans="2:6" x14ac:dyDescent="0.35">
      <c r="B574"/>
      <c r="C574"/>
      <c r="D574"/>
      <c r="E574"/>
      <c r="F574"/>
    </row>
    <row r="575" spans="2:6" x14ac:dyDescent="0.35">
      <c r="B575"/>
      <c r="C575"/>
      <c r="D575"/>
      <c r="E575"/>
      <c r="F575"/>
    </row>
    <row r="576" spans="2:6" x14ac:dyDescent="0.35">
      <c r="B576"/>
      <c r="C576"/>
      <c r="D576"/>
      <c r="E576"/>
      <c r="F576"/>
    </row>
    <row r="577" spans="2:6" x14ac:dyDescent="0.35">
      <c r="B577"/>
      <c r="C577"/>
      <c r="D577"/>
      <c r="E577"/>
      <c r="F577"/>
    </row>
    <row r="578" spans="2:6" x14ac:dyDescent="0.35">
      <c r="B578"/>
      <c r="C578"/>
      <c r="D578"/>
      <c r="E578"/>
      <c r="F578"/>
    </row>
    <row r="579" spans="2:6" x14ac:dyDescent="0.35">
      <c r="B579"/>
      <c r="C579"/>
      <c r="D579"/>
      <c r="E579"/>
      <c r="F579"/>
    </row>
    <row r="580" spans="2:6" x14ac:dyDescent="0.35">
      <c r="B580"/>
      <c r="C580"/>
      <c r="D580"/>
      <c r="E580"/>
      <c r="F580"/>
    </row>
    <row r="581" spans="2:6" x14ac:dyDescent="0.35">
      <c r="B581"/>
      <c r="C581"/>
      <c r="D581"/>
      <c r="E581"/>
      <c r="F581"/>
    </row>
    <row r="582" spans="2:6" x14ac:dyDescent="0.35">
      <c r="B582"/>
      <c r="C582"/>
      <c r="D582"/>
      <c r="E582"/>
      <c r="F582"/>
    </row>
    <row r="583" spans="2:6" x14ac:dyDescent="0.35">
      <c r="B583"/>
      <c r="C583"/>
      <c r="D583"/>
      <c r="E583"/>
      <c r="F583"/>
    </row>
    <row r="584" spans="2:6" x14ac:dyDescent="0.35">
      <c r="B584"/>
      <c r="C584"/>
      <c r="D584"/>
      <c r="E584"/>
      <c r="F584"/>
    </row>
    <row r="585" spans="2:6" x14ac:dyDescent="0.35">
      <c r="B585"/>
      <c r="C585"/>
      <c r="D585"/>
      <c r="E585"/>
      <c r="F585"/>
    </row>
    <row r="586" spans="2:6" x14ac:dyDescent="0.35">
      <c r="B586"/>
      <c r="C586"/>
      <c r="D586"/>
      <c r="E586"/>
      <c r="F586"/>
    </row>
    <row r="587" spans="2:6" x14ac:dyDescent="0.35">
      <c r="B587"/>
      <c r="C587"/>
      <c r="D587"/>
      <c r="E587"/>
      <c r="F587"/>
    </row>
    <row r="588" spans="2:6" x14ac:dyDescent="0.35">
      <c r="B588"/>
      <c r="C588"/>
      <c r="D588"/>
      <c r="E588"/>
      <c r="F588"/>
    </row>
    <row r="589" spans="2:6" x14ac:dyDescent="0.35">
      <c r="B589"/>
      <c r="C589"/>
      <c r="D589"/>
      <c r="E589"/>
      <c r="F589"/>
    </row>
    <row r="590" spans="2:6" x14ac:dyDescent="0.35">
      <c r="B590"/>
      <c r="C590"/>
      <c r="D590"/>
      <c r="E590"/>
      <c r="F590"/>
    </row>
    <row r="591" spans="2:6" x14ac:dyDescent="0.35">
      <c r="B591"/>
      <c r="C591"/>
      <c r="D591"/>
      <c r="E591"/>
      <c r="F591"/>
    </row>
    <row r="592" spans="2:6" x14ac:dyDescent="0.35">
      <c r="B592"/>
      <c r="C592"/>
      <c r="D592"/>
      <c r="E592"/>
      <c r="F592"/>
    </row>
    <row r="593" spans="2:6" x14ac:dyDescent="0.35">
      <c r="B593"/>
      <c r="C593"/>
      <c r="D593"/>
      <c r="E593"/>
      <c r="F593"/>
    </row>
    <row r="594" spans="2:6" x14ac:dyDescent="0.35">
      <c r="B594"/>
      <c r="C594"/>
      <c r="D594"/>
      <c r="E594"/>
      <c r="F594"/>
    </row>
    <row r="595" spans="2:6" x14ac:dyDescent="0.35">
      <c r="B595"/>
      <c r="C595"/>
      <c r="D595"/>
      <c r="E595"/>
      <c r="F595"/>
    </row>
    <row r="596" spans="2:6" x14ac:dyDescent="0.35">
      <c r="B596"/>
      <c r="C596"/>
      <c r="D596"/>
      <c r="E596"/>
      <c r="F596"/>
    </row>
    <row r="597" spans="2:6" x14ac:dyDescent="0.35">
      <c r="B597"/>
      <c r="C597"/>
      <c r="D597"/>
      <c r="E597"/>
      <c r="F597"/>
    </row>
    <row r="598" spans="2:6" x14ac:dyDescent="0.35">
      <c r="B598"/>
      <c r="C598"/>
      <c r="D598"/>
      <c r="E598"/>
      <c r="F598"/>
    </row>
    <row r="599" spans="2:6" x14ac:dyDescent="0.35">
      <c r="B599"/>
      <c r="C599"/>
      <c r="D599"/>
      <c r="E599"/>
      <c r="F599"/>
    </row>
    <row r="600" spans="2:6" x14ac:dyDescent="0.35">
      <c r="B600"/>
      <c r="C600"/>
      <c r="D600"/>
      <c r="E600"/>
      <c r="F600"/>
    </row>
    <row r="601" spans="2:6" x14ac:dyDescent="0.35">
      <c r="B601"/>
      <c r="C601"/>
      <c r="D601"/>
      <c r="E601"/>
      <c r="F601"/>
    </row>
    <row r="602" spans="2:6" x14ac:dyDescent="0.35">
      <c r="B602"/>
      <c r="C602"/>
      <c r="D602"/>
      <c r="E602"/>
      <c r="F602"/>
    </row>
    <row r="603" spans="2:6" x14ac:dyDescent="0.35">
      <c r="B603"/>
      <c r="C603"/>
      <c r="D603"/>
      <c r="E603"/>
      <c r="F603"/>
    </row>
    <row r="604" spans="2:6" x14ac:dyDescent="0.35">
      <c r="B604"/>
      <c r="C604"/>
      <c r="D604"/>
      <c r="E604"/>
      <c r="F604"/>
    </row>
    <row r="605" spans="2:6" x14ac:dyDescent="0.35">
      <c r="B605"/>
      <c r="C605"/>
      <c r="D605"/>
      <c r="E605"/>
      <c r="F605"/>
    </row>
    <row r="606" spans="2:6" x14ac:dyDescent="0.35">
      <c r="B606"/>
      <c r="C606"/>
      <c r="D606"/>
      <c r="E606"/>
      <c r="F606"/>
    </row>
    <row r="607" spans="2:6" x14ac:dyDescent="0.35">
      <c r="B607"/>
      <c r="C607"/>
      <c r="D607"/>
      <c r="E607"/>
      <c r="F607"/>
    </row>
    <row r="608" spans="2:6" x14ac:dyDescent="0.35">
      <c r="B608"/>
      <c r="C608"/>
      <c r="D608"/>
      <c r="E608"/>
      <c r="F608"/>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5F1F-72C2-4E94-B0A8-E00CAE701E64}">
  <dimension ref="B1:H578"/>
  <sheetViews>
    <sheetView showGridLines="0" topLeftCell="F1" workbookViewId="0">
      <selection activeCell="F7" sqref="F7"/>
    </sheetView>
  </sheetViews>
  <sheetFormatPr defaultRowHeight="14.5" x14ac:dyDescent="0.35"/>
  <cols>
    <col min="2" max="2" width="39.26953125" style="126" bestFit="1" customWidth="1"/>
    <col min="3" max="3" width="43.7265625" style="54" customWidth="1"/>
    <col min="4" max="4" width="38.1796875" customWidth="1"/>
    <col min="5" max="5" width="47" customWidth="1"/>
    <col min="6" max="6" width="122.54296875" customWidth="1"/>
    <col min="7" max="7" width="42.81640625" customWidth="1"/>
    <col min="8" max="8" width="77.26953125" customWidth="1"/>
  </cols>
  <sheetData>
    <row r="1" spans="2:8" ht="42.75" customHeight="1" x14ac:dyDescent="0.35"/>
    <row r="2" spans="2:8" ht="39.75" customHeight="1" x14ac:dyDescent="0.35">
      <c r="B2" s="55" t="s">
        <v>711</v>
      </c>
      <c r="C2" s="55" t="s">
        <v>713</v>
      </c>
      <c r="D2" s="55" t="s">
        <v>2049</v>
      </c>
      <c r="E2" s="55" t="s">
        <v>2050</v>
      </c>
      <c r="F2" s="55" t="s">
        <v>2051</v>
      </c>
      <c r="G2" s="55" t="s">
        <v>2052</v>
      </c>
      <c r="H2" s="55" t="s">
        <v>2053</v>
      </c>
    </row>
    <row r="3" spans="2:8" ht="39.75" hidden="1" customHeight="1" x14ac:dyDescent="0.35">
      <c r="B3" s="227" t="s">
        <v>4</v>
      </c>
      <c r="C3" s="228" t="s">
        <v>5</v>
      </c>
      <c r="D3" s="75" t="s">
        <v>1915</v>
      </c>
      <c r="E3" s="75" t="s">
        <v>2054</v>
      </c>
      <c r="F3" s="121"/>
      <c r="G3" s="75" t="s">
        <v>2055</v>
      </c>
      <c r="H3" s="75" t="s">
        <v>2055</v>
      </c>
    </row>
    <row r="4" spans="2:8" ht="98.25" hidden="1" customHeight="1" x14ac:dyDescent="0.35">
      <c r="B4" s="227" t="s">
        <v>4</v>
      </c>
      <c r="C4" s="227" t="s">
        <v>7</v>
      </c>
      <c r="D4" s="75" t="s">
        <v>1915</v>
      </c>
      <c r="E4" s="75" t="s">
        <v>1916</v>
      </c>
      <c r="F4" s="121" t="s">
        <v>2056</v>
      </c>
      <c r="G4" s="75" t="s">
        <v>2055</v>
      </c>
      <c r="H4" s="75" t="s">
        <v>2055</v>
      </c>
    </row>
    <row r="5" spans="2:8" ht="39.75" hidden="1" customHeight="1" x14ac:dyDescent="0.35">
      <c r="B5" s="75" t="s">
        <v>9</v>
      </c>
      <c r="C5" s="75" t="s">
        <v>10</v>
      </c>
      <c r="D5" s="75" t="s">
        <v>1921</v>
      </c>
      <c r="E5" s="75" t="s">
        <v>1922</v>
      </c>
      <c r="F5" s="121" t="s">
        <v>2057</v>
      </c>
      <c r="G5" s="75" t="s">
        <v>2055</v>
      </c>
      <c r="H5" s="75" t="s">
        <v>2055</v>
      </c>
    </row>
    <row r="6" spans="2:8" ht="39.75" hidden="1" customHeight="1" x14ac:dyDescent="0.35">
      <c r="B6" s="192" t="s">
        <v>9</v>
      </c>
      <c r="C6" s="192" t="s">
        <v>12</v>
      </c>
      <c r="D6" s="75" t="s">
        <v>1921</v>
      </c>
      <c r="E6" s="75" t="s">
        <v>1940</v>
      </c>
      <c r="F6" s="121" t="s">
        <v>2058</v>
      </c>
      <c r="G6" s="75" t="s">
        <v>2055</v>
      </c>
      <c r="H6" s="75" t="s">
        <v>2055</v>
      </c>
    </row>
    <row r="7" spans="2:8" ht="39.75" hidden="1" customHeight="1" x14ac:dyDescent="0.35">
      <c r="B7" s="75" t="s">
        <v>9</v>
      </c>
      <c r="C7" s="75" t="s">
        <v>14</v>
      </c>
      <c r="D7" s="75" t="s">
        <v>1921</v>
      </c>
      <c r="E7" s="75" t="s">
        <v>1945</v>
      </c>
      <c r="F7" s="121" t="s">
        <v>2059</v>
      </c>
      <c r="G7" s="75" t="s">
        <v>2055</v>
      </c>
      <c r="H7" s="75" t="s">
        <v>2055</v>
      </c>
    </row>
    <row r="8" spans="2:8" ht="148.5" hidden="1" customHeight="1" x14ac:dyDescent="0.35">
      <c r="B8" s="75" t="s">
        <v>9</v>
      </c>
      <c r="C8" s="75" t="s">
        <v>16</v>
      </c>
      <c r="D8" s="75" t="s">
        <v>1921</v>
      </c>
      <c r="E8" s="75" t="s">
        <v>1922</v>
      </c>
      <c r="F8" s="121" t="s">
        <v>2060</v>
      </c>
      <c r="G8" s="75" t="s">
        <v>2055</v>
      </c>
      <c r="H8" s="75" t="s">
        <v>2055</v>
      </c>
    </row>
    <row r="9" spans="2:8" ht="148.5" hidden="1" customHeight="1" x14ac:dyDescent="0.35">
      <c r="B9" s="128" t="s">
        <v>9</v>
      </c>
      <c r="C9" s="128" t="s">
        <v>18</v>
      </c>
      <c r="D9" s="128" t="s">
        <v>1921</v>
      </c>
      <c r="E9" s="128" t="s">
        <v>1922</v>
      </c>
      <c r="F9" s="121" t="s">
        <v>2060</v>
      </c>
      <c r="G9" s="75" t="s">
        <v>2055</v>
      </c>
      <c r="H9" s="75" t="s">
        <v>2055</v>
      </c>
    </row>
    <row r="10" spans="2:8" ht="148.5" hidden="1" customHeight="1" x14ac:dyDescent="0.35">
      <c r="B10" s="128" t="s">
        <v>9</v>
      </c>
      <c r="C10" s="228" t="s">
        <v>20</v>
      </c>
      <c r="D10" s="128" t="s">
        <v>1921</v>
      </c>
      <c r="E10" s="75" t="s">
        <v>1922</v>
      </c>
      <c r="F10" s="121" t="s">
        <v>2060</v>
      </c>
      <c r="G10" s="75" t="s">
        <v>2055</v>
      </c>
      <c r="H10" s="75" t="s">
        <v>2055</v>
      </c>
    </row>
    <row r="11" spans="2:8" ht="153" hidden="1" customHeight="1" x14ac:dyDescent="0.35">
      <c r="B11" s="75" t="s">
        <v>9</v>
      </c>
      <c r="C11" s="231" t="s">
        <v>22</v>
      </c>
      <c r="D11" s="75" t="s">
        <v>1921</v>
      </c>
      <c r="E11" s="75" t="s">
        <v>1954</v>
      </c>
      <c r="F11" s="121" t="s">
        <v>2061</v>
      </c>
      <c r="G11" s="75" t="s">
        <v>2055</v>
      </c>
      <c r="H11" s="75" t="s">
        <v>2055</v>
      </c>
    </row>
    <row r="12" spans="2:8" ht="54" hidden="1" customHeight="1" x14ac:dyDescent="0.35">
      <c r="B12" s="75" t="s">
        <v>9</v>
      </c>
      <c r="C12" s="227" t="s">
        <v>24</v>
      </c>
      <c r="D12" s="75" t="s">
        <v>1921</v>
      </c>
      <c r="E12" s="75" t="s">
        <v>2046</v>
      </c>
      <c r="F12" s="121" t="s">
        <v>2062</v>
      </c>
      <c r="G12" s="75" t="s">
        <v>2055</v>
      </c>
      <c r="H12" s="75" t="s">
        <v>2055</v>
      </c>
    </row>
    <row r="13" spans="2:8" ht="85.5" hidden="1" customHeight="1" x14ac:dyDescent="0.35">
      <c r="B13" s="75" t="s">
        <v>9</v>
      </c>
      <c r="C13" s="227" t="s">
        <v>26</v>
      </c>
      <c r="D13" s="75" t="s">
        <v>1921</v>
      </c>
      <c r="E13" s="75" t="s">
        <v>1959</v>
      </c>
      <c r="F13" s="121" t="s">
        <v>2063</v>
      </c>
      <c r="G13" s="75" t="s">
        <v>2055</v>
      </c>
      <c r="H13" s="75" t="s">
        <v>2055</v>
      </c>
    </row>
    <row r="14" spans="2:8" ht="85.5" hidden="1" customHeight="1" x14ac:dyDescent="0.35">
      <c r="B14" s="75" t="s">
        <v>9</v>
      </c>
      <c r="C14" s="228" t="s">
        <v>28</v>
      </c>
      <c r="D14" s="75" t="s">
        <v>2055</v>
      </c>
      <c r="E14" s="75" t="s">
        <v>2055</v>
      </c>
      <c r="F14" s="188" t="s">
        <v>2064</v>
      </c>
      <c r="G14" s="75" t="s">
        <v>2055</v>
      </c>
      <c r="H14" s="75" t="s">
        <v>2055</v>
      </c>
    </row>
    <row r="15" spans="2:8" ht="115.5" hidden="1" customHeight="1" x14ac:dyDescent="0.35">
      <c r="B15" s="75" t="s">
        <v>9</v>
      </c>
      <c r="C15" s="228" t="s">
        <v>28</v>
      </c>
      <c r="D15" s="75" t="s">
        <v>1921</v>
      </c>
      <c r="E15" s="75" t="s">
        <v>1963</v>
      </c>
      <c r="F15" s="121" t="s">
        <v>2065</v>
      </c>
      <c r="G15" s="75" t="s">
        <v>2055</v>
      </c>
      <c r="H15" s="75" t="s">
        <v>2055</v>
      </c>
    </row>
    <row r="16" spans="2:8" ht="108.75" hidden="1" customHeight="1" x14ac:dyDescent="0.35">
      <c r="B16" s="75" t="s">
        <v>30</v>
      </c>
      <c r="C16" s="75" t="s">
        <v>31</v>
      </c>
      <c r="D16" s="75" t="s">
        <v>1921</v>
      </c>
      <c r="E16" s="75" t="s">
        <v>1968</v>
      </c>
      <c r="F16" s="121" t="s">
        <v>2066</v>
      </c>
      <c r="G16" s="75" t="s">
        <v>2055</v>
      </c>
      <c r="H16" s="75" t="s">
        <v>2055</v>
      </c>
    </row>
    <row r="17" spans="2:8" ht="71.25" hidden="1" customHeight="1" x14ac:dyDescent="0.35">
      <c r="B17" s="75" t="s">
        <v>30</v>
      </c>
      <c r="C17" s="75" t="s">
        <v>33</v>
      </c>
      <c r="D17" s="75" t="s">
        <v>1921</v>
      </c>
      <c r="E17" s="75" t="s">
        <v>1940</v>
      </c>
      <c r="F17" s="121" t="s">
        <v>2067</v>
      </c>
      <c r="G17" s="75" t="s">
        <v>2055</v>
      </c>
      <c r="H17" s="75" t="s">
        <v>2055</v>
      </c>
    </row>
    <row r="18" spans="2:8" ht="93.75" hidden="1" customHeight="1" x14ac:dyDescent="0.35">
      <c r="B18" s="75" t="s">
        <v>30</v>
      </c>
      <c r="C18" s="228" t="s">
        <v>35</v>
      </c>
      <c r="D18" s="75" t="s">
        <v>1921</v>
      </c>
      <c r="E18" s="75" t="s">
        <v>1997</v>
      </c>
      <c r="F18" s="121" t="s">
        <v>2068</v>
      </c>
      <c r="G18" s="75" t="s">
        <v>2055</v>
      </c>
      <c r="H18" s="75" t="s">
        <v>2055</v>
      </c>
    </row>
    <row r="19" spans="2:8" ht="39.75" hidden="1" customHeight="1" x14ac:dyDescent="0.35">
      <c r="B19" s="75" t="s">
        <v>30</v>
      </c>
      <c r="C19" s="228" t="s">
        <v>35</v>
      </c>
      <c r="D19" s="75" t="s">
        <v>1921</v>
      </c>
      <c r="E19" s="75" t="s">
        <v>1968</v>
      </c>
      <c r="F19" s="121" t="s">
        <v>2069</v>
      </c>
      <c r="G19" s="75" t="s">
        <v>2055</v>
      </c>
      <c r="H19" s="75" t="s">
        <v>2055</v>
      </c>
    </row>
    <row r="20" spans="2:8" ht="39.75" hidden="1" customHeight="1" x14ac:dyDescent="0.35">
      <c r="B20" s="228" t="s">
        <v>30</v>
      </c>
      <c r="C20" s="228" t="s">
        <v>37</v>
      </c>
      <c r="D20" s="75" t="s">
        <v>1921</v>
      </c>
      <c r="E20" s="75" t="s">
        <v>1945</v>
      </c>
      <c r="F20" s="121" t="s">
        <v>2070</v>
      </c>
      <c r="G20" s="75" t="s">
        <v>2055</v>
      </c>
      <c r="H20" s="75" t="s">
        <v>2055</v>
      </c>
    </row>
    <row r="21" spans="2:8" ht="105.75" hidden="1" customHeight="1" x14ac:dyDescent="0.35">
      <c r="B21" s="228" t="s">
        <v>30</v>
      </c>
      <c r="C21" s="228" t="s">
        <v>39</v>
      </c>
      <c r="D21" s="75" t="s">
        <v>1921</v>
      </c>
      <c r="E21" s="75" t="s">
        <v>1968</v>
      </c>
      <c r="F21" s="121" t="s">
        <v>2071</v>
      </c>
      <c r="G21" s="75" t="s">
        <v>2055</v>
      </c>
      <c r="H21" s="75" t="s">
        <v>2055</v>
      </c>
    </row>
    <row r="22" spans="2:8" ht="72.75" hidden="1" customHeight="1" x14ac:dyDescent="0.35">
      <c r="B22" s="228" t="s">
        <v>30</v>
      </c>
      <c r="C22" s="228" t="s">
        <v>41</v>
      </c>
      <c r="D22" s="75" t="s">
        <v>1921</v>
      </c>
      <c r="E22" s="75" t="s">
        <v>1968</v>
      </c>
      <c r="F22" s="121" t="s">
        <v>2071</v>
      </c>
      <c r="G22" s="75" t="s">
        <v>2055</v>
      </c>
      <c r="H22" s="75" t="s">
        <v>2055</v>
      </c>
    </row>
    <row r="23" spans="2:8" ht="68.25" hidden="1" customHeight="1" x14ac:dyDescent="0.35">
      <c r="B23" s="75" t="s">
        <v>30</v>
      </c>
      <c r="C23" s="228" t="s">
        <v>43</v>
      </c>
      <c r="D23" s="75" t="s">
        <v>1921</v>
      </c>
      <c r="E23" s="75" t="s">
        <v>1954</v>
      </c>
      <c r="F23" s="121" t="s">
        <v>2072</v>
      </c>
      <c r="G23" s="75" t="s">
        <v>2055</v>
      </c>
      <c r="H23" s="75" t="s">
        <v>2055</v>
      </c>
    </row>
    <row r="24" spans="2:8" ht="75.75" hidden="1" customHeight="1" x14ac:dyDescent="0.35">
      <c r="B24" s="228" t="s">
        <v>30</v>
      </c>
      <c r="C24" s="227" t="s">
        <v>45</v>
      </c>
      <c r="D24" s="75" t="s">
        <v>1921</v>
      </c>
      <c r="E24" s="75" t="s">
        <v>2046</v>
      </c>
      <c r="F24" s="121" t="s">
        <v>2073</v>
      </c>
      <c r="G24" s="75" t="s">
        <v>2055</v>
      </c>
      <c r="H24" s="75" t="s">
        <v>2055</v>
      </c>
    </row>
    <row r="25" spans="2:8" ht="51" hidden="1" customHeight="1" x14ac:dyDescent="0.35">
      <c r="B25" s="228" t="s">
        <v>30</v>
      </c>
      <c r="C25" s="227" t="s">
        <v>47</v>
      </c>
      <c r="D25" s="75" t="s">
        <v>1921</v>
      </c>
      <c r="E25" s="75" t="s">
        <v>1959</v>
      </c>
      <c r="F25" s="121" t="s">
        <v>2074</v>
      </c>
      <c r="G25" s="75" t="s">
        <v>2055</v>
      </c>
      <c r="H25" s="75" t="s">
        <v>2055</v>
      </c>
    </row>
    <row r="26" spans="2:8" ht="51" hidden="1" customHeight="1" x14ac:dyDescent="0.35">
      <c r="B26" s="264" t="s">
        <v>30</v>
      </c>
      <c r="C26" s="264" t="s">
        <v>49</v>
      </c>
      <c r="D26" s="75" t="s">
        <v>2055</v>
      </c>
      <c r="E26" s="75" t="s">
        <v>2055</v>
      </c>
      <c r="F26" s="188" t="s">
        <v>2064</v>
      </c>
      <c r="G26" s="75" t="s">
        <v>2055</v>
      </c>
      <c r="H26" s="75" t="s">
        <v>2055</v>
      </c>
    </row>
    <row r="27" spans="2:8" ht="72.75" hidden="1" customHeight="1" x14ac:dyDescent="0.35">
      <c r="B27" s="264" t="s">
        <v>30</v>
      </c>
      <c r="C27" s="264" t="s">
        <v>49</v>
      </c>
      <c r="D27" s="128" t="s">
        <v>1921</v>
      </c>
      <c r="E27" s="128" t="s">
        <v>1963</v>
      </c>
      <c r="F27" s="121" t="s">
        <v>2075</v>
      </c>
      <c r="G27" s="75" t="s">
        <v>2055</v>
      </c>
      <c r="H27" s="75" t="s">
        <v>2055</v>
      </c>
    </row>
    <row r="28" spans="2:8" ht="81.75" customHeight="1" x14ac:dyDescent="0.35">
      <c r="B28" s="128" t="s">
        <v>51</v>
      </c>
      <c r="C28" s="128" t="s">
        <v>54</v>
      </c>
      <c r="D28" s="128" t="s">
        <v>1921</v>
      </c>
      <c r="E28" s="128" t="s">
        <v>2021</v>
      </c>
      <c r="F28" s="121" t="s">
        <v>2076</v>
      </c>
      <c r="G28" s="75" t="s">
        <v>2055</v>
      </c>
      <c r="H28" s="75" t="s">
        <v>2055</v>
      </c>
    </row>
    <row r="29" spans="2:8" ht="174" hidden="1" x14ac:dyDescent="0.35">
      <c r="B29" s="264" t="s">
        <v>51</v>
      </c>
      <c r="C29" s="263" t="s">
        <v>56</v>
      </c>
      <c r="D29" s="128" t="s">
        <v>1921</v>
      </c>
      <c r="E29" s="128" t="s">
        <v>2025</v>
      </c>
      <c r="F29" s="121" t="s">
        <v>2077</v>
      </c>
      <c r="G29" s="75" t="s">
        <v>2055</v>
      </c>
      <c r="H29" s="75" t="s">
        <v>2055</v>
      </c>
    </row>
    <row r="30" spans="2:8" x14ac:dyDescent="0.35">
      <c r="B30"/>
      <c r="C30"/>
    </row>
    <row r="31" spans="2:8" x14ac:dyDescent="0.35">
      <c r="B31"/>
      <c r="C31"/>
    </row>
    <row r="32" spans="2:8" x14ac:dyDescent="0.35">
      <c r="B32"/>
      <c r="C32"/>
    </row>
    <row r="33" spans="2:3" x14ac:dyDescent="0.35">
      <c r="B33"/>
      <c r="C33"/>
    </row>
    <row r="34" spans="2:3" x14ac:dyDescent="0.35">
      <c r="B34"/>
      <c r="C34"/>
    </row>
    <row r="35" spans="2:3" x14ac:dyDescent="0.35">
      <c r="B35"/>
      <c r="C35"/>
    </row>
    <row r="36" spans="2:3" x14ac:dyDescent="0.35">
      <c r="B36"/>
      <c r="C36"/>
    </row>
    <row r="37" spans="2:3" x14ac:dyDescent="0.35">
      <c r="B37"/>
      <c r="C37"/>
    </row>
    <row r="38" spans="2:3" x14ac:dyDescent="0.35">
      <c r="B38"/>
      <c r="C38"/>
    </row>
    <row r="39" spans="2:3" ht="39.75" customHeight="1" x14ac:dyDescent="0.35">
      <c r="B39"/>
      <c r="C39"/>
    </row>
    <row r="40" spans="2:3" ht="39.75" customHeight="1" x14ac:dyDescent="0.35">
      <c r="B40"/>
      <c r="C40"/>
    </row>
    <row r="41" spans="2:3" ht="39.75" customHeight="1" x14ac:dyDescent="0.35">
      <c r="B41"/>
      <c r="C41"/>
    </row>
    <row r="42" spans="2:3" ht="39.75" customHeight="1" x14ac:dyDescent="0.35">
      <c r="B42"/>
      <c r="C42"/>
    </row>
    <row r="43" spans="2:3" x14ac:dyDescent="0.35">
      <c r="B43"/>
      <c r="C43"/>
    </row>
    <row r="44" spans="2:3" x14ac:dyDescent="0.35">
      <c r="B44"/>
      <c r="C44"/>
    </row>
    <row r="45" spans="2:3" x14ac:dyDescent="0.35">
      <c r="B45"/>
      <c r="C45"/>
    </row>
    <row r="46" spans="2:3" x14ac:dyDescent="0.35">
      <c r="B46"/>
      <c r="C46"/>
    </row>
    <row r="47" spans="2:3" x14ac:dyDescent="0.35">
      <c r="B47"/>
      <c r="C47"/>
    </row>
    <row r="48" spans="2:3" x14ac:dyDescent="0.35">
      <c r="B48"/>
      <c r="C48"/>
    </row>
    <row r="49" spans="2:3" x14ac:dyDescent="0.35">
      <c r="B49"/>
      <c r="C49"/>
    </row>
    <row r="50" spans="2:3" x14ac:dyDescent="0.35">
      <c r="B50"/>
      <c r="C50"/>
    </row>
    <row r="51" spans="2:3" x14ac:dyDescent="0.35">
      <c r="B51"/>
      <c r="C51"/>
    </row>
    <row r="52" spans="2:3" x14ac:dyDescent="0.35">
      <c r="B52"/>
      <c r="C52"/>
    </row>
    <row r="53" spans="2:3" x14ac:dyDescent="0.35">
      <c r="B53"/>
      <c r="C53"/>
    </row>
    <row r="54" spans="2:3" x14ac:dyDescent="0.35">
      <c r="B54"/>
      <c r="C54"/>
    </row>
    <row r="55" spans="2:3" x14ac:dyDescent="0.35">
      <c r="B55"/>
      <c r="C55"/>
    </row>
    <row r="56" spans="2:3" x14ac:dyDescent="0.35">
      <c r="B56"/>
      <c r="C56"/>
    </row>
    <row r="57" spans="2:3" x14ac:dyDescent="0.35">
      <c r="B57"/>
      <c r="C57"/>
    </row>
    <row r="58" spans="2:3" x14ac:dyDescent="0.35">
      <c r="B58"/>
      <c r="C58"/>
    </row>
    <row r="59" spans="2:3" x14ac:dyDescent="0.35">
      <c r="B59"/>
      <c r="C59"/>
    </row>
    <row r="60" spans="2:3" x14ac:dyDescent="0.35">
      <c r="B60"/>
      <c r="C60"/>
    </row>
    <row r="61" spans="2:3" x14ac:dyDescent="0.35">
      <c r="B61"/>
      <c r="C61"/>
    </row>
    <row r="62" spans="2:3" x14ac:dyDescent="0.35">
      <c r="B62"/>
      <c r="C62"/>
    </row>
    <row r="63" spans="2:3" x14ac:dyDescent="0.35">
      <c r="B63"/>
      <c r="C63"/>
    </row>
    <row r="64" spans="2:3" x14ac:dyDescent="0.35">
      <c r="B64"/>
      <c r="C64"/>
    </row>
    <row r="65" spans="2:3" x14ac:dyDescent="0.35">
      <c r="B65"/>
      <c r="C65"/>
    </row>
    <row r="66" spans="2:3" x14ac:dyDescent="0.35">
      <c r="B66"/>
      <c r="C66"/>
    </row>
    <row r="67" spans="2:3" x14ac:dyDescent="0.35">
      <c r="B67"/>
      <c r="C67"/>
    </row>
    <row r="68" spans="2:3" x14ac:dyDescent="0.35">
      <c r="B68"/>
      <c r="C68"/>
    </row>
    <row r="69" spans="2:3" x14ac:dyDescent="0.35">
      <c r="B69"/>
      <c r="C69"/>
    </row>
    <row r="70" spans="2:3" x14ac:dyDescent="0.35">
      <c r="B70"/>
      <c r="C70"/>
    </row>
    <row r="71" spans="2:3" x14ac:dyDescent="0.35">
      <c r="B71"/>
      <c r="C71"/>
    </row>
    <row r="72" spans="2:3" x14ac:dyDescent="0.35">
      <c r="B72"/>
      <c r="C72"/>
    </row>
    <row r="73" spans="2:3" x14ac:dyDescent="0.35">
      <c r="B73"/>
      <c r="C73"/>
    </row>
    <row r="74" spans="2:3" x14ac:dyDescent="0.35">
      <c r="B74"/>
      <c r="C74"/>
    </row>
    <row r="75" spans="2:3" x14ac:dyDescent="0.35">
      <c r="B75"/>
      <c r="C75"/>
    </row>
    <row r="76" spans="2:3" x14ac:dyDescent="0.35">
      <c r="B76"/>
      <c r="C76"/>
    </row>
    <row r="77" spans="2:3" x14ac:dyDescent="0.35">
      <c r="B77"/>
      <c r="C77"/>
    </row>
    <row r="78" spans="2:3" x14ac:dyDescent="0.35">
      <c r="B78"/>
      <c r="C78"/>
    </row>
    <row r="79" spans="2:3" x14ac:dyDescent="0.35">
      <c r="B79"/>
      <c r="C79"/>
    </row>
    <row r="80" spans="2:3" x14ac:dyDescent="0.35">
      <c r="B80"/>
      <c r="C80"/>
    </row>
    <row r="81" spans="2:3" x14ac:dyDescent="0.35">
      <c r="B81"/>
      <c r="C81"/>
    </row>
    <row r="82" spans="2:3" x14ac:dyDescent="0.35">
      <c r="B82"/>
      <c r="C82"/>
    </row>
    <row r="83" spans="2:3" x14ac:dyDescent="0.35">
      <c r="B83"/>
      <c r="C83"/>
    </row>
    <row r="84" spans="2:3" x14ac:dyDescent="0.35">
      <c r="B84"/>
      <c r="C84"/>
    </row>
    <row r="85" spans="2:3" x14ac:dyDescent="0.35">
      <c r="B85"/>
      <c r="C85"/>
    </row>
    <row r="86" spans="2:3" x14ac:dyDescent="0.35">
      <c r="B86"/>
      <c r="C86"/>
    </row>
    <row r="87" spans="2:3" x14ac:dyDescent="0.35">
      <c r="B87"/>
      <c r="C87"/>
    </row>
    <row r="88" spans="2:3" x14ac:dyDescent="0.35">
      <c r="B88"/>
      <c r="C88"/>
    </row>
    <row r="89" spans="2:3" x14ac:dyDescent="0.35">
      <c r="B89"/>
      <c r="C89"/>
    </row>
    <row r="90" spans="2:3" x14ac:dyDescent="0.35">
      <c r="B90"/>
      <c r="C90"/>
    </row>
    <row r="91" spans="2:3" x14ac:dyDescent="0.35">
      <c r="B91"/>
      <c r="C91"/>
    </row>
    <row r="92" spans="2:3" x14ac:dyDescent="0.35">
      <c r="B92"/>
      <c r="C92"/>
    </row>
    <row r="93" spans="2:3" x14ac:dyDescent="0.35">
      <c r="B93"/>
      <c r="C93"/>
    </row>
    <row r="94" spans="2:3" x14ac:dyDescent="0.35">
      <c r="B94"/>
      <c r="C94"/>
    </row>
    <row r="95" spans="2:3" x14ac:dyDescent="0.35">
      <c r="B95"/>
      <c r="C95"/>
    </row>
    <row r="96" spans="2:3" x14ac:dyDescent="0.35">
      <c r="B96"/>
      <c r="C96"/>
    </row>
    <row r="97" spans="2:3" x14ac:dyDescent="0.35">
      <c r="B97"/>
      <c r="C97"/>
    </row>
    <row r="98" spans="2:3" x14ac:dyDescent="0.35">
      <c r="B98"/>
      <c r="C98"/>
    </row>
    <row r="99" spans="2:3" x14ac:dyDescent="0.35">
      <c r="B99"/>
      <c r="C99"/>
    </row>
    <row r="100" spans="2:3" x14ac:dyDescent="0.35">
      <c r="B100"/>
      <c r="C100"/>
    </row>
    <row r="101" spans="2:3" x14ac:dyDescent="0.35">
      <c r="B101"/>
      <c r="C101"/>
    </row>
    <row r="102" spans="2:3" x14ac:dyDescent="0.35">
      <c r="B102"/>
      <c r="C102"/>
    </row>
    <row r="103" spans="2:3" x14ac:dyDescent="0.35">
      <c r="B103"/>
      <c r="C103"/>
    </row>
    <row r="104" spans="2:3" x14ac:dyDescent="0.35">
      <c r="B104"/>
      <c r="C104"/>
    </row>
    <row r="105" spans="2:3" x14ac:dyDescent="0.35">
      <c r="B105"/>
      <c r="C105"/>
    </row>
    <row r="106" spans="2:3" x14ac:dyDescent="0.35">
      <c r="B106"/>
      <c r="C106"/>
    </row>
    <row r="107" spans="2:3" x14ac:dyDescent="0.35">
      <c r="B107"/>
      <c r="C107"/>
    </row>
    <row r="108" spans="2:3" x14ac:dyDescent="0.35">
      <c r="B108"/>
      <c r="C108"/>
    </row>
    <row r="109" spans="2:3" x14ac:dyDescent="0.35">
      <c r="B109"/>
      <c r="C109"/>
    </row>
    <row r="110" spans="2:3" x14ac:dyDescent="0.35">
      <c r="B110"/>
      <c r="C110"/>
    </row>
    <row r="111" spans="2:3" x14ac:dyDescent="0.35">
      <c r="B111"/>
      <c r="C111"/>
    </row>
    <row r="112" spans="2:3" x14ac:dyDescent="0.35">
      <c r="B112"/>
      <c r="C112"/>
    </row>
    <row r="113" spans="2:3" x14ac:dyDescent="0.35">
      <c r="B113"/>
      <c r="C113"/>
    </row>
    <row r="114" spans="2:3" x14ac:dyDescent="0.35">
      <c r="B114"/>
      <c r="C114"/>
    </row>
    <row r="115" spans="2:3" x14ac:dyDescent="0.35">
      <c r="B115"/>
      <c r="C115"/>
    </row>
    <row r="116" spans="2:3" x14ac:dyDescent="0.35">
      <c r="B116"/>
      <c r="C116"/>
    </row>
    <row r="117" spans="2:3" x14ac:dyDescent="0.35">
      <c r="B117"/>
      <c r="C117"/>
    </row>
    <row r="118" spans="2:3" x14ac:dyDescent="0.35">
      <c r="B118"/>
      <c r="C118"/>
    </row>
    <row r="119" spans="2:3" x14ac:dyDescent="0.35">
      <c r="B119"/>
      <c r="C119"/>
    </row>
    <row r="120" spans="2:3" x14ac:dyDescent="0.35">
      <c r="B120"/>
      <c r="C120"/>
    </row>
    <row r="121" spans="2:3" x14ac:dyDescent="0.35">
      <c r="B121"/>
      <c r="C121"/>
    </row>
    <row r="122" spans="2:3" x14ac:dyDescent="0.35">
      <c r="B122"/>
      <c r="C122"/>
    </row>
    <row r="123" spans="2:3" x14ac:dyDescent="0.35">
      <c r="B123"/>
      <c r="C123"/>
    </row>
    <row r="124" spans="2:3" x14ac:dyDescent="0.35">
      <c r="B124"/>
      <c r="C124"/>
    </row>
    <row r="125" spans="2:3" x14ac:dyDescent="0.35">
      <c r="B125"/>
      <c r="C125"/>
    </row>
    <row r="126" spans="2:3" x14ac:dyDescent="0.35">
      <c r="B126"/>
      <c r="C126"/>
    </row>
    <row r="127" spans="2:3" x14ac:dyDescent="0.35">
      <c r="B127"/>
      <c r="C127"/>
    </row>
    <row r="128" spans="2:3" x14ac:dyDescent="0.35">
      <c r="B128"/>
      <c r="C128"/>
    </row>
    <row r="129" spans="2:3" x14ac:dyDescent="0.35">
      <c r="B129"/>
      <c r="C129"/>
    </row>
    <row r="130" spans="2:3" x14ac:dyDescent="0.35">
      <c r="B130"/>
      <c r="C130"/>
    </row>
    <row r="131" spans="2:3" x14ac:dyDescent="0.35">
      <c r="B131"/>
      <c r="C131"/>
    </row>
    <row r="132" spans="2:3" x14ac:dyDescent="0.35">
      <c r="B132"/>
      <c r="C132"/>
    </row>
    <row r="133" spans="2:3" x14ac:dyDescent="0.35">
      <c r="B133"/>
      <c r="C133"/>
    </row>
    <row r="134" spans="2:3" x14ac:dyDescent="0.35">
      <c r="B134"/>
      <c r="C134"/>
    </row>
    <row r="135" spans="2:3" x14ac:dyDescent="0.35">
      <c r="B135"/>
      <c r="C135"/>
    </row>
    <row r="136" spans="2:3" x14ac:dyDescent="0.35">
      <c r="B136"/>
      <c r="C136"/>
    </row>
    <row r="137" spans="2:3" x14ac:dyDescent="0.35">
      <c r="B137"/>
      <c r="C137"/>
    </row>
    <row r="138" spans="2:3" x14ac:dyDescent="0.35">
      <c r="B138"/>
      <c r="C138"/>
    </row>
    <row r="139" spans="2:3" x14ac:dyDescent="0.35">
      <c r="B139"/>
      <c r="C139"/>
    </row>
    <row r="140" spans="2:3" x14ac:dyDescent="0.35">
      <c r="B140"/>
      <c r="C140"/>
    </row>
    <row r="141" spans="2:3" x14ac:dyDescent="0.35">
      <c r="B141"/>
      <c r="C141"/>
    </row>
    <row r="142" spans="2:3" x14ac:dyDescent="0.35">
      <c r="B142"/>
      <c r="C142"/>
    </row>
    <row r="143" spans="2:3" x14ac:dyDescent="0.35">
      <c r="B143"/>
      <c r="C143"/>
    </row>
    <row r="144" spans="2:3" x14ac:dyDescent="0.35">
      <c r="B144"/>
      <c r="C144"/>
    </row>
    <row r="145" spans="2:3" x14ac:dyDescent="0.35">
      <c r="B145"/>
      <c r="C145"/>
    </row>
    <row r="146" spans="2:3" x14ac:dyDescent="0.35">
      <c r="B146"/>
      <c r="C146"/>
    </row>
    <row r="147" spans="2:3" x14ac:dyDescent="0.35">
      <c r="B147"/>
      <c r="C147"/>
    </row>
    <row r="148" spans="2:3" x14ac:dyDescent="0.35">
      <c r="B148"/>
      <c r="C148"/>
    </row>
    <row r="149" spans="2:3" x14ac:dyDescent="0.35">
      <c r="B149"/>
      <c r="C149"/>
    </row>
    <row r="150" spans="2:3" x14ac:dyDescent="0.35">
      <c r="B150"/>
      <c r="C150"/>
    </row>
    <row r="151" spans="2:3" x14ac:dyDescent="0.35">
      <c r="B151"/>
      <c r="C151"/>
    </row>
    <row r="152" spans="2:3" x14ac:dyDescent="0.35">
      <c r="B152"/>
      <c r="C152"/>
    </row>
    <row r="153" spans="2:3" x14ac:dyDescent="0.35">
      <c r="B153"/>
      <c r="C153"/>
    </row>
    <row r="154" spans="2:3" x14ac:dyDescent="0.35">
      <c r="B154"/>
      <c r="C154"/>
    </row>
    <row r="155" spans="2:3" x14ac:dyDescent="0.35">
      <c r="B155"/>
      <c r="C155"/>
    </row>
    <row r="156" spans="2:3" x14ac:dyDescent="0.35">
      <c r="B156"/>
      <c r="C156"/>
    </row>
    <row r="157" spans="2:3" x14ac:dyDescent="0.35">
      <c r="B157"/>
      <c r="C157"/>
    </row>
    <row r="158" spans="2:3" x14ac:dyDescent="0.35">
      <c r="B158"/>
      <c r="C158"/>
    </row>
    <row r="159" spans="2:3" x14ac:dyDescent="0.35">
      <c r="B159"/>
      <c r="C159"/>
    </row>
    <row r="160" spans="2:3" x14ac:dyDescent="0.35">
      <c r="B160"/>
      <c r="C160"/>
    </row>
    <row r="161" spans="2:3" x14ac:dyDescent="0.35">
      <c r="B161"/>
      <c r="C161"/>
    </row>
    <row r="162" spans="2:3" x14ac:dyDescent="0.35">
      <c r="B162"/>
      <c r="C162"/>
    </row>
    <row r="163" spans="2:3" x14ac:dyDescent="0.35">
      <c r="B163"/>
      <c r="C163"/>
    </row>
    <row r="164" spans="2:3" x14ac:dyDescent="0.35">
      <c r="B164"/>
      <c r="C164"/>
    </row>
    <row r="165" spans="2:3" x14ac:dyDescent="0.35">
      <c r="B165"/>
      <c r="C165"/>
    </row>
    <row r="166" spans="2:3" x14ac:dyDescent="0.35">
      <c r="B166"/>
      <c r="C166"/>
    </row>
    <row r="167" spans="2:3" x14ac:dyDescent="0.35">
      <c r="B167"/>
      <c r="C167"/>
    </row>
    <row r="168" spans="2:3" x14ac:dyDescent="0.35">
      <c r="B168"/>
      <c r="C168"/>
    </row>
    <row r="169" spans="2:3" x14ac:dyDescent="0.35">
      <c r="B169"/>
      <c r="C169"/>
    </row>
    <row r="170" spans="2:3" x14ac:dyDescent="0.35">
      <c r="B170"/>
      <c r="C170"/>
    </row>
    <row r="171" spans="2:3" x14ac:dyDescent="0.35">
      <c r="B171"/>
      <c r="C171"/>
    </row>
    <row r="172" spans="2:3" x14ac:dyDescent="0.35">
      <c r="B172"/>
      <c r="C172"/>
    </row>
    <row r="173" spans="2:3" x14ac:dyDescent="0.35">
      <c r="B173"/>
      <c r="C173"/>
    </row>
    <row r="174" spans="2:3" x14ac:dyDescent="0.35">
      <c r="B174"/>
      <c r="C174"/>
    </row>
    <row r="175" spans="2:3" x14ac:dyDescent="0.35">
      <c r="B175"/>
      <c r="C175"/>
    </row>
    <row r="176" spans="2:3" x14ac:dyDescent="0.35">
      <c r="B176"/>
      <c r="C176"/>
    </row>
    <row r="177" spans="2:3" x14ac:dyDescent="0.35">
      <c r="B177"/>
      <c r="C177"/>
    </row>
    <row r="178" spans="2:3" x14ac:dyDescent="0.35">
      <c r="B178"/>
      <c r="C178"/>
    </row>
    <row r="179" spans="2:3" x14ac:dyDescent="0.35">
      <c r="B179"/>
      <c r="C179"/>
    </row>
    <row r="180" spans="2:3" x14ac:dyDescent="0.35">
      <c r="B180"/>
      <c r="C180"/>
    </row>
    <row r="181" spans="2:3" x14ac:dyDescent="0.35">
      <c r="B181"/>
      <c r="C181"/>
    </row>
    <row r="182" spans="2:3" x14ac:dyDescent="0.35">
      <c r="B182"/>
      <c r="C182"/>
    </row>
    <row r="183" spans="2:3" x14ac:dyDescent="0.35">
      <c r="B183"/>
      <c r="C183"/>
    </row>
    <row r="184" spans="2:3" x14ac:dyDescent="0.35">
      <c r="B184"/>
      <c r="C184"/>
    </row>
    <row r="185" spans="2:3" x14ac:dyDescent="0.35">
      <c r="B185"/>
      <c r="C185"/>
    </row>
    <row r="186" spans="2:3" x14ac:dyDescent="0.35">
      <c r="B186"/>
      <c r="C186"/>
    </row>
    <row r="187" spans="2:3" x14ac:dyDescent="0.35">
      <c r="B187"/>
      <c r="C187"/>
    </row>
    <row r="188" spans="2:3" x14ac:dyDescent="0.35">
      <c r="B188"/>
      <c r="C188"/>
    </row>
    <row r="189" spans="2:3" x14ac:dyDescent="0.35">
      <c r="B189"/>
      <c r="C189"/>
    </row>
    <row r="190" spans="2:3" x14ac:dyDescent="0.35">
      <c r="B190"/>
      <c r="C190"/>
    </row>
    <row r="191" spans="2:3" x14ac:dyDescent="0.35">
      <c r="B191"/>
      <c r="C191"/>
    </row>
    <row r="192" spans="2:3" x14ac:dyDescent="0.35">
      <c r="B192"/>
      <c r="C192"/>
    </row>
    <row r="193" spans="2:3" x14ac:dyDescent="0.35">
      <c r="B193"/>
      <c r="C193"/>
    </row>
    <row r="194" spans="2:3" x14ac:dyDescent="0.35">
      <c r="B194"/>
      <c r="C194"/>
    </row>
    <row r="195" spans="2:3" x14ac:dyDescent="0.35">
      <c r="B195"/>
      <c r="C195"/>
    </row>
    <row r="196" spans="2:3" x14ac:dyDescent="0.35">
      <c r="B196"/>
      <c r="C196"/>
    </row>
    <row r="197" spans="2:3" x14ac:dyDescent="0.35">
      <c r="B197"/>
      <c r="C197"/>
    </row>
    <row r="198" spans="2:3" x14ac:dyDescent="0.35">
      <c r="B198"/>
      <c r="C198"/>
    </row>
    <row r="199" spans="2:3" x14ac:dyDescent="0.35">
      <c r="B199"/>
      <c r="C199"/>
    </row>
    <row r="200" spans="2:3" x14ac:dyDescent="0.35">
      <c r="B200"/>
      <c r="C200"/>
    </row>
    <row r="201" spans="2:3" x14ac:dyDescent="0.35">
      <c r="B201"/>
      <c r="C201"/>
    </row>
    <row r="202" spans="2:3" x14ac:dyDescent="0.35">
      <c r="B202"/>
      <c r="C202"/>
    </row>
    <row r="203" spans="2:3" x14ac:dyDescent="0.35">
      <c r="B203"/>
      <c r="C203"/>
    </row>
    <row r="204" spans="2:3" x14ac:dyDescent="0.35">
      <c r="B204"/>
      <c r="C204"/>
    </row>
    <row r="205" spans="2:3" x14ac:dyDescent="0.35">
      <c r="B205"/>
      <c r="C205"/>
    </row>
    <row r="206" spans="2:3" x14ac:dyDescent="0.35">
      <c r="B206"/>
      <c r="C206"/>
    </row>
    <row r="207" spans="2:3" x14ac:dyDescent="0.35">
      <c r="B207"/>
      <c r="C207"/>
    </row>
    <row r="208" spans="2:3" x14ac:dyDescent="0.35">
      <c r="B208"/>
      <c r="C208"/>
    </row>
    <row r="209" spans="2:3" x14ac:dyDescent="0.35">
      <c r="B209"/>
      <c r="C209"/>
    </row>
    <row r="210" spans="2:3" x14ac:dyDescent="0.35">
      <c r="B210"/>
      <c r="C210"/>
    </row>
    <row r="211" spans="2:3" x14ac:dyDescent="0.35">
      <c r="B211"/>
      <c r="C211"/>
    </row>
    <row r="212" spans="2:3" x14ac:dyDescent="0.35">
      <c r="B212"/>
      <c r="C212"/>
    </row>
    <row r="213" spans="2:3" x14ac:dyDescent="0.35">
      <c r="B213"/>
      <c r="C213"/>
    </row>
    <row r="214" spans="2:3" x14ac:dyDescent="0.35">
      <c r="B214"/>
      <c r="C214"/>
    </row>
    <row r="215" spans="2:3" x14ac:dyDescent="0.35">
      <c r="B215"/>
      <c r="C215"/>
    </row>
    <row r="216" spans="2:3" x14ac:dyDescent="0.35">
      <c r="B216"/>
      <c r="C216"/>
    </row>
    <row r="217" spans="2:3" x14ac:dyDescent="0.35">
      <c r="B217"/>
      <c r="C217"/>
    </row>
    <row r="218" spans="2:3" x14ac:dyDescent="0.35">
      <c r="B218"/>
      <c r="C218"/>
    </row>
    <row r="219" spans="2:3" x14ac:dyDescent="0.35">
      <c r="B219"/>
      <c r="C219"/>
    </row>
    <row r="220" spans="2:3" x14ac:dyDescent="0.35">
      <c r="B220"/>
      <c r="C220"/>
    </row>
    <row r="221" spans="2:3" x14ac:dyDescent="0.35">
      <c r="B221"/>
      <c r="C221"/>
    </row>
    <row r="222" spans="2:3" x14ac:dyDescent="0.35">
      <c r="B222"/>
      <c r="C222"/>
    </row>
    <row r="223" spans="2:3" x14ac:dyDescent="0.35">
      <c r="B223"/>
      <c r="C223"/>
    </row>
    <row r="224" spans="2:3" x14ac:dyDescent="0.35">
      <c r="B224"/>
      <c r="C224"/>
    </row>
    <row r="225" spans="2:3" x14ac:dyDescent="0.35">
      <c r="B225"/>
      <c r="C225"/>
    </row>
    <row r="226" spans="2:3" x14ac:dyDescent="0.35">
      <c r="B226"/>
      <c r="C226"/>
    </row>
    <row r="227" spans="2:3" x14ac:dyDescent="0.35">
      <c r="B227"/>
      <c r="C227"/>
    </row>
    <row r="228" spans="2:3" x14ac:dyDescent="0.35">
      <c r="B228"/>
      <c r="C228"/>
    </row>
    <row r="229" spans="2:3" x14ac:dyDescent="0.35">
      <c r="B229"/>
      <c r="C229"/>
    </row>
    <row r="230" spans="2:3" x14ac:dyDescent="0.35">
      <c r="B230"/>
      <c r="C230"/>
    </row>
    <row r="231" spans="2:3" x14ac:dyDescent="0.35">
      <c r="B231"/>
      <c r="C231"/>
    </row>
    <row r="232" spans="2:3" x14ac:dyDescent="0.35">
      <c r="B232"/>
      <c r="C232"/>
    </row>
    <row r="233" spans="2:3" x14ac:dyDescent="0.35">
      <c r="B233"/>
      <c r="C233"/>
    </row>
    <row r="234" spans="2:3" x14ac:dyDescent="0.35">
      <c r="B234"/>
      <c r="C234"/>
    </row>
    <row r="235" spans="2:3" x14ac:dyDescent="0.35">
      <c r="B235"/>
      <c r="C235"/>
    </row>
    <row r="236" spans="2:3" x14ac:dyDescent="0.35">
      <c r="B236"/>
      <c r="C236"/>
    </row>
    <row r="237" spans="2:3" x14ac:dyDescent="0.35">
      <c r="B237"/>
      <c r="C237"/>
    </row>
    <row r="238" spans="2:3" x14ac:dyDescent="0.35">
      <c r="B238"/>
      <c r="C238"/>
    </row>
    <row r="239" spans="2:3" x14ac:dyDescent="0.35">
      <c r="B239"/>
      <c r="C239"/>
    </row>
    <row r="240" spans="2:3" x14ac:dyDescent="0.35">
      <c r="B240"/>
      <c r="C240"/>
    </row>
    <row r="241" spans="2:3" x14ac:dyDescent="0.35">
      <c r="B241"/>
      <c r="C241"/>
    </row>
    <row r="242" spans="2:3" x14ac:dyDescent="0.35">
      <c r="B242"/>
      <c r="C242"/>
    </row>
    <row r="243" spans="2:3" x14ac:dyDescent="0.35">
      <c r="B243"/>
      <c r="C243"/>
    </row>
    <row r="244" spans="2:3" x14ac:dyDescent="0.35">
      <c r="B244"/>
      <c r="C244"/>
    </row>
    <row r="245" spans="2:3" x14ac:dyDescent="0.35">
      <c r="B245"/>
      <c r="C245"/>
    </row>
    <row r="246" spans="2:3" x14ac:dyDescent="0.35">
      <c r="B246"/>
      <c r="C246"/>
    </row>
    <row r="247" spans="2:3" x14ac:dyDescent="0.35">
      <c r="B247"/>
      <c r="C247"/>
    </row>
    <row r="248" spans="2:3" x14ac:dyDescent="0.35">
      <c r="B248"/>
      <c r="C248"/>
    </row>
    <row r="249" spans="2:3" x14ac:dyDescent="0.35">
      <c r="B249"/>
      <c r="C249"/>
    </row>
    <row r="250" spans="2:3" x14ac:dyDescent="0.35">
      <c r="B250"/>
      <c r="C250"/>
    </row>
    <row r="251" spans="2:3" x14ac:dyDescent="0.35">
      <c r="B251"/>
      <c r="C251"/>
    </row>
    <row r="252" spans="2:3" x14ac:dyDescent="0.35">
      <c r="B252"/>
      <c r="C252"/>
    </row>
    <row r="253" spans="2:3" x14ac:dyDescent="0.35">
      <c r="B253"/>
      <c r="C253"/>
    </row>
    <row r="254" spans="2:3" x14ac:dyDescent="0.35">
      <c r="B254"/>
      <c r="C254"/>
    </row>
    <row r="255" spans="2:3" x14ac:dyDescent="0.35">
      <c r="B255"/>
      <c r="C255"/>
    </row>
    <row r="256" spans="2:3" x14ac:dyDescent="0.35">
      <c r="B256"/>
      <c r="C256"/>
    </row>
    <row r="257" spans="2:3" x14ac:dyDescent="0.35">
      <c r="B257"/>
      <c r="C257"/>
    </row>
    <row r="258" spans="2:3" x14ac:dyDescent="0.35">
      <c r="B258"/>
      <c r="C258"/>
    </row>
    <row r="259" spans="2:3" x14ac:dyDescent="0.35">
      <c r="B259"/>
      <c r="C259"/>
    </row>
    <row r="260" spans="2:3" x14ac:dyDescent="0.35">
      <c r="B260"/>
      <c r="C260"/>
    </row>
    <row r="261" spans="2:3" x14ac:dyDescent="0.35">
      <c r="B261"/>
      <c r="C261"/>
    </row>
    <row r="262" spans="2:3" x14ac:dyDescent="0.35">
      <c r="B262"/>
      <c r="C262"/>
    </row>
    <row r="263" spans="2:3" x14ac:dyDescent="0.35">
      <c r="B263"/>
      <c r="C263"/>
    </row>
    <row r="264" spans="2:3" x14ac:dyDescent="0.35">
      <c r="B264"/>
      <c r="C264"/>
    </row>
    <row r="265" spans="2:3" x14ac:dyDescent="0.35">
      <c r="B265"/>
      <c r="C265"/>
    </row>
    <row r="266" spans="2:3" x14ac:dyDescent="0.35">
      <c r="B266"/>
      <c r="C266"/>
    </row>
    <row r="267" spans="2:3" x14ac:dyDescent="0.35">
      <c r="B267"/>
      <c r="C267"/>
    </row>
    <row r="268" spans="2:3" x14ac:dyDescent="0.35">
      <c r="B268"/>
      <c r="C268"/>
    </row>
    <row r="269" spans="2:3" x14ac:dyDescent="0.35">
      <c r="B269"/>
      <c r="C269"/>
    </row>
    <row r="270" spans="2:3" x14ac:dyDescent="0.35">
      <c r="B270"/>
      <c r="C270"/>
    </row>
    <row r="271" spans="2:3" x14ac:dyDescent="0.35">
      <c r="B271"/>
      <c r="C271"/>
    </row>
    <row r="272" spans="2:3" x14ac:dyDescent="0.35">
      <c r="B272"/>
      <c r="C272"/>
    </row>
    <row r="273" spans="2:3" x14ac:dyDescent="0.35">
      <c r="B273"/>
      <c r="C273"/>
    </row>
    <row r="274" spans="2:3" x14ac:dyDescent="0.35">
      <c r="B274"/>
      <c r="C274"/>
    </row>
    <row r="275" spans="2:3" x14ac:dyDescent="0.35">
      <c r="B275"/>
      <c r="C275"/>
    </row>
    <row r="276" spans="2:3" x14ac:dyDescent="0.35">
      <c r="B276"/>
      <c r="C276"/>
    </row>
    <row r="277" spans="2:3" x14ac:dyDescent="0.35">
      <c r="B277"/>
      <c r="C277"/>
    </row>
    <row r="278" spans="2:3" x14ac:dyDescent="0.35">
      <c r="B278"/>
      <c r="C278"/>
    </row>
    <row r="279" spans="2:3" x14ac:dyDescent="0.35">
      <c r="B279"/>
      <c r="C279"/>
    </row>
    <row r="280" spans="2:3" x14ac:dyDescent="0.35">
      <c r="B280"/>
      <c r="C280"/>
    </row>
    <row r="281" spans="2:3" x14ac:dyDescent="0.35">
      <c r="B281"/>
      <c r="C281"/>
    </row>
    <row r="282" spans="2:3" x14ac:dyDescent="0.35">
      <c r="B282"/>
      <c r="C282"/>
    </row>
    <row r="283" spans="2:3" x14ac:dyDescent="0.35">
      <c r="B283"/>
      <c r="C283"/>
    </row>
    <row r="284" spans="2:3" x14ac:dyDescent="0.35">
      <c r="B284"/>
      <c r="C284"/>
    </row>
    <row r="285" spans="2:3" x14ac:dyDescent="0.35">
      <c r="B285"/>
      <c r="C285"/>
    </row>
    <row r="286" spans="2:3" x14ac:dyDescent="0.35">
      <c r="B286"/>
      <c r="C286"/>
    </row>
    <row r="287" spans="2:3" x14ac:dyDescent="0.35">
      <c r="B287"/>
      <c r="C287"/>
    </row>
    <row r="288" spans="2:3" x14ac:dyDescent="0.35">
      <c r="B288"/>
      <c r="C288"/>
    </row>
    <row r="289" spans="2:3" x14ac:dyDescent="0.35">
      <c r="B289"/>
      <c r="C289"/>
    </row>
    <row r="290" spans="2:3" x14ac:dyDescent="0.35">
      <c r="B290"/>
      <c r="C290"/>
    </row>
    <row r="291" spans="2:3" x14ac:dyDescent="0.35">
      <c r="B291"/>
      <c r="C291"/>
    </row>
    <row r="292" spans="2:3" x14ac:dyDescent="0.35">
      <c r="B292"/>
      <c r="C292"/>
    </row>
    <row r="293" spans="2:3" x14ac:dyDescent="0.35">
      <c r="B293"/>
      <c r="C293"/>
    </row>
    <row r="294" spans="2:3" x14ac:dyDescent="0.35">
      <c r="B294"/>
      <c r="C294"/>
    </row>
    <row r="295" spans="2:3" x14ac:dyDescent="0.35">
      <c r="B295"/>
      <c r="C295"/>
    </row>
    <row r="296" spans="2:3" x14ac:dyDescent="0.35">
      <c r="B296"/>
      <c r="C296"/>
    </row>
    <row r="297" spans="2:3" x14ac:dyDescent="0.35">
      <c r="B297"/>
      <c r="C297"/>
    </row>
    <row r="298" spans="2:3" x14ac:dyDescent="0.35">
      <c r="B298"/>
      <c r="C298"/>
    </row>
    <row r="299" spans="2:3" x14ac:dyDescent="0.35">
      <c r="B299"/>
      <c r="C299"/>
    </row>
    <row r="300" spans="2:3" x14ac:dyDescent="0.35">
      <c r="B300"/>
      <c r="C300"/>
    </row>
    <row r="301" spans="2:3" x14ac:dyDescent="0.35">
      <c r="B301"/>
      <c r="C301"/>
    </row>
    <row r="302" spans="2:3" x14ac:dyDescent="0.35">
      <c r="B302"/>
      <c r="C302"/>
    </row>
    <row r="303" spans="2:3" x14ac:dyDescent="0.35">
      <c r="B303"/>
      <c r="C303"/>
    </row>
    <row r="304" spans="2:3" x14ac:dyDescent="0.35">
      <c r="B304"/>
      <c r="C304"/>
    </row>
    <row r="305" spans="2:3" x14ac:dyDescent="0.35">
      <c r="B305"/>
      <c r="C305"/>
    </row>
    <row r="306" spans="2:3" x14ac:dyDescent="0.35">
      <c r="B306"/>
      <c r="C306"/>
    </row>
    <row r="307" spans="2:3" x14ac:dyDescent="0.35">
      <c r="B307"/>
      <c r="C307"/>
    </row>
    <row r="308" spans="2:3" x14ac:dyDescent="0.35">
      <c r="B308"/>
      <c r="C308"/>
    </row>
    <row r="309" spans="2:3" x14ac:dyDescent="0.35">
      <c r="B309"/>
      <c r="C309"/>
    </row>
    <row r="310" spans="2:3" x14ac:dyDescent="0.35">
      <c r="B310"/>
      <c r="C310"/>
    </row>
    <row r="311" spans="2:3" x14ac:dyDescent="0.35">
      <c r="B311"/>
      <c r="C311"/>
    </row>
    <row r="312" spans="2:3" x14ac:dyDescent="0.35">
      <c r="B312"/>
      <c r="C312"/>
    </row>
    <row r="313" spans="2:3" x14ac:dyDescent="0.35">
      <c r="B313"/>
      <c r="C313"/>
    </row>
    <row r="314" spans="2:3" x14ac:dyDescent="0.35">
      <c r="B314"/>
      <c r="C314"/>
    </row>
    <row r="315" spans="2:3" x14ac:dyDescent="0.35">
      <c r="B315"/>
      <c r="C315"/>
    </row>
    <row r="316" spans="2:3" x14ac:dyDescent="0.35">
      <c r="B316"/>
      <c r="C316"/>
    </row>
    <row r="317" spans="2:3" x14ac:dyDescent="0.35">
      <c r="B317"/>
      <c r="C317"/>
    </row>
    <row r="318" spans="2:3" x14ac:dyDescent="0.35">
      <c r="B318"/>
      <c r="C318"/>
    </row>
    <row r="319" spans="2:3" x14ac:dyDescent="0.35">
      <c r="B319"/>
      <c r="C319"/>
    </row>
    <row r="320" spans="2:3" x14ac:dyDescent="0.35">
      <c r="B320"/>
      <c r="C320"/>
    </row>
    <row r="321" spans="2:3" x14ac:dyDescent="0.35">
      <c r="B321"/>
      <c r="C321"/>
    </row>
    <row r="322" spans="2:3" x14ac:dyDescent="0.35">
      <c r="B322"/>
      <c r="C322"/>
    </row>
    <row r="323" spans="2:3" x14ac:dyDescent="0.35">
      <c r="B323"/>
      <c r="C323"/>
    </row>
    <row r="324" spans="2:3" x14ac:dyDescent="0.35">
      <c r="B324"/>
      <c r="C324"/>
    </row>
    <row r="325" spans="2:3" x14ac:dyDescent="0.35">
      <c r="B325"/>
      <c r="C325"/>
    </row>
    <row r="326" spans="2:3" x14ac:dyDescent="0.35">
      <c r="B326"/>
      <c r="C326"/>
    </row>
    <row r="327" spans="2:3" x14ac:dyDescent="0.35">
      <c r="B327"/>
      <c r="C327"/>
    </row>
    <row r="328" spans="2:3" x14ac:dyDescent="0.35">
      <c r="B328"/>
      <c r="C328"/>
    </row>
    <row r="329" spans="2:3" x14ac:dyDescent="0.35">
      <c r="B329"/>
      <c r="C329"/>
    </row>
    <row r="330" spans="2:3" x14ac:dyDescent="0.35">
      <c r="B330"/>
      <c r="C330"/>
    </row>
    <row r="331" spans="2:3" x14ac:dyDescent="0.35">
      <c r="B331"/>
      <c r="C331"/>
    </row>
    <row r="332" spans="2:3" x14ac:dyDescent="0.35">
      <c r="B332"/>
      <c r="C332"/>
    </row>
    <row r="333" spans="2:3" x14ac:dyDescent="0.35">
      <c r="B333"/>
      <c r="C333"/>
    </row>
    <row r="334" spans="2:3" x14ac:dyDescent="0.35">
      <c r="B334"/>
      <c r="C334"/>
    </row>
    <row r="335" spans="2:3" x14ac:dyDescent="0.35">
      <c r="B335"/>
      <c r="C335"/>
    </row>
    <row r="336" spans="2:3" x14ac:dyDescent="0.35">
      <c r="B336"/>
      <c r="C336"/>
    </row>
    <row r="337" spans="2:3" x14ac:dyDescent="0.35">
      <c r="B337"/>
      <c r="C337"/>
    </row>
    <row r="338" spans="2:3" x14ac:dyDescent="0.35">
      <c r="B338"/>
      <c r="C338"/>
    </row>
    <row r="339" spans="2:3" x14ac:dyDescent="0.35">
      <c r="B339"/>
      <c r="C339"/>
    </row>
    <row r="340" spans="2:3" x14ac:dyDescent="0.35">
      <c r="B340"/>
      <c r="C340"/>
    </row>
    <row r="341" spans="2:3" x14ac:dyDescent="0.35">
      <c r="B341"/>
      <c r="C341"/>
    </row>
    <row r="342" spans="2:3" x14ac:dyDescent="0.35">
      <c r="B342"/>
      <c r="C342"/>
    </row>
    <row r="343" spans="2:3" x14ac:dyDescent="0.35">
      <c r="B343"/>
      <c r="C343"/>
    </row>
    <row r="344" spans="2:3" x14ac:dyDescent="0.35">
      <c r="B344"/>
      <c r="C344"/>
    </row>
    <row r="345" spans="2:3" x14ac:dyDescent="0.35">
      <c r="B345"/>
      <c r="C345"/>
    </row>
    <row r="346" spans="2:3" x14ac:dyDescent="0.35">
      <c r="B346"/>
      <c r="C346"/>
    </row>
    <row r="347" spans="2:3" x14ac:dyDescent="0.35">
      <c r="B347"/>
      <c r="C347"/>
    </row>
    <row r="348" spans="2:3" x14ac:dyDescent="0.35">
      <c r="B348"/>
      <c r="C348"/>
    </row>
    <row r="349" spans="2:3" x14ac:dyDescent="0.35">
      <c r="B349"/>
      <c r="C349"/>
    </row>
    <row r="350" spans="2:3" x14ac:dyDescent="0.35">
      <c r="B350"/>
      <c r="C350"/>
    </row>
    <row r="351" spans="2:3" x14ac:dyDescent="0.35">
      <c r="B351"/>
      <c r="C351"/>
    </row>
    <row r="352" spans="2:3" x14ac:dyDescent="0.35">
      <c r="B352"/>
      <c r="C352"/>
    </row>
    <row r="353" spans="2:3" x14ac:dyDescent="0.35">
      <c r="B353"/>
      <c r="C353"/>
    </row>
    <row r="354" spans="2:3" x14ac:dyDescent="0.35">
      <c r="B354"/>
      <c r="C354"/>
    </row>
    <row r="355" spans="2:3" x14ac:dyDescent="0.35">
      <c r="B355"/>
      <c r="C355"/>
    </row>
    <row r="356" spans="2:3" x14ac:dyDescent="0.35">
      <c r="B356"/>
      <c r="C356"/>
    </row>
    <row r="357" spans="2:3" x14ac:dyDescent="0.35">
      <c r="B357"/>
      <c r="C357"/>
    </row>
    <row r="358" spans="2:3" x14ac:dyDescent="0.35">
      <c r="B358"/>
      <c r="C358"/>
    </row>
    <row r="359" spans="2:3" x14ac:dyDescent="0.35">
      <c r="B359"/>
      <c r="C359"/>
    </row>
    <row r="360" spans="2:3" x14ac:dyDescent="0.35">
      <c r="B360"/>
      <c r="C360"/>
    </row>
    <row r="361" spans="2:3" x14ac:dyDescent="0.35">
      <c r="B361"/>
      <c r="C361"/>
    </row>
    <row r="362" spans="2:3" x14ac:dyDescent="0.35">
      <c r="B362"/>
      <c r="C362"/>
    </row>
    <row r="363" spans="2:3" x14ac:dyDescent="0.35">
      <c r="B363"/>
      <c r="C363"/>
    </row>
    <row r="364" spans="2:3" x14ac:dyDescent="0.35">
      <c r="B364"/>
      <c r="C364"/>
    </row>
    <row r="365" spans="2:3" x14ac:dyDescent="0.35">
      <c r="B365"/>
      <c r="C365"/>
    </row>
    <row r="366" spans="2:3" x14ac:dyDescent="0.35">
      <c r="B366"/>
      <c r="C366"/>
    </row>
    <row r="367" spans="2:3" x14ac:dyDescent="0.35">
      <c r="B367"/>
      <c r="C367"/>
    </row>
    <row r="368" spans="2:3" x14ac:dyDescent="0.35">
      <c r="B368"/>
      <c r="C368"/>
    </row>
    <row r="369" spans="2:3" x14ac:dyDescent="0.35">
      <c r="B369"/>
      <c r="C369"/>
    </row>
    <row r="370" spans="2:3" x14ac:dyDescent="0.35">
      <c r="B370"/>
      <c r="C370"/>
    </row>
    <row r="371" spans="2:3" x14ac:dyDescent="0.35">
      <c r="B371"/>
      <c r="C371"/>
    </row>
    <row r="372" spans="2:3" x14ac:dyDescent="0.35">
      <c r="B372"/>
      <c r="C372"/>
    </row>
    <row r="373" spans="2:3" x14ac:dyDescent="0.35">
      <c r="B373"/>
      <c r="C373"/>
    </row>
    <row r="374" spans="2:3" x14ac:dyDescent="0.35">
      <c r="B374"/>
      <c r="C374"/>
    </row>
    <row r="375" spans="2:3" x14ac:dyDescent="0.35">
      <c r="B375"/>
      <c r="C375"/>
    </row>
    <row r="376" spans="2:3" x14ac:dyDescent="0.35">
      <c r="B376"/>
      <c r="C376"/>
    </row>
    <row r="377" spans="2:3" x14ac:dyDescent="0.35">
      <c r="B377"/>
      <c r="C377"/>
    </row>
    <row r="378" spans="2:3" x14ac:dyDescent="0.35">
      <c r="B378"/>
      <c r="C378"/>
    </row>
    <row r="379" spans="2:3" x14ac:dyDescent="0.35">
      <c r="B379"/>
      <c r="C379"/>
    </row>
    <row r="380" spans="2:3" x14ac:dyDescent="0.35">
      <c r="B380"/>
      <c r="C380"/>
    </row>
    <row r="381" spans="2:3" x14ac:dyDescent="0.35">
      <c r="B381"/>
      <c r="C381"/>
    </row>
    <row r="382" spans="2:3" x14ac:dyDescent="0.35">
      <c r="B382"/>
      <c r="C382"/>
    </row>
    <row r="383" spans="2:3" x14ac:dyDescent="0.35">
      <c r="B383"/>
      <c r="C383"/>
    </row>
    <row r="384" spans="2:3" x14ac:dyDescent="0.35">
      <c r="B384"/>
      <c r="C384"/>
    </row>
    <row r="385" spans="2:3" x14ac:dyDescent="0.35">
      <c r="B385"/>
      <c r="C385"/>
    </row>
    <row r="386" spans="2:3" x14ac:dyDescent="0.35">
      <c r="B386"/>
      <c r="C386"/>
    </row>
    <row r="387" spans="2:3" x14ac:dyDescent="0.35">
      <c r="B387"/>
      <c r="C387"/>
    </row>
    <row r="388" spans="2:3" x14ac:dyDescent="0.35">
      <c r="B388"/>
      <c r="C388"/>
    </row>
    <row r="389" spans="2:3" x14ac:dyDescent="0.35">
      <c r="B389"/>
      <c r="C389"/>
    </row>
    <row r="390" spans="2:3" x14ac:dyDescent="0.35">
      <c r="B390"/>
      <c r="C390"/>
    </row>
    <row r="391" spans="2:3" x14ac:dyDescent="0.35">
      <c r="B391"/>
      <c r="C391"/>
    </row>
    <row r="392" spans="2:3" x14ac:dyDescent="0.35">
      <c r="B392"/>
      <c r="C392"/>
    </row>
    <row r="393" spans="2:3" x14ac:dyDescent="0.35">
      <c r="B393"/>
      <c r="C393"/>
    </row>
    <row r="394" spans="2:3" x14ac:dyDescent="0.35">
      <c r="B394"/>
      <c r="C394"/>
    </row>
    <row r="395" spans="2:3" x14ac:dyDescent="0.35">
      <c r="B395"/>
      <c r="C395"/>
    </row>
    <row r="396" spans="2:3" x14ac:dyDescent="0.35">
      <c r="B396"/>
      <c r="C396"/>
    </row>
    <row r="397" spans="2:3" x14ac:dyDescent="0.35">
      <c r="B397"/>
      <c r="C397"/>
    </row>
    <row r="398" spans="2:3" x14ac:dyDescent="0.35">
      <c r="B398"/>
      <c r="C398"/>
    </row>
    <row r="399" spans="2:3" x14ac:dyDescent="0.35">
      <c r="B399"/>
      <c r="C399"/>
    </row>
    <row r="400" spans="2:3" x14ac:dyDescent="0.35">
      <c r="B400"/>
      <c r="C400"/>
    </row>
    <row r="401" spans="2:3" x14ac:dyDescent="0.35">
      <c r="B401"/>
      <c r="C401"/>
    </row>
    <row r="402" spans="2:3" x14ac:dyDescent="0.35">
      <c r="B402"/>
      <c r="C402"/>
    </row>
    <row r="403" spans="2:3" x14ac:dyDescent="0.35">
      <c r="B403"/>
      <c r="C403"/>
    </row>
    <row r="404" spans="2:3" x14ac:dyDescent="0.35">
      <c r="B404"/>
      <c r="C404"/>
    </row>
    <row r="405" spans="2:3" x14ac:dyDescent="0.35">
      <c r="B405"/>
      <c r="C405"/>
    </row>
    <row r="406" spans="2:3" x14ac:dyDescent="0.35">
      <c r="B406"/>
      <c r="C406"/>
    </row>
    <row r="407" spans="2:3" x14ac:dyDescent="0.35">
      <c r="B407"/>
      <c r="C407"/>
    </row>
    <row r="408" spans="2:3" x14ac:dyDescent="0.35">
      <c r="B408"/>
      <c r="C408"/>
    </row>
    <row r="409" spans="2:3" x14ac:dyDescent="0.35">
      <c r="B409"/>
      <c r="C409"/>
    </row>
    <row r="410" spans="2:3" x14ac:dyDescent="0.35">
      <c r="B410"/>
      <c r="C410"/>
    </row>
    <row r="411" spans="2:3" x14ac:dyDescent="0.35">
      <c r="B411"/>
      <c r="C411"/>
    </row>
    <row r="412" spans="2:3" x14ac:dyDescent="0.35">
      <c r="B412"/>
      <c r="C412"/>
    </row>
    <row r="413" spans="2:3" x14ac:dyDescent="0.35">
      <c r="B413"/>
      <c r="C413"/>
    </row>
    <row r="414" spans="2:3" x14ac:dyDescent="0.35">
      <c r="B414"/>
      <c r="C414"/>
    </row>
    <row r="415" spans="2:3" x14ac:dyDescent="0.35">
      <c r="B415"/>
      <c r="C415"/>
    </row>
    <row r="416" spans="2:3" x14ac:dyDescent="0.35">
      <c r="B416"/>
      <c r="C416"/>
    </row>
    <row r="417" spans="2:3" x14ac:dyDescent="0.35">
      <c r="B417"/>
      <c r="C417"/>
    </row>
    <row r="418" spans="2:3" x14ac:dyDescent="0.35">
      <c r="B418"/>
      <c r="C418"/>
    </row>
    <row r="419" spans="2:3" x14ac:dyDescent="0.35">
      <c r="B419"/>
      <c r="C419"/>
    </row>
    <row r="420" spans="2:3" x14ac:dyDescent="0.35">
      <c r="B420"/>
      <c r="C420"/>
    </row>
    <row r="421" spans="2:3" x14ac:dyDescent="0.35">
      <c r="B421"/>
      <c r="C421"/>
    </row>
    <row r="422" spans="2:3" x14ac:dyDescent="0.35">
      <c r="B422"/>
      <c r="C422"/>
    </row>
    <row r="423" spans="2:3" x14ac:dyDescent="0.35">
      <c r="B423"/>
      <c r="C423"/>
    </row>
    <row r="424" spans="2:3" x14ac:dyDescent="0.35">
      <c r="B424"/>
      <c r="C424"/>
    </row>
    <row r="425" spans="2:3" x14ac:dyDescent="0.35">
      <c r="B425"/>
      <c r="C425"/>
    </row>
    <row r="426" spans="2:3" x14ac:dyDescent="0.35">
      <c r="B426"/>
      <c r="C426"/>
    </row>
    <row r="427" spans="2:3" x14ac:dyDescent="0.35">
      <c r="B427"/>
      <c r="C427"/>
    </row>
    <row r="428" spans="2:3" x14ac:dyDescent="0.35">
      <c r="B428"/>
      <c r="C428"/>
    </row>
    <row r="429" spans="2:3" x14ac:dyDescent="0.35">
      <c r="B429"/>
      <c r="C429"/>
    </row>
    <row r="430" spans="2:3" x14ac:dyDescent="0.35">
      <c r="B430"/>
      <c r="C430"/>
    </row>
    <row r="431" spans="2:3" x14ac:dyDescent="0.35">
      <c r="B431"/>
      <c r="C431"/>
    </row>
    <row r="432" spans="2:3" x14ac:dyDescent="0.35">
      <c r="B432"/>
      <c r="C432"/>
    </row>
    <row r="433" spans="2:3" x14ac:dyDescent="0.35">
      <c r="B433"/>
      <c r="C433"/>
    </row>
    <row r="434" spans="2:3" x14ac:dyDescent="0.35">
      <c r="B434"/>
      <c r="C434"/>
    </row>
    <row r="435" spans="2:3" x14ac:dyDescent="0.35">
      <c r="B435"/>
      <c r="C435"/>
    </row>
    <row r="436" spans="2:3" x14ac:dyDescent="0.35">
      <c r="B436"/>
      <c r="C436"/>
    </row>
    <row r="437" spans="2:3" x14ac:dyDescent="0.35">
      <c r="B437"/>
      <c r="C437"/>
    </row>
    <row r="438" spans="2:3" x14ac:dyDescent="0.35">
      <c r="B438"/>
      <c r="C438"/>
    </row>
    <row r="439" spans="2:3" x14ac:dyDescent="0.35">
      <c r="B439"/>
      <c r="C439"/>
    </row>
    <row r="440" spans="2:3" x14ac:dyDescent="0.35">
      <c r="B440"/>
      <c r="C440"/>
    </row>
    <row r="441" spans="2:3" x14ac:dyDescent="0.35">
      <c r="B441"/>
      <c r="C441"/>
    </row>
    <row r="442" spans="2:3" x14ac:dyDescent="0.35">
      <c r="B442"/>
      <c r="C442"/>
    </row>
    <row r="443" spans="2:3" x14ac:dyDescent="0.35">
      <c r="B443"/>
      <c r="C443"/>
    </row>
    <row r="444" spans="2:3" x14ac:dyDescent="0.35">
      <c r="B444"/>
      <c r="C444"/>
    </row>
    <row r="445" spans="2:3" x14ac:dyDescent="0.35">
      <c r="B445"/>
      <c r="C445"/>
    </row>
    <row r="446" spans="2:3" x14ac:dyDescent="0.35">
      <c r="B446"/>
      <c r="C446"/>
    </row>
    <row r="447" spans="2:3" x14ac:dyDescent="0.35">
      <c r="B447"/>
      <c r="C447"/>
    </row>
    <row r="448" spans="2:3" x14ac:dyDescent="0.35">
      <c r="B448"/>
      <c r="C448"/>
    </row>
    <row r="449" spans="2:3" x14ac:dyDescent="0.35">
      <c r="B449"/>
      <c r="C449"/>
    </row>
    <row r="450" spans="2:3" x14ac:dyDescent="0.35">
      <c r="B450"/>
      <c r="C450"/>
    </row>
    <row r="451" spans="2:3" x14ac:dyDescent="0.35">
      <c r="B451"/>
      <c r="C451"/>
    </row>
    <row r="452" spans="2:3" x14ac:dyDescent="0.35">
      <c r="B452"/>
      <c r="C452"/>
    </row>
    <row r="453" spans="2:3" x14ac:dyDescent="0.35">
      <c r="B453"/>
      <c r="C453"/>
    </row>
    <row r="454" spans="2:3" x14ac:dyDescent="0.35">
      <c r="B454"/>
      <c r="C454"/>
    </row>
    <row r="455" spans="2:3" x14ac:dyDescent="0.35">
      <c r="B455"/>
      <c r="C455"/>
    </row>
    <row r="456" spans="2:3" x14ac:dyDescent="0.35">
      <c r="B456"/>
      <c r="C456"/>
    </row>
    <row r="457" spans="2:3" x14ac:dyDescent="0.35">
      <c r="B457"/>
      <c r="C457"/>
    </row>
    <row r="458" spans="2:3" x14ac:dyDescent="0.35">
      <c r="B458"/>
      <c r="C458"/>
    </row>
    <row r="459" spans="2:3" x14ac:dyDescent="0.35">
      <c r="B459"/>
      <c r="C459"/>
    </row>
    <row r="460" spans="2:3" x14ac:dyDescent="0.35">
      <c r="B460"/>
      <c r="C460"/>
    </row>
    <row r="461" spans="2:3" x14ac:dyDescent="0.35">
      <c r="B461"/>
      <c r="C461"/>
    </row>
    <row r="462" spans="2:3" x14ac:dyDescent="0.35">
      <c r="B462"/>
      <c r="C462"/>
    </row>
    <row r="463" spans="2:3" x14ac:dyDescent="0.35">
      <c r="B463"/>
      <c r="C463"/>
    </row>
    <row r="464" spans="2:3" x14ac:dyDescent="0.35">
      <c r="B464"/>
      <c r="C464"/>
    </row>
    <row r="465" spans="2:3" x14ac:dyDescent="0.35">
      <c r="B465"/>
      <c r="C465"/>
    </row>
    <row r="466" spans="2:3" x14ac:dyDescent="0.35">
      <c r="B466"/>
      <c r="C466"/>
    </row>
    <row r="467" spans="2:3" x14ac:dyDescent="0.35">
      <c r="B467"/>
      <c r="C467"/>
    </row>
    <row r="468" spans="2:3" x14ac:dyDescent="0.35">
      <c r="B468"/>
      <c r="C468"/>
    </row>
    <row r="469" spans="2:3" x14ac:dyDescent="0.35">
      <c r="B469"/>
      <c r="C469"/>
    </row>
    <row r="470" spans="2:3" x14ac:dyDescent="0.35">
      <c r="B470"/>
      <c r="C470"/>
    </row>
    <row r="471" spans="2:3" x14ac:dyDescent="0.35">
      <c r="B471"/>
      <c r="C471"/>
    </row>
    <row r="472" spans="2:3" x14ac:dyDescent="0.35">
      <c r="B472"/>
      <c r="C472"/>
    </row>
    <row r="473" spans="2:3" x14ac:dyDescent="0.35">
      <c r="B473"/>
      <c r="C473"/>
    </row>
    <row r="474" spans="2:3" x14ac:dyDescent="0.35">
      <c r="B474"/>
      <c r="C474"/>
    </row>
    <row r="475" spans="2:3" x14ac:dyDescent="0.35">
      <c r="B475"/>
      <c r="C475"/>
    </row>
    <row r="476" spans="2:3" x14ac:dyDescent="0.35">
      <c r="B476"/>
      <c r="C476"/>
    </row>
    <row r="477" spans="2:3" x14ac:dyDescent="0.35">
      <c r="B477"/>
      <c r="C477"/>
    </row>
    <row r="478" spans="2:3" x14ac:dyDescent="0.35">
      <c r="B478"/>
      <c r="C478"/>
    </row>
    <row r="479" spans="2:3" x14ac:dyDescent="0.35">
      <c r="B479"/>
      <c r="C479"/>
    </row>
    <row r="480" spans="2:3" x14ac:dyDescent="0.35">
      <c r="B480"/>
      <c r="C480"/>
    </row>
    <row r="481" spans="2:3" x14ac:dyDescent="0.35">
      <c r="B481"/>
      <c r="C481"/>
    </row>
    <row r="482" spans="2:3" x14ac:dyDescent="0.35">
      <c r="B482"/>
      <c r="C482"/>
    </row>
    <row r="483" spans="2:3" x14ac:dyDescent="0.35">
      <c r="B483"/>
      <c r="C483"/>
    </row>
    <row r="484" spans="2:3" x14ac:dyDescent="0.35">
      <c r="B484"/>
      <c r="C484"/>
    </row>
    <row r="485" spans="2:3" x14ac:dyDescent="0.35">
      <c r="B485"/>
      <c r="C485"/>
    </row>
    <row r="486" spans="2:3" x14ac:dyDescent="0.35">
      <c r="B486"/>
      <c r="C486"/>
    </row>
    <row r="487" spans="2:3" x14ac:dyDescent="0.35">
      <c r="B487"/>
      <c r="C487"/>
    </row>
    <row r="488" spans="2:3" x14ac:dyDescent="0.35">
      <c r="B488"/>
      <c r="C488"/>
    </row>
    <row r="489" spans="2:3" x14ac:dyDescent="0.35">
      <c r="B489"/>
      <c r="C489"/>
    </row>
    <row r="490" spans="2:3" x14ac:dyDescent="0.35">
      <c r="B490"/>
      <c r="C490"/>
    </row>
    <row r="491" spans="2:3" x14ac:dyDescent="0.35">
      <c r="B491"/>
      <c r="C491"/>
    </row>
    <row r="492" spans="2:3" x14ac:dyDescent="0.35">
      <c r="B492"/>
      <c r="C492"/>
    </row>
    <row r="493" spans="2:3" x14ac:dyDescent="0.35">
      <c r="B493"/>
      <c r="C493"/>
    </row>
    <row r="494" spans="2:3" x14ac:dyDescent="0.35">
      <c r="B494"/>
      <c r="C494"/>
    </row>
    <row r="495" spans="2:3" x14ac:dyDescent="0.35">
      <c r="B495"/>
      <c r="C495"/>
    </row>
    <row r="496" spans="2:3" x14ac:dyDescent="0.35">
      <c r="B496"/>
      <c r="C496"/>
    </row>
    <row r="497" spans="2:3" x14ac:dyDescent="0.35">
      <c r="B497"/>
      <c r="C497"/>
    </row>
    <row r="498" spans="2:3" x14ac:dyDescent="0.35">
      <c r="B498"/>
      <c r="C498"/>
    </row>
    <row r="499" spans="2:3" x14ac:dyDescent="0.35">
      <c r="B499"/>
      <c r="C499"/>
    </row>
    <row r="500" spans="2:3" x14ac:dyDescent="0.35">
      <c r="B500"/>
      <c r="C500"/>
    </row>
    <row r="501" spans="2:3" x14ac:dyDescent="0.35">
      <c r="B501"/>
      <c r="C501"/>
    </row>
    <row r="502" spans="2:3" x14ac:dyDescent="0.35">
      <c r="B502"/>
      <c r="C502"/>
    </row>
    <row r="503" spans="2:3" x14ac:dyDescent="0.35">
      <c r="B503"/>
      <c r="C503"/>
    </row>
    <row r="504" spans="2:3" x14ac:dyDescent="0.35">
      <c r="B504"/>
      <c r="C504"/>
    </row>
    <row r="505" spans="2:3" x14ac:dyDescent="0.35">
      <c r="B505"/>
      <c r="C505"/>
    </row>
    <row r="506" spans="2:3" x14ac:dyDescent="0.35">
      <c r="B506"/>
      <c r="C506"/>
    </row>
    <row r="507" spans="2:3" x14ac:dyDescent="0.35">
      <c r="B507"/>
      <c r="C507"/>
    </row>
    <row r="508" spans="2:3" x14ac:dyDescent="0.35">
      <c r="B508"/>
      <c r="C508"/>
    </row>
    <row r="509" spans="2:3" x14ac:dyDescent="0.35">
      <c r="B509"/>
      <c r="C509"/>
    </row>
    <row r="510" spans="2:3" x14ac:dyDescent="0.35">
      <c r="B510"/>
      <c r="C510"/>
    </row>
    <row r="511" spans="2:3" x14ac:dyDescent="0.35">
      <c r="B511"/>
      <c r="C511"/>
    </row>
    <row r="512" spans="2:3" x14ac:dyDescent="0.35">
      <c r="B512"/>
      <c r="C512"/>
    </row>
    <row r="513" spans="2:3" x14ac:dyDescent="0.35">
      <c r="B513"/>
      <c r="C513"/>
    </row>
    <row r="514" spans="2:3" x14ac:dyDescent="0.35">
      <c r="B514"/>
      <c r="C514"/>
    </row>
    <row r="515" spans="2:3" x14ac:dyDescent="0.35">
      <c r="B515"/>
      <c r="C515"/>
    </row>
    <row r="516" spans="2:3" x14ac:dyDescent="0.35">
      <c r="B516"/>
      <c r="C516"/>
    </row>
    <row r="517" spans="2:3" x14ac:dyDescent="0.35">
      <c r="B517"/>
      <c r="C517"/>
    </row>
    <row r="518" spans="2:3" x14ac:dyDescent="0.35">
      <c r="B518"/>
      <c r="C518"/>
    </row>
    <row r="519" spans="2:3" x14ac:dyDescent="0.35">
      <c r="B519"/>
      <c r="C519"/>
    </row>
    <row r="520" spans="2:3" x14ac:dyDescent="0.35">
      <c r="B520"/>
      <c r="C520"/>
    </row>
    <row r="521" spans="2:3" x14ac:dyDescent="0.35">
      <c r="B521"/>
      <c r="C521"/>
    </row>
    <row r="522" spans="2:3" x14ac:dyDescent="0.35">
      <c r="B522"/>
      <c r="C522"/>
    </row>
    <row r="523" spans="2:3" x14ac:dyDescent="0.35">
      <c r="B523"/>
      <c r="C523"/>
    </row>
    <row r="524" spans="2:3" x14ac:dyDescent="0.35">
      <c r="B524"/>
      <c r="C524"/>
    </row>
    <row r="525" spans="2:3" x14ac:dyDescent="0.35">
      <c r="B525"/>
      <c r="C525"/>
    </row>
    <row r="526" spans="2:3" x14ac:dyDescent="0.35">
      <c r="B526"/>
      <c r="C526"/>
    </row>
    <row r="527" spans="2:3" x14ac:dyDescent="0.35">
      <c r="B527"/>
      <c r="C527"/>
    </row>
    <row r="528" spans="2:3" x14ac:dyDescent="0.35">
      <c r="B528"/>
      <c r="C528"/>
    </row>
    <row r="529" spans="2:3" x14ac:dyDescent="0.35">
      <c r="B529"/>
      <c r="C529"/>
    </row>
    <row r="530" spans="2:3" x14ac:dyDescent="0.35">
      <c r="B530"/>
      <c r="C530"/>
    </row>
    <row r="531" spans="2:3" x14ac:dyDescent="0.35">
      <c r="B531"/>
      <c r="C531"/>
    </row>
    <row r="532" spans="2:3" x14ac:dyDescent="0.35">
      <c r="B532"/>
      <c r="C532"/>
    </row>
    <row r="533" spans="2:3" x14ac:dyDescent="0.35">
      <c r="B533"/>
      <c r="C533"/>
    </row>
    <row r="534" spans="2:3" x14ac:dyDescent="0.35">
      <c r="B534"/>
      <c r="C534"/>
    </row>
    <row r="535" spans="2:3" x14ac:dyDescent="0.35">
      <c r="B535"/>
      <c r="C535"/>
    </row>
    <row r="536" spans="2:3" x14ac:dyDescent="0.35">
      <c r="B536"/>
      <c r="C536"/>
    </row>
    <row r="537" spans="2:3" x14ac:dyDescent="0.35">
      <c r="B537"/>
      <c r="C537"/>
    </row>
    <row r="538" spans="2:3" x14ac:dyDescent="0.35">
      <c r="B538"/>
      <c r="C538"/>
    </row>
    <row r="539" spans="2:3" x14ac:dyDescent="0.35">
      <c r="B539"/>
      <c r="C539"/>
    </row>
    <row r="540" spans="2:3" x14ac:dyDescent="0.35">
      <c r="B540"/>
      <c r="C540"/>
    </row>
    <row r="541" spans="2:3" x14ac:dyDescent="0.35">
      <c r="B541"/>
      <c r="C541"/>
    </row>
    <row r="542" spans="2:3" x14ac:dyDescent="0.35">
      <c r="B542"/>
      <c r="C542"/>
    </row>
    <row r="543" spans="2:3" x14ac:dyDescent="0.35">
      <c r="B543"/>
      <c r="C543"/>
    </row>
    <row r="544" spans="2:3" x14ac:dyDescent="0.35">
      <c r="B544"/>
      <c r="C544"/>
    </row>
    <row r="545" spans="2:3" x14ac:dyDescent="0.35">
      <c r="B545"/>
      <c r="C545"/>
    </row>
    <row r="546" spans="2:3" x14ac:dyDescent="0.35">
      <c r="B546"/>
      <c r="C546"/>
    </row>
    <row r="547" spans="2:3" x14ac:dyDescent="0.35">
      <c r="B547"/>
      <c r="C547"/>
    </row>
    <row r="548" spans="2:3" x14ac:dyDescent="0.35">
      <c r="B548"/>
      <c r="C548"/>
    </row>
    <row r="549" spans="2:3" x14ac:dyDescent="0.35">
      <c r="B549"/>
      <c r="C549"/>
    </row>
    <row r="550" spans="2:3" x14ac:dyDescent="0.35">
      <c r="B550"/>
      <c r="C550"/>
    </row>
    <row r="551" spans="2:3" x14ac:dyDescent="0.35">
      <c r="B551"/>
      <c r="C551"/>
    </row>
    <row r="552" spans="2:3" x14ac:dyDescent="0.35">
      <c r="B552"/>
      <c r="C552"/>
    </row>
    <row r="553" spans="2:3" x14ac:dyDescent="0.35">
      <c r="B553"/>
      <c r="C553"/>
    </row>
    <row r="554" spans="2:3" x14ac:dyDescent="0.35">
      <c r="B554"/>
      <c r="C554"/>
    </row>
    <row r="555" spans="2:3" x14ac:dyDescent="0.35">
      <c r="B555"/>
      <c r="C555"/>
    </row>
    <row r="556" spans="2:3" x14ac:dyDescent="0.35">
      <c r="B556"/>
      <c r="C556"/>
    </row>
    <row r="557" spans="2:3" x14ac:dyDescent="0.35">
      <c r="B557"/>
      <c r="C557"/>
    </row>
    <row r="558" spans="2:3" x14ac:dyDescent="0.35">
      <c r="B558"/>
      <c r="C558"/>
    </row>
    <row r="559" spans="2:3" x14ac:dyDescent="0.35">
      <c r="B559"/>
      <c r="C559"/>
    </row>
    <row r="560" spans="2:3" x14ac:dyDescent="0.35">
      <c r="B560"/>
      <c r="C560"/>
    </row>
    <row r="561" spans="2:3" x14ac:dyDescent="0.35">
      <c r="B561"/>
      <c r="C561"/>
    </row>
    <row r="562" spans="2:3" x14ac:dyDescent="0.35">
      <c r="B562"/>
      <c r="C562"/>
    </row>
    <row r="563" spans="2:3" x14ac:dyDescent="0.35">
      <c r="B563"/>
      <c r="C563"/>
    </row>
    <row r="564" spans="2:3" x14ac:dyDescent="0.35">
      <c r="B564"/>
      <c r="C564"/>
    </row>
    <row r="565" spans="2:3" x14ac:dyDescent="0.35">
      <c r="B565"/>
      <c r="C565"/>
    </row>
    <row r="566" spans="2:3" x14ac:dyDescent="0.35">
      <c r="B566"/>
      <c r="C566"/>
    </row>
    <row r="567" spans="2:3" x14ac:dyDescent="0.35">
      <c r="B567"/>
      <c r="C567"/>
    </row>
    <row r="568" spans="2:3" x14ac:dyDescent="0.35">
      <c r="B568"/>
      <c r="C568"/>
    </row>
    <row r="569" spans="2:3" x14ac:dyDescent="0.35">
      <c r="B569"/>
      <c r="C569"/>
    </row>
    <row r="570" spans="2:3" x14ac:dyDescent="0.35">
      <c r="B570"/>
      <c r="C570"/>
    </row>
    <row r="571" spans="2:3" x14ac:dyDescent="0.35">
      <c r="B571"/>
      <c r="C571"/>
    </row>
    <row r="572" spans="2:3" x14ac:dyDescent="0.35">
      <c r="B572"/>
      <c r="C572"/>
    </row>
    <row r="573" spans="2:3" x14ac:dyDescent="0.35">
      <c r="B573"/>
      <c r="C573"/>
    </row>
    <row r="574" spans="2:3" x14ac:dyDescent="0.35">
      <c r="B574"/>
      <c r="C574"/>
    </row>
    <row r="575" spans="2:3" x14ac:dyDescent="0.35">
      <c r="B575"/>
      <c r="C575"/>
    </row>
    <row r="576" spans="2:3" x14ac:dyDescent="0.35">
      <c r="B576"/>
      <c r="C576"/>
    </row>
    <row r="577" spans="2:3" x14ac:dyDescent="0.35">
      <c r="B577"/>
      <c r="C577"/>
    </row>
    <row r="578" spans="2:3" x14ac:dyDescent="0.35">
      <c r="B578"/>
      <c r="C578"/>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D11A8-14CA-4BE9-9314-7805787D0671}">
  <sheetPr>
    <tabColor theme="9" tint="-0.249977111117893"/>
  </sheetPr>
  <dimension ref="B1:E23"/>
  <sheetViews>
    <sheetView showGridLines="0" workbookViewId="0">
      <selection activeCell="H34" sqref="H34"/>
    </sheetView>
  </sheetViews>
  <sheetFormatPr defaultRowHeight="14.5" x14ac:dyDescent="0.35"/>
  <cols>
    <col min="2" max="2" width="14" style="160" customWidth="1"/>
    <col min="3" max="3" width="35.453125" customWidth="1"/>
    <col min="4" max="4" width="40.1796875" style="24" customWidth="1"/>
    <col min="5" max="5" width="42.7265625" customWidth="1"/>
  </cols>
  <sheetData>
    <row r="1" spans="2:5" ht="15" customHeight="1" x14ac:dyDescent="0.35"/>
    <row r="2" spans="2:5" ht="15" customHeight="1" x14ac:dyDescent="0.35">
      <c r="B2" s="161" t="s">
        <v>1280</v>
      </c>
      <c r="C2" s="162" t="s">
        <v>2078</v>
      </c>
      <c r="D2" s="162" t="s">
        <v>2079</v>
      </c>
      <c r="E2" s="163" t="s">
        <v>2080</v>
      </c>
    </row>
    <row r="3" spans="2:5" ht="15" customHeight="1" x14ac:dyDescent="0.35">
      <c r="B3" s="164">
        <v>1</v>
      </c>
      <c r="C3" s="165" t="s">
        <v>2081</v>
      </c>
      <c r="D3" s="166" t="s">
        <v>2082</v>
      </c>
      <c r="E3" s="167"/>
    </row>
    <row r="4" spans="2:5" ht="15" customHeight="1" x14ac:dyDescent="0.35">
      <c r="B4" s="164">
        <v>2</v>
      </c>
      <c r="C4" s="165" t="s">
        <v>2083</v>
      </c>
      <c r="D4" s="166" t="s">
        <v>2084</v>
      </c>
      <c r="E4" s="167"/>
    </row>
    <row r="5" spans="2:5" ht="15" customHeight="1" x14ac:dyDescent="0.35">
      <c r="B5" s="164">
        <v>3</v>
      </c>
      <c r="C5" s="165" t="s">
        <v>2085</v>
      </c>
      <c r="D5" s="166" t="s">
        <v>2086</v>
      </c>
      <c r="E5" s="167"/>
    </row>
    <row r="6" spans="2:5" ht="15" customHeight="1" x14ac:dyDescent="0.35">
      <c r="B6" s="164">
        <v>4</v>
      </c>
      <c r="C6" s="166" t="s">
        <v>2087</v>
      </c>
      <c r="D6" s="166" t="s">
        <v>2088</v>
      </c>
      <c r="E6" s="167"/>
    </row>
    <row r="7" spans="2:5" ht="15" customHeight="1" x14ac:dyDescent="0.35">
      <c r="B7" s="168">
        <v>5</v>
      </c>
      <c r="C7" s="166" t="s">
        <v>2089</v>
      </c>
      <c r="D7" s="166" t="s">
        <v>2088</v>
      </c>
      <c r="E7" s="167"/>
    </row>
    <row r="8" spans="2:5" ht="15" customHeight="1" x14ac:dyDescent="0.35">
      <c r="B8" s="168">
        <v>6</v>
      </c>
      <c r="C8" s="166" t="s">
        <v>2090</v>
      </c>
      <c r="D8" s="166" t="s">
        <v>2091</v>
      </c>
      <c r="E8" s="169" t="s">
        <v>2092</v>
      </c>
    </row>
    <row r="9" spans="2:5" ht="15" customHeight="1" x14ac:dyDescent="0.35">
      <c r="B9" s="168">
        <v>7</v>
      </c>
      <c r="C9" s="165" t="s">
        <v>2093</v>
      </c>
      <c r="D9" s="166" t="s">
        <v>2094</v>
      </c>
      <c r="E9" s="167" t="s">
        <v>2095</v>
      </c>
    </row>
    <row r="10" spans="2:5" ht="15" customHeight="1" x14ac:dyDescent="0.35">
      <c r="B10" s="164">
        <v>8</v>
      </c>
      <c r="C10" s="165" t="s">
        <v>2096</v>
      </c>
      <c r="D10" s="166" t="s">
        <v>2097</v>
      </c>
      <c r="E10" s="167"/>
    </row>
    <row r="11" spans="2:5" ht="15" customHeight="1" x14ac:dyDescent="0.35">
      <c r="B11" s="168">
        <v>9</v>
      </c>
      <c r="C11" s="165" t="s">
        <v>2098</v>
      </c>
      <c r="D11" s="166" t="s">
        <v>2099</v>
      </c>
      <c r="E11" s="167"/>
    </row>
    <row r="12" spans="2:5" ht="15" customHeight="1" x14ac:dyDescent="0.35">
      <c r="B12" s="164">
        <v>10</v>
      </c>
      <c r="C12" s="166" t="s">
        <v>2100</v>
      </c>
      <c r="D12" s="166" t="s">
        <v>2101</v>
      </c>
      <c r="E12" s="167"/>
    </row>
    <row r="13" spans="2:5" ht="15" customHeight="1" x14ac:dyDescent="0.35">
      <c r="B13" s="168">
        <v>11</v>
      </c>
      <c r="C13" s="165" t="s">
        <v>2102</v>
      </c>
      <c r="D13" s="166" t="s">
        <v>2103</v>
      </c>
      <c r="E13" s="167"/>
    </row>
    <row r="14" spans="2:5" ht="15" customHeight="1" x14ac:dyDescent="0.35">
      <c r="B14" s="168">
        <v>12</v>
      </c>
      <c r="C14" s="165" t="s">
        <v>2104</v>
      </c>
      <c r="D14" s="166" t="s">
        <v>2105</v>
      </c>
      <c r="E14" s="167"/>
    </row>
    <row r="15" spans="2:5" ht="15" customHeight="1" x14ac:dyDescent="0.35">
      <c r="B15" s="168">
        <v>13</v>
      </c>
      <c r="C15" s="165" t="s">
        <v>2106</v>
      </c>
      <c r="D15" s="166" t="s">
        <v>2107</v>
      </c>
      <c r="E15" s="167"/>
    </row>
    <row r="16" spans="2:5" ht="15" customHeight="1" x14ac:dyDescent="0.35">
      <c r="B16" s="170">
        <v>14</v>
      </c>
      <c r="C16" s="171" t="s">
        <v>2108</v>
      </c>
      <c r="D16" s="166" t="s">
        <v>2109</v>
      </c>
      <c r="E16" s="167"/>
    </row>
    <row r="17" spans="2:5" ht="15" customHeight="1" x14ac:dyDescent="0.35">
      <c r="B17" s="168">
        <v>15</v>
      </c>
      <c r="C17" s="165" t="s">
        <v>2110</v>
      </c>
      <c r="D17" s="166" t="s">
        <v>2111</v>
      </c>
      <c r="E17" s="167"/>
    </row>
    <row r="18" spans="2:5" ht="15" customHeight="1" x14ac:dyDescent="0.35">
      <c r="B18" s="168">
        <v>16</v>
      </c>
      <c r="C18" s="165" t="s">
        <v>2112</v>
      </c>
      <c r="D18" s="166" t="s">
        <v>2113</v>
      </c>
      <c r="E18" s="167"/>
    </row>
    <row r="19" spans="2:5" ht="15" customHeight="1" x14ac:dyDescent="0.35">
      <c r="B19" s="168">
        <v>17</v>
      </c>
      <c r="C19" s="165" t="s">
        <v>2114</v>
      </c>
      <c r="D19" s="166" t="s">
        <v>2115</v>
      </c>
      <c r="E19" s="167"/>
    </row>
    <row r="20" spans="2:5" ht="15" customHeight="1" x14ac:dyDescent="0.35">
      <c r="B20" s="170">
        <v>18</v>
      </c>
      <c r="C20" s="171" t="s">
        <v>2116</v>
      </c>
      <c r="D20" s="172" t="s">
        <v>2117</v>
      </c>
      <c r="E20" s="173"/>
    </row>
    <row r="21" spans="2:5" ht="15" customHeight="1" x14ac:dyDescent="0.35">
      <c r="B21" s="170">
        <v>19</v>
      </c>
      <c r="C21" s="171" t="s">
        <v>2118</v>
      </c>
      <c r="D21" s="172" t="s">
        <v>2119</v>
      </c>
      <c r="E21" s="173" t="s">
        <v>2120</v>
      </c>
    </row>
    <row r="22" spans="2:5" ht="15" customHeight="1" x14ac:dyDescent="0.35">
      <c r="B22" s="168">
        <v>20</v>
      </c>
      <c r="C22" s="165" t="s">
        <v>2121</v>
      </c>
      <c r="D22" s="166" t="s">
        <v>2122</v>
      </c>
      <c r="E22" s="167" t="s">
        <v>2123</v>
      </c>
    </row>
    <row r="23" spans="2:5" ht="15" customHeight="1" x14ac:dyDescent="0.35">
      <c r="B23" s="170">
        <v>21</v>
      </c>
      <c r="C23" s="171" t="s">
        <v>2124</v>
      </c>
      <c r="D23" s="172" t="s">
        <v>2125</v>
      </c>
      <c r="E23" s="173" t="s">
        <v>2126</v>
      </c>
    </row>
  </sheetData>
  <conditionalFormatting sqref="D3:D23">
    <cfRule type="cellIs" dxfId="0" priority="1" operator="equal">
      <formula>"Out Of Scope"</formula>
    </cfRule>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15D4-5DB0-459A-BB0C-D410A2448E6B}">
  <sheetPr>
    <tabColor rgb="FF00B050"/>
  </sheetPr>
  <dimension ref="B1:AC54"/>
  <sheetViews>
    <sheetView showGridLines="0" topLeftCell="A2" workbookViewId="0">
      <selection activeCell="H3" sqref="H3"/>
    </sheetView>
  </sheetViews>
  <sheetFormatPr defaultRowHeight="14.5" x14ac:dyDescent="0.35"/>
  <cols>
    <col min="2" max="2" width="36.453125" customWidth="1"/>
    <col min="3" max="3" width="22.26953125" customWidth="1"/>
    <col min="4" max="4" width="33" customWidth="1"/>
    <col min="5" max="5" width="30.453125" customWidth="1"/>
    <col min="6" max="6" width="19.453125" customWidth="1"/>
    <col min="7" max="7" width="9.81640625" bestFit="1" customWidth="1"/>
    <col min="8" max="8" width="24" customWidth="1"/>
    <col min="9" max="9" width="21.1796875" bestFit="1" customWidth="1"/>
    <col min="10" max="10" width="36.453125" bestFit="1" customWidth="1"/>
    <col min="11" max="11" width="37.1796875" bestFit="1" customWidth="1"/>
    <col min="12" max="12" width="19.1796875" bestFit="1" customWidth="1"/>
    <col min="13" max="13" width="15.54296875" bestFit="1" customWidth="1"/>
    <col min="14" max="14" width="19.1796875" bestFit="1" customWidth="1"/>
    <col min="15" max="15" width="22.54296875" bestFit="1" customWidth="1"/>
    <col min="16" max="16" width="22.26953125" customWidth="1"/>
    <col min="17" max="17" width="24" bestFit="1" customWidth="1"/>
    <col min="18" max="18" width="27.7265625" bestFit="1" customWidth="1"/>
    <col min="19" max="19" width="24.54296875" bestFit="1" customWidth="1"/>
    <col min="20" max="20" width="21.54296875" bestFit="1" customWidth="1"/>
    <col min="21" max="21" width="19.54296875" bestFit="1" customWidth="1"/>
    <col min="22" max="22" width="26" bestFit="1" customWidth="1"/>
    <col min="23" max="23" width="27.54296875" bestFit="1" customWidth="1"/>
    <col min="24" max="24" width="22.7265625" bestFit="1" customWidth="1"/>
    <col min="25" max="25" width="22.453125" bestFit="1" customWidth="1"/>
    <col min="26" max="26" width="37" bestFit="1" customWidth="1"/>
    <col min="27" max="27" width="26.81640625" bestFit="1" customWidth="1"/>
    <col min="28" max="28" width="48.26953125" customWidth="1"/>
  </cols>
  <sheetData>
    <row r="1" spans="2:28" ht="30.75" customHeight="1" x14ac:dyDescent="0.35"/>
    <row r="2" spans="2:28" x14ac:dyDescent="0.35">
      <c r="B2" s="90" t="s">
        <v>2127</v>
      </c>
      <c r="C2" s="90" t="s">
        <v>2128</v>
      </c>
      <c r="D2" s="90" t="s">
        <v>2129</v>
      </c>
      <c r="E2" s="90" t="s">
        <v>2130</v>
      </c>
      <c r="F2" s="90" t="s">
        <v>2131</v>
      </c>
      <c r="G2" s="90" t="s">
        <v>2132</v>
      </c>
      <c r="H2" s="90" t="s">
        <v>2133</v>
      </c>
      <c r="I2" s="91" t="s">
        <v>785</v>
      </c>
      <c r="J2" s="91" t="s">
        <v>839</v>
      </c>
      <c r="K2" s="91" t="s">
        <v>1424</v>
      </c>
      <c r="L2" s="91" t="s">
        <v>1432</v>
      </c>
      <c r="M2" s="91" t="s">
        <v>1440</v>
      </c>
      <c r="N2" s="91" t="s">
        <v>1452</v>
      </c>
      <c r="O2" s="91" t="s">
        <v>1463</v>
      </c>
      <c r="P2" s="91" t="s">
        <v>1475</v>
      </c>
      <c r="Q2" s="91" t="s">
        <v>1483</v>
      </c>
      <c r="R2" s="91" t="s">
        <v>1494</v>
      </c>
      <c r="S2" s="91" t="s">
        <v>2134</v>
      </c>
      <c r="T2" s="91" t="s">
        <v>901</v>
      </c>
      <c r="U2" s="91" t="s">
        <v>912</v>
      </c>
      <c r="V2" s="91" t="s">
        <v>1515</v>
      </c>
      <c r="W2" s="91" t="s">
        <v>1522</v>
      </c>
      <c r="X2" s="91" t="s">
        <v>1540</v>
      </c>
      <c r="Y2" s="91" t="s">
        <v>1550</v>
      </c>
      <c r="Z2" s="91" t="s">
        <v>1560</v>
      </c>
      <c r="AA2" s="91" t="s">
        <v>765</v>
      </c>
      <c r="AB2" s="91" t="s">
        <v>772</v>
      </c>
    </row>
    <row r="3" spans="2:28" x14ac:dyDescent="0.35">
      <c r="B3" s="129" t="s">
        <v>2081</v>
      </c>
      <c r="C3" s="110">
        <v>1</v>
      </c>
      <c r="D3" s="110" t="s">
        <v>2135</v>
      </c>
      <c r="E3" s="111">
        <v>45418</v>
      </c>
      <c r="F3" s="110">
        <v>1</v>
      </c>
      <c r="G3" s="156">
        <v>1</v>
      </c>
      <c r="H3" s="112" t="s">
        <v>2136</v>
      </c>
      <c r="I3" s="110" t="s">
        <v>2137</v>
      </c>
      <c r="J3" s="110" t="s">
        <v>2137</v>
      </c>
      <c r="K3" s="110" t="s">
        <v>2137</v>
      </c>
      <c r="L3" s="110" t="s">
        <v>2137</v>
      </c>
      <c r="M3" s="110" t="s">
        <v>2137</v>
      </c>
      <c r="N3" s="110" t="s">
        <v>2137</v>
      </c>
      <c r="O3" s="110" t="s">
        <v>2137</v>
      </c>
      <c r="P3" s="110" t="s">
        <v>2137</v>
      </c>
      <c r="Q3" s="110" t="s">
        <v>2137</v>
      </c>
      <c r="R3" s="110" t="s">
        <v>2137</v>
      </c>
      <c r="S3" s="110" t="s">
        <v>2137</v>
      </c>
      <c r="T3" s="110" t="s">
        <v>2137</v>
      </c>
      <c r="U3" s="110" t="s">
        <v>2137</v>
      </c>
      <c r="V3" s="110" t="s">
        <v>2137</v>
      </c>
      <c r="W3" s="110" t="s">
        <v>2137</v>
      </c>
      <c r="X3" s="110" t="s">
        <v>2137</v>
      </c>
      <c r="Y3" s="110" t="s">
        <v>2137</v>
      </c>
      <c r="Z3" s="110" t="s">
        <v>2137</v>
      </c>
      <c r="AA3" s="110" t="s">
        <v>2137</v>
      </c>
      <c r="AB3" s="110" t="s">
        <v>2137</v>
      </c>
    </row>
    <row r="4" spans="2:28" x14ac:dyDescent="0.35">
      <c r="B4" s="129" t="s">
        <v>2083</v>
      </c>
      <c r="C4" s="110">
        <v>2</v>
      </c>
      <c r="D4" s="110" t="s">
        <v>2138</v>
      </c>
      <c r="E4" s="111">
        <v>45418</v>
      </c>
      <c r="F4" s="110">
        <v>1</v>
      </c>
      <c r="G4" s="156">
        <v>1</v>
      </c>
      <c r="H4" s="110" t="s">
        <v>2139</v>
      </c>
      <c r="I4" s="110" t="s">
        <v>2137</v>
      </c>
      <c r="J4" s="110" t="s">
        <v>2137</v>
      </c>
      <c r="K4" s="110" t="s">
        <v>2137</v>
      </c>
      <c r="L4" s="110" t="s">
        <v>2137</v>
      </c>
      <c r="M4" s="110" t="s">
        <v>2137</v>
      </c>
      <c r="N4" s="110" t="s">
        <v>2137</v>
      </c>
      <c r="O4" s="110" t="s">
        <v>2137</v>
      </c>
      <c r="P4" s="110" t="s">
        <v>2137</v>
      </c>
      <c r="Q4" s="110" t="s">
        <v>2137</v>
      </c>
      <c r="R4" s="110" t="s">
        <v>2137</v>
      </c>
      <c r="S4" s="110" t="s">
        <v>2137</v>
      </c>
      <c r="T4" s="110" t="s">
        <v>2137</v>
      </c>
      <c r="U4" s="110" t="s">
        <v>2137</v>
      </c>
      <c r="V4" s="110" t="s">
        <v>2137</v>
      </c>
      <c r="W4" s="110" t="s">
        <v>2137</v>
      </c>
      <c r="X4" s="110" t="s">
        <v>2137</v>
      </c>
      <c r="Y4" s="110" t="s">
        <v>2137</v>
      </c>
      <c r="Z4" s="110" t="s">
        <v>2137</v>
      </c>
      <c r="AA4" s="110" t="s">
        <v>2137</v>
      </c>
      <c r="AB4" s="110" t="s">
        <v>2137</v>
      </c>
    </row>
    <row r="5" spans="2:28" x14ac:dyDescent="0.35">
      <c r="B5" s="129" t="s">
        <v>2085</v>
      </c>
      <c r="C5" s="110">
        <v>3</v>
      </c>
      <c r="D5" s="110" t="s">
        <v>2140</v>
      </c>
      <c r="E5" s="111">
        <v>45418</v>
      </c>
      <c r="F5" s="110">
        <v>1</v>
      </c>
      <c r="G5" s="156">
        <v>1</v>
      </c>
      <c r="H5" s="110" t="s">
        <v>2139</v>
      </c>
      <c r="I5" s="110">
        <v>0</v>
      </c>
      <c r="J5" s="110" t="s">
        <v>2137</v>
      </c>
      <c r="K5" s="110" t="s">
        <v>2137</v>
      </c>
      <c r="L5" s="110" t="s">
        <v>2137</v>
      </c>
      <c r="M5" s="110" t="s">
        <v>2137</v>
      </c>
      <c r="N5" s="110" t="s">
        <v>2137</v>
      </c>
      <c r="O5" s="110" t="s">
        <v>2137</v>
      </c>
      <c r="P5" s="110" t="s">
        <v>2137</v>
      </c>
      <c r="Q5" s="110" t="s">
        <v>2137</v>
      </c>
      <c r="R5" s="110" t="s">
        <v>2137</v>
      </c>
      <c r="S5" s="110" t="s">
        <v>2137</v>
      </c>
      <c r="T5" s="110" t="s">
        <v>2137</v>
      </c>
      <c r="U5" s="110" t="s">
        <v>2137</v>
      </c>
      <c r="V5" s="110" t="s">
        <v>2137</v>
      </c>
      <c r="W5" s="110" t="s">
        <v>2137</v>
      </c>
      <c r="X5" s="110" t="s">
        <v>2137</v>
      </c>
      <c r="Y5" s="110" t="s">
        <v>2137</v>
      </c>
      <c r="Z5" s="110" t="s">
        <v>2137</v>
      </c>
      <c r="AA5" s="110" t="s">
        <v>2137</v>
      </c>
      <c r="AB5" s="110" t="s">
        <v>2137</v>
      </c>
    </row>
    <row r="6" spans="2:28"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c r="O6" s="110" t="s">
        <v>2137</v>
      </c>
      <c r="P6" s="110" t="s">
        <v>2137</v>
      </c>
      <c r="Q6" s="110" t="s">
        <v>2137</v>
      </c>
      <c r="R6" s="110" t="s">
        <v>2137</v>
      </c>
      <c r="S6" s="110" t="s">
        <v>2137</v>
      </c>
      <c r="T6" s="110" t="s">
        <v>2137</v>
      </c>
      <c r="U6" s="110" t="s">
        <v>2137</v>
      </c>
      <c r="V6" s="110" t="s">
        <v>2137</v>
      </c>
      <c r="W6" s="110" t="s">
        <v>2137</v>
      </c>
      <c r="X6" s="110" t="s">
        <v>2137</v>
      </c>
      <c r="Y6" s="110" t="s">
        <v>2137</v>
      </c>
      <c r="Z6" s="110" t="s">
        <v>2137</v>
      </c>
      <c r="AA6" s="110" t="s">
        <v>2137</v>
      </c>
      <c r="AB6" s="110" t="s">
        <v>2137</v>
      </c>
    </row>
    <row r="7" spans="2:28"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c r="O7" s="110" t="s">
        <v>2137</v>
      </c>
      <c r="P7" s="110" t="s">
        <v>2137</v>
      </c>
      <c r="Q7" s="110" t="s">
        <v>2137</v>
      </c>
      <c r="R7" s="110" t="s">
        <v>2137</v>
      </c>
      <c r="S7" s="110" t="s">
        <v>2137</v>
      </c>
      <c r="T7" s="110" t="s">
        <v>2137</v>
      </c>
      <c r="U7" s="110" t="s">
        <v>2137</v>
      </c>
      <c r="V7" s="110" t="s">
        <v>2137</v>
      </c>
      <c r="W7" s="110" t="s">
        <v>2137</v>
      </c>
      <c r="X7" s="110" t="s">
        <v>2137</v>
      </c>
      <c r="Y7" s="110" t="s">
        <v>2137</v>
      </c>
      <c r="Z7" s="110" t="s">
        <v>2137</v>
      </c>
      <c r="AA7" s="110" t="s">
        <v>2137</v>
      </c>
      <c r="AB7" s="110" t="s">
        <v>2137</v>
      </c>
    </row>
    <row r="8" spans="2:28" x14ac:dyDescent="0.35">
      <c r="B8" s="129" t="s">
        <v>2090</v>
      </c>
      <c r="C8" s="110">
        <v>6</v>
      </c>
      <c r="D8" s="110" t="s">
        <v>2142</v>
      </c>
      <c r="E8" s="111">
        <v>45418</v>
      </c>
      <c r="F8" s="110">
        <v>1</v>
      </c>
      <c r="G8" s="137" cm="1">
        <f t="array" ref="G8">SUMPRODUCT(--(I8:AB8&gt;0))/COUNTA(I8:AB8)</f>
        <v>1</v>
      </c>
      <c r="H8" s="110" t="s">
        <v>2139</v>
      </c>
      <c r="I8" s="110">
        <v>1</v>
      </c>
      <c r="J8" s="110">
        <v>1</v>
      </c>
      <c r="K8" s="110">
        <v>1</v>
      </c>
      <c r="L8" s="110">
        <v>1</v>
      </c>
      <c r="M8" s="110">
        <v>1</v>
      </c>
      <c r="N8" s="110">
        <v>1</v>
      </c>
      <c r="O8" s="110">
        <v>2</v>
      </c>
      <c r="P8" s="110">
        <v>10</v>
      </c>
      <c r="Q8" s="110">
        <v>1</v>
      </c>
      <c r="R8" s="110">
        <v>1</v>
      </c>
      <c r="S8" s="110">
        <v>2</v>
      </c>
      <c r="T8" s="110">
        <v>1</v>
      </c>
      <c r="U8" s="110">
        <v>1</v>
      </c>
      <c r="V8" s="110">
        <v>1</v>
      </c>
      <c r="W8" s="110">
        <v>1</v>
      </c>
      <c r="X8" s="110">
        <v>1</v>
      </c>
      <c r="Y8" s="110">
        <v>4</v>
      </c>
      <c r="Z8" s="110">
        <v>1</v>
      </c>
      <c r="AA8" s="110">
        <v>10</v>
      </c>
      <c r="AB8" s="110">
        <v>23</v>
      </c>
    </row>
    <row r="9" spans="2:28" x14ac:dyDescent="0.35">
      <c r="B9" s="129" t="s">
        <v>2093</v>
      </c>
      <c r="C9" s="110">
        <v>7</v>
      </c>
      <c r="D9" s="110" t="s">
        <v>2143</v>
      </c>
      <c r="E9" s="111">
        <v>45418</v>
      </c>
      <c r="F9" s="110">
        <v>1</v>
      </c>
      <c r="G9" s="144" cm="1">
        <f t="array" ref="G9">SUMPRODUCT(--(I9:AB9&lt;=I26:AB26))/COUNTA(I26:AB26)</f>
        <v>0.9</v>
      </c>
      <c r="H9" s="110" t="s">
        <v>2139</v>
      </c>
      <c r="I9" s="110">
        <v>10</v>
      </c>
      <c r="J9" s="110">
        <v>70</v>
      </c>
      <c r="K9" s="110">
        <v>48</v>
      </c>
      <c r="L9" s="110">
        <v>52</v>
      </c>
      <c r="M9" s="110">
        <v>1</v>
      </c>
      <c r="N9" s="110">
        <v>1</v>
      </c>
      <c r="O9" s="110">
        <v>2</v>
      </c>
      <c r="P9" s="110">
        <v>10</v>
      </c>
      <c r="Q9" s="110">
        <v>1</v>
      </c>
      <c r="R9" s="110">
        <v>1</v>
      </c>
      <c r="S9" s="110">
        <v>2</v>
      </c>
      <c r="T9" s="110">
        <v>1</v>
      </c>
      <c r="U9" s="110">
        <v>1</v>
      </c>
      <c r="V9" s="110">
        <v>1</v>
      </c>
      <c r="W9" s="110">
        <v>1</v>
      </c>
      <c r="X9" s="110">
        <v>1</v>
      </c>
      <c r="Y9" s="110">
        <v>4</v>
      </c>
      <c r="Z9" s="110">
        <v>20</v>
      </c>
      <c r="AA9" s="110">
        <v>10</v>
      </c>
      <c r="AB9" s="110">
        <v>23</v>
      </c>
    </row>
    <row r="10" spans="2:28" x14ac:dyDescent="0.35">
      <c r="B10" s="129" t="s">
        <v>2096</v>
      </c>
      <c r="C10" s="110">
        <v>8</v>
      </c>
      <c r="D10" s="110" t="s">
        <v>2144</v>
      </c>
      <c r="E10" s="111">
        <v>45418</v>
      </c>
      <c r="F10" s="110">
        <v>1</v>
      </c>
      <c r="G10" s="111" t="s">
        <v>2137</v>
      </c>
      <c r="H10" s="110" t="s">
        <v>2139</v>
      </c>
      <c r="I10" s="110">
        <v>100000</v>
      </c>
      <c r="J10" s="110" t="s">
        <v>2145</v>
      </c>
      <c r="K10" s="110" t="s">
        <v>2146</v>
      </c>
      <c r="L10" s="110" t="s">
        <v>2147</v>
      </c>
      <c r="M10" s="110" t="s">
        <v>2148</v>
      </c>
      <c r="N10" s="110" t="s">
        <v>2149</v>
      </c>
      <c r="O10" s="110" t="s">
        <v>2150</v>
      </c>
      <c r="P10" s="110" t="s">
        <v>2151</v>
      </c>
      <c r="Q10" s="110">
        <v>0</v>
      </c>
      <c r="R10" s="110">
        <v>0</v>
      </c>
      <c r="S10" s="110" t="s">
        <v>2150</v>
      </c>
      <c r="T10" s="110">
        <v>0</v>
      </c>
      <c r="U10" s="110">
        <v>0</v>
      </c>
      <c r="V10" s="110">
        <v>0</v>
      </c>
      <c r="W10" s="110">
        <v>0</v>
      </c>
      <c r="X10" s="110" t="s">
        <v>2152</v>
      </c>
      <c r="Y10" s="110">
        <v>1</v>
      </c>
      <c r="Z10" s="110" t="s">
        <v>2153</v>
      </c>
      <c r="AA10" s="111">
        <v>45418</v>
      </c>
      <c r="AB10" s="110" t="s">
        <v>2154</v>
      </c>
    </row>
    <row r="11" spans="2:28" x14ac:dyDescent="0.35">
      <c r="B11" s="129" t="s">
        <v>2098</v>
      </c>
      <c r="C11" s="110">
        <v>9</v>
      </c>
      <c r="D11" s="110" t="s">
        <v>2155</v>
      </c>
      <c r="E11" s="111">
        <v>45418</v>
      </c>
      <c r="F11" s="110">
        <v>1</v>
      </c>
      <c r="G11" s="111" t="s">
        <v>2137</v>
      </c>
      <c r="H11" s="110" t="s">
        <v>2139</v>
      </c>
      <c r="I11" s="110">
        <v>2</v>
      </c>
      <c r="J11" s="110" t="s">
        <v>2145</v>
      </c>
      <c r="K11" s="110" t="s">
        <v>2146</v>
      </c>
      <c r="L11" s="110"/>
      <c r="M11" s="110" t="s">
        <v>2148</v>
      </c>
      <c r="N11" s="110" t="s">
        <v>2149</v>
      </c>
      <c r="O11" s="110"/>
      <c r="P11" s="110" t="s">
        <v>2151</v>
      </c>
      <c r="Q11" s="110">
        <v>0</v>
      </c>
      <c r="R11" s="110">
        <v>0</v>
      </c>
      <c r="S11" s="110" t="s">
        <v>2150</v>
      </c>
      <c r="T11" s="110">
        <v>0</v>
      </c>
      <c r="U11" s="110">
        <v>0</v>
      </c>
      <c r="V11" s="110">
        <v>0</v>
      </c>
      <c r="W11" s="110"/>
      <c r="X11" s="110" t="s">
        <v>2152</v>
      </c>
      <c r="Y11" s="110"/>
      <c r="Z11" s="110"/>
      <c r="AA11" s="111">
        <v>45418</v>
      </c>
      <c r="AB11" s="110" t="s">
        <v>2156</v>
      </c>
    </row>
    <row r="12" spans="2:28" x14ac:dyDescent="0.35">
      <c r="B12" s="130" t="s">
        <v>2100</v>
      </c>
      <c r="C12" s="110">
        <v>10</v>
      </c>
      <c r="D12" s="110" t="s">
        <v>2157</v>
      </c>
      <c r="E12" s="111">
        <v>45418</v>
      </c>
      <c r="F12" s="110">
        <v>1</v>
      </c>
      <c r="G12" s="111" t="s">
        <v>2137</v>
      </c>
      <c r="H12" s="110" t="s">
        <v>2139</v>
      </c>
      <c r="I12" s="110">
        <v>99998</v>
      </c>
      <c r="J12" s="110" t="s">
        <v>2158</v>
      </c>
      <c r="K12" s="110" t="s">
        <v>2159</v>
      </c>
      <c r="L12" s="110" t="s">
        <v>2160</v>
      </c>
      <c r="M12" s="110" t="s">
        <v>2161</v>
      </c>
      <c r="N12" s="110" t="s">
        <v>2161</v>
      </c>
      <c r="O12" s="110" t="s">
        <v>2162</v>
      </c>
      <c r="P12" s="111">
        <v>349140</v>
      </c>
      <c r="Q12" s="110">
        <v>1</v>
      </c>
      <c r="R12" s="110">
        <v>1</v>
      </c>
      <c r="S12" s="110" t="s">
        <v>2162</v>
      </c>
      <c r="T12" s="110">
        <v>1</v>
      </c>
      <c r="U12" s="110">
        <v>1</v>
      </c>
      <c r="V12" s="110">
        <v>1</v>
      </c>
      <c r="W12" s="110" t="s">
        <v>2163</v>
      </c>
      <c r="X12" s="110" t="s">
        <v>2164</v>
      </c>
      <c r="Y12" s="110">
        <v>90</v>
      </c>
      <c r="Z12" s="110" t="s">
        <v>2165</v>
      </c>
      <c r="AA12" s="111">
        <v>45418</v>
      </c>
      <c r="AB12" s="110" t="s">
        <v>2154</v>
      </c>
    </row>
    <row r="13" spans="2:28" x14ac:dyDescent="0.35">
      <c r="B13" s="130" t="s">
        <v>2102</v>
      </c>
      <c r="C13" s="110">
        <v>11</v>
      </c>
      <c r="D13" s="110" t="s">
        <v>2166</v>
      </c>
      <c r="E13" s="111">
        <v>45418</v>
      </c>
      <c r="F13" s="110">
        <v>1</v>
      </c>
      <c r="G13" s="111" t="s">
        <v>2137</v>
      </c>
      <c r="H13" s="110" t="s">
        <v>2139</v>
      </c>
      <c r="I13" s="110">
        <v>9961000500</v>
      </c>
      <c r="J13" s="110" t="s">
        <v>2158</v>
      </c>
      <c r="K13" s="110" t="s">
        <v>2159</v>
      </c>
      <c r="L13" s="110" t="s">
        <v>2160</v>
      </c>
      <c r="M13" s="110" t="s">
        <v>2161</v>
      </c>
      <c r="N13" s="110" t="s">
        <v>2161</v>
      </c>
      <c r="O13" s="110" t="s">
        <v>2162</v>
      </c>
      <c r="P13" s="111">
        <v>349140</v>
      </c>
      <c r="Q13" s="110">
        <v>1</v>
      </c>
      <c r="R13" s="110">
        <v>1</v>
      </c>
      <c r="S13" s="110" t="s">
        <v>2162</v>
      </c>
      <c r="T13" s="110">
        <v>1</v>
      </c>
      <c r="U13" s="110">
        <v>1</v>
      </c>
      <c r="V13" s="110">
        <v>1</v>
      </c>
      <c r="W13" s="110" t="s">
        <v>2163</v>
      </c>
      <c r="X13" s="110" t="s">
        <v>2164</v>
      </c>
      <c r="Y13" s="110">
        <v>90</v>
      </c>
      <c r="Z13" s="110" t="s">
        <v>2165</v>
      </c>
      <c r="AA13" s="111">
        <v>45418</v>
      </c>
      <c r="AB13" s="110" t="s">
        <v>2167</v>
      </c>
    </row>
    <row r="14" spans="2:28" x14ac:dyDescent="0.35">
      <c r="B14" s="129" t="s">
        <v>2104</v>
      </c>
      <c r="C14" s="110">
        <v>12</v>
      </c>
      <c r="D14" s="110" t="s">
        <v>2168</v>
      </c>
      <c r="E14" s="111">
        <v>45418</v>
      </c>
      <c r="F14" s="110">
        <v>1</v>
      </c>
      <c r="G14" s="110">
        <v>0.75</v>
      </c>
      <c r="H14" s="110" t="s">
        <v>2139</v>
      </c>
      <c r="I14" s="110">
        <v>0</v>
      </c>
      <c r="J14" s="110">
        <v>0</v>
      </c>
      <c r="K14" s="110">
        <v>0</v>
      </c>
      <c r="L14" s="110">
        <v>45</v>
      </c>
      <c r="M14" s="110">
        <v>0</v>
      </c>
      <c r="N14" s="110">
        <v>0</v>
      </c>
      <c r="O14" s="110">
        <v>1</v>
      </c>
      <c r="P14" s="110">
        <v>0</v>
      </c>
      <c r="Q14" s="110">
        <v>0</v>
      </c>
      <c r="R14" s="110">
        <v>0</v>
      </c>
      <c r="S14" s="110">
        <v>0</v>
      </c>
      <c r="T14" s="110">
        <v>0</v>
      </c>
      <c r="U14" s="110">
        <v>0</v>
      </c>
      <c r="V14" s="110">
        <v>0</v>
      </c>
      <c r="W14" s="110">
        <v>4746403</v>
      </c>
      <c r="X14" s="110">
        <v>0</v>
      </c>
      <c r="Y14" s="110">
        <v>2733071</v>
      </c>
      <c r="Z14" s="110">
        <v>5216485</v>
      </c>
      <c r="AA14" s="110">
        <v>0</v>
      </c>
      <c r="AB14" s="110">
        <v>0</v>
      </c>
    </row>
    <row r="15" spans="2:28" ht="20.25" customHeight="1" x14ac:dyDescent="0.35">
      <c r="B15" s="129" t="s">
        <v>2106</v>
      </c>
      <c r="C15" s="110">
        <v>13</v>
      </c>
      <c r="D15" s="110" t="s">
        <v>2169</v>
      </c>
      <c r="E15" s="111">
        <v>45418</v>
      </c>
      <c r="F15" s="110">
        <v>1</v>
      </c>
      <c r="G15" s="156">
        <v>1</v>
      </c>
      <c r="H15" s="110" t="s">
        <v>2139</v>
      </c>
      <c r="I15" s="110" t="s">
        <v>2137</v>
      </c>
      <c r="J15" s="110" t="s">
        <v>2137</v>
      </c>
      <c r="K15" s="110" t="s">
        <v>2137</v>
      </c>
      <c r="L15" s="110" t="s">
        <v>2137</v>
      </c>
      <c r="M15" s="110" t="s">
        <v>2137</v>
      </c>
      <c r="N15" s="110" t="s">
        <v>2137</v>
      </c>
      <c r="O15" s="110" t="s">
        <v>2137</v>
      </c>
      <c r="P15" s="157">
        <v>0</v>
      </c>
      <c r="Q15" s="110" t="s">
        <v>2137</v>
      </c>
      <c r="R15" s="110" t="s">
        <v>2137</v>
      </c>
      <c r="S15" s="110" t="s">
        <v>2137</v>
      </c>
      <c r="T15" s="110" t="s">
        <v>2137</v>
      </c>
      <c r="U15" s="110" t="s">
        <v>2137</v>
      </c>
      <c r="V15" s="110" t="s">
        <v>2137</v>
      </c>
      <c r="W15" s="110" t="s">
        <v>2137</v>
      </c>
      <c r="X15" s="110" t="s">
        <v>2137</v>
      </c>
      <c r="Y15" s="110" t="s">
        <v>2137</v>
      </c>
      <c r="Z15" s="110" t="s">
        <v>2137</v>
      </c>
      <c r="AA15" s="110" t="s">
        <v>2137</v>
      </c>
      <c r="AB15" s="110" t="s">
        <v>2137</v>
      </c>
    </row>
    <row r="16" spans="2:28" x14ac:dyDescent="0.35">
      <c r="B16" s="129" t="s">
        <v>2108</v>
      </c>
      <c r="C16" s="110">
        <v>14</v>
      </c>
      <c r="D16" s="110" t="s">
        <v>2170</v>
      </c>
      <c r="E16" s="111">
        <v>45418</v>
      </c>
      <c r="F16" s="110">
        <v>1</v>
      </c>
      <c r="G16" s="156">
        <v>1</v>
      </c>
      <c r="H16" s="110" t="s">
        <v>2139</v>
      </c>
      <c r="I16" s="110" t="s">
        <v>2137</v>
      </c>
      <c r="J16" s="110" t="s">
        <v>2137</v>
      </c>
      <c r="K16" s="110" t="s">
        <v>2137</v>
      </c>
      <c r="L16" s="110" t="s">
        <v>2137</v>
      </c>
      <c r="M16" s="110">
        <v>0</v>
      </c>
      <c r="N16" s="110">
        <v>0</v>
      </c>
      <c r="O16" s="110">
        <v>0</v>
      </c>
      <c r="P16" s="110" t="s">
        <v>2137</v>
      </c>
      <c r="Q16" s="110" t="s">
        <v>2137</v>
      </c>
      <c r="R16" s="110" t="s">
        <v>2137</v>
      </c>
      <c r="S16" s="110" t="s">
        <v>2137</v>
      </c>
      <c r="T16" s="110" t="s">
        <v>2137</v>
      </c>
      <c r="U16" s="110" t="s">
        <v>2137</v>
      </c>
      <c r="V16" s="110" t="s">
        <v>2137</v>
      </c>
      <c r="W16" s="110" t="s">
        <v>2137</v>
      </c>
      <c r="X16" s="110" t="s">
        <v>2137</v>
      </c>
      <c r="Y16" s="110" t="s">
        <v>2137</v>
      </c>
      <c r="Z16" s="110" t="s">
        <v>2137</v>
      </c>
      <c r="AA16" s="110" t="s">
        <v>2137</v>
      </c>
      <c r="AB16" s="110" t="s">
        <v>2137</v>
      </c>
    </row>
    <row r="17" spans="2:29" x14ac:dyDescent="0.35">
      <c r="B17" s="129" t="s">
        <v>2171</v>
      </c>
      <c r="C17" s="110">
        <v>15</v>
      </c>
      <c r="D17" s="110" t="s">
        <v>2172</v>
      </c>
      <c r="E17" s="111">
        <v>45418</v>
      </c>
      <c r="F17" s="110">
        <v>1</v>
      </c>
      <c r="G17" s="156">
        <v>1</v>
      </c>
      <c r="H17" s="110" t="s">
        <v>2139</v>
      </c>
      <c r="I17" s="110" t="s">
        <v>2137</v>
      </c>
      <c r="J17" s="110" t="s">
        <v>2137</v>
      </c>
      <c r="K17" s="110" t="s">
        <v>2137</v>
      </c>
      <c r="L17" s="110" t="s">
        <v>2137</v>
      </c>
      <c r="M17" s="110" t="s">
        <v>2137</v>
      </c>
      <c r="N17" s="110" t="s">
        <v>2137</v>
      </c>
      <c r="O17" s="110" t="s">
        <v>2137</v>
      </c>
      <c r="P17" s="110" t="s">
        <v>2137</v>
      </c>
      <c r="Q17" s="110" t="s">
        <v>2137</v>
      </c>
      <c r="R17" s="110" t="s">
        <v>2137</v>
      </c>
      <c r="S17" s="110" t="s">
        <v>2137</v>
      </c>
      <c r="T17" s="110" t="s">
        <v>2137</v>
      </c>
      <c r="U17" s="110" t="s">
        <v>2137</v>
      </c>
      <c r="V17" s="110" t="s">
        <v>2137</v>
      </c>
      <c r="W17" s="110" t="s">
        <v>2137</v>
      </c>
      <c r="X17" s="110" t="s">
        <v>2137</v>
      </c>
      <c r="Y17" s="110" t="s">
        <v>2137</v>
      </c>
      <c r="Z17" s="110" t="s">
        <v>2137</v>
      </c>
      <c r="AA17" s="110" t="s">
        <v>2137</v>
      </c>
      <c r="AB17" s="110" t="s">
        <v>2137</v>
      </c>
    </row>
    <row r="18" spans="2:29" x14ac:dyDescent="0.35">
      <c r="B18" s="129" t="s">
        <v>2173</v>
      </c>
      <c r="C18" s="110">
        <v>16</v>
      </c>
      <c r="D18" s="110" t="s">
        <v>2172</v>
      </c>
      <c r="E18" s="111">
        <v>45418</v>
      </c>
      <c r="F18" s="110">
        <v>1</v>
      </c>
      <c r="G18" s="156">
        <v>1</v>
      </c>
      <c r="H18" s="110" t="s">
        <v>2139</v>
      </c>
      <c r="I18" s="110" t="s">
        <v>2137</v>
      </c>
      <c r="J18" s="110" t="s">
        <v>2137</v>
      </c>
      <c r="K18" s="110" t="s">
        <v>2137</v>
      </c>
      <c r="L18" s="110" t="s">
        <v>2137</v>
      </c>
      <c r="M18" s="110" t="s">
        <v>2137</v>
      </c>
      <c r="N18" s="110" t="s">
        <v>2137</v>
      </c>
      <c r="O18" s="110" t="s">
        <v>2137</v>
      </c>
      <c r="P18" s="110" t="s">
        <v>2137</v>
      </c>
      <c r="Q18" s="110" t="s">
        <v>2137</v>
      </c>
      <c r="R18" s="110" t="s">
        <v>2137</v>
      </c>
      <c r="S18" s="110" t="s">
        <v>2137</v>
      </c>
      <c r="T18" s="110" t="s">
        <v>2137</v>
      </c>
      <c r="U18" s="110" t="s">
        <v>2137</v>
      </c>
      <c r="V18" s="110" t="s">
        <v>2137</v>
      </c>
      <c r="W18" s="110" t="s">
        <v>2137</v>
      </c>
      <c r="X18" s="110" t="s">
        <v>2137</v>
      </c>
      <c r="Y18" s="110" t="s">
        <v>2137</v>
      </c>
      <c r="Z18" s="110" t="s">
        <v>2137</v>
      </c>
      <c r="AA18" s="110" t="s">
        <v>2137</v>
      </c>
      <c r="AB18" s="110" t="s">
        <v>2137</v>
      </c>
    </row>
    <row r="19" spans="2:29" x14ac:dyDescent="0.35">
      <c r="B19" s="129" t="s">
        <v>2118</v>
      </c>
      <c r="C19" s="110">
        <v>19</v>
      </c>
      <c r="D19" s="110" t="s">
        <v>2174</v>
      </c>
      <c r="E19" s="111">
        <v>45418</v>
      </c>
      <c r="F19" s="110">
        <v>1</v>
      </c>
      <c r="G19" s="137" cm="1">
        <f t="array" ref="G19">SUMPRODUCT(--(ISNUMBER((SEARCH(I25:AB25,I19:AB19)))))/COUNTA(I19:AB19)</f>
        <v>0.95</v>
      </c>
      <c r="H19" s="110" t="s">
        <v>2139</v>
      </c>
      <c r="I19" s="110" t="s">
        <v>2175</v>
      </c>
      <c r="J19" s="110" t="s">
        <v>2175</v>
      </c>
      <c r="K19" s="110" t="s">
        <v>2175</v>
      </c>
      <c r="L19" s="110" t="s">
        <v>2175</v>
      </c>
      <c r="M19" s="110" t="s">
        <v>2175</v>
      </c>
      <c r="N19" s="110" t="s">
        <v>2175</v>
      </c>
      <c r="O19" s="110" t="s">
        <v>2175</v>
      </c>
      <c r="P19" s="110" t="s">
        <v>2175</v>
      </c>
      <c r="Q19" s="110" t="s">
        <v>2175</v>
      </c>
      <c r="R19" s="110" t="s">
        <v>2175</v>
      </c>
      <c r="S19" s="110" t="s">
        <v>2175</v>
      </c>
      <c r="T19" s="110" t="s">
        <v>2175</v>
      </c>
      <c r="U19" s="110" t="s">
        <v>2175</v>
      </c>
      <c r="V19" s="110" t="s">
        <v>2175</v>
      </c>
      <c r="W19" s="110" t="s">
        <v>2175</v>
      </c>
      <c r="X19" s="110" t="s">
        <v>2175</v>
      </c>
      <c r="Y19" s="110" t="s">
        <v>2175</v>
      </c>
      <c r="Z19" s="110" t="s">
        <v>2175</v>
      </c>
      <c r="AA19" s="110" t="s">
        <v>2175</v>
      </c>
      <c r="AB19" s="110" t="s">
        <v>2176</v>
      </c>
    </row>
    <row r="20" spans="2:29" x14ac:dyDescent="0.35">
      <c r="B20" s="129" t="s">
        <v>2121</v>
      </c>
      <c r="C20" s="110">
        <v>20</v>
      </c>
      <c r="D20" s="110"/>
      <c r="E20" s="111"/>
      <c r="F20" s="110"/>
      <c r="G20" s="137" cm="1">
        <f t="array" ref="G20">SUM(IF(I2:AB2 = I24:AB24, 1, 0))/ COUNTA(I2:AB2)</f>
        <v>0.7</v>
      </c>
      <c r="H20" s="110" t="s">
        <v>2139</v>
      </c>
      <c r="I20" s="110"/>
      <c r="J20" s="110"/>
      <c r="K20" s="110"/>
      <c r="L20" s="110"/>
      <c r="M20" s="110"/>
      <c r="N20" s="110"/>
      <c r="O20" s="110"/>
      <c r="P20" s="110"/>
      <c r="Q20" s="110"/>
      <c r="R20" s="110"/>
      <c r="S20" s="110"/>
      <c r="T20" s="110"/>
      <c r="U20" s="110"/>
      <c r="V20" s="110"/>
      <c r="W20" s="110"/>
      <c r="X20" s="110"/>
      <c r="Y20" s="110"/>
      <c r="Z20" s="110"/>
      <c r="AA20" s="110"/>
      <c r="AB20" s="110"/>
    </row>
    <row r="21" spans="2:29" x14ac:dyDescent="0.35">
      <c r="B21" s="131" t="s">
        <v>2124</v>
      </c>
      <c r="C21" s="110">
        <v>21</v>
      </c>
      <c r="D21" s="110"/>
      <c r="E21" s="111"/>
      <c r="F21" s="110"/>
      <c r="G21" s="110" cm="1">
        <f t="array" ref="G21">SUM(IF(IF(G3:G20="null",1,G3:G20)=1,1,0))/COUNT(IF(G3:G20="null",1,1))</f>
        <v>0.77777777777777779</v>
      </c>
      <c r="H21" s="110"/>
      <c r="I21" s="110"/>
      <c r="J21" s="110"/>
      <c r="K21" s="110"/>
      <c r="L21" s="110"/>
      <c r="M21" s="110"/>
      <c r="N21" s="110"/>
      <c r="O21" s="110"/>
      <c r="P21" s="110"/>
      <c r="Q21" s="110"/>
      <c r="R21" s="110"/>
      <c r="S21" s="110"/>
      <c r="T21" s="110"/>
      <c r="U21" s="110"/>
      <c r="V21" s="110"/>
      <c r="W21" s="110"/>
      <c r="X21" s="110"/>
      <c r="Y21" s="110"/>
      <c r="Z21" s="110"/>
      <c r="AA21" s="110"/>
      <c r="AB21" s="110"/>
    </row>
    <row r="23" spans="2:29" x14ac:dyDescent="0.35">
      <c r="B23" s="93" t="s">
        <v>2177</v>
      </c>
    </row>
    <row r="24" spans="2:29" x14ac:dyDescent="0.35">
      <c r="B24" s="106" t="s">
        <v>2127</v>
      </c>
      <c r="C24" s="107" t="s">
        <v>2128</v>
      </c>
      <c r="D24" s="107" t="s">
        <v>2129</v>
      </c>
      <c r="E24" s="107" t="s">
        <v>2130</v>
      </c>
      <c r="F24" s="107" t="s">
        <v>2131</v>
      </c>
      <c r="G24" s="107" t="s">
        <v>2132</v>
      </c>
      <c r="H24" s="107" t="s">
        <v>2133</v>
      </c>
      <c r="I24" s="99" t="str" cm="1">
        <f t="array" ref="I24:AC24">TRANSPOSE(_xlfn.SORTBY(_xlfn._xlws.FILTER(Table2[NOME FÍSICO CAMPO],Table2[NOME FÍSICO TABELA]="individual"), _xlfn._xlws.FILTER(Table2[ORDEM], Table2[NOME FÍSICO TABELA]="individual"), 1))</f>
        <v>party_id</v>
      </c>
      <c r="J24" s="99" t="str">
        <v>full_name</v>
      </c>
      <c r="K24" s="99" t="str">
        <v>first_name</v>
      </c>
      <c r="L24" s="99" t="str">
        <v>last_name</v>
      </c>
      <c r="M24" s="99" t="str">
        <v>gender_code</v>
      </c>
      <c r="N24" s="99" t="str">
        <v>civil_status_code</v>
      </c>
      <c r="O24" s="99" t="str">
        <v>birth_country_code</v>
      </c>
      <c r="P24" s="99" t="str">
        <v>birth_date</v>
      </c>
      <c r="Q24" s="99" t="str">
        <v>physical_disability_ind</v>
      </c>
      <c r="R24" s="99" t="str">
        <v>psycological_disability_ind</v>
      </c>
      <c r="S24" s="99" t="str">
        <v>residence_country_code</v>
      </c>
      <c r="T24" s="99" t="str">
        <v>fatca_reporting_ind</v>
      </c>
      <c r="U24" s="99" t="str">
        <v>crs_reporting_ind</v>
      </c>
      <c r="V24" s="99" t="str">
        <v>self_employed_indicator</v>
      </c>
      <c r="W24" s="99" t="str">
        <v>pep_indicator</v>
      </c>
      <c r="X24" s="99" t="str">
        <v>pep_type_code</v>
      </c>
      <c r="Y24" s="99" t="str">
        <v>occupation_category</v>
      </c>
      <c r="Z24" s="99" t="str">
        <v>occupation_code</v>
      </c>
      <c r="AA24" s="99" t="str">
        <v>employer_name</v>
      </c>
      <c r="AB24" s="100" t="str">
        <v>data_date_part</v>
      </c>
      <c r="AC24" t="str">
        <v>data_timestamp_part</v>
      </c>
    </row>
    <row r="25" spans="2:29" x14ac:dyDescent="0.35">
      <c r="B25" s="102" t="s">
        <v>2178</v>
      </c>
      <c r="C25" s="103">
        <v>21</v>
      </c>
      <c r="D25" s="104" t="s">
        <v>2179</v>
      </c>
      <c r="E25" s="98" t="s">
        <v>2180</v>
      </c>
      <c r="F25" s="98" t="s">
        <v>749</v>
      </c>
      <c r="G25" s="98" t="s">
        <v>749</v>
      </c>
      <c r="H25" s="108" t="s">
        <v>749</v>
      </c>
      <c r="I25" s="108" t="str" cm="1">
        <f t="array" ref="I25:AC26">TRANSPOSE(_xlfn.SORTBY(_xlfn._xlws.FILTER(IF(Table2[FORMATO] :Table2[COMP_ CAMPO]&lt;&gt;"",Table2[FORMATO]:Table2[COMP_ CAMPO],9999999),Table2[NOME FÍSICO TABELA]="individual"), _xlfn._xlws.FILTER(Table2[ORDEM], Table2[NOME FÍSICO TABELA]="individual"), 1))</f>
        <v>STRING</v>
      </c>
      <c r="J25" s="98" t="str">
        <v>STRING</v>
      </c>
      <c r="K25" s="98" t="str">
        <v>STRING</v>
      </c>
      <c r="L25" s="98" t="str">
        <v>STRING</v>
      </c>
      <c r="M25" s="98" t="str">
        <v>STRING</v>
      </c>
      <c r="N25" s="98" t="str">
        <v>STRING</v>
      </c>
      <c r="O25" s="98" t="str">
        <v>STRING</v>
      </c>
      <c r="P25" s="98" t="str">
        <v>STRING</v>
      </c>
      <c r="Q25" s="98" t="str">
        <v>STRING</v>
      </c>
      <c r="R25" s="98" t="str">
        <v>STRING</v>
      </c>
      <c r="S25" s="98" t="str">
        <v>STRING</v>
      </c>
      <c r="T25" s="98" t="str">
        <v>STRING</v>
      </c>
      <c r="U25" s="98" t="str">
        <v>STRING</v>
      </c>
      <c r="V25" s="98" t="str">
        <v>STRING</v>
      </c>
      <c r="W25" s="98" t="str">
        <v>STRING</v>
      </c>
      <c r="X25" s="98" t="str">
        <v>STRING</v>
      </c>
      <c r="Y25" s="98" t="str">
        <v>STRING</v>
      </c>
      <c r="Z25" s="98" t="str">
        <v>STRING</v>
      </c>
      <c r="AA25" s="98" t="str">
        <v>STRING</v>
      </c>
      <c r="AB25" s="105" t="str">
        <v>STRING</v>
      </c>
      <c r="AC25" t="str">
        <v>TIMESTAMP</v>
      </c>
    </row>
    <row r="26" spans="2:29" x14ac:dyDescent="0.35">
      <c r="B26" s="94" t="s">
        <v>2181</v>
      </c>
      <c r="C26" s="95">
        <v>7</v>
      </c>
      <c r="D26" s="96" t="s">
        <v>2179</v>
      </c>
      <c r="E26" s="97" t="s">
        <v>2180</v>
      </c>
      <c r="F26" s="97" t="s">
        <v>749</v>
      </c>
      <c r="G26" s="97" t="s">
        <v>749</v>
      </c>
      <c r="H26" s="98" t="s">
        <v>749</v>
      </c>
      <c r="I26" s="103">
        <v>10</v>
      </c>
      <c r="J26" s="95">
        <v>9999999</v>
      </c>
      <c r="K26" s="95">
        <v>9999999</v>
      </c>
      <c r="L26" s="95">
        <v>9999999</v>
      </c>
      <c r="M26" s="95">
        <v>4</v>
      </c>
      <c r="N26" s="95">
        <v>4</v>
      </c>
      <c r="O26" s="95">
        <v>4</v>
      </c>
      <c r="P26" s="95">
        <v>10</v>
      </c>
      <c r="Q26" s="95">
        <v>4</v>
      </c>
      <c r="R26" s="95">
        <v>4</v>
      </c>
      <c r="S26" s="95">
        <v>4</v>
      </c>
      <c r="T26" s="95">
        <v>4</v>
      </c>
      <c r="U26" s="95">
        <v>4</v>
      </c>
      <c r="V26" s="95">
        <v>4</v>
      </c>
      <c r="W26" s="95">
        <v>4</v>
      </c>
      <c r="X26" s="95">
        <v>4</v>
      </c>
      <c r="Y26" s="95">
        <v>4</v>
      </c>
      <c r="Z26" s="95">
        <v>4</v>
      </c>
      <c r="AA26" s="95">
        <v>9999999</v>
      </c>
      <c r="AB26" s="132">
        <v>10</v>
      </c>
      <c r="AC26">
        <v>23</v>
      </c>
    </row>
    <row r="28" spans="2:29" x14ac:dyDescent="0.35">
      <c r="B28" s="109" t="s">
        <v>2182</v>
      </c>
    </row>
    <row r="29" spans="2:29" x14ac:dyDescent="0.35">
      <c r="B29" s="106" t="s">
        <v>2183</v>
      </c>
      <c r="C29" s="107" t="s">
        <v>2184</v>
      </c>
      <c r="D29" s="122" t="s">
        <v>2185</v>
      </c>
      <c r="E29" s="107" t="s">
        <v>2186</v>
      </c>
      <c r="F29" s="122" t="s">
        <v>2187</v>
      </c>
    </row>
    <row r="30" spans="2:29" ht="43.5" x14ac:dyDescent="0.35">
      <c r="B30" s="121" t="s">
        <v>2188</v>
      </c>
      <c r="C30" s="121" t="s">
        <v>1522</v>
      </c>
      <c r="D30" s="76" t="s">
        <v>2189</v>
      </c>
      <c r="E30" s="121" t="s">
        <v>2190</v>
      </c>
      <c r="F30" s="121" t="s">
        <v>2191</v>
      </c>
    </row>
    <row r="31" spans="2:29" ht="43.5" x14ac:dyDescent="0.35">
      <c r="B31" s="121" t="s">
        <v>2188</v>
      </c>
      <c r="C31" s="121" t="s">
        <v>2192</v>
      </c>
      <c r="D31" s="76" t="s">
        <v>2189</v>
      </c>
      <c r="E31" s="121" t="s">
        <v>2193</v>
      </c>
      <c r="F31" s="76" t="s">
        <v>2191</v>
      </c>
    </row>
    <row r="32" spans="2:29" ht="43.5" x14ac:dyDescent="0.35">
      <c r="B32" s="121" t="s">
        <v>2188</v>
      </c>
      <c r="C32" s="121" t="s">
        <v>1560</v>
      </c>
      <c r="D32" s="76" t="s">
        <v>2189</v>
      </c>
      <c r="E32" s="121" t="s">
        <v>2194</v>
      </c>
      <c r="F32" s="121" t="s">
        <v>2191</v>
      </c>
    </row>
    <row r="33" spans="2:26" ht="57.75" customHeight="1" x14ac:dyDescent="0.35">
      <c r="B33" s="121" t="s">
        <v>2188</v>
      </c>
      <c r="C33" s="121" t="s">
        <v>1432</v>
      </c>
      <c r="D33" s="76" t="s">
        <v>2189</v>
      </c>
      <c r="E33" s="121" t="s">
        <v>2195</v>
      </c>
      <c r="F33" s="121" t="s">
        <v>2191</v>
      </c>
    </row>
    <row r="34" spans="2:26" ht="57.75" customHeight="1" x14ac:dyDescent="0.35">
      <c r="B34" s="121" t="s">
        <v>2188</v>
      </c>
      <c r="C34" s="121" t="s">
        <v>1463</v>
      </c>
      <c r="D34" s="76" t="s">
        <v>2189</v>
      </c>
      <c r="E34" s="121" t="s">
        <v>2196</v>
      </c>
      <c r="F34" s="121" t="s">
        <v>2191</v>
      </c>
    </row>
    <row r="35" spans="2:26" ht="57.75" customHeight="1" x14ac:dyDescent="0.35">
      <c r="B35" s="121" t="s">
        <v>2188</v>
      </c>
      <c r="C35" s="121" t="s">
        <v>1550</v>
      </c>
      <c r="D35" s="76" t="s">
        <v>2189</v>
      </c>
      <c r="E35" s="121" t="s">
        <v>2193</v>
      </c>
      <c r="F35" s="121" t="s">
        <v>2191</v>
      </c>
    </row>
    <row r="36" spans="2:26" ht="57.75" customHeight="1" x14ac:dyDescent="0.35">
      <c r="B36" s="121" t="s">
        <v>2188</v>
      </c>
      <c r="C36" s="121" t="s">
        <v>1560</v>
      </c>
      <c r="D36" s="76" t="s">
        <v>2189</v>
      </c>
      <c r="E36" s="121" t="s">
        <v>2194</v>
      </c>
      <c r="F36" s="121" t="s">
        <v>2191</v>
      </c>
    </row>
    <row r="37" spans="2:26" x14ac:dyDescent="0.35">
      <c r="D37" s="119"/>
      <c r="F37" s="120"/>
      <c r="G37" s="120"/>
    </row>
    <row r="38" spans="2:26" x14ac:dyDescent="0.35">
      <c r="D38" s="119"/>
      <c r="F38" s="133"/>
    </row>
    <row r="39" spans="2:26" x14ac:dyDescent="0.35">
      <c r="D39" s="119"/>
      <c r="E39" s="119"/>
      <c r="F39" s="119"/>
      <c r="G39" s="119"/>
      <c r="H39" s="119"/>
    </row>
    <row r="40" spans="2:26" x14ac:dyDescent="0.35">
      <c r="D40" s="119"/>
      <c r="E40" s="119"/>
      <c r="F40" s="119"/>
      <c r="G40" s="119"/>
      <c r="H40" s="119"/>
    </row>
    <row r="41" spans="2:26" x14ac:dyDescent="0.35">
      <c r="D41" s="119"/>
      <c r="E41" s="119"/>
      <c r="F41" s="119"/>
      <c r="G41" s="119"/>
      <c r="H41" s="119"/>
    </row>
    <row r="42" spans="2:26" x14ac:dyDescent="0.35">
      <c r="D42" s="119"/>
      <c r="E42" s="119"/>
      <c r="F42" s="119"/>
      <c r="G42" s="119"/>
      <c r="H42" s="119"/>
    </row>
    <row r="43" spans="2:26" x14ac:dyDescent="0.35">
      <c r="D43" s="119"/>
      <c r="E43" s="119"/>
      <c r="F43" s="119"/>
      <c r="G43" s="119"/>
      <c r="H43" s="119"/>
    </row>
    <row r="44" spans="2:26" x14ac:dyDescent="0.35">
      <c r="D44" s="119"/>
      <c r="E44" s="119"/>
      <c r="F44" s="119"/>
      <c r="G44" s="119"/>
      <c r="H44" s="119"/>
      <c r="Z44" s="119"/>
    </row>
    <row r="45" spans="2:26" x14ac:dyDescent="0.35">
      <c r="D45" s="119"/>
      <c r="Z45" s="119"/>
    </row>
    <row r="46" spans="2:26" x14ac:dyDescent="0.35">
      <c r="D46" s="119"/>
      <c r="O46" s="119"/>
      <c r="Z46" s="119"/>
    </row>
    <row r="47" spans="2:26" x14ac:dyDescent="0.35">
      <c r="D47" s="119"/>
      <c r="F47" s="120"/>
      <c r="O47" s="119"/>
      <c r="Z47" s="119"/>
    </row>
    <row r="48" spans="2:26" x14ac:dyDescent="0.35">
      <c r="D48" s="119"/>
      <c r="F48" s="120"/>
    </row>
    <row r="49" spans="4:15" x14ac:dyDescent="0.35">
      <c r="D49" s="119"/>
      <c r="F49" s="120"/>
      <c r="O49" s="24"/>
    </row>
    <row r="50" spans="4:15" x14ac:dyDescent="0.35">
      <c r="D50" s="119"/>
      <c r="F50" s="120"/>
    </row>
    <row r="51" spans="4:15" x14ac:dyDescent="0.35">
      <c r="D51" s="119"/>
      <c r="F51" s="120"/>
    </row>
    <row r="52" spans="4:15" x14ac:dyDescent="0.35">
      <c r="D52" s="119"/>
      <c r="F52" s="120"/>
    </row>
    <row r="53" spans="4:15" x14ac:dyDescent="0.35">
      <c r="D53" s="119"/>
      <c r="F53" s="120"/>
    </row>
    <row r="54" spans="4:15" x14ac:dyDescent="0.35">
      <c r="D54" s="119"/>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3145-95C4-4FD5-8A24-5532DED3AEBB}">
  <sheetPr>
    <tabColor rgb="FF00B050"/>
  </sheetPr>
  <dimension ref="B1:S30"/>
  <sheetViews>
    <sheetView showGridLines="0" topLeftCell="A22" workbookViewId="0">
      <selection activeCell="H10" sqref="H10"/>
    </sheetView>
  </sheetViews>
  <sheetFormatPr defaultRowHeight="14.5" x14ac:dyDescent="0.35"/>
  <cols>
    <col min="2" max="2" width="32.81640625" bestFit="1" customWidth="1"/>
    <col min="3" max="3" width="23"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3" width="26.54296875" customWidth="1"/>
    <col min="14" max="14" width="24.81640625" bestFit="1" customWidth="1"/>
    <col min="15" max="15" width="48.453125" bestFit="1" customWidth="1"/>
    <col min="16" max="16" width="24.54296875" bestFit="1" customWidth="1"/>
    <col min="17" max="17" width="30.54296875" bestFit="1" customWidth="1"/>
    <col min="18" max="18" width="30.26953125" bestFit="1" customWidth="1"/>
  </cols>
  <sheetData>
    <row r="1" spans="2:18" ht="30" customHeight="1" x14ac:dyDescent="0.35"/>
    <row r="2" spans="2:18" x14ac:dyDescent="0.35">
      <c r="B2" s="90" t="s">
        <v>2127</v>
      </c>
      <c r="C2" t="s">
        <v>2128</v>
      </c>
      <c r="D2" t="s">
        <v>2129</v>
      </c>
      <c r="E2" t="s">
        <v>2130</v>
      </c>
      <c r="F2" t="s">
        <v>2131</v>
      </c>
      <c r="G2" t="s">
        <v>2132</v>
      </c>
      <c r="H2" t="s">
        <v>2133</v>
      </c>
      <c r="I2" t="s">
        <v>785</v>
      </c>
      <c r="J2" t="s">
        <v>839</v>
      </c>
      <c r="K2" t="s">
        <v>852</v>
      </c>
      <c r="L2" t="s">
        <v>869</v>
      </c>
      <c r="M2" t="s">
        <v>880</v>
      </c>
      <c r="N2" t="s">
        <v>892</v>
      </c>
      <c r="O2" t="s">
        <v>912</v>
      </c>
      <c r="P2" t="s">
        <v>901</v>
      </c>
      <c r="Q2" t="s">
        <v>765</v>
      </c>
      <c r="R2" t="s">
        <v>772</v>
      </c>
    </row>
    <row r="3" spans="2:18" x14ac:dyDescent="0.35">
      <c r="B3" s="129" t="s">
        <v>2081</v>
      </c>
      <c r="C3" s="110">
        <v>1</v>
      </c>
      <c r="D3" s="110" t="s">
        <v>2197</v>
      </c>
      <c r="E3" s="111">
        <v>45418</v>
      </c>
      <c r="F3" s="110">
        <v>1</v>
      </c>
      <c r="G3" s="137">
        <v>1</v>
      </c>
      <c r="H3" s="134" t="s">
        <v>2198</v>
      </c>
      <c r="I3" s="110" t="s">
        <v>2137</v>
      </c>
      <c r="J3" s="110" t="s">
        <v>2137</v>
      </c>
      <c r="K3" s="110" t="s">
        <v>2137</v>
      </c>
      <c r="L3" s="110" t="s">
        <v>2137</v>
      </c>
      <c r="M3" s="110" t="s">
        <v>2137</v>
      </c>
      <c r="N3" s="110" t="s">
        <v>2137</v>
      </c>
      <c r="O3" s="110" t="s">
        <v>2137</v>
      </c>
      <c r="P3" s="110" t="s">
        <v>2137</v>
      </c>
      <c r="Q3" s="110" t="s">
        <v>2137</v>
      </c>
      <c r="R3" s="110" t="s">
        <v>2137</v>
      </c>
    </row>
    <row r="4" spans="2:18" x14ac:dyDescent="0.35">
      <c r="B4" s="129" t="s">
        <v>2083</v>
      </c>
      <c r="C4" s="110">
        <v>2</v>
      </c>
      <c r="D4" s="110" t="s">
        <v>2199</v>
      </c>
      <c r="E4" s="111">
        <v>45418</v>
      </c>
      <c r="F4" s="110">
        <v>1</v>
      </c>
      <c r="G4" s="137">
        <v>1</v>
      </c>
      <c r="H4" s="110" t="s">
        <v>2139</v>
      </c>
      <c r="I4" s="110" t="s">
        <v>2137</v>
      </c>
      <c r="J4" s="110" t="s">
        <v>2137</v>
      </c>
      <c r="K4" s="110" t="s">
        <v>2137</v>
      </c>
      <c r="L4" s="110" t="s">
        <v>2137</v>
      </c>
      <c r="M4" s="110" t="s">
        <v>2137</v>
      </c>
      <c r="N4" s="110" t="s">
        <v>2137</v>
      </c>
      <c r="O4" s="110" t="s">
        <v>2137</v>
      </c>
      <c r="P4" s="110" t="s">
        <v>2137</v>
      </c>
      <c r="Q4" s="110" t="s">
        <v>2137</v>
      </c>
      <c r="R4" s="110" t="s">
        <v>2137</v>
      </c>
    </row>
    <row r="5" spans="2:18" x14ac:dyDescent="0.35">
      <c r="B5" s="129" t="s">
        <v>2085</v>
      </c>
      <c r="C5" s="110">
        <v>3</v>
      </c>
      <c r="D5" s="110" t="s">
        <v>2200</v>
      </c>
      <c r="E5" s="111">
        <v>45418</v>
      </c>
      <c r="F5" s="110">
        <v>1</v>
      </c>
      <c r="G5" s="137">
        <v>1</v>
      </c>
      <c r="H5" s="110" t="s">
        <v>2139</v>
      </c>
      <c r="I5" s="110">
        <v>0</v>
      </c>
      <c r="J5" s="110" t="s">
        <v>2137</v>
      </c>
      <c r="K5" s="110" t="s">
        <v>2137</v>
      </c>
      <c r="L5" s="110" t="s">
        <v>2137</v>
      </c>
      <c r="M5" s="110" t="s">
        <v>2137</v>
      </c>
      <c r="N5" s="110" t="s">
        <v>2137</v>
      </c>
      <c r="O5" s="110" t="s">
        <v>2137</v>
      </c>
      <c r="P5" s="110" t="s">
        <v>2137</v>
      </c>
      <c r="Q5" s="110" t="s">
        <v>2137</v>
      </c>
      <c r="R5" s="110" t="s">
        <v>2137</v>
      </c>
    </row>
    <row r="6" spans="2:18"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c r="O6" s="110" t="s">
        <v>2137</v>
      </c>
      <c r="P6" s="110" t="s">
        <v>2137</v>
      </c>
      <c r="Q6" s="110" t="s">
        <v>2137</v>
      </c>
      <c r="R6" s="110" t="s">
        <v>2137</v>
      </c>
    </row>
    <row r="7" spans="2:18"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c r="O7" s="110" t="s">
        <v>2137</v>
      </c>
      <c r="P7" s="110" t="s">
        <v>2137</v>
      </c>
      <c r="Q7" s="110" t="s">
        <v>2137</v>
      </c>
      <c r="R7" s="110" t="s">
        <v>2137</v>
      </c>
    </row>
    <row r="8" spans="2:18" x14ac:dyDescent="0.35">
      <c r="B8" s="129" t="s">
        <v>2090</v>
      </c>
      <c r="C8" s="110">
        <v>6</v>
      </c>
      <c r="D8" s="110" t="s">
        <v>2201</v>
      </c>
      <c r="E8" s="111">
        <v>45418</v>
      </c>
      <c r="F8" s="110">
        <v>1</v>
      </c>
      <c r="G8" s="137" cm="1">
        <f t="array" ref="G8">SUMPRODUCT(--(I8:R8&gt;0))/COUNTA(I8:R8)</f>
        <v>1</v>
      </c>
      <c r="H8" s="110" t="s">
        <v>2139</v>
      </c>
      <c r="I8" s="110">
        <v>2</v>
      </c>
      <c r="J8" s="110">
        <v>1</v>
      </c>
      <c r="K8" s="110">
        <v>1</v>
      </c>
      <c r="L8" s="110">
        <v>3</v>
      </c>
      <c r="M8" s="110">
        <v>2</v>
      </c>
      <c r="N8" s="110">
        <v>10</v>
      </c>
      <c r="O8" s="110">
        <v>1</v>
      </c>
      <c r="P8" s="110">
        <v>1</v>
      </c>
      <c r="Q8" s="110">
        <v>10</v>
      </c>
      <c r="R8" s="110">
        <v>23</v>
      </c>
    </row>
    <row r="9" spans="2:18" x14ac:dyDescent="0.35">
      <c r="B9" s="129" t="s">
        <v>2093</v>
      </c>
      <c r="C9" s="110">
        <v>7</v>
      </c>
      <c r="D9" s="110" t="s">
        <v>2202</v>
      </c>
      <c r="E9" s="111">
        <v>45418</v>
      </c>
      <c r="F9" s="110">
        <v>1</v>
      </c>
      <c r="G9" s="144" cm="1">
        <f t="array" ref="G9">SUMPRODUCT(--(I9:R9&lt;=I26:R26))/COUNTA(I26:R26)</f>
        <v>0.6</v>
      </c>
      <c r="H9" s="110" t="s">
        <v>2139</v>
      </c>
      <c r="I9" s="110">
        <v>10</v>
      </c>
      <c r="J9" s="110">
        <v>200</v>
      </c>
      <c r="K9" s="110">
        <v>20</v>
      </c>
      <c r="L9" s="110">
        <v>3</v>
      </c>
      <c r="M9" s="110">
        <v>2</v>
      </c>
      <c r="N9" s="110">
        <v>10</v>
      </c>
      <c r="O9" s="110">
        <v>1</v>
      </c>
      <c r="P9" s="110">
        <v>1</v>
      </c>
      <c r="Q9" s="110">
        <v>10</v>
      </c>
      <c r="R9" s="110">
        <v>23</v>
      </c>
    </row>
    <row r="10" spans="2:18" x14ac:dyDescent="0.35">
      <c r="B10" s="129" t="s">
        <v>2096</v>
      </c>
      <c r="C10" s="110">
        <v>8</v>
      </c>
      <c r="D10" s="110" t="s">
        <v>2203</v>
      </c>
      <c r="E10" s="111">
        <v>45418</v>
      </c>
      <c r="F10" s="110">
        <v>1</v>
      </c>
      <c r="G10" s="111" t="s">
        <v>2137</v>
      </c>
      <c r="H10" s="110" t="s">
        <v>2139</v>
      </c>
      <c r="I10" s="110">
        <v>10004</v>
      </c>
      <c r="J10" s="110" t="s">
        <v>2204</v>
      </c>
      <c r="K10" s="110" t="s">
        <v>2205</v>
      </c>
      <c r="L10" s="110">
        <v>1</v>
      </c>
      <c r="M10" s="110" t="s">
        <v>2150</v>
      </c>
      <c r="N10" s="110" t="s">
        <v>2151</v>
      </c>
      <c r="O10" s="110">
        <v>0</v>
      </c>
      <c r="P10" s="110">
        <v>0</v>
      </c>
      <c r="Q10" s="111">
        <v>45418</v>
      </c>
      <c r="R10" s="110" t="s">
        <v>2206</v>
      </c>
    </row>
    <row r="11" spans="2:18" x14ac:dyDescent="0.35">
      <c r="B11" s="129" t="s">
        <v>2098</v>
      </c>
      <c r="C11" s="110">
        <v>9</v>
      </c>
      <c r="D11" s="110" t="s">
        <v>2207</v>
      </c>
      <c r="E11" s="111">
        <v>45418</v>
      </c>
      <c r="F11" s="110">
        <v>1</v>
      </c>
      <c r="G11" s="111" t="s">
        <v>2137</v>
      </c>
      <c r="H11" s="110" t="s">
        <v>2139</v>
      </c>
      <c r="I11" s="110">
        <v>42</v>
      </c>
      <c r="J11" s="110" t="s">
        <v>2204</v>
      </c>
      <c r="K11" s="110" t="s">
        <v>2205</v>
      </c>
      <c r="L11" s="110">
        <v>1</v>
      </c>
      <c r="M11" s="110" t="s">
        <v>2150</v>
      </c>
      <c r="N11" s="110" t="s">
        <v>2151</v>
      </c>
      <c r="O11" s="110">
        <v>0</v>
      </c>
      <c r="P11" s="110">
        <v>0</v>
      </c>
      <c r="Q11" s="111">
        <v>45418</v>
      </c>
      <c r="R11" s="110" t="s">
        <v>2208</v>
      </c>
    </row>
    <row r="12" spans="2:18" x14ac:dyDescent="0.35">
      <c r="B12" s="130" t="s">
        <v>2100</v>
      </c>
      <c r="C12" s="110">
        <v>10</v>
      </c>
      <c r="D12" s="110" t="s">
        <v>2209</v>
      </c>
      <c r="E12" s="111">
        <v>45418</v>
      </c>
      <c r="F12" s="110">
        <v>1</v>
      </c>
      <c r="G12" s="111" t="s">
        <v>2137</v>
      </c>
      <c r="H12" s="110" t="s">
        <v>2139</v>
      </c>
      <c r="I12" s="110">
        <v>99989</v>
      </c>
      <c r="J12" s="110" t="s">
        <v>2210</v>
      </c>
      <c r="K12" s="110" t="s">
        <v>2211</v>
      </c>
      <c r="L12" s="110">
        <v>182</v>
      </c>
      <c r="M12" s="110" t="s">
        <v>2162</v>
      </c>
      <c r="N12" s="111">
        <v>45418</v>
      </c>
      <c r="O12" s="110">
        <v>1</v>
      </c>
      <c r="P12" s="110">
        <v>1</v>
      </c>
      <c r="Q12" s="111">
        <v>45418</v>
      </c>
      <c r="R12" s="110" t="s">
        <v>2206</v>
      </c>
    </row>
    <row r="13" spans="2:18" x14ac:dyDescent="0.35">
      <c r="B13" s="130" t="s">
        <v>2102</v>
      </c>
      <c r="C13" s="110">
        <v>11</v>
      </c>
      <c r="D13" s="110" t="s">
        <v>2212</v>
      </c>
      <c r="E13" s="111">
        <v>45418</v>
      </c>
      <c r="F13" s="110">
        <v>1</v>
      </c>
      <c r="G13" s="111" t="s">
        <v>2137</v>
      </c>
      <c r="H13" s="110" t="s">
        <v>2139</v>
      </c>
      <c r="I13" s="110">
        <v>9002691418</v>
      </c>
      <c r="J13" s="110" t="s">
        <v>2210</v>
      </c>
      <c r="K13" s="110" t="s">
        <v>2211</v>
      </c>
      <c r="L13" s="110">
        <v>182</v>
      </c>
      <c r="M13" s="110" t="s">
        <v>2162</v>
      </c>
      <c r="N13" s="111">
        <v>45418</v>
      </c>
      <c r="O13" s="110">
        <v>1</v>
      </c>
      <c r="P13" s="110">
        <v>1</v>
      </c>
      <c r="Q13" s="111">
        <v>45418</v>
      </c>
      <c r="R13" s="110" t="s">
        <v>2213</v>
      </c>
    </row>
    <row r="14" spans="2:18" x14ac:dyDescent="0.35">
      <c r="B14" s="129" t="s">
        <v>2104</v>
      </c>
      <c r="C14" s="110">
        <v>12</v>
      </c>
      <c r="D14" s="110" t="s">
        <v>2214</v>
      </c>
      <c r="E14" s="111">
        <v>45418</v>
      </c>
      <c r="F14" s="110">
        <v>1</v>
      </c>
      <c r="G14" s="137">
        <v>0.9</v>
      </c>
      <c r="H14" s="110" t="s">
        <v>2139</v>
      </c>
      <c r="I14" s="110">
        <v>0</v>
      </c>
      <c r="J14" s="110">
        <v>0</v>
      </c>
      <c r="K14" s="110">
        <v>800049</v>
      </c>
      <c r="L14" s="110">
        <v>0</v>
      </c>
      <c r="M14" s="110">
        <v>0</v>
      </c>
      <c r="N14" s="110">
        <v>0</v>
      </c>
      <c r="O14" s="110">
        <v>0</v>
      </c>
      <c r="P14" s="110">
        <v>0</v>
      </c>
      <c r="Q14" s="110">
        <v>0</v>
      </c>
      <c r="R14" s="110">
        <v>0</v>
      </c>
    </row>
    <row r="15" spans="2:18" x14ac:dyDescent="0.35">
      <c r="B15" s="129" t="s">
        <v>2106</v>
      </c>
      <c r="C15" s="110">
        <v>13</v>
      </c>
      <c r="D15" s="110" t="s">
        <v>2215</v>
      </c>
      <c r="E15" s="111">
        <v>45418</v>
      </c>
      <c r="F15" s="110">
        <v>1</v>
      </c>
      <c r="G15" s="137">
        <v>1</v>
      </c>
      <c r="H15" s="110" t="s">
        <v>2139</v>
      </c>
      <c r="I15" s="110" t="s">
        <v>2137</v>
      </c>
      <c r="J15" s="110" t="s">
        <v>2137</v>
      </c>
      <c r="K15" s="110" t="s">
        <v>2137</v>
      </c>
      <c r="L15" s="110" t="s">
        <v>2137</v>
      </c>
      <c r="M15" s="110" t="s">
        <v>2137</v>
      </c>
      <c r="N15" s="110">
        <v>0</v>
      </c>
      <c r="O15" s="110" t="s">
        <v>2137</v>
      </c>
      <c r="P15" s="113" t="s">
        <v>2137</v>
      </c>
      <c r="Q15" s="110" t="s">
        <v>2137</v>
      </c>
      <c r="R15" s="110" t="s">
        <v>2137</v>
      </c>
    </row>
    <row r="16" spans="2:18" x14ac:dyDescent="0.35">
      <c r="B16" s="129" t="s">
        <v>2108</v>
      </c>
      <c r="C16" s="110">
        <v>14</v>
      </c>
      <c r="D16" s="110" t="s">
        <v>2216</v>
      </c>
      <c r="E16" s="111">
        <v>45418</v>
      </c>
      <c r="F16" s="110">
        <v>1</v>
      </c>
      <c r="G16" s="137">
        <v>1</v>
      </c>
      <c r="H16" s="110" t="s">
        <v>2139</v>
      </c>
      <c r="I16" s="110">
        <v>0</v>
      </c>
      <c r="J16" s="110" t="s">
        <v>2137</v>
      </c>
      <c r="K16" s="110">
        <v>0</v>
      </c>
      <c r="L16" s="110">
        <v>0</v>
      </c>
      <c r="M16" s="110">
        <v>0</v>
      </c>
      <c r="N16" s="110" t="s">
        <v>2137</v>
      </c>
      <c r="O16" s="110" t="s">
        <v>2137</v>
      </c>
      <c r="P16" s="110" t="s">
        <v>2137</v>
      </c>
      <c r="Q16" s="110" t="s">
        <v>2137</v>
      </c>
      <c r="R16" s="110" t="s">
        <v>2137</v>
      </c>
    </row>
    <row r="17" spans="2:19" x14ac:dyDescent="0.35">
      <c r="B17" s="129" t="s">
        <v>2171</v>
      </c>
      <c r="C17" s="110">
        <v>15</v>
      </c>
      <c r="D17" s="110" t="s">
        <v>2217</v>
      </c>
      <c r="E17" s="111">
        <v>45418</v>
      </c>
      <c r="F17" s="110">
        <v>1</v>
      </c>
      <c r="G17" s="137">
        <v>1</v>
      </c>
      <c r="H17" s="110" t="s">
        <v>2139</v>
      </c>
      <c r="I17" s="110" t="s">
        <v>2137</v>
      </c>
      <c r="J17" s="110" t="s">
        <v>2137</v>
      </c>
      <c r="K17" s="110" t="s">
        <v>2137</v>
      </c>
      <c r="L17" s="110" t="s">
        <v>2137</v>
      </c>
      <c r="M17" s="110" t="s">
        <v>2137</v>
      </c>
      <c r="N17" s="110" t="s">
        <v>2137</v>
      </c>
      <c r="O17" s="110" t="s">
        <v>2137</v>
      </c>
      <c r="P17" s="110" t="s">
        <v>2137</v>
      </c>
      <c r="Q17" s="110" t="s">
        <v>2137</v>
      </c>
      <c r="R17" s="110" t="s">
        <v>2137</v>
      </c>
    </row>
    <row r="18" spans="2:19" x14ac:dyDescent="0.35">
      <c r="B18" s="129" t="s">
        <v>2173</v>
      </c>
      <c r="C18" s="110">
        <v>16</v>
      </c>
      <c r="D18" s="110" t="s">
        <v>2217</v>
      </c>
      <c r="E18" s="111">
        <v>45418</v>
      </c>
      <c r="F18" s="110">
        <v>1</v>
      </c>
      <c r="G18" s="137">
        <v>1</v>
      </c>
      <c r="H18" s="110" t="s">
        <v>2139</v>
      </c>
      <c r="I18" s="110" t="s">
        <v>2137</v>
      </c>
      <c r="J18" s="110" t="s">
        <v>2137</v>
      </c>
      <c r="K18" s="110" t="s">
        <v>2137</v>
      </c>
      <c r="L18" s="110" t="s">
        <v>2137</v>
      </c>
      <c r="M18" s="110" t="s">
        <v>2137</v>
      </c>
      <c r="N18" s="110" t="s">
        <v>2137</v>
      </c>
      <c r="O18" s="110" t="s">
        <v>2137</v>
      </c>
      <c r="P18" s="110" t="s">
        <v>2137</v>
      </c>
      <c r="Q18" s="110" t="s">
        <v>2137</v>
      </c>
      <c r="R18" s="110" t="s">
        <v>2137</v>
      </c>
    </row>
    <row r="19" spans="2:19" x14ac:dyDescent="0.35">
      <c r="B19" s="129" t="s">
        <v>2118</v>
      </c>
      <c r="C19" s="110">
        <v>19</v>
      </c>
      <c r="D19" s="110" t="s">
        <v>2218</v>
      </c>
      <c r="E19" s="111">
        <v>45418</v>
      </c>
      <c r="F19" s="110">
        <v>1</v>
      </c>
      <c r="G19" s="137" cm="1">
        <f t="array" ref="G19">SUMPRODUCT(--(ISNUMBER((SEARCH(I25:R25,I19:R19)))))/COUNTA(I19:R19)</f>
        <v>0.9</v>
      </c>
      <c r="H19" s="110" t="s">
        <v>2139</v>
      </c>
      <c r="I19" s="110" t="s">
        <v>2175</v>
      </c>
      <c r="J19" s="110" t="s">
        <v>2175</v>
      </c>
      <c r="K19" s="110" t="s">
        <v>2175</v>
      </c>
      <c r="L19" s="110" t="s">
        <v>2175</v>
      </c>
      <c r="M19" s="110" t="s">
        <v>2175</v>
      </c>
      <c r="N19" s="110" t="s">
        <v>2175</v>
      </c>
      <c r="O19" s="110" t="s">
        <v>2175</v>
      </c>
      <c r="P19" s="110" t="s">
        <v>2175</v>
      </c>
      <c r="Q19" s="110" t="s">
        <v>2175</v>
      </c>
      <c r="R19" s="110" t="s">
        <v>2176</v>
      </c>
    </row>
    <row r="20" spans="2:19" x14ac:dyDescent="0.35">
      <c r="B20" s="129" t="s">
        <v>2121</v>
      </c>
      <c r="C20" s="110">
        <v>20</v>
      </c>
      <c r="D20" s="110" t="s">
        <v>2219</v>
      </c>
      <c r="E20" s="111">
        <v>45418</v>
      </c>
      <c r="F20" s="110">
        <v>1</v>
      </c>
      <c r="G20" s="137" cm="1">
        <f t="array" ref="G20">SUM(IF(I2:R2 = I24:R24, 1, 0))/ COUNTA(I2:R2)</f>
        <v>0.3</v>
      </c>
      <c r="H20" s="110" t="s">
        <v>2139</v>
      </c>
      <c r="I20" s="110"/>
      <c r="J20" s="110"/>
      <c r="K20" s="110"/>
      <c r="L20" s="110"/>
      <c r="M20" s="110"/>
      <c r="N20" s="110"/>
      <c r="O20" s="110"/>
      <c r="P20" s="110"/>
      <c r="Q20" s="110"/>
      <c r="R20" s="110"/>
    </row>
    <row r="21" spans="2:19" x14ac:dyDescent="0.35">
      <c r="B21" s="131" t="s">
        <v>2124</v>
      </c>
      <c r="C21" s="110">
        <v>21</v>
      </c>
      <c r="D21" s="110"/>
      <c r="E21" s="111"/>
      <c r="F21" s="110"/>
      <c r="G21" s="110" cm="1">
        <f t="array" ref="G21">SUM(IF(IF(G3:G20="null",1,G3:G20)=1,1,0))/COUNT(IF(G3:G20="null",1,1))</f>
        <v>0.77777777777777779</v>
      </c>
      <c r="H21" s="110"/>
      <c r="I21" s="110"/>
      <c r="J21" s="110"/>
      <c r="K21" s="110"/>
      <c r="L21" s="110"/>
      <c r="M21" s="110"/>
      <c r="N21" s="110"/>
      <c r="O21" s="110"/>
      <c r="P21" s="110"/>
      <c r="Q21" s="110"/>
      <c r="R21" s="110"/>
    </row>
    <row r="23" spans="2:19" x14ac:dyDescent="0.35">
      <c r="B23" s="93" t="s">
        <v>2177</v>
      </c>
    </row>
    <row r="24" spans="2:19" x14ac:dyDescent="0.35">
      <c r="B24" s="106" t="s">
        <v>2127</v>
      </c>
      <c r="C24" s="107" t="s">
        <v>2128</v>
      </c>
      <c r="D24" s="107" t="s">
        <v>2129</v>
      </c>
      <c r="E24" s="107" t="s">
        <v>2130</v>
      </c>
      <c r="F24" s="107" t="s">
        <v>2131</v>
      </c>
      <c r="G24" s="107" t="s">
        <v>2132</v>
      </c>
      <c r="H24" s="107" t="s">
        <v>2133</v>
      </c>
      <c r="I24" s="114" t="str" cm="1">
        <f t="array" ref="I24:S24">TRANSPOSE(_xlfn.SORTBY(_xlfn._xlws.FILTER(Table2[NOME FÍSICO CAMPO],Table2[NOME FÍSICO TABELA]="entity"), _xlfn._xlws.FILTER(Table2[ORDEM], Table2[NOME FÍSICO TABELA]="entity"), 1))</f>
        <v>party_id</v>
      </c>
      <c r="J24" s="114" t="str">
        <v>full_name</v>
      </c>
      <c r="K24" s="114" t="str">
        <v>intragroup_indicator</v>
      </c>
      <c r="L24" s="114" t="str">
        <v>lei_id</v>
      </c>
      <c r="M24" s="114" t="str">
        <v>company_type_code</v>
      </c>
      <c r="N24" s="114" t="str">
        <v>origin_country_code</v>
      </c>
      <c r="O24" s="114" t="str">
        <v>incorporation_date</v>
      </c>
      <c r="P24" s="114" t="str">
        <v>fatca_reporting_ind</v>
      </c>
      <c r="Q24" s="114" t="str">
        <v>crs_reporting_ind</v>
      </c>
      <c r="R24" s="114" t="str">
        <v>data_date_part</v>
      </c>
      <c r="S24" t="str">
        <v>data_timestamp_part</v>
      </c>
    </row>
    <row r="25" spans="2:19" x14ac:dyDescent="0.35">
      <c r="B25" s="102" t="s">
        <v>2178</v>
      </c>
      <c r="C25" s="103">
        <v>21</v>
      </c>
      <c r="D25" s="104" t="s">
        <v>2179</v>
      </c>
      <c r="E25" s="98" t="s">
        <v>2180</v>
      </c>
      <c r="F25" s="98" t="s">
        <v>749</v>
      </c>
      <c r="G25" s="98" t="s">
        <v>749</v>
      </c>
      <c r="H25" s="98" t="s">
        <v>749</v>
      </c>
      <c r="I25" s="98" t="str" cm="1">
        <f t="array" ref="I25:S26">TRANSPOSE(_xlfn.SORTBY(_xlfn._xlws.FILTER(IF(Table2[FORMATO] :Table2[COMP_ CAMPO]&lt;&gt;"",Table2[FORMATO]:Table2[COMP_ CAMPO],9999999),Table2[NOME FÍSICO TABELA]="entity"), _xlfn._xlws.FILTER(Table2[ORDEM], Table2[NOME FÍSICO TABELA]="entity"), 1))</f>
        <v>STRING</v>
      </c>
      <c r="J25" s="98" t="str">
        <v>STRING</v>
      </c>
      <c r="K25" s="98" t="str">
        <v>STRING</v>
      </c>
      <c r="L25" s="98" t="str">
        <v>STRING</v>
      </c>
      <c r="M25" s="98" t="str">
        <v>STRING</v>
      </c>
      <c r="N25" s="98" t="str">
        <v>STRING</v>
      </c>
      <c r="O25" s="98" t="str">
        <v>STRING</v>
      </c>
      <c r="P25" s="98" t="str">
        <v>STRING</v>
      </c>
      <c r="Q25" s="98" t="str">
        <v>STRING</v>
      </c>
      <c r="R25" s="98" t="str">
        <v>STRING</v>
      </c>
      <c r="S25" t="str">
        <v>TIMESTAMP</v>
      </c>
    </row>
    <row r="26" spans="2:19" x14ac:dyDescent="0.35">
      <c r="B26" s="94" t="s">
        <v>2181</v>
      </c>
      <c r="C26" s="95">
        <v>7</v>
      </c>
      <c r="D26" s="96" t="s">
        <v>2179</v>
      </c>
      <c r="E26" s="97" t="s">
        <v>2180</v>
      </c>
      <c r="F26" s="97" t="s">
        <v>749</v>
      </c>
      <c r="G26" s="97" t="s">
        <v>749</v>
      </c>
      <c r="H26" s="97" t="s">
        <v>749</v>
      </c>
      <c r="I26" s="97">
        <v>10</v>
      </c>
      <c r="J26" s="97">
        <v>9999999</v>
      </c>
      <c r="K26" s="97">
        <v>4</v>
      </c>
      <c r="L26" s="97">
        <v>20</v>
      </c>
      <c r="M26" s="97">
        <v>4</v>
      </c>
      <c r="N26" s="97">
        <v>4</v>
      </c>
      <c r="O26" s="97">
        <v>10</v>
      </c>
      <c r="P26" s="97">
        <v>4</v>
      </c>
      <c r="Q26" s="97">
        <v>4</v>
      </c>
      <c r="R26" s="97">
        <v>10</v>
      </c>
      <c r="S26">
        <v>23</v>
      </c>
    </row>
    <row r="28" spans="2:19" x14ac:dyDescent="0.35">
      <c r="B28" s="109" t="s">
        <v>2182</v>
      </c>
    </row>
    <row r="29" spans="2:19" x14ac:dyDescent="0.35">
      <c r="B29" s="116" t="s">
        <v>2183</v>
      </c>
      <c r="C29" s="117" t="s">
        <v>2184</v>
      </c>
      <c r="D29" s="118" t="s">
        <v>2185</v>
      </c>
      <c r="E29" s="117" t="s">
        <v>2186</v>
      </c>
      <c r="F29" s="118" t="s">
        <v>2187</v>
      </c>
    </row>
    <row r="30" spans="2:19" ht="58" x14ac:dyDescent="0.35">
      <c r="B30" s="124" t="s">
        <v>2188</v>
      </c>
      <c r="C30" s="124" t="s">
        <v>852</v>
      </c>
      <c r="D30" s="125" t="s">
        <v>2189</v>
      </c>
      <c r="E30" s="125" t="s">
        <v>2220</v>
      </c>
      <c r="F30" s="124" t="s">
        <v>2191</v>
      </c>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82808-1686-430E-B2BD-E3C51962A571}">
  <sheetPr>
    <tabColor rgb="FF00B050"/>
  </sheetPr>
  <dimension ref="B1:S35"/>
  <sheetViews>
    <sheetView showGridLines="0" workbookViewId="0">
      <selection activeCell="B35" sqref="B35:F35"/>
    </sheetView>
  </sheetViews>
  <sheetFormatPr defaultRowHeight="14.5" x14ac:dyDescent="0.35"/>
  <cols>
    <col min="2" max="2" width="32.81640625" bestFit="1" customWidth="1"/>
    <col min="3" max="3" width="23"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1" width="13.54296875" customWidth="1"/>
    <col min="12" max="12" width="14.81640625" customWidth="1"/>
    <col min="13" max="13" width="26.54296875" customWidth="1"/>
    <col min="14" max="14" width="24.81640625" bestFit="1" customWidth="1"/>
    <col min="15" max="15" width="48.453125" bestFit="1" customWidth="1"/>
    <col min="16" max="16" width="24.54296875" bestFit="1" customWidth="1"/>
    <col min="17" max="17" width="30.54296875" bestFit="1" customWidth="1"/>
    <col min="18" max="18" width="30.26953125" bestFit="1" customWidth="1"/>
  </cols>
  <sheetData>
    <row r="1" spans="2:18" ht="30" customHeight="1" x14ac:dyDescent="0.35"/>
    <row r="2" spans="2:18" x14ac:dyDescent="0.35">
      <c r="B2" s="90" t="s">
        <v>2127</v>
      </c>
      <c r="C2" t="s">
        <v>2128</v>
      </c>
      <c r="D2" t="s">
        <v>2129</v>
      </c>
      <c r="E2" t="s">
        <v>2130</v>
      </c>
      <c r="F2" t="s">
        <v>2131</v>
      </c>
      <c r="G2" t="s">
        <v>2132</v>
      </c>
      <c r="H2" t="s">
        <v>2133</v>
      </c>
      <c r="I2" t="s">
        <v>785</v>
      </c>
      <c r="J2" t="s">
        <v>1769</v>
      </c>
      <c r="K2" t="s">
        <v>2221</v>
      </c>
      <c r="L2" t="s">
        <v>1789</v>
      </c>
      <c r="M2" t="s">
        <v>1798</v>
      </c>
      <c r="N2" t="s">
        <v>1807</v>
      </c>
      <c r="O2" t="s">
        <v>1816</v>
      </c>
      <c r="P2" t="s">
        <v>1825</v>
      </c>
      <c r="Q2" t="s">
        <v>765</v>
      </c>
      <c r="R2" t="s">
        <v>772</v>
      </c>
    </row>
    <row r="3" spans="2:18" x14ac:dyDescent="0.35">
      <c r="B3" s="129" t="s">
        <v>2081</v>
      </c>
      <c r="C3" s="110">
        <v>1</v>
      </c>
      <c r="D3" s="110" t="s">
        <v>2222</v>
      </c>
      <c r="E3" s="111">
        <v>45418</v>
      </c>
      <c r="F3" s="110">
        <v>1</v>
      </c>
      <c r="G3" s="137">
        <v>1</v>
      </c>
      <c r="H3" s="134" t="s">
        <v>2223</v>
      </c>
      <c r="I3" s="110" t="s">
        <v>2137</v>
      </c>
      <c r="J3" s="110" t="s">
        <v>2137</v>
      </c>
      <c r="K3" s="110" t="s">
        <v>2137</v>
      </c>
      <c r="L3" s="110" t="s">
        <v>2137</v>
      </c>
      <c r="M3" s="110" t="s">
        <v>2137</v>
      </c>
      <c r="N3" s="110" t="s">
        <v>2137</v>
      </c>
      <c r="O3" s="110" t="s">
        <v>2137</v>
      </c>
      <c r="P3" s="110" t="s">
        <v>2137</v>
      </c>
      <c r="Q3" s="110" t="s">
        <v>2137</v>
      </c>
      <c r="R3" s="110" t="s">
        <v>2137</v>
      </c>
    </row>
    <row r="4" spans="2:18" x14ac:dyDescent="0.35">
      <c r="B4" s="129" t="s">
        <v>2083</v>
      </c>
      <c r="C4" s="110">
        <v>2</v>
      </c>
      <c r="D4" s="110" t="s">
        <v>2224</v>
      </c>
      <c r="E4" s="111">
        <v>45418</v>
      </c>
      <c r="F4" s="110">
        <v>1</v>
      </c>
      <c r="G4" s="137">
        <v>1</v>
      </c>
      <c r="H4" s="110" t="s">
        <v>2139</v>
      </c>
      <c r="I4" s="110" t="s">
        <v>2137</v>
      </c>
      <c r="J4" s="110" t="s">
        <v>2137</v>
      </c>
      <c r="K4" s="110" t="s">
        <v>2137</v>
      </c>
      <c r="L4" s="110" t="s">
        <v>2137</v>
      </c>
      <c r="M4" s="110" t="s">
        <v>2137</v>
      </c>
      <c r="N4" s="110" t="s">
        <v>2137</v>
      </c>
      <c r="O4" s="110" t="s">
        <v>2137</v>
      </c>
      <c r="P4" s="110" t="s">
        <v>2137</v>
      </c>
      <c r="Q4" s="110" t="s">
        <v>2137</v>
      </c>
      <c r="R4" s="110" t="s">
        <v>2137</v>
      </c>
    </row>
    <row r="5" spans="2:18" x14ac:dyDescent="0.35">
      <c r="B5" s="129" t="s">
        <v>2085</v>
      </c>
      <c r="C5" s="110">
        <v>3</v>
      </c>
      <c r="D5" s="110" t="s">
        <v>2225</v>
      </c>
      <c r="E5" s="111">
        <v>45418</v>
      </c>
      <c r="F5" s="110">
        <v>1</v>
      </c>
      <c r="G5" s="137">
        <v>1</v>
      </c>
      <c r="H5" s="110" t="s">
        <v>2139</v>
      </c>
      <c r="I5" s="110">
        <v>0</v>
      </c>
      <c r="J5" s="110" t="s">
        <v>2137</v>
      </c>
      <c r="K5" s="110" t="s">
        <v>2137</v>
      </c>
      <c r="L5" s="110" t="s">
        <v>2137</v>
      </c>
      <c r="M5" s="110" t="s">
        <v>2137</v>
      </c>
      <c r="N5" s="110" t="s">
        <v>2137</v>
      </c>
      <c r="O5" s="110" t="s">
        <v>2137</v>
      </c>
      <c r="P5" s="110" t="s">
        <v>2137</v>
      </c>
      <c r="Q5" s="110">
        <v>0</v>
      </c>
      <c r="R5" s="110" t="s">
        <v>2137</v>
      </c>
    </row>
    <row r="6" spans="2:18" x14ac:dyDescent="0.35">
      <c r="B6" s="129" t="s">
        <v>2087</v>
      </c>
      <c r="C6" s="110">
        <v>4</v>
      </c>
      <c r="D6" s="110" t="s">
        <v>2141</v>
      </c>
      <c r="E6" s="111" t="s">
        <v>2137</v>
      </c>
      <c r="F6" s="110">
        <v>1</v>
      </c>
      <c r="G6" s="111" t="s">
        <v>2137</v>
      </c>
      <c r="H6" s="110" t="s">
        <v>2137</v>
      </c>
      <c r="I6" s="110" t="s">
        <v>2137</v>
      </c>
      <c r="J6" s="110" t="s">
        <v>2137</v>
      </c>
      <c r="K6" s="110" t="s">
        <v>2137</v>
      </c>
      <c r="L6" s="110" t="s">
        <v>2137</v>
      </c>
      <c r="M6" s="110" t="s">
        <v>2137</v>
      </c>
      <c r="N6" s="110" t="s">
        <v>2137</v>
      </c>
      <c r="O6" s="110" t="s">
        <v>2137</v>
      </c>
      <c r="P6" s="110" t="s">
        <v>2137</v>
      </c>
      <c r="Q6" s="110" t="s">
        <v>2137</v>
      </c>
      <c r="R6" s="110" t="s">
        <v>2137</v>
      </c>
    </row>
    <row r="7" spans="2:18" x14ac:dyDescent="0.35">
      <c r="B7" s="129" t="s">
        <v>2089</v>
      </c>
      <c r="C7" s="110">
        <v>5</v>
      </c>
      <c r="D7" s="110" t="s">
        <v>2141</v>
      </c>
      <c r="E7" s="111" t="s">
        <v>2137</v>
      </c>
      <c r="F7" s="110">
        <v>1</v>
      </c>
      <c r="G7" s="111" t="s">
        <v>2137</v>
      </c>
      <c r="H7" s="110" t="s">
        <v>2137</v>
      </c>
      <c r="I7" s="110" t="s">
        <v>2137</v>
      </c>
      <c r="J7" s="110" t="s">
        <v>2137</v>
      </c>
      <c r="K7" s="110" t="s">
        <v>2137</v>
      </c>
      <c r="L7" s="110" t="s">
        <v>2137</v>
      </c>
      <c r="M7" s="110" t="s">
        <v>2137</v>
      </c>
      <c r="N7" s="110" t="s">
        <v>2137</v>
      </c>
      <c r="O7" s="110" t="s">
        <v>2137</v>
      </c>
      <c r="P7" s="110" t="s">
        <v>2137</v>
      </c>
      <c r="Q7" s="110" t="s">
        <v>2137</v>
      </c>
      <c r="R7" s="110" t="s">
        <v>2137</v>
      </c>
    </row>
    <row r="8" spans="2:18" x14ac:dyDescent="0.35">
      <c r="B8" s="129" t="s">
        <v>2090</v>
      </c>
      <c r="C8" s="110">
        <v>6</v>
      </c>
      <c r="D8" s="110" t="s">
        <v>2226</v>
      </c>
      <c r="E8" s="111">
        <v>45418</v>
      </c>
      <c r="F8" s="110">
        <v>1</v>
      </c>
      <c r="G8" s="137" cm="1">
        <f t="array" ref="G8">SUMPRODUCT(--(I8:R8&gt;0))/COUNTA(I8:R8)</f>
        <v>1</v>
      </c>
      <c r="H8" s="110" t="s">
        <v>2139</v>
      </c>
      <c r="I8" s="110">
        <v>1</v>
      </c>
      <c r="J8" s="110">
        <v>2</v>
      </c>
      <c r="K8" s="110">
        <v>1</v>
      </c>
      <c r="L8" s="110">
        <v>10</v>
      </c>
      <c r="M8" s="110">
        <v>1</v>
      </c>
      <c r="N8" s="110">
        <v>1</v>
      </c>
      <c r="O8" s="110">
        <v>1</v>
      </c>
      <c r="P8" s="110">
        <v>30</v>
      </c>
      <c r="Q8" s="110">
        <v>10</v>
      </c>
      <c r="R8" s="110">
        <v>23</v>
      </c>
    </row>
    <row r="9" spans="2:18" x14ac:dyDescent="0.35">
      <c r="B9" s="129" t="s">
        <v>2093</v>
      </c>
      <c r="C9" s="110">
        <v>7</v>
      </c>
      <c r="D9" s="110" t="s">
        <v>2227</v>
      </c>
      <c r="E9" s="111">
        <v>45418</v>
      </c>
      <c r="F9" s="110">
        <v>1</v>
      </c>
      <c r="G9" s="144" cm="1">
        <f t="array" ref="G9">SUMPRODUCT(--(I9:R9&lt;=I26:R26))/COUNTA(I26:R26)</f>
        <v>0.8</v>
      </c>
      <c r="H9" s="110" t="s">
        <v>2139</v>
      </c>
      <c r="I9" s="110">
        <v>10</v>
      </c>
      <c r="J9" s="110">
        <v>9</v>
      </c>
      <c r="K9" s="110">
        <v>8</v>
      </c>
      <c r="L9" s="110">
        <v>10</v>
      </c>
      <c r="M9" s="110">
        <v>6</v>
      </c>
      <c r="N9" s="110">
        <v>9</v>
      </c>
      <c r="O9" s="110">
        <v>1</v>
      </c>
      <c r="P9" s="110">
        <v>37</v>
      </c>
      <c r="Q9" s="110">
        <v>10</v>
      </c>
      <c r="R9" s="110">
        <v>23</v>
      </c>
    </row>
    <row r="10" spans="2:18" x14ac:dyDescent="0.35">
      <c r="B10" s="129" t="s">
        <v>2096</v>
      </c>
      <c r="C10" s="110">
        <v>8</v>
      </c>
      <c r="D10" s="110" t="s">
        <v>2228</v>
      </c>
      <c r="E10" s="111">
        <v>45418</v>
      </c>
      <c r="F10" s="110">
        <v>1</v>
      </c>
      <c r="G10" s="111" t="s">
        <v>2137</v>
      </c>
      <c r="H10" s="110" t="s">
        <v>2139</v>
      </c>
      <c r="I10" s="110">
        <v>100001</v>
      </c>
      <c r="J10" s="110" t="s">
        <v>2229</v>
      </c>
      <c r="K10" s="110">
        <v>1</v>
      </c>
      <c r="L10" s="110" t="s">
        <v>1789</v>
      </c>
      <c r="M10" s="110">
        <v>0</v>
      </c>
      <c r="N10" s="110" t="s">
        <v>2230</v>
      </c>
      <c r="O10" s="110" t="s">
        <v>2231</v>
      </c>
      <c r="P10" s="110" t="s">
        <v>2232</v>
      </c>
      <c r="Q10" s="111">
        <v>45418</v>
      </c>
      <c r="R10" s="110" t="s">
        <v>2233</v>
      </c>
    </row>
    <row r="11" spans="2:18" x14ac:dyDescent="0.35">
      <c r="B11" s="129" t="s">
        <v>2098</v>
      </c>
      <c r="C11" s="110">
        <v>9</v>
      </c>
      <c r="D11" s="110" t="s">
        <v>2234</v>
      </c>
      <c r="E11" s="111">
        <v>45418</v>
      </c>
      <c r="F11" s="110">
        <v>1</v>
      </c>
      <c r="G11" s="111" t="s">
        <v>2137</v>
      </c>
      <c r="H11" s="110" t="s">
        <v>2139</v>
      </c>
      <c r="I11" s="110">
        <v>100001</v>
      </c>
      <c r="J11" s="110" t="s">
        <v>2229</v>
      </c>
      <c r="K11" s="110">
        <v>1</v>
      </c>
      <c r="L11" s="110" t="s">
        <v>1789</v>
      </c>
      <c r="M11" s="110"/>
      <c r="N11" s="110"/>
      <c r="O11" s="110" t="s">
        <v>2231</v>
      </c>
      <c r="P11" s="110" t="s">
        <v>2232</v>
      </c>
      <c r="Q11" s="111">
        <v>45418</v>
      </c>
      <c r="R11" s="110" t="s">
        <v>2235</v>
      </c>
    </row>
    <row r="12" spans="2:18" x14ac:dyDescent="0.35">
      <c r="B12" s="130" t="s">
        <v>2100</v>
      </c>
      <c r="C12" s="110">
        <v>10</v>
      </c>
      <c r="D12" s="110" t="s">
        <v>2236</v>
      </c>
      <c r="E12" s="111">
        <v>45418</v>
      </c>
      <c r="F12" s="110">
        <v>1</v>
      </c>
      <c r="G12" s="111" t="s">
        <v>2137</v>
      </c>
      <c r="H12" s="110" t="s">
        <v>2139</v>
      </c>
      <c r="I12" s="110">
        <v>99998</v>
      </c>
      <c r="J12" s="110" t="s">
        <v>2237</v>
      </c>
      <c r="K12" s="110">
        <v>999997</v>
      </c>
      <c r="L12" s="110" t="s">
        <v>1789</v>
      </c>
      <c r="M12" s="110" t="s">
        <v>2238</v>
      </c>
      <c r="N12" s="111" t="s">
        <v>2239</v>
      </c>
      <c r="O12" s="110" t="s">
        <v>2240</v>
      </c>
      <c r="P12" s="110" t="s">
        <v>2241</v>
      </c>
      <c r="Q12" s="111">
        <v>45418</v>
      </c>
      <c r="R12" s="110" t="s">
        <v>2233</v>
      </c>
    </row>
    <row r="13" spans="2:18" x14ac:dyDescent="0.35">
      <c r="B13" s="130" t="s">
        <v>2102</v>
      </c>
      <c r="C13" s="110">
        <v>11</v>
      </c>
      <c r="D13" s="110" t="s">
        <v>2242</v>
      </c>
      <c r="E13" s="111">
        <v>45418</v>
      </c>
      <c r="F13" s="110">
        <v>1</v>
      </c>
      <c r="G13" s="111" t="s">
        <v>2137</v>
      </c>
      <c r="H13" s="110" t="s">
        <v>2139</v>
      </c>
      <c r="I13" s="110">
        <v>99998</v>
      </c>
      <c r="J13" s="110" t="s">
        <v>2237</v>
      </c>
      <c r="K13" s="110">
        <v>10057172</v>
      </c>
      <c r="L13" s="110" t="s">
        <v>1789</v>
      </c>
      <c r="M13" s="110" t="s">
        <v>2238</v>
      </c>
      <c r="N13" s="111" t="s">
        <v>2239</v>
      </c>
      <c r="O13" s="110" t="s">
        <v>2240</v>
      </c>
      <c r="P13" s="110" t="s">
        <v>2241</v>
      </c>
      <c r="Q13" s="111">
        <v>45418</v>
      </c>
      <c r="R13" s="110" t="s">
        <v>2243</v>
      </c>
    </row>
    <row r="14" spans="2:18" x14ac:dyDescent="0.35">
      <c r="B14" s="129" t="s">
        <v>2104</v>
      </c>
      <c r="C14" s="110">
        <v>12</v>
      </c>
      <c r="D14" s="110" t="s">
        <v>2244</v>
      </c>
      <c r="E14" s="111">
        <v>45418</v>
      </c>
      <c r="F14" s="110">
        <v>1</v>
      </c>
      <c r="G14" s="137">
        <v>0.5</v>
      </c>
      <c r="H14" s="110" t="s">
        <v>2139</v>
      </c>
      <c r="I14" s="110">
        <v>0</v>
      </c>
      <c r="J14" s="110">
        <v>1083</v>
      </c>
      <c r="K14" s="110">
        <v>1083</v>
      </c>
      <c r="L14" s="110">
        <v>0</v>
      </c>
      <c r="M14" s="110">
        <v>5089455</v>
      </c>
      <c r="N14" s="110">
        <v>5117470</v>
      </c>
      <c r="O14" s="110">
        <v>1083</v>
      </c>
      <c r="P14" s="110">
        <v>0</v>
      </c>
      <c r="Q14" s="110">
        <v>0</v>
      </c>
      <c r="R14" s="110">
        <v>0</v>
      </c>
    </row>
    <row r="15" spans="2:18" x14ac:dyDescent="0.35">
      <c r="B15" s="129" t="s">
        <v>2106</v>
      </c>
      <c r="C15" s="110">
        <v>13</v>
      </c>
      <c r="D15" s="110" t="s">
        <v>2215</v>
      </c>
      <c r="E15" s="111">
        <v>45418</v>
      </c>
      <c r="F15" s="110">
        <v>1</v>
      </c>
      <c r="G15" s="137">
        <v>1</v>
      </c>
      <c r="H15" s="110" t="s">
        <v>2139</v>
      </c>
      <c r="I15" s="110" t="s">
        <v>2137</v>
      </c>
      <c r="J15" s="110" t="s">
        <v>2137</v>
      </c>
      <c r="K15" s="110" t="s">
        <v>2137</v>
      </c>
      <c r="L15" s="110" t="s">
        <v>2137</v>
      </c>
      <c r="M15" s="110" t="s">
        <v>2137</v>
      </c>
      <c r="N15" s="110">
        <v>0</v>
      </c>
      <c r="O15" s="110" t="s">
        <v>2137</v>
      </c>
      <c r="P15" s="113" t="s">
        <v>2137</v>
      </c>
      <c r="Q15" s="110" t="s">
        <v>2137</v>
      </c>
      <c r="R15" s="110" t="s">
        <v>2137</v>
      </c>
    </row>
    <row r="16" spans="2:18" x14ac:dyDescent="0.35">
      <c r="B16" s="129" t="s">
        <v>2108</v>
      </c>
      <c r="C16" s="110">
        <v>14</v>
      </c>
      <c r="D16" s="110" t="s">
        <v>2245</v>
      </c>
      <c r="E16" s="111">
        <v>45418</v>
      </c>
      <c r="F16" s="110">
        <v>1</v>
      </c>
      <c r="G16" s="137">
        <v>1</v>
      </c>
      <c r="H16" s="110" t="s">
        <v>2139</v>
      </c>
      <c r="I16" s="110">
        <v>0</v>
      </c>
      <c r="J16" s="110">
        <v>0</v>
      </c>
      <c r="K16" s="110" t="s">
        <v>2137</v>
      </c>
      <c r="L16" s="110">
        <v>0</v>
      </c>
      <c r="M16" s="110">
        <v>0</v>
      </c>
      <c r="N16" s="110">
        <v>0</v>
      </c>
      <c r="O16" s="110">
        <v>0</v>
      </c>
      <c r="P16" s="110" t="s">
        <v>2137</v>
      </c>
      <c r="Q16" s="110" t="s">
        <v>2137</v>
      </c>
      <c r="R16" s="110" t="s">
        <v>2137</v>
      </c>
    </row>
    <row r="17" spans="2:19" x14ac:dyDescent="0.35">
      <c r="B17" s="129" t="s">
        <v>2171</v>
      </c>
      <c r="C17" s="110">
        <v>15</v>
      </c>
      <c r="D17" s="110" t="s">
        <v>2246</v>
      </c>
      <c r="E17" s="111">
        <v>45418</v>
      </c>
      <c r="F17" s="110">
        <v>1</v>
      </c>
      <c r="G17" s="137">
        <v>1</v>
      </c>
      <c r="H17" s="110" t="s">
        <v>2139</v>
      </c>
      <c r="I17" s="110" t="s">
        <v>2137</v>
      </c>
      <c r="J17" s="110" t="s">
        <v>2137</v>
      </c>
      <c r="K17" s="110" t="s">
        <v>2137</v>
      </c>
      <c r="L17" s="110" t="s">
        <v>2137</v>
      </c>
      <c r="M17" s="110" t="s">
        <v>2137</v>
      </c>
      <c r="N17" s="110" t="s">
        <v>2137</v>
      </c>
      <c r="O17" s="110" t="s">
        <v>2137</v>
      </c>
      <c r="P17" s="110" t="s">
        <v>2137</v>
      </c>
      <c r="Q17" s="110" t="s">
        <v>2137</v>
      </c>
      <c r="R17" s="110" t="s">
        <v>2137</v>
      </c>
    </row>
    <row r="18" spans="2:19" x14ac:dyDescent="0.35">
      <c r="B18" s="129" t="s">
        <v>2173</v>
      </c>
      <c r="C18" s="110">
        <v>16</v>
      </c>
      <c r="D18" s="110" t="s">
        <v>2246</v>
      </c>
      <c r="E18" s="111">
        <v>45418</v>
      </c>
      <c r="F18" s="110">
        <v>1</v>
      </c>
      <c r="G18" s="137">
        <v>1</v>
      </c>
      <c r="H18" s="110" t="s">
        <v>2139</v>
      </c>
      <c r="I18" s="110" t="s">
        <v>2137</v>
      </c>
      <c r="J18" s="110" t="s">
        <v>2137</v>
      </c>
      <c r="K18" s="110" t="s">
        <v>2137</v>
      </c>
      <c r="L18" s="110" t="s">
        <v>2137</v>
      </c>
      <c r="M18" s="110" t="s">
        <v>2137</v>
      </c>
      <c r="N18" s="110" t="s">
        <v>2137</v>
      </c>
      <c r="O18" s="110" t="s">
        <v>2137</v>
      </c>
      <c r="P18" s="110" t="s">
        <v>2137</v>
      </c>
      <c r="Q18" s="110" t="s">
        <v>2137</v>
      </c>
      <c r="R18" s="110" t="s">
        <v>2137</v>
      </c>
    </row>
    <row r="19" spans="2:19" x14ac:dyDescent="0.35">
      <c r="B19" s="129" t="s">
        <v>2118</v>
      </c>
      <c r="C19" s="110">
        <v>19</v>
      </c>
      <c r="D19" s="110" t="s">
        <v>2247</v>
      </c>
      <c r="E19" s="111">
        <v>45418</v>
      </c>
      <c r="F19" s="110">
        <v>1</v>
      </c>
      <c r="G19" s="137" cm="1">
        <f t="array" ref="G19">SUMPRODUCT(--(ISNUMBER((SEARCH(I25:R25,I19:R19)))))/COUNTA(I19:R19)</f>
        <v>0.9</v>
      </c>
      <c r="H19" s="110" t="s">
        <v>2139</v>
      </c>
      <c r="I19" s="110" t="s">
        <v>2175</v>
      </c>
      <c r="J19" s="110" t="s">
        <v>2175</v>
      </c>
      <c r="K19" s="110" t="s">
        <v>2175</v>
      </c>
      <c r="L19" s="110" t="s">
        <v>2175</v>
      </c>
      <c r="M19" s="110" t="s">
        <v>2175</v>
      </c>
      <c r="N19" s="110" t="s">
        <v>2175</v>
      </c>
      <c r="O19" s="110" t="s">
        <v>2175</v>
      </c>
      <c r="P19" s="110" t="s">
        <v>2175</v>
      </c>
      <c r="Q19" s="110" t="s">
        <v>2175</v>
      </c>
      <c r="R19" s="110" t="s">
        <v>2176</v>
      </c>
    </row>
    <row r="20" spans="2:19" x14ac:dyDescent="0.35">
      <c r="B20" s="129" t="s">
        <v>2121</v>
      </c>
      <c r="C20" s="110">
        <v>20</v>
      </c>
      <c r="D20" s="110" t="s">
        <v>2219</v>
      </c>
      <c r="E20" s="111">
        <v>45418</v>
      </c>
      <c r="F20" s="110">
        <v>1</v>
      </c>
      <c r="G20" s="137" cm="1">
        <f t="array" ref="G20">SUM(IF(I2:R2 = I24:R24, 1, 0))/ COUNTA(I2:R2)</f>
        <v>0.4</v>
      </c>
      <c r="H20" s="110" t="s">
        <v>2139</v>
      </c>
      <c r="I20" s="110"/>
      <c r="J20" s="110"/>
      <c r="K20" s="110"/>
      <c r="L20" s="110"/>
      <c r="M20" s="110"/>
      <c r="N20" s="110"/>
      <c r="O20" s="110"/>
      <c r="P20" s="110"/>
      <c r="Q20" s="110"/>
      <c r="R20" s="110"/>
    </row>
    <row r="21" spans="2:19" x14ac:dyDescent="0.35">
      <c r="B21" s="131" t="s">
        <v>2124</v>
      </c>
      <c r="C21" s="110">
        <v>21</v>
      </c>
      <c r="D21" s="110"/>
      <c r="E21" s="111"/>
      <c r="F21" s="110"/>
      <c r="G21" s="110" cm="1">
        <f t="array" ref="G21">SUM(IF(IF(G3:G20="null",1,G3:G20)=1,1,0))/COUNT(IF(G3:G20="null",1,1))</f>
        <v>0.77777777777777779</v>
      </c>
      <c r="H21" s="110"/>
      <c r="I21" s="110"/>
      <c r="J21" s="110"/>
      <c r="K21" s="110"/>
      <c r="L21" s="110"/>
      <c r="M21" s="110"/>
      <c r="N21" s="110"/>
      <c r="O21" s="110"/>
      <c r="P21" s="110"/>
      <c r="Q21" s="110"/>
      <c r="R21" s="110"/>
    </row>
    <row r="23" spans="2:19" x14ac:dyDescent="0.35">
      <c r="B23" s="93" t="s">
        <v>2177</v>
      </c>
    </row>
    <row r="24" spans="2:19" x14ac:dyDescent="0.35">
      <c r="B24" s="106" t="s">
        <v>2127</v>
      </c>
      <c r="C24" s="107" t="s">
        <v>2128</v>
      </c>
      <c r="D24" s="107" t="s">
        <v>2129</v>
      </c>
      <c r="E24" s="107" t="s">
        <v>2130</v>
      </c>
      <c r="F24" s="107" t="s">
        <v>2131</v>
      </c>
      <c r="G24" s="107" t="s">
        <v>2132</v>
      </c>
      <c r="H24" s="107" t="s">
        <v>2133</v>
      </c>
      <c r="I24" s="114" t="str" cm="1">
        <f t="array" ref="I24:S24">TRANSPOSE(_xlfn.SORTBY(_xlfn._xlws.FILTER(Table2[NOME FÍSICO CAMPO],Table2[NOME FÍSICO TABELA]="party"), _xlfn._xlws.FILTER(Table2[ORDEM], Table2[NOME FÍSICO TABELA]="party"), 1))</f>
        <v>party_id</v>
      </c>
      <c r="J24" s="114" t="str">
        <v>partenon_id</v>
      </c>
      <c r="K24" s="114" t="str">
        <v>zcligrupo_id</v>
      </c>
      <c r="L24" s="114" t="str">
        <v>kgl_gbo_id</v>
      </c>
      <c r="M24" s="114" t="str">
        <v>kgl_cib_id</v>
      </c>
      <c r="N24" s="114" t="str">
        <v>sigom_client_id</v>
      </c>
      <c r="O24" s="114" t="str">
        <v>employee_id</v>
      </c>
      <c r="P24" s="114" t="str">
        <v>party_type_code</v>
      </c>
      <c r="Q24" s="114" t="str">
        <v>common_table_name</v>
      </c>
      <c r="R24" s="114" t="str">
        <v>data_date_part</v>
      </c>
      <c r="S24" t="str">
        <v>data_timestamp_part</v>
      </c>
    </row>
    <row r="25" spans="2:19" x14ac:dyDescent="0.35">
      <c r="B25" s="102" t="s">
        <v>2178</v>
      </c>
      <c r="C25" s="103">
        <v>21</v>
      </c>
      <c r="D25" s="104" t="s">
        <v>2179</v>
      </c>
      <c r="E25" s="98" t="s">
        <v>2180</v>
      </c>
      <c r="F25" s="98" t="s">
        <v>749</v>
      </c>
      <c r="G25" s="98" t="s">
        <v>749</v>
      </c>
      <c r="H25" s="98" t="s">
        <v>749</v>
      </c>
      <c r="I25" s="98" t="str" cm="1">
        <f t="array" ref="I25:S26">TRANSPOSE(_xlfn.SORTBY(_xlfn._xlws.FILTER(IF(Table2[FORMATO] :Table2[COMP_ CAMPO]&lt;&gt;"",Table2[FORMATO]:Table2[COMP_ CAMPO],9999999),Table2[NOME FÍSICO TABELA]="party"), _xlfn._xlws.FILTER(Table2[ORDEM], Table2[NOME FÍSICO TABELA]="party"), 1))</f>
        <v>STRING</v>
      </c>
      <c r="J25" s="98" t="str">
        <v>STRING</v>
      </c>
      <c r="K25" s="98" t="str">
        <v>STRING</v>
      </c>
      <c r="L25" s="98" t="str">
        <v>STRING</v>
      </c>
      <c r="M25" s="98" t="str">
        <v>STRING</v>
      </c>
      <c r="N25" s="98" t="str">
        <v>STRING</v>
      </c>
      <c r="O25" s="98" t="str">
        <v>STRING</v>
      </c>
      <c r="P25" s="98" t="str">
        <v>STRING</v>
      </c>
      <c r="Q25" s="98" t="str">
        <v>STRING</v>
      </c>
      <c r="R25" s="98" t="str">
        <v>STRING</v>
      </c>
      <c r="S25" t="str">
        <v>TIMESTAMP</v>
      </c>
    </row>
    <row r="26" spans="2:19" x14ac:dyDescent="0.35">
      <c r="B26" s="94" t="s">
        <v>2181</v>
      </c>
      <c r="C26" s="95">
        <v>7</v>
      </c>
      <c r="D26" s="96" t="s">
        <v>2179</v>
      </c>
      <c r="E26" s="97" t="s">
        <v>2180</v>
      </c>
      <c r="F26" s="97" t="s">
        <v>749</v>
      </c>
      <c r="G26" s="97" t="s">
        <v>749</v>
      </c>
      <c r="H26" s="97" t="s">
        <v>749</v>
      </c>
      <c r="I26" s="97">
        <v>10</v>
      </c>
      <c r="J26" s="97">
        <v>10</v>
      </c>
      <c r="K26" s="97">
        <v>10</v>
      </c>
      <c r="L26" s="97">
        <v>10</v>
      </c>
      <c r="M26" s="97">
        <v>10</v>
      </c>
      <c r="N26" s="97">
        <v>9999999</v>
      </c>
      <c r="O26" s="97">
        <v>10</v>
      </c>
      <c r="P26" s="97">
        <v>4</v>
      </c>
      <c r="Q26" s="97">
        <v>9999999</v>
      </c>
      <c r="R26" s="97">
        <v>10</v>
      </c>
      <c r="S26">
        <v>23</v>
      </c>
    </row>
    <row r="28" spans="2:19" x14ac:dyDescent="0.35">
      <c r="B28" s="109" t="s">
        <v>2182</v>
      </c>
    </row>
    <row r="29" spans="2:19" x14ac:dyDescent="0.35">
      <c r="B29" s="116" t="s">
        <v>2183</v>
      </c>
      <c r="C29" s="117" t="s">
        <v>2184</v>
      </c>
      <c r="D29" s="118" t="s">
        <v>2185</v>
      </c>
      <c r="E29" s="117" t="s">
        <v>2186</v>
      </c>
      <c r="F29" s="118" t="s">
        <v>2187</v>
      </c>
    </row>
    <row r="30" spans="2:19" ht="58" x14ac:dyDescent="0.35">
      <c r="B30" s="174" t="s">
        <v>2188</v>
      </c>
      <c r="C30" s="174" t="s">
        <v>1769</v>
      </c>
      <c r="D30" s="175" t="s">
        <v>2248</v>
      </c>
      <c r="E30" s="175" t="s">
        <v>2249</v>
      </c>
      <c r="F30" s="174" t="s">
        <v>2191</v>
      </c>
    </row>
    <row r="31" spans="2:19" ht="58" x14ac:dyDescent="0.35">
      <c r="B31" s="124" t="s">
        <v>2188</v>
      </c>
      <c r="C31" s="124" t="s">
        <v>2221</v>
      </c>
      <c r="D31" s="125" t="s">
        <v>2250</v>
      </c>
      <c r="E31" s="125" t="s">
        <v>2249</v>
      </c>
      <c r="F31" s="124"/>
    </row>
    <row r="32" spans="2:19" ht="58" x14ac:dyDescent="0.35">
      <c r="B32" s="174" t="s">
        <v>2188</v>
      </c>
      <c r="C32" s="174" t="s">
        <v>1816</v>
      </c>
      <c r="D32" s="175" t="s">
        <v>2248</v>
      </c>
      <c r="E32" s="175" t="s">
        <v>2249</v>
      </c>
      <c r="F32" s="174"/>
    </row>
    <row r="33" spans="2:6" ht="101.5" x14ac:dyDescent="0.35">
      <c r="B33" s="124" t="s">
        <v>2188</v>
      </c>
      <c r="C33" s="124" t="s">
        <v>1798</v>
      </c>
      <c r="D33" s="125" t="s">
        <v>2251</v>
      </c>
      <c r="E33" s="125" t="s">
        <v>2252</v>
      </c>
      <c r="F33" s="124"/>
    </row>
    <row r="34" spans="2:6" ht="101.5" x14ac:dyDescent="0.35">
      <c r="B34" s="124" t="s">
        <v>2188</v>
      </c>
      <c r="C34" s="124" t="s">
        <v>1807</v>
      </c>
      <c r="D34" s="125" t="s">
        <v>2251</v>
      </c>
      <c r="E34" s="125" t="s">
        <v>2253</v>
      </c>
      <c r="F34" s="124"/>
    </row>
    <row r="35" spans="2:6" ht="29" x14ac:dyDescent="0.35">
      <c r="B35" s="174" t="s">
        <v>2254</v>
      </c>
      <c r="C35" s="174" t="s">
        <v>1780</v>
      </c>
      <c r="D35" s="175" t="s">
        <v>2255</v>
      </c>
      <c r="E35" s="174" t="s">
        <v>2256</v>
      </c>
      <c r="F35" s="174"/>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3D64-922D-4223-ACC0-246C8940A708}">
  <sheetPr>
    <tabColor rgb="FF00B050"/>
  </sheetPr>
  <dimension ref="B1:N30"/>
  <sheetViews>
    <sheetView showGridLines="0" topLeftCell="C5" workbookViewId="0">
      <selection activeCell="G19" sqref="G19:G2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48.453125" bestFit="1" customWidth="1"/>
    <col min="14" max="14" width="24.54296875" bestFit="1" customWidth="1"/>
  </cols>
  <sheetData>
    <row r="1" spans="2:14" ht="30" customHeight="1" x14ac:dyDescent="0.35"/>
    <row r="2" spans="2:14" x14ac:dyDescent="0.35">
      <c r="B2" s="90" t="s">
        <v>2127</v>
      </c>
      <c r="C2" t="s">
        <v>2128</v>
      </c>
      <c r="D2" t="s">
        <v>2129</v>
      </c>
      <c r="E2" t="s">
        <v>2130</v>
      </c>
      <c r="F2" t="s">
        <v>2131</v>
      </c>
      <c r="G2" t="s">
        <v>2132</v>
      </c>
      <c r="H2" t="s">
        <v>2133</v>
      </c>
      <c r="I2" t="s">
        <v>785</v>
      </c>
      <c r="J2" t="s">
        <v>1188</v>
      </c>
      <c r="K2" t="s">
        <v>932</v>
      </c>
      <c r="L2" t="s">
        <v>1205</v>
      </c>
      <c r="M2" t="s">
        <v>765</v>
      </c>
      <c r="N2" t="s">
        <v>772</v>
      </c>
    </row>
    <row r="3" spans="2:14" x14ac:dyDescent="0.35">
      <c r="B3" s="129" t="s">
        <v>2081</v>
      </c>
      <c r="C3" s="110">
        <v>1</v>
      </c>
      <c r="D3" s="110" t="s">
        <v>2257</v>
      </c>
      <c r="E3" s="111">
        <v>45502</v>
      </c>
      <c r="F3" s="110">
        <v>1</v>
      </c>
      <c r="G3" s="137">
        <v>1</v>
      </c>
      <c r="H3" s="134" t="s">
        <v>2258</v>
      </c>
      <c r="I3" s="110" t="s">
        <v>2137</v>
      </c>
      <c r="J3" s="110" t="s">
        <v>2137</v>
      </c>
      <c r="K3" s="110" t="s">
        <v>2137</v>
      </c>
      <c r="L3" s="110" t="s">
        <v>2137</v>
      </c>
      <c r="M3" s="110" t="s">
        <v>2137</v>
      </c>
      <c r="N3" s="110" t="s">
        <v>2137</v>
      </c>
    </row>
    <row r="4" spans="2:14" x14ac:dyDescent="0.35">
      <c r="B4" s="129" t="s">
        <v>2083</v>
      </c>
      <c r="C4" s="110">
        <v>2</v>
      </c>
      <c r="D4" s="110" t="s">
        <v>2259</v>
      </c>
      <c r="E4" s="111">
        <v>45502</v>
      </c>
      <c r="F4" s="110">
        <v>1</v>
      </c>
      <c r="G4" s="137">
        <v>1</v>
      </c>
      <c r="H4" s="110" t="s">
        <v>2139</v>
      </c>
      <c r="I4" s="110" t="s">
        <v>2137</v>
      </c>
      <c r="J4" s="110" t="s">
        <v>2137</v>
      </c>
      <c r="K4" s="110" t="s">
        <v>2137</v>
      </c>
      <c r="L4" s="110" t="s">
        <v>2137</v>
      </c>
      <c r="M4" s="110" t="s">
        <v>2137</v>
      </c>
      <c r="N4" s="110" t="s">
        <v>2137</v>
      </c>
    </row>
    <row r="5" spans="2:14" x14ac:dyDescent="0.35">
      <c r="B5" s="129" t="s">
        <v>2085</v>
      </c>
      <c r="C5" s="110">
        <v>3</v>
      </c>
      <c r="D5" s="110" t="s">
        <v>2260</v>
      </c>
      <c r="E5" s="111">
        <v>45502</v>
      </c>
      <c r="F5" s="110">
        <v>1</v>
      </c>
      <c r="G5" s="137">
        <v>1</v>
      </c>
      <c r="H5" s="110" t="s">
        <v>2139</v>
      </c>
      <c r="I5" s="110">
        <v>0</v>
      </c>
      <c r="J5" s="110">
        <v>0</v>
      </c>
      <c r="K5" s="110">
        <v>0</v>
      </c>
      <c r="L5" s="110" t="s">
        <v>2137</v>
      </c>
      <c r="M5" s="110">
        <v>0</v>
      </c>
      <c r="N5" s="110" t="s">
        <v>2137</v>
      </c>
    </row>
    <row r="6" spans="2:14"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row>
    <row r="7" spans="2:14"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row>
    <row r="8" spans="2:14" x14ac:dyDescent="0.35">
      <c r="B8" s="129" t="s">
        <v>2090</v>
      </c>
      <c r="C8" s="110">
        <v>6</v>
      </c>
      <c r="D8" s="110" t="s">
        <v>2261</v>
      </c>
      <c r="E8" s="111">
        <v>45502</v>
      </c>
      <c r="F8" s="110">
        <v>1</v>
      </c>
      <c r="G8" s="138" cm="1">
        <f t="array" ref="G8">SUMPRODUCT(--(I8:N8&gt;0))/COUNTA(I8:N8)</f>
        <v>1</v>
      </c>
      <c r="H8" s="110" t="s">
        <v>2139</v>
      </c>
      <c r="I8" s="110">
        <v>2</v>
      </c>
      <c r="J8" s="110">
        <v>7</v>
      </c>
      <c r="K8" s="110">
        <v>1</v>
      </c>
      <c r="L8" s="110">
        <v>5</v>
      </c>
      <c r="M8" s="110">
        <v>10</v>
      </c>
      <c r="N8" s="110">
        <v>22</v>
      </c>
    </row>
    <row r="9" spans="2:14" x14ac:dyDescent="0.35">
      <c r="B9" s="129" t="s">
        <v>2093</v>
      </c>
      <c r="C9" s="110">
        <v>7</v>
      </c>
      <c r="D9" s="110" t="s">
        <v>2262</v>
      </c>
      <c r="E9" s="111">
        <v>45502</v>
      </c>
      <c r="F9" s="110">
        <v>1</v>
      </c>
      <c r="G9" s="139" cm="1">
        <f t="array" ref="G9">SUMPRODUCT(--(I9:N9&lt;=I26:N26))/COUNTA(I26:N26)</f>
        <v>0.83333333333333337</v>
      </c>
      <c r="H9" s="110" t="s">
        <v>2139</v>
      </c>
      <c r="I9" s="110">
        <v>10</v>
      </c>
      <c r="J9" s="110">
        <v>7</v>
      </c>
      <c r="K9" s="110">
        <v>1</v>
      </c>
      <c r="L9" s="110">
        <v>5</v>
      </c>
      <c r="M9" s="110">
        <v>10</v>
      </c>
      <c r="N9" s="110">
        <v>22</v>
      </c>
    </row>
    <row r="10" spans="2:14" x14ac:dyDescent="0.35">
      <c r="B10" s="129" t="s">
        <v>2096</v>
      </c>
      <c r="C10" s="110">
        <v>8</v>
      </c>
      <c r="D10" s="110" t="s">
        <v>2263</v>
      </c>
      <c r="E10" s="111">
        <v>45502</v>
      </c>
      <c r="F10" s="110">
        <v>1</v>
      </c>
      <c r="G10" s="111" t="s">
        <v>2137</v>
      </c>
      <c r="H10" s="110" t="s">
        <v>2139</v>
      </c>
      <c r="I10" s="110">
        <v>10004</v>
      </c>
      <c r="J10" s="110" t="s">
        <v>2264</v>
      </c>
      <c r="K10" s="110">
        <v>1</v>
      </c>
      <c r="L10" s="110">
        <v>1</v>
      </c>
      <c r="M10" s="111">
        <v>45502</v>
      </c>
      <c r="N10" s="111" t="s">
        <v>2265</v>
      </c>
    </row>
    <row r="11" spans="2:14" x14ac:dyDescent="0.35">
      <c r="B11" s="129" t="s">
        <v>2098</v>
      </c>
      <c r="C11" s="110">
        <v>9</v>
      </c>
      <c r="D11" s="110" t="s">
        <v>2266</v>
      </c>
      <c r="E11" s="111">
        <v>45502</v>
      </c>
      <c r="F11" s="110">
        <v>1</v>
      </c>
      <c r="G11" s="111" t="s">
        <v>2137</v>
      </c>
      <c r="H11" s="110" t="s">
        <v>2139</v>
      </c>
      <c r="I11" s="110">
        <v>42</v>
      </c>
      <c r="J11" s="110" t="s">
        <v>2264</v>
      </c>
      <c r="K11" s="110">
        <v>1</v>
      </c>
      <c r="L11" s="110">
        <v>1</v>
      </c>
      <c r="M11" s="111">
        <v>45502</v>
      </c>
      <c r="N11" s="111" t="s">
        <v>2267</v>
      </c>
    </row>
    <row r="12" spans="2:14" x14ac:dyDescent="0.35">
      <c r="B12" s="130" t="s">
        <v>2100</v>
      </c>
      <c r="C12" s="110">
        <v>10</v>
      </c>
      <c r="D12" s="110" t="s">
        <v>2268</v>
      </c>
      <c r="E12" s="111">
        <v>45502</v>
      </c>
      <c r="F12" s="110">
        <v>1</v>
      </c>
      <c r="G12" s="111" t="s">
        <v>2137</v>
      </c>
      <c r="H12" s="110" t="s">
        <v>2139</v>
      </c>
      <c r="I12" s="110">
        <v>99989</v>
      </c>
      <c r="J12" s="110" t="s">
        <v>2264</v>
      </c>
      <c r="K12" s="110">
        <v>1</v>
      </c>
      <c r="L12" s="110">
        <v>999</v>
      </c>
      <c r="M12" s="111">
        <v>45502</v>
      </c>
      <c r="N12" s="111" t="s">
        <v>2265</v>
      </c>
    </row>
    <row r="13" spans="2:14" x14ac:dyDescent="0.35">
      <c r="B13" s="130" t="s">
        <v>2102</v>
      </c>
      <c r="C13" s="110">
        <v>11</v>
      </c>
      <c r="D13" s="110" t="s">
        <v>2269</v>
      </c>
      <c r="E13" s="111">
        <v>45502</v>
      </c>
      <c r="F13" s="110">
        <v>1</v>
      </c>
      <c r="G13" s="111" t="s">
        <v>2137</v>
      </c>
      <c r="H13" s="110" t="s">
        <v>2139</v>
      </c>
      <c r="I13" s="110">
        <v>9002691418</v>
      </c>
      <c r="J13" s="110" t="s">
        <v>2264</v>
      </c>
      <c r="K13" s="110">
        <v>1</v>
      </c>
      <c r="L13" s="110">
        <v>999</v>
      </c>
      <c r="M13" s="111">
        <v>45502</v>
      </c>
      <c r="N13" s="111" t="s">
        <v>2270</v>
      </c>
    </row>
    <row r="14" spans="2:14" x14ac:dyDescent="0.35">
      <c r="B14" s="129" t="s">
        <v>2104</v>
      </c>
      <c r="C14" s="110">
        <v>12</v>
      </c>
      <c r="D14" s="110" t="s">
        <v>2271</v>
      </c>
      <c r="E14" s="111">
        <v>45502</v>
      </c>
      <c r="F14" s="110">
        <v>1</v>
      </c>
      <c r="G14" s="137">
        <v>1</v>
      </c>
      <c r="H14" s="110" t="s">
        <v>2139</v>
      </c>
      <c r="I14" s="110">
        <v>0</v>
      </c>
      <c r="J14" s="110">
        <v>0</v>
      </c>
      <c r="K14" s="110">
        <v>0</v>
      </c>
      <c r="L14" s="110">
        <v>0</v>
      </c>
      <c r="M14" s="110">
        <v>0</v>
      </c>
      <c r="N14" s="110">
        <v>0</v>
      </c>
    </row>
    <row r="15" spans="2:14" x14ac:dyDescent="0.35">
      <c r="B15" s="129" t="s">
        <v>2106</v>
      </c>
      <c r="C15" s="110">
        <v>13</v>
      </c>
      <c r="D15" s="110" t="s">
        <v>2272</v>
      </c>
      <c r="E15" s="111">
        <v>45502</v>
      </c>
      <c r="F15" s="110">
        <v>1</v>
      </c>
      <c r="G15" s="137">
        <v>1</v>
      </c>
      <c r="H15" s="110" t="s">
        <v>2139</v>
      </c>
      <c r="I15" s="110">
        <v>0</v>
      </c>
      <c r="J15" s="110">
        <v>0</v>
      </c>
      <c r="K15" s="110" t="s">
        <v>2137</v>
      </c>
      <c r="L15" s="110">
        <v>0</v>
      </c>
      <c r="M15" s="110" t="s">
        <v>2137</v>
      </c>
      <c r="N15" s="110" t="s">
        <v>2137</v>
      </c>
    </row>
    <row r="16" spans="2:14" x14ac:dyDescent="0.35">
      <c r="B16" s="129" t="s">
        <v>2108</v>
      </c>
      <c r="C16" s="110">
        <v>14</v>
      </c>
      <c r="D16" s="110" t="s">
        <v>2273</v>
      </c>
      <c r="E16" s="111">
        <v>45502</v>
      </c>
      <c r="F16" s="110">
        <v>1</v>
      </c>
      <c r="G16" s="137">
        <v>1</v>
      </c>
      <c r="H16" s="110" t="s">
        <v>2139</v>
      </c>
      <c r="I16" s="110" t="s">
        <v>2137</v>
      </c>
      <c r="J16" s="110" t="s">
        <v>2137</v>
      </c>
      <c r="K16" s="110" t="s">
        <v>2137</v>
      </c>
      <c r="L16" s="110" t="s">
        <v>2137</v>
      </c>
      <c r="M16" s="110" t="s">
        <v>2137</v>
      </c>
      <c r="N16" s="110" t="s">
        <v>2137</v>
      </c>
    </row>
    <row r="17" spans="2:14" x14ac:dyDescent="0.35">
      <c r="B17" s="129" t="s">
        <v>2171</v>
      </c>
      <c r="C17" s="110">
        <v>15</v>
      </c>
      <c r="D17" s="110" t="s">
        <v>2273</v>
      </c>
      <c r="E17" s="111">
        <v>45502</v>
      </c>
      <c r="F17" s="110">
        <v>1</v>
      </c>
      <c r="G17" s="137">
        <v>1</v>
      </c>
      <c r="H17" s="110" t="s">
        <v>2139</v>
      </c>
      <c r="I17" s="110" t="s">
        <v>2137</v>
      </c>
      <c r="J17" s="110" t="s">
        <v>2137</v>
      </c>
      <c r="K17" s="110" t="s">
        <v>2137</v>
      </c>
      <c r="L17" s="110" t="s">
        <v>2137</v>
      </c>
      <c r="M17" s="110" t="s">
        <v>2137</v>
      </c>
      <c r="N17" s="110" t="s">
        <v>2137</v>
      </c>
    </row>
    <row r="18" spans="2:14" x14ac:dyDescent="0.35">
      <c r="B18" s="129" t="s">
        <v>2173</v>
      </c>
      <c r="C18" s="110">
        <v>16</v>
      </c>
      <c r="D18" s="110" t="s">
        <v>2274</v>
      </c>
      <c r="E18" s="111">
        <v>45502</v>
      </c>
      <c r="F18" s="110">
        <v>1</v>
      </c>
      <c r="G18" s="137">
        <v>1</v>
      </c>
      <c r="H18" s="110" t="s">
        <v>2139</v>
      </c>
      <c r="I18" s="110" t="s">
        <v>2175</v>
      </c>
      <c r="J18" s="110" t="s">
        <v>2175</v>
      </c>
      <c r="K18" s="110" t="s">
        <v>2275</v>
      </c>
      <c r="L18" s="110" t="s">
        <v>2175</v>
      </c>
      <c r="M18" s="110" t="s">
        <v>2175</v>
      </c>
      <c r="N18" s="110" t="s">
        <v>2176</v>
      </c>
    </row>
    <row r="19" spans="2:14" x14ac:dyDescent="0.35">
      <c r="B19" s="129" t="s">
        <v>2118</v>
      </c>
      <c r="C19" s="110">
        <v>19</v>
      </c>
      <c r="D19" s="110" t="s">
        <v>2274</v>
      </c>
      <c r="E19" s="111">
        <v>45418</v>
      </c>
      <c r="F19" s="110">
        <v>1</v>
      </c>
      <c r="G19" s="137" cm="1">
        <f t="array" ref="G19">SUMPRODUCT(--(ISNUMBER((SEARCH(I25:N25,I19:N19)))))/COUNTA(I19:N19)</f>
        <v>0.83333333333333337</v>
      </c>
      <c r="H19" s="110" t="s">
        <v>2139</v>
      </c>
      <c r="I19" s="110" t="s">
        <v>2175</v>
      </c>
      <c r="J19" s="110" t="s">
        <v>2175</v>
      </c>
      <c r="K19" s="110" t="s">
        <v>2275</v>
      </c>
      <c r="L19" s="110" t="s">
        <v>2175</v>
      </c>
      <c r="M19" s="110" t="s">
        <v>2175</v>
      </c>
      <c r="N19" s="110" t="s">
        <v>2176</v>
      </c>
    </row>
    <row r="20" spans="2:14" x14ac:dyDescent="0.35">
      <c r="B20" s="129" t="s">
        <v>2121</v>
      </c>
      <c r="C20" s="110">
        <v>20</v>
      </c>
      <c r="D20" s="110" t="s">
        <v>2274</v>
      </c>
      <c r="E20" s="111">
        <v>45418</v>
      </c>
      <c r="F20" s="110">
        <v>1</v>
      </c>
      <c r="G20" s="137" cm="1">
        <f t="array" ref="G20">SUM(IF(I2:N2 = I24:N24, 1, 0))/ COUNTA(I2:N2)</f>
        <v>1</v>
      </c>
      <c r="H20" s="110" t="s">
        <v>2139</v>
      </c>
      <c r="I20" s="110"/>
      <c r="J20" s="110"/>
      <c r="K20" s="110"/>
      <c r="L20" s="110"/>
      <c r="M20" s="110"/>
      <c r="N20" s="110"/>
    </row>
    <row r="21" spans="2:14" x14ac:dyDescent="0.35">
      <c r="B21" s="131" t="s">
        <v>2124</v>
      </c>
      <c r="C21" s="110">
        <v>21</v>
      </c>
      <c r="D21" s="110"/>
      <c r="E21" s="111"/>
      <c r="F21" s="110"/>
      <c r="G21" s="110" cm="1">
        <f t="array" ref="G21">SUM(IF(IF(G3:G20="null",1,G3:G20)=1,1,0))/COUNT(IF(G3:G20="null",1,1))</f>
        <v>0.88888888888888884</v>
      </c>
      <c r="H21" s="110"/>
      <c r="I21" s="110"/>
      <c r="J21" s="110"/>
      <c r="K21" s="110"/>
      <c r="L21" s="110"/>
      <c r="M21" s="110"/>
      <c r="N21" s="110"/>
    </row>
    <row r="23" spans="2:14" x14ac:dyDescent="0.35">
      <c r="B23" s="93" t="s">
        <v>2177</v>
      </c>
    </row>
    <row r="24" spans="2:14" x14ac:dyDescent="0.35">
      <c r="B24" s="106" t="s">
        <v>2127</v>
      </c>
      <c r="C24" s="107" t="s">
        <v>2128</v>
      </c>
      <c r="D24" s="107" t="s">
        <v>2129</v>
      </c>
      <c r="E24" s="107" t="s">
        <v>2130</v>
      </c>
      <c r="F24" s="107" t="s">
        <v>2131</v>
      </c>
      <c r="G24" s="107" t="s">
        <v>2132</v>
      </c>
      <c r="H24" s="107" t="s">
        <v>2133</v>
      </c>
      <c r="I24" s="114" t="str" cm="1">
        <f t="array" ref="I24:N24">TRANSPOSE(_xlfn.SORTBY(_xlfn._xlws.FILTER(Table2[NOME FÍSICO CAMPO],Table2[NOME FÍSICO TABELA]="entity_economic_activity"), _xlfn._xlws.FILTER(Table2[ORDEM], Table2[NOME FÍSICO TABELA]="entity_economic_activity"), 1))</f>
        <v>party_id</v>
      </c>
      <c r="J24" s="114" t="str">
        <v>industry_classific_system_code</v>
      </c>
      <c r="K24" s="114" t="str">
        <v>order_number</v>
      </c>
      <c r="L24" s="114" t="str">
        <v>econ_activity_category_code</v>
      </c>
      <c r="M24" s="114" t="str">
        <v>data_date_part</v>
      </c>
      <c r="N24" s="114" t="str">
        <v>data_timestamp_part</v>
      </c>
    </row>
    <row r="25" spans="2:14" x14ac:dyDescent="0.35">
      <c r="B25" s="102" t="s">
        <v>2178</v>
      </c>
      <c r="C25" s="103">
        <v>21</v>
      </c>
      <c r="D25" s="104" t="s">
        <v>2179</v>
      </c>
      <c r="E25" s="98" t="s">
        <v>2180</v>
      </c>
      <c r="F25" s="98" t="s">
        <v>749</v>
      </c>
      <c r="G25" s="98" t="s">
        <v>749</v>
      </c>
      <c r="H25" s="98" t="s">
        <v>749</v>
      </c>
      <c r="I25" s="98" t="str" cm="1">
        <f t="array" ref="I25:N26">TRANSPOSE(_xlfn.SORTBY(_xlfn._xlws.FILTER(IF(Table2[FORMATO] :Table2[COMP_ CAMPO]&lt;&gt;"",Table2[FORMATO]:Table2[COMP_ CAMPO],9999999),Table2[NOME FÍSICO TABELA]="entity_economic_activity"), _xlfn._xlws.FILTER(Table2[ORDEM], Table2[NOME FÍSICO TABELA]="entity_economic_activity"), 1))</f>
        <v>STRING</v>
      </c>
      <c r="J25" s="98" t="str">
        <v>STRING</v>
      </c>
      <c r="K25" s="98" t="str">
        <v>BIGINT</v>
      </c>
      <c r="L25" s="98" t="str">
        <v>STRING</v>
      </c>
      <c r="M25" s="98" t="str">
        <v>STRING</v>
      </c>
      <c r="N25" s="98" t="str">
        <v>TIMESTAMP</v>
      </c>
    </row>
    <row r="26" spans="2:14" x14ac:dyDescent="0.35">
      <c r="B26" s="94" t="s">
        <v>2181</v>
      </c>
      <c r="C26" s="95">
        <v>7</v>
      </c>
      <c r="D26" s="96" t="s">
        <v>2179</v>
      </c>
      <c r="E26" s="97" t="s">
        <v>2180</v>
      </c>
      <c r="F26" s="97" t="s">
        <v>749</v>
      </c>
      <c r="G26" s="97" t="s">
        <v>749</v>
      </c>
      <c r="H26" s="97" t="s">
        <v>749</v>
      </c>
      <c r="I26" s="97">
        <v>10</v>
      </c>
      <c r="J26" s="97">
        <v>4</v>
      </c>
      <c r="K26" s="97">
        <v>9999999</v>
      </c>
      <c r="L26" s="97">
        <v>5</v>
      </c>
      <c r="M26" s="97">
        <v>10</v>
      </c>
      <c r="N26" s="97">
        <v>23</v>
      </c>
    </row>
    <row r="28" spans="2:14" x14ac:dyDescent="0.35">
      <c r="B28" s="109" t="s">
        <v>2182</v>
      </c>
    </row>
    <row r="29" spans="2:14" x14ac:dyDescent="0.35">
      <c r="B29" s="116" t="s">
        <v>2183</v>
      </c>
      <c r="C29" s="117" t="s">
        <v>2184</v>
      </c>
      <c r="D29" s="118" t="s">
        <v>2185</v>
      </c>
      <c r="E29" s="117" t="s">
        <v>2186</v>
      </c>
      <c r="F29" s="118" t="s">
        <v>2187</v>
      </c>
    </row>
    <row r="30" spans="2:14" x14ac:dyDescent="0.35">
      <c r="B30" s="124"/>
      <c r="C30" s="124"/>
      <c r="D30" s="135"/>
      <c r="E30" s="125"/>
      <c r="F30" s="136"/>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5077-4421-4D72-9445-EF8366034EF9}">
  <sheetPr>
    <tabColor rgb="FF00B050"/>
  </sheetPr>
  <dimension ref="B1:O32"/>
  <sheetViews>
    <sheetView showGridLines="0" workbookViewId="0">
      <selection activeCell="G14" sqref="G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30.54296875" bestFit="1" customWidth="1"/>
  </cols>
  <sheetData>
    <row r="1" spans="2:15" ht="30" customHeight="1" x14ac:dyDescent="0.35"/>
    <row r="2" spans="2:15" x14ac:dyDescent="0.35">
      <c r="B2" s="90" t="s">
        <v>2127</v>
      </c>
      <c r="C2" t="s">
        <v>2128</v>
      </c>
      <c r="D2" t="s">
        <v>2129</v>
      </c>
      <c r="E2" t="s">
        <v>2130</v>
      </c>
      <c r="F2" t="s">
        <v>2131</v>
      </c>
      <c r="G2" t="s">
        <v>2132</v>
      </c>
      <c r="H2" t="s">
        <v>2133</v>
      </c>
      <c r="I2" t="s">
        <v>785</v>
      </c>
      <c r="J2" t="s">
        <v>1145</v>
      </c>
      <c r="K2" t="s">
        <v>1158</v>
      </c>
      <c r="L2" t="s">
        <v>1168</v>
      </c>
      <c r="M2" t="s">
        <v>1176</v>
      </c>
      <c r="N2" t="s">
        <v>765</v>
      </c>
      <c r="O2" t="s">
        <v>772</v>
      </c>
    </row>
    <row r="3" spans="2:15" x14ac:dyDescent="0.35">
      <c r="B3" s="129" t="s">
        <v>2081</v>
      </c>
      <c r="C3" s="110">
        <v>1</v>
      </c>
      <c r="D3" s="110" t="s">
        <v>2276</v>
      </c>
      <c r="E3" s="111">
        <v>45502</v>
      </c>
      <c r="F3" s="110">
        <v>1</v>
      </c>
      <c r="G3" s="110">
        <v>1</v>
      </c>
      <c r="H3" s="134" t="s">
        <v>2258</v>
      </c>
      <c r="I3" s="110" t="s">
        <v>2137</v>
      </c>
      <c r="J3" s="110" t="s">
        <v>2137</v>
      </c>
      <c r="K3" s="110" t="s">
        <v>2137</v>
      </c>
      <c r="L3" s="110" t="s">
        <v>2137</v>
      </c>
      <c r="M3" s="110" t="s">
        <v>2137</v>
      </c>
      <c r="N3" s="110" t="s">
        <v>2137</v>
      </c>
      <c r="O3" s="110" t="s">
        <v>2137</v>
      </c>
    </row>
    <row r="4" spans="2:15" x14ac:dyDescent="0.35">
      <c r="B4" s="129" t="s">
        <v>2083</v>
      </c>
      <c r="C4" s="110">
        <v>2</v>
      </c>
      <c r="D4" s="110" t="s">
        <v>2277</v>
      </c>
      <c r="E4" s="111">
        <v>45502</v>
      </c>
      <c r="F4" s="110">
        <v>1</v>
      </c>
      <c r="G4" s="110">
        <v>1</v>
      </c>
      <c r="H4" s="110" t="s">
        <v>2139</v>
      </c>
      <c r="I4" s="110" t="s">
        <v>2137</v>
      </c>
      <c r="J4" s="110" t="s">
        <v>2137</v>
      </c>
      <c r="K4" s="110" t="s">
        <v>2137</v>
      </c>
      <c r="L4" s="110" t="s">
        <v>2137</v>
      </c>
      <c r="M4" s="110" t="s">
        <v>2137</v>
      </c>
      <c r="N4" s="110" t="s">
        <v>2137</v>
      </c>
      <c r="O4" s="110" t="s">
        <v>2137</v>
      </c>
    </row>
    <row r="5" spans="2:15" x14ac:dyDescent="0.35">
      <c r="B5" s="129" t="s">
        <v>2085</v>
      </c>
      <c r="C5" s="110">
        <v>3</v>
      </c>
      <c r="D5" s="110" t="s">
        <v>2278</v>
      </c>
      <c r="E5" s="111">
        <v>45502</v>
      </c>
      <c r="F5" s="110">
        <v>1</v>
      </c>
      <c r="G5" s="110">
        <v>1</v>
      </c>
      <c r="H5" s="110" t="s">
        <v>2139</v>
      </c>
      <c r="I5" s="110">
        <v>0</v>
      </c>
      <c r="J5" s="110" t="s">
        <v>2137</v>
      </c>
      <c r="K5" s="110" t="s">
        <v>2137</v>
      </c>
      <c r="L5" s="110" t="s">
        <v>2137</v>
      </c>
      <c r="M5" s="110" t="s">
        <v>2137</v>
      </c>
      <c r="N5" s="110" t="s">
        <v>2137</v>
      </c>
      <c r="O5" s="110" t="s">
        <v>2137</v>
      </c>
    </row>
    <row r="6" spans="2:15"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c r="O6" s="110" t="s">
        <v>2137</v>
      </c>
    </row>
    <row r="7" spans="2:15"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c r="O7" s="110" t="s">
        <v>2137</v>
      </c>
    </row>
    <row r="8" spans="2:15" x14ac:dyDescent="0.35">
      <c r="B8" s="129" t="s">
        <v>2090</v>
      </c>
      <c r="C8" s="110">
        <v>6</v>
      </c>
      <c r="D8" s="110" t="s">
        <v>2279</v>
      </c>
      <c r="E8" s="111">
        <v>45502</v>
      </c>
      <c r="F8" s="110">
        <v>1</v>
      </c>
      <c r="G8" s="110" cm="1">
        <f t="array" ref="G8">SUMPRODUCT(--(I8:O8&gt;0))/COUNTA(I8:O8)</f>
        <v>1</v>
      </c>
      <c r="H8" s="110" t="s">
        <v>2139</v>
      </c>
      <c r="I8" s="110">
        <v>2</v>
      </c>
      <c r="J8" s="110">
        <v>6</v>
      </c>
      <c r="K8" s="110">
        <v>4</v>
      </c>
      <c r="L8" s="110">
        <v>10</v>
      </c>
      <c r="M8" s="110">
        <v>10</v>
      </c>
      <c r="N8" s="110">
        <v>10</v>
      </c>
      <c r="O8" s="110">
        <v>23</v>
      </c>
    </row>
    <row r="9" spans="2:15" x14ac:dyDescent="0.35">
      <c r="B9" s="129" t="s">
        <v>2093</v>
      </c>
      <c r="C9" s="110">
        <v>7</v>
      </c>
      <c r="D9" s="110" t="s">
        <v>2280</v>
      </c>
      <c r="E9" s="111">
        <v>45502</v>
      </c>
      <c r="F9" s="110">
        <v>1</v>
      </c>
      <c r="G9" s="92" cm="1">
        <f t="array" ref="G9">SUMPRODUCT(--(I9:O9&lt;=I26:O26))/COUNTA(I26:O26)</f>
        <v>1</v>
      </c>
      <c r="H9" s="110" t="s">
        <v>2139</v>
      </c>
      <c r="I9" s="110">
        <v>10</v>
      </c>
      <c r="J9" s="110">
        <v>6</v>
      </c>
      <c r="K9" s="110">
        <v>4</v>
      </c>
      <c r="L9" s="110">
        <v>10</v>
      </c>
      <c r="M9" s="110">
        <v>10</v>
      </c>
      <c r="N9" s="110">
        <v>10</v>
      </c>
      <c r="O9" s="110">
        <v>23</v>
      </c>
    </row>
    <row r="10" spans="2:15" x14ac:dyDescent="0.35">
      <c r="B10" s="129" t="s">
        <v>2096</v>
      </c>
      <c r="C10" s="110">
        <v>8</v>
      </c>
      <c r="D10" s="110" t="s">
        <v>2281</v>
      </c>
      <c r="E10" s="111">
        <v>45502</v>
      </c>
      <c r="F10" s="110">
        <v>1</v>
      </c>
      <c r="G10" s="111" t="s">
        <v>2137</v>
      </c>
      <c r="H10" s="110" t="s">
        <v>2139</v>
      </c>
      <c r="I10" s="110">
        <v>10004</v>
      </c>
      <c r="J10" s="110">
        <v>101</v>
      </c>
      <c r="K10" s="140">
        <v>1</v>
      </c>
      <c r="L10" s="110" t="s">
        <v>2151</v>
      </c>
      <c r="M10" s="110" t="s">
        <v>2151</v>
      </c>
      <c r="N10" s="111">
        <v>45502</v>
      </c>
      <c r="O10" s="110" t="s">
        <v>2282</v>
      </c>
    </row>
    <row r="11" spans="2:15" x14ac:dyDescent="0.35">
      <c r="B11" s="129" t="s">
        <v>2098</v>
      </c>
      <c r="C11" s="110">
        <v>9</v>
      </c>
      <c r="D11" s="110" t="s">
        <v>2283</v>
      </c>
      <c r="E11" s="111">
        <v>45502</v>
      </c>
      <c r="F11" s="110">
        <v>1</v>
      </c>
      <c r="G11" s="111" t="s">
        <v>2137</v>
      </c>
      <c r="H11" s="110" t="s">
        <v>2139</v>
      </c>
      <c r="I11" s="110">
        <v>42</v>
      </c>
      <c r="J11" s="110">
        <v>101</v>
      </c>
      <c r="K11" s="140">
        <v>1</v>
      </c>
      <c r="L11" s="110" t="s">
        <v>2151</v>
      </c>
      <c r="M11" s="110" t="s">
        <v>2151</v>
      </c>
      <c r="N11" s="111">
        <v>45502</v>
      </c>
      <c r="O11" s="110" t="s">
        <v>2284</v>
      </c>
    </row>
    <row r="12" spans="2:15" x14ac:dyDescent="0.35">
      <c r="B12" s="130" t="s">
        <v>2100</v>
      </c>
      <c r="C12" s="110">
        <v>10</v>
      </c>
      <c r="D12" s="110" t="s">
        <v>2285</v>
      </c>
      <c r="E12" s="111">
        <v>45502</v>
      </c>
      <c r="F12" s="110">
        <v>1</v>
      </c>
      <c r="G12" s="111" t="s">
        <v>2137</v>
      </c>
      <c r="H12" s="110" t="s">
        <v>2139</v>
      </c>
      <c r="I12" s="110">
        <v>99989</v>
      </c>
      <c r="J12" s="110">
        <v>941132</v>
      </c>
      <c r="K12" s="110">
        <v>9811</v>
      </c>
      <c r="L12" s="111">
        <v>45502</v>
      </c>
      <c r="M12" s="111">
        <v>45482</v>
      </c>
      <c r="N12" s="111">
        <v>45502</v>
      </c>
      <c r="O12" s="110" t="s">
        <v>2282</v>
      </c>
    </row>
    <row r="13" spans="2:15" x14ac:dyDescent="0.35">
      <c r="B13" s="130" t="s">
        <v>2102</v>
      </c>
      <c r="C13" s="110">
        <v>11</v>
      </c>
      <c r="D13" s="110" t="s">
        <v>2286</v>
      </c>
      <c r="E13" s="111">
        <v>45502</v>
      </c>
      <c r="F13" s="110">
        <v>1</v>
      </c>
      <c r="G13" s="111" t="s">
        <v>2137</v>
      </c>
      <c r="H13" s="110" t="s">
        <v>2139</v>
      </c>
      <c r="I13" s="110">
        <v>9002691418</v>
      </c>
      <c r="J13" s="110">
        <v>941132</v>
      </c>
      <c r="K13" s="110">
        <v>9811</v>
      </c>
      <c r="L13" s="111">
        <v>45502</v>
      </c>
      <c r="M13" s="111">
        <v>45482</v>
      </c>
      <c r="N13" s="111">
        <v>45502</v>
      </c>
      <c r="O13" s="110" t="s">
        <v>2287</v>
      </c>
    </row>
    <row r="14" spans="2:15" x14ac:dyDescent="0.35">
      <c r="B14" s="129" t="s">
        <v>2104</v>
      </c>
      <c r="C14" s="110">
        <v>12</v>
      </c>
      <c r="D14" s="110" t="s">
        <v>2288</v>
      </c>
      <c r="E14" s="111">
        <v>45502</v>
      </c>
      <c r="F14" s="110">
        <v>1</v>
      </c>
      <c r="G14" s="110" t="s">
        <v>2289</v>
      </c>
      <c r="H14" s="110" t="s">
        <v>2139</v>
      </c>
      <c r="I14" s="110">
        <v>0</v>
      </c>
      <c r="J14" s="110">
        <v>811</v>
      </c>
      <c r="K14" s="110">
        <v>811</v>
      </c>
      <c r="L14" s="110">
        <v>0</v>
      </c>
      <c r="M14" s="110">
        <v>811</v>
      </c>
      <c r="N14" s="110">
        <v>0</v>
      </c>
      <c r="O14" s="110">
        <v>0</v>
      </c>
    </row>
    <row r="15" spans="2:15" x14ac:dyDescent="0.35">
      <c r="B15" s="129" t="s">
        <v>2106</v>
      </c>
      <c r="C15" s="110">
        <v>13</v>
      </c>
      <c r="D15" s="110" t="s">
        <v>2290</v>
      </c>
      <c r="E15" s="111">
        <v>45502</v>
      </c>
      <c r="F15" s="110">
        <v>1</v>
      </c>
      <c r="G15" s="110">
        <v>1</v>
      </c>
      <c r="H15" s="110" t="s">
        <v>2139</v>
      </c>
      <c r="I15" s="110" t="s">
        <v>2137</v>
      </c>
      <c r="J15" s="110" t="s">
        <v>2137</v>
      </c>
      <c r="K15" s="110" t="s">
        <v>2137</v>
      </c>
      <c r="L15" s="110">
        <v>0</v>
      </c>
      <c r="M15" s="110">
        <v>0</v>
      </c>
      <c r="N15" s="110" t="s">
        <v>2137</v>
      </c>
      <c r="O15" s="110" t="s">
        <v>2137</v>
      </c>
    </row>
    <row r="16" spans="2:15" x14ac:dyDescent="0.35">
      <c r="B16" s="129" t="s">
        <v>2108</v>
      </c>
      <c r="C16" s="110">
        <v>14</v>
      </c>
      <c r="D16" s="110" t="s">
        <v>2291</v>
      </c>
      <c r="E16" s="111">
        <v>45502</v>
      </c>
      <c r="F16" s="110">
        <v>1</v>
      </c>
      <c r="G16" s="110">
        <v>1</v>
      </c>
      <c r="H16" s="110" t="s">
        <v>2139</v>
      </c>
      <c r="I16" s="110">
        <v>0</v>
      </c>
      <c r="J16" s="110">
        <v>0</v>
      </c>
      <c r="K16" s="110">
        <v>0</v>
      </c>
      <c r="L16" s="110" t="s">
        <v>2137</v>
      </c>
      <c r="M16" s="110" t="s">
        <v>2137</v>
      </c>
      <c r="N16" s="110" t="s">
        <v>2137</v>
      </c>
      <c r="O16" s="110" t="s">
        <v>2137</v>
      </c>
    </row>
    <row r="17" spans="2:15" x14ac:dyDescent="0.35">
      <c r="B17" s="129" t="s">
        <v>2171</v>
      </c>
      <c r="C17" s="110">
        <v>15</v>
      </c>
      <c r="D17" s="110" t="s">
        <v>2292</v>
      </c>
      <c r="E17" s="111">
        <v>45502</v>
      </c>
      <c r="F17" s="110">
        <v>1</v>
      </c>
      <c r="G17" s="110">
        <v>1</v>
      </c>
      <c r="H17" s="110" t="s">
        <v>2139</v>
      </c>
      <c r="I17" s="110" t="s">
        <v>2137</v>
      </c>
      <c r="J17" s="110" t="s">
        <v>2137</v>
      </c>
      <c r="K17" s="110" t="s">
        <v>2137</v>
      </c>
      <c r="L17" s="110" t="s">
        <v>2137</v>
      </c>
      <c r="M17" s="110" t="s">
        <v>2137</v>
      </c>
      <c r="N17" s="110" t="s">
        <v>2137</v>
      </c>
      <c r="O17" s="110" t="s">
        <v>2137</v>
      </c>
    </row>
    <row r="18" spans="2:15" x14ac:dyDescent="0.35">
      <c r="B18" s="129" t="s">
        <v>2173</v>
      </c>
      <c r="C18" s="110">
        <v>16</v>
      </c>
      <c r="D18" s="110" t="s">
        <v>2292</v>
      </c>
      <c r="E18" s="111">
        <v>45502</v>
      </c>
      <c r="F18" s="110">
        <v>1</v>
      </c>
      <c r="G18" s="110">
        <v>1</v>
      </c>
      <c r="H18" s="110" t="s">
        <v>2139</v>
      </c>
      <c r="I18" s="110" t="s">
        <v>2137</v>
      </c>
      <c r="J18" s="110" t="s">
        <v>2137</v>
      </c>
      <c r="K18" s="110" t="s">
        <v>2137</v>
      </c>
      <c r="L18" s="110" t="s">
        <v>2137</v>
      </c>
      <c r="M18" s="110" t="s">
        <v>2137</v>
      </c>
      <c r="N18" s="110" t="s">
        <v>2137</v>
      </c>
      <c r="O18" s="110" t="s">
        <v>2137</v>
      </c>
    </row>
    <row r="19" spans="2:15" x14ac:dyDescent="0.35">
      <c r="B19" s="129" t="s">
        <v>2118</v>
      </c>
      <c r="C19" s="110">
        <v>19</v>
      </c>
      <c r="D19" s="110" t="s">
        <v>2293</v>
      </c>
      <c r="E19" s="111">
        <v>45502</v>
      </c>
      <c r="F19" s="110">
        <v>1</v>
      </c>
      <c r="G19" s="110" cm="1">
        <f t="array" ref="G19">SUMPRODUCT(--(ISNUMBER((SEARCH(I25:O25,I19:O19)))))/COUNTA(I19:O19)</f>
        <v>1</v>
      </c>
      <c r="H19" s="110" t="s">
        <v>2139</v>
      </c>
      <c r="I19" s="110" t="s">
        <v>2175</v>
      </c>
      <c r="J19" s="110" t="s">
        <v>2175</v>
      </c>
      <c r="K19" s="110" t="s">
        <v>2175</v>
      </c>
      <c r="L19" s="110" t="s">
        <v>2175</v>
      </c>
      <c r="M19" s="110" t="s">
        <v>2175</v>
      </c>
      <c r="N19" s="110" t="s">
        <v>2175</v>
      </c>
      <c r="O19" s="110" t="s">
        <v>2176</v>
      </c>
    </row>
    <row r="20" spans="2:15" x14ac:dyDescent="0.35">
      <c r="B20" s="129" t="s">
        <v>2121</v>
      </c>
      <c r="C20" s="110">
        <v>20</v>
      </c>
      <c r="D20" s="110" t="s">
        <v>2293</v>
      </c>
      <c r="E20" s="111">
        <v>45502</v>
      </c>
      <c r="F20" s="110">
        <v>1</v>
      </c>
      <c r="G20" s="110" cm="1">
        <f t="array" ref="G20">SUM(IF(I2:O2 = I24:O24, 1, 0))/ COUNTA(I2:O2)</f>
        <v>1</v>
      </c>
      <c r="H20" s="110" t="s">
        <v>2139</v>
      </c>
      <c r="I20" s="110"/>
      <c r="J20" s="110"/>
      <c r="K20" s="110"/>
      <c r="L20" s="110"/>
      <c r="M20" s="110"/>
      <c r="N20" s="110"/>
      <c r="O20" s="110"/>
    </row>
    <row r="21" spans="2:15" x14ac:dyDescent="0.35">
      <c r="B21" s="131" t="s">
        <v>2124</v>
      </c>
      <c r="C21" s="110">
        <v>21</v>
      </c>
      <c r="D21" s="110" t="s">
        <v>2293</v>
      </c>
      <c r="E21" s="111">
        <v>45502</v>
      </c>
      <c r="F21" s="110"/>
      <c r="G21" s="110" cm="1">
        <f t="array" ref="G21">SUM(IF(IF(G3:G20="null",1,G3:G20)=1,1,0))/COUNT(IF(G3:G20="null",1,1))</f>
        <v>0.94444444444444442</v>
      </c>
      <c r="H21" s="110"/>
      <c r="I21" s="110"/>
      <c r="J21" s="110"/>
      <c r="K21" s="110"/>
      <c r="L21" s="110"/>
      <c r="M21" s="110"/>
      <c r="N21" s="110"/>
      <c r="O21" s="110"/>
    </row>
    <row r="23" spans="2:15" x14ac:dyDescent="0.35">
      <c r="B23" s="93" t="s">
        <v>2177</v>
      </c>
    </row>
    <row r="24" spans="2:15" x14ac:dyDescent="0.35">
      <c r="B24" s="106" t="s">
        <v>2127</v>
      </c>
      <c r="C24" s="107" t="s">
        <v>2128</v>
      </c>
      <c r="D24" s="107" t="s">
        <v>2129</v>
      </c>
      <c r="E24" s="107" t="s">
        <v>2130</v>
      </c>
      <c r="F24" s="107" t="s">
        <v>2131</v>
      </c>
      <c r="G24" s="107" t="s">
        <v>2132</v>
      </c>
      <c r="H24" s="107" t="s">
        <v>2133</v>
      </c>
      <c r="I24" s="114" t="str" cm="1">
        <f t="array" ref="I24:O24">TRANSPOSE(_xlfn.SORTBY(_xlfn._xlws.FILTER(Table2[NOME FÍSICO CAMPO],Table2[NOME FÍSICO TABELA]="entity_contractual_mngt"), _xlfn._xlws.FILTER(Table2[ORDEM], Table2[NOME FÍSICO TABELA]="entity_contractual_mngt"), 1))</f>
        <v>party_id</v>
      </c>
      <c r="J24" s="114" t="str">
        <v>client_manager_employee_id</v>
      </c>
      <c r="K24" s="114" t="str">
        <v>client_manager_branch_code</v>
      </c>
      <c r="L24" s="114" t="str">
        <v>contractual_rel_start_date</v>
      </c>
      <c r="M24" s="114" t="str">
        <v>digital_banking_join_date</v>
      </c>
      <c r="N24" s="114" t="str">
        <v>data_date_part</v>
      </c>
      <c r="O24" s="115" t="str">
        <v>data_timestamp_part</v>
      </c>
    </row>
    <row r="25" spans="2:15" x14ac:dyDescent="0.35">
      <c r="B25" s="102" t="s">
        <v>2178</v>
      </c>
      <c r="C25" s="103">
        <v>21</v>
      </c>
      <c r="D25" s="104" t="s">
        <v>2179</v>
      </c>
      <c r="E25" s="98" t="s">
        <v>2180</v>
      </c>
      <c r="F25" s="98" t="s">
        <v>749</v>
      </c>
      <c r="G25" s="98" t="s">
        <v>749</v>
      </c>
      <c r="H25" s="98" t="s">
        <v>749</v>
      </c>
      <c r="I25" s="98" t="str" cm="1">
        <f t="array" ref="I25:O26">TRANSPOSE(_xlfn.SORTBY(_xlfn._xlws.FILTER(IF(Table2[FORMATO] :Table2[COMP_ CAMPO]&lt;&gt;"",Table2[FORMATO]:Table2[COMP_ CAMPO],9999999),Table2[NOME FÍSICO TABELA]="entity_contractual_mngt"), _xlfn._xlws.FILTER(Table2[ORDEM], Table2[NOME FÍSICO TABELA]="entity_contractual_mngt"), 1))</f>
        <v>STRING</v>
      </c>
      <c r="J25" s="98" t="str">
        <v>STRING</v>
      </c>
      <c r="K25" s="98" t="str">
        <v>STRING</v>
      </c>
      <c r="L25" s="98" t="str">
        <v>STRING</v>
      </c>
      <c r="M25" s="98" t="str">
        <v>STRING</v>
      </c>
      <c r="N25" s="98" t="str">
        <v>STRING</v>
      </c>
      <c r="O25" s="105" t="str">
        <v>TIMESTAMP</v>
      </c>
    </row>
    <row r="26" spans="2:15" x14ac:dyDescent="0.35">
      <c r="B26" s="94" t="s">
        <v>2181</v>
      </c>
      <c r="C26" s="95">
        <v>7</v>
      </c>
      <c r="D26" s="96" t="s">
        <v>2179</v>
      </c>
      <c r="E26" s="97" t="s">
        <v>2180</v>
      </c>
      <c r="F26" s="97" t="s">
        <v>749</v>
      </c>
      <c r="G26" s="97" t="s">
        <v>749</v>
      </c>
      <c r="H26" s="97" t="s">
        <v>749</v>
      </c>
      <c r="I26" s="97">
        <v>10</v>
      </c>
      <c r="J26" s="97">
        <v>10</v>
      </c>
      <c r="K26" s="97">
        <v>4</v>
      </c>
      <c r="L26" s="97">
        <v>10</v>
      </c>
      <c r="M26" s="97">
        <v>10</v>
      </c>
      <c r="N26" s="97">
        <v>10</v>
      </c>
      <c r="O26" s="101">
        <v>23</v>
      </c>
    </row>
    <row r="28" spans="2:15" x14ac:dyDescent="0.35">
      <c r="B28" s="109" t="s">
        <v>2182</v>
      </c>
    </row>
    <row r="29" spans="2:15" x14ac:dyDescent="0.35">
      <c r="B29" s="116" t="s">
        <v>2183</v>
      </c>
      <c r="C29" s="117" t="s">
        <v>2184</v>
      </c>
      <c r="D29" s="118" t="s">
        <v>2185</v>
      </c>
      <c r="E29" s="117" t="s">
        <v>2186</v>
      </c>
      <c r="F29" s="118" t="s">
        <v>2187</v>
      </c>
    </row>
    <row r="30" spans="2:15" ht="29" x14ac:dyDescent="0.35">
      <c r="B30" s="124" t="s">
        <v>2188</v>
      </c>
      <c r="C30" s="124" t="s">
        <v>1145</v>
      </c>
      <c r="D30" s="125" t="s">
        <v>2294</v>
      </c>
      <c r="E30" s="125" t="s">
        <v>2295</v>
      </c>
      <c r="F30" s="124" t="s">
        <v>2191</v>
      </c>
    </row>
    <row r="31" spans="2:15" ht="29" x14ac:dyDescent="0.35">
      <c r="B31" s="124" t="s">
        <v>2188</v>
      </c>
      <c r="C31" s="124" t="s">
        <v>1158</v>
      </c>
      <c r="D31" s="125" t="s">
        <v>2294</v>
      </c>
      <c r="E31" s="125" t="s">
        <v>2295</v>
      </c>
      <c r="F31" s="124" t="s">
        <v>2191</v>
      </c>
    </row>
    <row r="32" spans="2:15" ht="29" x14ac:dyDescent="0.35">
      <c r="B32" s="124" t="s">
        <v>2188</v>
      </c>
      <c r="C32" s="124" t="s">
        <v>1176</v>
      </c>
      <c r="D32" s="125" t="s">
        <v>2294</v>
      </c>
      <c r="E32" s="125" t="s">
        <v>2295</v>
      </c>
      <c r="F32" s="124" t="s">
        <v>2191</v>
      </c>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E4FC-75E3-4F0E-954A-3C12E20EB56A}">
  <sheetPr>
    <tabColor rgb="FF00B050"/>
  </sheetPr>
  <dimension ref="B1:Q31"/>
  <sheetViews>
    <sheetView showGridLines="0" topLeftCell="A6" workbookViewId="0">
      <selection activeCell="O9" sqref="O9"/>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15.1796875" bestFit="1" customWidth="1"/>
    <col min="14" max="14" width="20.81640625" bestFit="1" customWidth="1"/>
    <col min="15" max="15" width="19" bestFit="1" customWidth="1"/>
    <col min="16" max="16" width="17.453125" bestFit="1" customWidth="1"/>
    <col min="17" max="17" width="26.81640625" bestFit="1" customWidth="1"/>
  </cols>
  <sheetData>
    <row r="1" spans="2:17" ht="30" customHeight="1" x14ac:dyDescent="0.35"/>
    <row r="2" spans="2:17" x14ac:dyDescent="0.35">
      <c r="B2" s="90" t="s">
        <v>2127</v>
      </c>
      <c r="C2" t="s">
        <v>2128</v>
      </c>
      <c r="D2" t="s">
        <v>2129</v>
      </c>
      <c r="E2" t="s">
        <v>2130</v>
      </c>
      <c r="F2" t="s">
        <v>2131</v>
      </c>
      <c r="G2" t="s">
        <v>2132</v>
      </c>
      <c r="H2" t="s">
        <v>2133</v>
      </c>
      <c r="I2" t="s">
        <v>785</v>
      </c>
      <c r="J2" t="s">
        <v>1092</v>
      </c>
      <c r="K2" t="s">
        <v>932</v>
      </c>
      <c r="L2" t="s">
        <v>1108</v>
      </c>
      <c r="M2" t="s">
        <v>943</v>
      </c>
      <c r="N2" t="s">
        <v>1121</v>
      </c>
      <c r="O2" t="s">
        <v>1129</v>
      </c>
      <c r="P2" t="s">
        <v>765</v>
      </c>
      <c r="Q2" t="s">
        <v>772</v>
      </c>
    </row>
    <row r="3" spans="2:17" x14ac:dyDescent="0.35">
      <c r="B3" s="129" t="s">
        <v>2081</v>
      </c>
      <c r="C3" s="110">
        <v>1</v>
      </c>
      <c r="D3" s="110" t="s">
        <v>2296</v>
      </c>
      <c r="E3" s="111">
        <v>45517</v>
      </c>
      <c r="F3" s="110">
        <v>1</v>
      </c>
      <c r="G3" s="137">
        <v>1</v>
      </c>
      <c r="H3" s="134" t="s">
        <v>2297</v>
      </c>
      <c r="I3" s="110" t="s">
        <v>2137</v>
      </c>
      <c r="J3" s="110" t="s">
        <v>2137</v>
      </c>
      <c r="K3" s="110" t="s">
        <v>2137</v>
      </c>
      <c r="L3" s="110" t="s">
        <v>2137</v>
      </c>
      <c r="M3" s="110" t="s">
        <v>2137</v>
      </c>
      <c r="N3" s="110" t="s">
        <v>2137</v>
      </c>
      <c r="O3" s="110" t="s">
        <v>2137</v>
      </c>
      <c r="P3" s="110" t="s">
        <v>2137</v>
      </c>
      <c r="Q3" s="110" t="s">
        <v>2137</v>
      </c>
    </row>
    <row r="4" spans="2:17" x14ac:dyDescent="0.35">
      <c r="B4" s="129" t="s">
        <v>2083</v>
      </c>
      <c r="C4" s="110">
        <v>2</v>
      </c>
      <c r="D4" s="110" t="s">
        <v>2298</v>
      </c>
      <c r="E4" s="111">
        <v>45517</v>
      </c>
      <c r="F4" s="110">
        <v>1</v>
      </c>
      <c r="G4" s="137">
        <v>1</v>
      </c>
      <c r="H4" s="110" t="s">
        <v>2139</v>
      </c>
      <c r="I4" s="110" t="s">
        <v>2137</v>
      </c>
      <c r="J4" s="110" t="s">
        <v>2137</v>
      </c>
      <c r="K4" s="110" t="s">
        <v>2137</v>
      </c>
      <c r="L4" s="110" t="s">
        <v>2137</v>
      </c>
      <c r="M4" s="110" t="s">
        <v>2137</v>
      </c>
      <c r="N4" s="110" t="s">
        <v>2137</v>
      </c>
      <c r="O4" s="110" t="s">
        <v>2137</v>
      </c>
      <c r="P4" s="110" t="s">
        <v>2137</v>
      </c>
      <c r="Q4" s="110" t="s">
        <v>2137</v>
      </c>
    </row>
    <row r="5" spans="2:17" x14ac:dyDescent="0.35">
      <c r="B5" s="129" t="s">
        <v>2085</v>
      </c>
      <c r="C5" s="110">
        <v>3</v>
      </c>
      <c r="D5" s="110" t="s">
        <v>2299</v>
      </c>
      <c r="E5" s="111">
        <v>45517</v>
      </c>
      <c r="F5" s="110">
        <v>1</v>
      </c>
      <c r="G5" s="137">
        <v>1</v>
      </c>
      <c r="H5" s="110" t="s">
        <v>2139</v>
      </c>
      <c r="I5" s="110">
        <v>0</v>
      </c>
      <c r="J5" s="110">
        <v>0</v>
      </c>
      <c r="K5" s="110">
        <v>0</v>
      </c>
      <c r="L5" s="110" t="s">
        <v>2137</v>
      </c>
      <c r="M5" s="110" t="s">
        <v>2137</v>
      </c>
      <c r="N5" s="110" t="s">
        <v>2137</v>
      </c>
      <c r="O5" s="110" t="s">
        <v>2137</v>
      </c>
      <c r="P5" s="110">
        <v>0</v>
      </c>
      <c r="Q5" s="110" t="s">
        <v>2137</v>
      </c>
    </row>
    <row r="6" spans="2:17"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c r="O6" s="110" t="s">
        <v>2137</v>
      </c>
      <c r="P6" s="110" t="s">
        <v>2137</v>
      </c>
      <c r="Q6" s="110" t="s">
        <v>2137</v>
      </c>
    </row>
    <row r="7" spans="2:17"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c r="O7" s="110" t="s">
        <v>2137</v>
      </c>
      <c r="P7" s="110" t="s">
        <v>2137</v>
      </c>
      <c r="Q7" s="110" t="s">
        <v>2137</v>
      </c>
    </row>
    <row r="8" spans="2:17" x14ac:dyDescent="0.35">
      <c r="B8" s="129" t="s">
        <v>2090</v>
      </c>
      <c r="C8" s="110">
        <v>6</v>
      </c>
      <c r="D8" s="110" t="s">
        <v>2300</v>
      </c>
      <c r="E8" s="111">
        <v>45517</v>
      </c>
      <c r="F8" s="110">
        <v>1</v>
      </c>
      <c r="G8" s="137">
        <v>1</v>
      </c>
      <c r="H8" s="110" t="s">
        <v>2139</v>
      </c>
      <c r="I8" s="110">
        <v>2</v>
      </c>
      <c r="J8" s="110">
        <v>1</v>
      </c>
      <c r="K8" s="110">
        <v>3</v>
      </c>
      <c r="L8" s="110">
        <v>1</v>
      </c>
      <c r="M8" s="110">
        <v>10</v>
      </c>
      <c r="N8" s="110">
        <v>10</v>
      </c>
      <c r="O8" s="110">
        <v>1</v>
      </c>
      <c r="P8" s="110">
        <v>10</v>
      </c>
      <c r="Q8" s="110">
        <v>23</v>
      </c>
    </row>
    <row r="9" spans="2:17" x14ac:dyDescent="0.35">
      <c r="B9" s="129" t="s">
        <v>2093</v>
      </c>
      <c r="C9" s="110">
        <v>7</v>
      </c>
      <c r="D9" s="110" t="s">
        <v>2301</v>
      </c>
      <c r="E9" s="111">
        <v>45517</v>
      </c>
      <c r="F9" s="110">
        <v>1</v>
      </c>
      <c r="G9" s="139" cm="1">
        <f t="array" ref="G9">SUMPRODUCT(--(I9:Q9&lt;=I26:Q26))/COUNTA(I26:Q26)</f>
        <v>1</v>
      </c>
      <c r="H9" s="110" t="s">
        <v>2139</v>
      </c>
      <c r="I9" s="110">
        <v>10</v>
      </c>
      <c r="J9" s="110">
        <v>1</v>
      </c>
      <c r="K9" s="110">
        <v>3</v>
      </c>
      <c r="L9" s="110">
        <v>1</v>
      </c>
      <c r="M9" s="110">
        <v>10</v>
      </c>
      <c r="N9" s="110">
        <v>10</v>
      </c>
      <c r="O9" s="110">
        <v>199</v>
      </c>
      <c r="P9" s="110">
        <v>10</v>
      </c>
      <c r="Q9" s="110">
        <v>23</v>
      </c>
    </row>
    <row r="10" spans="2:17" x14ac:dyDescent="0.35">
      <c r="B10" s="129" t="s">
        <v>2096</v>
      </c>
      <c r="C10" s="110">
        <v>8</v>
      </c>
      <c r="D10" s="110" t="s">
        <v>2302</v>
      </c>
      <c r="E10" s="111">
        <v>45517</v>
      </c>
      <c r="F10" s="110">
        <v>1</v>
      </c>
      <c r="G10" s="111" t="s">
        <v>2137</v>
      </c>
      <c r="H10" s="110" t="s">
        <v>2139</v>
      </c>
      <c r="I10" s="110">
        <v>10004</v>
      </c>
      <c r="J10" s="110" t="s">
        <v>2303</v>
      </c>
      <c r="K10" s="110">
        <v>1</v>
      </c>
      <c r="L10" s="110">
        <v>0</v>
      </c>
      <c r="M10" s="111">
        <v>38919</v>
      </c>
      <c r="N10" s="111">
        <v>39010</v>
      </c>
      <c r="O10" s="110"/>
      <c r="P10" s="111">
        <v>45517</v>
      </c>
      <c r="Q10" s="110" t="s">
        <v>2304</v>
      </c>
    </row>
    <row r="11" spans="2:17" x14ac:dyDescent="0.35">
      <c r="B11" s="129" t="s">
        <v>2098</v>
      </c>
      <c r="C11" s="110">
        <v>9</v>
      </c>
      <c r="D11" s="110" t="s">
        <v>2305</v>
      </c>
      <c r="E11" s="111">
        <v>45517</v>
      </c>
      <c r="F11" s="110">
        <v>1</v>
      </c>
      <c r="G11" s="111" t="s">
        <v>2137</v>
      </c>
      <c r="H11" s="110" t="s">
        <v>2139</v>
      </c>
      <c r="I11" s="110">
        <v>42</v>
      </c>
      <c r="J11" s="110" t="s">
        <v>2303</v>
      </c>
      <c r="K11" s="110">
        <v>1</v>
      </c>
      <c r="L11" s="110">
        <v>0</v>
      </c>
      <c r="M11" s="111">
        <v>38919</v>
      </c>
      <c r="N11" s="111">
        <v>39010</v>
      </c>
      <c r="O11" s="110"/>
      <c r="P11" s="111">
        <v>45517</v>
      </c>
      <c r="Q11" s="110" t="s">
        <v>2306</v>
      </c>
    </row>
    <row r="12" spans="2:17" x14ac:dyDescent="0.35">
      <c r="B12" s="130" t="s">
        <v>2100</v>
      </c>
      <c r="C12" s="110">
        <v>10</v>
      </c>
      <c r="D12" s="110" t="s">
        <v>2307</v>
      </c>
      <c r="E12" s="111">
        <v>45517</v>
      </c>
      <c r="F12" s="110">
        <v>1</v>
      </c>
      <c r="G12" s="111" t="s">
        <v>2137</v>
      </c>
      <c r="H12" s="110" t="s">
        <v>2139</v>
      </c>
      <c r="I12" s="110">
        <v>9994</v>
      </c>
      <c r="J12" s="110" t="s">
        <v>744</v>
      </c>
      <c r="K12" s="110">
        <v>633</v>
      </c>
      <c r="L12" s="110">
        <v>1</v>
      </c>
      <c r="M12" s="111">
        <v>45517</v>
      </c>
      <c r="N12" s="111">
        <v>45517</v>
      </c>
      <c r="O12" s="110" t="s">
        <v>2308</v>
      </c>
      <c r="P12" s="111">
        <v>45517</v>
      </c>
      <c r="Q12" s="110" t="s">
        <v>2304</v>
      </c>
    </row>
    <row r="13" spans="2:17" x14ac:dyDescent="0.35">
      <c r="B13" s="130" t="s">
        <v>2102</v>
      </c>
      <c r="C13" s="110">
        <v>11</v>
      </c>
      <c r="D13" s="110" t="s">
        <v>2309</v>
      </c>
      <c r="E13" s="111">
        <v>45517</v>
      </c>
      <c r="F13" s="110">
        <v>1</v>
      </c>
      <c r="G13" s="111" t="s">
        <v>2137</v>
      </c>
      <c r="H13" s="110" t="s">
        <v>2139</v>
      </c>
      <c r="I13" s="110">
        <v>9002691418</v>
      </c>
      <c r="J13" s="110" t="s">
        <v>744</v>
      </c>
      <c r="K13" s="110">
        <v>633</v>
      </c>
      <c r="L13" s="110">
        <v>1</v>
      </c>
      <c r="M13" s="111">
        <v>45517</v>
      </c>
      <c r="N13" s="111">
        <v>45517</v>
      </c>
      <c r="O13" s="110" t="s">
        <v>2308</v>
      </c>
      <c r="P13" s="111">
        <v>45517</v>
      </c>
      <c r="Q13" s="110" t="s">
        <v>2310</v>
      </c>
    </row>
    <row r="14" spans="2:17" x14ac:dyDescent="0.35">
      <c r="B14" s="129" t="s">
        <v>2104</v>
      </c>
      <c r="C14" s="110">
        <v>12</v>
      </c>
      <c r="D14" s="110" t="s">
        <v>2311</v>
      </c>
      <c r="E14" s="111">
        <v>45517</v>
      </c>
      <c r="F14" s="110">
        <v>1</v>
      </c>
      <c r="G14" s="137" t="s">
        <v>2312</v>
      </c>
      <c r="H14" s="110" t="s">
        <v>2139</v>
      </c>
      <c r="I14" s="110">
        <v>0</v>
      </c>
      <c r="J14" s="110">
        <v>0</v>
      </c>
      <c r="K14" s="110">
        <v>0</v>
      </c>
      <c r="L14" s="110">
        <v>0</v>
      </c>
      <c r="M14" s="110">
        <v>0</v>
      </c>
      <c r="N14" s="110">
        <v>0</v>
      </c>
      <c r="O14" s="110">
        <v>26</v>
      </c>
      <c r="P14" s="110">
        <v>0</v>
      </c>
      <c r="Q14" s="110">
        <v>0</v>
      </c>
    </row>
    <row r="15" spans="2:17" x14ac:dyDescent="0.35">
      <c r="B15" s="129" t="s">
        <v>2106</v>
      </c>
      <c r="C15" s="110">
        <v>13</v>
      </c>
      <c r="D15" s="110" t="s">
        <v>2313</v>
      </c>
      <c r="E15" s="111">
        <v>45517</v>
      </c>
      <c r="F15" s="110">
        <v>1</v>
      </c>
      <c r="G15" s="137">
        <v>1</v>
      </c>
      <c r="H15" s="110" t="s">
        <v>2139</v>
      </c>
      <c r="I15" s="110" t="s">
        <v>2137</v>
      </c>
      <c r="J15" s="110" t="s">
        <v>2137</v>
      </c>
      <c r="K15" s="110" t="s">
        <v>2137</v>
      </c>
      <c r="L15" s="110" t="s">
        <v>2137</v>
      </c>
      <c r="M15" s="110">
        <v>0</v>
      </c>
      <c r="N15" s="110">
        <v>0</v>
      </c>
      <c r="O15" s="110" t="s">
        <v>2137</v>
      </c>
      <c r="P15" s="110" t="s">
        <v>2137</v>
      </c>
      <c r="Q15" s="110" t="s">
        <v>2137</v>
      </c>
    </row>
    <row r="16" spans="2:17" x14ac:dyDescent="0.35">
      <c r="B16" s="129" t="s">
        <v>2108</v>
      </c>
      <c r="C16" s="110">
        <v>14</v>
      </c>
      <c r="D16" s="110" t="s">
        <v>2314</v>
      </c>
      <c r="E16" s="111">
        <v>45517</v>
      </c>
      <c r="F16" s="110">
        <v>1</v>
      </c>
      <c r="G16" s="137">
        <v>1</v>
      </c>
      <c r="H16" s="110" t="s">
        <v>2139</v>
      </c>
      <c r="I16" s="110">
        <v>0</v>
      </c>
      <c r="J16" s="110">
        <v>0</v>
      </c>
      <c r="K16" s="110" t="s">
        <v>2137</v>
      </c>
      <c r="L16" s="110" t="s">
        <v>2137</v>
      </c>
      <c r="M16" s="110" t="s">
        <v>2137</v>
      </c>
      <c r="N16" s="110" t="s">
        <v>2137</v>
      </c>
      <c r="O16" s="110">
        <v>2</v>
      </c>
      <c r="P16" s="110" t="s">
        <v>2137</v>
      </c>
      <c r="Q16" s="110" t="s">
        <v>2137</v>
      </c>
    </row>
    <row r="17" spans="2:17" x14ac:dyDescent="0.35">
      <c r="B17" s="129" t="s">
        <v>2171</v>
      </c>
      <c r="C17" s="110">
        <v>15</v>
      </c>
      <c r="D17" s="110" t="s">
        <v>2315</v>
      </c>
      <c r="E17" s="111">
        <v>45517</v>
      </c>
      <c r="F17" s="110">
        <v>1</v>
      </c>
      <c r="G17" s="137">
        <v>1</v>
      </c>
      <c r="H17" s="110" t="s">
        <v>2139</v>
      </c>
      <c r="I17" s="110" t="s">
        <v>2137</v>
      </c>
      <c r="J17" s="110" t="s">
        <v>2137</v>
      </c>
      <c r="K17" s="110" t="s">
        <v>2137</v>
      </c>
      <c r="L17" s="110" t="s">
        <v>2137</v>
      </c>
      <c r="M17" s="110" t="s">
        <v>2137</v>
      </c>
      <c r="N17" s="110" t="s">
        <v>2137</v>
      </c>
      <c r="O17" s="110" t="s">
        <v>2137</v>
      </c>
      <c r="P17" s="110" t="s">
        <v>2137</v>
      </c>
      <c r="Q17" s="110" t="s">
        <v>2137</v>
      </c>
    </row>
    <row r="18" spans="2:17" x14ac:dyDescent="0.35">
      <c r="B18" s="129" t="s">
        <v>2173</v>
      </c>
      <c r="C18" s="110">
        <v>16</v>
      </c>
      <c r="D18" s="110" t="s">
        <v>2315</v>
      </c>
      <c r="E18" s="111">
        <v>45517</v>
      </c>
      <c r="F18" s="110">
        <v>1</v>
      </c>
      <c r="G18" s="137">
        <v>1</v>
      </c>
      <c r="H18" s="110" t="s">
        <v>2139</v>
      </c>
      <c r="I18" s="110" t="s">
        <v>2137</v>
      </c>
      <c r="J18" s="110" t="s">
        <v>2137</v>
      </c>
      <c r="K18" s="110" t="s">
        <v>2137</v>
      </c>
      <c r="L18" s="110" t="s">
        <v>2137</v>
      </c>
      <c r="M18" s="110" t="s">
        <v>2137</v>
      </c>
      <c r="N18" s="110" t="s">
        <v>2137</v>
      </c>
      <c r="O18" s="110" t="s">
        <v>2137</v>
      </c>
      <c r="P18" s="110" t="s">
        <v>2137</v>
      </c>
      <c r="Q18" s="110" t="s">
        <v>2137</v>
      </c>
    </row>
    <row r="19" spans="2:17" x14ac:dyDescent="0.35">
      <c r="B19" s="129" t="s">
        <v>2118</v>
      </c>
      <c r="C19" s="110">
        <v>19</v>
      </c>
      <c r="D19" s="110" t="s">
        <v>2316</v>
      </c>
      <c r="E19" s="111">
        <v>45517</v>
      </c>
      <c r="F19" s="110">
        <v>1</v>
      </c>
      <c r="G19" s="137" cm="1">
        <f t="array" ref="G19">SUMPRODUCT(--(ISNUMBER((SEARCH(I25:Q25,I19:Q19)))))/COUNTA(I19:Q19)</f>
        <v>0.88888888888888884</v>
      </c>
      <c r="H19" s="110" t="s">
        <v>2139</v>
      </c>
      <c r="I19" s="110" t="s">
        <v>2175</v>
      </c>
      <c r="J19" s="110" t="s">
        <v>2175</v>
      </c>
      <c r="K19" s="110" t="s">
        <v>2175</v>
      </c>
      <c r="L19" s="110" t="s">
        <v>2175</v>
      </c>
      <c r="M19" s="110" t="s">
        <v>2175</v>
      </c>
      <c r="N19" s="110" t="s">
        <v>2175</v>
      </c>
      <c r="O19" s="110" t="s">
        <v>2175</v>
      </c>
      <c r="P19" s="110" t="s">
        <v>2175</v>
      </c>
      <c r="Q19" s="110" t="s">
        <v>2176</v>
      </c>
    </row>
    <row r="20" spans="2:17" x14ac:dyDescent="0.35">
      <c r="B20" s="129" t="s">
        <v>2121</v>
      </c>
      <c r="C20" s="110">
        <v>20</v>
      </c>
      <c r="D20" s="110"/>
      <c r="E20" s="111"/>
      <c r="F20" s="110"/>
      <c r="G20" s="137" cm="1">
        <f t="array" ref="G20">SUM(IF(I2:Q2 = I24:Q24, 1, 0))/ COUNTA(I2:Q2)</f>
        <v>1</v>
      </c>
      <c r="H20" s="110"/>
      <c r="I20" s="110"/>
      <c r="J20" s="110"/>
      <c r="K20" s="110"/>
      <c r="L20" s="110"/>
      <c r="M20" s="110"/>
      <c r="N20" s="110"/>
      <c r="O20" s="110"/>
      <c r="P20" s="110"/>
      <c r="Q20" s="110"/>
    </row>
    <row r="21" spans="2:17" x14ac:dyDescent="0.35">
      <c r="B21" s="131" t="s">
        <v>2124</v>
      </c>
      <c r="C21" s="110">
        <v>21</v>
      </c>
      <c r="D21" s="110"/>
      <c r="E21" s="111"/>
      <c r="F21" s="110"/>
      <c r="G21" s="110" cm="1">
        <f t="array" ref="G21">SUM(IF(IF(G3:G20="null",1,G3:G20)=1,1,0))/COUNT(IF(G3:G20="null",1,1))</f>
        <v>0.88888888888888884</v>
      </c>
      <c r="H21" s="110"/>
      <c r="I21" s="110"/>
      <c r="J21" s="110"/>
      <c r="K21" s="110"/>
      <c r="L21" s="110"/>
      <c r="M21" s="110"/>
      <c r="N21" s="110"/>
      <c r="O21" s="110"/>
      <c r="P21" s="110"/>
      <c r="Q21" s="110"/>
    </row>
    <row r="23" spans="2:17" x14ac:dyDescent="0.35">
      <c r="B23" s="93" t="s">
        <v>2177</v>
      </c>
    </row>
    <row r="24" spans="2:17" x14ac:dyDescent="0.35">
      <c r="B24" s="106" t="s">
        <v>2127</v>
      </c>
      <c r="C24" s="107" t="s">
        <v>2128</v>
      </c>
      <c r="D24" s="107" t="s">
        <v>2129</v>
      </c>
      <c r="E24" s="107" t="s">
        <v>2130</v>
      </c>
      <c r="F24" s="107" t="s">
        <v>2131</v>
      </c>
      <c r="G24" s="107" t="s">
        <v>2132</v>
      </c>
      <c r="H24" s="107" t="s">
        <v>2133</v>
      </c>
      <c r="I24" s="114" t="str" cm="1">
        <f t="array" ref="I24:Q24">TRANSPOSE(_xlfn.SORTBY(_xlfn._xlws.FILTER(Table2[NOME FÍSICO CAMPO],Table2[NOME FÍSICO TABELA]="entity_contact"), _xlfn._xlws.FILTER(Table2[ORDEM], Table2[NOME FÍSICO TABELA]="entity_contact"), 1))</f>
        <v>party_id</v>
      </c>
      <c r="J24" s="114" t="str">
        <v>contact_type_code</v>
      </c>
      <c r="K24" s="114" t="str">
        <v>order_number</v>
      </c>
      <c r="L24" s="114" t="str">
        <v>main_contact_indicator</v>
      </c>
      <c r="M24" s="114" t="str">
        <v>start_date</v>
      </c>
      <c r="N24" s="114" t="str">
        <v>last_update_date</v>
      </c>
      <c r="O24" s="114" t="str">
        <v>contact</v>
      </c>
      <c r="P24" s="114" t="str">
        <v>data_date_part</v>
      </c>
      <c r="Q24" s="114" t="str">
        <v>data_timestamp_part</v>
      </c>
    </row>
    <row r="25" spans="2:17" x14ac:dyDescent="0.35">
      <c r="B25" s="102" t="s">
        <v>2178</v>
      </c>
      <c r="C25" s="103">
        <v>21</v>
      </c>
      <c r="D25" s="104" t="s">
        <v>2179</v>
      </c>
      <c r="E25" s="98" t="s">
        <v>2180</v>
      </c>
      <c r="F25" s="98" t="s">
        <v>749</v>
      </c>
      <c r="G25" s="98" t="s">
        <v>749</v>
      </c>
      <c r="H25" s="98" t="s">
        <v>749</v>
      </c>
      <c r="I25" s="98" t="str" cm="1">
        <f t="array" ref="I25:Q26">TRANSPOSE(_xlfn.SORTBY(_xlfn._xlws.FILTER(IF(Table2[FORMATO] :Table2[COMP_ CAMPO]&lt;&gt;"",Table2[FORMATO]:Table2[COMP_ CAMPO],9999999),Table2[NOME FÍSICO TABELA]="entity_contact"), _xlfn._xlws.FILTER(Table2[ORDEM], Table2[NOME FÍSICO TABELA]="entity_contact"), 1))</f>
        <v>STRING</v>
      </c>
      <c r="J25" s="98" t="str">
        <v>STRING</v>
      </c>
      <c r="K25" s="98" t="str">
        <v>BIGINT</v>
      </c>
      <c r="L25" s="98" t="str">
        <v>STRING</v>
      </c>
      <c r="M25" s="98" t="str">
        <v>STRING</v>
      </c>
      <c r="N25" s="98" t="str">
        <v>STRING</v>
      </c>
      <c r="O25" s="98" t="str">
        <v>STRING</v>
      </c>
      <c r="P25" s="98" t="str">
        <v>STRING</v>
      </c>
      <c r="Q25" s="98" t="str">
        <v>TIMESTAMP</v>
      </c>
    </row>
    <row r="26" spans="2:17" x14ac:dyDescent="0.35">
      <c r="B26" s="94" t="s">
        <v>2181</v>
      </c>
      <c r="C26" s="95">
        <v>7</v>
      </c>
      <c r="D26" s="96" t="s">
        <v>2179</v>
      </c>
      <c r="E26" s="97" t="s">
        <v>2180</v>
      </c>
      <c r="F26" s="97" t="s">
        <v>749</v>
      </c>
      <c r="G26" s="97" t="s">
        <v>749</v>
      </c>
      <c r="H26" s="97" t="s">
        <v>749</v>
      </c>
      <c r="I26" s="97">
        <v>10</v>
      </c>
      <c r="J26" s="97">
        <v>20</v>
      </c>
      <c r="K26" s="97">
        <v>9999999</v>
      </c>
      <c r="L26" s="97">
        <v>4</v>
      </c>
      <c r="M26" s="97">
        <v>10</v>
      </c>
      <c r="N26" s="97">
        <v>10</v>
      </c>
      <c r="O26" s="97">
        <v>9999999</v>
      </c>
      <c r="P26" s="97">
        <v>10</v>
      </c>
      <c r="Q26" s="97">
        <v>23</v>
      </c>
    </row>
    <row r="28" spans="2:17" x14ac:dyDescent="0.35">
      <c r="B28" s="109" t="s">
        <v>2182</v>
      </c>
    </row>
    <row r="29" spans="2:17" x14ac:dyDescent="0.35">
      <c r="B29" s="116" t="s">
        <v>2183</v>
      </c>
      <c r="C29" s="117" t="s">
        <v>2184</v>
      </c>
      <c r="D29" s="118" t="s">
        <v>2185</v>
      </c>
      <c r="E29" s="117" t="s">
        <v>2186</v>
      </c>
      <c r="F29" s="118" t="s">
        <v>2187</v>
      </c>
    </row>
    <row r="30" spans="2:17" ht="29" x14ac:dyDescent="0.35">
      <c r="B30" s="124" t="s">
        <v>2317</v>
      </c>
      <c r="C30" s="124" t="s">
        <v>1129</v>
      </c>
      <c r="D30" s="135" t="s">
        <v>2318</v>
      </c>
      <c r="E30" s="125" t="s">
        <v>2319</v>
      </c>
      <c r="F30" s="136" t="s">
        <v>2191</v>
      </c>
    </row>
    <row r="31" spans="2:17" ht="29" x14ac:dyDescent="0.35">
      <c r="B31" s="124" t="s">
        <v>2188</v>
      </c>
      <c r="C31" s="124" t="s">
        <v>1129</v>
      </c>
      <c r="D31" s="158" t="s">
        <v>2320</v>
      </c>
      <c r="E31" s="125" t="s">
        <v>2321</v>
      </c>
      <c r="F31" s="136" t="s">
        <v>2191</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392D-D243-4FAD-B695-4E1BFAE8293D}">
  <sheetPr>
    <tabColor rgb="FF00B050"/>
  </sheetPr>
  <dimension ref="B1:S30"/>
  <sheetViews>
    <sheetView showGridLines="0" topLeftCell="A7" workbookViewId="0">
      <selection activeCell="G14" sqref="G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20.1796875" customWidth="1"/>
    <col min="11" max="11" width="26.54296875" bestFit="1" customWidth="1"/>
    <col min="12" max="12" width="24.81640625" bestFit="1" customWidth="1"/>
    <col min="13" max="13" width="15.1796875" bestFit="1" customWidth="1"/>
    <col min="14" max="14" width="20.81640625" bestFit="1" customWidth="1"/>
    <col min="15" max="15" width="19" bestFit="1" customWidth="1"/>
    <col min="16" max="16" width="17.453125" bestFit="1" customWidth="1"/>
    <col min="17" max="17" width="26.81640625" bestFit="1" customWidth="1"/>
  </cols>
  <sheetData>
    <row r="1" spans="2:17" ht="30" customHeight="1" x14ac:dyDescent="0.35"/>
    <row r="2" spans="2:17" x14ac:dyDescent="0.35">
      <c r="B2" s="90" t="s">
        <v>2127</v>
      </c>
      <c r="C2" t="s">
        <v>2128</v>
      </c>
      <c r="D2" t="s">
        <v>2129</v>
      </c>
      <c r="E2" t="s">
        <v>2130</v>
      </c>
      <c r="F2" t="s">
        <v>2131</v>
      </c>
      <c r="G2" t="s">
        <v>2132</v>
      </c>
      <c r="H2" t="s">
        <v>2133</v>
      </c>
      <c r="I2" t="s">
        <v>785</v>
      </c>
      <c r="J2" t="s">
        <v>1092</v>
      </c>
      <c r="K2" t="s">
        <v>932</v>
      </c>
      <c r="L2" t="s">
        <v>1108</v>
      </c>
      <c r="M2" t="s">
        <v>943</v>
      </c>
      <c r="N2" t="s">
        <v>1121</v>
      </c>
      <c r="O2" t="s">
        <v>1129</v>
      </c>
      <c r="P2" t="s">
        <v>765</v>
      </c>
      <c r="Q2" t="s">
        <v>772</v>
      </c>
    </row>
    <row r="3" spans="2:17" x14ac:dyDescent="0.35">
      <c r="B3" s="129" t="s">
        <v>2081</v>
      </c>
      <c r="C3" s="110">
        <v>1</v>
      </c>
      <c r="D3" s="110" t="s">
        <v>2322</v>
      </c>
      <c r="E3" s="111">
        <v>45461</v>
      </c>
      <c r="F3" s="110">
        <v>1</v>
      </c>
      <c r="G3" s="137">
        <v>1</v>
      </c>
      <c r="H3" s="134" t="s">
        <v>2323</v>
      </c>
      <c r="I3" s="110" t="s">
        <v>2137</v>
      </c>
      <c r="J3" s="110" t="s">
        <v>2137</v>
      </c>
      <c r="K3" s="110" t="s">
        <v>2137</v>
      </c>
      <c r="L3" s="110" t="s">
        <v>2137</v>
      </c>
      <c r="M3" s="110" t="s">
        <v>2137</v>
      </c>
      <c r="N3" s="110" t="s">
        <v>2137</v>
      </c>
      <c r="O3" s="110" t="s">
        <v>2137</v>
      </c>
      <c r="P3" s="110" t="s">
        <v>2137</v>
      </c>
      <c r="Q3" s="110" t="s">
        <v>2137</v>
      </c>
    </row>
    <row r="4" spans="2:17" x14ac:dyDescent="0.35">
      <c r="B4" s="129" t="s">
        <v>2083</v>
      </c>
      <c r="C4" s="110">
        <v>2</v>
      </c>
      <c r="D4" s="110" t="s">
        <v>2324</v>
      </c>
      <c r="E4" s="111">
        <v>45461</v>
      </c>
      <c r="F4" s="110">
        <v>1</v>
      </c>
      <c r="G4" s="137">
        <v>1</v>
      </c>
      <c r="H4" s="110" t="s">
        <v>2139</v>
      </c>
      <c r="I4" s="110" t="s">
        <v>2137</v>
      </c>
      <c r="J4" s="110" t="s">
        <v>2137</v>
      </c>
      <c r="K4" s="110" t="s">
        <v>2137</v>
      </c>
      <c r="L4" s="110" t="s">
        <v>2137</v>
      </c>
      <c r="M4" s="110" t="s">
        <v>2137</v>
      </c>
      <c r="N4" s="110" t="s">
        <v>2137</v>
      </c>
      <c r="O4" s="110" t="s">
        <v>2137</v>
      </c>
      <c r="P4" s="110" t="s">
        <v>2137</v>
      </c>
      <c r="Q4" s="110" t="s">
        <v>2137</v>
      </c>
    </row>
    <row r="5" spans="2:17" x14ac:dyDescent="0.35">
      <c r="B5" s="129" t="s">
        <v>2085</v>
      </c>
      <c r="C5" s="110">
        <v>3</v>
      </c>
      <c r="D5" s="110" t="s">
        <v>2325</v>
      </c>
      <c r="E5" s="111">
        <v>45461</v>
      </c>
      <c r="F5" s="110">
        <v>1</v>
      </c>
      <c r="G5" s="137">
        <v>1</v>
      </c>
      <c r="H5" s="110" t="s">
        <v>2139</v>
      </c>
      <c r="I5" s="110">
        <v>0</v>
      </c>
      <c r="J5" s="110">
        <v>0</v>
      </c>
      <c r="K5" s="110">
        <v>0</v>
      </c>
      <c r="L5" s="110" t="s">
        <v>2137</v>
      </c>
      <c r="M5" s="110" t="s">
        <v>2137</v>
      </c>
      <c r="N5" s="110" t="s">
        <v>2137</v>
      </c>
      <c r="O5" s="110" t="s">
        <v>2137</v>
      </c>
      <c r="P5" s="110">
        <v>0</v>
      </c>
      <c r="Q5" s="110" t="s">
        <v>2137</v>
      </c>
    </row>
    <row r="6" spans="2:17"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c r="O6" s="110" t="s">
        <v>2137</v>
      </c>
      <c r="P6" s="110" t="s">
        <v>2137</v>
      </c>
      <c r="Q6" s="110" t="s">
        <v>2137</v>
      </c>
    </row>
    <row r="7" spans="2:17"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c r="O7" s="110" t="s">
        <v>2137</v>
      </c>
      <c r="P7" s="110" t="s">
        <v>2137</v>
      </c>
      <c r="Q7" s="110" t="s">
        <v>2137</v>
      </c>
    </row>
    <row r="8" spans="2:17" x14ac:dyDescent="0.35">
      <c r="B8" s="129" t="s">
        <v>2090</v>
      </c>
      <c r="C8" s="110">
        <v>6</v>
      </c>
      <c r="D8" s="110" t="s">
        <v>2326</v>
      </c>
      <c r="E8" s="111">
        <v>45461</v>
      </c>
      <c r="F8" s="110">
        <v>1</v>
      </c>
      <c r="G8" s="138" cm="1">
        <f t="array" ref="G8">SUMPRODUCT(--(I8:Q8&gt;0))/COUNTA(I8:Q8)</f>
        <v>1</v>
      </c>
      <c r="H8" s="110" t="s">
        <v>2139</v>
      </c>
      <c r="I8" s="110">
        <v>1</v>
      </c>
      <c r="J8" s="110">
        <v>1</v>
      </c>
      <c r="K8" s="110">
        <v>1</v>
      </c>
      <c r="L8" s="110">
        <v>1</v>
      </c>
      <c r="M8" s="110">
        <v>10</v>
      </c>
      <c r="N8" s="110">
        <v>10</v>
      </c>
      <c r="O8" s="110">
        <v>1</v>
      </c>
      <c r="P8" s="110">
        <v>10</v>
      </c>
      <c r="Q8" s="110">
        <v>23</v>
      </c>
    </row>
    <row r="9" spans="2:17" x14ac:dyDescent="0.35">
      <c r="B9" s="129" t="s">
        <v>2093</v>
      </c>
      <c r="C9" s="110">
        <v>7</v>
      </c>
      <c r="D9" s="110" t="s">
        <v>2327</v>
      </c>
      <c r="E9" s="111">
        <v>45461</v>
      </c>
      <c r="F9" s="110">
        <v>1</v>
      </c>
      <c r="G9" s="139" cm="1">
        <f t="array" ref="G9">SUMPRODUCT(--(I9:Q9&lt;=I26:Q26))/COUNTA(I26:Q26)</f>
        <v>1</v>
      </c>
      <c r="H9" s="110" t="s">
        <v>2139</v>
      </c>
      <c r="I9" s="110">
        <v>10</v>
      </c>
      <c r="J9" s="110">
        <v>1</v>
      </c>
      <c r="K9" s="110">
        <v>3</v>
      </c>
      <c r="L9" s="110">
        <v>1</v>
      </c>
      <c r="M9" s="110">
        <v>10</v>
      </c>
      <c r="N9" s="110">
        <v>10</v>
      </c>
      <c r="O9" s="110">
        <v>129</v>
      </c>
      <c r="P9" s="110">
        <v>10</v>
      </c>
      <c r="Q9" s="110">
        <v>23</v>
      </c>
    </row>
    <row r="10" spans="2:17" x14ac:dyDescent="0.35">
      <c r="B10" s="129" t="s">
        <v>2096</v>
      </c>
      <c r="C10" s="110">
        <v>8</v>
      </c>
      <c r="D10" s="110" t="s">
        <v>2328</v>
      </c>
      <c r="E10" s="111">
        <v>45461</v>
      </c>
      <c r="F10" s="110">
        <v>1</v>
      </c>
      <c r="G10" s="111" t="s">
        <v>2137</v>
      </c>
      <c r="H10" s="110" t="s">
        <v>2139</v>
      </c>
      <c r="I10" s="110">
        <v>100001</v>
      </c>
      <c r="J10" s="110" t="s">
        <v>2303</v>
      </c>
      <c r="K10" s="110">
        <v>1</v>
      </c>
      <c r="L10" s="110">
        <v>0</v>
      </c>
      <c r="M10" s="111">
        <v>38919</v>
      </c>
      <c r="N10" s="111">
        <v>39010</v>
      </c>
      <c r="O10" s="110"/>
      <c r="P10" s="111"/>
      <c r="Q10" s="110"/>
    </row>
    <row r="11" spans="2:17" x14ac:dyDescent="0.35">
      <c r="B11" s="129" t="s">
        <v>2098</v>
      </c>
      <c r="C11" s="110">
        <v>9</v>
      </c>
      <c r="D11" s="110" t="s">
        <v>2329</v>
      </c>
      <c r="E11" s="111">
        <v>45461</v>
      </c>
      <c r="F11" s="110">
        <v>1</v>
      </c>
      <c r="G11" s="111" t="s">
        <v>2137</v>
      </c>
      <c r="H11" s="110" t="s">
        <v>2139</v>
      </c>
      <c r="I11" s="110">
        <v>2</v>
      </c>
      <c r="J11" s="110" t="s">
        <v>2303</v>
      </c>
      <c r="K11" s="110">
        <v>1</v>
      </c>
      <c r="L11" s="111">
        <v>0</v>
      </c>
      <c r="M11" s="111">
        <v>38919</v>
      </c>
      <c r="N11" s="111">
        <v>39010</v>
      </c>
      <c r="O11" s="110"/>
      <c r="P11" s="111"/>
      <c r="Q11" s="110"/>
    </row>
    <row r="12" spans="2:17" x14ac:dyDescent="0.35">
      <c r="B12" s="130" t="s">
        <v>2100</v>
      </c>
      <c r="C12" s="110">
        <v>10</v>
      </c>
      <c r="D12" s="110" t="s">
        <v>2330</v>
      </c>
      <c r="E12" s="111">
        <v>45461</v>
      </c>
      <c r="F12" s="110">
        <v>1</v>
      </c>
      <c r="G12" s="111" t="s">
        <v>2137</v>
      </c>
      <c r="H12" s="110" t="s">
        <v>2139</v>
      </c>
      <c r="I12" s="110">
        <v>99998</v>
      </c>
      <c r="J12" s="110" t="s">
        <v>744</v>
      </c>
      <c r="K12" s="110">
        <v>96</v>
      </c>
      <c r="L12" s="111">
        <v>1</v>
      </c>
      <c r="M12" s="111">
        <v>45461</v>
      </c>
      <c r="N12" s="111">
        <v>45461</v>
      </c>
      <c r="O12" s="110" t="s">
        <v>2331</v>
      </c>
      <c r="P12" s="111">
        <v>45461</v>
      </c>
      <c r="Q12" s="110" t="s">
        <v>2332</v>
      </c>
    </row>
    <row r="13" spans="2:17" x14ac:dyDescent="0.35">
      <c r="B13" s="130" t="s">
        <v>2102</v>
      </c>
      <c r="C13" s="110">
        <v>11</v>
      </c>
      <c r="D13" s="110" t="s">
        <v>2333</v>
      </c>
      <c r="E13" s="111">
        <v>45461</v>
      </c>
      <c r="F13" s="110">
        <v>1</v>
      </c>
      <c r="G13" s="111" t="s">
        <v>2137</v>
      </c>
      <c r="H13" s="110" t="s">
        <v>2139</v>
      </c>
      <c r="I13" s="110">
        <v>9961000460</v>
      </c>
      <c r="J13" s="110" t="s">
        <v>744</v>
      </c>
      <c r="K13" s="110">
        <v>96</v>
      </c>
      <c r="L13" s="111">
        <v>1</v>
      </c>
      <c r="M13" s="111">
        <v>45461</v>
      </c>
      <c r="N13" s="111">
        <v>45461</v>
      </c>
      <c r="O13" s="110" t="s">
        <v>2331</v>
      </c>
      <c r="P13" s="111">
        <v>45461</v>
      </c>
      <c r="Q13" s="110" t="s">
        <v>2334</v>
      </c>
    </row>
    <row r="14" spans="2:17" x14ac:dyDescent="0.35">
      <c r="B14" s="129" t="s">
        <v>2104</v>
      </c>
      <c r="C14" s="110">
        <v>12</v>
      </c>
      <c r="D14" s="110" t="s">
        <v>2335</v>
      </c>
      <c r="E14" s="111">
        <v>45461</v>
      </c>
      <c r="F14" s="110">
        <v>1</v>
      </c>
      <c r="G14" s="137">
        <v>0.89</v>
      </c>
      <c r="H14" s="110" t="s">
        <v>2139</v>
      </c>
      <c r="I14" s="110">
        <v>0</v>
      </c>
      <c r="J14" s="110">
        <v>0</v>
      </c>
      <c r="K14" s="110">
        <v>0</v>
      </c>
      <c r="L14" s="110">
        <v>0</v>
      </c>
      <c r="M14" s="110">
        <v>0</v>
      </c>
      <c r="N14" s="110">
        <v>0</v>
      </c>
      <c r="O14" s="110">
        <v>13</v>
      </c>
      <c r="P14" s="110">
        <v>0</v>
      </c>
      <c r="Q14" s="110">
        <v>0</v>
      </c>
    </row>
    <row r="15" spans="2:17" x14ac:dyDescent="0.35">
      <c r="B15" s="129" t="s">
        <v>2106</v>
      </c>
      <c r="C15" s="110">
        <v>13</v>
      </c>
      <c r="D15" s="110" t="s">
        <v>2336</v>
      </c>
      <c r="E15" s="111">
        <v>45461</v>
      </c>
      <c r="F15" s="110">
        <v>1</v>
      </c>
      <c r="G15" s="110">
        <v>1</v>
      </c>
      <c r="H15" s="110" t="s">
        <v>2139</v>
      </c>
      <c r="I15" s="110" t="s">
        <v>2137</v>
      </c>
      <c r="J15" s="110" t="s">
        <v>2137</v>
      </c>
      <c r="K15" s="110" t="s">
        <v>2137</v>
      </c>
      <c r="L15" s="110" t="s">
        <v>2137</v>
      </c>
      <c r="M15" s="110">
        <v>0</v>
      </c>
      <c r="N15" s="110">
        <v>0</v>
      </c>
      <c r="O15" s="110" t="s">
        <v>2137</v>
      </c>
      <c r="P15" s="110" t="s">
        <v>2137</v>
      </c>
      <c r="Q15" s="110" t="s">
        <v>2137</v>
      </c>
    </row>
    <row r="16" spans="2:17" x14ac:dyDescent="0.35">
      <c r="B16" s="129" t="s">
        <v>2108</v>
      </c>
      <c r="C16" s="110">
        <v>14</v>
      </c>
      <c r="D16" s="110" t="s">
        <v>2337</v>
      </c>
      <c r="E16" s="111">
        <v>45461</v>
      </c>
      <c r="F16" s="110">
        <v>1</v>
      </c>
      <c r="G16" s="137">
        <v>1</v>
      </c>
      <c r="H16" s="110" t="s">
        <v>2139</v>
      </c>
      <c r="I16" s="110">
        <v>0</v>
      </c>
      <c r="J16" s="110">
        <v>0</v>
      </c>
      <c r="K16" s="110" t="s">
        <v>2137</v>
      </c>
      <c r="L16" s="110" t="s">
        <v>2137</v>
      </c>
      <c r="M16" s="110" t="s">
        <v>2137</v>
      </c>
      <c r="N16" s="110" t="s">
        <v>2137</v>
      </c>
      <c r="O16" s="110" t="s">
        <v>2137</v>
      </c>
      <c r="P16" s="110" t="s">
        <v>2137</v>
      </c>
      <c r="Q16" s="110" t="s">
        <v>2137</v>
      </c>
    </row>
    <row r="17" spans="2:19" x14ac:dyDescent="0.35">
      <c r="B17" s="129" t="s">
        <v>2171</v>
      </c>
      <c r="C17" s="110">
        <v>15</v>
      </c>
      <c r="D17" s="110" t="s">
        <v>2338</v>
      </c>
      <c r="E17" s="111">
        <v>45461</v>
      </c>
      <c r="F17" s="110">
        <v>1</v>
      </c>
      <c r="G17" s="137">
        <v>1</v>
      </c>
      <c r="H17" s="110" t="s">
        <v>2139</v>
      </c>
      <c r="I17" s="110" t="s">
        <v>2137</v>
      </c>
      <c r="J17" s="110" t="s">
        <v>2137</v>
      </c>
      <c r="K17" s="110" t="s">
        <v>2137</v>
      </c>
      <c r="L17" s="110" t="s">
        <v>2137</v>
      </c>
      <c r="M17" s="110" t="s">
        <v>2137</v>
      </c>
      <c r="N17" s="110" t="s">
        <v>2137</v>
      </c>
      <c r="O17" s="110" t="s">
        <v>2137</v>
      </c>
      <c r="P17" s="110" t="s">
        <v>2137</v>
      </c>
      <c r="Q17" s="110" t="s">
        <v>2137</v>
      </c>
    </row>
    <row r="18" spans="2:19" x14ac:dyDescent="0.35">
      <c r="B18" s="129" t="s">
        <v>2173</v>
      </c>
      <c r="C18" s="110">
        <v>16</v>
      </c>
      <c r="D18" s="110" t="s">
        <v>2338</v>
      </c>
      <c r="E18" s="111">
        <v>45461</v>
      </c>
      <c r="F18" s="110">
        <v>1</v>
      </c>
      <c r="G18" s="137">
        <v>1</v>
      </c>
      <c r="H18" s="110" t="s">
        <v>2139</v>
      </c>
      <c r="I18" s="110" t="s">
        <v>2137</v>
      </c>
      <c r="J18" s="110" t="s">
        <v>2137</v>
      </c>
      <c r="K18" s="110" t="s">
        <v>2137</v>
      </c>
      <c r="L18" s="110" t="s">
        <v>2137</v>
      </c>
      <c r="M18" s="110" t="s">
        <v>2137</v>
      </c>
      <c r="N18" s="110" t="s">
        <v>2137</v>
      </c>
      <c r="O18" s="110" t="s">
        <v>2137</v>
      </c>
      <c r="P18" s="110" t="s">
        <v>2137</v>
      </c>
      <c r="Q18" s="110" t="s">
        <v>2137</v>
      </c>
    </row>
    <row r="19" spans="2:19" x14ac:dyDescent="0.35">
      <c r="B19" s="129" t="s">
        <v>2118</v>
      </c>
      <c r="C19" s="110">
        <v>19</v>
      </c>
      <c r="D19" s="110" t="s">
        <v>2339</v>
      </c>
      <c r="E19" s="111">
        <v>45461</v>
      </c>
      <c r="F19" s="110">
        <v>1</v>
      </c>
      <c r="G19" s="137" cm="1">
        <f t="array" ref="G19">SUMPRODUCT(--(ISNUMBER((SEARCH(I25:Q25,I19:Q19)))))/COUNTA(I19:Q19)</f>
        <v>0.88888888888888884</v>
      </c>
      <c r="H19" s="110" t="s">
        <v>2139</v>
      </c>
      <c r="I19" s="110" t="s">
        <v>2175</v>
      </c>
      <c r="J19" s="110" t="s">
        <v>2175</v>
      </c>
      <c r="K19" s="110" t="s">
        <v>2175</v>
      </c>
      <c r="L19" s="110" t="s">
        <v>2175</v>
      </c>
      <c r="M19" s="110" t="s">
        <v>2175</v>
      </c>
      <c r="N19" s="110" t="s">
        <v>2175</v>
      </c>
      <c r="O19" s="110" t="s">
        <v>2175</v>
      </c>
      <c r="P19" s="110" t="s">
        <v>2175</v>
      </c>
      <c r="Q19" s="110" t="s">
        <v>2176</v>
      </c>
    </row>
    <row r="20" spans="2:19" x14ac:dyDescent="0.35">
      <c r="B20" s="129" t="s">
        <v>2121</v>
      </c>
      <c r="C20" s="110">
        <v>20</v>
      </c>
      <c r="D20" s="110"/>
      <c r="E20" s="111"/>
      <c r="F20" s="110"/>
      <c r="G20" s="137" cm="1">
        <f t="array" ref="G20">SUM(IF(I2:Q2 = I24:Q24, 1, 0))/ COUNTA(I2:Q2)</f>
        <v>1</v>
      </c>
      <c r="H20" s="110"/>
      <c r="I20" s="110"/>
      <c r="J20" s="110"/>
      <c r="K20" s="110"/>
      <c r="L20" s="110"/>
      <c r="M20" s="110"/>
      <c r="N20" s="110"/>
      <c r="O20" s="110"/>
      <c r="P20" s="110"/>
      <c r="Q20" s="110"/>
    </row>
    <row r="21" spans="2:19" x14ac:dyDescent="0.35">
      <c r="B21" s="131" t="s">
        <v>2124</v>
      </c>
      <c r="C21" s="110">
        <v>21</v>
      </c>
      <c r="D21" s="110"/>
      <c r="E21" s="111"/>
      <c r="F21" s="110"/>
      <c r="G21" s="110" cm="1">
        <f t="array" ref="G21">SUM(IF(IF(G3:G20="null",1,G3:G20)=1,1,0))/COUNT(IF(G3:G20="null",1,1))</f>
        <v>0.88888888888888884</v>
      </c>
      <c r="H21" s="110"/>
      <c r="I21" s="110"/>
      <c r="J21" s="110"/>
      <c r="K21" s="110"/>
      <c r="L21" s="110"/>
      <c r="M21" s="110"/>
      <c r="N21" s="110"/>
      <c r="O21" s="110"/>
      <c r="P21" s="110"/>
      <c r="Q21" s="110"/>
    </row>
    <row r="23" spans="2:19" x14ac:dyDescent="0.35">
      <c r="B23" s="93" t="s">
        <v>2177</v>
      </c>
    </row>
    <row r="24" spans="2:19" x14ac:dyDescent="0.35">
      <c r="B24" s="106" t="s">
        <v>2127</v>
      </c>
      <c r="C24" s="107" t="s">
        <v>2128</v>
      </c>
      <c r="D24" s="107" t="s">
        <v>2129</v>
      </c>
      <c r="E24" s="107" t="s">
        <v>2130</v>
      </c>
      <c r="F24" s="107" t="s">
        <v>2131</v>
      </c>
      <c r="G24" s="107" t="s">
        <v>2132</v>
      </c>
      <c r="H24" s="107" t="s">
        <v>2133</v>
      </c>
      <c r="I24" s="114" t="str" cm="1">
        <f t="array" ref="I24:Q24">TRANSPOSE(_xlfn.SORTBY(_xlfn._xlws.FILTER(Table2[NOME FÍSICO CAMPO],Table2[NOME FÍSICO TABELA]="individual_contact"), _xlfn._xlws.FILTER(Table2[ORDEM], Table2[NOME FÍSICO TABELA]="individual_contact"), 1))</f>
        <v>party_id</v>
      </c>
      <c r="J24" s="114" t="str">
        <v>contact_type_code</v>
      </c>
      <c r="K24" s="114" t="str">
        <v>order_number</v>
      </c>
      <c r="L24" s="114" t="str">
        <v>main_contact_indicator</v>
      </c>
      <c r="M24" s="114" t="str">
        <v>start_date</v>
      </c>
      <c r="N24" s="114" t="str">
        <v>last_update_date</v>
      </c>
      <c r="O24" s="114" t="str">
        <v>contact</v>
      </c>
      <c r="P24" s="114" t="str">
        <v>data_date_part</v>
      </c>
      <c r="Q24" s="114" t="str">
        <v>data_timestamp_part</v>
      </c>
      <c r="R24" s="141"/>
      <c r="S24" s="142"/>
    </row>
    <row r="25" spans="2:19" x14ac:dyDescent="0.35">
      <c r="B25" s="102" t="s">
        <v>2178</v>
      </c>
      <c r="C25" s="103">
        <v>21</v>
      </c>
      <c r="D25" s="104" t="s">
        <v>2179</v>
      </c>
      <c r="E25" s="98" t="s">
        <v>2180</v>
      </c>
      <c r="F25" s="98" t="s">
        <v>749</v>
      </c>
      <c r="G25" s="98" t="s">
        <v>749</v>
      </c>
      <c r="H25" s="98" t="s">
        <v>749</v>
      </c>
      <c r="I25" s="98" t="str" cm="1">
        <f t="array" ref="I25:Q26">TRANSPOSE(_xlfn.SORTBY(_xlfn._xlws.FILTER(IF(Table2[FORMATO] :Table2[COMP_ CAMPO]&lt;&gt;"",Table2[FORMATO]:Table2[COMP_ CAMPO],9999999),Table2[NOME FÍSICO TABELA]="individual_contact"), _xlfn._xlws.FILTER(Table2[ORDEM], Table2[NOME FÍSICO TABELA]="individual_contact"), 1))</f>
        <v>STRING</v>
      </c>
      <c r="J25" s="98" t="str">
        <v>STRING</v>
      </c>
      <c r="K25" s="98" t="str">
        <v>BIGINT</v>
      </c>
      <c r="L25" s="98" t="str">
        <v>STRING</v>
      </c>
      <c r="M25" s="98" t="str">
        <v>STRING</v>
      </c>
      <c r="N25" s="98" t="str">
        <v>STRING</v>
      </c>
      <c r="O25" s="98" t="str">
        <v>STRING</v>
      </c>
      <c r="P25" s="98" t="str">
        <v>STRING</v>
      </c>
      <c r="Q25" s="98" t="str">
        <v>TIMESTAMP</v>
      </c>
      <c r="R25" s="143"/>
    </row>
    <row r="26" spans="2:19" x14ac:dyDescent="0.35">
      <c r="B26" s="94" t="s">
        <v>2181</v>
      </c>
      <c r="C26" s="95">
        <v>7</v>
      </c>
      <c r="D26" s="96" t="s">
        <v>2179</v>
      </c>
      <c r="E26" s="97" t="s">
        <v>2180</v>
      </c>
      <c r="F26" s="97" t="s">
        <v>749</v>
      </c>
      <c r="G26" s="97" t="s">
        <v>749</v>
      </c>
      <c r="H26" s="97" t="s">
        <v>749</v>
      </c>
      <c r="I26" s="97">
        <v>10</v>
      </c>
      <c r="J26" s="97">
        <v>4</v>
      </c>
      <c r="K26" s="97">
        <v>9999999</v>
      </c>
      <c r="L26" s="97">
        <v>9999999</v>
      </c>
      <c r="M26" s="97">
        <v>10</v>
      </c>
      <c r="N26" s="97">
        <v>10</v>
      </c>
      <c r="O26" s="97">
        <v>9999999</v>
      </c>
      <c r="P26" s="97">
        <v>10</v>
      </c>
      <c r="Q26" s="97">
        <v>23</v>
      </c>
      <c r="R26" s="143"/>
    </row>
    <row r="28" spans="2:19" x14ac:dyDescent="0.35">
      <c r="B28" s="109" t="s">
        <v>2182</v>
      </c>
    </row>
    <row r="29" spans="2:19" x14ac:dyDescent="0.35">
      <c r="B29" s="116" t="s">
        <v>2183</v>
      </c>
      <c r="C29" s="117" t="s">
        <v>2184</v>
      </c>
      <c r="D29" s="118" t="s">
        <v>2185</v>
      </c>
      <c r="E29" s="117" t="s">
        <v>2186</v>
      </c>
      <c r="F29" s="118" t="s">
        <v>2187</v>
      </c>
    </row>
    <row r="30" spans="2:19" ht="29" x14ac:dyDescent="0.35">
      <c r="B30" s="124" t="s">
        <v>2188</v>
      </c>
      <c r="C30" s="124" t="s">
        <v>1129</v>
      </c>
      <c r="D30" s="135" t="s">
        <v>2340</v>
      </c>
      <c r="E30" s="125" t="s">
        <v>2341</v>
      </c>
      <c r="F30" s="136" t="s">
        <v>2191</v>
      </c>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B684-42B2-4313-AF18-92AF9958D58C}">
  <sheetPr>
    <tabColor rgb="FF00B050"/>
  </sheetPr>
  <dimension ref="B1:O34"/>
  <sheetViews>
    <sheetView showGridLines="0" topLeftCell="E1" workbookViewId="0">
      <selection activeCell="B14" sqref="B1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30.54296875" bestFit="1" customWidth="1"/>
  </cols>
  <sheetData>
    <row r="1" spans="2:15" ht="30" customHeight="1" x14ac:dyDescent="0.35"/>
    <row r="2" spans="2:15" x14ac:dyDescent="0.35">
      <c r="B2" s="90" t="s">
        <v>2127</v>
      </c>
      <c r="C2" t="s">
        <v>2128</v>
      </c>
      <c r="D2" t="s">
        <v>2129</v>
      </c>
      <c r="E2" t="s">
        <v>2130</v>
      </c>
      <c r="F2" t="s">
        <v>2131</v>
      </c>
      <c r="G2" t="s">
        <v>2132</v>
      </c>
      <c r="H2" t="s">
        <v>2133</v>
      </c>
      <c r="I2" t="s">
        <v>785</v>
      </c>
      <c r="J2" t="s">
        <v>1145</v>
      </c>
      <c r="K2" t="s">
        <v>1158</v>
      </c>
      <c r="L2" t="s">
        <v>1168</v>
      </c>
      <c r="M2" t="s">
        <v>1176</v>
      </c>
      <c r="N2" t="s">
        <v>765</v>
      </c>
      <c r="O2" t="s">
        <v>772</v>
      </c>
    </row>
    <row r="3" spans="2:15" x14ac:dyDescent="0.35">
      <c r="B3" s="129" t="s">
        <v>2081</v>
      </c>
      <c r="C3" s="110">
        <v>1</v>
      </c>
      <c r="D3" s="110" t="s">
        <v>2342</v>
      </c>
      <c r="E3" s="111">
        <v>45502</v>
      </c>
      <c r="F3" s="110">
        <v>1</v>
      </c>
      <c r="G3" s="137">
        <v>1</v>
      </c>
      <c r="H3" s="134" t="s">
        <v>2343</v>
      </c>
      <c r="I3" s="110" t="s">
        <v>2137</v>
      </c>
      <c r="J3" s="110" t="s">
        <v>2137</v>
      </c>
      <c r="K3" s="110" t="s">
        <v>2137</v>
      </c>
      <c r="L3" s="110" t="s">
        <v>2137</v>
      </c>
      <c r="M3" s="110" t="s">
        <v>2137</v>
      </c>
      <c r="N3" s="110" t="s">
        <v>2137</v>
      </c>
      <c r="O3" s="110" t="s">
        <v>2137</v>
      </c>
    </row>
    <row r="4" spans="2:15" x14ac:dyDescent="0.35">
      <c r="B4" s="129" t="s">
        <v>2083</v>
      </c>
      <c r="C4" s="110">
        <v>2</v>
      </c>
      <c r="D4" s="110" t="s">
        <v>2344</v>
      </c>
      <c r="E4" s="111">
        <v>45502</v>
      </c>
      <c r="F4" s="110">
        <v>1</v>
      </c>
      <c r="G4" s="137">
        <v>1</v>
      </c>
      <c r="H4" s="110" t="s">
        <v>2139</v>
      </c>
      <c r="I4" s="110" t="s">
        <v>2137</v>
      </c>
      <c r="J4" s="110" t="s">
        <v>2137</v>
      </c>
      <c r="K4" s="110" t="s">
        <v>2137</v>
      </c>
      <c r="L4" s="110" t="s">
        <v>2137</v>
      </c>
      <c r="M4" s="110" t="s">
        <v>2137</v>
      </c>
      <c r="N4" s="110" t="s">
        <v>2137</v>
      </c>
      <c r="O4" s="110" t="s">
        <v>2137</v>
      </c>
    </row>
    <row r="5" spans="2:15" x14ac:dyDescent="0.35">
      <c r="B5" s="129" t="s">
        <v>2085</v>
      </c>
      <c r="C5" s="110">
        <v>3</v>
      </c>
      <c r="D5" s="110" t="s">
        <v>2345</v>
      </c>
      <c r="E5" s="111">
        <v>45502</v>
      </c>
      <c r="F5" s="110">
        <v>1</v>
      </c>
      <c r="G5" s="137">
        <v>1</v>
      </c>
      <c r="H5" s="110" t="s">
        <v>2139</v>
      </c>
      <c r="I5" s="110">
        <v>0</v>
      </c>
      <c r="J5" s="110" t="s">
        <v>2137</v>
      </c>
      <c r="K5" s="110" t="s">
        <v>2137</v>
      </c>
      <c r="L5" s="110" t="s">
        <v>2137</v>
      </c>
      <c r="M5" s="110" t="s">
        <v>2137</v>
      </c>
      <c r="N5" s="110" t="s">
        <v>2137</v>
      </c>
      <c r="O5" s="110" t="s">
        <v>2137</v>
      </c>
    </row>
    <row r="6" spans="2:15"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c r="O6" s="110" t="s">
        <v>2137</v>
      </c>
    </row>
    <row r="7" spans="2:15"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c r="O7" s="110" t="s">
        <v>2137</v>
      </c>
    </row>
    <row r="8" spans="2:15" x14ac:dyDescent="0.35">
      <c r="B8" s="129" t="s">
        <v>2090</v>
      </c>
      <c r="C8" s="110">
        <v>6</v>
      </c>
      <c r="D8" s="110" t="s">
        <v>2346</v>
      </c>
      <c r="E8" s="111">
        <v>45502</v>
      </c>
      <c r="F8" s="110">
        <v>1</v>
      </c>
      <c r="G8" s="137" cm="1">
        <f t="array" ref="G8">SUMPRODUCT(--(I8:O8&gt;0))/COUNTA(I8:O8)</f>
        <v>1</v>
      </c>
      <c r="H8" s="110" t="s">
        <v>2139</v>
      </c>
      <c r="I8" s="110">
        <v>1</v>
      </c>
      <c r="J8" s="110">
        <v>6</v>
      </c>
      <c r="K8" s="110">
        <v>4</v>
      </c>
      <c r="L8" s="110">
        <v>10</v>
      </c>
      <c r="M8" s="110">
        <v>10</v>
      </c>
      <c r="N8" s="110">
        <v>10</v>
      </c>
      <c r="O8" s="110">
        <v>23</v>
      </c>
    </row>
    <row r="9" spans="2:15" x14ac:dyDescent="0.35">
      <c r="B9" s="129" t="s">
        <v>2093</v>
      </c>
      <c r="C9" s="110">
        <v>7</v>
      </c>
      <c r="D9" s="110" t="s">
        <v>2347</v>
      </c>
      <c r="E9" s="111">
        <v>45502</v>
      </c>
      <c r="F9" s="110">
        <v>1</v>
      </c>
      <c r="G9" s="144" cm="1">
        <f t="array" ref="G9">SUMPRODUCT(--(I9:O9&lt;=I26:O26))/COUNTA(I26:O26)</f>
        <v>1</v>
      </c>
      <c r="H9" s="110" t="s">
        <v>2139</v>
      </c>
      <c r="I9" s="110">
        <v>10</v>
      </c>
      <c r="J9" s="110">
        <v>6</v>
      </c>
      <c r="K9" s="110">
        <v>4</v>
      </c>
      <c r="L9" s="110">
        <v>10</v>
      </c>
      <c r="M9" s="110">
        <v>10</v>
      </c>
      <c r="N9" s="110">
        <v>10</v>
      </c>
      <c r="O9" s="110">
        <v>23</v>
      </c>
    </row>
    <row r="10" spans="2:15" x14ac:dyDescent="0.35">
      <c r="B10" s="129" t="s">
        <v>2096</v>
      </c>
      <c r="C10" s="110">
        <v>8</v>
      </c>
      <c r="D10" s="110" t="s">
        <v>2348</v>
      </c>
      <c r="E10" s="111">
        <v>45502</v>
      </c>
      <c r="F10" s="110">
        <v>1</v>
      </c>
      <c r="G10" s="111" t="s">
        <v>2137</v>
      </c>
      <c r="H10" s="110" t="s">
        <v>2139</v>
      </c>
      <c r="I10" s="110">
        <v>100000</v>
      </c>
      <c r="J10" s="110">
        <v>101</v>
      </c>
      <c r="K10" s="140">
        <v>1</v>
      </c>
      <c r="L10" s="110" t="s">
        <v>2151</v>
      </c>
      <c r="M10" s="110" t="s">
        <v>2151</v>
      </c>
      <c r="N10" s="111">
        <v>45502</v>
      </c>
      <c r="O10" s="110" t="s">
        <v>2349</v>
      </c>
    </row>
    <row r="11" spans="2:15" x14ac:dyDescent="0.35">
      <c r="B11" s="129" t="s">
        <v>2098</v>
      </c>
      <c r="C11" s="110">
        <v>9</v>
      </c>
      <c r="D11" s="110" t="s">
        <v>2350</v>
      </c>
      <c r="E11" s="111">
        <v>45502</v>
      </c>
      <c r="F11" s="110">
        <v>1</v>
      </c>
      <c r="G11" s="111" t="s">
        <v>2137</v>
      </c>
      <c r="H11" s="110" t="s">
        <v>2139</v>
      </c>
      <c r="I11" s="110">
        <v>100000</v>
      </c>
      <c r="J11" s="110">
        <v>101</v>
      </c>
      <c r="K11" s="140">
        <v>1</v>
      </c>
      <c r="L11" s="110" t="s">
        <v>2151</v>
      </c>
      <c r="M11" s="110" t="s">
        <v>2151</v>
      </c>
      <c r="N11" s="111">
        <v>45502</v>
      </c>
      <c r="O11" s="110" t="s">
        <v>2351</v>
      </c>
    </row>
    <row r="12" spans="2:15" x14ac:dyDescent="0.35">
      <c r="B12" s="130" t="s">
        <v>2100</v>
      </c>
      <c r="C12" s="110">
        <v>10</v>
      </c>
      <c r="D12" s="110" t="s">
        <v>2352</v>
      </c>
      <c r="E12" s="111">
        <v>45502</v>
      </c>
      <c r="F12" s="110">
        <v>1</v>
      </c>
      <c r="G12" s="111" t="s">
        <v>2137</v>
      </c>
      <c r="H12" s="110" t="s">
        <v>2139</v>
      </c>
      <c r="I12" s="110">
        <v>99998</v>
      </c>
      <c r="J12" s="110">
        <v>941122</v>
      </c>
      <c r="K12" s="110">
        <v>9811</v>
      </c>
      <c r="L12" s="111">
        <v>45502</v>
      </c>
      <c r="M12" s="111">
        <v>45482</v>
      </c>
      <c r="N12" s="111">
        <v>45502</v>
      </c>
      <c r="O12" s="110" t="s">
        <v>2349</v>
      </c>
    </row>
    <row r="13" spans="2:15" x14ac:dyDescent="0.35">
      <c r="B13" s="130" t="s">
        <v>2102</v>
      </c>
      <c r="C13" s="110">
        <v>11</v>
      </c>
      <c r="D13" s="110" t="s">
        <v>2353</v>
      </c>
      <c r="E13" s="111">
        <v>45502</v>
      </c>
      <c r="F13" s="110">
        <v>1</v>
      </c>
      <c r="G13" s="111" t="s">
        <v>2137</v>
      </c>
      <c r="H13" s="110" t="s">
        <v>2139</v>
      </c>
      <c r="I13" s="110">
        <v>99998</v>
      </c>
      <c r="J13" s="110">
        <v>941122</v>
      </c>
      <c r="K13" s="110">
        <v>9811</v>
      </c>
      <c r="L13" s="111">
        <v>45502</v>
      </c>
      <c r="M13" s="111">
        <v>45482</v>
      </c>
      <c r="N13" s="111">
        <v>45502</v>
      </c>
      <c r="O13" s="110" t="s">
        <v>2354</v>
      </c>
    </row>
    <row r="14" spans="2:15" x14ac:dyDescent="0.35">
      <c r="B14" s="129" t="s">
        <v>2104</v>
      </c>
      <c r="C14" s="110">
        <v>12</v>
      </c>
      <c r="D14" s="110" t="s">
        <v>2355</v>
      </c>
      <c r="E14" s="111">
        <v>45502</v>
      </c>
      <c r="F14" s="110">
        <v>1</v>
      </c>
      <c r="G14" s="110">
        <v>0.56999999999999995</v>
      </c>
      <c r="H14" s="110" t="s">
        <v>2139</v>
      </c>
      <c r="I14" s="110">
        <v>0</v>
      </c>
      <c r="J14" s="110">
        <v>11796</v>
      </c>
      <c r="K14" s="110">
        <v>11796</v>
      </c>
      <c r="L14" s="110">
        <v>0</v>
      </c>
      <c r="M14" s="110">
        <v>11796</v>
      </c>
      <c r="N14" s="110">
        <v>0</v>
      </c>
      <c r="O14" s="110">
        <v>0</v>
      </c>
    </row>
    <row r="15" spans="2:15" x14ac:dyDescent="0.35">
      <c r="B15" s="129" t="s">
        <v>2106</v>
      </c>
      <c r="C15" s="110">
        <v>13</v>
      </c>
      <c r="D15" s="110" t="s">
        <v>2356</v>
      </c>
      <c r="E15" s="111">
        <v>45502</v>
      </c>
      <c r="F15" s="110">
        <v>1</v>
      </c>
      <c r="G15" s="137">
        <v>1</v>
      </c>
      <c r="H15" s="110" t="s">
        <v>2139</v>
      </c>
      <c r="I15" s="110" t="s">
        <v>2137</v>
      </c>
      <c r="J15" s="110" t="s">
        <v>2137</v>
      </c>
      <c r="K15" s="110" t="s">
        <v>2137</v>
      </c>
      <c r="L15" s="110">
        <v>0</v>
      </c>
      <c r="M15" s="110">
        <v>0</v>
      </c>
      <c r="N15" s="110" t="s">
        <v>2137</v>
      </c>
      <c r="O15" s="110" t="s">
        <v>2137</v>
      </c>
    </row>
    <row r="16" spans="2:15" x14ac:dyDescent="0.35">
      <c r="B16" s="129" t="s">
        <v>2108</v>
      </c>
      <c r="C16" s="110">
        <v>14</v>
      </c>
      <c r="D16" s="110" t="s">
        <v>2357</v>
      </c>
      <c r="E16" s="111">
        <v>45502</v>
      </c>
      <c r="F16" s="110">
        <v>1</v>
      </c>
      <c r="G16" s="137">
        <v>1</v>
      </c>
      <c r="H16" s="110" t="s">
        <v>2139</v>
      </c>
      <c r="I16" s="110">
        <v>0</v>
      </c>
      <c r="J16" s="110">
        <v>0</v>
      </c>
      <c r="K16" s="110">
        <v>0</v>
      </c>
      <c r="L16" s="110" t="s">
        <v>2137</v>
      </c>
      <c r="M16" s="110" t="s">
        <v>2137</v>
      </c>
      <c r="N16" s="110" t="s">
        <v>2137</v>
      </c>
      <c r="O16" s="110" t="s">
        <v>2137</v>
      </c>
    </row>
    <row r="17" spans="2:15" x14ac:dyDescent="0.35">
      <c r="B17" s="129" t="s">
        <v>2171</v>
      </c>
      <c r="C17" s="110">
        <v>15</v>
      </c>
      <c r="D17" s="110" t="s">
        <v>2358</v>
      </c>
      <c r="E17" s="111">
        <v>45502</v>
      </c>
      <c r="F17" s="110">
        <v>1</v>
      </c>
      <c r="G17" s="137">
        <v>1</v>
      </c>
      <c r="H17" s="110" t="s">
        <v>2139</v>
      </c>
      <c r="I17" s="110" t="s">
        <v>2137</v>
      </c>
      <c r="J17" s="110" t="s">
        <v>2137</v>
      </c>
      <c r="K17" s="110" t="s">
        <v>2137</v>
      </c>
      <c r="L17" s="110" t="s">
        <v>2137</v>
      </c>
      <c r="M17" s="110" t="s">
        <v>2137</v>
      </c>
      <c r="N17" s="110" t="s">
        <v>2137</v>
      </c>
      <c r="O17" s="110" t="s">
        <v>2137</v>
      </c>
    </row>
    <row r="18" spans="2:15" x14ac:dyDescent="0.35">
      <c r="B18" s="129" t="s">
        <v>2173</v>
      </c>
      <c r="C18" s="110">
        <v>16</v>
      </c>
      <c r="D18" s="110" t="s">
        <v>2358</v>
      </c>
      <c r="E18" s="111">
        <v>45502</v>
      </c>
      <c r="F18" s="110">
        <v>1</v>
      </c>
      <c r="G18" s="137">
        <v>1</v>
      </c>
      <c r="H18" s="110" t="s">
        <v>2139</v>
      </c>
      <c r="I18" s="110" t="s">
        <v>2137</v>
      </c>
      <c r="J18" s="110" t="s">
        <v>2137</v>
      </c>
      <c r="K18" s="110" t="s">
        <v>2137</v>
      </c>
      <c r="L18" s="110" t="s">
        <v>2137</v>
      </c>
      <c r="M18" s="110" t="s">
        <v>2137</v>
      </c>
      <c r="N18" s="110" t="s">
        <v>2137</v>
      </c>
      <c r="O18" s="110" t="s">
        <v>2137</v>
      </c>
    </row>
    <row r="19" spans="2:15" x14ac:dyDescent="0.35">
      <c r="B19" s="129" t="s">
        <v>2118</v>
      </c>
      <c r="C19" s="110">
        <v>19</v>
      </c>
      <c r="D19" s="110" t="s">
        <v>2359</v>
      </c>
      <c r="E19" s="111">
        <v>45502</v>
      </c>
      <c r="F19" s="110">
        <v>1</v>
      </c>
      <c r="G19" s="137" cm="1">
        <f t="array" ref="G19">SUMPRODUCT(--(ISNUMBER((SEARCH(I25:O25,I19:O19)))))/COUNTA(I19:O19)</f>
        <v>1</v>
      </c>
      <c r="H19" s="110" t="s">
        <v>2139</v>
      </c>
      <c r="I19" s="110" t="s">
        <v>2175</v>
      </c>
      <c r="J19" s="110" t="s">
        <v>2175</v>
      </c>
      <c r="K19" s="110" t="s">
        <v>2175</v>
      </c>
      <c r="L19" s="110" t="s">
        <v>2175</v>
      </c>
      <c r="M19" s="110" t="s">
        <v>2175</v>
      </c>
      <c r="N19" s="110" t="s">
        <v>2175</v>
      </c>
      <c r="O19" s="110" t="s">
        <v>2176</v>
      </c>
    </row>
    <row r="20" spans="2:15" x14ac:dyDescent="0.35">
      <c r="B20" s="129" t="s">
        <v>2121</v>
      </c>
      <c r="C20" s="110">
        <v>20</v>
      </c>
      <c r="D20" s="110"/>
      <c r="E20" s="111"/>
      <c r="F20" s="110"/>
      <c r="G20" s="110" cm="1">
        <f t="array" ref="G20">SUM(IF(I2:O2 = I24:O24, 1, 0))/ COUNTA(I2:O2)</f>
        <v>1</v>
      </c>
      <c r="H20" s="110" t="s">
        <v>2139</v>
      </c>
      <c r="I20" s="110"/>
      <c r="J20" s="110"/>
      <c r="K20" s="110"/>
      <c r="L20" s="110"/>
      <c r="M20" s="110"/>
      <c r="N20" s="110"/>
      <c r="O20" s="110"/>
    </row>
    <row r="21" spans="2:15" x14ac:dyDescent="0.35">
      <c r="B21" s="131" t="s">
        <v>2124</v>
      </c>
      <c r="C21" s="110">
        <v>21</v>
      </c>
      <c r="D21" s="110"/>
      <c r="E21" s="111"/>
      <c r="F21" s="110"/>
      <c r="G21" s="110" cm="1">
        <f t="array" ref="G21">SUM(IF(IF(G3:G20="null",1,G3:G20)=1,1,0))/COUNT(IF(G3:G20="null",1,1))</f>
        <v>0.94444444444444442</v>
      </c>
      <c r="H21" s="110"/>
      <c r="I21" s="110"/>
      <c r="J21" s="110"/>
      <c r="K21" s="110"/>
      <c r="L21" s="110"/>
      <c r="M21" s="110"/>
      <c r="N21" s="110"/>
      <c r="O21" s="110"/>
    </row>
    <row r="23" spans="2:15" x14ac:dyDescent="0.35">
      <c r="B23" s="93" t="s">
        <v>2177</v>
      </c>
    </row>
    <row r="24" spans="2:15" x14ac:dyDescent="0.35">
      <c r="B24" s="106" t="s">
        <v>2127</v>
      </c>
      <c r="C24" s="107" t="s">
        <v>2128</v>
      </c>
      <c r="D24" s="107" t="s">
        <v>2129</v>
      </c>
      <c r="E24" s="107" t="s">
        <v>2130</v>
      </c>
      <c r="F24" s="107" t="s">
        <v>2131</v>
      </c>
      <c r="G24" s="107" t="s">
        <v>2132</v>
      </c>
      <c r="H24" s="107" t="s">
        <v>2133</v>
      </c>
      <c r="I24" s="114" t="str" cm="1">
        <f t="array" ref="I24:O24">TRANSPOSE(_xlfn.SORTBY(_xlfn._xlws.FILTER(Table2[NOME FÍSICO CAMPO],Table2[NOME FÍSICO TABELA]="individual_contractual_mngt"), _xlfn._xlws.FILTER(Table2[ORDEM], Table2[NOME FÍSICO TABELA]="individual_contractual_mngt"), 1))</f>
        <v>party_id</v>
      </c>
      <c r="J24" s="114" t="str">
        <v>client_manager_employee_id</v>
      </c>
      <c r="K24" s="114" t="str">
        <v>client_manager_branch_code</v>
      </c>
      <c r="L24" s="114" t="str">
        <v>contractual_rel_start_date</v>
      </c>
      <c r="M24" s="114" t="str">
        <v>digital_banking_join_date</v>
      </c>
      <c r="N24" s="114" t="str">
        <v>data_date_part</v>
      </c>
      <c r="O24" s="115" t="str">
        <v>data_timestamp_part</v>
      </c>
    </row>
    <row r="25" spans="2:15" x14ac:dyDescent="0.35">
      <c r="B25" s="102" t="s">
        <v>2178</v>
      </c>
      <c r="C25" s="103">
        <v>21</v>
      </c>
      <c r="D25" s="104" t="s">
        <v>2179</v>
      </c>
      <c r="E25" s="98" t="s">
        <v>2180</v>
      </c>
      <c r="F25" s="98" t="s">
        <v>749</v>
      </c>
      <c r="G25" s="98" t="s">
        <v>749</v>
      </c>
      <c r="H25" s="98" t="s">
        <v>749</v>
      </c>
      <c r="I25" s="98" t="str" cm="1">
        <f t="array" ref="I25:O26">TRANSPOSE(_xlfn.SORTBY(_xlfn._xlws.FILTER(IF(Table2[FORMATO] :Table2[COMP_ CAMPO]&lt;&gt;"",Table2[FORMATO]:Table2[COMP_ CAMPO],9999999),Table2[NOME FÍSICO TABELA]="individual_contractual_mngt"), _xlfn._xlws.FILTER(Table2[ORDEM], Table2[NOME FÍSICO TABELA]="individual_contractual_mngt"), 1))</f>
        <v>STRING</v>
      </c>
      <c r="J25" s="98" t="str">
        <v>STRING</v>
      </c>
      <c r="K25" s="98" t="str">
        <v>STRING</v>
      </c>
      <c r="L25" s="98" t="str">
        <v>STRING</v>
      </c>
      <c r="M25" s="98" t="str">
        <v>STRING</v>
      </c>
      <c r="N25" s="98" t="str">
        <v>STRING</v>
      </c>
      <c r="O25" s="105" t="str">
        <v>TIMESTAMP</v>
      </c>
    </row>
    <row r="26" spans="2:15" x14ac:dyDescent="0.35">
      <c r="B26" s="94" t="s">
        <v>2181</v>
      </c>
      <c r="C26" s="95">
        <v>7</v>
      </c>
      <c r="D26" s="96" t="s">
        <v>2179</v>
      </c>
      <c r="E26" s="97" t="s">
        <v>2180</v>
      </c>
      <c r="F26" s="97" t="s">
        <v>749</v>
      </c>
      <c r="G26" s="97" t="s">
        <v>749</v>
      </c>
      <c r="H26" s="97" t="s">
        <v>749</v>
      </c>
      <c r="I26" s="97">
        <v>10</v>
      </c>
      <c r="J26" s="97">
        <v>10</v>
      </c>
      <c r="K26" s="97">
        <v>4</v>
      </c>
      <c r="L26" s="97">
        <v>10</v>
      </c>
      <c r="M26" s="97">
        <v>10</v>
      </c>
      <c r="N26" s="97">
        <v>10</v>
      </c>
      <c r="O26" s="101">
        <v>23</v>
      </c>
    </row>
    <row r="28" spans="2:15" x14ac:dyDescent="0.35">
      <c r="B28" s="109" t="s">
        <v>2182</v>
      </c>
    </row>
    <row r="29" spans="2:15" x14ac:dyDescent="0.35">
      <c r="B29" s="116" t="s">
        <v>2183</v>
      </c>
      <c r="C29" s="117" t="s">
        <v>2184</v>
      </c>
      <c r="D29" s="118" t="s">
        <v>2185</v>
      </c>
      <c r="E29" s="117" t="s">
        <v>2186</v>
      </c>
      <c r="F29" s="118" t="s">
        <v>2187</v>
      </c>
    </row>
    <row r="30" spans="2:15" ht="29" x14ac:dyDescent="0.35">
      <c r="B30" s="124" t="s">
        <v>2188</v>
      </c>
      <c r="C30" s="124" t="s">
        <v>1145</v>
      </c>
      <c r="D30" s="125" t="s">
        <v>2294</v>
      </c>
      <c r="E30" s="125" t="s">
        <v>2360</v>
      </c>
      <c r="F30" s="124" t="s">
        <v>2191</v>
      </c>
    </row>
    <row r="31" spans="2:15" ht="29" x14ac:dyDescent="0.35">
      <c r="B31" s="124" t="s">
        <v>2188</v>
      </c>
      <c r="C31" s="124" t="s">
        <v>1158</v>
      </c>
      <c r="D31" s="125" t="s">
        <v>2294</v>
      </c>
      <c r="E31" s="125" t="s">
        <v>2360</v>
      </c>
      <c r="F31" s="124" t="s">
        <v>2191</v>
      </c>
    </row>
    <row r="32" spans="2:15" ht="29" x14ac:dyDescent="0.35">
      <c r="B32" s="124" t="s">
        <v>2188</v>
      </c>
      <c r="C32" s="124" t="s">
        <v>1176</v>
      </c>
      <c r="D32" s="125" t="s">
        <v>2294</v>
      </c>
      <c r="E32" s="125" t="s">
        <v>2360</v>
      </c>
      <c r="F32" s="124" t="s">
        <v>2191</v>
      </c>
    </row>
    <row r="33" spans="2:6" x14ac:dyDescent="0.35">
      <c r="B33" s="124"/>
      <c r="C33" s="124"/>
      <c r="D33" s="151"/>
      <c r="E33" s="124"/>
      <c r="F33" s="124"/>
    </row>
    <row r="34" spans="2:6" x14ac:dyDescent="0.35">
      <c r="B34" s="124"/>
      <c r="C34" s="124"/>
      <c r="D34" s="151"/>
      <c r="E34" s="124"/>
      <c r="F34" s="124"/>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AA45-E2FA-46EF-BDDF-1AD190E477A4}">
  <sheetPr>
    <tabColor rgb="FF00B050"/>
  </sheetPr>
  <dimension ref="B1:N30"/>
  <sheetViews>
    <sheetView showGridLines="0" topLeftCell="D1" workbookViewId="0">
      <selection activeCell="A9" sqref="A9"/>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1796875" customWidth="1"/>
  </cols>
  <sheetData>
    <row r="1" spans="2:14" ht="30" customHeight="1" x14ac:dyDescent="0.35"/>
    <row r="2" spans="2:14" x14ac:dyDescent="0.35">
      <c r="B2" s="90" t="s">
        <v>2127</v>
      </c>
      <c r="C2" t="s">
        <v>2128</v>
      </c>
      <c r="D2" t="s">
        <v>2129</v>
      </c>
      <c r="E2" t="s">
        <v>2130</v>
      </c>
      <c r="F2" t="s">
        <v>2131</v>
      </c>
      <c r="G2" t="s">
        <v>2132</v>
      </c>
      <c r="H2" t="s">
        <v>2133</v>
      </c>
      <c r="I2" t="s">
        <v>785</v>
      </c>
      <c r="J2" t="s">
        <v>1188</v>
      </c>
      <c r="K2" t="s">
        <v>932</v>
      </c>
      <c r="L2" t="s">
        <v>1205</v>
      </c>
      <c r="M2" t="s">
        <v>765</v>
      </c>
      <c r="N2" t="s">
        <v>772</v>
      </c>
    </row>
    <row r="3" spans="2:14" x14ac:dyDescent="0.35">
      <c r="B3" s="129" t="s">
        <v>2081</v>
      </c>
      <c r="C3" s="110">
        <v>1</v>
      </c>
      <c r="D3" s="110" t="s">
        <v>2361</v>
      </c>
      <c r="E3" s="111">
        <v>45502</v>
      </c>
      <c r="F3" s="110">
        <v>1</v>
      </c>
      <c r="G3" s="137">
        <v>1</v>
      </c>
      <c r="H3" s="134" t="s">
        <v>2343</v>
      </c>
      <c r="I3" s="110" t="s">
        <v>2137</v>
      </c>
      <c r="J3" s="110" t="s">
        <v>2137</v>
      </c>
      <c r="K3" s="110" t="s">
        <v>2137</v>
      </c>
      <c r="L3" s="110" t="s">
        <v>2137</v>
      </c>
      <c r="M3" s="110" t="s">
        <v>2137</v>
      </c>
      <c r="N3" s="110" t="s">
        <v>2137</v>
      </c>
    </row>
    <row r="4" spans="2:14" x14ac:dyDescent="0.35">
      <c r="B4" s="129" t="s">
        <v>2083</v>
      </c>
      <c r="C4" s="110">
        <v>2</v>
      </c>
      <c r="D4" s="110" t="s">
        <v>2362</v>
      </c>
      <c r="E4" s="111">
        <v>45502</v>
      </c>
      <c r="F4" s="110">
        <v>1</v>
      </c>
      <c r="G4" s="137">
        <v>1</v>
      </c>
      <c r="H4" s="110" t="s">
        <v>2139</v>
      </c>
      <c r="I4" s="110" t="s">
        <v>2137</v>
      </c>
      <c r="J4" s="110" t="s">
        <v>2137</v>
      </c>
      <c r="K4" s="110" t="s">
        <v>2137</v>
      </c>
      <c r="L4" s="110" t="s">
        <v>2137</v>
      </c>
      <c r="M4" s="110" t="s">
        <v>2137</v>
      </c>
      <c r="N4" s="110" t="s">
        <v>2137</v>
      </c>
    </row>
    <row r="5" spans="2:14" x14ac:dyDescent="0.35">
      <c r="B5" s="129" t="s">
        <v>2085</v>
      </c>
      <c r="C5" s="110">
        <v>3</v>
      </c>
      <c r="D5" s="110" t="s">
        <v>2363</v>
      </c>
      <c r="E5" s="111">
        <v>45502</v>
      </c>
      <c r="F5" s="110">
        <v>1</v>
      </c>
      <c r="G5" s="137">
        <v>1</v>
      </c>
      <c r="H5" s="110" t="s">
        <v>2139</v>
      </c>
      <c r="I5" s="110">
        <v>0</v>
      </c>
      <c r="J5" s="110">
        <v>0</v>
      </c>
      <c r="K5" s="110">
        <v>0</v>
      </c>
      <c r="L5" s="110" t="s">
        <v>2137</v>
      </c>
      <c r="M5" s="110">
        <v>0</v>
      </c>
      <c r="N5" s="110" t="s">
        <v>2137</v>
      </c>
    </row>
    <row r="6" spans="2:14"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row>
    <row r="7" spans="2:14"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row>
    <row r="8" spans="2:14" x14ac:dyDescent="0.35">
      <c r="B8" s="129" t="s">
        <v>2090</v>
      </c>
      <c r="C8" s="110">
        <v>6</v>
      </c>
      <c r="D8" s="110" t="s">
        <v>2364</v>
      </c>
      <c r="E8" s="111">
        <v>45502</v>
      </c>
      <c r="F8" s="110">
        <v>1</v>
      </c>
      <c r="G8" s="137" cm="1">
        <f t="array" ref="G8">SUMPRODUCT(--(I8:N8&gt;0))/COUNTA(I8:N8)</f>
        <v>1</v>
      </c>
      <c r="H8" s="110" t="s">
        <v>2139</v>
      </c>
      <c r="I8" s="110">
        <v>1</v>
      </c>
      <c r="J8" s="110">
        <v>7</v>
      </c>
      <c r="K8" s="110">
        <v>1</v>
      </c>
      <c r="L8" s="110">
        <v>5</v>
      </c>
      <c r="M8" s="110">
        <v>10</v>
      </c>
      <c r="N8" s="110">
        <v>22</v>
      </c>
    </row>
    <row r="9" spans="2:14" x14ac:dyDescent="0.35">
      <c r="B9" s="129" t="s">
        <v>2093</v>
      </c>
      <c r="C9" s="110">
        <v>7</v>
      </c>
      <c r="D9" s="110" t="s">
        <v>2365</v>
      </c>
      <c r="E9" s="111">
        <v>45502</v>
      </c>
      <c r="F9" s="110">
        <v>1</v>
      </c>
      <c r="G9" s="144" cm="1">
        <f t="array" ref="G9">SUMPRODUCT(--(I9:N9&lt;=I26:N26))/COUNTA(I26:N26)</f>
        <v>0.83333333333333337</v>
      </c>
      <c r="H9" s="110" t="s">
        <v>2139</v>
      </c>
      <c r="I9" s="110">
        <v>10</v>
      </c>
      <c r="J9" s="110">
        <v>7</v>
      </c>
      <c r="K9" s="110">
        <v>1</v>
      </c>
      <c r="L9" s="110">
        <v>5</v>
      </c>
      <c r="M9" s="110">
        <v>10</v>
      </c>
      <c r="N9" s="110">
        <v>22</v>
      </c>
    </row>
    <row r="10" spans="2:14" x14ac:dyDescent="0.35">
      <c r="B10" s="129" t="s">
        <v>2096</v>
      </c>
      <c r="C10" s="110">
        <v>8</v>
      </c>
      <c r="D10" s="110" t="s">
        <v>2366</v>
      </c>
      <c r="E10" s="111">
        <v>45502</v>
      </c>
      <c r="F10" s="110">
        <v>1</v>
      </c>
      <c r="G10" s="111" t="s">
        <v>2137</v>
      </c>
      <c r="H10" s="110" t="s">
        <v>2139</v>
      </c>
      <c r="I10" s="110">
        <v>100000</v>
      </c>
      <c r="J10" s="110" t="s">
        <v>2264</v>
      </c>
      <c r="K10" s="140">
        <v>1</v>
      </c>
      <c r="L10" s="110">
        <v>1</v>
      </c>
      <c r="M10" s="111">
        <v>45502</v>
      </c>
      <c r="N10" s="111" t="s">
        <v>2367</v>
      </c>
    </row>
    <row r="11" spans="2:14" x14ac:dyDescent="0.35">
      <c r="B11" s="129" t="s">
        <v>2098</v>
      </c>
      <c r="C11" s="110">
        <v>9</v>
      </c>
      <c r="D11" s="110" t="s">
        <v>2368</v>
      </c>
      <c r="E11" s="111">
        <v>45502</v>
      </c>
      <c r="F11" s="110">
        <v>1</v>
      </c>
      <c r="G11" s="111" t="s">
        <v>2137</v>
      </c>
      <c r="H11" s="110" t="s">
        <v>2139</v>
      </c>
      <c r="I11" s="110">
        <v>2</v>
      </c>
      <c r="J11" s="110" t="s">
        <v>2264</v>
      </c>
      <c r="K11" s="140">
        <v>1</v>
      </c>
      <c r="L11" s="110"/>
      <c r="M11" s="111">
        <v>45502</v>
      </c>
      <c r="N11" s="111" t="s">
        <v>2369</v>
      </c>
    </row>
    <row r="12" spans="2:14" x14ac:dyDescent="0.35">
      <c r="B12" s="130" t="s">
        <v>2100</v>
      </c>
      <c r="C12" s="110">
        <v>10</v>
      </c>
      <c r="D12" s="110" t="s">
        <v>2370</v>
      </c>
      <c r="E12" s="111">
        <v>45502</v>
      </c>
      <c r="F12" s="110">
        <v>1</v>
      </c>
      <c r="G12" s="111" t="s">
        <v>2137</v>
      </c>
      <c r="H12" s="110" t="s">
        <v>2139</v>
      </c>
      <c r="I12" s="110">
        <v>99998</v>
      </c>
      <c r="J12" s="110" t="s">
        <v>2264</v>
      </c>
      <c r="K12" s="110">
        <v>1</v>
      </c>
      <c r="L12" s="111">
        <v>999</v>
      </c>
      <c r="M12" s="111">
        <v>45502</v>
      </c>
      <c r="N12" s="111" t="s">
        <v>2367</v>
      </c>
    </row>
    <row r="13" spans="2:14" x14ac:dyDescent="0.35">
      <c r="B13" s="130" t="s">
        <v>2102</v>
      </c>
      <c r="C13" s="110">
        <v>11</v>
      </c>
      <c r="D13" s="110" t="s">
        <v>2371</v>
      </c>
      <c r="E13" s="111">
        <v>45502</v>
      </c>
      <c r="F13" s="110">
        <v>1</v>
      </c>
      <c r="G13" s="111" t="s">
        <v>2137</v>
      </c>
      <c r="H13" s="110" t="s">
        <v>2139</v>
      </c>
      <c r="I13" s="110">
        <v>9961000500</v>
      </c>
      <c r="J13" s="110" t="s">
        <v>2264</v>
      </c>
      <c r="K13" s="110">
        <v>1</v>
      </c>
      <c r="L13" s="111">
        <v>999</v>
      </c>
      <c r="M13" s="111">
        <v>45502</v>
      </c>
      <c r="N13" s="111" t="s">
        <v>2372</v>
      </c>
    </row>
    <row r="14" spans="2:14" x14ac:dyDescent="0.35">
      <c r="B14" s="129" t="s">
        <v>2104</v>
      </c>
      <c r="C14" s="110">
        <v>12</v>
      </c>
      <c r="D14" s="110" t="s">
        <v>2373</v>
      </c>
      <c r="E14" s="111">
        <v>45502</v>
      </c>
      <c r="F14" s="110">
        <v>1</v>
      </c>
      <c r="G14" s="137">
        <v>0.83</v>
      </c>
      <c r="H14" s="110" t="s">
        <v>2139</v>
      </c>
      <c r="I14" s="110">
        <v>0</v>
      </c>
      <c r="J14" s="110">
        <v>0</v>
      </c>
      <c r="K14" s="110">
        <v>0</v>
      </c>
      <c r="L14" s="110">
        <v>1203</v>
      </c>
      <c r="M14" s="110">
        <v>0</v>
      </c>
      <c r="N14" s="110">
        <v>0</v>
      </c>
    </row>
    <row r="15" spans="2:14" x14ac:dyDescent="0.35">
      <c r="B15" s="129" t="s">
        <v>2106</v>
      </c>
      <c r="C15" s="110">
        <v>13</v>
      </c>
      <c r="D15" s="110" t="s">
        <v>2141</v>
      </c>
      <c r="E15" s="111" t="s">
        <v>2137</v>
      </c>
      <c r="F15" s="110">
        <v>1</v>
      </c>
      <c r="G15" s="110" t="s">
        <v>2137</v>
      </c>
      <c r="H15" s="110" t="s">
        <v>2139</v>
      </c>
      <c r="I15" s="110" t="s">
        <v>2137</v>
      </c>
      <c r="J15" s="110" t="s">
        <v>2137</v>
      </c>
      <c r="K15" s="110" t="s">
        <v>2137</v>
      </c>
      <c r="L15" s="110" t="s">
        <v>2137</v>
      </c>
      <c r="M15" s="110" t="s">
        <v>2137</v>
      </c>
      <c r="N15" s="110" t="s">
        <v>2137</v>
      </c>
    </row>
    <row r="16" spans="2:14" x14ac:dyDescent="0.35">
      <c r="B16" s="129" t="s">
        <v>2108</v>
      </c>
      <c r="C16" s="110">
        <v>14</v>
      </c>
      <c r="D16" s="110" t="s">
        <v>2374</v>
      </c>
      <c r="E16" s="111">
        <v>45502</v>
      </c>
      <c r="F16" s="110">
        <v>1</v>
      </c>
      <c r="G16" s="137">
        <v>1</v>
      </c>
      <c r="H16" s="110" t="s">
        <v>2139</v>
      </c>
      <c r="I16" s="110">
        <v>0</v>
      </c>
      <c r="J16" s="110">
        <v>0</v>
      </c>
      <c r="K16" s="110" t="s">
        <v>2137</v>
      </c>
      <c r="L16" s="110">
        <v>0</v>
      </c>
      <c r="M16" s="110" t="s">
        <v>2137</v>
      </c>
      <c r="N16" s="110" t="s">
        <v>2137</v>
      </c>
    </row>
    <row r="17" spans="2:14" x14ac:dyDescent="0.35">
      <c r="B17" s="129" t="s">
        <v>2171</v>
      </c>
      <c r="C17" s="110">
        <v>15</v>
      </c>
      <c r="D17" s="110" t="s">
        <v>2375</v>
      </c>
      <c r="E17" s="111">
        <v>45502</v>
      </c>
      <c r="F17" s="110">
        <v>1</v>
      </c>
      <c r="G17" s="137">
        <v>1</v>
      </c>
      <c r="H17" s="110" t="s">
        <v>2139</v>
      </c>
      <c r="I17" s="110" t="s">
        <v>2137</v>
      </c>
      <c r="J17" s="110" t="s">
        <v>2137</v>
      </c>
      <c r="K17" s="110" t="s">
        <v>2137</v>
      </c>
      <c r="L17" s="110" t="s">
        <v>2137</v>
      </c>
      <c r="M17" s="110" t="s">
        <v>2137</v>
      </c>
      <c r="N17" s="110" t="s">
        <v>2137</v>
      </c>
    </row>
    <row r="18" spans="2:14" x14ac:dyDescent="0.35">
      <c r="B18" s="129" t="s">
        <v>2173</v>
      </c>
      <c r="C18" s="110">
        <v>16</v>
      </c>
      <c r="D18" s="110" t="s">
        <v>2375</v>
      </c>
      <c r="E18" s="111">
        <v>45502</v>
      </c>
      <c r="F18" s="110">
        <v>1</v>
      </c>
      <c r="G18" s="137">
        <v>1</v>
      </c>
      <c r="H18" s="110" t="s">
        <v>2139</v>
      </c>
      <c r="I18" s="110" t="s">
        <v>2137</v>
      </c>
      <c r="J18" s="110" t="s">
        <v>2137</v>
      </c>
      <c r="K18" s="110" t="s">
        <v>2137</v>
      </c>
      <c r="L18" s="110" t="s">
        <v>2137</v>
      </c>
      <c r="M18" s="110" t="s">
        <v>2137</v>
      </c>
      <c r="N18" s="110" t="s">
        <v>2137</v>
      </c>
    </row>
    <row r="19" spans="2:14" x14ac:dyDescent="0.35">
      <c r="B19" s="129" t="s">
        <v>2118</v>
      </c>
      <c r="C19" s="110">
        <v>19</v>
      </c>
      <c r="D19" s="110" t="s">
        <v>2376</v>
      </c>
      <c r="E19" s="111">
        <v>45502</v>
      </c>
      <c r="F19" s="110">
        <v>1</v>
      </c>
      <c r="G19" s="137" cm="1">
        <f t="array" ref="G19">SUMPRODUCT(--(ISNUMBER((SEARCH(I25:N25,I19:N19)))))/COUNTA(I19:N19)</f>
        <v>0.83333333333333337</v>
      </c>
      <c r="H19" s="110" t="s">
        <v>2139</v>
      </c>
      <c r="I19" s="110" t="s">
        <v>2175</v>
      </c>
      <c r="J19" s="110" t="s">
        <v>2175</v>
      </c>
      <c r="K19" s="110" t="s">
        <v>2275</v>
      </c>
      <c r="L19" s="110" t="s">
        <v>2175</v>
      </c>
      <c r="M19" s="110" t="s">
        <v>2175</v>
      </c>
      <c r="N19" s="110" t="s">
        <v>2176</v>
      </c>
    </row>
    <row r="20" spans="2:14" x14ac:dyDescent="0.35">
      <c r="B20" s="129" t="s">
        <v>2121</v>
      </c>
      <c r="C20" s="110">
        <v>20</v>
      </c>
      <c r="D20" s="110"/>
      <c r="E20" s="111"/>
      <c r="F20" s="110"/>
      <c r="G20" s="137" cm="1">
        <f t="array" ref="G20">SUM(IF(I2:N2 = I24:N24, 1, 0))/ COUNTA(I2:N2)</f>
        <v>1</v>
      </c>
      <c r="H20" s="110" t="s">
        <v>2139</v>
      </c>
      <c r="I20" s="110"/>
      <c r="J20" s="110"/>
      <c r="K20" s="110"/>
      <c r="L20" s="110"/>
      <c r="M20" s="110"/>
      <c r="N20" s="110"/>
    </row>
    <row r="21" spans="2:14" x14ac:dyDescent="0.35">
      <c r="B21" s="131" t="s">
        <v>2124</v>
      </c>
      <c r="C21" s="110">
        <v>21</v>
      </c>
      <c r="D21" s="110"/>
      <c r="E21" s="111"/>
      <c r="F21" s="110"/>
      <c r="G21" s="110" cm="1">
        <f t="array" ref="G21">SUM(IF(IF(G3:G20="null",1,G3:G20)=1,1,0))/COUNT(IF(G3:G20="null",1,1))</f>
        <v>0.83333333333333337</v>
      </c>
      <c r="H21" s="110"/>
      <c r="I21" s="110"/>
      <c r="J21" s="110"/>
      <c r="K21" s="110"/>
      <c r="L21" s="110"/>
      <c r="M21" s="110"/>
      <c r="N21" s="110"/>
    </row>
    <row r="23" spans="2:14" x14ac:dyDescent="0.35">
      <c r="B23" s="93" t="s">
        <v>2177</v>
      </c>
    </row>
    <row r="24" spans="2:14" x14ac:dyDescent="0.35">
      <c r="B24" s="106" t="s">
        <v>2127</v>
      </c>
      <c r="C24" s="107" t="s">
        <v>2128</v>
      </c>
      <c r="D24" s="107" t="s">
        <v>2129</v>
      </c>
      <c r="E24" s="107" t="s">
        <v>2130</v>
      </c>
      <c r="F24" s="107" t="s">
        <v>2131</v>
      </c>
      <c r="G24" s="107" t="s">
        <v>2132</v>
      </c>
      <c r="H24" s="107" t="s">
        <v>2133</v>
      </c>
      <c r="I24" s="114" t="str" cm="1">
        <f t="array" ref="I24:N24">TRANSPOSE(_xlfn.SORTBY(_xlfn._xlws.FILTER(Table2[NOME FÍSICO CAMPO],Table2[NOME FÍSICO TABELA]="individual_economic_activity"), _xlfn._xlws.FILTER(Table2[ORDEM], Table2[NOME FÍSICO TABELA]="individual_economic_activity"), 1))</f>
        <v>party_id</v>
      </c>
      <c r="J24" s="114" t="str">
        <v>industry_classific_system_code</v>
      </c>
      <c r="K24" s="114" t="str">
        <v>order_number</v>
      </c>
      <c r="L24" s="114" t="str">
        <v>econ_activity_category_code</v>
      </c>
      <c r="M24" s="114" t="str">
        <v>data_date_part</v>
      </c>
      <c r="N24" s="114" t="str">
        <v>data_timestamp_part</v>
      </c>
    </row>
    <row r="25" spans="2:14" x14ac:dyDescent="0.35">
      <c r="B25" s="102" t="s">
        <v>2178</v>
      </c>
      <c r="C25" s="103">
        <v>21</v>
      </c>
      <c r="D25" s="104" t="s">
        <v>2179</v>
      </c>
      <c r="E25" s="98" t="s">
        <v>2180</v>
      </c>
      <c r="F25" s="98" t="s">
        <v>749</v>
      </c>
      <c r="G25" s="98" t="s">
        <v>749</v>
      </c>
      <c r="H25" s="98" t="s">
        <v>749</v>
      </c>
      <c r="I25" s="98" t="str" cm="1">
        <f t="array" ref="I25:N26">TRANSPOSE(_xlfn.SORTBY(_xlfn._xlws.FILTER(IF(Table2[FORMATO] :Table2[COMP_ CAMPO]&lt;&gt;"",Table2[FORMATO]:Table2[COMP_ CAMPO],9999999),Table2[NOME FÍSICO TABELA]="individual_economic_activity"), _xlfn._xlws.FILTER(Table2[ORDEM], Table2[NOME FÍSICO TABELA]="individual_economic_activity"), 1))</f>
        <v>STRING</v>
      </c>
      <c r="J25" s="98" t="str">
        <v>STRING</v>
      </c>
      <c r="K25" s="98" t="str">
        <v>BIGINT</v>
      </c>
      <c r="L25" s="98" t="str">
        <v>STRING</v>
      </c>
      <c r="M25" s="98" t="str">
        <v>STRING</v>
      </c>
      <c r="N25" s="98" t="str">
        <v>TIMESTAMP</v>
      </c>
    </row>
    <row r="26" spans="2:14" x14ac:dyDescent="0.35">
      <c r="B26" s="94" t="s">
        <v>2181</v>
      </c>
      <c r="C26" s="95">
        <v>7</v>
      </c>
      <c r="D26" s="96" t="s">
        <v>2179</v>
      </c>
      <c r="E26" s="97" t="s">
        <v>2180</v>
      </c>
      <c r="F26" s="97" t="s">
        <v>749</v>
      </c>
      <c r="G26" s="97" t="s">
        <v>749</v>
      </c>
      <c r="H26" s="97" t="s">
        <v>749</v>
      </c>
      <c r="I26" s="97">
        <v>10</v>
      </c>
      <c r="J26" s="97">
        <v>4</v>
      </c>
      <c r="K26" s="97">
        <v>9999999</v>
      </c>
      <c r="L26" s="97">
        <v>5</v>
      </c>
      <c r="M26" s="97">
        <v>10</v>
      </c>
      <c r="N26" s="97">
        <v>23</v>
      </c>
    </row>
    <row r="28" spans="2:14" x14ac:dyDescent="0.35">
      <c r="B28" s="109" t="s">
        <v>2182</v>
      </c>
    </row>
    <row r="29" spans="2:14" x14ac:dyDescent="0.35">
      <c r="B29" s="116" t="s">
        <v>2183</v>
      </c>
      <c r="C29" s="117" t="s">
        <v>2184</v>
      </c>
      <c r="D29" s="118" t="s">
        <v>2185</v>
      </c>
      <c r="E29" s="117" t="s">
        <v>2186</v>
      </c>
      <c r="F29" s="118" t="s">
        <v>2187</v>
      </c>
    </row>
    <row r="30" spans="2:14" ht="58" x14ac:dyDescent="0.35">
      <c r="B30" s="124" t="s">
        <v>2188</v>
      </c>
      <c r="C30" s="125" t="s">
        <v>1205</v>
      </c>
      <c r="D30" s="76" t="s">
        <v>2189</v>
      </c>
      <c r="E30" s="125" t="s">
        <v>2377</v>
      </c>
      <c r="F30" s="124" t="s">
        <v>2191</v>
      </c>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FB6E-4641-49BC-BED8-69DF460C7337}">
  <sheetPr>
    <tabColor rgb="FF00B050"/>
  </sheetPr>
  <dimension ref="B1:P30"/>
  <sheetViews>
    <sheetView showGridLines="0" topLeftCell="A22" workbookViewId="0">
      <selection activeCell="F31" sqref="F3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17.453125" bestFit="1" customWidth="1"/>
    <col min="16" max="16" width="26.81640625" bestFit="1" customWidth="1"/>
  </cols>
  <sheetData>
    <row r="1" spans="2:16" ht="30" customHeight="1" x14ac:dyDescent="0.35"/>
    <row r="2" spans="2:16" x14ac:dyDescent="0.35">
      <c r="B2" s="90" t="s">
        <v>2127</v>
      </c>
      <c r="C2" t="s">
        <v>2128</v>
      </c>
      <c r="D2" t="s">
        <v>2129</v>
      </c>
      <c r="E2" t="s">
        <v>2130</v>
      </c>
      <c r="F2" t="s">
        <v>2131</v>
      </c>
      <c r="G2" t="s">
        <v>2132</v>
      </c>
      <c r="H2" t="s">
        <v>2133</v>
      </c>
      <c r="I2" t="s">
        <v>785</v>
      </c>
      <c r="J2" t="s">
        <v>1316</v>
      </c>
      <c r="K2" t="s">
        <v>1288</v>
      </c>
      <c r="L2" t="s">
        <v>1306</v>
      </c>
      <c r="M2" t="s">
        <v>1359</v>
      </c>
      <c r="N2" t="s">
        <v>943</v>
      </c>
      <c r="O2" t="s">
        <v>765</v>
      </c>
      <c r="P2" t="s">
        <v>772</v>
      </c>
    </row>
    <row r="3" spans="2:16" x14ac:dyDescent="0.35">
      <c r="B3" s="129" t="s">
        <v>2081</v>
      </c>
      <c r="C3" s="110">
        <v>1</v>
      </c>
      <c r="D3" s="110" t="s">
        <v>2378</v>
      </c>
      <c r="E3" s="111">
        <v>45442</v>
      </c>
      <c r="F3" s="110">
        <v>1</v>
      </c>
      <c r="G3" s="137">
        <v>1</v>
      </c>
      <c r="H3" s="134" t="s">
        <v>2379</v>
      </c>
      <c r="I3" s="110" t="s">
        <v>2137</v>
      </c>
      <c r="J3" s="110" t="s">
        <v>2137</v>
      </c>
      <c r="K3" s="110" t="s">
        <v>2137</v>
      </c>
      <c r="L3" s="110" t="s">
        <v>2137</v>
      </c>
      <c r="M3" s="110" t="s">
        <v>2137</v>
      </c>
      <c r="N3" s="110" t="s">
        <v>2137</v>
      </c>
      <c r="O3" s="110" t="s">
        <v>2137</v>
      </c>
      <c r="P3" s="110" t="s">
        <v>2137</v>
      </c>
    </row>
    <row r="4" spans="2:16" x14ac:dyDescent="0.35">
      <c r="B4" s="129" t="s">
        <v>2083</v>
      </c>
      <c r="C4" s="110">
        <v>2</v>
      </c>
      <c r="D4" s="110" t="s">
        <v>2380</v>
      </c>
      <c r="E4" s="111">
        <v>45442</v>
      </c>
      <c r="F4" s="110">
        <v>1</v>
      </c>
      <c r="G4" s="153">
        <v>1</v>
      </c>
      <c r="H4" s="154" t="s">
        <v>2381</v>
      </c>
      <c r="I4" s="110" t="s">
        <v>2137</v>
      </c>
      <c r="J4" s="110" t="s">
        <v>2137</v>
      </c>
      <c r="K4" s="110" t="s">
        <v>2137</v>
      </c>
      <c r="L4" s="110" t="s">
        <v>2137</v>
      </c>
      <c r="M4" s="110" t="s">
        <v>2137</v>
      </c>
      <c r="N4" s="110" t="s">
        <v>2137</v>
      </c>
      <c r="O4" s="110" t="s">
        <v>2137</v>
      </c>
      <c r="P4" s="110" t="s">
        <v>2137</v>
      </c>
    </row>
    <row r="5" spans="2:16" x14ac:dyDescent="0.35">
      <c r="B5" s="129" t="s">
        <v>2085</v>
      </c>
      <c r="C5" s="110">
        <v>3</v>
      </c>
      <c r="D5" s="110" t="s">
        <v>2382</v>
      </c>
      <c r="E5" s="111">
        <v>45442</v>
      </c>
      <c r="F5" s="110">
        <v>1</v>
      </c>
      <c r="G5" s="137">
        <v>1</v>
      </c>
      <c r="H5" s="140" t="s">
        <v>2139</v>
      </c>
      <c r="I5" s="110">
        <v>0</v>
      </c>
      <c r="J5" s="110">
        <v>0</v>
      </c>
      <c r="K5" s="110">
        <v>0</v>
      </c>
      <c r="L5" s="110">
        <v>0</v>
      </c>
      <c r="M5" s="110">
        <v>0</v>
      </c>
      <c r="N5" s="110">
        <v>0</v>
      </c>
      <c r="O5" s="110" t="s">
        <v>2137</v>
      </c>
      <c r="P5" s="110" t="s">
        <v>2137</v>
      </c>
    </row>
    <row r="6" spans="2:16" x14ac:dyDescent="0.35">
      <c r="B6" s="129" t="s">
        <v>2087</v>
      </c>
      <c r="C6" s="110">
        <v>4</v>
      </c>
      <c r="D6" s="110" t="s">
        <v>2141</v>
      </c>
      <c r="E6" s="111" t="s">
        <v>2137</v>
      </c>
      <c r="F6" s="110">
        <v>1</v>
      </c>
      <c r="G6" s="111" t="s">
        <v>2137</v>
      </c>
      <c r="H6" s="110" t="s">
        <v>2139</v>
      </c>
      <c r="I6" s="110" t="s">
        <v>2137</v>
      </c>
      <c r="J6" s="110" t="s">
        <v>2137</v>
      </c>
      <c r="K6" s="110" t="s">
        <v>2137</v>
      </c>
      <c r="L6" s="110" t="s">
        <v>2137</v>
      </c>
      <c r="M6" s="110" t="s">
        <v>2137</v>
      </c>
      <c r="N6" s="110" t="s">
        <v>2137</v>
      </c>
      <c r="O6" s="110" t="s">
        <v>2137</v>
      </c>
      <c r="P6" s="110" t="s">
        <v>2137</v>
      </c>
    </row>
    <row r="7" spans="2:16" x14ac:dyDescent="0.35">
      <c r="B7" s="129" t="s">
        <v>2089</v>
      </c>
      <c r="C7" s="110">
        <v>5</v>
      </c>
      <c r="D7" s="110" t="s">
        <v>2141</v>
      </c>
      <c r="E7" s="111" t="s">
        <v>2137</v>
      </c>
      <c r="F7" s="110">
        <v>1</v>
      </c>
      <c r="G7" s="111" t="s">
        <v>2137</v>
      </c>
      <c r="H7" s="110" t="s">
        <v>2139</v>
      </c>
      <c r="I7" s="110" t="s">
        <v>2137</v>
      </c>
      <c r="J7" s="110" t="s">
        <v>2137</v>
      </c>
      <c r="K7" s="110" t="s">
        <v>2137</v>
      </c>
      <c r="L7" s="110" t="s">
        <v>2137</v>
      </c>
      <c r="M7" s="110" t="s">
        <v>2137</v>
      </c>
      <c r="N7" s="110" t="s">
        <v>2137</v>
      </c>
      <c r="O7" s="110" t="s">
        <v>2137</v>
      </c>
      <c r="P7" s="110" t="s">
        <v>2137</v>
      </c>
    </row>
    <row r="8" spans="2:16" x14ac:dyDescent="0.35">
      <c r="B8" s="129" t="s">
        <v>2090</v>
      </c>
      <c r="C8" s="110">
        <v>6</v>
      </c>
      <c r="D8" s="110" t="s">
        <v>2383</v>
      </c>
      <c r="E8" s="111">
        <v>45442</v>
      </c>
      <c r="F8" s="110">
        <v>1</v>
      </c>
      <c r="G8" s="137" cm="1">
        <f t="array" ref="G8">SUMPRODUCT(--(I8:P8&gt;0))/COUNTA(I8:P8)</f>
        <v>1</v>
      </c>
      <c r="H8" s="110" t="s">
        <v>2139</v>
      </c>
      <c r="I8" s="110">
        <v>2</v>
      </c>
      <c r="J8" s="110">
        <v>2</v>
      </c>
      <c r="K8" s="110">
        <v>3</v>
      </c>
      <c r="L8" s="110">
        <v>3</v>
      </c>
      <c r="M8" s="110">
        <v>3</v>
      </c>
      <c r="N8" s="110">
        <v>10</v>
      </c>
      <c r="O8" s="110">
        <v>10</v>
      </c>
      <c r="P8" s="110">
        <v>23</v>
      </c>
    </row>
    <row r="9" spans="2:16" x14ac:dyDescent="0.35">
      <c r="B9" s="129" t="s">
        <v>2093</v>
      </c>
      <c r="C9" s="110">
        <v>7</v>
      </c>
      <c r="D9" s="110" t="s">
        <v>2384</v>
      </c>
      <c r="E9" s="111">
        <v>45442</v>
      </c>
      <c r="F9" s="110">
        <v>1</v>
      </c>
      <c r="G9" s="144" cm="1">
        <f t="array" ref="G9">SUMPRODUCT(--(I9:P9&lt;=I26:P26))/COUNTA(I26:P26)</f>
        <v>1</v>
      </c>
      <c r="H9" s="110" t="s">
        <v>2139</v>
      </c>
      <c r="I9" s="110">
        <v>10</v>
      </c>
      <c r="J9" s="110">
        <v>15</v>
      </c>
      <c r="K9" s="110">
        <v>3</v>
      </c>
      <c r="L9" s="110">
        <v>3</v>
      </c>
      <c r="M9" s="110">
        <v>3</v>
      </c>
      <c r="N9" s="110">
        <v>10</v>
      </c>
      <c r="O9" s="110">
        <v>10</v>
      </c>
      <c r="P9" s="110">
        <v>23</v>
      </c>
    </row>
    <row r="10" spans="2:16" x14ac:dyDescent="0.35">
      <c r="B10" s="129" t="s">
        <v>2096</v>
      </c>
      <c r="C10" s="110">
        <v>8</v>
      </c>
      <c r="D10" s="110" t="s">
        <v>2385</v>
      </c>
      <c r="E10" s="111">
        <v>45442</v>
      </c>
      <c r="F10" s="110">
        <v>1</v>
      </c>
      <c r="G10" s="111" t="s">
        <v>2137</v>
      </c>
      <c r="H10" s="110" t="s">
        <v>2139</v>
      </c>
      <c r="I10" s="110">
        <v>100002</v>
      </c>
      <c r="J10" s="110" t="s">
        <v>2386</v>
      </c>
      <c r="K10" s="110">
        <v>101</v>
      </c>
      <c r="L10" s="110">
        <v>24</v>
      </c>
      <c r="M10" s="111">
        <v>4</v>
      </c>
      <c r="N10" s="111" t="s">
        <v>2151</v>
      </c>
      <c r="O10" s="111">
        <v>45442</v>
      </c>
      <c r="P10" s="110" t="s">
        <v>2387</v>
      </c>
    </row>
    <row r="11" spans="2:16" x14ac:dyDescent="0.35">
      <c r="B11" s="129" t="s">
        <v>2098</v>
      </c>
      <c r="C11" s="110">
        <v>9</v>
      </c>
      <c r="D11" s="110" t="s">
        <v>2388</v>
      </c>
      <c r="E11" s="111">
        <v>45442</v>
      </c>
      <c r="F11" s="110">
        <v>1</v>
      </c>
      <c r="G11" s="111" t="s">
        <v>2137</v>
      </c>
      <c r="H11" s="110" t="s">
        <v>2139</v>
      </c>
      <c r="I11" s="110">
        <v>19</v>
      </c>
      <c r="J11" s="110" t="s">
        <v>2386</v>
      </c>
      <c r="K11" s="110">
        <v>101</v>
      </c>
      <c r="L11" s="110">
        <v>24</v>
      </c>
      <c r="M11" s="111">
        <v>4</v>
      </c>
      <c r="N11" s="111" t="s">
        <v>2151</v>
      </c>
      <c r="O11" s="111">
        <v>45442</v>
      </c>
      <c r="P11" s="110" t="s">
        <v>2389</v>
      </c>
    </row>
    <row r="12" spans="2:16" x14ac:dyDescent="0.35">
      <c r="B12" s="130" t="s">
        <v>2100</v>
      </c>
      <c r="C12" s="110">
        <v>10</v>
      </c>
      <c r="D12" s="110" t="s">
        <v>2390</v>
      </c>
      <c r="E12" s="111">
        <v>45442</v>
      </c>
      <c r="F12" s="110">
        <v>1</v>
      </c>
      <c r="G12" s="111" t="s">
        <v>2137</v>
      </c>
      <c r="H12" s="110" t="s">
        <v>2139</v>
      </c>
      <c r="I12" s="110">
        <v>99998</v>
      </c>
      <c r="J12" s="110" t="s">
        <v>2391</v>
      </c>
      <c r="K12" s="110">
        <v>901</v>
      </c>
      <c r="L12" s="111">
        <v>862</v>
      </c>
      <c r="M12" s="111">
        <v>130</v>
      </c>
      <c r="N12" s="111">
        <v>45443</v>
      </c>
      <c r="O12" s="111">
        <v>45442</v>
      </c>
      <c r="P12" s="110" t="s">
        <v>2387</v>
      </c>
    </row>
    <row r="13" spans="2:16" x14ac:dyDescent="0.35">
      <c r="B13" s="130" t="s">
        <v>2102</v>
      </c>
      <c r="C13" s="110">
        <v>11</v>
      </c>
      <c r="D13" s="110" t="s">
        <v>2392</v>
      </c>
      <c r="E13" s="111">
        <v>45442</v>
      </c>
      <c r="F13" s="110">
        <v>1</v>
      </c>
      <c r="G13" s="111" t="s">
        <v>2137</v>
      </c>
      <c r="H13" s="110" t="s">
        <v>2139</v>
      </c>
      <c r="I13" s="110">
        <v>9961000212</v>
      </c>
      <c r="J13" s="110" t="s">
        <v>2391</v>
      </c>
      <c r="K13" s="110">
        <v>901</v>
      </c>
      <c r="L13" s="111">
        <v>862</v>
      </c>
      <c r="M13" s="111">
        <v>130</v>
      </c>
      <c r="N13" s="111">
        <v>45443</v>
      </c>
      <c r="O13" s="111">
        <v>45442</v>
      </c>
      <c r="P13" s="110" t="s">
        <v>2393</v>
      </c>
    </row>
    <row r="14" spans="2:16" x14ac:dyDescent="0.35">
      <c r="B14" s="129" t="s">
        <v>2104</v>
      </c>
      <c r="C14" s="110">
        <v>12</v>
      </c>
      <c r="D14" s="110" t="s">
        <v>2394</v>
      </c>
      <c r="E14" s="111">
        <v>45442</v>
      </c>
      <c r="F14" s="110">
        <v>1</v>
      </c>
      <c r="G14" s="137">
        <v>1</v>
      </c>
      <c r="H14" s="110" t="s">
        <v>2139</v>
      </c>
      <c r="I14" s="110">
        <v>0</v>
      </c>
      <c r="J14" s="110">
        <v>0</v>
      </c>
      <c r="K14" s="110">
        <v>0</v>
      </c>
      <c r="L14" s="110">
        <v>0</v>
      </c>
      <c r="M14" s="110">
        <v>0</v>
      </c>
      <c r="N14" s="110">
        <v>0</v>
      </c>
      <c r="O14" s="110">
        <v>0</v>
      </c>
      <c r="P14" s="110">
        <v>0</v>
      </c>
    </row>
    <row r="15" spans="2:16" x14ac:dyDescent="0.35">
      <c r="B15" s="129" t="s">
        <v>2106</v>
      </c>
      <c r="C15" s="110">
        <v>13</v>
      </c>
      <c r="D15" s="110" t="s">
        <v>2395</v>
      </c>
      <c r="E15" s="111">
        <v>45442</v>
      </c>
      <c r="F15" s="110">
        <v>1</v>
      </c>
      <c r="G15" s="137">
        <v>1</v>
      </c>
      <c r="H15" s="110" t="s">
        <v>2139</v>
      </c>
      <c r="I15" s="110" t="s">
        <v>2137</v>
      </c>
      <c r="J15" s="110" t="s">
        <v>2137</v>
      </c>
      <c r="K15" s="110" t="s">
        <v>2137</v>
      </c>
      <c r="L15" s="110" t="s">
        <v>2137</v>
      </c>
      <c r="M15" s="110" t="s">
        <v>2137</v>
      </c>
      <c r="N15" s="110">
        <v>0</v>
      </c>
      <c r="O15" s="110" t="s">
        <v>2137</v>
      </c>
      <c r="P15" s="110" t="s">
        <v>2137</v>
      </c>
    </row>
    <row r="16" spans="2:16" x14ac:dyDescent="0.35">
      <c r="B16" s="129" t="s">
        <v>2108</v>
      </c>
      <c r="C16" s="110">
        <v>14</v>
      </c>
      <c r="D16" s="110" t="s">
        <v>2396</v>
      </c>
      <c r="E16" s="111">
        <v>45442</v>
      </c>
      <c r="F16" s="110">
        <v>1</v>
      </c>
      <c r="G16" s="137">
        <v>1</v>
      </c>
      <c r="H16" s="110" t="s">
        <v>2139</v>
      </c>
      <c r="I16" s="110">
        <v>0</v>
      </c>
      <c r="J16" s="110" t="s">
        <v>2137</v>
      </c>
      <c r="K16" s="110">
        <v>0</v>
      </c>
      <c r="L16" s="110">
        <v>0</v>
      </c>
      <c r="M16" s="110">
        <v>0</v>
      </c>
      <c r="N16" s="110" t="s">
        <v>2137</v>
      </c>
      <c r="O16" s="110" t="s">
        <v>2137</v>
      </c>
      <c r="P16" s="110" t="s">
        <v>2137</v>
      </c>
    </row>
    <row r="17" spans="2:16" x14ac:dyDescent="0.35">
      <c r="B17" s="129" t="s">
        <v>2171</v>
      </c>
      <c r="C17" s="110">
        <v>15</v>
      </c>
      <c r="D17" s="110" t="s">
        <v>2397</v>
      </c>
      <c r="E17" s="111">
        <v>45442</v>
      </c>
      <c r="F17" s="110">
        <v>1</v>
      </c>
      <c r="G17" s="137">
        <v>1</v>
      </c>
      <c r="H17" s="110" t="s">
        <v>2139</v>
      </c>
      <c r="I17" s="110" t="s">
        <v>2137</v>
      </c>
      <c r="J17" s="110" t="s">
        <v>2137</v>
      </c>
      <c r="K17" s="110" t="s">
        <v>2137</v>
      </c>
      <c r="L17" s="110" t="s">
        <v>2137</v>
      </c>
      <c r="M17" s="110" t="s">
        <v>2137</v>
      </c>
      <c r="N17" s="110" t="s">
        <v>2137</v>
      </c>
      <c r="O17" s="110" t="s">
        <v>2137</v>
      </c>
      <c r="P17" s="110" t="s">
        <v>2137</v>
      </c>
    </row>
    <row r="18" spans="2:16" x14ac:dyDescent="0.35">
      <c r="B18" s="129" t="s">
        <v>2173</v>
      </c>
      <c r="C18" s="110">
        <v>16</v>
      </c>
      <c r="D18" s="110" t="s">
        <v>2397</v>
      </c>
      <c r="E18" s="111">
        <v>45442</v>
      </c>
      <c r="F18" s="110">
        <v>1</v>
      </c>
      <c r="G18" s="137">
        <v>1</v>
      </c>
      <c r="H18" s="110" t="s">
        <v>2139</v>
      </c>
      <c r="I18" s="110" t="s">
        <v>2137</v>
      </c>
      <c r="J18" s="110" t="s">
        <v>2137</v>
      </c>
      <c r="K18" s="110" t="s">
        <v>2137</v>
      </c>
      <c r="L18" s="110" t="s">
        <v>2137</v>
      </c>
      <c r="M18" s="110" t="s">
        <v>2137</v>
      </c>
      <c r="N18" s="110" t="s">
        <v>2137</v>
      </c>
      <c r="O18" s="110" t="s">
        <v>2137</v>
      </c>
      <c r="P18" s="110" t="s">
        <v>2137</v>
      </c>
    </row>
    <row r="19" spans="2:16" x14ac:dyDescent="0.35">
      <c r="B19" s="129" t="s">
        <v>2118</v>
      </c>
      <c r="C19" s="110">
        <v>19</v>
      </c>
      <c r="D19" s="110" t="s">
        <v>2398</v>
      </c>
      <c r="E19" s="111">
        <v>45442</v>
      </c>
      <c r="F19" s="110">
        <v>1</v>
      </c>
      <c r="G19" s="137" cm="1">
        <f t="array" ref="G19">SUMPRODUCT(--(ISNUMBER((SEARCH(I25:P25,I19:P19)))))/COUNTA(I19:P19)</f>
        <v>1</v>
      </c>
      <c r="H19" s="110" t="s">
        <v>2139</v>
      </c>
      <c r="I19" s="110" t="s">
        <v>2175</v>
      </c>
      <c r="J19" s="110" t="s">
        <v>2175</v>
      </c>
      <c r="K19" s="110" t="s">
        <v>2175</v>
      </c>
      <c r="L19" s="110" t="s">
        <v>2175</v>
      </c>
      <c r="M19" s="110" t="s">
        <v>2175</v>
      </c>
      <c r="N19" s="110" t="s">
        <v>2175</v>
      </c>
      <c r="O19" s="110" t="s">
        <v>2175</v>
      </c>
      <c r="P19" s="110" t="s">
        <v>2176</v>
      </c>
    </row>
    <row r="20" spans="2:16" x14ac:dyDescent="0.35">
      <c r="B20" s="129" t="s">
        <v>2121</v>
      </c>
      <c r="C20" s="110">
        <v>20</v>
      </c>
      <c r="D20" s="110" t="s">
        <v>2399</v>
      </c>
      <c r="E20" s="111">
        <v>45418</v>
      </c>
      <c r="F20" s="110">
        <v>1</v>
      </c>
      <c r="G20" s="137" cm="1">
        <f t="array" ref="G20">SUM(IF(I2:N2 = I24:N24, 1, 0))/ COUNTA(I2:N2)</f>
        <v>1</v>
      </c>
      <c r="H20" s="110" t="s">
        <v>2139</v>
      </c>
      <c r="I20" s="110"/>
      <c r="J20" s="110"/>
      <c r="K20" s="110"/>
      <c r="L20" s="110"/>
      <c r="M20" s="110"/>
      <c r="N20" s="110"/>
      <c r="O20" s="110"/>
      <c r="P20" s="110"/>
    </row>
    <row r="21" spans="2:16" x14ac:dyDescent="0.35">
      <c r="B21" s="131" t="s">
        <v>2124</v>
      </c>
      <c r="C21" s="110">
        <v>21</v>
      </c>
      <c r="D21" s="110"/>
      <c r="E21" s="111"/>
      <c r="F21" s="110"/>
      <c r="G21" s="110" cm="1">
        <f t="array" ref="G21">SUM(IF(IF(G3:G20="null",1,G3:G20)=1,1,0))/COUNT(IF(G3:G20="null",1,1))</f>
        <v>1</v>
      </c>
      <c r="H21" s="110"/>
      <c r="I21" s="110"/>
      <c r="J21" s="110"/>
      <c r="K21" s="110"/>
      <c r="L21" s="110"/>
      <c r="M21" s="110"/>
      <c r="N21" s="110"/>
      <c r="O21" s="110"/>
      <c r="P21" s="110"/>
    </row>
    <row r="23" spans="2:16" x14ac:dyDescent="0.35">
      <c r="B23" s="93" t="s">
        <v>2177</v>
      </c>
    </row>
    <row r="24" spans="2:16" x14ac:dyDescent="0.35">
      <c r="B24" s="106" t="s">
        <v>2127</v>
      </c>
      <c r="C24" s="107" t="s">
        <v>2128</v>
      </c>
      <c r="D24" s="107" t="s">
        <v>2129</v>
      </c>
      <c r="E24" s="107" t="s">
        <v>2130</v>
      </c>
      <c r="F24" s="107" t="s">
        <v>2131</v>
      </c>
      <c r="G24" s="107" t="s">
        <v>2132</v>
      </c>
      <c r="H24" s="107" t="s">
        <v>2133</v>
      </c>
      <c r="I24" s="114" t="str" cm="1">
        <f t="array" ref="I24:P24">TRANSPOSE(_xlfn.SORTBY(_xlfn._xlws.FILTER(Table2[NOME FÍSICO CAMPO],Table2[NOME FÍSICO TABELA]="individual_negative_file"), _xlfn._xlws.FILTER(Table2[ORDEM], Table2[NOME FÍSICO TABELA]="individual_negative_file"), 1))</f>
        <v>party_id</v>
      </c>
      <c r="J24" s="114" t="str">
        <v>document_number</v>
      </c>
      <c r="K24" s="114" t="str">
        <v>document_type_code</v>
      </c>
      <c r="L24" s="114" t="str">
        <v>document_country_code</v>
      </c>
      <c r="M24" s="114" t="str">
        <v>negative_code</v>
      </c>
      <c r="N24" s="114" t="str">
        <v>start_date</v>
      </c>
      <c r="O24" s="145" t="str">
        <v>data_date_part</v>
      </c>
      <c r="P24" s="146" t="str">
        <v>data_timestamp_part</v>
      </c>
    </row>
    <row r="25" spans="2:16" x14ac:dyDescent="0.35">
      <c r="B25" s="102" t="s">
        <v>2178</v>
      </c>
      <c r="C25" s="103">
        <v>21</v>
      </c>
      <c r="D25" s="104" t="s">
        <v>2179</v>
      </c>
      <c r="E25" s="98" t="s">
        <v>2180</v>
      </c>
      <c r="F25" s="98" t="s">
        <v>749</v>
      </c>
      <c r="G25" s="98" t="s">
        <v>749</v>
      </c>
      <c r="H25" s="98" t="s">
        <v>749</v>
      </c>
      <c r="I25" s="98" t="str" cm="1">
        <f t="array" ref="I25:P26">TRANSPOSE(_xlfn.SORTBY(_xlfn._xlws.FILTER(IF(Table2[FORMATO] :Table2[COMP_ CAMPO]&lt;&gt;"",Table2[FORMATO]:Table2[COMP_ CAMPO],9999999),Table2[NOME FÍSICO TABELA]="individual_negative_file"), _xlfn._xlws.FILTER(Table2[ORDEM], Table2[NOME FÍSICO TABELA]="individual_negative_file"), 1))</f>
        <v>STRING</v>
      </c>
      <c r="J25" s="98" t="str">
        <v>STRING</v>
      </c>
      <c r="K25" s="98" t="str">
        <v>STRING</v>
      </c>
      <c r="L25" s="98" t="str">
        <v>STRING</v>
      </c>
      <c r="M25" s="98" t="str">
        <v>STRING</v>
      </c>
      <c r="N25" s="98" t="str">
        <v>STRING</v>
      </c>
      <c r="O25" s="98" t="str">
        <v>STRING</v>
      </c>
      <c r="P25" s="105" t="str">
        <v>TIMESTAMP</v>
      </c>
    </row>
    <row r="26" spans="2:16" x14ac:dyDescent="0.35">
      <c r="B26" s="94" t="s">
        <v>2181</v>
      </c>
      <c r="C26" s="95">
        <v>7</v>
      </c>
      <c r="D26" s="96" t="s">
        <v>2179</v>
      </c>
      <c r="E26" s="97" t="s">
        <v>2180</v>
      </c>
      <c r="F26" s="97" t="s">
        <v>749</v>
      </c>
      <c r="G26" s="97" t="s">
        <v>749</v>
      </c>
      <c r="H26" s="97" t="s">
        <v>749</v>
      </c>
      <c r="I26" s="97">
        <v>10</v>
      </c>
      <c r="J26" s="97">
        <v>40</v>
      </c>
      <c r="K26" s="97">
        <v>4</v>
      </c>
      <c r="L26" s="97">
        <v>4</v>
      </c>
      <c r="M26" s="97">
        <v>4</v>
      </c>
      <c r="N26" s="97">
        <v>10</v>
      </c>
      <c r="O26" s="98">
        <v>10</v>
      </c>
      <c r="P26" s="105">
        <v>23</v>
      </c>
    </row>
    <row r="28" spans="2:16" x14ac:dyDescent="0.35">
      <c r="B28" s="109" t="s">
        <v>2182</v>
      </c>
    </row>
    <row r="29" spans="2:16" x14ac:dyDescent="0.35">
      <c r="B29" s="116" t="s">
        <v>2183</v>
      </c>
      <c r="C29" s="117" t="s">
        <v>2184</v>
      </c>
      <c r="D29" s="118" t="s">
        <v>2185</v>
      </c>
      <c r="E29" s="117" t="s">
        <v>2186</v>
      </c>
      <c r="F29" s="118" t="s">
        <v>2187</v>
      </c>
    </row>
    <row r="30" spans="2:16" ht="29" x14ac:dyDescent="0.35">
      <c r="B30" s="124" t="s">
        <v>2400</v>
      </c>
      <c r="C30" s="124" t="s">
        <v>2256</v>
      </c>
      <c r="D30" s="125" t="s">
        <v>2401</v>
      </c>
      <c r="E30" s="125" t="s">
        <v>2402</v>
      </c>
      <c r="F30" s="124" t="s">
        <v>2403</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522B-AB78-4112-9D57-11DFDAEFE7B7}">
  <sheetPr>
    <tabColor rgb="FF00B050"/>
  </sheetPr>
  <dimension ref="B1:P30"/>
  <sheetViews>
    <sheetView showGridLines="0" workbookViewId="0">
      <selection activeCell="C30" sqref="C30"/>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4.54296875" bestFit="1" customWidth="1"/>
    <col min="15" max="15" width="17.453125" bestFit="1" customWidth="1"/>
    <col min="16" max="16" width="26.81640625" bestFit="1" customWidth="1"/>
  </cols>
  <sheetData>
    <row r="1" spans="2:16" ht="30" customHeight="1" x14ac:dyDescent="0.35"/>
    <row r="2" spans="2:16" x14ac:dyDescent="0.35">
      <c r="B2" s="90" t="s">
        <v>2127</v>
      </c>
      <c r="C2" t="s">
        <v>2128</v>
      </c>
      <c r="D2" t="s">
        <v>2129</v>
      </c>
      <c r="E2" t="s">
        <v>2130</v>
      </c>
      <c r="F2" t="s">
        <v>2131</v>
      </c>
      <c r="G2" t="s">
        <v>2132</v>
      </c>
      <c r="H2" t="s">
        <v>2133</v>
      </c>
      <c r="I2" t="s">
        <v>785</v>
      </c>
      <c r="J2" t="s">
        <v>1316</v>
      </c>
      <c r="K2" t="s">
        <v>1288</v>
      </c>
      <c r="L2" t="s">
        <v>1306</v>
      </c>
      <c r="M2" t="s">
        <v>1359</v>
      </c>
      <c r="N2" t="s">
        <v>943</v>
      </c>
      <c r="O2" t="s">
        <v>765</v>
      </c>
      <c r="P2" t="s">
        <v>772</v>
      </c>
    </row>
    <row r="3" spans="2:16" x14ac:dyDescent="0.35">
      <c r="B3" s="129" t="s">
        <v>2081</v>
      </c>
      <c r="C3" s="110">
        <v>1</v>
      </c>
      <c r="D3" s="110" t="s">
        <v>2404</v>
      </c>
      <c r="E3" s="111">
        <v>45442</v>
      </c>
      <c r="F3" s="110">
        <v>1</v>
      </c>
      <c r="G3" s="137">
        <v>1</v>
      </c>
      <c r="H3" s="134" t="s">
        <v>2405</v>
      </c>
      <c r="I3" s="110" t="s">
        <v>2137</v>
      </c>
      <c r="J3" s="110" t="s">
        <v>2137</v>
      </c>
      <c r="K3" s="110" t="s">
        <v>2137</v>
      </c>
      <c r="L3" s="110" t="s">
        <v>2137</v>
      </c>
      <c r="M3" s="110" t="s">
        <v>2137</v>
      </c>
      <c r="N3" s="110" t="s">
        <v>2137</v>
      </c>
      <c r="O3" s="110" t="s">
        <v>2137</v>
      </c>
      <c r="P3" s="110" t="s">
        <v>2137</v>
      </c>
    </row>
    <row r="4" spans="2:16" x14ac:dyDescent="0.35">
      <c r="B4" s="129" t="s">
        <v>2083</v>
      </c>
      <c r="C4" s="110">
        <v>2</v>
      </c>
      <c r="D4" s="110" t="s">
        <v>2406</v>
      </c>
      <c r="E4" s="111">
        <v>45442</v>
      </c>
      <c r="F4" s="110">
        <v>1</v>
      </c>
      <c r="G4" s="137">
        <v>1</v>
      </c>
      <c r="H4" s="140" t="s">
        <v>2139</v>
      </c>
      <c r="I4" s="110" t="s">
        <v>2137</v>
      </c>
      <c r="J4" s="110" t="s">
        <v>2137</v>
      </c>
      <c r="K4" s="110" t="s">
        <v>2137</v>
      </c>
      <c r="L4" s="110" t="s">
        <v>2137</v>
      </c>
      <c r="M4" s="110" t="s">
        <v>2137</v>
      </c>
      <c r="N4" s="110" t="s">
        <v>2137</v>
      </c>
      <c r="O4" s="110" t="s">
        <v>2137</v>
      </c>
      <c r="P4" s="110" t="s">
        <v>2137</v>
      </c>
    </row>
    <row r="5" spans="2:16" x14ac:dyDescent="0.35">
      <c r="B5" s="129" t="s">
        <v>2085</v>
      </c>
      <c r="C5" s="110">
        <v>3</v>
      </c>
      <c r="D5" s="110" t="s">
        <v>2407</v>
      </c>
      <c r="E5" s="111">
        <v>45442</v>
      </c>
      <c r="F5" s="110">
        <v>1</v>
      </c>
      <c r="G5" s="137">
        <v>1</v>
      </c>
      <c r="H5" s="110" t="s">
        <v>2139</v>
      </c>
      <c r="I5" s="110">
        <v>0</v>
      </c>
      <c r="J5" s="110">
        <v>0</v>
      </c>
      <c r="K5" s="110">
        <v>0</v>
      </c>
      <c r="L5" s="110">
        <v>0</v>
      </c>
      <c r="M5" s="110">
        <v>0</v>
      </c>
      <c r="N5" s="110">
        <v>0</v>
      </c>
      <c r="O5" s="110">
        <v>0</v>
      </c>
      <c r="P5" s="110" t="s">
        <v>2137</v>
      </c>
    </row>
    <row r="6" spans="2:16"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c r="O6" s="110" t="s">
        <v>2137</v>
      </c>
      <c r="P6" s="110" t="s">
        <v>2137</v>
      </c>
    </row>
    <row r="7" spans="2:16"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c r="O7" s="110" t="s">
        <v>2137</v>
      </c>
      <c r="P7" s="110" t="s">
        <v>2137</v>
      </c>
    </row>
    <row r="8" spans="2:16" x14ac:dyDescent="0.35">
      <c r="B8" s="129" t="s">
        <v>2090</v>
      </c>
      <c r="C8" s="110">
        <v>6</v>
      </c>
      <c r="D8" s="110" t="s">
        <v>2408</v>
      </c>
      <c r="E8" s="111">
        <v>45442</v>
      </c>
      <c r="F8" s="110">
        <v>1</v>
      </c>
      <c r="G8" s="144" cm="1">
        <f t="array" ref="G8">SUMPRODUCT(--(I8:P8&lt;=I25:P25))/COUNTA(I25:P25)</f>
        <v>1</v>
      </c>
      <c r="H8" s="110" t="s">
        <v>2139</v>
      </c>
      <c r="I8" s="110">
        <v>2</v>
      </c>
      <c r="J8" s="110">
        <v>0</v>
      </c>
      <c r="K8" s="110">
        <v>3</v>
      </c>
      <c r="L8" s="110">
        <v>3</v>
      </c>
      <c r="M8" s="110">
        <v>3</v>
      </c>
      <c r="N8" s="110">
        <v>10</v>
      </c>
      <c r="O8" s="110">
        <v>10</v>
      </c>
      <c r="P8" s="110">
        <v>22</v>
      </c>
    </row>
    <row r="9" spans="2:16" x14ac:dyDescent="0.35">
      <c r="B9" s="129" t="s">
        <v>2093</v>
      </c>
      <c r="C9" s="110">
        <v>7</v>
      </c>
      <c r="D9" s="110" t="s">
        <v>2409</v>
      </c>
      <c r="E9" s="111">
        <v>45442</v>
      </c>
      <c r="F9" s="110">
        <v>1</v>
      </c>
      <c r="G9" s="144" cm="1">
        <f t="array" ref="G9">SUMPRODUCT(--(I9:P9&lt;=I26:P26))/COUNTA(I26:P26)</f>
        <v>1</v>
      </c>
      <c r="H9" s="110" t="s">
        <v>2139</v>
      </c>
      <c r="I9" s="110">
        <v>10</v>
      </c>
      <c r="J9" s="110">
        <v>15</v>
      </c>
      <c r="K9" s="110">
        <v>3</v>
      </c>
      <c r="L9" s="110">
        <v>3</v>
      </c>
      <c r="M9" s="110">
        <v>3</v>
      </c>
      <c r="N9" s="110">
        <v>10</v>
      </c>
      <c r="O9" s="110">
        <v>10</v>
      </c>
      <c r="P9" s="110">
        <v>22</v>
      </c>
    </row>
    <row r="10" spans="2:16" x14ac:dyDescent="0.35">
      <c r="B10" s="129" t="s">
        <v>2096</v>
      </c>
      <c r="C10" s="110">
        <v>8</v>
      </c>
      <c r="D10" s="110" t="s">
        <v>2410</v>
      </c>
      <c r="E10" s="111">
        <v>45442</v>
      </c>
      <c r="F10" s="110">
        <v>1</v>
      </c>
      <c r="G10" s="111" t="s">
        <v>2137</v>
      </c>
      <c r="H10" s="110" t="s">
        <v>2139</v>
      </c>
      <c r="I10" s="110">
        <v>100539</v>
      </c>
      <c r="J10" s="110"/>
      <c r="K10" s="140">
        <v>101</v>
      </c>
      <c r="L10" s="110">
        <v>32</v>
      </c>
      <c r="M10" s="110">
        <v>4</v>
      </c>
      <c r="N10" s="111">
        <v>33973</v>
      </c>
      <c r="O10" s="111">
        <v>45442</v>
      </c>
      <c r="P10" s="110" t="s">
        <v>2411</v>
      </c>
    </row>
    <row r="11" spans="2:16" x14ac:dyDescent="0.35">
      <c r="B11" s="129" t="s">
        <v>2098</v>
      </c>
      <c r="C11" s="110">
        <v>9</v>
      </c>
      <c r="D11" s="110" t="s">
        <v>2412</v>
      </c>
      <c r="E11" s="111">
        <v>45442</v>
      </c>
      <c r="F11" s="110">
        <v>1</v>
      </c>
      <c r="G11" s="111" t="s">
        <v>2137</v>
      </c>
      <c r="H11" s="110" t="s">
        <v>2139</v>
      </c>
      <c r="I11" s="110">
        <v>55</v>
      </c>
      <c r="J11" s="110"/>
      <c r="K11" s="140">
        <v>101</v>
      </c>
      <c r="L11" s="110">
        <v>32</v>
      </c>
      <c r="M11" s="110">
        <v>4</v>
      </c>
      <c r="N11" s="111">
        <v>33973</v>
      </c>
      <c r="O11" s="111">
        <v>45442</v>
      </c>
      <c r="P11" s="110" t="s">
        <v>2413</v>
      </c>
    </row>
    <row r="12" spans="2:16" x14ac:dyDescent="0.35">
      <c r="B12" s="130" t="s">
        <v>2100</v>
      </c>
      <c r="C12" s="110">
        <v>10</v>
      </c>
      <c r="D12" s="110" t="s">
        <v>2414</v>
      </c>
      <c r="E12" s="111">
        <v>45442</v>
      </c>
      <c r="F12" s="110">
        <v>1</v>
      </c>
      <c r="G12" s="111" t="s">
        <v>2137</v>
      </c>
      <c r="H12" s="110" t="s">
        <v>2139</v>
      </c>
      <c r="I12" s="110">
        <v>99884</v>
      </c>
      <c r="J12" s="110" t="s">
        <v>2415</v>
      </c>
      <c r="K12" s="110">
        <v>902</v>
      </c>
      <c r="L12" s="110">
        <v>862</v>
      </c>
      <c r="M12" s="110">
        <v>130</v>
      </c>
      <c r="N12" s="111">
        <v>45443</v>
      </c>
      <c r="O12" s="111">
        <v>45442</v>
      </c>
      <c r="P12" s="110" t="s">
        <v>2411</v>
      </c>
    </row>
    <row r="13" spans="2:16" x14ac:dyDescent="0.35">
      <c r="B13" s="130" t="s">
        <v>2102</v>
      </c>
      <c r="C13" s="110">
        <v>11</v>
      </c>
      <c r="D13" s="110" t="s">
        <v>2416</v>
      </c>
      <c r="E13" s="111">
        <v>45442</v>
      </c>
      <c r="F13" s="110">
        <v>1</v>
      </c>
      <c r="G13" s="111" t="s">
        <v>2137</v>
      </c>
      <c r="H13" s="110" t="s">
        <v>2139</v>
      </c>
      <c r="I13" s="110">
        <v>9002691418</v>
      </c>
      <c r="J13" s="110" t="s">
        <v>2415</v>
      </c>
      <c r="K13" s="110">
        <v>902</v>
      </c>
      <c r="L13" s="110">
        <v>862</v>
      </c>
      <c r="M13" s="110">
        <v>130</v>
      </c>
      <c r="N13" s="111">
        <v>45443</v>
      </c>
      <c r="O13" s="111">
        <v>45442</v>
      </c>
      <c r="P13" s="110" t="s">
        <v>2417</v>
      </c>
    </row>
    <row r="14" spans="2:16" x14ac:dyDescent="0.35">
      <c r="B14" s="129" t="s">
        <v>2104</v>
      </c>
      <c r="C14" s="110">
        <v>12</v>
      </c>
      <c r="D14" s="110" t="s">
        <v>2418</v>
      </c>
      <c r="E14" s="111">
        <v>45442</v>
      </c>
      <c r="F14" s="110">
        <v>1</v>
      </c>
      <c r="G14" s="137">
        <v>1</v>
      </c>
      <c r="H14" s="110" t="s">
        <v>2139</v>
      </c>
      <c r="I14" s="110">
        <v>0</v>
      </c>
      <c r="J14" s="110">
        <v>0</v>
      </c>
      <c r="K14" s="110">
        <v>0</v>
      </c>
      <c r="L14" s="110">
        <v>0</v>
      </c>
      <c r="M14" s="110">
        <v>0</v>
      </c>
      <c r="N14" s="110">
        <v>0</v>
      </c>
      <c r="O14" s="110">
        <v>0</v>
      </c>
      <c r="P14" s="110">
        <v>0</v>
      </c>
    </row>
    <row r="15" spans="2:16" x14ac:dyDescent="0.35">
      <c r="B15" s="129" t="s">
        <v>2106</v>
      </c>
      <c r="C15" s="110">
        <v>13</v>
      </c>
      <c r="D15" s="110" t="s">
        <v>2419</v>
      </c>
      <c r="E15" s="111">
        <v>45442</v>
      </c>
      <c r="F15" s="110">
        <v>1</v>
      </c>
      <c r="G15" s="137">
        <v>1</v>
      </c>
      <c r="H15" s="110" t="s">
        <v>2139</v>
      </c>
      <c r="I15" s="110" t="s">
        <v>2137</v>
      </c>
      <c r="J15" s="110" t="s">
        <v>2137</v>
      </c>
      <c r="K15" s="110" t="s">
        <v>2137</v>
      </c>
      <c r="L15" s="110" t="s">
        <v>2137</v>
      </c>
      <c r="M15" s="110" t="s">
        <v>2137</v>
      </c>
      <c r="N15" s="110">
        <v>0</v>
      </c>
      <c r="O15" s="110" t="s">
        <v>2137</v>
      </c>
      <c r="P15" s="110" t="s">
        <v>2137</v>
      </c>
    </row>
    <row r="16" spans="2:16" x14ac:dyDescent="0.35">
      <c r="B16" s="129" t="s">
        <v>2108</v>
      </c>
      <c r="C16" s="110">
        <v>14</v>
      </c>
      <c r="D16" s="110" t="s">
        <v>2420</v>
      </c>
      <c r="E16" s="111">
        <v>45442</v>
      </c>
      <c r="F16" s="110">
        <v>1</v>
      </c>
      <c r="G16" s="137">
        <v>0.99</v>
      </c>
      <c r="H16" s="110" t="s">
        <v>2139</v>
      </c>
      <c r="I16" s="110">
        <v>0</v>
      </c>
      <c r="J16" s="110">
        <v>1</v>
      </c>
      <c r="K16" s="110">
        <v>0</v>
      </c>
      <c r="L16" s="110">
        <v>0</v>
      </c>
      <c r="M16" s="110">
        <v>0</v>
      </c>
      <c r="N16" s="110" t="s">
        <v>2137</v>
      </c>
      <c r="O16" s="110" t="s">
        <v>2137</v>
      </c>
      <c r="P16" s="110" t="s">
        <v>2137</v>
      </c>
    </row>
    <row r="17" spans="2:16" x14ac:dyDescent="0.35">
      <c r="B17" s="129" t="s">
        <v>2171</v>
      </c>
      <c r="C17" s="110">
        <v>15</v>
      </c>
      <c r="D17" s="110" t="s">
        <v>2421</v>
      </c>
      <c r="E17" s="111">
        <v>45442</v>
      </c>
      <c r="F17" s="110">
        <v>1</v>
      </c>
      <c r="G17" s="137">
        <v>1</v>
      </c>
      <c r="H17" s="110" t="s">
        <v>2139</v>
      </c>
      <c r="I17" s="110" t="s">
        <v>2137</v>
      </c>
      <c r="J17" s="110" t="s">
        <v>2137</v>
      </c>
      <c r="K17" s="110" t="s">
        <v>2137</v>
      </c>
      <c r="L17" s="110" t="s">
        <v>2137</v>
      </c>
      <c r="M17" s="110" t="s">
        <v>2137</v>
      </c>
      <c r="N17" s="110" t="s">
        <v>2137</v>
      </c>
      <c r="O17" s="110" t="s">
        <v>2137</v>
      </c>
      <c r="P17" s="110" t="s">
        <v>2137</v>
      </c>
    </row>
    <row r="18" spans="2:16" x14ac:dyDescent="0.35">
      <c r="B18" s="129" t="s">
        <v>2173</v>
      </c>
      <c r="C18" s="110">
        <v>16</v>
      </c>
      <c r="D18" s="110" t="s">
        <v>2421</v>
      </c>
      <c r="E18" s="111">
        <v>45442</v>
      </c>
      <c r="F18" s="110">
        <v>1</v>
      </c>
      <c r="G18" s="137">
        <v>1</v>
      </c>
      <c r="H18" s="110" t="s">
        <v>2139</v>
      </c>
      <c r="I18" s="110" t="s">
        <v>2137</v>
      </c>
      <c r="J18" s="110" t="s">
        <v>2137</v>
      </c>
      <c r="K18" s="110" t="s">
        <v>2137</v>
      </c>
      <c r="L18" s="110" t="s">
        <v>2137</v>
      </c>
      <c r="M18" s="110" t="s">
        <v>2137</v>
      </c>
      <c r="N18" s="110" t="s">
        <v>2137</v>
      </c>
      <c r="O18" s="110" t="s">
        <v>2137</v>
      </c>
      <c r="P18" s="110" t="s">
        <v>2137</v>
      </c>
    </row>
    <row r="19" spans="2:16" x14ac:dyDescent="0.35">
      <c r="B19" s="129" t="s">
        <v>2118</v>
      </c>
      <c r="C19" s="110">
        <v>19</v>
      </c>
      <c r="D19" s="110" t="s">
        <v>2422</v>
      </c>
      <c r="E19" s="111">
        <v>45442</v>
      </c>
      <c r="F19" s="110">
        <v>1</v>
      </c>
      <c r="G19" s="137" cm="1">
        <f t="array" ref="G19">SUMPRODUCT(--(ISNUMBER((SEARCH(I25:P25,I19:P19)))))/COUNTA(I19:P19)</f>
        <v>1</v>
      </c>
      <c r="H19" s="110" t="s">
        <v>2139</v>
      </c>
      <c r="I19" s="110" t="s">
        <v>2175</v>
      </c>
      <c r="J19" s="110" t="s">
        <v>2175</v>
      </c>
      <c r="K19" s="110" t="s">
        <v>2175</v>
      </c>
      <c r="L19" s="110" t="s">
        <v>2175</v>
      </c>
      <c r="M19" s="110" t="s">
        <v>2175</v>
      </c>
      <c r="N19" s="110" t="s">
        <v>2175</v>
      </c>
      <c r="O19" s="110" t="s">
        <v>2175</v>
      </c>
      <c r="P19" s="110" t="s">
        <v>2176</v>
      </c>
    </row>
    <row r="20" spans="2:16" x14ac:dyDescent="0.35">
      <c r="B20" s="129" t="s">
        <v>2121</v>
      </c>
      <c r="C20" s="110">
        <v>20</v>
      </c>
      <c r="D20" s="110" t="s">
        <v>2422</v>
      </c>
      <c r="E20" s="111">
        <v>45442</v>
      </c>
      <c r="F20" s="110">
        <v>1</v>
      </c>
      <c r="G20" s="137" cm="1">
        <f t="array" ref="G20">SUM(IF(I2:N2 = I24:N24, 1, 0))/ COUNTA(I2:N2)</f>
        <v>1</v>
      </c>
      <c r="H20" s="110" t="s">
        <v>2139</v>
      </c>
      <c r="I20" s="110"/>
      <c r="J20" s="110"/>
      <c r="K20" s="110"/>
      <c r="L20" s="110"/>
      <c r="M20" s="110"/>
      <c r="N20" s="110"/>
      <c r="O20" s="110"/>
      <c r="P20" s="110"/>
    </row>
    <row r="21" spans="2:16" x14ac:dyDescent="0.35">
      <c r="B21" s="131" t="s">
        <v>2124</v>
      </c>
      <c r="C21" s="110">
        <v>21</v>
      </c>
      <c r="D21" s="110" t="s">
        <v>2422</v>
      </c>
      <c r="E21" s="111">
        <v>45442</v>
      </c>
      <c r="F21" s="110">
        <v>1</v>
      </c>
      <c r="G21" s="110" cm="1">
        <f t="array" ref="G21">SUM(IF(IF(G3:G20="null",1,G3:G20)=1,1,0))/COUNT(IF(G3:G20="null",1,1))</f>
        <v>0.94444444444444442</v>
      </c>
      <c r="H21" s="110"/>
      <c r="I21" s="110"/>
      <c r="J21" s="110"/>
      <c r="K21" s="110"/>
      <c r="L21" s="110"/>
      <c r="M21" s="110"/>
      <c r="N21" s="110"/>
      <c r="O21" s="110"/>
      <c r="P21" s="110"/>
    </row>
    <row r="23" spans="2:16" x14ac:dyDescent="0.35">
      <c r="B23" s="93" t="s">
        <v>2177</v>
      </c>
    </row>
    <row r="24" spans="2:16" x14ac:dyDescent="0.35">
      <c r="B24" s="106" t="s">
        <v>2127</v>
      </c>
      <c r="C24" s="107" t="s">
        <v>2128</v>
      </c>
      <c r="D24" s="107" t="s">
        <v>2129</v>
      </c>
      <c r="E24" s="107" t="s">
        <v>2130</v>
      </c>
      <c r="F24" s="107" t="s">
        <v>2131</v>
      </c>
      <c r="G24" s="107" t="s">
        <v>2132</v>
      </c>
      <c r="H24" s="107" t="s">
        <v>2133</v>
      </c>
      <c r="I24" s="114" t="str" cm="1">
        <f t="array" ref="I24:P24">TRANSPOSE(_xlfn.SORTBY(_xlfn._xlws.FILTER(Table2[NOME FÍSICO CAMPO],Table2[NOME FÍSICO TABELA]="entity_negative_file"), _xlfn._xlws.FILTER(Table2[ORDEM], Table2[NOME FÍSICO TABELA]="entity_negative_file"), 1))</f>
        <v>party_id</v>
      </c>
      <c r="J24" s="114" t="str">
        <v>document_number</v>
      </c>
      <c r="K24" s="114" t="str">
        <v>document_type_code</v>
      </c>
      <c r="L24" s="114" t="str">
        <v>document_country_code</v>
      </c>
      <c r="M24" s="114" t="str">
        <v>negative_code</v>
      </c>
      <c r="N24" s="114" t="str">
        <v>start_date</v>
      </c>
      <c r="O24" s="145" t="str">
        <v>data_date_part</v>
      </c>
      <c r="P24" s="146" t="str">
        <v>data_timestamp_part</v>
      </c>
    </row>
    <row r="25" spans="2:16" x14ac:dyDescent="0.35">
      <c r="B25" s="102" t="s">
        <v>2178</v>
      </c>
      <c r="C25" s="103">
        <v>21</v>
      </c>
      <c r="D25" s="104" t="s">
        <v>2179</v>
      </c>
      <c r="E25" s="98" t="s">
        <v>2180</v>
      </c>
      <c r="F25" s="98" t="s">
        <v>749</v>
      </c>
      <c r="G25" s="98" t="s">
        <v>749</v>
      </c>
      <c r="H25" s="98" t="s">
        <v>749</v>
      </c>
      <c r="I25" s="98" t="str" cm="1">
        <f t="array" ref="I25:P26">TRANSPOSE(_xlfn.SORTBY(_xlfn._xlws.FILTER(IF(Table2[FORMATO] :Table2[COMP_ CAMPO]&lt;&gt;"",Table2[FORMATO]:Table2[COMP_ CAMPO],9999999),Table2[NOME FÍSICO TABELA]="entity_negative_file"), _xlfn._xlws.FILTER(Table2[ORDEM], Table2[NOME FÍSICO TABELA]="entity_negative_file"), 1))</f>
        <v>STRING</v>
      </c>
      <c r="J25" s="98" t="str">
        <v>STRING</v>
      </c>
      <c r="K25" s="98" t="str">
        <v>STRING</v>
      </c>
      <c r="L25" s="98" t="str">
        <v>STRING</v>
      </c>
      <c r="M25" s="98" t="str">
        <v>STRING</v>
      </c>
      <c r="N25" s="98" t="str">
        <v>STRING</v>
      </c>
      <c r="O25" s="98" t="str">
        <v>STRING</v>
      </c>
      <c r="P25" s="105" t="str">
        <v>TIMESTAMP</v>
      </c>
    </row>
    <row r="26" spans="2:16" x14ac:dyDescent="0.35">
      <c r="B26" s="94" t="s">
        <v>2181</v>
      </c>
      <c r="C26" s="95">
        <v>7</v>
      </c>
      <c r="D26" s="96" t="s">
        <v>2179</v>
      </c>
      <c r="E26" s="97" t="s">
        <v>2180</v>
      </c>
      <c r="F26" s="97" t="s">
        <v>749</v>
      </c>
      <c r="G26" s="97" t="s">
        <v>749</v>
      </c>
      <c r="H26" s="97" t="s">
        <v>749</v>
      </c>
      <c r="I26" s="97">
        <v>10</v>
      </c>
      <c r="J26" s="97">
        <v>40</v>
      </c>
      <c r="K26" s="97">
        <v>4</v>
      </c>
      <c r="L26" s="97">
        <v>4</v>
      </c>
      <c r="M26" s="97">
        <v>4</v>
      </c>
      <c r="N26" s="97">
        <v>10</v>
      </c>
      <c r="O26" s="98">
        <v>10</v>
      </c>
      <c r="P26" s="105">
        <v>23</v>
      </c>
    </row>
    <row r="28" spans="2:16" x14ac:dyDescent="0.35">
      <c r="B28" s="109" t="s">
        <v>2182</v>
      </c>
    </row>
    <row r="29" spans="2:16" x14ac:dyDescent="0.35">
      <c r="B29" s="116" t="s">
        <v>2183</v>
      </c>
      <c r="C29" s="117" t="s">
        <v>2184</v>
      </c>
      <c r="D29" s="118" t="s">
        <v>2185</v>
      </c>
      <c r="E29" s="117" t="s">
        <v>2186</v>
      </c>
      <c r="F29" s="118" t="s">
        <v>2187</v>
      </c>
    </row>
    <row r="30" spans="2:16" x14ac:dyDescent="0.35">
      <c r="B30" s="124"/>
      <c r="C30" s="124"/>
      <c r="D30" s="151"/>
      <c r="E30" s="125"/>
      <c r="F30" s="124"/>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9F58-1A6B-4032-AD19-41B5816419EB}">
  <sheetPr>
    <tabColor rgb="FF00B050"/>
  </sheetPr>
  <dimension ref="B1:P33"/>
  <sheetViews>
    <sheetView showGridLines="0" topLeftCell="A3" workbookViewId="0">
      <selection activeCell="D11" sqref="D11"/>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4" ht="30" customHeight="1" x14ac:dyDescent="0.35"/>
    <row r="2" spans="2:14" x14ac:dyDescent="0.35">
      <c r="B2" s="90" t="s">
        <v>2127</v>
      </c>
      <c r="C2" t="s">
        <v>2128</v>
      </c>
      <c r="D2" t="s">
        <v>2129</v>
      </c>
      <c r="E2" t="s">
        <v>2130</v>
      </c>
      <c r="F2" t="s">
        <v>2131</v>
      </c>
      <c r="G2" t="s">
        <v>2132</v>
      </c>
      <c r="H2" t="s">
        <v>2133</v>
      </c>
      <c r="I2" t="s">
        <v>785</v>
      </c>
      <c r="J2" t="s">
        <v>963</v>
      </c>
      <c r="K2" t="s">
        <v>932</v>
      </c>
      <c r="L2" t="s">
        <v>943</v>
      </c>
      <c r="M2" t="s">
        <v>765</v>
      </c>
      <c r="N2" t="s">
        <v>772</v>
      </c>
    </row>
    <row r="3" spans="2:14" x14ac:dyDescent="0.35">
      <c r="B3" s="129" t="s">
        <v>2081</v>
      </c>
      <c r="C3" s="110">
        <v>1</v>
      </c>
      <c r="D3" s="110" t="s">
        <v>2423</v>
      </c>
      <c r="E3" s="111">
        <v>45502</v>
      </c>
      <c r="F3" s="110">
        <v>1</v>
      </c>
      <c r="G3" s="137">
        <v>1</v>
      </c>
      <c r="H3" s="134" t="s">
        <v>2424</v>
      </c>
      <c r="I3" s="110" t="s">
        <v>2137</v>
      </c>
      <c r="J3" s="110" t="s">
        <v>2137</v>
      </c>
      <c r="K3" s="110" t="s">
        <v>2137</v>
      </c>
      <c r="L3" s="110" t="s">
        <v>2137</v>
      </c>
      <c r="M3" s="110" t="s">
        <v>2137</v>
      </c>
      <c r="N3" s="110" t="s">
        <v>2137</v>
      </c>
    </row>
    <row r="4" spans="2:14" x14ac:dyDescent="0.35">
      <c r="B4" s="129" t="s">
        <v>2083</v>
      </c>
      <c r="C4" s="110">
        <v>2</v>
      </c>
      <c r="D4" s="110" t="s">
        <v>2425</v>
      </c>
      <c r="E4" s="111">
        <v>45502</v>
      </c>
      <c r="F4" s="110">
        <v>1</v>
      </c>
      <c r="G4" s="137">
        <v>1</v>
      </c>
      <c r="H4" s="140" t="s">
        <v>2139</v>
      </c>
      <c r="I4" s="110" t="s">
        <v>2137</v>
      </c>
      <c r="J4" s="110" t="s">
        <v>2137</v>
      </c>
      <c r="K4" s="110" t="s">
        <v>2137</v>
      </c>
      <c r="L4" s="110" t="s">
        <v>2137</v>
      </c>
      <c r="M4" s="110" t="s">
        <v>2137</v>
      </c>
      <c r="N4" s="110" t="s">
        <v>2137</v>
      </c>
    </row>
    <row r="5" spans="2:14" x14ac:dyDescent="0.35">
      <c r="B5" s="129" t="s">
        <v>2085</v>
      </c>
      <c r="C5" s="110">
        <v>3</v>
      </c>
      <c r="D5" s="110" t="s">
        <v>2426</v>
      </c>
      <c r="E5" s="111">
        <v>45502</v>
      </c>
      <c r="F5" s="110">
        <v>1</v>
      </c>
      <c r="G5" s="137">
        <v>1</v>
      </c>
      <c r="H5" s="140" t="s">
        <v>2139</v>
      </c>
      <c r="I5" s="110">
        <v>0</v>
      </c>
      <c r="J5" s="110" t="s">
        <v>2137</v>
      </c>
      <c r="K5" s="110">
        <v>0</v>
      </c>
      <c r="L5" s="110" t="s">
        <v>2137</v>
      </c>
      <c r="M5" s="110">
        <v>0</v>
      </c>
      <c r="N5" s="110" t="s">
        <v>2137</v>
      </c>
    </row>
    <row r="6" spans="2:14" x14ac:dyDescent="0.35">
      <c r="B6" s="129" t="s">
        <v>2087</v>
      </c>
      <c r="C6" s="110">
        <v>4</v>
      </c>
      <c r="D6" s="110" t="s">
        <v>2141</v>
      </c>
      <c r="E6" s="111" t="s">
        <v>2137</v>
      </c>
      <c r="F6" s="110">
        <v>1</v>
      </c>
      <c r="G6" s="111" t="s">
        <v>2137</v>
      </c>
      <c r="H6" s="110"/>
      <c r="I6" s="110" t="s">
        <v>2137</v>
      </c>
      <c r="J6" s="110" t="s">
        <v>2137</v>
      </c>
      <c r="K6" s="110" t="s">
        <v>2137</v>
      </c>
      <c r="L6" s="110" t="s">
        <v>2137</v>
      </c>
      <c r="M6" s="110" t="s">
        <v>2137</v>
      </c>
      <c r="N6" s="110" t="s">
        <v>2137</v>
      </c>
    </row>
    <row r="7" spans="2:14" x14ac:dyDescent="0.35">
      <c r="B7" s="129" t="s">
        <v>2089</v>
      </c>
      <c r="C7" s="110">
        <v>5</v>
      </c>
      <c r="D7" s="110" t="s">
        <v>2141</v>
      </c>
      <c r="E7" s="111" t="s">
        <v>2137</v>
      </c>
      <c r="F7" s="110">
        <v>1</v>
      </c>
      <c r="G7" s="111" t="s">
        <v>2137</v>
      </c>
      <c r="H7" s="110"/>
      <c r="I7" s="110" t="s">
        <v>2137</v>
      </c>
      <c r="J7" s="110" t="s">
        <v>2137</v>
      </c>
      <c r="K7" s="110" t="s">
        <v>2137</v>
      </c>
      <c r="L7" s="110" t="s">
        <v>2137</v>
      </c>
      <c r="M7" s="110" t="s">
        <v>2137</v>
      </c>
      <c r="N7" s="110" t="s">
        <v>2137</v>
      </c>
    </row>
    <row r="8" spans="2:14" x14ac:dyDescent="0.35">
      <c r="B8" s="129" t="s">
        <v>2090</v>
      </c>
      <c r="C8" s="110">
        <v>6</v>
      </c>
      <c r="D8" s="110" t="s">
        <v>2427</v>
      </c>
      <c r="E8" s="111">
        <v>45502</v>
      </c>
      <c r="F8" s="110">
        <v>1</v>
      </c>
      <c r="G8" s="137" cm="1">
        <f t="array" ref="G8">SUMPRODUCT(--(I8:N8&gt;0))/COUNTA(I8:N8)</f>
        <v>1</v>
      </c>
      <c r="H8" s="110" t="s">
        <v>2139</v>
      </c>
      <c r="I8" s="110">
        <v>1</v>
      </c>
      <c r="J8" s="110">
        <v>2</v>
      </c>
      <c r="K8" s="110">
        <v>1</v>
      </c>
      <c r="L8" s="110">
        <v>10</v>
      </c>
      <c r="M8" s="110">
        <v>10</v>
      </c>
      <c r="N8" s="110">
        <v>23</v>
      </c>
    </row>
    <row r="9" spans="2:14" x14ac:dyDescent="0.35">
      <c r="B9" s="129" t="s">
        <v>2093</v>
      </c>
      <c r="C9" s="110">
        <v>7</v>
      </c>
      <c r="D9" s="110" t="s">
        <v>2428</v>
      </c>
      <c r="E9" s="111">
        <v>45502</v>
      </c>
      <c r="F9" s="110">
        <v>1</v>
      </c>
      <c r="G9" s="144" cm="1">
        <f t="array" ref="G9">SUMPRODUCT(--(I9:N9&lt;=I26:N26))/COUNTA(I26:N26)</f>
        <v>1</v>
      </c>
      <c r="H9" s="110" t="s">
        <v>2139</v>
      </c>
      <c r="I9" s="110">
        <v>10</v>
      </c>
      <c r="J9" s="110">
        <v>3</v>
      </c>
      <c r="K9" s="110">
        <v>1</v>
      </c>
      <c r="L9" s="110">
        <v>10</v>
      </c>
      <c r="M9" s="110">
        <v>10</v>
      </c>
      <c r="N9" s="110">
        <v>23</v>
      </c>
    </row>
    <row r="10" spans="2:14" x14ac:dyDescent="0.35">
      <c r="B10" s="129" t="s">
        <v>2096</v>
      </c>
      <c r="C10" s="110">
        <v>8</v>
      </c>
      <c r="D10" s="110" t="s">
        <v>2429</v>
      </c>
      <c r="E10" s="111">
        <v>45502</v>
      </c>
      <c r="F10" s="110">
        <v>1</v>
      </c>
      <c r="G10" s="111" t="s">
        <v>2137</v>
      </c>
      <c r="H10" s="110" t="s">
        <v>2139</v>
      </c>
      <c r="I10" s="110">
        <v>617</v>
      </c>
      <c r="J10" s="110">
        <v>4</v>
      </c>
      <c r="K10" s="140">
        <v>1</v>
      </c>
      <c r="L10" s="111">
        <v>44095</v>
      </c>
      <c r="M10" s="111">
        <v>45406</v>
      </c>
      <c r="N10" s="111" t="s">
        <v>2430</v>
      </c>
    </row>
    <row r="11" spans="2:14" x14ac:dyDescent="0.35">
      <c r="B11" s="129" t="s">
        <v>2098</v>
      </c>
      <c r="C11" s="110">
        <v>9</v>
      </c>
      <c r="D11" s="110" t="s">
        <v>2431</v>
      </c>
      <c r="E11" s="111">
        <v>45502</v>
      </c>
      <c r="F11" s="110">
        <v>1</v>
      </c>
      <c r="G11" s="111" t="s">
        <v>2137</v>
      </c>
      <c r="H11" s="110" t="s">
        <v>2139</v>
      </c>
      <c r="I11" s="110">
        <v>617</v>
      </c>
      <c r="J11" s="110">
        <v>4</v>
      </c>
      <c r="K11" s="140">
        <v>1</v>
      </c>
      <c r="L11" s="111">
        <v>44095</v>
      </c>
      <c r="M11" s="111">
        <v>45406</v>
      </c>
      <c r="N11" s="111" t="s">
        <v>2432</v>
      </c>
    </row>
    <row r="12" spans="2:14" x14ac:dyDescent="0.35">
      <c r="B12" s="130" t="s">
        <v>2100</v>
      </c>
      <c r="C12" s="110">
        <v>10</v>
      </c>
      <c r="D12" s="110" t="s">
        <v>2433</v>
      </c>
      <c r="E12" s="111">
        <v>45502</v>
      </c>
      <c r="F12" s="110">
        <v>1</v>
      </c>
      <c r="G12" s="111" t="s">
        <v>2137</v>
      </c>
      <c r="H12" s="110" t="s">
        <v>2139</v>
      </c>
      <c r="I12" s="110">
        <v>99998</v>
      </c>
      <c r="J12" s="110" t="s">
        <v>2162</v>
      </c>
      <c r="K12" s="110">
        <v>3</v>
      </c>
      <c r="L12" s="111">
        <v>45406</v>
      </c>
      <c r="M12" s="111">
        <v>45502</v>
      </c>
      <c r="N12" s="111" t="s">
        <v>2430</v>
      </c>
    </row>
    <row r="13" spans="2:14" x14ac:dyDescent="0.35">
      <c r="B13" s="130" t="s">
        <v>2102</v>
      </c>
      <c r="C13" s="110">
        <v>11</v>
      </c>
      <c r="D13" s="110" t="s">
        <v>2434</v>
      </c>
      <c r="E13" s="111">
        <v>45502</v>
      </c>
      <c r="F13" s="110">
        <v>1</v>
      </c>
      <c r="G13" s="111" t="s">
        <v>2137</v>
      </c>
      <c r="H13" s="110" t="s">
        <v>2139</v>
      </c>
      <c r="I13" s="110">
        <v>99998</v>
      </c>
      <c r="J13" s="110" t="s">
        <v>2162</v>
      </c>
      <c r="K13" s="110">
        <v>3</v>
      </c>
      <c r="L13" s="111">
        <v>45406</v>
      </c>
      <c r="M13" s="111">
        <v>45502</v>
      </c>
      <c r="N13" s="111" t="s">
        <v>2435</v>
      </c>
    </row>
    <row r="14" spans="2:14" x14ac:dyDescent="0.35">
      <c r="B14" s="129" t="s">
        <v>2104</v>
      </c>
      <c r="C14" s="110">
        <v>12</v>
      </c>
      <c r="D14" s="110" t="s">
        <v>2436</v>
      </c>
      <c r="E14" s="111">
        <v>45502</v>
      </c>
      <c r="F14" s="110">
        <v>1</v>
      </c>
      <c r="G14" s="137">
        <v>0.83</v>
      </c>
      <c r="H14" s="110" t="s">
        <v>2139</v>
      </c>
      <c r="I14" s="110">
        <v>0</v>
      </c>
      <c r="J14" s="110">
        <v>0</v>
      </c>
      <c r="K14" s="110">
        <v>0</v>
      </c>
      <c r="L14" s="110">
        <v>8903337</v>
      </c>
      <c r="M14" s="110">
        <v>0</v>
      </c>
      <c r="N14" s="110">
        <v>0</v>
      </c>
    </row>
    <row r="15" spans="2:14" x14ac:dyDescent="0.35">
      <c r="B15" s="129" t="s">
        <v>2106</v>
      </c>
      <c r="C15" s="110">
        <v>13</v>
      </c>
      <c r="D15" s="110" t="s">
        <v>2437</v>
      </c>
      <c r="E15" s="111">
        <v>45502</v>
      </c>
      <c r="F15" s="110">
        <v>1</v>
      </c>
      <c r="G15" s="137">
        <v>1</v>
      </c>
      <c r="H15" s="110" t="s">
        <v>2139</v>
      </c>
      <c r="I15" s="110" t="s">
        <v>2137</v>
      </c>
      <c r="J15" s="110" t="s">
        <v>2137</v>
      </c>
      <c r="K15" s="110" t="s">
        <v>2137</v>
      </c>
      <c r="L15" s="110">
        <v>0</v>
      </c>
      <c r="M15" s="110" t="s">
        <v>2137</v>
      </c>
      <c r="N15" s="110" t="s">
        <v>2137</v>
      </c>
    </row>
    <row r="16" spans="2:14" x14ac:dyDescent="0.35">
      <c r="B16" s="129" t="s">
        <v>2108</v>
      </c>
      <c r="C16" s="110">
        <v>14</v>
      </c>
      <c r="D16" s="110" t="s">
        <v>2438</v>
      </c>
      <c r="E16" s="111">
        <v>45502</v>
      </c>
      <c r="F16" s="110">
        <v>1</v>
      </c>
      <c r="G16" s="137">
        <v>1</v>
      </c>
      <c r="H16" s="110" t="s">
        <v>2139</v>
      </c>
      <c r="I16" s="110">
        <v>0</v>
      </c>
      <c r="J16" s="110">
        <v>0</v>
      </c>
      <c r="K16" s="110" t="s">
        <v>2137</v>
      </c>
      <c r="L16" s="110" t="s">
        <v>2137</v>
      </c>
      <c r="M16" s="110" t="s">
        <v>2137</v>
      </c>
      <c r="N16" s="110" t="s">
        <v>2137</v>
      </c>
    </row>
    <row r="17" spans="2:16" x14ac:dyDescent="0.35">
      <c r="B17" s="129" t="s">
        <v>2171</v>
      </c>
      <c r="C17" s="110">
        <v>15</v>
      </c>
      <c r="D17" s="110" t="s">
        <v>2439</v>
      </c>
      <c r="E17" s="111">
        <v>45502</v>
      </c>
      <c r="F17" s="110">
        <v>1</v>
      </c>
      <c r="G17" s="137">
        <v>1</v>
      </c>
      <c r="H17" s="110" t="s">
        <v>2139</v>
      </c>
      <c r="I17" s="110" t="s">
        <v>2137</v>
      </c>
      <c r="J17" s="110" t="s">
        <v>2137</v>
      </c>
      <c r="K17" s="110" t="s">
        <v>2137</v>
      </c>
      <c r="L17" s="110" t="s">
        <v>2137</v>
      </c>
      <c r="M17" s="110" t="s">
        <v>2137</v>
      </c>
      <c r="N17" s="110" t="s">
        <v>2137</v>
      </c>
    </row>
    <row r="18" spans="2:16" x14ac:dyDescent="0.35">
      <c r="B18" s="129" t="s">
        <v>2173</v>
      </c>
      <c r="C18" s="110">
        <v>16</v>
      </c>
      <c r="D18" s="110" t="s">
        <v>2439</v>
      </c>
      <c r="E18" s="111">
        <v>45502</v>
      </c>
      <c r="F18" s="110">
        <v>1</v>
      </c>
      <c r="G18" s="137">
        <v>1</v>
      </c>
      <c r="H18" s="110" t="s">
        <v>2139</v>
      </c>
      <c r="I18" s="110" t="s">
        <v>2137</v>
      </c>
      <c r="J18" s="110" t="s">
        <v>2137</v>
      </c>
      <c r="K18" s="110" t="s">
        <v>2137</v>
      </c>
      <c r="L18" s="110" t="s">
        <v>2137</v>
      </c>
      <c r="M18" s="110" t="s">
        <v>2137</v>
      </c>
      <c r="N18" s="110" t="s">
        <v>2137</v>
      </c>
    </row>
    <row r="19" spans="2:16" x14ac:dyDescent="0.35">
      <c r="B19" s="129" t="s">
        <v>2118</v>
      </c>
      <c r="C19" s="110">
        <v>19</v>
      </c>
      <c r="D19" s="110" t="s">
        <v>2440</v>
      </c>
      <c r="E19" s="111">
        <v>45502</v>
      </c>
      <c r="F19" s="110">
        <v>1</v>
      </c>
      <c r="G19" s="137" cm="1">
        <f t="array" ref="G19">SUMPRODUCT(--(ISNUMBER((SEARCH(I25:N25,I19:N19)))))/COUNTA(I19:N19)</f>
        <v>0.83333333333333337</v>
      </c>
      <c r="H19" s="110" t="s">
        <v>2139</v>
      </c>
      <c r="I19" s="110" t="s">
        <v>2175</v>
      </c>
      <c r="J19" s="110" t="s">
        <v>2175</v>
      </c>
      <c r="K19" s="110" t="s">
        <v>2175</v>
      </c>
      <c r="L19" s="110" t="s">
        <v>2175</v>
      </c>
      <c r="M19" s="110" t="s">
        <v>2175</v>
      </c>
      <c r="N19" s="110" t="s">
        <v>2176</v>
      </c>
    </row>
    <row r="20" spans="2:16" x14ac:dyDescent="0.35">
      <c r="B20" s="129" t="s">
        <v>2121</v>
      </c>
      <c r="C20" s="110">
        <v>20</v>
      </c>
      <c r="D20" s="110"/>
      <c r="E20" s="111"/>
      <c r="F20" s="110"/>
      <c r="G20" s="137" cm="1">
        <f t="array" ref="G20">SUM(IF(I2:N2 = I24:N24, 1, 0))/ COUNTA(I2:N2)</f>
        <v>1</v>
      </c>
      <c r="H20" s="110"/>
      <c r="I20" s="110"/>
      <c r="J20" s="110"/>
      <c r="K20" s="110"/>
      <c r="L20" s="110"/>
      <c r="M20" s="110"/>
      <c r="N20" s="110"/>
    </row>
    <row r="21" spans="2:16" x14ac:dyDescent="0.35">
      <c r="B21" s="131" t="s">
        <v>2124</v>
      </c>
      <c r="C21" s="110">
        <v>21</v>
      </c>
      <c r="D21" s="110"/>
      <c r="E21" s="111"/>
      <c r="F21" s="110"/>
      <c r="G21" s="110" cm="1">
        <f t="array" ref="G21">SUM(IF(IF(G3:G20="null",1,G3:G20)=1,1,0))/COUNT(IF(G3:G20="null",1,1))</f>
        <v>0.88888888888888884</v>
      </c>
      <c r="H21" s="110"/>
      <c r="I21" s="110"/>
      <c r="J21" s="110"/>
      <c r="K21" s="110"/>
      <c r="L21" s="110"/>
      <c r="M21" s="110"/>
      <c r="N21" s="110"/>
    </row>
    <row r="23" spans="2:16" x14ac:dyDescent="0.35">
      <c r="B23" s="93" t="s">
        <v>2177</v>
      </c>
    </row>
    <row r="24" spans="2:16" x14ac:dyDescent="0.35">
      <c r="B24" s="106" t="s">
        <v>2127</v>
      </c>
      <c r="C24" s="107" t="s">
        <v>2128</v>
      </c>
      <c r="D24" s="107" t="s">
        <v>2129</v>
      </c>
      <c r="E24" s="107" t="s">
        <v>2130</v>
      </c>
      <c r="F24" s="107" t="s">
        <v>2131</v>
      </c>
      <c r="G24" s="107" t="s">
        <v>2132</v>
      </c>
      <c r="H24" s="107" t="s">
        <v>2133</v>
      </c>
      <c r="I24" s="114" t="str" cm="1">
        <f t="array" ref="I24:N24">TRANSPOSE(_xlfn.SORTBY(_xlfn._xlws.FILTER(Table2[NOME FÍSICO CAMPO],Table2[NOME FÍSICO TABELA]="individual_citizenship"), _xlfn._xlws.FILTER(Table2[ORDEM], Table2[NOME FÍSICO TABELA]="individual_citizenship"), 1))</f>
        <v>party_id</v>
      </c>
      <c r="J24" s="114" t="str">
        <v>country_code</v>
      </c>
      <c r="K24" s="114" t="str">
        <v>order_number</v>
      </c>
      <c r="L24" s="114" t="str">
        <v>start_date</v>
      </c>
      <c r="M24" s="114" t="str">
        <v>data_date_part</v>
      </c>
      <c r="N24" s="115" t="str">
        <v>data_timestamp_part</v>
      </c>
      <c r="O24" s="142"/>
      <c r="P24" s="142"/>
    </row>
    <row r="25" spans="2:16" x14ac:dyDescent="0.35">
      <c r="B25" s="102" t="s">
        <v>2178</v>
      </c>
      <c r="C25" s="103">
        <v>21</v>
      </c>
      <c r="D25" s="104" t="s">
        <v>2179</v>
      </c>
      <c r="E25" s="98" t="s">
        <v>2180</v>
      </c>
      <c r="F25" s="98" t="s">
        <v>749</v>
      </c>
      <c r="G25" s="98" t="s">
        <v>749</v>
      </c>
      <c r="H25" s="98" t="s">
        <v>749</v>
      </c>
      <c r="I25" s="98" t="str" cm="1">
        <f t="array" ref="I25:N26">TRANSPOSE(_xlfn.SORTBY(_xlfn._xlws.FILTER(IF(Table2[FORMATO] :Table2[COMP_ CAMPO]&lt;&gt;"",Table2[FORMATO]:Table2[COMP_ CAMPO],9999999),Table2[NOME FÍSICO TABELA]="individual_citizenship"), _xlfn._xlws.FILTER(Table2[ORDEM], Table2[NOME FÍSICO TABELA]="individual_citizenship"), 1))</f>
        <v>STRING</v>
      </c>
      <c r="J25" s="98" t="str">
        <v>STRING</v>
      </c>
      <c r="K25" s="98" t="str">
        <v>BIGINT</v>
      </c>
      <c r="L25" s="98" t="str">
        <v>STRING</v>
      </c>
      <c r="M25" s="98" t="str">
        <v>STRING</v>
      </c>
      <c r="N25" s="105" t="str">
        <v>TIMESTAMP</v>
      </c>
    </row>
    <row r="26" spans="2:16" x14ac:dyDescent="0.35">
      <c r="B26" s="94" t="s">
        <v>2181</v>
      </c>
      <c r="C26" s="95">
        <v>7</v>
      </c>
      <c r="D26" s="96" t="s">
        <v>2179</v>
      </c>
      <c r="E26" s="97" t="s">
        <v>2180</v>
      </c>
      <c r="F26" s="97" t="s">
        <v>749</v>
      </c>
      <c r="G26" s="97" t="s">
        <v>749</v>
      </c>
      <c r="H26" s="97" t="s">
        <v>749</v>
      </c>
      <c r="I26" s="97">
        <v>10</v>
      </c>
      <c r="J26" s="97">
        <v>4</v>
      </c>
      <c r="K26" s="97">
        <v>9999999</v>
      </c>
      <c r="L26" s="97">
        <v>10</v>
      </c>
      <c r="M26" s="97">
        <v>10</v>
      </c>
      <c r="N26" s="101">
        <v>23</v>
      </c>
    </row>
    <row r="28" spans="2:16" x14ac:dyDescent="0.35">
      <c r="B28" s="109" t="s">
        <v>2182</v>
      </c>
      <c r="H28" s="147" t="s">
        <v>2441</v>
      </c>
    </row>
    <row r="29" spans="2:16" x14ac:dyDescent="0.35">
      <c r="B29" s="116" t="s">
        <v>2183</v>
      </c>
      <c r="C29" s="117" t="s">
        <v>2184</v>
      </c>
      <c r="D29" s="118" t="s">
        <v>2185</v>
      </c>
      <c r="E29" s="117" t="s">
        <v>2186</v>
      </c>
      <c r="F29" s="118" t="s">
        <v>2187</v>
      </c>
      <c r="H29" t="s">
        <v>2442</v>
      </c>
    </row>
    <row r="30" spans="2:16" ht="43.5" x14ac:dyDescent="0.35">
      <c r="B30" s="124" t="s">
        <v>2188</v>
      </c>
      <c r="C30" s="124" t="s">
        <v>943</v>
      </c>
      <c r="D30" s="125" t="s">
        <v>2443</v>
      </c>
      <c r="E30" s="125" t="s">
        <v>2444</v>
      </c>
      <c r="F30" s="124" t="s">
        <v>2191</v>
      </c>
      <c r="H30" s="124" t="s">
        <v>2445</v>
      </c>
    </row>
    <row r="31" spans="2:16" x14ac:dyDescent="0.35">
      <c r="B31" s="124"/>
      <c r="C31" s="124"/>
      <c r="D31" s="125"/>
      <c r="E31" s="125"/>
      <c r="F31" s="124"/>
    </row>
    <row r="32" spans="2:16" x14ac:dyDescent="0.35">
      <c r="B32" s="124"/>
      <c r="C32" s="124"/>
      <c r="D32" s="125"/>
      <c r="E32" s="125"/>
      <c r="F32" s="124"/>
    </row>
    <row r="33" spans="2:6" x14ac:dyDescent="0.35">
      <c r="B33" s="124"/>
      <c r="C33" s="124"/>
      <c r="D33" s="125"/>
      <c r="E33" s="125"/>
      <c r="F33" s="124"/>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9B74-0804-4B74-B909-0BE62A0774D1}">
  <sheetPr>
    <tabColor rgb="FF00B050"/>
  </sheetPr>
  <dimension ref="A1:P32"/>
  <sheetViews>
    <sheetView showGridLines="0" topLeftCell="A26" workbookViewId="0">
      <selection activeCell="B33" sqref="B33:B34"/>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0" t="s">
        <v>2127</v>
      </c>
      <c r="C2" t="s">
        <v>2128</v>
      </c>
      <c r="D2" t="s">
        <v>2129</v>
      </c>
      <c r="E2" t="s">
        <v>2130</v>
      </c>
      <c r="F2" t="s">
        <v>2131</v>
      </c>
      <c r="G2" t="s">
        <v>2132</v>
      </c>
      <c r="H2" t="s">
        <v>2133</v>
      </c>
      <c r="I2" t="s">
        <v>785</v>
      </c>
      <c r="J2" t="s">
        <v>963</v>
      </c>
      <c r="K2" t="s">
        <v>943</v>
      </c>
      <c r="L2" t="s">
        <v>765</v>
      </c>
      <c r="M2" t="s">
        <v>772</v>
      </c>
    </row>
    <row r="3" spans="2:13" x14ac:dyDescent="0.35">
      <c r="B3" s="129" t="s">
        <v>2081</v>
      </c>
      <c r="C3" s="110">
        <v>1</v>
      </c>
      <c r="D3" s="110" t="s">
        <v>2446</v>
      </c>
      <c r="E3" s="111">
        <v>45418</v>
      </c>
      <c r="F3" s="110">
        <v>1</v>
      </c>
      <c r="G3" s="137">
        <v>1</v>
      </c>
      <c r="H3" s="134" t="s">
        <v>2447</v>
      </c>
      <c r="I3" s="110" t="s">
        <v>2137</v>
      </c>
      <c r="J3" s="110" t="s">
        <v>2137</v>
      </c>
      <c r="K3" s="110" t="s">
        <v>2137</v>
      </c>
      <c r="L3" s="110" t="s">
        <v>2137</v>
      </c>
      <c r="M3" s="110" t="s">
        <v>2137</v>
      </c>
    </row>
    <row r="4" spans="2:13" x14ac:dyDescent="0.35">
      <c r="B4" s="129" t="s">
        <v>2083</v>
      </c>
      <c r="C4" s="110">
        <v>2</v>
      </c>
      <c r="D4" s="110" t="s">
        <v>2448</v>
      </c>
      <c r="E4" s="111">
        <v>45418</v>
      </c>
      <c r="F4" s="110">
        <v>1</v>
      </c>
      <c r="G4" s="137">
        <v>0.5</v>
      </c>
      <c r="H4" s="140" t="s">
        <v>2449</v>
      </c>
      <c r="I4" s="110" t="s">
        <v>2137</v>
      </c>
      <c r="J4" s="110" t="s">
        <v>2137</v>
      </c>
      <c r="K4" s="110" t="s">
        <v>2137</v>
      </c>
      <c r="L4" s="110" t="s">
        <v>2137</v>
      </c>
      <c r="M4" s="110" t="s">
        <v>2137</v>
      </c>
    </row>
    <row r="5" spans="2:13" x14ac:dyDescent="0.35">
      <c r="B5" s="129" t="s">
        <v>2085</v>
      </c>
      <c r="C5" s="110">
        <v>3</v>
      </c>
      <c r="D5" s="110" t="s">
        <v>2450</v>
      </c>
      <c r="E5" s="111">
        <v>45418</v>
      </c>
      <c r="F5" s="110">
        <v>1</v>
      </c>
      <c r="G5" s="137">
        <v>0.67</v>
      </c>
      <c r="H5" s="140" t="s">
        <v>2451</v>
      </c>
      <c r="I5" s="110">
        <v>8</v>
      </c>
      <c r="J5" s="110">
        <v>0</v>
      </c>
      <c r="K5" s="110" t="s">
        <v>2137</v>
      </c>
      <c r="L5" s="110">
        <v>0</v>
      </c>
      <c r="M5" s="110" t="s">
        <v>2137</v>
      </c>
    </row>
    <row r="6" spans="2:13" x14ac:dyDescent="0.35">
      <c r="B6" s="129" t="s">
        <v>2087</v>
      </c>
      <c r="C6" s="110">
        <v>4</v>
      </c>
      <c r="D6" s="110" t="s">
        <v>2141</v>
      </c>
      <c r="E6" s="111" t="s">
        <v>2137</v>
      </c>
      <c r="F6" s="110">
        <v>1</v>
      </c>
      <c r="G6" s="111" t="s">
        <v>2137</v>
      </c>
      <c r="H6" s="110"/>
      <c r="I6" s="110" t="s">
        <v>2137</v>
      </c>
      <c r="J6" s="110" t="s">
        <v>2137</v>
      </c>
      <c r="K6" s="110" t="s">
        <v>2137</v>
      </c>
      <c r="L6" s="110" t="s">
        <v>2137</v>
      </c>
      <c r="M6" s="110" t="s">
        <v>2137</v>
      </c>
    </row>
    <row r="7" spans="2:13" x14ac:dyDescent="0.35">
      <c r="B7" s="129" t="s">
        <v>2089</v>
      </c>
      <c r="C7" s="110">
        <v>5</v>
      </c>
      <c r="D7" s="110" t="s">
        <v>2141</v>
      </c>
      <c r="E7" s="111" t="s">
        <v>2137</v>
      </c>
      <c r="F7" s="110">
        <v>1</v>
      </c>
      <c r="G7" s="111" t="s">
        <v>2137</v>
      </c>
      <c r="H7" s="110"/>
      <c r="I7" s="110" t="s">
        <v>2137</v>
      </c>
      <c r="J7" s="110" t="s">
        <v>2137</v>
      </c>
      <c r="K7" s="110" t="s">
        <v>2137</v>
      </c>
      <c r="L7" s="110" t="s">
        <v>2137</v>
      </c>
      <c r="M7" s="110" t="s">
        <v>2137</v>
      </c>
    </row>
    <row r="8" spans="2:13" x14ac:dyDescent="0.35">
      <c r="B8" s="129" t="s">
        <v>2090</v>
      </c>
      <c r="C8" s="110">
        <v>6</v>
      </c>
      <c r="D8" s="110" t="s">
        <v>2452</v>
      </c>
      <c r="E8" s="111">
        <v>45418</v>
      </c>
      <c r="F8" s="110">
        <v>1</v>
      </c>
      <c r="G8" s="137" cm="1">
        <f t="array" ref="G8">SUMPRODUCT(--(I8:M8&gt;0))/COUNTA(I8:M8)</f>
        <v>1</v>
      </c>
      <c r="H8" s="110" t="s">
        <v>2139</v>
      </c>
      <c r="I8" s="110">
        <v>4</v>
      </c>
      <c r="J8" s="110">
        <v>3</v>
      </c>
      <c r="K8" s="110">
        <v>10</v>
      </c>
      <c r="L8" s="110">
        <v>10</v>
      </c>
      <c r="M8" s="110">
        <v>22</v>
      </c>
    </row>
    <row r="9" spans="2:13" x14ac:dyDescent="0.35">
      <c r="B9" s="129" t="s">
        <v>2093</v>
      </c>
      <c r="C9" s="110">
        <v>7</v>
      </c>
      <c r="D9" s="110" t="s">
        <v>2453</v>
      </c>
      <c r="E9" s="111">
        <v>45418</v>
      </c>
      <c r="F9" s="110">
        <v>1</v>
      </c>
      <c r="G9" s="144" cm="1">
        <f t="array" ref="G9">SUMPRODUCT(--(I9:M9&lt;=I26:M26))/COUNTA(I26:M26)</f>
        <v>1</v>
      </c>
      <c r="H9" s="110" t="s">
        <v>2139</v>
      </c>
      <c r="I9" s="110">
        <v>10</v>
      </c>
      <c r="J9" s="110">
        <v>3</v>
      </c>
      <c r="K9" s="110">
        <v>10</v>
      </c>
      <c r="L9" s="110">
        <v>10</v>
      </c>
      <c r="M9" s="110">
        <v>22</v>
      </c>
    </row>
    <row r="10" spans="2:13" x14ac:dyDescent="0.35">
      <c r="B10" s="129" t="s">
        <v>2096</v>
      </c>
      <c r="C10" s="110">
        <v>8</v>
      </c>
      <c r="D10" s="110" t="s">
        <v>2454</v>
      </c>
      <c r="E10" s="111">
        <v>45418</v>
      </c>
      <c r="F10" s="110">
        <v>1</v>
      </c>
      <c r="G10" s="111" t="s">
        <v>2137</v>
      </c>
      <c r="H10" s="110" t="s">
        <v>2139</v>
      </c>
      <c r="I10" s="110">
        <v>100122</v>
      </c>
      <c r="J10" s="110">
        <v>4</v>
      </c>
      <c r="K10" s="150">
        <v>41680</v>
      </c>
      <c r="L10" s="111">
        <v>45418</v>
      </c>
      <c r="M10" s="111" t="s">
        <v>2455</v>
      </c>
    </row>
    <row r="11" spans="2:13" x14ac:dyDescent="0.35">
      <c r="B11" s="129" t="s">
        <v>2098</v>
      </c>
      <c r="C11" s="110">
        <v>9</v>
      </c>
      <c r="D11" s="110" t="s">
        <v>2456</v>
      </c>
      <c r="E11" s="111">
        <v>45418</v>
      </c>
      <c r="F11" s="110">
        <v>1</v>
      </c>
      <c r="G11" s="111" t="s">
        <v>2137</v>
      </c>
      <c r="H11" s="110" t="s">
        <v>2139</v>
      </c>
      <c r="I11" s="110">
        <v>1045</v>
      </c>
      <c r="J11" s="110">
        <v>4</v>
      </c>
      <c r="K11" s="150">
        <v>41680</v>
      </c>
      <c r="L11" s="111">
        <v>45418</v>
      </c>
      <c r="M11" s="111" t="s">
        <v>2457</v>
      </c>
    </row>
    <row r="12" spans="2:13" x14ac:dyDescent="0.35">
      <c r="B12" s="130" t="s">
        <v>2100</v>
      </c>
      <c r="C12" s="110">
        <v>10</v>
      </c>
      <c r="D12" s="110" t="s">
        <v>2458</v>
      </c>
      <c r="E12" s="111">
        <v>45418</v>
      </c>
      <c r="F12" s="110">
        <v>1</v>
      </c>
      <c r="G12" s="111" t="s">
        <v>2137</v>
      </c>
      <c r="H12" s="110" t="s">
        <v>2139</v>
      </c>
      <c r="I12" s="110">
        <v>99805</v>
      </c>
      <c r="J12" s="110">
        <v>924</v>
      </c>
      <c r="K12" s="111">
        <v>45418</v>
      </c>
      <c r="L12" s="111">
        <v>45418</v>
      </c>
      <c r="M12" s="111" t="s">
        <v>2455</v>
      </c>
    </row>
    <row r="13" spans="2:13" x14ac:dyDescent="0.35">
      <c r="B13" s="130" t="s">
        <v>2102</v>
      </c>
      <c r="C13" s="110">
        <v>11</v>
      </c>
      <c r="D13" s="110" t="s">
        <v>2459</v>
      </c>
      <c r="E13" s="111">
        <v>45418</v>
      </c>
      <c r="F13" s="110">
        <v>1</v>
      </c>
      <c r="G13" s="111" t="s">
        <v>2137</v>
      </c>
      <c r="H13" s="110" t="s">
        <v>2139</v>
      </c>
      <c r="I13" s="110">
        <v>9002691373</v>
      </c>
      <c r="J13" s="110">
        <v>924</v>
      </c>
      <c r="K13" s="111">
        <v>45418</v>
      </c>
      <c r="L13" s="111">
        <v>45418</v>
      </c>
      <c r="M13" s="111" t="s">
        <v>2460</v>
      </c>
    </row>
    <row r="14" spans="2:13" x14ac:dyDescent="0.35">
      <c r="B14" s="129" t="s">
        <v>2104</v>
      </c>
      <c r="C14" s="110">
        <v>12</v>
      </c>
      <c r="D14" s="110" t="s">
        <v>2461</v>
      </c>
      <c r="E14" s="111">
        <v>45418</v>
      </c>
      <c r="F14" s="110">
        <v>1</v>
      </c>
      <c r="G14" s="137">
        <v>0.8</v>
      </c>
      <c r="H14" s="110" t="s">
        <v>2139</v>
      </c>
      <c r="I14" s="110">
        <v>8</v>
      </c>
      <c r="J14" s="110">
        <v>0</v>
      </c>
      <c r="K14" s="110">
        <v>0</v>
      </c>
      <c r="L14" s="110">
        <v>0</v>
      </c>
      <c r="M14" s="110">
        <v>0</v>
      </c>
    </row>
    <row r="15" spans="2:13" x14ac:dyDescent="0.35">
      <c r="B15" s="129" t="s">
        <v>2106</v>
      </c>
      <c r="C15" s="110">
        <v>13</v>
      </c>
      <c r="D15" s="110" t="s">
        <v>2462</v>
      </c>
      <c r="E15" s="111">
        <v>45418</v>
      </c>
      <c r="F15" s="110">
        <v>1</v>
      </c>
      <c r="G15" s="137">
        <v>1</v>
      </c>
      <c r="H15" s="110" t="s">
        <v>2139</v>
      </c>
      <c r="I15" s="110" t="s">
        <v>2137</v>
      </c>
      <c r="J15" s="110" t="s">
        <v>2137</v>
      </c>
      <c r="K15" s="110">
        <v>0</v>
      </c>
      <c r="L15" s="110" t="s">
        <v>2137</v>
      </c>
      <c r="M15" s="110" t="s">
        <v>2137</v>
      </c>
    </row>
    <row r="16" spans="2:13" x14ac:dyDescent="0.35">
      <c r="B16" s="129" t="s">
        <v>2108</v>
      </c>
      <c r="C16" s="110">
        <v>14</v>
      </c>
      <c r="D16" s="110" t="s">
        <v>2463</v>
      </c>
      <c r="E16" s="111">
        <v>45418</v>
      </c>
      <c r="F16" s="110">
        <v>1</v>
      </c>
      <c r="G16" s="137">
        <v>1</v>
      </c>
      <c r="H16" s="110" t="s">
        <v>2139</v>
      </c>
      <c r="I16" s="110">
        <v>0</v>
      </c>
      <c r="J16" s="110">
        <v>0</v>
      </c>
      <c r="K16" s="110" t="s">
        <v>2137</v>
      </c>
      <c r="L16" s="110" t="s">
        <v>2137</v>
      </c>
      <c r="M16" s="110" t="s">
        <v>2137</v>
      </c>
    </row>
    <row r="17" spans="1:16" x14ac:dyDescent="0.35">
      <c r="B17" s="129" t="s">
        <v>2171</v>
      </c>
      <c r="C17" s="110">
        <v>15</v>
      </c>
      <c r="D17" s="110" t="s">
        <v>2464</v>
      </c>
      <c r="E17" s="111">
        <v>45418</v>
      </c>
      <c r="F17" s="110">
        <v>1</v>
      </c>
      <c r="G17" s="137">
        <v>1</v>
      </c>
      <c r="H17" s="110" t="s">
        <v>2451</v>
      </c>
      <c r="I17" s="110" t="s">
        <v>2137</v>
      </c>
      <c r="J17" s="110" t="s">
        <v>2137</v>
      </c>
      <c r="K17" s="110" t="s">
        <v>2137</v>
      </c>
      <c r="L17" s="110" t="s">
        <v>2137</v>
      </c>
      <c r="M17" s="110" t="s">
        <v>2137</v>
      </c>
    </row>
    <row r="18" spans="1:16" x14ac:dyDescent="0.35">
      <c r="B18" s="129" t="s">
        <v>2173</v>
      </c>
      <c r="C18" s="110">
        <v>16</v>
      </c>
      <c r="D18" s="110" t="s">
        <v>2464</v>
      </c>
      <c r="E18" s="111">
        <v>45418</v>
      </c>
      <c r="F18" s="110">
        <v>1</v>
      </c>
      <c r="G18" s="137">
        <v>1</v>
      </c>
      <c r="H18" s="110" t="s">
        <v>2451</v>
      </c>
      <c r="I18" s="110" t="s">
        <v>2137</v>
      </c>
      <c r="J18" s="110" t="s">
        <v>2137</v>
      </c>
      <c r="K18" s="110" t="s">
        <v>2137</v>
      </c>
      <c r="L18" s="110" t="s">
        <v>2137</v>
      </c>
      <c r="M18" s="110" t="s">
        <v>2137</v>
      </c>
    </row>
    <row r="19" spans="1:16" x14ac:dyDescent="0.35">
      <c r="B19" s="129" t="s">
        <v>2118</v>
      </c>
      <c r="C19" s="110">
        <v>19</v>
      </c>
      <c r="D19" s="110" t="s">
        <v>2465</v>
      </c>
      <c r="E19" s="111">
        <v>45418</v>
      </c>
      <c r="F19" s="110">
        <v>1</v>
      </c>
      <c r="G19" s="137" cm="1">
        <f t="array" ref="G19">SUMPRODUCT(--(ISNUMBER((SEARCH(I25:M25,I19:M19)))))/COUNTA(I19:M19)</f>
        <v>1</v>
      </c>
      <c r="H19" s="110" t="s">
        <v>2139</v>
      </c>
      <c r="I19" s="110" t="s">
        <v>2175</v>
      </c>
      <c r="J19" s="110" t="s">
        <v>2175</v>
      </c>
      <c r="K19" s="110" t="s">
        <v>2175</v>
      </c>
      <c r="L19" s="110" t="s">
        <v>2175</v>
      </c>
      <c r="M19" s="110" t="s">
        <v>2176</v>
      </c>
    </row>
    <row r="20" spans="1:16" x14ac:dyDescent="0.35">
      <c r="B20" s="129" t="s">
        <v>2121</v>
      </c>
      <c r="C20" s="110">
        <v>20</v>
      </c>
      <c r="D20" s="110"/>
      <c r="E20" s="111"/>
      <c r="F20" s="110"/>
      <c r="G20" s="137" cm="1">
        <f t="array" ref="G20">SUM(IF(I2:M2 = I24:M24, 1, 0))/ COUNTA(I2:M2)</f>
        <v>1</v>
      </c>
      <c r="H20" s="110"/>
      <c r="I20" s="110"/>
      <c r="J20" s="110"/>
      <c r="K20" s="110"/>
      <c r="L20" s="110"/>
      <c r="M20" s="110"/>
    </row>
    <row r="21" spans="1:16" x14ac:dyDescent="0.35">
      <c r="B21" s="131" t="s">
        <v>2124</v>
      </c>
      <c r="C21" s="110">
        <v>21</v>
      </c>
      <c r="D21" s="110"/>
      <c r="E21" s="111"/>
      <c r="F21" s="110"/>
      <c r="G21" s="110" cm="1">
        <f t="array" ref="G21">SUM(IF(IF(G3:G20="null",1,G3:G20)=1,1,0))/COUNT(IF(G3:G20="null",1,1))</f>
        <v>0.83333333333333337</v>
      </c>
      <c r="H21" s="110"/>
      <c r="I21" s="110"/>
      <c r="J21" s="110"/>
      <c r="K21" s="110"/>
      <c r="L21" s="110"/>
      <c r="M21" s="110"/>
    </row>
    <row r="23" spans="1:16" x14ac:dyDescent="0.35">
      <c r="B23" s="93" t="s">
        <v>2177</v>
      </c>
    </row>
    <row r="24" spans="1:16" x14ac:dyDescent="0.35">
      <c r="B24" s="106" t="s">
        <v>2127</v>
      </c>
      <c r="C24" s="107" t="s">
        <v>2128</v>
      </c>
      <c r="D24" s="107" t="s">
        <v>2129</v>
      </c>
      <c r="E24" s="107" t="s">
        <v>2130</v>
      </c>
      <c r="F24" s="107" t="s">
        <v>2131</v>
      </c>
      <c r="G24" s="107" t="s">
        <v>2132</v>
      </c>
      <c r="H24" s="107" t="s">
        <v>2133</v>
      </c>
      <c r="I24" s="114" t="str" cm="1">
        <f t="array" ref="I24:M24">TRANSPOSE(_xlfn.SORTBY(_xlfn._xlws.FILTER(Table2[NOME FÍSICO CAMPO],Table2[NOME FÍSICO TABELA]="individual_tax_residence_country"), _xlfn._xlws.FILTER(Table2[ORDEM], Table2[NOME FÍSICO TABELA]="individual_tax_residence_country"), 1))</f>
        <v>party_id</v>
      </c>
      <c r="J24" s="114" t="str">
        <v>country_code</v>
      </c>
      <c r="K24" s="114" t="str">
        <v>start_date</v>
      </c>
      <c r="L24" s="114" t="str">
        <v>data_date_part</v>
      </c>
      <c r="M24" s="114" t="str">
        <v>data_timestamp_part</v>
      </c>
      <c r="N24" s="141"/>
      <c r="O24" s="142"/>
      <c r="P24" s="142"/>
    </row>
    <row r="25" spans="1:16" x14ac:dyDescent="0.35">
      <c r="B25" s="102" t="s">
        <v>2178</v>
      </c>
      <c r="C25" s="103">
        <v>19</v>
      </c>
      <c r="D25" s="104" t="s">
        <v>2179</v>
      </c>
      <c r="E25" s="98" t="s">
        <v>2180</v>
      </c>
      <c r="F25" s="98" t="s">
        <v>749</v>
      </c>
      <c r="G25" s="98" t="s">
        <v>749</v>
      </c>
      <c r="H25" s="98" t="s">
        <v>749</v>
      </c>
      <c r="I25" s="98" t="str" cm="1">
        <f t="array" ref="I25:M26">TRANSPOSE(_xlfn.SORTBY(_xlfn._xlws.FILTER(IF(Table2[FORMATO] :Table2[COMP_ CAMPO]&lt;&gt;"",Table2[FORMATO]:Table2[COMP_ CAMPO],9999999),Table2[NOME FÍSICO TABELA]="individual_tax_residence_country"), _xlfn._xlws.FILTER(Table2[ORDEM], Table2[NOME FÍSICO TABELA]="individual_tax_residence_country"), 1))</f>
        <v>STRING</v>
      </c>
      <c r="J25" s="98" t="str">
        <v>STRING</v>
      </c>
      <c r="K25" s="98" t="str">
        <v>STRING</v>
      </c>
      <c r="L25" s="98" t="str">
        <v>STRING</v>
      </c>
      <c r="M25" s="98" t="str">
        <v>TIMESTAMP</v>
      </c>
      <c r="N25" s="143"/>
    </row>
    <row r="26" spans="1:16" x14ac:dyDescent="0.35">
      <c r="B26" s="94" t="s">
        <v>2181</v>
      </c>
      <c r="C26" s="95">
        <v>7</v>
      </c>
      <c r="D26" s="96" t="s">
        <v>2179</v>
      </c>
      <c r="E26" s="97" t="s">
        <v>2180</v>
      </c>
      <c r="F26" s="97" t="s">
        <v>749</v>
      </c>
      <c r="G26" s="97" t="s">
        <v>749</v>
      </c>
      <c r="H26" s="97" t="s">
        <v>749</v>
      </c>
      <c r="I26" s="97">
        <v>10</v>
      </c>
      <c r="J26" s="97">
        <v>4</v>
      </c>
      <c r="K26" s="97">
        <v>10</v>
      </c>
      <c r="L26" s="97">
        <v>10</v>
      </c>
      <c r="M26" s="97">
        <v>23</v>
      </c>
      <c r="N26" s="143"/>
    </row>
    <row r="28" spans="1:16" x14ac:dyDescent="0.35">
      <c r="B28" s="109" t="s">
        <v>2182</v>
      </c>
      <c r="H28" s="147" t="s">
        <v>2441</v>
      </c>
    </row>
    <row r="29" spans="1:16" x14ac:dyDescent="0.35">
      <c r="B29" s="116" t="s">
        <v>2183</v>
      </c>
      <c r="C29" s="117" t="s">
        <v>2184</v>
      </c>
      <c r="D29" s="118" t="s">
        <v>2185</v>
      </c>
      <c r="E29" s="117" t="s">
        <v>2186</v>
      </c>
      <c r="F29" s="118" t="s">
        <v>2187</v>
      </c>
      <c r="H29" t="s">
        <v>2442</v>
      </c>
    </row>
    <row r="30" spans="1:16" ht="43.5" x14ac:dyDescent="0.35">
      <c r="B30" s="124" t="s">
        <v>2400</v>
      </c>
      <c r="C30" s="124" t="s">
        <v>2466</v>
      </c>
      <c r="D30" s="125" t="s">
        <v>2467</v>
      </c>
      <c r="E30" s="125" t="s">
        <v>2468</v>
      </c>
      <c r="F30" s="124" t="s">
        <v>2191</v>
      </c>
    </row>
    <row r="31" spans="1:16" ht="29" x14ac:dyDescent="0.35">
      <c r="A31" t="s">
        <v>63</v>
      </c>
      <c r="B31" s="124" t="s">
        <v>2469</v>
      </c>
      <c r="C31" s="124" t="s">
        <v>785</v>
      </c>
      <c r="D31" s="125" t="s">
        <v>2470</v>
      </c>
      <c r="E31" s="125" t="s">
        <v>2471</v>
      </c>
      <c r="F31" s="124" t="s">
        <v>2403</v>
      </c>
    </row>
    <row r="32" spans="1:16" ht="29" x14ac:dyDescent="0.35">
      <c r="B32" s="124" t="s">
        <v>2188</v>
      </c>
      <c r="C32" s="124" t="s">
        <v>785</v>
      </c>
      <c r="D32" s="125" t="s">
        <v>2470</v>
      </c>
      <c r="E32" s="125" t="s">
        <v>2471</v>
      </c>
      <c r="F32" s="124" t="s">
        <v>2403</v>
      </c>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FFDA-7400-4051-9D35-F86A1DF7FB46}">
  <sheetPr>
    <tabColor rgb="FF00B050"/>
  </sheetPr>
  <dimension ref="A1:P33"/>
  <sheetViews>
    <sheetView showGridLines="0" topLeftCell="B1" workbookViewId="0">
      <selection activeCell="J7" sqref="J7"/>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0" t="s">
        <v>2127</v>
      </c>
      <c r="C2" t="s">
        <v>2128</v>
      </c>
      <c r="D2" t="s">
        <v>2129</v>
      </c>
      <c r="E2" t="s">
        <v>2130</v>
      </c>
      <c r="F2" t="s">
        <v>2131</v>
      </c>
      <c r="G2" t="s">
        <v>2132</v>
      </c>
      <c r="H2" t="s">
        <v>2133</v>
      </c>
      <c r="I2" t="s">
        <v>785</v>
      </c>
      <c r="J2" t="s">
        <v>963</v>
      </c>
      <c r="K2" t="s">
        <v>943</v>
      </c>
      <c r="L2" t="s">
        <v>765</v>
      </c>
      <c r="M2" t="s">
        <v>772</v>
      </c>
    </row>
    <row r="3" spans="2:13" x14ac:dyDescent="0.35">
      <c r="B3" s="129" t="s">
        <v>2081</v>
      </c>
      <c r="C3" s="110">
        <v>1</v>
      </c>
      <c r="D3" s="110" t="s">
        <v>2472</v>
      </c>
      <c r="E3" s="111">
        <v>45418</v>
      </c>
      <c r="F3" s="110">
        <v>1</v>
      </c>
      <c r="G3" s="137">
        <v>1</v>
      </c>
      <c r="H3" s="134" t="s">
        <v>2473</v>
      </c>
      <c r="I3" s="110" t="s">
        <v>2137</v>
      </c>
      <c r="J3" s="110" t="s">
        <v>2137</v>
      </c>
      <c r="K3" s="110" t="s">
        <v>2137</v>
      </c>
      <c r="L3" s="110" t="s">
        <v>2137</v>
      </c>
      <c r="M3" s="110" t="s">
        <v>2137</v>
      </c>
    </row>
    <row r="4" spans="2:13" x14ac:dyDescent="0.35">
      <c r="B4" s="129" t="s">
        <v>2083</v>
      </c>
      <c r="C4" s="110">
        <v>2</v>
      </c>
      <c r="D4" s="110" t="s">
        <v>2474</v>
      </c>
      <c r="E4" s="111">
        <v>45418</v>
      </c>
      <c r="F4" s="110">
        <v>1</v>
      </c>
      <c r="G4" s="137" t="s">
        <v>2475</v>
      </c>
      <c r="H4" s="140" t="s">
        <v>2476</v>
      </c>
      <c r="I4" s="110" t="s">
        <v>2137</v>
      </c>
      <c r="J4" s="110" t="s">
        <v>2137</v>
      </c>
      <c r="K4" s="110" t="s">
        <v>2137</v>
      </c>
      <c r="L4" s="110" t="s">
        <v>2137</v>
      </c>
      <c r="M4" s="110" t="s">
        <v>2137</v>
      </c>
    </row>
    <row r="5" spans="2:13" x14ac:dyDescent="0.35">
      <c r="B5" s="129" t="s">
        <v>2085</v>
      </c>
      <c r="C5" s="110">
        <v>3</v>
      </c>
      <c r="D5" s="110" t="s">
        <v>2477</v>
      </c>
      <c r="E5" s="111">
        <v>45418</v>
      </c>
      <c r="F5" s="110">
        <v>1</v>
      </c>
      <c r="G5" s="137" t="s">
        <v>2478</v>
      </c>
      <c r="H5" s="140" t="s">
        <v>2479</v>
      </c>
      <c r="I5" s="110">
        <v>198</v>
      </c>
      <c r="J5" s="110">
        <v>0</v>
      </c>
      <c r="K5" s="110" t="s">
        <v>2137</v>
      </c>
      <c r="L5" s="110">
        <v>0</v>
      </c>
      <c r="M5" s="110" t="s">
        <v>2137</v>
      </c>
    </row>
    <row r="6" spans="2:13" x14ac:dyDescent="0.35">
      <c r="B6" s="129" t="s">
        <v>2087</v>
      </c>
      <c r="C6" s="110">
        <v>4</v>
      </c>
      <c r="D6" s="110" t="s">
        <v>2141</v>
      </c>
      <c r="E6" s="111" t="s">
        <v>2137</v>
      </c>
      <c r="F6" s="110">
        <v>1</v>
      </c>
      <c r="G6" s="111" t="s">
        <v>2137</v>
      </c>
      <c r="H6" s="110"/>
      <c r="I6" s="110" t="s">
        <v>2137</v>
      </c>
      <c r="J6" s="110" t="s">
        <v>2137</v>
      </c>
      <c r="K6" s="110" t="s">
        <v>2137</v>
      </c>
      <c r="L6" s="110" t="s">
        <v>2137</v>
      </c>
      <c r="M6" s="110" t="s">
        <v>2137</v>
      </c>
    </row>
    <row r="7" spans="2:13" x14ac:dyDescent="0.35">
      <c r="B7" s="129" t="s">
        <v>2089</v>
      </c>
      <c r="C7" s="110">
        <v>5</v>
      </c>
      <c r="D7" s="110" t="s">
        <v>2141</v>
      </c>
      <c r="E7" s="111" t="s">
        <v>2137</v>
      </c>
      <c r="F7" s="110">
        <v>1</v>
      </c>
      <c r="G7" s="111" t="s">
        <v>2137</v>
      </c>
      <c r="H7" s="110"/>
      <c r="I7" s="110" t="s">
        <v>2137</v>
      </c>
      <c r="J7" s="110" t="s">
        <v>2137</v>
      </c>
      <c r="K7" s="110" t="s">
        <v>2137</v>
      </c>
      <c r="L7" s="110" t="s">
        <v>2137</v>
      </c>
      <c r="M7" s="110" t="s">
        <v>2137</v>
      </c>
    </row>
    <row r="8" spans="2:13" x14ac:dyDescent="0.35">
      <c r="B8" s="129" t="s">
        <v>2090</v>
      </c>
      <c r="C8" s="110">
        <v>6</v>
      </c>
      <c r="D8" s="110" t="s">
        <v>2480</v>
      </c>
      <c r="E8" s="111">
        <v>45418</v>
      </c>
      <c r="F8" s="110">
        <v>1</v>
      </c>
      <c r="G8" s="137" cm="1">
        <f t="array" ref="G8">SUMPRODUCT(--(I8:M8&gt;0))/COUNTA(I8:M8)</f>
        <v>1</v>
      </c>
      <c r="H8" s="110" t="s">
        <v>2139</v>
      </c>
      <c r="I8" s="110">
        <v>3</v>
      </c>
      <c r="J8" s="110">
        <v>3</v>
      </c>
      <c r="K8" s="110">
        <v>10</v>
      </c>
      <c r="L8" s="110">
        <v>10</v>
      </c>
      <c r="M8" s="110">
        <v>23</v>
      </c>
    </row>
    <row r="9" spans="2:13" x14ac:dyDescent="0.35">
      <c r="B9" s="129" t="s">
        <v>2093</v>
      </c>
      <c r="C9" s="110">
        <v>7</v>
      </c>
      <c r="D9" s="110" t="s">
        <v>2481</v>
      </c>
      <c r="E9" s="111">
        <v>45418</v>
      </c>
      <c r="F9" s="110">
        <v>1</v>
      </c>
      <c r="G9" s="144" cm="1">
        <f t="array" ref="G9">SUMPRODUCT(--(I9:M9&lt;=I26:M26))/COUNTA(I26:M26)</f>
        <v>1</v>
      </c>
      <c r="H9" s="110" t="s">
        <v>2139</v>
      </c>
      <c r="I9" s="110">
        <v>10</v>
      </c>
      <c r="J9" s="110">
        <v>3</v>
      </c>
      <c r="K9" s="110">
        <v>10</v>
      </c>
      <c r="L9" s="110">
        <v>10</v>
      </c>
      <c r="M9" s="110">
        <v>23</v>
      </c>
    </row>
    <row r="10" spans="2:13" x14ac:dyDescent="0.35">
      <c r="B10" s="129" t="s">
        <v>2096</v>
      </c>
      <c r="C10" s="110">
        <v>8</v>
      </c>
      <c r="D10" s="110" t="s">
        <v>2482</v>
      </c>
      <c r="E10" s="111">
        <v>45418</v>
      </c>
      <c r="F10" s="110">
        <v>1</v>
      </c>
      <c r="G10" s="111" t="s">
        <v>2137</v>
      </c>
      <c r="H10" s="110" t="s">
        <v>2139</v>
      </c>
      <c r="I10" s="110">
        <v>10146</v>
      </c>
      <c r="J10" s="110">
        <v>4</v>
      </c>
      <c r="K10" s="150">
        <v>42377</v>
      </c>
      <c r="L10" s="111">
        <v>45418</v>
      </c>
      <c r="M10" s="111" t="s">
        <v>2483</v>
      </c>
    </row>
    <row r="11" spans="2:13" x14ac:dyDescent="0.35">
      <c r="B11" s="129" t="s">
        <v>2098</v>
      </c>
      <c r="C11" s="110">
        <v>9</v>
      </c>
      <c r="D11" s="110" t="s">
        <v>2484</v>
      </c>
      <c r="E11" s="111">
        <v>45418</v>
      </c>
      <c r="F11" s="110">
        <v>1</v>
      </c>
      <c r="G11" s="111" t="s">
        <v>2137</v>
      </c>
      <c r="H11" s="110" t="s">
        <v>2139</v>
      </c>
      <c r="I11" s="110">
        <v>735</v>
      </c>
      <c r="J11" s="110">
        <v>4</v>
      </c>
      <c r="K11" s="150">
        <v>42377</v>
      </c>
      <c r="L11" s="111">
        <v>45418</v>
      </c>
      <c r="M11" s="111" t="s">
        <v>2485</v>
      </c>
    </row>
    <row r="12" spans="2:13" x14ac:dyDescent="0.35">
      <c r="B12" s="130" t="s">
        <v>2100</v>
      </c>
      <c r="C12" s="110">
        <v>10</v>
      </c>
      <c r="D12" s="110" t="s">
        <v>2486</v>
      </c>
      <c r="E12" s="111">
        <v>45418</v>
      </c>
      <c r="F12" s="110">
        <v>1</v>
      </c>
      <c r="G12" s="111" t="s">
        <v>2137</v>
      </c>
      <c r="H12" s="110" t="s">
        <v>2139</v>
      </c>
      <c r="I12" s="110">
        <v>992</v>
      </c>
      <c r="J12" s="110">
        <v>894</v>
      </c>
      <c r="K12" s="111">
        <v>45411</v>
      </c>
      <c r="L12" s="111">
        <v>45418</v>
      </c>
      <c r="M12" s="111" t="s">
        <v>2483</v>
      </c>
    </row>
    <row r="13" spans="2:13" x14ac:dyDescent="0.35">
      <c r="B13" s="130" t="s">
        <v>2102</v>
      </c>
      <c r="C13" s="110">
        <v>11</v>
      </c>
      <c r="D13" s="110" t="s">
        <v>2487</v>
      </c>
      <c r="E13" s="111">
        <v>45418</v>
      </c>
      <c r="F13" s="110">
        <v>1</v>
      </c>
      <c r="G13" s="111" t="s">
        <v>2137</v>
      </c>
      <c r="H13" s="110" t="s">
        <v>2139</v>
      </c>
      <c r="I13" s="110">
        <v>9002691263</v>
      </c>
      <c r="J13" s="110">
        <v>894</v>
      </c>
      <c r="K13" s="111">
        <v>45411</v>
      </c>
      <c r="L13" s="111">
        <v>45418</v>
      </c>
      <c r="M13" s="111" t="s">
        <v>2488</v>
      </c>
    </row>
    <row r="14" spans="2:13" x14ac:dyDescent="0.35">
      <c r="B14" s="129" t="s">
        <v>2104</v>
      </c>
      <c r="C14" s="110">
        <v>12</v>
      </c>
      <c r="D14" s="110" t="s">
        <v>2489</v>
      </c>
      <c r="E14" s="111">
        <v>45418</v>
      </c>
      <c r="F14" s="110">
        <v>1</v>
      </c>
      <c r="G14" s="137" t="s">
        <v>2490</v>
      </c>
      <c r="H14" s="110" t="s">
        <v>2139</v>
      </c>
      <c r="I14" s="110">
        <v>198</v>
      </c>
      <c r="J14" s="110">
        <v>0</v>
      </c>
      <c r="K14" s="110">
        <v>0</v>
      </c>
      <c r="L14" s="110">
        <v>0</v>
      </c>
      <c r="M14" s="110">
        <v>0</v>
      </c>
    </row>
    <row r="15" spans="2:13" x14ac:dyDescent="0.35">
      <c r="B15" s="129" t="s">
        <v>2106</v>
      </c>
      <c r="C15" s="110">
        <v>13</v>
      </c>
      <c r="D15" s="110" t="s">
        <v>2491</v>
      </c>
      <c r="E15" s="111">
        <v>45418</v>
      </c>
      <c r="F15" s="110">
        <v>1</v>
      </c>
      <c r="G15" s="137">
        <v>1</v>
      </c>
      <c r="H15" s="110" t="s">
        <v>2139</v>
      </c>
      <c r="I15" s="110" t="s">
        <v>2137</v>
      </c>
      <c r="J15" s="110" t="s">
        <v>2137</v>
      </c>
      <c r="K15" s="110">
        <v>0</v>
      </c>
      <c r="L15" s="110" t="s">
        <v>2137</v>
      </c>
      <c r="M15" s="110" t="s">
        <v>2137</v>
      </c>
    </row>
    <row r="16" spans="2:13" x14ac:dyDescent="0.35">
      <c r="B16" s="129" t="s">
        <v>2108</v>
      </c>
      <c r="C16" s="110">
        <v>14</v>
      </c>
      <c r="D16" s="110" t="s">
        <v>2492</v>
      </c>
      <c r="E16" s="111">
        <v>45418</v>
      </c>
      <c r="F16" s="110">
        <v>1</v>
      </c>
      <c r="G16" s="137">
        <v>1</v>
      </c>
      <c r="H16" s="110" t="s">
        <v>2139</v>
      </c>
      <c r="I16" s="110">
        <v>0</v>
      </c>
      <c r="J16" s="110">
        <v>0</v>
      </c>
      <c r="K16" s="110" t="s">
        <v>2137</v>
      </c>
      <c r="L16" s="110" t="s">
        <v>2137</v>
      </c>
      <c r="M16" s="110" t="s">
        <v>2137</v>
      </c>
    </row>
    <row r="17" spans="1:16" x14ac:dyDescent="0.35">
      <c r="B17" s="129" t="s">
        <v>2171</v>
      </c>
      <c r="C17" s="110">
        <v>15</v>
      </c>
      <c r="D17" s="110" t="s">
        <v>2493</v>
      </c>
      <c r="E17" s="111">
        <v>45418</v>
      </c>
      <c r="F17" s="110">
        <v>1</v>
      </c>
      <c r="G17" s="137" t="s">
        <v>2494</v>
      </c>
      <c r="H17" s="140" t="s">
        <v>2479</v>
      </c>
      <c r="I17" s="110" t="s">
        <v>2137</v>
      </c>
      <c r="J17" s="110" t="s">
        <v>2137</v>
      </c>
      <c r="K17" s="110" t="s">
        <v>2137</v>
      </c>
      <c r="L17" s="110" t="s">
        <v>2137</v>
      </c>
      <c r="M17" s="110" t="s">
        <v>2137</v>
      </c>
    </row>
    <row r="18" spans="1:16" x14ac:dyDescent="0.35">
      <c r="B18" s="129" t="s">
        <v>2173</v>
      </c>
      <c r="C18" s="110">
        <v>16</v>
      </c>
      <c r="D18" s="110" t="s">
        <v>2493</v>
      </c>
      <c r="E18" s="111">
        <v>45418</v>
      </c>
      <c r="F18" s="110">
        <v>1</v>
      </c>
      <c r="G18" s="137" t="s">
        <v>2494</v>
      </c>
      <c r="H18" s="140" t="s">
        <v>2479</v>
      </c>
      <c r="I18" s="110" t="s">
        <v>2137</v>
      </c>
      <c r="J18" s="110" t="s">
        <v>2137</v>
      </c>
      <c r="K18" s="110" t="s">
        <v>2137</v>
      </c>
      <c r="L18" s="110" t="s">
        <v>2137</v>
      </c>
      <c r="M18" s="110" t="s">
        <v>2137</v>
      </c>
    </row>
    <row r="19" spans="1:16" x14ac:dyDescent="0.35">
      <c r="B19" s="129" t="s">
        <v>2118</v>
      </c>
      <c r="C19" s="110">
        <v>19</v>
      </c>
      <c r="D19" s="110" t="s">
        <v>2495</v>
      </c>
      <c r="E19" s="111">
        <v>45418</v>
      </c>
      <c r="F19" s="110">
        <v>1</v>
      </c>
      <c r="G19" s="137" cm="1">
        <f t="array" ref="G19">SUMPRODUCT(--(ISNUMBER((SEARCH(I25:M25,I19:M19)))))/COUNTA(I19:M19)</f>
        <v>1</v>
      </c>
      <c r="H19" s="110" t="s">
        <v>2139</v>
      </c>
      <c r="I19" s="110" t="s">
        <v>2175</v>
      </c>
      <c r="J19" s="110" t="s">
        <v>2175</v>
      </c>
      <c r="K19" s="110" t="s">
        <v>2175</v>
      </c>
      <c r="L19" s="110" t="s">
        <v>2175</v>
      </c>
      <c r="M19" s="110" t="s">
        <v>2176</v>
      </c>
    </row>
    <row r="20" spans="1:16" x14ac:dyDescent="0.35">
      <c r="B20" s="129" t="s">
        <v>2121</v>
      </c>
      <c r="C20" s="110">
        <v>20</v>
      </c>
      <c r="D20" s="110"/>
      <c r="E20" s="111"/>
      <c r="F20" s="110"/>
      <c r="G20" s="137" cm="1">
        <f t="array" ref="G20">SUM(IF(I2:M2 = I24:M24, 1, 0))/ COUNTA(I2:M2)</f>
        <v>1</v>
      </c>
      <c r="H20" s="110"/>
      <c r="I20" s="110"/>
      <c r="J20" s="110"/>
      <c r="K20" s="110"/>
      <c r="L20" s="110"/>
      <c r="M20" s="110"/>
    </row>
    <row r="21" spans="1:16" x14ac:dyDescent="0.35">
      <c r="B21" s="131" t="s">
        <v>2124</v>
      </c>
      <c r="C21" s="110">
        <v>21</v>
      </c>
      <c r="D21" s="110"/>
      <c r="E21" s="111"/>
      <c r="F21" s="110"/>
      <c r="G21" s="110" cm="1">
        <f t="array" ref="G21">SUM(IF(IF(G3:G20="null",1,G3:G20)=1,1,0))/COUNT(IF(G3:G20="null",1,1))</f>
        <v>0.72222222222222221</v>
      </c>
      <c r="H21" s="110"/>
      <c r="I21" s="110"/>
      <c r="J21" s="110"/>
      <c r="K21" s="110"/>
      <c r="L21" s="110"/>
      <c r="M21" s="110"/>
    </row>
    <row r="23" spans="1:16" x14ac:dyDescent="0.35">
      <c r="B23" s="93" t="s">
        <v>2177</v>
      </c>
    </row>
    <row r="24" spans="1:16" x14ac:dyDescent="0.35">
      <c r="B24" s="106" t="s">
        <v>2127</v>
      </c>
      <c r="C24" s="107" t="s">
        <v>2128</v>
      </c>
      <c r="D24" s="107" t="s">
        <v>2129</v>
      </c>
      <c r="E24" s="107" t="s">
        <v>2130</v>
      </c>
      <c r="F24" s="107" t="s">
        <v>2131</v>
      </c>
      <c r="G24" s="107" t="s">
        <v>2132</v>
      </c>
      <c r="H24" s="107" t="s">
        <v>2133</v>
      </c>
      <c r="I24" s="114" t="str" cm="1">
        <f t="array" ref="I24:M24">TRANSPOSE(_xlfn.SORTBY(_xlfn._xlws.FILTER(Table2[NOME FÍSICO CAMPO],Table2[NOME FÍSICO TABELA]="entity_tax_residence_country"), _xlfn._xlws.FILTER(Table2[ORDEM], Table2[NOME FÍSICO TABELA]="entity_tax_residence_country"), 1))</f>
        <v>party_id</v>
      </c>
      <c r="J24" s="114" t="str">
        <v>country_code</v>
      </c>
      <c r="K24" s="114" t="str">
        <v>start_date</v>
      </c>
      <c r="L24" s="114" t="str">
        <v>data_date_part</v>
      </c>
      <c r="M24" s="114" t="str">
        <v>data_timestamp_part</v>
      </c>
      <c r="N24" s="141"/>
      <c r="O24" s="142"/>
      <c r="P24" s="142"/>
    </row>
    <row r="25" spans="1:16" x14ac:dyDescent="0.35">
      <c r="B25" s="102" t="s">
        <v>2178</v>
      </c>
      <c r="C25" s="103">
        <v>19</v>
      </c>
      <c r="D25" s="104" t="s">
        <v>2179</v>
      </c>
      <c r="E25" s="98" t="s">
        <v>2180</v>
      </c>
      <c r="F25" s="98" t="s">
        <v>749</v>
      </c>
      <c r="G25" s="98" t="s">
        <v>749</v>
      </c>
      <c r="H25" s="98" t="s">
        <v>749</v>
      </c>
      <c r="I25" s="98" t="str" cm="1">
        <f t="array" ref="I25:M26">TRANSPOSE(_xlfn.SORTBY(_xlfn._xlws.FILTER(IF(Table2[FORMATO] :Table2[COMP_ CAMPO]&lt;&gt;"",Table2[FORMATO]:Table2[COMP_ CAMPO],9999999),Table2[NOME FÍSICO TABELA]="entity_tax_residence_country"), _xlfn._xlws.FILTER(Table2[ORDEM], Table2[NOME FÍSICO TABELA]="entity_tax_residence_country"), 1))</f>
        <v>STRING</v>
      </c>
      <c r="J25" s="98" t="str">
        <v>STRING</v>
      </c>
      <c r="K25" s="98" t="str">
        <v>STRING</v>
      </c>
      <c r="L25" s="98" t="str">
        <v>STRING</v>
      </c>
      <c r="M25" s="98" t="str">
        <v>TIMESTAMP</v>
      </c>
      <c r="N25" s="143"/>
    </row>
    <row r="26" spans="1:16" x14ac:dyDescent="0.35">
      <c r="B26" s="94" t="s">
        <v>2181</v>
      </c>
      <c r="C26" s="95">
        <v>7</v>
      </c>
      <c r="D26" s="96" t="s">
        <v>2179</v>
      </c>
      <c r="E26" s="97" t="s">
        <v>2180</v>
      </c>
      <c r="F26" s="97" t="s">
        <v>749</v>
      </c>
      <c r="G26" s="97" t="s">
        <v>749</v>
      </c>
      <c r="H26" s="97" t="s">
        <v>749</v>
      </c>
      <c r="I26" s="97">
        <v>10</v>
      </c>
      <c r="J26" s="97">
        <v>4</v>
      </c>
      <c r="K26" s="97">
        <v>10</v>
      </c>
      <c r="L26" s="97">
        <v>10</v>
      </c>
      <c r="M26" s="97">
        <v>23</v>
      </c>
      <c r="N26" s="143"/>
    </row>
    <row r="28" spans="1:16" x14ac:dyDescent="0.35">
      <c r="B28" s="109" t="s">
        <v>2182</v>
      </c>
      <c r="H28" s="147" t="s">
        <v>2441</v>
      </c>
    </row>
    <row r="29" spans="1:16" x14ac:dyDescent="0.35">
      <c r="B29" s="116" t="s">
        <v>2183</v>
      </c>
      <c r="C29" s="117" t="s">
        <v>2184</v>
      </c>
      <c r="D29" s="118" t="s">
        <v>2185</v>
      </c>
      <c r="E29" s="117" t="s">
        <v>2186</v>
      </c>
      <c r="F29" s="118" t="s">
        <v>2187</v>
      </c>
      <c r="H29" t="s">
        <v>2496</v>
      </c>
    </row>
    <row r="30" spans="1:16" ht="43.5" x14ac:dyDescent="0.35">
      <c r="B30" s="124" t="s">
        <v>2400</v>
      </c>
      <c r="C30" s="124" t="s">
        <v>2466</v>
      </c>
      <c r="D30" s="125" t="s">
        <v>2497</v>
      </c>
      <c r="E30" s="125" t="s">
        <v>2498</v>
      </c>
      <c r="F30" s="124" t="s">
        <v>2191</v>
      </c>
    </row>
    <row r="31" spans="1:16" ht="29" x14ac:dyDescent="0.35">
      <c r="A31" t="s">
        <v>63</v>
      </c>
      <c r="B31" s="124" t="s">
        <v>2469</v>
      </c>
      <c r="C31" s="124" t="s">
        <v>785</v>
      </c>
      <c r="D31" s="125" t="s">
        <v>2470</v>
      </c>
      <c r="E31" s="125" t="s">
        <v>2499</v>
      </c>
      <c r="F31" s="124" t="s">
        <v>2191</v>
      </c>
    </row>
    <row r="32" spans="1:16" ht="29" x14ac:dyDescent="0.35">
      <c r="B32" s="124" t="s">
        <v>2188</v>
      </c>
      <c r="C32" s="124" t="s">
        <v>785</v>
      </c>
      <c r="D32" s="125" t="s">
        <v>2470</v>
      </c>
      <c r="E32" s="125" t="s">
        <v>2499</v>
      </c>
      <c r="F32" s="124" t="s">
        <v>2191</v>
      </c>
    </row>
    <row r="33" spans="2:6" ht="29" x14ac:dyDescent="0.35">
      <c r="B33" s="124" t="s">
        <v>2500</v>
      </c>
      <c r="C33" s="124" t="s">
        <v>785</v>
      </c>
      <c r="D33" s="125" t="s">
        <v>2470</v>
      </c>
      <c r="E33" s="125" t="s">
        <v>2499</v>
      </c>
      <c r="F33" s="124" t="s">
        <v>2191</v>
      </c>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53B0-1AAE-4B81-A8F3-BC6D1EA3FD72}">
  <sheetPr>
    <tabColor rgb="FF00B050"/>
  </sheetPr>
  <dimension ref="B1:Q30"/>
  <sheetViews>
    <sheetView showGridLines="0" topLeftCell="B1" workbookViewId="0">
      <selection activeCell="H5" sqref="H5"/>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6" ht="30" customHeight="1" x14ac:dyDescent="0.35"/>
    <row r="2" spans="2:16" x14ac:dyDescent="0.35">
      <c r="B2" s="90" t="s">
        <v>2127</v>
      </c>
      <c r="C2" t="s">
        <v>2128</v>
      </c>
      <c r="D2" t="s">
        <v>2129</v>
      </c>
      <c r="E2" t="s">
        <v>2130</v>
      </c>
      <c r="F2" t="s">
        <v>2131</v>
      </c>
      <c r="G2" t="s">
        <v>2132</v>
      </c>
      <c r="H2" t="s">
        <v>2133</v>
      </c>
      <c r="I2" t="s">
        <v>785</v>
      </c>
      <c r="J2" t="s">
        <v>1288</v>
      </c>
      <c r="K2" t="s">
        <v>1306</v>
      </c>
      <c r="L2" t="s">
        <v>1316</v>
      </c>
      <c r="M2" t="s">
        <v>1324</v>
      </c>
      <c r="N2" t="s">
        <v>1332</v>
      </c>
      <c r="O2" t="s">
        <v>765</v>
      </c>
      <c r="P2" t="s">
        <v>772</v>
      </c>
    </row>
    <row r="3" spans="2:16" x14ac:dyDescent="0.35">
      <c r="B3" s="129" t="s">
        <v>2081</v>
      </c>
      <c r="C3" s="110">
        <v>1</v>
      </c>
      <c r="D3" s="110" t="s">
        <v>2501</v>
      </c>
      <c r="E3" s="111">
        <v>45461</v>
      </c>
      <c r="F3" s="110">
        <v>1</v>
      </c>
      <c r="G3" s="137">
        <v>1</v>
      </c>
      <c r="H3" s="140" t="s">
        <v>2502</v>
      </c>
      <c r="I3" s="110" t="s">
        <v>2137</v>
      </c>
      <c r="J3" s="110" t="s">
        <v>2137</v>
      </c>
      <c r="K3" s="110" t="s">
        <v>2137</v>
      </c>
      <c r="L3" s="110" t="s">
        <v>2137</v>
      </c>
      <c r="M3" s="110" t="s">
        <v>2137</v>
      </c>
      <c r="N3" s="110" t="s">
        <v>2137</v>
      </c>
      <c r="O3" s="110" t="s">
        <v>2137</v>
      </c>
      <c r="P3" s="110" t="s">
        <v>2137</v>
      </c>
    </row>
    <row r="4" spans="2:16" x14ac:dyDescent="0.35">
      <c r="B4" s="129" t="s">
        <v>2083</v>
      </c>
      <c r="C4" s="110">
        <v>2</v>
      </c>
      <c r="D4" s="110" t="s">
        <v>2503</v>
      </c>
      <c r="E4" s="111">
        <v>45461</v>
      </c>
      <c r="F4" s="110">
        <v>1</v>
      </c>
      <c r="G4" s="137">
        <v>1</v>
      </c>
      <c r="H4" s="140" t="s">
        <v>2139</v>
      </c>
      <c r="I4" s="110" t="s">
        <v>2137</v>
      </c>
      <c r="J4" s="110" t="s">
        <v>2137</v>
      </c>
      <c r="K4" s="110" t="s">
        <v>2137</v>
      </c>
      <c r="L4" s="110" t="s">
        <v>2137</v>
      </c>
      <c r="M4" s="110" t="s">
        <v>2137</v>
      </c>
      <c r="N4" s="110" t="s">
        <v>2137</v>
      </c>
      <c r="O4" s="110" t="s">
        <v>2137</v>
      </c>
      <c r="P4" s="110" t="s">
        <v>2137</v>
      </c>
    </row>
    <row r="5" spans="2:16" x14ac:dyDescent="0.35">
      <c r="B5" s="129" t="s">
        <v>2085</v>
      </c>
      <c r="C5" s="110">
        <v>3</v>
      </c>
      <c r="D5" s="110" t="s">
        <v>2504</v>
      </c>
      <c r="E5" s="111">
        <v>45461</v>
      </c>
      <c r="F5" s="110">
        <v>1</v>
      </c>
      <c r="G5" s="137">
        <v>1</v>
      </c>
      <c r="H5" s="140" t="s">
        <v>2139</v>
      </c>
      <c r="I5" s="110">
        <v>0</v>
      </c>
      <c r="J5" s="110">
        <v>0</v>
      </c>
      <c r="K5" s="110">
        <v>0</v>
      </c>
      <c r="L5" s="110">
        <v>0</v>
      </c>
      <c r="M5" s="110" t="s">
        <v>2137</v>
      </c>
      <c r="N5" s="110" t="s">
        <v>2137</v>
      </c>
      <c r="O5" s="110" t="s">
        <v>2137</v>
      </c>
      <c r="P5" s="110" t="s">
        <v>2137</v>
      </c>
    </row>
    <row r="6" spans="2:16" x14ac:dyDescent="0.35">
      <c r="B6" s="129" t="s">
        <v>2087</v>
      </c>
      <c r="C6" s="110">
        <v>4</v>
      </c>
      <c r="D6" s="110" t="s">
        <v>2141</v>
      </c>
      <c r="E6" s="111" t="s">
        <v>2137</v>
      </c>
      <c r="F6" s="110">
        <v>1</v>
      </c>
      <c r="G6" s="111" t="s">
        <v>2137</v>
      </c>
      <c r="H6" s="140"/>
      <c r="I6" s="110" t="s">
        <v>2137</v>
      </c>
      <c r="J6" s="110" t="s">
        <v>2137</v>
      </c>
      <c r="K6" s="110" t="s">
        <v>2137</v>
      </c>
      <c r="L6" s="110" t="s">
        <v>2137</v>
      </c>
      <c r="M6" s="110" t="s">
        <v>2137</v>
      </c>
      <c r="N6" s="110" t="s">
        <v>2137</v>
      </c>
      <c r="O6" s="110" t="s">
        <v>2137</v>
      </c>
      <c r="P6" s="110" t="s">
        <v>2137</v>
      </c>
    </row>
    <row r="7" spans="2:16" x14ac:dyDescent="0.35">
      <c r="B7" s="129" t="s">
        <v>2089</v>
      </c>
      <c r="C7" s="110">
        <v>5</v>
      </c>
      <c r="D7" s="110" t="s">
        <v>2141</v>
      </c>
      <c r="E7" s="111" t="s">
        <v>2137</v>
      </c>
      <c r="F7" s="110">
        <v>1</v>
      </c>
      <c r="G7" s="111" t="s">
        <v>2137</v>
      </c>
      <c r="H7" s="140"/>
      <c r="I7" s="110" t="s">
        <v>2137</v>
      </c>
      <c r="J7" s="110" t="s">
        <v>2137</v>
      </c>
      <c r="K7" s="110" t="s">
        <v>2137</v>
      </c>
      <c r="L7" s="110" t="s">
        <v>2137</v>
      </c>
      <c r="M7" s="110" t="s">
        <v>2137</v>
      </c>
      <c r="N7" s="110" t="s">
        <v>2137</v>
      </c>
      <c r="O7" s="110" t="s">
        <v>2137</v>
      </c>
      <c r="P7" s="110" t="s">
        <v>2137</v>
      </c>
    </row>
    <row r="8" spans="2:16" x14ac:dyDescent="0.35">
      <c r="B8" s="129" t="s">
        <v>2090</v>
      </c>
      <c r="C8" s="110">
        <v>6</v>
      </c>
      <c r="D8" s="110" t="s">
        <v>2505</v>
      </c>
      <c r="E8" s="111">
        <v>45461</v>
      </c>
      <c r="F8" s="110">
        <v>1</v>
      </c>
      <c r="G8" s="137" cm="1">
        <f t="array" ref="G8">SUMPRODUCT(--(I8:P8&gt;0))/COUNTA(I8:P8)</f>
        <v>1</v>
      </c>
      <c r="H8" s="110" t="s">
        <v>2139</v>
      </c>
      <c r="I8" s="110">
        <v>1</v>
      </c>
      <c r="J8" s="110">
        <v>3</v>
      </c>
      <c r="K8" s="110">
        <v>3</v>
      </c>
      <c r="L8" s="110">
        <v>1</v>
      </c>
      <c r="M8" s="110">
        <v>10</v>
      </c>
      <c r="N8" s="110">
        <v>10</v>
      </c>
      <c r="O8" s="110">
        <v>10</v>
      </c>
      <c r="P8" s="110">
        <v>23</v>
      </c>
    </row>
    <row r="9" spans="2:16" x14ac:dyDescent="0.35">
      <c r="B9" s="129" t="s">
        <v>2093</v>
      </c>
      <c r="C9" s="110">
        <v>7</v>
      </c>
      <c r="D9" s="110" t="s">
        <v>2506</v>
      </c>
      <c r="E9" s="111">
        <v>45461</v>
      </c>
      <c r="F9" s="110">
        <v>1</v>
      </c>
      <c r="G9" s="144" cm="1">
        <f t="array" ref="G9">SUMPRODUCT(--(I9:P9&lt;=I26:P26))/COUNTA(I26:P26)</f>
        <v>0.75</v>
      </c>
      <c r="H9" s="110" t="s">
        <v>2139</v>
      </c>
      <c r="I9" s="110">
        <v>10</v>
      </c>
      <c r="J9" s="110">
        <v>3</v>
      </c>
      <c r="K9" s="110">
        <v>3</v>
      </c>
      <c r="L9" s="110">
        <v>25</v>
      </c>
      <c r="M9" s="110">
        <v>10</v>
      </c>
      <c r="N9" s="110">
        <v>10</v>
      </c>
      <c r="O9" s="110">
        <v>10</v>
      </c>
      <c r="P9" s="110">
        <v>23</v>
      </c>
    </row>
    <row r="10" spans="2:16" x14ac:dyDescent="0.35">
      <c r="B10" s="129" t="s">
        <v>2096</v>
      </c>
      <c r="C10" s="110">
        <v>8</v>
      </c>
      <c r="D10" s="110" t="s">
        <v>2507</v>
      </c>
      <c r="E10" s="111">
        <v>45461</v>
      </c>
      <c r="F10" s="110">
        <v>1</v>
      </c>
      <c r="G10" s="111" t="s">
        <v>2137</v>
      </c>
      <c r="H10" s="110" t="s">
        <v>2139</v>
      </c>
      <c r="I10" s="110">
        <v>100000</v>
      </c>
      <c r="J10" s="110">
        <v>101</v>
      </c>
      <c r="K10" s="110">
        <v>4</v>
      </c>
      <c r="L10" s="110">
        <v>62</v>
      </c>
      <c r="M10" s="111" t="s">
        <v>2151</v>
      </c>
      <c r="N10" s="110" t="s">
        <v>2508</v>
      </c>
      <c r="O10" s="111">
        <v>45461</v>
      </c>
      <c r="P10" s="110" t="s">
        <v>2509</v>
      </c>
    </row>
    <row r="11" spans="2:16" x14ac:dyDescent="0.35">
      <c r="B11" s="129" t="s">
        <v>2098</v>
      </c>
      <c r="C11" s="110">
        <v>9</v>
      </c>
      <c r="D11" s="110" t="s">
        <v>2510</v>
      </c>
      <c r="E11" s="111">
        <v>45461</v>
      </c>
      <c r="F11" s="110">
        <v>1</v>
      </c>
      <c r="G11" s="111" t="s">
        <v>2137</v>
      </c>
      <c r="H11" s="110" t="s">
        <v>2139</v>
      </c>
      <c r="I11" s="110">
        <v>2</v>
      </c>
      <c r="J11" s="110">
        <v>101</v>
      </c>
      <c r="K11" s="110">
        <v>4</v>
      </c>
      <c r="L11" s="110">
        <v>62</v>
      </c>
      <c r="M11" s="111" t="s">
        <v>2151</v>
      </c>
      <c r="N11" s="110" t="s">
        <v>2508</v>
      </c>
      <c r="O11" s="111">
        <v>45461</v>
      </c>
      <c r="P11" s="110" t="s">
        <v>2511</v>
      </c>
    </row>
    <row r="12" spans="2:16" x14ac:dyDescent="0.35">
      <c r="B12" s="130" t="s">
        <v>2100</v>
      </c>
      <c r="C12" s="110">
        <v>10</v>
      </c>
      <c r="D12" s="110" t="s">
        <v>2512</v>
      </c>
      <c r="E12" s="111">
        <v>45461</v>
      </c>
      <c r="F12" s="110">
        <v>1</v>
      </c>
      <c r="G12" s="111" t="s">
        <v>2137</v>
      </c>
      <c r="H12" s="110" t="s">
        <v>2139</v>
      </c>
      <c r="I12" s="110">
        <v>99998</v>
      </c>
      <c r="J12" s="110">
        <v>909</v>
      </c>
      <c r="K12" s="110">
        <v>999</v>
      </c>
      <c r="L12" s="110" t="s">
        <v>2513</v>
      </c>
      <c r="M12" s="111">
        <v>111147</v>
      </c>
      <c r="N12" s="111">
        <v>2958465</v>
      </c>
      <c r="O12" s="111">
        <v>45461</v>
      </c>
      <c r="P12" s="110" t="s">
        <v>2509</v>
      </c>
    </row>
    <row r="13" spans="2:16" x14ac:dyDescent="0.35">
      <c r="B13" s="130" t="s">
        <v>2102</v>
      </c>
      <c r="C13" s="110">
        <v>11</v>
      </c>
      <c r="D13" s="110" t="s">
        <v>2514</v>
      </c>
      <c r="E13" s="111">
        <v>45461</v>
      </c>
      <c r="F13" s="110">
        <v>1</v>
      </c>
      <c r="G13" s="111" t="s">
        <v>2137</v>
      </c>
      <c r="H13" s="110" t="s">
        <v>2139</v>
      </c>
      <c r="I13" s="110">
        <v>9961000500</v>
      </c>
      <c r="J13" s="110">
        <v>909</v>
      </c>
      <c r="K13" s="110">
        <v>999</v>
      </c>
      <c r="L13" s="110" t="s">
        <v>2513</v>
      </c>
      <c r="M13" s="111">
        <v>111147</v>
      </c>
      <c r="N13" s="111">
        <v>2958465</v>
      </c>
      <c r="O13" s="111">
        <v>45461</v>
      </c>
      <c r="P13" s="110" t="s">
        <v>2515</v>
      </c>
    </row>
    <row r="14" spans="2:16" x14ac:dyDescent="0.35">
      <c r="B14" s="129" t="s">
        <v>2104</v>
      </c>
      <c r="C14" s="110">
        <v>12</v>
      </c>
      <c r="D14" s="110" t="s">
        <v>2516</v>
      </c>
      <c r="E14" s="111">
        <v>45461</v>
      </c>
      <c r="F14" s="110">
        <v>1</v>
      </c>
      <c r="G14" s="137">
        <v>1</v>
      </c>
      <c r="H14" s="110" t="s">
        <v>2139</v>
      </c>
      <c r="I14" s="110">
        <v>0</v>
      </c>
      <c r="J14" s="110">
        <v>0</v>
      </c>
      <c r="K14" s="110">
        <v>0</v>
      </c>
      <c r="L14" s="110">
        <v>0</v>
      </c>
      <c r="M14" s="110">
        <v>0</v>
      </c>
      <c r="N14" s="110">
        <v>0</v>
      </c>
      <c r="O14" s="110">
        <v>0</v>
      </c>
      <c r="P14" s="110">
        <v>0</v>
      </c>
    </row>
    <row r="15" spans="2:16" x14ac:dyDescent="0.35">
      <c r="B15" s="129" t="s">
        <v>2106</v>
      </c>
      <c r="C15" s="110">
        <v>13</v>
      </c>
      <c r="D15" s="110" t="s">
        <v>2517</v>
      </c>
      <c r="E15" s="111">
        <v>45461</v>
      </c>
      <c r="F15" s="110">
        <v>1</v>
      </c>
      <c r="G15" s="137">
        <v>1</v>
      </c>
      <c r="H15" s="110" t="s">
        <v>2139</v>
      </c>
      <c r="I15" s="110" t="s">
        <v>2137</v>
      </c>
      <c r="J15" s="110" t="s">
        <v>2137</v>
      </c>
      <c r="K15" s="110" t="s">
        <v>2137</v>
      </c>
      <c r="L15" s="110" t="s">
        <v>2137</v>
      </c>
      <c r="M15" s="110">
        <v>0</v>
      </c>
      <c r="N15" s="110">
        <v>0</v>
      </c>
      <c r="O15" s="110" t="s">
        <v>2137</v>
      </c>
      <c r="P15" s="110" t="s">
        <v>2137</v>
      </c>
    </row>
    <row r="16" spans="2:16" x14ac:dyDescent="0.35">
      <c r="B16" s="129" t="s">
        <v>2108</v>
      </c>
      <c r="C16" s="110">
        <v>14</v>
      </c>
      <c r="D16" s="110" t="s">
        <v>2518</v>
      </c>
      <c r="E16" s="111">
        <v>45461</v>
      </c>
      <c r="F16" s="110">
        <v>1</v>
      </c>
      <c r="G16" s="137">
        <v>1</v>
      </c>
      <c r="H16" s="110" t="s">
        <v>2139</v>
      </c>
      <c r="I16" s="110">
        <v>0</v>
      </c>
      <c r="J16" s="110">
        <v>0</v>
      </c>
      <c r="K16" s="110">
        <v>0</v>
      </c>
      <c r="L16" s="110" t="s">
        <v>2137</v>
      </c>
      <c r="M16" s="110" t="s">
        <v>2137</v>
      </c>
      <c r="N16" s="110" t="s">
        <v>2137</v>
      </c>
      <c r="O16" s="110" t="s">
        <v>2137</v>
      </c>
      <c r="P16" s="110" t="s">
        <v>2137</v>
      </c>
    </row>
    <row r="17" spans="2:17" x14ac:dyDescent="0.35">
      <c r="B17" s="129" t="s">
        <v>2171</v>
      </c>
      <c r="C17" s="110">
        <v>15</v>
      </c>
      <c r="D17" s="110" t="s">
        <v>2519</v>
      </c>
      <c r="E17" s="111">
        <v>45461</v>
      </c>
      <c r="F17" s="110">
        <v>1</v>
      </c>
      <c r="G17" s="137">
        <v>1</v>
      </c>
      <c r="H17" s="110" t="s">
        <v>2139</v>
      </c>
      <c r="I17" s="110" t="s">
        <v>2137</v>
      </c>
      <c r="J17" s="110" t="s">
        <v>2137</v>
      </c>
      <c r="K17" s="110" t="s">
        <v>2137</v>
      </c>
      <c r="L17" s="110" t="s">
        <v>2137</v>
      </c>
      <c r="M17" s="110" t="s">
        <v>2137</v>
      </c>
      <c r="N17" s="110" t="s">
        <v>2137</v>
      </c>
      <c r="O17" s="110" t="s">
        <v>2137</v>
      </c>
      <c r="P17" s="110" t="s">
        <v>2137</v>
      </c>
    </row>
    <row r="18" spans="2:17" x14ac:dyDescent="0.35">
      <c r="B18" s="129" t="s">
        <v>2173</v>
      </c>
      <c r="C18" s="110">
        <v>16</v>
      </c>
      <c r="D18" s="110" t="s">
        <v>2519</v>
      </c>
      <c r="E18" s="111">
        <v>45461</v>
      </c>
      <c r="F18" s="110">
        <v>1</v>
      </c>
      <c r="G18" s="137">
        <v>1</v>
      </c>
      <c r="H18" s="110" t="s">
        <v>2139</v>
      </c>
      <c r="I18" s="110" t="s">
        <v>2137</v>
      </c>
      <c r="J18" s="110" t="s">
        <v>2137</v>
      </c>
      <c r="K18" s="110" t="s">
        <v>2137</v>
      </c>
      <c r="L18" s="110" t="s">
        <v>2137</v>
      </c>
      <c r="M18" s="110" t="s">
        <v>2137</v>
      </c>
      <c r="N18" s="110" t="s">
        <v>2137</v>
      </c>
      <c r="O18" s="110" t="s">
        <v>2137</v>
      </c>
      <c r="P18" s="110" t="s">
        <v>2137</v>
      </c>
    </row>
    <row r="19" spans="2:17" x14ac:dyDescent="0.35">
      <c r="B19" s="129" t="s">
        <v>2118</v>
      </c>
      <c r="C19" s="110">
        <v>19</v>
      </c>
      <c r="D19" s="110" t="s">
        <v>2520</v>
      </c>
      <c r="E19" s="111">
        <v>45461</v>
      </c>
      <c r="F19" s="110">
        <v>1</v>
      </c>
      <c r="G19" s="137" cm="1">
        <f t="array" ref="G19">SUMPRODUCT(--(ISNUMBER((SEARCH(I25:P25,I19:P19)))))/COUNTA(I19:P19)</f>
        <v>0.875</v>
      </c>
      <c r="H19" s="110" t="s">
        <v>2139</v>
      </c>
      <c r="I19" s="110" t="s">
        <v>2175</v>
      </c>
      <c r="J19" s="110" t="s">
        <v>2175</v>
      </c>
      <c r="K19" s="110" t="s">
        <v>2175</v>
      </c>
      <c r="L19" s="110" t="s">
        <v>2175</v>
      </c>
      <c r="M19" s="110" t="s">
        <v>2175</v>
      </c>
      <c r="N19" s="110" t="s">
        <v>2175</v>
      </c>
      <c r="O19" s="110" t="s">
        <v>2175</v>
      </c>
      <c r="P19" s="110" t="s">
        <v>2176</v>
      </c>
    </row>
    <row r="20" spans="2:17" x14ac:dyDescent="0.35">
      <c r="B20" s="129" t="s">
        <v>2121</v>
      </c>
      <c r="C20" s="110">
        <v>20</v>
      </c>
      <c r="D20" s="110"/>
      <c r="E20" s="111"/>
      <c r="F20" s="110"/>
      <c r="G20" s="137" cm="1">
        <f t="array" ref="G20">SUM(IF(I2:P2 = I24:P24, 1, 0))/ COUNTA(I2:P2)</f>
        <v>0.25</v>
      </c>
      <c r="H20" s="110"/>
      <c r="I20" s="110"/>
      <c r="J20" s="110"/>
      <c r="K20" s="110"/>
      <c r="L20" s="110"/>
      <c r="M20" s="110"/>
      <c r="N20" s="110"/>
      <c r="O20" s="110"/>
      <c r="P20" s="110"/>
    </row>
    <row r="21" spans="2:17" x14ac:dyDescent="0.35">
      <c r="B21" s="131" t="s">
        <v>2124</v>
      </c>
      <c r="C21" s="110">
        <v>21</v>
      </c>
      <c r="D21" s="110"/>
      <c r="E21" s="111"/>
      <c r="F21" s="110"/>
      <c r="G21" s="110" cm="1">
        <f t="array" ref="G21">SUM(IF(IF(G3:G20="null",1,G3:G20)=1,1,0))/COUNT(IF(G3:G20="null",1,1))</f>
        <v>0.83333333333333337</v>
      </c>
      <c r="H21" s="110"/>
      <c r="I21" s="110"/>
      <c r="J21" s="110"/>
      <c r="K21" s="110"/>
      <c r="L21" s="110"/>
      <c r="M21" s="110"/>
      <c r="N21" s="110"/>
      <c r="O21" s="110"/>
      <c r="P21" s="110"/>
    </row>
    <row r="23" spans="2:17" x14ac:dyDescent="0.35">
      <c r="B23" s="93" t="s">
        <v>2177</v>
      </c>
    </row>
    <row r="24" spans="2:17" x14ac:dyDescent="0.35">
      <c r="B24" s="106" t="s">
        <v>2127</v>
      </c>
      <c r="C24" s="107" t="s">
        <v>2128</v>
      </c>
      <c r="D24" s="107" t="s">
        <v>2129</v>
      </c>
      <c r="E24" s="107" t="s">
        <v>2130</v>
      </c>
      <c r="F24" s="107" t="s">
        <v>2131</v>
      </c>
      <c r="G24" s="107" t="s">
        <v>2132</v>
      </c>
      <c r="H24" s="107" t="s">
        <v>2133</v>
      </c>
      <c r="I24" s="114" t="str" cm="1">
        <f t="array" ref="I24:Q24">TRANSPOSE(_xlfn.SORTBY(_xlfn._xlws.FILTER(Table2[NOME FÍSICO CAMPO],Table2[NOME FÍSICO TABELA]="individual_identity_document"), _xlfn._xlws.FILTER(Table2[ORDEM], Table2[NOME FÍSICO TABELA]="individual_identity_document"), 1))</f>
        <v>party_id</v>
      </c>
      <c r="J24" s="114" t="str">
        <v>document_type_code</v>
      </c>
      <c r="K24" s="114" t="str">
        <v>document_use_type_code</v>
      </c>
      <c r="L24" s="114" t="str">
        <v>document_country_code</v>
      </c>
      <c r="M24" s="152" t="str">
        <v>document_number</v>
      </c>
      <c r="N24" s="145" t="str">
        <v>document_issue_date</v>
      </c>
      <c r="O24" s="145" t="str">
        <v>document_expiration_date</v>
      </c>
      <c r="P24" s="146" t="str">
        <v>data_date_part</v>
      </c>
      <c r="Q24" t="str">
        <v>data_timestamp_part</v>
      </c>
    </row>
    <row r="25" spans="2:17" x14ac:dyDescent="0.35">
      <c r="B25" s="102" t="s">
        <v>2178</v>
      </c>
      <c r="C25" s="103">
        <v>19</v>
      </c>
      <c r="D25" s="104" t="s">
        <v>2179</v>
      </c>
      <c r="E25" s="98" t="s">
        <v>2180</v>
      </c>
      <c r="F25" s="98" t="s">
        <v>749</v>
      </c>
      <c r="G25" s="98" t="s">
        <v>749</v>
      </c>
      <c r="H25" s="98" t="s">
        <v>749</v>
      </c>
      <c r="I25" s="98" t="str" cm="1">
        <f t="array" ref="I25:Q26">TRANSPOSE(_xlfn.SORTBY(_xlfn._xlws.FILTER(IF(Table2[FORMATO] :Table2[COMP_ CAMPO]&lt;&gt;"",Table2[FORMATO]:Table2[COMP_ CAMPO],9999999),Table2[NOME FÍSICO TABELA]="individual_identity_document"), _xlfn._xlws.FILTER(Table2[ORDEM], Table2[NOME FÍSICO TABELA]="individual_identity_document"), 1))</f>
        <v>STRING</v>
      </c>
      <c r="J25" s="98" t="str">
        <v>STRING</v>
      </c>
      <c r="K25" s="98" t="str">
        <v>STRING</v>
      </c>
      <c r="L25" s="98" t="str">
        <v>STRING</v>
      </c>
      <c r="M25" s="98" t="str">
        <v>STRING</v>
      </c>
      <c r="N25" s="98" t="str">
        <v>STRING</v>
      </c>
      <c r="O25" s="98" t="str">
        <v>STRING</v>
      </c>
      <c r="P25" s="105" t="str">
        <v>STRING</v>
      </c>
      <c r="Q25" t="str">
        <v>TIMESTAMP</v>
      </c>
    </row>
    <row r="26" spans="2:17" x14ac:dyDescent="0.35">
      <c r="B26" s="94" t="s">
        <v>2181</v>
      </c>
      <c r="C26" s="95">
        <v>7</v>
      </c>
      <c r="D26" s="96" t="s">
        <v>2179</v>
      </c>
      <c r="E26" s="97" t="s">
        <v>2180</v>
      </c>
      <c r="F26" s="97" t="s">
        <v>749</v>
      </c>
      <c r="G26" s="97" t="s">
        <v>749</v>
      </c>
      <c r="H26" s="97" t="s">
        <v>749</v>
      </c>
      <c r="I26" s="97">
        <v>10</v>
      </c>
      <c r="J26" s="97">
        <v>4</v>
      </c>
      <c r="K26" s="97">
        <v>4</v>
      </c>
      <c r="L26" s="97">
        <v>4</v>
      </c>
      <c r="M26" s="98">
        <v>40</v>
      </c>
      <c r="N26" s="98">
        <v>10</v>
      </c>
      <c r="O26" s="98">
        <v>10</v>
      </c>
      <c r="P26" s="105">
        <v>10</v>
      </c>
      <c r="Q26">
        <v>23</v>
      </c>
    </row>
    <row r="28" spans="2:17" x14ac:dyDescent="0.35">
      <c r="B28" s="109" t="s">
        <v>2182</v>
      </c>
      <c r="H28" s="147" t="s">
        <v>2441</v>
      </c>
    </row>
    <row r="29" spans="2:17" x14ac:dyDescent="0.35">
      <c r="B29" s="116" t="s">
        <v>2183</v>
      </c>
      <c r="C29" s="117" t="s">
        <v>2184</v>
      </c>
      <c r="D29" s="118" t="s">
        <v>2185</v>
      </c>
      <c r="E29" s="117" t="s">
        <v>2186</v>
      </c>
      <c r="F29" s="118" t="s">
        <v>2187</v>
      </c>
      <c r="H29" t="s">
        <v>2521</v>
      </c>
    </row>
    <row r="30" spans="2:17" x14ac:dyDescent="0.35">
      <c r="B30" s="124"/>
      <c r="C30" s="124"/>
      <c r="D30" s="135"/>
      <c r="E30" s="125"/>
      <c r="F30" s="136"/>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B736-1C9A-431F-A435-02AD2281618F}">
  <sheetPr>
    <tabColor rgb="FF00B050"/>
  </sheetPr>
  <dimension ref="B1:Q30"/>
  <sheetViews>
    <sheetView showGridLines="0" workbookViewId="0">
      <selection activeCell="B10" sqref="B10"/>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6" ht="30" customHeight="1" x14ac:dyDescent="0.35"/>
    <row r="2" spans="2:16" x14ac:dyDescent="0.35">
      <c r="B2" s="90" t="s">
        <v>2127</v>
      </c>
      <c r="C2" t="s">
        <v>2128</v>
      </c>
      <c r="D2" t="s">
        <v>2129</v>
      </c>
      <c r="E2" t="s">
        <v>2130</v>
      </c>
      <c r="F2" t="s">
        <v>2131</v>
      </c>
      <c r="G2" t="s">
        <v>2132</v>
      </c>
      <c r="H2" t="s">
        <v>2133</v>
      </c>
      <c r="I2" t="s">
        <v>785</v>
      </c>
      <c r="J2" t="s">
        <v>1288</v>
      </c>
      <c r="K2" t="s">
        <v>1306</v>
      </c>
      <c r="L2" t="s">
        <v>1316</v>
      </c>
      <c r="M2" t="s">
        <v>1324</v>
      </c>
      <c r="N2" t="s">
        <v>1332</v>
      </c>
      <c r="O2" t="s">
        <v>765</v>
      </c>
      <c r="P2" t="s">
        <v>772</v>
      </c>
    </row>
    <row r="3" spans="2:16" x14ac:dyDescent="0.35">
      <c r="B3" s="129" t="s">
        <v>2081</v>
      </c>
      <c r="C3" s="110">
        <v>1</v>
      </c>
      <c r="D3" s="110" t="s">
        <v>2522</v>
      </c>
      <c r="E3" s="111">
        <v>45461</v>
      </c>
      <c r="F3" s="110">
        <v>1</v>
      </c>
      <c r="G3" s="137">
        <v>1</v>
      </c>
      <c r="H3" s="140" t="s">
        <v>2523</v>
      </c>
      <c r="I3" s="110" t="s">
        <v>2137</v>
      </c>
      <c r="J3" s="110" t="s">
        <v>2137</v>
      </c>
      <c r="K3" s="110" t="s">
        <v>2137</v>
      </c>
      <c r="L3" s="110" t="s">
        <v>2137</v>
      </c>
      <c r="M3" s="110" t="s">
        <v>2137</v>
      </c>
      <c r="N3" s="110" t="s">
        <v>2137</v>
      </c>
      <c r="O3" s="110" t="s">
        <v>2137</v>
      </c>
      <c r="P3" s="110" t="s">
        <v>2137</v>
      </c>
    </row>
    <row r="4" spans="2:16" x14ac:dyDescent="0.35">
      <c r="B4" s="129" t="s">
        <v>2083</v>
      </c>
      <c r="C4" s="110">
        <v>2</v>
      </c>
      <c r="D4" s="110" t="s">
        <v>2524</v>
      </c>
      <c r="E4" s="111">
        <v>45461</v>
      </c>
      <c r="F4" s="110">
        <v>1</v>
      </c>
      <c r="G4" s="137">
        <v>1</v>
      </c>
      <c r="H4" s="137" t="s">
        <v>2139</v>
      </c>
      <c r="I4" s="110" t="s">
        <v>2137</v>
      </c>
      <c r="J4" s="110" t="s">
        <v>2137</v>
      </c>
      <c r="K4" s="110" t="s">
        <v>2137</v>
      </c>
      <c r="L4" s="110" t="s">
        <v>2137</v>
      </c>
      <c r="M4" s="110" t="s">
        <v>2137</v>
      </c>
      <c r="N4" s="110" t="s">
        <v>2137</v>
      </c>
      <c r="O4" s="110" t="s">
        <v>2137</v>
      </c>
      <c r="P4" s="110" t="s">
        <v>2137</v>
      </c>
    </row>
    <row r="5" spans="2:16" x14ac:dyDescent="0.35">
      <c r="B5" s="129" t="s">
        <v>2085</v>
      </c>
      <c r="C5" s="110">
        <v>3</v>
      </c>
      <c r="D5" s="110" t="s">
        <v>2525</v>
      </c>
      <c r="E5" s="111">
        <v>45461</v>
      </c>
      <c r="F5" s="110">
        <v>1</v>
      </c>
      <c r="G5" s="137">
        <v>1</v>
      </c>
      <c r="H5" s="137" t="s">
        <v>2139</v>
      </c>
      <c r="I5" s="110">
        <v>0</v>
      </c>
      <c r="J5" s="110">
        <v>0</v>
      </c>
      <c r="K5" s="110">
        <v>0</v>
      </c>
      <c r="L5" s="110">
        <v>0</v>
      </c>
      <c r="M5" s="110" t="s">
        <v>2137</v>
      </c>
      <c r="N5" s="110" t="s">
        <v>2137</v>
      </c>
      <c r="O5" s="110" t="s">
        <v>2137</v>
      </c>
      <c r="P5" s="110" t="s">
        <v>2137</v>
      </c>
    </row>
    <row r="6" spans="2:16" x14ac:dyDescent="0.35">
      <c r="B6" s="129" t="s">
        <v>2087</v>
      </c>
      <c r="C6" s="110">
        <v>4</v>
      </c>
      <c r="D6" s="110" t="s">
        <v>2141</v>
      </c>
      <c r="E6" s="111" t="s">
        <v>2137</v>
      </c>
      <c r="F6" s="110">
        <v>1</v>
      </c>
      <c r="G6" s="111" t="s">
        <v>2137</v>
      </c>
      <c r="H6" s="137"/>
      <c r="I6" s="110" t="s">
        <v>2137</v>
      </c>
      <c r="J6" s="110" t="s">
        <v>2137</v>
      </c>
      <c r="K6" s="110" t="s">
        <v>2137</v>
      </c>
      <c r="L6" s="110" t="s">
        <v>2137</v>
      </c>
      <c r="M6" s="110" t="s">
        <v>2137</v>
      </c>
      <c r="N6" s="110" t="s">
        <v>2137</v>
      </c>
      <c r="O6" s="110" t="s">
        <v>2137</v>
      </c>
      <c r="P6" s="110" t="s">
        <v>2137</v>
      </c>
    </row>
    <row r="7" spans="2:16" x14ac:dyDescent="0.35">
      <c r="B7" s="129" t="s">
        <v>2089</v>
      </c>
      <c r="C7" s="110">
        <v>5</v>
      </c>
      <c r="D7" s="110" t="s">
        <v>2141</v>
      </c>
      <c r="E7" s="111" t="s">
        <v>2137</v>
      </c>
      <c r="F7" s="110">
        <v>1</v>
      </c>
      <c r="G7" s="111" t="s">
        <v>2137</v>
      </c>
      <c r="H7" s="137"/>
      <c r="I7" s="110" t="s">
        <v>2137</v>
      </c>
      <c r="J7" s="110" t="s">
        <v>2137</v>
      </c>
      <c r="K7" s="110" t="s">
        <v>2137</v>
      </c>
      <c r="L7" s="110" t="s">
        <v>2137</v>
      </c>
      <c r="M7" s="110" t="s">
        <v>2137</v>
      </c>
      <c r="N7" s="110" t="s">
        <v>2137</v>
      </c>
      <c r="O7" s="110" t="s">
        <v>2137</v>
      </c>
      <c r="P7" s="110" t="s">
        <v>2137</v>
      </c>
    </row>
    <row r="8" spans="2:16" x14ac:dyDescent="0.35">
      <c r="B8" s="129" t="s">
        <v>2090</v>
      </c>
      <c r="C8" s="110">
        <v>6</v>
      </c>
      <c r="D8" s="110" t="s">
        <v>2526</v>
      </c>
      <c r="E8" s="111">
        <v>45461</v>
      </c>
      <c r="F8" s="110">
        <v>1</v>
      </c>
      <c r="G8" s="137" cm="1">
        <f t="array" ref="G8">SUMPRODUCT(--(I8:P8&gt;0))/COUNTA(I8:P8)</f>
        <v>0.875</v>
      </c>
      <c r="H8" s="137" t="s">
        <v>2139</v>
      </c>
      <c r="I8" s="110">
        <v>2</v>
      </c>
      <c r="J8" s="110">
        <v>3</v>
      </c>
      <c r="K8" s="110">
        <v>3</v>
      </c>
      <c r="L8" s="110">
        <v>0</v>
      </c>
      <c r="M8" s="110">
        <v>10</v>
      </c>
      <c r="N8" s="110">
        <v>10</v>
      </c>
      <c r="O8" s="110">
        <v>10</v>
      </c>
      <c r="P8" s="110">
        <v>23</v>
      </c>
    </row>
    <row r="9" spans="2:16" x14ac:dyDescent="0.35">
      <c r="B9" s="129" t="s">
        <v>2093</v>
      </c>
      <c r="C9" s="110">
        <v>7</v>
      </c>
      <c r="D9" s="110" t="s">
        <v>2527</v>
      </c>
      <c r="E9" s="111">
        <v>45461</v>
      </c>
      <c r="F9" s="110">
        <v>1</v>
      </c>
      <c r="G9" s="144" cm="1">
        <f t="array" ref="G9">SUMPRODUCT(--(I9:P9&lt;=I26:P26))/COUNTA(I26:P26)</f>
        <v>0.75</v>
      </c>
      <c r="H9" s="137" t="s">
        <v>2139</v>
      </c>
      <c r="I9" s="110">
        <v>10</v>
      </c>
      <c r="J9" s="110">
        <v>3</v>
      </c>
      <c r="K9" s="110">
        <v>3</v>
      </c>
      <c r="L9" s="110">
        <v>18</v>
      </c>
      <c r="M9" s="110">
        <v>10</v>
      </c>
      <c r="N9" s="110">
        <v>10</v>
      </c>
      <c r="O9" s="110">
        <v>10</v>
      </c>
      <c r="P9" s="110">
        <v>23</v>
      </c>
    </row>
    <row r="10" spans="2:16" x14ac:dyDescent="0.35">
      <c r="B10" s="129" t="s">
        <v>2096</v>
      </c>
      <c r="C10" s="110">
        <v>8</v>
      </c>
      <c r="D10" s="110" t="s">
        <v>2528</v>
      </c>
      <c r="E10" s="111">
        <v>45461</v>
      </c>
      <c r="F10" s="110">
        <v>1</v>
      </c>
      <c r="G10" s="111" t="s">
        <v>2137</v>
      </c>
      <c r="H10" s="137" t="s">
        <v>2139</v>
      </c>
      <c r="I10" s="110">
        <v>10004</v>
      </c>
      <c r="J10" s="110">
        <v>101</v>
      </c>
      <c r="K10" s="111">
        <v>4</v>
      </c>
      <c r="L10" s="111"/>
      <c r="M10" s="111" t="s">
        <v>2151</v>
      </c>
      <c r="N10" s="111">
        <v>33970</v>
      </c>
      <c r="O10" s="111">
        <v>45461</v>
      </c>
      <c r="P10" s="110" t="s">
        <v>2529</v>
      </c>
    </row>
    <row r="11" spans="2:16" x14ac:dyDescent="0.35">
      <c r="B11" s="129" t="s">
        <v>2098</v>
      </c>
      <c r="C11" s="110">
        <v>9</v>
      </c>
      <c r="D11" s="110" t="s">
        <v>2530</v>
      </c>
      <c r="E11" s="111">
        <v>45461</v>
      </c>
      <c r="F11" s="110">
        <v>1</v>
      </c>
      <c r="G11" s="111" t="s">
        <v>2137</v>
      </c>
      <c r="H11" s="137" t="s">
        <v>2139</v>
      </c>
      <c r="I11" s="110">
        <v>42</v>
      </c>
      <c r="J11" s="110">
        <v>101</v>
      </c>
      <c r="K11" s="111">
        <v>4</v>
      </c>
      <c r="L11" s="111"/>
      <c r="M11" s="111" t="s">
        <v>2151</v>
      </c>
      <c r="N11" s="111">
        <v>33970</v>
      </c>
      <c r="O11" s="111">
        <v>45461</v>
      </c>
      <c r="P11" s="110" t="s">
        <v>2531</v>
      </c>
    </row>
    <row r="12" spans="2:16" x14ac:dyDescent="0.35">
      <c r="B12" s="130" t="s">
        <v>2100</v>
      </c>
      <c r="C12" s="110">
        <v>10</v>
      </c>
      <c r="D12" s="110" t="s">
        <v>2532</v>
      </c>
      <c r="E12" s="111">
        <v>45461</v>
      </c>
      <c r="F12" s="110">
        <v>1</v>
      </c>
      <c r="G12" s="111" t="s">
        <v>2137</v>
      </c>
      <c r="H12" s="137" t="s">
        <v>2139</v>
      </c>
      <c r="I12" s="110">
        <v>99989</v>
      </c>
      <c r="J12" s="110">
        <v>910</v>
      </c>
      <c r="K12" s="111">
        <v>954</v>
      </c>
      <c r="L12" s="111" t="s">
        <v>2415</v>
      </c>
      <c r="M12" s="111">
        <v>43352</v>
      </c>
      <c r="N12" s="111">
        <v>2958465</v>
      </c>
      <c r="O12" s="111">
        <v>45461</v>
      </c>
      <c r="P12" s="110" t="s">
        <v>2529</v>
      </c>
    </row>
    <row r="13" spans="2:16" x14ac:dyDescent="0.35">
      <c r="B13" s="130" t="s">
        <v>2102</v>
      </c>
      <c r="C13" s="110">
        <v>11</v>
      </c>
      <c r="D13" s="110" t="s">
        <v>2533</v>
      </c>
      <c r="E13" s="111">
        <v>45461</v>
      </c>
      <c r="F13" s="110">
        <v>1</v>
      </c>
      <c r="G13" s="111" t="s">
        <v>2137</v>
      </c>
      <c r="H13" s="137" t="s">
        <v>2139</v>
      </c>
      <c r="I13" s="110">
        <v>9002691418</v>
      </c>
      <c r="J13" s="110">
        <v>910</v>
      </c>
      <c r="K13" s="111">
        <v>954</v>
      </c>
      <c r="L13" s="111" t="s">
        <v>2415</v>
      </c>
      <c r="M13" s="111">
        <v>43352</v>
      </c>
      <c r="N13" s="111">
        <v>2958465</v>
      </c>
      <c r="O13" s="111">
        <v>45461</v>
      </c>
      <c r="P13" s="110" t="s">
        <v>2534</v>
      </c>
    </row>
    <row r="14" spans="2:16" x14ac:dyDescent="0.35">
      <c r="B14" s="129" t="s">
        <v>2104</v>
      </c>
      <c r="C14" s="110">
        <v>12</v>
      </c>
      <c r="D14" s="110" t="s">
        <v>2535</v>
      </c>
      <c r="E14" s="111">
        <v>45461</v>
      </c>
      <c r="F14" s="110">
        <v>1</v>
      </c>
      <c r="G14" s="137">
        <v>1</v>
      </c>
      <c r="H14" s="137" t="s">
        <v>2139</v>
      </c>
      <c r="I14" s="110">
        <v>0</v>
      </c>
      <c r="J14" s="110">
        <v>0</v>
      </c>
      <c r="K14" s="110">
        <v>0</v>
      </c>
      <c r="L14" s="110">
        <v>0</v>
      </c>
      <c r="M14" s="110">
        <v>0</v>
      </c>
      <c r="N14" s="110">
        <v>0</v>
      </c>
      <c r="O14" s="110">
        <v>0</v>
      </c>
      <c r="P14" s="110">
        <v>0</v>
      </c>
    </row>
    <row r="15" spans="2:16" x14ac:dyDescent="0.35">
      <c r="B15" s="129" t="s">
        <v>2106</v>
      </c>
      <c r="C15" s="110">
        <v>13</v>
      </c>
      <c r="D15" s="110" t="s">
        <v>2536</v>
      </c>
      <c r="E15" s="111">
        <v>45461</v>
      </c>
      <c r="F15" s="110">
        <v>1</v>
      </c>
      <c r="G15" s="137">
        <v>1</v>
      </c>
      <c r="H15" s="137" t="s">
        <v>2139</v>
      </c>
      <c r="I15" s="110" t="s">
        <v>2137</v>
      </c>
      <c r="J15" s="110" t="s">
        <v>2137</v>
      </c>
      <c r="K15" s="110" t="s">
        <v>2137</v>
      </c>
      <c r="L15" s="110" t="s">
        <v>2137</v>
      </c>
      <c r="M15" s="110">
        <v>0</v>
      </c>
      <c r="N15" s="110">
        <v>0</v>
      </c>
      <c r="O15" s="110" t="s">
        <v>2137</v>
      </c>
      <c r="P15" s="110" t="s">
        <v>2137</v>
      </c>
    </row>
    <row r="16" spans="2:16" x14ac:dyDescent="0.35">
      <c r="B16" s="129" t="s">
        <v>2108</v>
      </c>
      <c r="C16" s="110">
        <v>14</v>
      </c>
      <c r="D16" s="110" t="s">
        <v>2537</v>
      </c>
      <c r="E16" s="111">
        <v>45461</v>
      </c>
      <c r="F16" s="110">
        <v>1</v>
      </c>
      <c r="G16" s="137">
        <v>0.99</v>
      </c>
      <c r="H16" s="137" t="s">
        <v>2139</v>
      </c>
      <c r="I16" s="110">
        <v>0</v>
      </c>
      <c r="J16" s="110">
        <v>0</v>
      </c>
      <c r="K16" s="110">
        <v>0</v>
      </c>
      <c r="L16" s="110">
        <v>1</v>
      </c>
      <c r="M16" s="110" t="s">
        <v>2137</v>
      </c>
      <c r="N16" s="110" t="s">
        <v>2137</v>
      </c>
      <c r="O16" s="110" t="s">
        <v>2137</v>
      </c>
      <c r="P16" s="110" t="s">
        <v>2137</v>
      </c>
    </row>
    <row r="17" spans="2:17" x14ac:dyDescent="0.35">
      <c r="B17" s="129" t="s">
        <v>2171</v>
      </c>
      <c r="C17" s="110">
        <v>15</v>
      </c>
      <c r="D17" s="110" t="s">
        <v>2538</v>
      </c>
      <c r="E17" s="111">
        <v>45461</v>
      </c>
      <c r="F17" s="110">
        <v>1</v>
      </c>
      <c r="G17" s="137">
        <v>1</v>
      </c>
      <c r="H17" s="137" t="s">
        <v>2139</v>
      </c>
      <c r="I17" s="110" t="s">
        <v>2137</v>
      </c>
      <c r="J17" s="110" t="s">
        <v>2137</v>
      </c>
      <c r="K17" s="110" t="s">
        <v>2137</v>
      </c>
      <c r="L17" s="110" t="s">
        <v>2137</v>
      </c>
      <c r="M17" s="110" t="s">
        <v>2137</v>
      </c>
      <c r="N17" s="110" t="s">
        <v>2137</v>
      </c>
      <c r="O17" s="110" t="s">
        <v>2137</v>
      </c>
      <c r="P17" s="110" t="s">
        <v>2137</v>
      </c>
    </row>
    <row r="18" spans="2:17" x14ac:dyDescent="0.35">
      <c r="B18" s="129" t="s">
        <v>2173</v>
      </c>
      <c r="C18" s="110">
        <v>16</v>
      </c>
      <c r="D18" s="110" t="s">
        <v>2538</v>
      </c>
      <c r="E18" s="111">
        <v>45461</v>
      </c>
      <c r="F18" s="110">
        <v>1</v>
      </c>
      <c r="G18" s="137">
        <v>1</v>
      </c>
      <c r="H18" s="137" t="s">
        <v>2139</v>
      </c>
      <c r="I18" s="110" t="s">
        <v>2137</v>
      </c>
      <c r="J18" s="110" t="s">
        <v>2137</v>
      </c>
      <c r="K18" s="110" t="s">
        <v>2137</v>
      </c>
      <c r="L18" s="110" t="s">
        <v>2137</v>
      </c>
      <c r="M18" s="110" t="s">
        <v>2137</v>
      </c>
      <c r="N18" s="110" t="s">
        <v>2137</v>
      </c>
      <c r="O18" s="110" t="s">
        <v>2137</v>
      </c>
      <c r="P18" s="110" t="s">
        <v>2137</v>
      </c>
    </row>
    <row r="19" spans="2:17" x14ac:dyDescent="0.35">
      <c r="B19" s="129" t="s">
        <v>2118</v>
      </c>
      <c r="C19" s="110">
        <v>19</v>
      </c>
      <c r="D19" s="110" t="s">
        <v>2539</v>
      </c>
      <c r="E19" s="111">
        <v>45461</v>
      </c>
      <c r="F19" s="110">
        <v>1</v>
      </c>
      <c r="G19" s="137" cm="1">
        <f t="array" ref="G19">SUMPRODUCT(--(ISNUMBER((SEARCH(I25:P25,I19:P19)))))/COUNTA(I19:P19)</f>
        <v>0.875</v>
      </c>
      <c r="H19" s="137" t="s">
        <v>2139</v>
      </c>
      <c r="I19" s="110" t="s">
        <v>2175</v>
      </c>
      <c r="J19" s="110" t="s">
        <v>2175</v>
      </c>
      <c r="K19" s="110" t="s">
        <v>2175</v>
      </c>
      <c r="L19" s="110" t="s">
        <v>2175</v>
      </c>
      <c r="M19" s="110" t="s">
        <v>2175</v>
      </c>
      <c r="N19" s="110" t="s">
        <v>2175</v>
      </c>
      <c r="O19" s="110" t="s">
        <v>2175</v>
      </c>
      <c r="P19" s="110" t="s">
        <v>2176</v>
      </c>
    </row>
    <row r="20" spans="2:17" x14ac:dyDescent="0.35">
      <c r="B20" s="129" t="s">
        <v>2121</v>
      </c>
      <c r="C20" s="110">
        <v>20</v>
      </c>
      <c r="D20" s="110" t="s">
        <v>2539</v>
      </c>
      <c r="E20" s="111">
        <v>45461</v>
      </c>
      <c r="F20" s="110">
        <v>1</v>
      </c>
      <c r="G20" s="137" cm="1">
        <f t="array" ref="G20">SUM(IF(I2:P2 = I24:P24, 1, 0))/ COUNTA(I2:P2)</f>
        <v>0.25</v>
      </c>
      <c r="H20" s="110"/>
      <c r="I20" s="110"/>
      <c r="J20" s="110"/>
      <c r="K20" s="110"/>
      <c r="L20" s="110"/>
      <c r="M20" s="110"/>
      <c r="N20" s="110"/>
      <c r="O20" s="110"/>
      <c r="P20" s="110"/>
    </row>
    <row r="21" spans="2:17" x14ac:dyDescent="0.35">
      <c r="B21" s="131" t="s">
        <v>2124</v>
      </c>
      <c r="C21" s="110">
        <v>21</v>
      </c>
      <c r="D21" s="110" t="s">
        <v>2539</v>
      </c>
      <c r="E21" s="111">
        <v>45461</v>
      </c>
      <c r="F21" s="110">
        <v>1</v>
      </c>
      <c r="G21" s="110" cm="1">
        <f t="array" ref="G21">SUM(IF(IF(G3:G20="null",1,G3:G20)=1,1,0))/COUNT(IF(G3:G20="null",1,1))</f>
        <v>0.72222222222222221</v>
      </c>
      <c r="H21" s="110"/>
      <c r="I21" s="110"/>
      <c r="J21" s="110"/>
      <c r="K21" s="110"/>
      <c r="L21" s="110"/>
      <c r="M21" s="110"/>
      <c r="N21" s="110"/>
      <c r="O21" s="110"/>
      <c r="P21" s="110"/>
    </row>
    <row r="23" spans="2:17" x14ac:dyDescent="0.35">
      <c r="B23" s="93" t="s">
        <v>2177</v>
      </c>
    </row>
    <row r="24" spans="2:17" x14ac:dyDescent="0.35">
      <c r="B24" s="106" t="s">
        <v>2127</v>
      </c>
      <c r="C24" s="107" t="s">
        <v>2128</v>
      </c>
      <c r="D24" s="107" t="s">
        <v>2129</v>
      </c>
      <c r="E24" s="107" t="s">
        <v>2130</v>
      </c>
      <c r="F24" s="107" t="s">
        <v>2131</v>
      </c>
      <c r="G24" s="107" t="s">
        <v>2132</v>
      </c>
      <c r="H24" s="107" t="s">
        <v>2133</v>
      </c>
      <c r="I24" s="114" t="str" cm="1">
        <f t="array" ref="I24:Q24">TRANSPOSE(_xlfn.SORTBY(_xlfn._xlws.FILTER(Table2[NOME FÍSICO CAMPO],Table2[NOME FÍSICO TABELA]="individual_identity_document"), _xlfn._xlws.FILTER(Table2[ORDEM], Table2[NOME FÍSICO TABELA]="individual_identity_document"), 1))</f>
        <v>party_id</v>
      </c>
      <c r="J24" s="114" t="str">
        <v>document_type_code</v>
      </c>
      <c r="K24" s="114" t="str">
        <v>document_use_type_code</v>
      </c>
      <c r="L24" s="114" t="str">
        <v>document_country_code</v>
      </c>
      <c r="M24" s="152" t="str">
        <v>document_number</v>
      </c>
      <c r="N24" s="145" t="str">
        <v>document_issue_date</v>
      </c>
      <c r="O24" s="145" t="str">
        <v>document_expiration_date</v>
      </c>
      <c r="P24" s="146" t="str">
        <v>data_date_part</v>
      </c>
      <c r="Q24" t="str">
        <v>data_timestamp_part</v>
      </c>
    </row>
    <row r="25" spans="2:17" x14ac:dyDescent="0.35">
      <c r="B25" s="102" t="s">
        <v>2178</v>
      </c>
      <c r="C25" s="103">
        <v>19</v>
      </c>
      <c r="D25" s="104" t="s">
        <v>2179</v>
      </c>
      <c r="E25" s="98" t="s">
        <v>2180</v>
      </c>
      <c r="F25" s="98" t="s">
        <v>749</v>
      </c>
      <c r="G25" s="98" t="s">
        <v>749</v>
      </c>
      <c r="H25" s="98" t="s">
        <v>749</v>
      </c>
      <c r="I25" s="98" t="str" cm="1">
        <f t="array" ref="I25:Q26">TRANSPOSE(_xlfn.SORTBY(_xlfn._xlws.FILTER(IF(Table2[FORMATO] :Table2[COMP_ CAMPO]&lt;&gt;"",Table2[FORMATO]:Table2[COMP_ CAMPO],9999999),Table2[NOME FÍSICO TABELA]="individual_identity_document"), _xlfn._xlws.FILTER(Table2[ORDEM], Table2[NOME FÍSICO TABELA]="individual_identity_document"), 1))</f>
        <v>STRING</v>
      </c>
      <c r="J25" s="98" t="str">
        <v>STRING</v>
      </c>
      <c r="K25" s="98" t="str">
        <v>STRING</v>
      </c>
      <c r="L25" s="98" t="str">
        <v>STRING</v>
      </c>
      <c r="M25" s="98" t="str">
        <v>STRING</v>
      </c>
      <c r="N25" s="98" t="str">
        <v>STRING</v>
      </c>
      <c r="O25" s="98" t="str">
        <v>STRING</v>
      </c>
      <c r="P25" s="105" t="str">
        <v>STRING</v>
      </c>
      <c r="Q25" t="str">
        <v>TIMESTAMP</v>
      </c>
    </row>
    <row r="26" spans="2:17" x14ac:dyDescent="0.35">
      <c r="B26" s="94" t="s">
        <v>2181</v>
      </c>
      <c r="C26" s="95">
        <v>7</v>
      </c>
      <c r="D26" s="96" t="s">
        <v>2179</v>
      </c>
      <c r="E26" s="97" t="s">
        <v>2180</v>
      </c>
      <c r="F26" s="97" t="s">
        <v>749</v>
      </c>
      <c r="G26" s="97" t="s">
        <v>749</v>
      </c>
      <c r="H26" s="97" t="s">
        <v>749</v>
      </c>
      <c r="I26" s="97">
        <v>10</v>
      </c>
      <c r="J26" s="97">
        <v>4</v>
      </c>
      <c r="K26" s="97">
        <v>4</v>
      </c>
      <c r="L26" s="97">
        <v>4</v>
      </c>
      <c r="M26" s="98">
        <v>40</v>
      </c>
      <c r="N26" s="98">
        <v>10</v>
      </c>
      <c r="O26" s="98">
        <v>10</v>
      </c>
      <c r="P26" s="105">
        <v>10</v>
      </c>
      <c r="Q26">
        <v>23</v>
      </c>
    </row>
    <row r="28" spans="2:17" x14ac:dyDescent="0.35">
      <c r="B28" s="109" t="s">
        <v>2182</v>
      </c>
      <c r="H28" s="149"/>
    </row>
    <row r="29" spans="2:17" x14ac:dyDescent="0.35">
      <c r="B29" s="116" t="s">
        <v>2183</v>
      </c>
      <c r="C29" s="117" t="s">
        <v>2184</v>
      </c>
      <c r="D29" s="118" t="s">
        <v>2185</v>
      </c>
      <c r="E29" s="117" t="s">
        <v>2186</v>
      </c>
      <c r="F29" s="118" t="s">
        <v>2187</v>
      </c>
    </row>
    <row r="30" spans="2:17" x14ac:dyDescent="0.35">
      <c r="B30" s="124"/>
      <c r="C30" s="124"/>
      <c r="D30" s="125"/>
      <c r="E30" s="125"/>
      <c r="F30" s="124"/>
    </row>
  </sheetData>
  <pageMargins left="0.7" right="0.7" top="0.75" bottom="0.75" header="0.3" footer="0.3"/>
  <drawing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2EA0-A29B-4599-8AAE-8069D4901CC5}">
  <sheetPr>
    <tabColor rgb="FF00B050"/>
  </sheetPr>
  <dimension ref="A1:P31"/>
  <sheetViews>
    <sheetView showGridLines="0" topLeftCell="A13" workbookViewId="0">
      <selection activeCell="H38" sqref="H38"/>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30.453125"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0" t="s">
        <v>2127</v>
      </c>
      <c r="C2" t="s">
        <v>2128</v>
      </c>
      <c r="D2" t="s">
        <v>2129</v>
      </c>
      <c r="E2" t="s">
        <v>2130</v>
      </c>
      <c r="F2" t="s">
        <v>2131</v>
      </c>
      <c r="G2" t="s">
        <v>2132</v>
      </c>
      <c r="H2" t="s">
        <v>2133</v>
      </c>
      <c r="I2" t="s">
        <v>785</v>
      </c>
      <c r="J2" t="s">
        <v>1379</v>
      </c>
      <c r="K2" t="s">
        <v>1389</v>
      </c>
      <c r="L2" t="s">
        <v>765</v>
      </c>
      <c r="M2" t="s">
        <v>772</v>
      </c>
    </row>
    <row r="3" spans="2:13" x14ac:dyDescent="0.35">
      <c r="B3" s="129" t="s">
        <v>2081</v>
      </c>
      <c r="C3" s="110">
        <v>1</v>
      </c>
      <c r="D3" s="110" t="s">
        <v>2540</v>
      </c>
      <c r="E3" s="111">
        <v>45506</v>
      </c>
      <c r="F3" s="110">
        <v>2</v>
      </c>
      <c r="G3" s="137">
        <v>1</v>
      </c>
      <c r="H3" s="140" t="s">
        <v>2541</v>
      </c>
      <c r="I3" s="110" t="s">
        <v>2137</v>
      </c>
      <c r="J3" s="110" t="s">
        <v>2137</v>
      </c>
      <c r="K3" s="110" t="s">
        <v>2137</v>
      </c>
      <c r="L3" s="110" t="s">
        <v>2137</v>
      </c>
      <c r="M3" s="110" t="s">
        <v>2137</v>
      </c>
    </row>
    <row r="4" spans="2:13" x14ac:dyDescent="0.35">
      <c r="B4" s="129" t="s">
        <v>2083</v>
      </c>
      <c r="C4" s="110">
        <v>2</v>
      </c>
      <c r="D4" s="110" t="s">
        <v>2542</v>
      </c>
      <c r="E4" s="111">
        <v>45506</v>
      </c>
      <c r="F4" s="110">
        <v>2</v>
      </c>
      <c r="G4" s="137">
        <v>1</v>
      </c>
      <c r="H4" s="155" t="s">
        <v>2543</v>
      </c>
      <c r="I4" s="110" t="s">
        <v>2137</v>
      </c>
      <c r="J4" s="110" t="s">
        <v>2137</v>
      </c>
      <c r="K4" s="110" t="s">
        <v>2137</v>
      </c>
      <c r="L4" s="110" t="s">
        <v>2137</v>
      </c>
      <c r="M4" s="110" t="s">
        <v>2137</v>
      </c>
    </row>
    <row r="5" spans="2:13" x14ac:dyDescent="0.35">
      <c r="B5" s="129" t="s">
        <v>2085</v>
      </c>
      <c r="C5" s="110">
        <v>3</v>
      </c>
      <c r="D5" s="110" t="s">
        <v>2544</v>
      </c>
      <c r="E5" s="111">
        <v>45506</v>
      </c>
      <c r="F5" s="110">
        <v>2</v>
      </c>
      <c r="G5" s="137">
        <v>0.75</v>
      </c>
      <c r="H5" s="155" t="s">
        <v>2545</v>
      </c>
      <c r="I5" s="110">
        <v>6834</v>
      </c>
      <c r="J5" s="110">
        <v>0</v>
      </c>
      <c r="K5" s="110">
        <v>0</v>
      </c>
      <c r="L5" s="110">
        <v>0</v>
      </c>
      <c r="M5" s="110" t="s">
        <v>2137</v>
      </c>
    </row>
    <row r="6" spans="2:13" x14ac:dyDescent="0.35">
      <c r="B6" s="129" t="s">
        <v>2087</v>
      </c>
      <c r="C6" s="110">
        <v>4</v>
      </c>
      <c r="D6" s="110" t="s">
        <v>2141</v>
      </c>
      <c r="E6" s="111" t="s">
        <v>2137</v>
      </c>
      <c r="F6" s="110">
        <v>2</v>
      </c>
      <c r="G6" s="111" t="s">
        <v>2137</v>
      </c>
      <c r="H6" s="137"/>
      <c r="I6" s="110" t="s">
        <v>2137</v>
      </c>
      <c r="J6" s="110" t="s">
        <v>2137</v>
      </c>
      <c r="K6" s="110" t="s">
        <v>2137</v>
      </c>
      <c r="L6" s="110" t="s">
        <v>2137</v>
      </c>
      <c r="M6" s="110" t="s">
        <v>2137</v>
      </c>
    </row>
    <row r="7" spans="2:13" x14ac:dyDescent="0.35">
      <c r="B7" s="129" t="s">
        <v>2089</v>
      </c>
      <c r="C7" s="110">
        <v>5</v>
      </c>
      <c r="D7" s="110" t="s">
        <v>2141</v>
      </c>
      <c r="E7" s="111" t="s">
        <v>2137</v>
      </c>
      <c r="F7" s="110">
        <v>2</v>
      </c>
      <c r="G7" s="111" t="s">
        <v>2137</v>
      </c>
      <c r="H7" s="137"/>
      <c r="I7" s="110" t="s">
        <v>2137</v>
      </c>
      <c r="J7" s="110" t="s">
        <v>2137</v>
      </c>
      <c r="K7" s="110" t="s">
        <v>2137</v>
      </c>
      <c r="L7" s="110" t="s">
        <v>2137</v>
      </c>
      <c r="M7" s="110" t="s">
        <v>2137</v>
      </c>
    </row>
    <row r="8" spans="2:13" x14ac:dyDescent="0.35">
      <c r="B8" s="129" t="s">
        <v>2090</v>
      </c>
      <c r="C8" s="110">
        <v>6</v>
      </c>
      <c r="D8" s="110" t="s">
        <v>2546</v>
      </c>
      <c r="E8" s="111">
        <v>45506</v>
      </c>
      <c r="F8" s="110">
        <v>2</v>
      </c>
      <c r="G8" s="137" cm="1">
        <f t="array" ref="G8">SUMPRODUCT(--(I8:M8&gt;0))/COUNTA(I8:M8)</f>
        <v>1</v>
      </c>
      <c r="H8" s="137" t="s">
        <v>2139</v>
      </c>
      <c r="I8" s="110">
        <v>1</v>
      </c>
      <c r="J8" s="110">
        <v>3</v>
      </c>
      <c r="K8" s="110">
        <v>3</v>
      </c>
      <c r="L8" s="110">
        <v>10</v>
      </c>
      <c r="M8" s="110">
        <v>23</v>
      </c>
    </row>
    <row r="9" spans="2:13" x14ac:dyDescent="0.35">
      <c r="B9" s="129" t="s">
        <v>2093</v>
      </c>
      <c r="C9" s="110">
        <v>7</v>
      </c>
      <c r="D9" s="110" t="s">
        <v>2547</v>
      </c>
      <c r="E9" s="111">
        <v>45506</v>
      </c>
      <c r="F9" s="110">
        <v>2</v>
      </c>
      <c r="G9" s="144" cm="1">
        <f t="array" ref="G9">SUMPRODUCT(--(I9:M9&lt;=I25:M25))/COUNTA(I25:M25)</f>
        <v>1</v>
      </c>
      <c r="H9" s="137" t="s">
        <v>2139</v>
      </c>
      <c r="I9" s="110">
        <v>10</v>
      </c>
      <c r="J9" s="110">
        <v>3</v>
      </c>
      <c r="K9" s="110">
        <v>3</v>
      </c>
      <c r="L9" s="110">
        <v>10</v>
      </c>
      <c r="M9" s="110">
        <v>23</v>
      </c>
    </row>
    <row r="10" spans="2:13" x14ac:dyDescent="0.35">
      <c r="B10" s="129" t="s">
        <v>2096</v>
      </c>
      <c r="C10" s="110">
        <v>8</v>
      </c>
      <c r="D10" s="110" t="s">
        <v>2548</v>
      </c>
      <c r="E10" s="111">
        <v>45506</v>
      </c>
      <c r="F10" s="110">
        <v>2</v>
      </c>
      <c r="G10" s="111" t="s">
        <v>2137</v>
      </c>
      <c r="H10" s="137" t="s">
        <v>2139</v>
      </c>
      <c r="I10" s="110">
        <v>100000</v>
      </c>
      <c r="J10" s="110">
        <v>101</v>
      </c>
      <c r="K10" s="140">
        <v>101</v>
      </c>
      <c r="L10" s="111">
        <v>45506</v>
      </c>
      <c r="M10" s="111" t="s">
        <v>2549</v>
      </c>
    </row>
    <row r="11" spans="2:13" x14ac:dyDescent="0.35">
      <c r="B11" s="129" t="s">
        <v>2098</v>
      </c>
      <c r="C11" s="110">
        <v>9</v>
      </c>
      <c r="D11" s="110" t="s">
        <v>2550</v>
      </c>
      <c r="E11" s="111">
        <v>45506</v>
      </c>
      <c r="F11" s="110">
        <v>2</v>
      </c>
      <c r="G11" s="111" t="s">
        <v>2137</v>
      </c>
      <c r="H11" s="137" t="s">
        <v>2139</v>
      </c>
      <c r="I11" s="110">
        <v>100000</v>
      </c>
      <c r="J11" s="110">
        <v>101</v>
      </c>
      <c r="K11" s="140">
        <v>101</v>
      </c>
      <c r="L11" s="111">
        <v>45506</v>
      </c>
      <c r="M11" s="111" t="s">
        <v>2551</v>
      </c>
    </row>
    <row r="12" spans="2:13" x14ac:dyDescent="0.35">
      <c r="B12" s="130" t="s">
        <v>2100</v>
      </c>
      <c r="C12" s="110">
        <v>10</v>
      </c>
      <c r="D12" s="110" t="s">
        <v>2552</v>
      </c>
      <c r="E12" s="111">
        <v>45506</v>
      </c>
      <c r="F12" s="110">
        <v>2</v>
      </c>
      <c r="G12" s="111" t="s">
        <v>2137</v>
      </c>
      <c r="H12" s="137" t="s">
        <v>2139</v>
      </c>
      <c r="I12" s="110">
        <v>99998</v>
      </c>
      <c r="J12" s="110">
        <v>115</v>
      </c>
      <c r="K12" s="111" t="s">
        <v>2553</v>
      </c>
      <c r="L12" s="111">
        <v>45506</v>
      </c>
      <c r="M12" s="111" t="s">
        <v>2549</v>
      </c>
    </row>
    <row r="13" spans="2:13" x14ac:dyDescent="0.35">
      <c r="B13" s="130" t="s">
        <v>2102</v>
      </c>
      <c r="C13" s="110">
        <v>11</v>
      </c>
      <c r="D13" s="110" t="s">
        <v>2554</v>
      </c>
      <c r="E13" s="111">
        <v>45506</v>
      </c>
      <c r="F13" s="110">
        <v>2</v>
      </c>
      <c r="G13" s="111" t="s">
        <v>2137</v>
      </c>
      <c r="H13" s="137" t="s">
        <v>2139</v>
      </c>
      <c r="I13" s="110">
        <v>99998</v>
      </c>
      <c r="J13" s="110">
        <v>115</v>
      </c>
      <c r="K13" s="111" t="s">
        <v>2553</v>
      </c>
      <c r="L13" s="111">
        <v>45506</v>
      </c>
      <c r="M13" s="111" t="s">
        <v>2555</v>
      </c>
    </row>
    <row r="14" spans="2:13" x14ac:dyDescent="0.35">
      <c r="B14" s="129" t="s">
        <v>2104</v>
      </c>
      <c r="C14" s="110">
        <v>12</v>
      </c>
      <c r="D14" s="110" t="s">
        <v>2556</v>
      </c>
      <c r="E14" s="111">
        <v>45506</v>
      </c>
      <c r="F14" s="110">
        <v>2</v>
      </c>
      <c r="G14" s="137">
        <v>0.8</v>
      </c>
      <c r="H14" s="137" t="s">
        <v>2139</v>
      </c>
      <c r="I14" s="110">
        <v>6834</v>
      </c>
      <c r="J14" s="110">
        <v>0</v>
      </c>
      <c r="K14" s="110">
        <v>0</v>
      </c>
      <c r="L14" s="110">
        <v>0</v>
      </c>
      <c r="M14" s="110">
        <v>0</v>
      </c>
    </row>
    <row r="15" spans="2:13" x14ac:dyDescent="0.35">
      <c r="B15" s="129" t="s">
        <v>2108</v>
      </c>
      <c r="C15" s="110">
        <v>14</v>
      </c>
      <c r="D15" s="110" t="s">
        <v>2557</v>
      </c>
      <c r="E15" s="111">
        <v>45506</v>
      </c>
      <c r="F15" s="110">
        <v>2</v>
      </c>
      <c r="G15" s="137">
        <v>1</v>
      </c>
      <c r="H15" s="137" t="s">
        <v>2139</v>
      </c>
      <c r="I15" s="110">
        <v>0</v>
      </c>
      <c r="J15" s="110">
        <v>0</v>
      </c>
      <c r="K15" s="110">
        <v>0</v>
      </c>
      <c r="L15" s="110" t="s">
        <v>2137</v>
      </c>
      <c r="M15" s="110" t="s">
        <v>2137</v>
      </c>
    </row>
    <row r="16" spans="2:13" x14ac:dyDescent="0.35">
      <c r="B16" s="129" t="s">
        <v>2171</v>
      </c>
      <c r="C16" s="110">
        <v>15</v>
      </c>
      <c r="D16" s="110" t="s">
        <v>2558</v>
      </c>
      <c r="E16" s="111">
        <v>45506</v>
      </c>
      <c r="F16" s="110">
        <v>2</v>
      </c>
      <c r="G16" s="137">
        <v>1</v>
      </c>
      <c r="H16" s="155" t="s">
        <v>2545</v>
      </c>
      <c r="I16" s="110" t="s">
        <v>2137</v>
      </c>
      <c r="J16" s="110" t="s">
        <v>2137</v>
      </c>
      <c r="K16" s="110" t="s">
        <v>2137</v>
      </c>
      <c r="L16" s="110" t="s">
        <v>2137</v>
      </c>
      <c r="M16" s="110" t="s">
        <v>2137</v>
      </c>
    </row>
    <row r="17" spans="1:16" x14ac:dyDescent="0.35">
      <c r="B17" s="129" t="s">
        <v>2173</v>
      </c>
      <c r="C17" s="110">
        <v>16</v>
      </c>
      <c r="D17" s="110" t="s">
        <v>2558</v>
      </c>
      <c r="E17" s="111">
        <v>45506</v>
      </c>
      <c r="F17" s="110">
        <v>2</v>
      </c>
      <c r="G17" s="137">
        <v>1</v>
      </c>
      <c r="H17" s="155" t="s">
        <v>2545</v>
      </c>
      <c r="I17" s="110" t="s">
        <v>2137</v>
      </c>
      <c r="J17" s="110" t="s">
        <v>2137</v>
      </c>
      <c r="K17" s="110" t="s">
        <v>2137</v>
      </c>
      <c r="L17" s="110" t="s">
        <v>2137</v>
      </c>
      <c r="M17" s="110" t="s">
        <v>2137</v>
      </c>
    </row>
    <row r="18" spans="1:16" x14ac:dyDescent="0.35">
      <c r="B18" s="129" t="s">
        <v>2118</v>
      </c>
      <c r="C18" s="110">
        <v>19</v>
      </c>
      <c r="D18" s="110" t="s">
        <v>2559</v>
      </c>
      <c r="E18" s="111">
        <v>45506</v>
      </c>
      <c r="F18" s="110">
        <v>2</v>
      </c>
      <c r="G18" s="137" cm="1">
        <f t="array" ref="G18">SUMPRODUCT(--(ISNUMBER((SEARCH(I24:P24,I18:P18)))))/COUNTA(I18:P18)</f>
        <v>1</v>
      </c>
      <c r="H18" s="137" t="s">
        <v>2139</v>
      </c>
      <c r="I18" s="110" t="s">
        <v>2175</v>
      </c>
      <c r="J18" s="110" t="s">
        <v>2175</v>
      </c>
      <c r="K18" s="110" t="s">
        <v>2175</v>
      </c>
      <c r="L18" s="110" t="s">
        <v>2175</v>
      </c>
      <c r="M18" s="110" t="s">
        <v>2176</v>
      </c>
    </row>
    <row r="19" spans="1:16" x14ac:dyDescent="0.35">
      <c r="B19" s="129" t="s">
        <v>2121</v>
      </c>
      <c r="C19" s="110">
        <v>20</v>
      </c>
      <c r="D19" s="110"/>
      <c r="E19" s="111"/>
      <c r="F19" s="110"/>
      <c r="G19" s="137" cm="1">
        <f t="array" ref="G19">SUM(IF(I2:M2 = I23:M23, 1, 0))/ COUNTA(I2:M2)</f>
        <v>1</v>
      </c>
      <c r="H19" s="110"/>
      <c r="I19" s="110"/>
      <c r="J19" s="110"/>
      <c r="K19" s="110"/>
      <c r="L19" s="110"/>
      <c r="M19" s="110"/>
    </row>
    <row r="20" spans="1:16" x14ac:dyDescent="0.35">
      <c r="B20" s="131" t="s">
        <v>2124</v>
      </c>
      <c r="C20" s="110">
        <v>21</v>
      </c>
      <c r="D20" s="110"/>
      <c r="E20" s="111"/>
      <c r="F20" s="110"/>
      <c r="G20" s="110" cm="1">
        <f t="array" ref="G20">SUM(IF(IF(G3:G19="null",1,G3:G19)=1,1,0))/COUNT(IF(G3:G19="null",1,1))</f>
        <v>0.88235294117647056</v>
      </c>
      <c r="H20" s="110"/>
      <c r="I20" s="110"/>
      <c r="J20" s="110"/>
      <c r="K20" s="110"/>
      <c r="L20" s="110"/>
      <c r="M20" s="110"/>
    </row>
    <row r="22" spans="1:16" x14ac:dyDescent="0.35">
      <c r="B22" s="93" t="s">
        <v>2177</v>
      </c>
    </row>
    <row r="23" spans="1:16" x14ac:dyDescent="0.35">
      <c r="B23" s="106" t="s">
        <v>2127</v>
      </c>
      <c r="C23" s="107" t="s">
        <v>2128</v>
      </c>
      <c r="D23" s="107" t="s">
        <v>2129</v>
      </c>
      <c r="E23" s="107" t="s">
        <v>2130</v>
      </c>
      <c r="F23" s="107" t="s">
        <v>2131</v>
      </c>
      <c r="G23" s="107" t="s">
        <v>2132</v>
      </c>
      <c r="H23" s="107" t="s">
        <v>2133</v>
      </c>
      <c r="I23" s="114" t="str" cm="1">
        <f t="array" ref="I23:M23">TRANSPOSE(_xlfn.SORTBY(_xlfn._xlws.FILTER(Table2[NOME FÍSICO CAMPO],Table2[NOME FÍSICO TABELA]="individual_segment"), _xlfn._xlws.FILTER(Table2[ORDEM], Table2[NOME FÍSICO TABELA]="individual_segment"), 1))</f>
        <v>party_id</v>
      </c>
      <c r="J23" s="114" t="str">
        <v>segment_type_code</v>
      </c>
      <c r="K23" s="114" t="str">
        <v>segment_code</v>
      </c>
      <c r="L23" s="114" t="str">
        <v>data_date_part</v>
      </c>
      <c r="M23" s="152" t="str">
        <v>data_timestamp_part</v>
      </c>
      <c r="N23" s="141"/>
      <c r="O23" s="142"/>
      <c r="P23" s="142"/>
    </row>
    <row r="24" spans="1:16" x14ac:dyDescent="0.35">
      <c r="B24" s="102" t="s">
        <v>2178</v>
      </c>
      <c r="C24" s="103">
        <v>19</v>
      </c>
      <c r="D24" s="104" t="s">
        <v>2179</v>
      </c>
      <c r="E24" s="98" t="s">
        <v>2180</v>
      </c>
      <c r="F24" s="98" t="s">
        <v>749</v>
      </c>
      <c r="G24" s="98" t="s">
        <v>749</v>
      </c>
      <c r="H24" s="98" t="s">
        <v>749</v>
      </c>
      <c r="I24" s="98" t="str" cm="1">
        <f t="array" ref="I24:M25">TRANSPOSE(_xlfn.SORTBY(_xlfn._xlws.FILTER(IF(Table2[FORMATO] :Table2[COMP_ CAMPO]&lt;&gt;"",Table2[FORMATO]:Table2[COMP_ CAMPO],9999999),Table2[NOME FÍSICO TABELA]="individual_segment"), _xlfn._xlws.FILTER(Table2[ORDEM], Table2[NOME FÍSICO TABELA]="individual_segment"), 1))</f>
        <v>STRING</v>
      </c>
      <c r="J24" s="98" t="str">
        <v>STRING</v>
      </c>
      <c r="K24" s="98" t="str">
        <v>STRING</v>
      </c>
      <c r="L24" s="98" t="str">
        <v>STRING</v>
      </c>
      <c r="M24" s="98" t="str">
        <v>TIMESTAMP</v>
      </c>
      <c r="N24" s="143"/>
    </row>
    <row r="25" spans="1:16" x14ac:dyDescent="0.35">
      <c r="B25" s="94" t="s">
        <v>2181</v>
      </c>
      <c r="C25" s="95">
        <v>7</v>
      </c>
      <c r="D25" s="96" t="s">
        <v>2179</v>
      </c>
      <c r="E25" s="97" t="s">
        <v>2180</v>
      </c>
      <c r="F25" s="97" t="s">
        <v>749</v>
      </c>
      <c r="G25" s="97" t="s">
        <v>749</v>
      </c>
      <c r="H25" s="97" t="s">
        <v>749</v>
      </c>
      <c r="I25" s="97">
        <v>10</v>
      </c>
      <c r="J25" s="97">
        <v>4</v>
      </c>
      <c r="K25" s="97">
        <v>4</v>
      </c>
      <c r="L25" s="97">
        <v>10</v>
      </c>
      <c r="M25" s="98">
        <v>23</v>
      </c>
      <c r="N25" s="143"/>
    </row>
    <row r="27" spans="1:16" x14ac:dyDescent="0.35">
      <c r="B27" s="109" t="s">
        <v>2182</v>
      </c>
      <c r="H27" s="149"/>
    </row>
    <row r="28" spans="1:16" x14ac:dyDescent="0.35">
      <c r="B28" s="116" t="s">
        <v>2183</v>
      </c>
      <c r="C28" s="117" t="s">
        <v>2184</v>
      </c>
      <c r="D28" s="118" t="s">
        <v>2185</v>
      </c>
      <c r="E28" s="117" t="s">
        <v>2186</v>
      </c>
      <c r="F28" s="118" t="s">
        <v>2187</v>
      </c>
    </row>
    <row r="29" spans="1:16" ht="101.5" x14ac:dyDescent="0.35">
      <c r="B29" s="124" t="s">
        <v>2400</v>
      </c>
      <c r="C29" s="124" t="s">
        <v>2466</v>
      </c>
      <c r="D29" s="125" t="s">
        <v>2560</v>
      </c>
      <c r="E29" s="125" t="s">
        <v>2561</v>
      </c>
      <c r="F29" s="124" t="s">
        <v>2562</v>
      </c>
    </row>
    <row r="30" spans="1:16" ht="58" x14ac:dyDescent="0.35">
      <c r="A30" t="s">
        <v>63</v>
      </c>
      <c r="B30" s="124" t="s">
        <v>2469</v>
      </c>
      <c r="C30" s="124" t="s">
        <v>785</v>
      </c>
      <c r="D30" s="125" t="s">
        <v>2563</v>
      </c>
      <c r="E30" s="125" t="s">
        <v>2564</v>
      </c>
      <c r="F30" s="124" t="s">
        <v>2403</v>
      </c>
    </row>
    <row r="31" spans="1:16" ht="58" x14ac:dyDescent="0.35">
      <c r="B31" s="124" t="s">
        <v>2188</v>
      </c>
      <c r="C31" s="124" t="s">
        <v>785</v>
      </c>
      <c r="D31" s="125" t="s">
        <v>2565</v>
      </c>
      <c r="E31" s="125" t="s">
        <v>2564</v>
      </c>
      <c r="F31" s="124" t="s">
        <v>2403</v>
      </c>
    </row>
  </sheetData>
  <pageMargins left="0.7" right="0.7" top="0.75" bottom="0.75" header="0.3" footer="0.3"/>
  <drawing r:id="rId1"/>
  <tableParts count="2">
    <tablePart r:id="rId2"/>
    <tablePart r:id="rId3"/>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888E-A05A-4D7D-8E75-9B377DB9368E}">
  <sheetPr>
    <tabColor rgb="FF00B050"/>
  </sheetPr>
  <dimension ref="A1:P33"/>
  <sheetViews>
    <sheetView showGridLines="0" workbookViewId="0">
      <selection activeCell="H5" sqref="H5"/>
    </sheetView>
  </sheetViews>
  <sheetFormatPr defaultRowHeight="14.5" x14ac:dyDescent="0.35"/>
  <cols>
    <col min="2" max="2" width="32.81640625" bestFit="1" customWidth="1"/>
    <col min="3" max="3" width="27.72656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26.54296875" bestFit="1" customWidth="1"/>
    <col min="12" max="12" width="24.81640625" bestFit="1" customWidth="1"/>
    <col min="13" max="13" width="48.453125" bestFit="1" customWidth="1"/>
    <col min="14" max="14" width="26.81640625" bestFit="1" customWidth="1"/>
    <col min="15" max="15" width="17.453125" bestFit="1" customWidth="1"/>
    <col min="16" max="16" width="26.81640625" bestFit="1" customWidth="1"/>
  </cols>
  <sheetData>
    <row r="1" spans="2:13" ht="30" customHeight="1" x14ac:dyDescent="0.35"/>
    <row r="2" spans="2:13" x14ac:dyDescent="0.35">
      <c r="B2" s="90" t="s">
        <v>2127</v>
      </c>
      <c r="C2" t="s">
        <v>2128</v>
      </c>
      <c r="D2" t="s">
        <v>2129</v>
      </c>
      <c r="E2" t="s">
        <v>2130</v>
      </c>
      <c r="F2" t="s">
        <v>2131</v>
      </c>
      <c r="G2" t="s">
        <v>2132</v>
      </c>
      <c r="H2" t="s">
        <v>2133</v>
      </c>
      <c r="I2" t="s">
        <v>785</v>
      </c>
      <c r="J2" t="s">
        <v>1379</v>
      </c>
      <c r="K2" t="s">
        <v>1389</v>
      </c>
      <c r="L2" t="s">
        <v>765</v>
      </c>
      <c r="M2" t="s">
        <v>772</v>
      </c>
    </row>
    <row r="3" spans="2:13" x14ac:dyDescent="0.35">
      <c r="B3" s="129" t="s">
        <v>2081</v>
      </c>
      <c r="C3" s="110">
        <v>1</v>
      </c>
      <c r="D3" s="110" t="s">
        <v>2566</v>
      </c>
      <c r="E3" s="111">
        <v>45506</v>
      </c>
      <c r="F3" s="110">
        <v>1</v>
      </c>
      <c r="G3" s="137">
        <v>1</v>
      </c>
      <c r="H3" s="140" t="s">
        <v>2567</v>
      </c>
      <c r="I3" s="110" t="s">
        <v>2137</v>
      </c>
      <c r="J3" s="110" t="s">
        <v>2137</v>
      </c>
      <c r="K3" s="110" t="s">
        <v>2137</v>
      </c>
      <c r="L3" s="110" t="s">
        <v>2137</v>
      </c>
      <c r="M3" s="110" t="s">
        <v>2137</v>
      </c>
    </row>
    <row r="4" spans="2:13" x14ac:dyDescent="0.35">
      <c r="B4" s="129" t="s">
        <v>2083</v>
      </c>
      <c r="C4" s="110">
        <v>2</v>
      </c>
      <c r="D4" s="110" t="s">
        <v>2568</v>
      </c>
      <c r="E4" s="111">
        <v>45506</v>
      </c>
      <c r="F4" s="110">
        <v>1</v>
      </c>
      <c r="G4" s="137">
        <v>0.99</v>
      </c>
      <c r="H4" s="155" t="s">
        <v>2569</v>
      </c>
      <c r="I4" s="110" t="s">
        <v>2137</v>
      </c>
      <c r="J4" s="110" t="s">
        <v>2137</v>
      </c>
      <c r="K4" s="110" t="s">
        <v>2137</v>
      </c>
      <c r="L4" s="110" t="s">
        <v>2137</v>
      </c>
      <c r="M4" s="110" t="s">
        <v>2137</v>
      </c>
    </row>
    <row r="5" spans="2:13" x14ac:dyDescent="0.35">
      <c r="B5" s="129" t="s">
        <v>2085</v>
      </c>
      <c r="C5" s="110">
        <v>3</v>
      </c>
      <c r="D5" s="110" t="s">
        <v>2570</v>
      </c>
      <c r="E5" s="111">
        <v>45506</v>
      </c>
      <c r="F5" s="110">
        <v>1</v>
      </c>
      <c r="G5" s="137" t="s">
        <v>2571</v>
      </c>
      <c r="H5" s="155" t="s">
        <v>2572</v>
      </c>
      <c r="I5" s="110">
        <v>79916</v>
      </c>
      <c r="J5" s="110">
        <v>0</v>
      </c>
      <c r="K5" s="110">
        <v>0</v>
      </c>
      <c r="L5" s="110">
        <v>0</v>
      </c>
      <c r="M5" s="110" t="s">
        <v>2137</v>
      </c>
    </row>
    <row r="6" spans="2:13" x14ac:dyDescent="0.35">
      <c r="B6" s="129" t="s">
        <v>2087</v>
      </c>
      <c r="C6" s="110">
        <v>4</v>
      </c>
      <c r="D6" s="110" t="s">
        <v>2141</v>
      </c>
      <c r="E6" s="111" t="s">
        <v>2137</v>
      </c>
      <c r="F6" s="110">
        <v>1</v>
      </c>
      <c r="G6" s="111" t="s">
        <v>2137</v>
      </c>
      <c r="H6" s="137"/>
      <c r="I6" s="110" t="s">
        <v>2137</v>
      </c>
      <c r="J6" s="110" t="s">
        <v>2137</v>
      </c>
      <c r="K6" s="110" t="s">
        <v>2137</v>
      </c>
      <c r="L6" s="110" t="s">
        <v>2137</v>
      </c>
      <c r="M6" s="110" t="s">
        <v>2137</v>
      </c>
    </row>
    <row r="7" spans="2:13" x14ac:dyDescent="0.35">
      <c r="B7" s="129" t="s">
        <v>2089</v>
      </c>
      <c r="C7" s="110">
        <v>5</v>
      </c>
      <c r="D7" s="110" t="s">
        <v>2141</v>
      </c>
      <c r="E7" s="111" t="s">
        <v>2137</v>
      </c>
      <c r="F7" s="110">
        <v>1</v>
      </c>
      <c r="G7" s="111" t="s">
        <v>2137</v>
      </c>
      <c r="H7" s="137"/>
      <c r="I7" s="110" t="s">
        <v>2137</v>
      </c>
      <c r="J7" s="110" t="s">
        <v>2137</v>
      </c>
      <c r="K7" s="110" t="s">
        <v>2137</v>
      </c>
      <c r="L7" s="110" t="s">
        <v>2137</v>
      </c>
      <c r="M7" s="110" t="s">
        <v>2137</v>
      </c>
    </row>
    <row r="8" spans="2:13" x14ac:dyDescent="0.35">
      <c r="B8" s="129" t="s">
        <v>2090</v>
      </c>
      <c r="C8" s="110">
        <v>6</v>
      </c>
      <c r="D8" s="110" t="s">
        <v>2573</v>
      </c>
      <c r="E8" s="111">
        <v>45506</v>
      </c>
      <c r="F8" s="110">
        <v>1</v>
      </c>
      <c r="G8" s="137" cm="1">
        <f t="array" ref="G8">SUMPRODUCT(--(I8:M8&gt;0))/COUNTA(I8:M8)</f>
        <v>1</v>
      </c>
      <c r="H8" s="137" t="s">
        <v>2139</v>
      </c>
      <c r="I8" s="110">
        <v>2</v>
      </c>
      <c r="J8" s="110">
        <v>3</v>
      </c>
      <c r="K8" s="110">
        <v>3</v>
      </c>
      <c r="L8" s="110">
        <v>10</v>
      </c>
      <c r="M8" s="110">
        <v>23</v>
      </c>
    </row>
    <row r="9" spans="2:13" x14ac:dyDescent="0.35">
      <c r="B9" s="129" t="s">
        <v>2093</v>
      </c>
      <c r="C9" s="110">
        <v>7</v>
      </c>
      <c r="D9" s="110" t="s">
        <v>2574</v>
      </c>
      <c r="E9" s="111">
        <v>45506</v>
      </c>
      <c r="F9" s="110">
        <v>1</v>
      </c>
      <c r="G9" s="144" cm="1">
        <f t="array" ref="G9">SUMPRODUCT(--(I9:M9&lt;=I25:M25))/COUNTA(I25:M25)</f>
        <v>1</v>
      </c>
      <c r="H9" s="137" t="s">
        <v>2139</v>
      </c>
      <c r="I9" s="110">
        <v>10</v>
      </c>
      <c r="J9" s="110">
        <v>3</v>
      </c>
      <c r="K9" s="110">
        <v>3</v>
      </c>
      <c r="L9" s="110">
        <v>10</v>
      </c>
      <c r="M9" s="110">
        <v>23</v>
      </c>
    </row>
    <row r="10" spans="2:13" x14ac:dyDescent="0.35">
      <c r="B10" s="129" t="s">
        <v>2096</v>
      </c>
      <c r="C10" s="110">
        <v>8</v>
      </c>
      <c r="D10" s="110" t="s">
        <v>2575</v>
      </c>
      <c r="E10" s="111">
        <v>45506</v>
      </c>
      <c r="F10" s="110">
        <v>1</v>
      </c>
      <c r="G10" s="111" t="s">
        <v>2137</v>
      </c>
      <c r="H10" s="137" t="s">
        <v>2139</v>
      </c>
      <c r="I10" s="110">
        <v>10004</v>
      </c>
      <c r="J10" s="110">
        <v>200</v>
      </c>
      <c r="K10" s="140">
        <v>203</v>
      </c>
      <c r="L10" s="111">
        <v>45506</v>
      </c>
      <c r="M10" s="111" t="s">
        <v>2576</v>
      </c>
    </row>
    <row r="11" spans="2:13" x14ac:dyDescent="0.35">
      <c r="B11" s="129" t="s">
        <v>2098</v>
      </c>
      <c r="C11" s="110">
        <v>9</v>
      </c>
      <c r="D11" s="110" t="s">
        <v>2577</v>
      </c>
      <c r="E11" s="111">
        <v>45506</v>
      </c>
      <c r="F11" s="110">
        <v>1</v>
      </c>
      <c r="G11" s="111" t="s">
        <v>2137</v>
      </c>
      <c r="H11" s="137" t="s">
        <v>2139</v>
      </c>
      <c r="I11" s="110">
        <v>42</v>
      </c>
      <c r="J11" s="110">
        <v>200</v>
      </c>
      <c r="K11" s="140">
        <v>203</v>
      </c>
      <c r="L11" s="111">
        <v>45506</v>
      </c>
      <c r="M11" s="111" t="s">
        <v>2578</v>
      </c>
    </row>
    <row r="12" spans="2:13" x14ac:dyDescent="0.35">
      <c r="B12" s="130" t="s">
        <v>2100</v>
      </c>
      <c r="C12" s="110">
        <v>10</v>
      </c>
      <c r="D12" s="110" t="s">
        <v>2579</v>
      </c>
      <c r="E12" s="111">
        <v>45506</v>
      </c>
      <c r="F12" s="110">
        <v>1</v>
      </c>
      <c r="G12" s="111" t="s">
        <v>2137</v>
      </c>
      <c r="H12" s="137" t="s">
        <v>2139</v>
      </c>
      <c r="I12" s="110">
        <v>99989</v>
      </c>
      <c r="J12" s="110">
        <v>250</v>
      </c>
      <c r="K12" s="111" t="s">
        <v>2580</v>
      </c>
      <c r="L12" s="111">
        <v>45506</v>
      </c>
      <c r="M12" s="111" t="s">
        <v>2576</v>
      </c>
    </row>
    <row r="13" spans="2:13" x14ac:dyDescent="0.35">
      <c r="B13" s="130" t="s">
        <v>2102</v>
      </c>
      <c r="C13" s="110">
        <v>11</v>
      </c>
      <c r="D13" s="110" t="s">
        <v>2581</v>
      </c>
      <c r="E13" s="111">
        <v>45506</v>
      </c>
      <c r="F13" s="110">
        <v>1</v>
      </c>
      <c r="G13" s="111" t="s">
        <v>2137</v>
      </c>
      <c r="H13" s="137" t="s">
        <v>2139</v>
      </c>
      <c r="I13" s="110">
        <v>9002691418</v>
      </c>
      <c r="J13" s="110">
        <v>250</v>
      </c>
      <c r="K13" s="111" t="s">
        <v>2580</v>
      </c>
      <c r="L13" s="111">
        <v>45506</v>
      </c>
      <c r="M13" s="111" t="s">
        <v>2582</v>
      </c>
    </row>
    <row r="14" spans="2:13" x14ac:dyDescent="0.35">
      <c r="B14" s="129" t="s">
        <v>2104</v>
      </c>
      <c r="C14" s="110">
        <v>12</v>
      </c>
      <c r="D14" s="110" t="s">
        <v>2583</v>
      </c>
      <c r="E14" s="111">
        <v>45506</v>
      </c>
      <c r="F14" s="110">
        <v>1</v>
      </c>
      <c r="G14" s="137" t="s">
        <v>2490</v>
      </c>
      <c r="H14" s="137" t="s">
        <v>2139</v>
      </c>
      <c r="I14" s="110">
        <v>79916</v>
      </c>
      <c r="J14" s="110">
        <v>0</v>
      </c>
      <c r="K14" s="110">
        <v>0</v>
      </c>
      <c r="L14" s="110">
        <v>0</v>
      </c>
      <c r="M14" s="110">
        <v>0</v>
      </c>
    </row>
    <row r="15" spans="2:13" x14ac:dyDescent="0.35">
      <c r="B15" s="129" t="s">
        <v>2108</v>
      </c>
      <c r="C15" s="110">
        <v>14</v>
      </c>
      <c r="D15" s="110" t="s">
        <v>2584</v>
      </c>
      <c r="E15" s="111">
        <v>45506</v>
      </c>
      <c r="F15" s="110">
        <v>1</v>
      </c>
      <c r="G15" s="137">
        <v>1</v>
      </c>
      <c r="H15" s="137" t="s">
        <v>2139</v>
      </c>
      <c r="I15" s="110">
        <v>0</v>
      </c>
      <c r="J15" s="110">
        <v>0</v>
      </c>
      <c r="K15" s="110">
        <v>0</v>
      </c>
      <c r="L15" s="110" t="s">
        <v>2137</v>
      </c>
      <c r="M15" s="110" t="s">
        <v>2137</v>
      </c>
    </row>
    <row r="16" spans="2:13" x14ac:dyDescent="0.35">
      <c r="B16" s="129" t="s">
        <v>2171</v>
      </c>
      <c r="C16" s="110">
        <v>15</v>
      </c>
      <c r="D16" s="110" t="s">
        <v>2585</v>
      </c>
      <c r="E16" s="111">
        <v>45506</v>
      </c>
      <c r="F16" s="110">
        <v>1</v>
      </c>
      <c r="G16" s="137" t="s">
        <v>2586</v>
      </c>
      <c r="H16" s="155" t="s">
        <v>2572</v>
      </c>
      <c r="I16" s="110" t="s">
        <v>2137</v>
      </c>
      <c r="J16" s="110" t="s">
        <v>2137</v>
      </c>
      <c r="K16" s="110" t="s">
        <v>2137</v>
      </c>
      <c r="L16" s="110" t="s">
        <v>2137</v>
      </c>
      <c r="M16" s="110" t="s">
        <v>2137</v>
      </c>
    </row>
    <row r="17" spans="1:16" x14ac:dyDescent="0.35">
      <c r="B17" s="129" t="s">
        <v>2173</v>
      </c>
      <c r="C17" s="110">
        <v>16</v>
      </c>
      <c r="D17" s="110" t="s">
        <v>2585</v>
      </c>
      <c r="E17" s="111">
        <v>45506</v>
      </c>
      <c r="F17" s="110">
        <v>1</v>
      </c>
      <c r="G17" s="137" t="s">
        <v>2586</v>
      </c>
      <c r="H17" s="155" t="s">
        <v>2572</v>
      </c>
      <c r="I17" s="110" t="s">
        <v>2137</v>
      </c>
      <c r="J17" s="110" t="s">
        <v>2137</v>
      </c>
      <c r="K17" s="110" t="s">
        <v>2137</v>
      </c>
      <c r="L17" s="110" t="s">
        <v>2137</v>
      </c>
      <c r="M17" s="110" t="s">
        <v>2137</v>
      </c>
    </row>
    <row r="18" spans="1:16" x14ac:dyDescent="0.35">
      <c r="B18" s="129" t="s">
        <v>2118</v>
      </c>
      <c r="C18" s="110">
        <v>19</v>
      </c>
      <c r="D18" s="110" t="s">
        <v>2587</v>
      </c>
      <c r="E18" s="111">
        <v>45506</v>
      </c>
      <c r="F18" s="110">
        <v>1</v>
      </c>
      <c r="G18" s="137" cm="1">
        <f t="array" ref="G18">SUMPRODUCT(--(ISNUMBER((SEARCH(I24:P24,I18:P18)))))/COUNTA(I18:P18)</f>
        <v>1</v>
      </c>
      <c r="H18" s="137" t="s">
        <v>2139</v>
      </c>
      <c r="I18" s="110" t="s">
        <v>2175</v>
      </c>
      <c r="J18" s="110" t="s">
        <v>2175</v>
      </c>
      <c r="K18" s="110" t="s">
        <v>2175</v>
      </c>
      <c r="L18" s="110" t="s">
        <v>2175</v>
      </c>
      <c r="M18" s="110" t="s">
        <v>2176</v>
      </c>
    </row>
    <row r="19" spans="1:16" x14ac:dyDescent="0.35">
      <c r="B19" s="129" t="s">
        <v>2121</v>
      </c>
      <c r="C19" s="110">
        <v>20</v>
      </c>
      <c r="D19" s="110" t="s">
        <v>2587</v>
      </c>
      <c r="E19" s="111">
        <v>45506</v>
      </c>
      <c r="F19" s="110">
        <v>1</v>
      </c>
      <c r="G19" s="137" cm="1">
        <f t="array" ref="G19">SUM(IF(I2:M2 = I23:M23, 1, 0))/ COUNTA(I2:M2)</f>
        <v>1</v>
      </c>
      <c r="H19" s="110"/>
      <c r="I19" s="110"/>
      <c r="J19" s="110"/>
      <c r="K19" s="110"/>
      <c r="L19" s="110"/>
      <c r="M19" s="110"/>
    </row>
    <row r="20" spans="1:16" x14ac:dyDescent="0.35">
      <c r="B20" s="131" t="s">
        <v>2124</v>
      </c>
      <c r="C20" s="110">
        <v>21</v>
      </c>
      <c r="D20" s="110" t="s">
        <v>2587</v>
      </c>
      <c r="E20" s="111">
        <v>45506</v>
      </c>
      <c r="F20" s="110">
        <v>1</v>
      </c>
      <c r="G20" s="110" cm="1">
        <f t="array" ref="G20">SUM(IF(IF(G3:G19="null",1,G3:G19)=1,1,0))/COUNT(IF(G3:G19="null",1,1))</f>
        <v>0.70588235294117652</v>
      </c>
      <c r="H20" s="110"/>
      <c r="I20" s="110"/>
      <c r="J20" s="110"/>
      <c r="K20" s="110"/>
      <c r="L20" s="110"/>
      <c r="M20" s="110"/>
    </row>
    <row r="22" spans="1:16" x14ac:dyDescent="0.35">
      <c r="B22" s="93" t="s">
        <v>2177</v>
      </c>
    </row>
    <row r="23" spans="1:16" x14ac:dyDescent="0.35">
      <c r="B23" s="106" t="s">
        <v>2127</v>
      </c>
      <c r="C23" s="107" t="s">
        <v>2128</v>
      </c>
      <c r="D23" s="107" t="s">
        <v>2129</v>
      </c>
      <c r="E23" s="107" t="s">
        <v>2130</v>
      </c>
      <c r="F23" s="107" t="s">
        <v>2131</v>
      </c>
      <c r="G23" s="107" t="s">
        <v>2132</v>
      </c>
      <c r="H23" s="107" t="s">
        <v>2133</v>
      </c>
      <c r="I23" s="114" t="str" cm="1">
        <f t="array" ref="I23:M23">TRANSPOSE(_xlfn.SORTBY(_xlfn._xlws.FILTER(Table2[NOME FÍSICO CAMPO],Table2[NOME FÍSICO TABELA]="entity_segment"), _xlfn._xlws.FILTER(Table2[ORDEM], Table2[NOME FÍSICO TABELA]="entity_segment"), 1))</f>
        <v>party_id</v>
      </c>
      <c r="J23" s="114" t="str">
        <v>segment_type_code</v>
      </c>
      <c r="K23" s="114" t="str">
        <v>segment_code</v>
      </c>
      <c r="L23" s="114" t="str">
        <v>data_date_part</v>
      </c>
      <c r="M23" s="152" t="str">
        <v>data_timestamp_part</v>
      </c>
      <c r="N23" s="141"/>
      <c r="O23" s="142"/>
      <c r="P23" s="142"/>
    </row>
    <row r="24" spans="1:16" x14ac:dyDescent="0.35">
      <c r="B24" s="102" t="s">
        <v>2178</v>
      </c>
      <c r="C24" s="103">
        <v>19</v>
      </c>
      <c r="D24" s="104" t="s">
        <v>2179</v>
      </c>
      <c r="E24" s="98" t="s">
        <v>2180</v>
      </c>
      <c r="F24" s="98" t="s">
        <v>749</v>
      </c>
      <c r="G24" s="98" t="s">
        <v>749</v>
      </c>
      <c r="H24" s="98" t="s">
        <v>749</v>
      </c>
      <c r="I24" s="98" t="str" cm="1">
        <f t="array" ref="I24:M25">TRANSPOSE(_xlfn.SORTBY(_xlfn._xlws.FILTER(IF(Table2[FORMATO] :Table2[COMP_ CAMPO]&lt;&gt;"",Table2[FORMATO]:Table2[COMP_ CAMPO],9999999),Table2[NOME FÍSICO TABELA]="entity_segment"), _xlfn._xlws.FILTER(Table2[ORDEM], Table2[NOME FÍSICO TABELA]="entity_segment"), 1))</f>
        <v>STRING</v>
      </c>
      <c r="J24" s="98" t="str">
        <v>STRING</v>
      </c>
      <c r="K24" s="98" t="str">
        <v>STRING</v>
      </c>
      <c r="L24" s="98" t="str">
        <v>STRING</v>
      </c>
      <c r="M24" s="98" t="str">
        <v>TIMESTAMP</v>
      </c>
      <c r="N24" s="143"/>
    </row>
    <row r="25" spans="1:16" x14ac:dyDescent="0.35">
      <c r="B25" s="94" t="s">
        <v>2181</v>
      </c>
      <c r="C25" s="95">
        <v>7</v>
      </c>
      <c r="D25" s="96" t="s">
        <v>2179</v>
      </c>
      <c r="E25" s="97" t="s">
        <v>2180</v>
      </c>
      <c r="F25" s="97" t="s">
        <v>749</v>
      </c>
      <c r="G25" s="97" t="s">
        <v>749</v>
      </c>
      <c r="H25" s="97" t="s">
        <v>749</v>
      </c>
      <c r="I25" s="97">
        <v>10</v>
      </c>
      <c r="J25" s="97">
        <v>4</v>
      </c>
      <c r="K25" s="97">
        <v>4</v>
      </c>
      <c r="L25" s="97">
        <v>10</v>
      </c>
      <c r="M25" s="98">
        <v>23</v>
      </c>
      <c r="N25" s="143"/>
    </row>
    <row r="27" spans="1:16" x14ac:dyDescent="0.35">
      <c r="B27" s="109" t="s">
        <v>2182</v>
      </c>
      <c r="H27" s="149"/>
    </row>
    <row r="28" spans="1:16" x14ac:dyDescent="0.35">
      <c r="B28" s="116" t="s">
        <v>2183</v>
      </c>
      <c r="C28" s="117" t="s">
        <v>2184</v>
      </c>
      <c r="D28" s="118" t="s">
        <v>2185</v>
      </c>
      <c r="E28" s="117" t="s">
        <v>2186</v>
      </c>
      <c r="F28" s="118" t="s">
        <v>2187</v>
      </c>
    </row>
    <row r="29" spans="1:16" ht="116" x14ac:dyDescent="0.35">
      <c r="B29" s="124" t="s">
        <v>2400</v>
      </c>
      <c r="C29" s="124" t="s">
        <v>2466</v>
      </c>
      <c r="D29" s="125" t="s">
        <v>2588</v>
      </c>
      <c r="E29" s="125" t="s">
        <v>2589</v>
      </c>
      <c r="F29" s="124" t="s">
        <v>2562</v>
      </c>
    </row>
    <row r="30" spans="1:16" ht="29" x14ac:dyDescent="0.35">
      <c r="A30" t="s">
        <v>63</v>
      </c>
      <c r="B30" s="124" t="s">
        <v>2469</v>
      </c>
      <c r="C30" s="124" t="s">
        <v>785</v>
      </c>
      <c r="D30" s="125" t="s">
        <v>2470</v>
      </c>
      <c r="E30" s="125" t="s">
        <v>2590</v>
      </c>
      <c r="F30" s="124" t="s">
        <v>2191</v>
      </c>
    </row>
    <row r="31" spans="1:16" ht="29" x14ac:dyDescent="0.35">
      <c r="B31" s="124" t="s">
        <v>2188</v>
      </c>
      <c r="C31" s="124" t="s">
        <v>785</v>
      </c>
      <c r="D31" s="125" t="s">
        <v>2470</v>
      </c>
      <c r="E31" s="125" t="s">
        <v>2590</v>
      </c>
      <c r="F31" s="124" t="s">
        <v>2191</v>
      </c>
    </row>
    <row r="32" spans="1:16" ht="58" x14ac:dyDescent="0.35">
      <c r="B32" s="124" t="s">
        <v>2591</v>
      </c>
      <c r="C32" s="124" t="s">
        <v>2466</v>
      </c>
      <c r="D32" s="125" t="s">
        <v>2592</v>
      </c>
      <c r="E32" s="125" t="s">
        <v>2590</v>
      </c>
      <c r="F32" s="124" t="s">
        <v>2191</v>
      </c>
    </row>
    <row r="33" spans="2:6" ht="58" x14ac:dyDescent="0.35">
      <c r="B33" s="124" t="s">
        <v>2593</v>
      </c>
      <c r="C33" s="124" t="s">
        <v>2466</v>
      </c>
      <c r="D33" s="125" t="s">
        <v>2592</v>
      </c>
      <c r="E33" s="125" t="s">
        <v>2590</v>
      </c>
      <c r="F33" s="124" t="s">
        <v>2191</v>
      </c>
    </row>
  </sheetData>
  <pageMargins left="0.7" right="0.7" top="0.75" bottom="0.75" header="0.3" footer="0.3"/>
  <drawing r:id="rId1"/>
  <tableParts count="2">
    <tablePart r:id="rId2"/>
    <tablePart r:id="rId3"/>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86652-D847-4EB6-AD81-FC9D56A232DE}">
  <sheetPr>
    <tabColor rgb="FF00B050"/>
  </sheetPr>
  <dimension ref="A1:Q38"/>
  <sheetViews>
    <sheetView showGridLines="0" workbookViewId="0">
      <selection activeCell="G9" sqref="G9"/>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0.453125" bestFit="1" customWidth="1"/>
    <col min="8" max="8" width="16.4531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s>
  <sheetData>
    <row r="1" spans="2:17" ht="30" customHeight="1" x14ac:dyDescent="0.35"/>
    <row r="2" spans="2:17" x14ac:dyDescent="0.35">
      <c r="B2" s="90" t="s">
        <v>2127</v>
      </c>
      <c r="C2" t="s">
        <v>2128</v>
      </c>
      <c r="D2" t="s">
        <v>2129</v>
      </c>
      <c r="E2" t="s">
        <v>2130</v>
      </c>
      <c r="F2" t="s">
        <v>2131</v>
      </c>
      <c r="G2" t="s">
        <v>2132</v>
      </c>
      <c r="H2" t="s">
        <v>2133</v>
      </c>
      <c r="I2" t="s">
        <v>785</v>
      </c>
      <c r="J2" t="s">
        <v>1219</v>
      </c>
      <c r="K2" t="s">
        <v>1230</v>
      </c>
      <c r="L2" t="s">
        <v>1243</v>
      </c>
      <c r="M2" t="s">
        <v>1254</v>
      </c>
      <c r="N2" t="s">
        <v>1262</v>
      </c>
      <c r="O2" t="s">
        <v>1269</v>
      </c>
      <c r="P2" t="s">
        <v>765</v>
      </c>
      <c r="Q2" t="s">
        <v>772</v>
      </c>
    </row>
    <row r="3" spans="2:17" x14ac:dyDescent="0.35">
      <c r="B3" s="129" t="s">
        <v>2081</v>
      </c>
      <c r="C3" s="110">
        <v>1</v>
      </c>
      <c r="D3" s="110" t="s">
        <v>2594</v>
      </c>
      <c r="E3" s="111">
        <v>45502</v>
      </c>
      <c r="F3" s="110">
        <v>1</v>
      </c>
      <c r="G3" s="137">
        <v>1</v>
      </c>
      <c r="H3" s="140" t="s">
        <v>2595</v>
      </c>
      <c r="I3" s="110" t="s">
        <v>2137</v>
      </c>
      <c r="J3" s="110" t="s">
        <v>2137</v>
      </c>
      <c r="K3" s="110" t="s">
        <v>2137</v>
      </c>
      <c r="L3" s="110" t="s">
        <v>2137</v>
      </c>
      <c r="M3" s="110" t="s">
        <v>2137</v>
      </c>
      <c r="N3" s="110" t="s">
        <v>2137</v>
      </c>
      <c r="O3" s="110" t="s">
        <v>2137</v>
      </c>
      <c r="P3" s="110" t="s">
        <v>2137</v>
      </c>
      <c r="Q3" s="110" t="s">
        <v>2137</v>
      </c>
    </row>
    <row r="4" spans="2:17" x14ac:dyDescent="0.35">
      <c r="B4" s="129" t="s">
        <v>2083</v>
      </c>
      <c r="C4" s="110">
        <v>2</v>
      </c>
      <c r="D4" s="110" t="s">
        <v>2596</v>
      </c>
      <c r="E4" s="111">
        <v>45502</v>
      </c>
      <c r="F4" s="110">
        <v>1</v>
      </c>
      <c r="G4" s="137" t="s">
        <v>2597</v>
      </c>
      <c r="H4" s="155" t="s">
        <v>2598</v>
      </c>
      <c r="I4" s="110" t="s">
        <v>2137</v>
      </c>
      <c r="J4" s="110" t="s">
        <v>2137</v>
      </c>
      <c r="K4" s="110" t="s">
        <v>2137</v>
      </c>
      <c r="L4" s="110" t="s">
        <v>2137</v>
      </c>
      <c r="M4" s="110" t="s">
        <v>2137</v>
      </c>
      <c r="N4" s="110" t="s">
        <v>2137</v>
      </c>
      <c r="O4" s="110" t="s">
        <v>2137</v>
      </c>
      <c r="P4" s="110" t="s">
        <v>2137</v>
      </c>
      <c r="Q4" s="110" t="s">
        <v>2137</v>
      </c>
    </row>
    <row r="5" spans="2:17" x14ac:dyDescent="0.35">
      <c r="B5" s="129" t="s">
        <v>2085</v>
      </c>
      <c r="C5" s="110">
        <v>3</v>
      </c>
      <c r="D5" s="110" t="s">
        <v>2599</v>
      </c>
      <c r="E5" s="111">
        <v>45502</v>
      </c>
      <c r="F5" s="110">
        <v>1</v>
      </c>
      <c r="G5" s="137" t="s">
        <v>2478</v>
      </c>
      <c r="H5" s="155" t="s">
        <v>2600</v>
      </c>
      <c r="I5" s="110">
        <v>0</v>
      </c>
      <c r="J5" s="110">
        <v>101544</v>
      </c>
      <c r="K5" s="110" t="s">
        <v>2137</v>
      </c>
      <c r="L5" s="110" t="s">
        <v>2137</v>
      </c>
      <c r="M5" s="110" t="s">
        <v>2137</v>
      </c>
      <c r="N5" s="110" t="s">
        <v>2137</v>
      </c>
      <c r="O5" s="110" t="s">
        <v>2137</v>
      </c>
      <c r="P5" s="110">
        <v>0</v>
      </c>
      <c r="Q5" s="110" t="s">
        <v>2137</v>
      </c>
    </row>
    <row r="6" spans="2:17" x14ac:dyDescent="0.35">
      <c r="B6" s="129" t="s">
        <v>2087</v>
      </c>
      <c r="C6" s="110">
        <v>4</v>
      </c>
      <c r="D6" s="110" t="s">
        <v>2141</v>
      </c>
      <c r="E6" s="111" t="s">
        <v>2137</v>
      </c>
      <c r="F6" s="110">
        <v>1</v>
      </c>
      <c r="G6" s="111" t="s">
        <v>2137</v>
      </c>
      <c r="H6" s="137"/>
      <c r="I6" s="110" t="s">
        <v>2137</v>
      </c>
      <c r="J6" s="110" t="s">
        <v>2137</v>
      </c>
      <c r="K6" s="110" t="s">
        <v>2137</v>
      </c>
      <c r="L6" s="110" t="s">
        <v>2137</v>
      </c>
      <c r="M6" s="110" t="s">
        <v>2137</v>
      </c>
      <c r="N6" s="110" t="s">
        <v>2137</v>
      </c>
      <c r="O6" s="110" t="s">
        <v>2137</v>
      </c>
      <c r="P6" s="110" t="s">
        <v>2137</v>
      </c>
      <c r="Q6" s="110" t="s">
        <v>2137</v>
      </c>
    </row>
    <row r="7" spans="2:17" x14ac:dyDescent="0.35">
      <c r="B7" s="129" t="s">
        <v>2089</v>
      </c>
      <c r="C7" s="110">
        <v>5</v>
      </c>
      <c r="D7" s="110" t="s">
        <v>2141</v>
      </c>
      <c r="E7" s="111" t="s">
        <v>2137</v>
      </c>
      <c r="F7" s="110">
        <v>1</v>
      </c>
      <c r="G7" s="111" t="s">
        <v>2137</v>
      </c>
      <c r="H7" s="137"/>
      <c r="I7" s="110" t="s">
        <v>2137</v>
      </c>
      <c r="J7" s="110" t="s">
        <v>2137</v>
      </c>
      <c r="K7" s="110" t="s">
        <v>2137</v>
      </c>
      <c r="L7" s="110" t="s">
        <v>2137</v>
      </c>
      <c r="M7" s="110" t="s">
        <v>2137</v>
      </c>
      <c r="N7" s="110" t="s">
        <v>2137</v>
      </c>
      <c r="O7" s="110" t="s">
        <v>2137</v>
      </c>
      <c r="P7" s="110" t="s">
        <v>2137</v>
      </c>
      <c r="Q7" s="110" t="s">
        <v>2137</v>
      </c>
    </row>
    <row r="8" spans="2:17" x14ac:dyDescent="0.35">
      <c r="B8" s="129" t="s">
        <v>2090</v>
      </c>
      <c r="C8" s="110">
        <v>6</v>
      </c>
      <c r="D8" s="110" t="s">
        <v>2601</v>
      </c>
      <c r="E8" s="111">
        <v>45502</v>
      </c>
      <c r="F8" s="110">
        <v>1</v>
      </c>
      <c r="G8" s="137" cm="1">
        <f t="array" ref="G8">SUMPRODUCT(--(I8:Q8&gt;0))/COUNTA(I8:Q8)</f>
        <v>1</v>
      </c>
      <c r="H8" s="137" t="s">
        <v>2139</v>
      </c>
      <c r="I8" s="110">
        <v>2</v>
      </c>
      <c r="J8" s="110">
        <v>10</v>
      </c>
      <c r="K8" s="110">
        <v>3</v>
      </c>
      <c r="L8" s="110">
        <v>8</v>
      </c>
      <c r="M8" s="110">
        <v>8</v>
      </c>
      <c r="N8" s="110">
        <v>2</v>
      </c>
      <c r="O8" s="110">
        <v>1</v>
      </c>
      <c r="P8" s="110">
        <v>10</v>
      </c>
      <c r="Q8" s="110">
        <v>23</v>
      </c>
    </row>
    <row r="9" spans="2:17" x14ac:dyDescent="0.35">
      <c r="B9" s="129" t="s">
        <v>2093</v>
      </c>
      <c r="C9" s="110">
        <v>7</v>
      </c>
      <c r="D9" s="110" t="s">
        <v>2602</v>
      </c>
      <c r="E9" s="111">
        <v>45502</v>
      </c>
      <c r="F9" s="110">
        <v>1</v>
      </c>
      <c r="G9" s="144" cm="1">
        <f t="array" ref="G9">SUMPRODUCT(--(I9:Q9&lt;=I25:Q25))/COUNTA(I25:Q25)</f>
        <v>1</v>
      </c>
      <c r="H9" s="137" t="s">
        <v>2139</v>
      </c>
      <c r="I9" s="110">
        <v>10</v>
      </c>
      <c r="J9" s="110">
        <v>10</v>
      </c>
      <c r="K9" s="110">
        <v>3</v>
      </c>
      <c r="L9" s="110">
        <v>8</v>
      </c>
      <c r="M9" s="110">
        <v>19</v>
      </c>
      <c r="N9" s="110">
        <v>3</v>
      </c>
      <c r="O9" s="110">
        <v>9</v>
      </c>
      <c r="P9" s="110">
        <v>10</v>
      </c>
      <c r="Q9" s="110">
        <v>23</v>
      </c>
    </row>
    <row r="10" spans="2:17" x14ac:dyDescent="0.35">
      <c r="B10" s="129" t="s">
        <v>2096</v>
      </c>
      <c r="C10" s="110">
        <v>8</v>
      </c>
      <c r="D10" s="110" t="s">
        <v>2603</v>
      </c>
      <c r="E10" s="111">
        <v>45502</v>
      </c>
      <c r="F10" s="110">
        <v>1</v>
      </c>
      <c r="G10" s="111" t="s">
        <v>2137</v>
      </c>
      <c r="H10" s="137" t="s">
        <v>2139</v>
      </c>
      <c r="I10" s="110">
        <v>10004</v>
      </c>
      <c r="J10" s="111">
        <v>39011</v>
      </c>
      <c r="K10" s="140">
        <v>978</v>
      </c>
      <c r="L10" s="111" t="s">
        <v>2604</v>
      </c>
      <c r="M10" s="111" t="s">
        <v>2604</v>
      </c>
      <c r="N10" s="110" t="s">
        <v>2605</v>
      </c>
      <c r="O10" s="110">
        <v>0</v>
      </c>
      <c r="P10" s="111">
        <v>45502</v>
      </c>
      <c r="Q10" s="110" t="s">
        <v>2606</v>
      </c>
    </row>
    <row r="11" spans="2:17" x14ac:dyDescent="0.35">
      <c r="B11" s="129" t="s">
        <v>2098</v>
      </c>
      <c r="C11" s="110">
        <v>9</v>
      </c>
      <c r="D11" s="110" t="s">
        <v>2607</v>
      </c>
      <c r="E11" s="111">
        <v>45502</v>
      </c>
      <c r="F11" s="110">
        <v>1</v>
      </c>
      <c r="G11" s="111" t="s">
        <v>2137</v>
      </c>
      <c r="H11" s="137" t="s">
        <v>2139</v>
      </c>
      <c r="I11" s="110">
        <v>42</v>
      </c>
      <c r="J11" s="111">
        <v>39011</v>
      </c>
      <c r="K11" s="140">
        <v>978</v>
      </c>
      <c r="L11" s="111" t="s">
        <v>2608</v>
      </c>
      <c r="M11" s="111" t="s">
        <v>2608</v>
      </c>
      <c r="N11" s="110" t="s">
        <v>2605</v>
      </c>
      <c r="O11" s="110">
        <v>0</v>
      </c>
      <c r="P11" s="111">
        <v>45502</v>
      </c>
      <c r="Q11" s="110" t="s">
        <v>2609</v>
      </c>
    </row>
    <row r="12" spans="2:17" x14ac:dyDescent="0.35">
      <c r="B12" s="130" t="s">
        <v>2100</v>
      </c>
      <c r="C12" s="110">
        <v>10</v>
      </c>
      <c r="D12" s="110" t="s">
        <v>2610</v>
      </c>
      <c r="E12" s="111">
        <v>45502</v>
      </c>
      <c r="F12" s="110">
        <v>1</v>
      </c>
      <c r="G12" s="111" t="s">
        <v>2137</v>
      </c>
      <c r="H12" s="137" t="s">
        <v>2139</v>
      </c>
      <c r="I12" s="110">
        <v>99989</v>
      </c>
      <c r="J12" s="111">
        <v>45502</v>
      </c>
      <c r="K12" s="111">
        <v>978</v>
      </c>
      <c r="L12" s="111" t="s">
        <v>2604</v>
      </c>
      <c r="M12" s="111">
        <v>4.37574E+17</v>
      </c>
      <c r="N12" s="110" t="s">
        <v>2611</v>
      </c>
      <c r="O12" s="110">
        <v>517952424</v>
      </c>
      <c r="P12" s="111">
        <v>45502</v>
      </c>
      <c r="Q12" s="110" t="s">
        <v>2606</v>
      </c>
    </row>
    <row r="13" spans="2:17" x14ac:dyDescent="0.35">
      <c r="B13" s="130" t="s">
        <v>2102</v>
      </c>
      <c r="C13" s="110">
        <v>11</v>
      </c>
      <c r="D13" s="110" t="s">
        <v>2612</v>
      </c>
      <c r="E13" s="111">
        <v>45502</v>
      </c>
      <c r="F13" s="110">
        <v>1</v>
      </c>
      <c r="G13" s="111" t="s">
        <v>2137</v>
      </c>
      <c r="H13" s="137" t="s">
        <v>2139</v>
      </c>
      <c r="I13" s="110">
        <v>9002691418</v>
      </c>
      <c r="J13" s="111">
        <v>45502</v>
      </c>
      <c r="K13" s="111">
        <v>978</v>
      </c>
      <c r="L13" s="111" t="s">
        <v>2608</v>
      </c>
      <c r="M13" s="111" t="s">
        <v>2613</v>
      </c>
      <c r="N13" s="110" t="s">
        <v>2611</v>
      </c>
      <c r="O13" s="110">
        <v>517952424</v>
      </c>
      <c r="P13" s="111">
        <v>45502</v>
      </c>
      <c r="Q13" s="110" t="s">
        <v>2614</v>
      </c>
    </row>
    <row r="14" spans="2:17" x14ac:dyDescent="0.35">
      <c r="B14" s="129" t="s">
        <v>2104</v>
      </c>
      <c r="C14" s="110">
        <v>12</v>
      </c>
      <c r="D14" s="110" t="s">
        <v>2615</v>
      </c>
      <c r="E14" s="111">
        <v>45502</v>
      </c>
      <c r="F14" s="110">
        <v>1</v>
      </c>
      <c r="G14" s="137" t="s">
        <v>2616</v>
      </c>
      <c r="H14" s="137" t="s">
        <v>2139</v>
      </c>
      <c r="I14" s="110">
        <v>0</v>
      </c>
      <c r="J14" s="110">
        <v>101544</v>
      </c>
      <c r="K14" s="110">
        <v>1458886</v>
      </c>
      <c r="L14" s="110">
        <v>143628</v>
      </c>
      <c r="M14" s="110">
        <v>143628</v>
      </c>
      <c r="N14" s="110">
        <v>818876</v>
      </c>
      <c r="O14" s="110">
        <v>114448</v>
      </c>
      <c r="P14" s="110">
        <v>0</v>
      </c>
      <c r="Q14" s="110">
        <v>0</v>
      </c>
    </row>
    <row r="15" spans="2:17" x14ac:dyDescent="0.35">
      <c r="B15" s="129" t="s">
        <v>2108</v>
      </c>
      <c r="C15" s="110">
        <v>13</v>
      </c>
      <c r="D15" s="110" t="s">
        <v>2617</v>
      </c>
      <c r="E15" s="111">
        <v>45502</v>
      </c>
      <c r="F15" s="110">
        <v>1</v>
      </c>
      <c r="G15" s="137">
        <v>1</v>
      </c>
      <c r="H15" s="137" t="s">
        <v>2139</v>
      </c>
      <c r="I15" s="110" t="s">
        <v>2137</v>
      </c>
      <c r="J15" s="110">
        <v>0</v>
      </c>
      <c r="K15" s="110" t="s">
        <v>2137</v>
      </c>
      <c r="L15" s="110" t="s">
        <v>2137</v>
      </c>
      <c r="M15" s="110" t="s">
        <v>2137</v>
      </c>
      <c r="N15" s="110" t="s">
        <v>2137</v>
      </c>
      <c r="O15" s="110" t="s">
        <v>2137</v>
      </c>
      <c r="P15" s="110" t="s">
        <v>2137</v>
      </c>
      <c r="Q15" s="110" t="s">
        <v>2137</v>
      </c>
    </row>
    <row r="16" spans="2:17" x14ac:dyDescent="0.35">
      <c r="B16" s="129" t="s">
        <v>2171</v>
      </c>
      <c r="C16" s="110">
        <v>14</v>
      </c>
      <c r="D16" s="110" t="s">
        <v>2618</v>
      </c>
      <c r="E16" s="111">
        <v>45502</v>
      </c>
      <c r="F16" s="110">
        <v>1</v>
      </c>
      <c r="G16" s="137">
        <v>1</v>
      </c>
      <c r="H16" s="155" t="s">
        <v>2139</v>
      </c>
      <c r="I16" s="110">
        <v>0</v>
      </c>
      <c r="J16" s="110" t="s">
        <v>2137</v>
      </c>
      <c r="K16" s="110">
        <v>0</v>
      </c>
      <c r="L16" s="110" t="s">
        <v>2137</v>
      </c>
      <c r="M16" s="110" t="s">
        <v>2137</v>
      </c>
      <c r="N16" s="110">
        <v>0</v>
      </c>
      <c r="O16" s="110" t="s">
        <v>2137</v>
      </c>
      <c r="P16" s="110" t="s">
        <v>2137</v>
      </c>
      <c r="Q16" s="110" t="s">
        <v>2137</v>
      </c>
    </row>
    <row r="17" spans="1:17" x14ac:dyDescent="0.35">
      <c r="B17" s="129" t="s">
        <v>2173</v>
      </c>
      <c r="C17" s="110">
        <v>15</v>
      </c>
      <c r="D17" s="110" t="s">
        <v>2619</v>
      </c>
      <c r="E17" s="111">
        <v>45502</v>
      </c>
      <c r="F17" s="110">
        <v>1</v>
      </c>
      <c r="G17" s="137" t="s">
        <v>2620</v>
      </c>
      <c r="H17" s="155" t="s">
        <v>2621</v>
      </c>
      <c r="I17" s="110" t="s">
        <v>2137</v>
      </c>
      <c r="J17" s="110" t="s">
        <v>2137</v>
      </c>
      <c r="K17" s="110" t="s">
        <v>2137</v>
      </c>
      <c r="L17" s="110" t="s">
        <v>2137</v>
      </c>
      <c r="M17" s="110" t="s">
        <v>2137</v>
      </c>
      <c r="N17" s="110" t="s">
        <v>2137</v>
      </c>
      <c r="O17" s="110" t="s">
        <v>2137</v>
      </c>
      <c r="P17" s="110" t="s">
        <v>2137</v>
      </c>
      <c r="Q17" s="110" t="s">
        <v>2137</v>
      </c>
    </row>
    <row r="18" spans="1:17" x14ac:dyDescent="0.35">
      <c r="B18" s="129" t="s">
        <v>2118</v>
      </c>
      <c r="C18" s="110">
        <v>16</v>
      </c>
      <c r="D18" s="110" t="s">
        <v>2619</v>
      </c>
      <c r="E18" s="111">
        <v>45502</v>
      </c>
      <c r="F18" s="110">
        <v>1</v>
      </c>
      <c r="G18" s="137" t="s">
        <v>2620</v>
      </c>
      <c r="H18" s="137" t="s">
        <v>2621</v>
      </c>
      <c r="I18" s="110" t="s">
        <v>2137</v>
      </c>
      <c r="J18" s="110" t="s">
        <v>2137</v>
      </c>
      <c r="K18" s="110" t="s">
        <v>2137</v>
      </c>
      <c r="L18" s="110" t="s">
        <v>2137</v>
      </c>
      <c r="M18" s="110" t="s">
        <v>2137</v>
      </c>
      <c r="N18" s="110" t="s">
        <v>2137</v>
      </c>
      <c r="O18" s="110" t="s">
        <v>2137</v>
      </c>
      <c r="P18" s="110" t="s">
        <v>2137</v>
      </c>
      <c r="Q18" s="110" t="s">
        <v>2137</v>
      </c>
    </row>
    <row r="19" spans="1:17" x14ac:dyDescent="0.35">
      <c r="B19" s="129" t="s">
        <v>2121</v>
      </c>
      <c r="C19" s="110">
        <v>19</v>
      </c>
      <c r="D19" s="110" t="s">
        <v>2622</v>
      </c>
      <c r="E19" s="111">
        <v>45502</v>
      </c>
      <c r="F19" s="110">
        <v>1</v>
      </c>
      <c r="G19" s="137" t="s">
        <v>2139</v>
      </c>
      <c r="H19" s="110" t="s">
        <v>2139</v>
      </c>
      <c r="I19" s="110" t="s">
        <v>2175</v>
      </c>
      <c r="J19" s="110" t="s">
        <v>2175</v>
      </c>
      <c r="K19" s="110" t="s">
        <v>2175</v>
      </c>
      <c r="L19" s="110" t="s">
        <v>2623</v>
      </c>
      <c r="M19" s="110" t="s">
        <v>2623</v>
      </c>
      <c r="N19" s="110" t="s">
        <v>2175</v>
      </c>
      <c r="O19" s="110" t="s">
        <v>2275</v>
      </c>
      <c r="P19" s="110" t="s">
        <v>2175</v>
      </c>
      <c r="Q19" s="110" t="s">
        <v>2176</v>
      </c>
    </row>
    <row r="20" spans="1:17" x14ac:dyDescent="0.35">
      <c r="B20" s="131" t="s">
        <v>2124</v>
      </c>
      <c r="C20" s="110">
        <v>21</v>
      </c>
      <c r="D20" s="110" t="s">
        <v>2622</v>
      </c>
      <c r="E20" s="111">
        <v>45506</v>
      </c>
      <c r="F20" s="110">
        <v>1</v>
      </c>
      <c r="G20" s="110" cm="1">
        <f t="array" ref="G20">SUM(IF(IF(G3:G19="null",1,G3:G19)=1,1,0))/COUNT(IF(G3:G19="null",1,1))</f>
        <v>0.6470588235294118</v>
      </c>
      <c r="H20" s="110"/>
      <c r="I20" s="110"/>
      <c r="J20" s="110"/>
      <c r="K20" s="110"/>
      <c r="L20" s="110"/>
      <c r="M20" s="110"/>
      <c r="N20" s="110"/>
      <c r="O20" s="110"/>
      <c r="P20" s="110"/>
      <c r="Q20" s="110"/>
    </row>
    <row r="22" spans="1:17" x14ac:dyDescent="0.35">
      <c r="B22" s="93" t="s">
        <v>2177</v>
      </c>
    </row>
    <row r="23" spans="1:17" x14ac:dyDescent="0.35">
      <c r="B23" s="106" t="s">
        <v>2127</v>
      </c>
      <c r="C23" s="107" t="s">
        <v>2128</v>
      </c>
      <c r="D23" s="107" t="s">
        <v>2129</v>
      </c>
      <c r="E23" s="107" t="s">
        <v>2130</v>
      </c>
      <c r="F23" s="107" t="s">
        <v>2131</v>
      </c>
      <c r="G23" s="107" t="s">
        <v>2132</v>
      </c>
      <c r="H23" s="107" t="s">
        <v>2133</v>
      </c>
      <c r="I23" s="114" t="str" cm="1">
        <f t="array" ref="I23:Q23">TRANSPOSE(_xlfn.SORTBY(_xlfn._xlws.FILTER(Table2[NOME FÍSICO CAMPO],Table2[NOME FÍSICO TABELA]="entity_financial_information"), _xlfn._xlws.FILTER(Table2[ORDEM], Table2[NOME FÍSICO TABELA]="entity_financial_information"), 1))</f>
        <v>party_id</v>
      </c>
      <c r="J23" s="114" t="str">
        <v>financial_report_date</v>
      </c>
      <c r="K23" s="114" t="str">
        <v>annual_turnover_currency_code</v>
      </c>
      <c r="L23" s="114" t="str">
        <v>annual_turnover_amount</v>
      </c>
      <c r="M23" s="114" t="str">
        <v>share_capital_amount</v>
      </c>
      <c r="N23" s="99" t="str">
        <v>share_capital_currency_code</v>
      </c>
      <c r="O23" s="99" t="str">
        <v>number_employees</v>
      </c>
      <c r="P23" s="99" t="str">
        <v>data_date_part</v>
      </c>
      <c r="Q23" s="100" t="str">
        <v>data_timestamp_part</v>
      </c>
    </row>
    <row r="24" spans="1:17" x14ac:dyDescent="0.35">
      <c r="B24" s="102" t="s">
        <v>2178</v>
      </c>
      <c r="C24" s="103">
        <v>19</v>
      </c>
      <c r="D24" s="104" t="s">
        <v>2179</v>
      </c>
      <c r="E24" s="98" t="s">
        <v>2180</v>
      </c>
      <c r="F24" s="98" t="s">
        <v>749</v>
      </c>
      <c r="G24" s="98" t="s">
        <v>749</v>
      </c>
      <c r="H24" s="98" t="s">
        <v>749</v>
      </c>
      <c r="I24" s="98" t="str" cm="1">
        <f t="array" ref="I24:Q25">TRANSPOSE(_xlfn.SORTBY(_xlfn._xlws.FILTER(IF(Table2[FORMATO] :Table2[COMP_ CAMPO]&lt;&gt;"",Table2[FORMATO]:Table2[COMP_ CAMPO],9999999),Table2[NOME FÍSICO TABELA]="entity_financial_information"), _xlfn._xlws.FILTER(Table2[ORDEM], Table2[NOME FÍSICO TABELA]="entity_financial_information"), 1))</f>
        <v>STRING</v>
      </c>
      <c r="J24" s="98" t="str">
        <v>STRING</v>
      </c>
      <c r="K24" s="98" t="str">
        <v>STRING</v>
      </c>
      <c r="L24" s="98" t="str">
        <v>DECIMAL</v>
      </c>
      <c r="M24" s="98" t="str">
        <v>DECIMAL</v>
      </c>
      <c r="N24" s="98" t="str">
        <v>STRING</v>
      </c>
      <c r="O24" s="98" t="str">
        <v>INT</v>
      </c>
      <c r="P24" s="98" t="str">
        <v>STRING</v>
      </c>
      <c r="Q24" s="105" t="str">
        <v>TIMESTAMP</v>
      </c>
    </row>
    <row r="25" spans="1:17" x14ac:dyDescent="0.35">
      <c r="B25" s="94" t="s">
        <v>2181</v>
      </c>
      <c r="C25" s="95">
        <v>7</v>
      </c>
      <c r="D25" s="96" t="s">
        <v>2179</v>
      </c>
      <c r="E25" s="97" t="s">
        <v>2180</v>
      </c>
      <c r="F25" s="97" t="s">
        <v>749</v>
      </c>
      <c r="G25" s="97" t="s">
        <v>749</v>
      </c>
      <c r="H25" s="97" t="s">
        <v>749</v>
      </c>
      <c r="I25" s="97">
        <v>10</v>
      </c>
      <c r="J25" s="97">
        <v>10</v>
      </c>
      <c r="K25" s="97">
        <v>4</v>
      </c>
      <c r="L25" s="97">
        <v>23</v>
      </c>
      <c r="M25" s="97">
        <v>23</v>
      </c>
      <c r="N25" s="97">
        <v>4</v>
      </c>
      <c r="O25" s="97">
        <v>9999999</v>
      </c>
      <c r="P25" s="97">
        <v>10</v>
      </c>
      <c r="Q25" s="101">
        <v>23</v>
      </c>
    </row>
    <row r="27" spans="1:17" x14ac:dyDescent="0.35">
      <c r="B27" s="109" t="s">
        <v>2182</v>
      </c>
      <c r="H27" s="149"/>
    </row>
    <row r="28" spans="1:17" x14ac:dyDescent="0.35">
      <c r="B28" s="116" t="s">
        <v>2183</v>
      </c>
      <c r="C28" s="117" t="s">
        <v>2184</v>
      </c>
      <c r="D28" s="118" t="s">
        <v>2185</v>
      </c>
      <c r="E28" s="117" t="s">
        <v>2186</v>
      </c>
      <c r="F28" s="118" t="s">
        <v>2187</v>
      </c>
    </row>
    <row r="29" spans="1:17" ht="58" x14ac:dyDescent="0.35">
      <c r="B29" s="124" t="s">
        <v>2400</v>
      </c>
      <c r="C29" s="124" t="s">
        <v>2466</v>
      </c>
      <c r="D29" s="125" t="s">
        <v>2624</v>
      </c>
      <c r="E29" s="125" t="s">
        <v>2625</v>
      </c>
      <c r="F29" s="124" t="s">
        <v>2191</v>
      </c>
    </row>
    <row r="30" spans="1:17" ht="43.5" x14ac:dyDescent="0.35">
      <c r="A30" t="s">
        <v>63</v>
      </c>
      <c r="B30" s="124" t="s">
        <v>2469</v>
      </c>
      <c r="C30" s="124" t="s">
        <v>1219</v>
      </c>
      <c r="D30" s="125" t="s">
        <v>2626</v>
      </c>
      <c r="E30" s="125" t="s">
        <v>2627</v>
      </c>
      <c r="F30" s="124" t="s">
        <v>2191</v>
      </c>
    </row>
    <row r="31" spans="1:17" ht="43.5" x14ac:dyDescent="0.35">
      <c r="B31" s="124" t="s">
        <v>2188</v>
      </c>
      <c r="C31" s="124" t="s">
        <v>1219</v>
      </c>
      <c r="D31" s="125" t="s">
        <v>2626</v>
      </c>
      <c r="E31" s="125" t="s">
        <v>2628</v>
      </c>
      <c r="F31" s="124" t="s">
        <v>2191</v>
      </c>
    </row>
    <row r="32" spans="1:17" ht="101.5" x14ac:dyDescent="0.35">
      <c r="B32" s="124" t="s">
        <v>2188</v>
      </c>
      <c r="C32" s="124" t="s">
        <v>1230</v>
      </c>
      <c r="D32" s="125" t="s">
        <v>2629</v>
      </c>
      <c r="E32" s="125" t="s">
        <v>2630</v>
      </c>
      <c r="F32" s="125" t="s">
        <v>2631</v>
      </c>
    </row>
    <row r="33" spans="2:6" ht="29" x14ac:dyDescent="0.35">
      <c r="B33" s="124" t="s">
        <v>2188</v>
      </c>
      <c r="C33" s="124" t="s">
        <v>1243</v>
      </c>
      <c r="D33" s="125" t="s">
        <v>2632</v>
      </c>
      <c r="E33" s="125" t="s">
        <v>2633</v>
      </c>
      <c r="F33" s="124" t="s">
        <v>2191</v>
      </c>
    </row>
    <row r="34" spans="2:6" ht="29" x14ac:dyDescent="0.35">
      <c r="B34" s="124" t="s">
        <v>2188</v>
      </c>
      <c r="C34" s="124" t="s">
        <v>1254</v>
      </c>
      <c r="D34" s="125" t="s">
        <v>2632</v>
      </c>
      <c r="E34" s="125" t="s">
        <v>2633</v>
      </c>
      <c r="F34" s="124" t="s">
        <v>2191</v>
      </c>
    </row>
    <row r="35" spans="2:6" ht="58" x14ac:dyDescent="0.35">
      <c r="B35" s="124" t="s">
        <v>2188</v>
      </c>
      <c r="C35" s="124" t="s">
        <v>1262</v>
      </c>
      <c r="D35" s="125" t="s">
        <v>2634</v>
      </c>
      <c r="E35" s="125" t="s">
        <v>2635</v>
      </c>
      <c r="F35" s="125" t="s">
        <v>2631</v>
      </c>
    </row>
    <row r="36" spans="2:6" ht="29" x14ac:dyDescent="0.35">
      <c r="B36" s="124" t="s">
        <v>2188</v>
      </c>
      <c r="C36" s="124" t="s">
        <v>1269</v>
      </c>
      <c r="D36" s="125" t="s">
        <v>2636</v>
      </c>
      <c r="E36" s="125" t="s">
        <v>2637</v>
      </c>
      <c r="F36" s="124" t="s">
        <v>2191</v>
      </c>
    </row>
    <row r="37" spans="2:6" ht="58" x14ac:dyDescent="0.35">
      <c r="B37" s="124" t="s">
        <v>2591</v>
      </c>
      <c r="C37" s="124" t="s">
        <v>2466</v>
      </c>
      <c r="D37" s="125" t="s">
        <v>2592</v>
      </c>
      <c r="E37" s="125" t="s">
        <v>2627</v>
      </c>
      <c r="F37" s="124" t="s">
        <v>2191</v>
      </c>
    </row>
    <row r="38" spans="2:6" ht="58" x14ac:dyDescent="0.35">
      <c r="B38" s="124" t="s">
        <v>2593</v>
      </c>
      <c r="C38" s="124" t="s">
        <v>2466</v>
      </c>
      <c r="D38" s="125" t="s">
        <v>2592</v>
      </c>
      <c r="E38" s="125" t="s">
        <v>2627</v>
      </c>
      <c r="F38" s="124" t="s">
        <v>2191</v>
      </c>
    </row>
  </sheetData>
  <pageMargins left="0.7" right="0.7" top="0.75" bottom="0.75" header="0.3" footer="0.3"/>
  <drawing r:id="rId1"/>
  <tableParts count="2">
    <tablePart r:id="rId2"/>
    <tablePart r:id="rId3"/>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7D9D9-AB37-45D4-8D78-CCA3DDAADE9A}">
  <sheetPr>
    <tabColor rgb="FFFFFF00"/>
  </sheetPr>
  <dimension ref="B1:AB47"/>
  <sheetViews>
    <sheetView showGridLines="0" topLeftCell="V6" workbookViewId="0">
      <selection activeCell="S16" sqref="S16"/>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1.453125" bestFit="1" customWidth="1"/>
    <col min="8" max="8" width="17.72656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 min="18" max="18" width="12.81640625" bestFit="1" customWidth="1"/>
    <col min="19" max="19" width="14.26953125" bestFit="1" customWidth="1"/>
    <col min="20" max="20" width="19.26953125" bestFit="1" customWidth="1"/>
    <col min="21" max="21" width="59.54296875" bestFit="1" customWidth="1"/>
    <col min="22" max="22" width="21.26953125" bestFit="1" customWidth="1"/>
    <col min="23" max="23" width="18.81640625" bestFit="1" customWidth="1"/>
    <col min="24" max="24" width="41.81640625" bestFit="1" customWidth="1"/>
    <col min="25" max="25" width="26.26953125" bestFit="1" customWidth="1"/>
    <col min="26" max="26" width="41.54296875" bestFit="1" customWidth="1"/>
    <col min="27" max="27" width="17.453125" bestFit="1" customWidth="1"/>
    <col min="28" max="28" width="26.81640625" bestFit="1" customWidth="1"/>
  </cols>
  <sheetData>
    <row r="1" spans="2:28" ht="30" customHeight="1" x14ac:dyDescent="0.35"/>
    <row r="2" spans="2:28" x14ac:dyDescent="0.35">
      <c r="B2" s="90" t="s">
        <v>2127</v>
      </c>
      <c r="C2" t="s">
        <v>2128</v>
      </c>
      <c r="D2" t="s">
        <v>2129</v>
      </c>
      <c r="E2" t="s">
        <v>2130</v>
      </c>
      <c r="F2" t="s">
        <v>2131</v>
      </c>
      <c r="G2" t="s">
        <v>2132</v>
      </c>
      <c r="H2" t="s">
        <v>2133</v>
      </c>
      <c r="I2" t="s">
        <v>785</v>
      </c>
      <c r="J2" t="s">
        <v>932</v>
      </c>
      <c r="K2" t="s">
        <v>943</v>
      </c>
      <c r="L2" t="s">
        <v>952</v>
      </c>
      <c r="M2" t="s">
        <v>963</v>
      </c>
      <c r="N2" t="s">
        <v>975</v>
      </c>
      <c r="O2" t="s">
        <v>984</v>
      </c>
      <c r="P2" t="s">
        <v>993</v>
      </c>
      <c r="Q2" t="s">
        <v>1001</v>
      </c>
      <c r="R2" t="s">
        <v>1008</v>
      </c>
      <c r="S2" t="s">
        <v>1018</v>
      </c>
      <c r="T2" t="s">
        <v>1027</v>
      </c>
      <c r="U2" t="s">
        <v>1037</v>
      </c>
      <c r="V2" t="s">
        <v>1043</v>
      </c>
      <c r="W2" t="s">
        <v>1053</v>
      </c>
      <c r="X2" t="s">
        <v>1059</v>
      </c>
      <c r="Y2" t="s">
        <v>1066</v>
      </c>
      <c r="Z2" t="s">
        <v>1074</v>
      </c>
      <c r="AA2" t="s">
        <v>765</v>
      </c>
      <c r="AB2" t="s">
        <v>772</v>
      </c>
    </row>
    <row r="3" spans="2:28" x14ac:dyDescent="0.35">
      <c r="B3" s="177" t="s">
        <v>2081</v>
      </c>
      <c r="C3" s="110">
        <v>1</v>
      </c>
      <c r="D3" s="110" t="s">
        <v>2638</v>
      </c>
      <c r="E3" s="111">
        <v>45538</v>
      </c>
      <c r="F3" s="110">
        <v>1</v>
      </c>
      <c r="G3" s="137">
        <v>1</v>
      </c>
      <c r="H3" s="134" t="s">
        <v>2639</v>
      </c>
      <c r="I3" s="110" t="s">
        <v>2137</v>
      </c>
      <c r="J3" s="110" t="s">
        <v>2137</v>
      </c>
      <c r="K3" s="110" t="s">
        <v>2137</v>
      </c>
      <c r="L3" s="110" t="s">
        <v>2137</v>
      </c>
      <c r="M3" s="110" t="s">
        <v>2137</v>
      </c>
      <c r="N3" s="110" t="s">
        <v>2137</v>
      </c>
      <c r="O3" s="184" t="s">
        <v>2137</v>
      </c>
      <c r="P3" s="184" t="s">
        <v>2137</v>
      </c>
      <c r="Q3" s="184" t="s">
        <v>2137</v>
      </c>
      <c r="R3" s="184" t="s">
        <v>2137</v>
      </c>
      <c r="S3" s="110" t="s">
        <v>2137</v>
      </c>
      <c r="T3" s="110" t="s">
        <v>2137</v>
      </c>
      <c r="U3" s="110" t="s">
        <v>2137</v>
      </c>
      <c r="V3" s="110" t="s">
        <v>2137</v>
      </c>
      <c r="W3" s="110" t="s">
        <v>2137</v>
      </c>
      <c r="X3" s="110" t="s">
        <v>2137</v>
      </c>
      <c r="Y3" s="110" t="s">
        <v>2137</v>
      </c>
      <c r="Z3" s="110" t="s">
        <v>2137</v>
      </c>
      <c r="AA3" s="110" t="s">
        <v>2137</v>
      </c>
      <c r="AB3" s="110" t="s">
        <v>2137</v>
      </c>
    </row>
    <row r="4" spans="2:28" x14ac:dyDescent="0.35">
      <c r="B4" s="177" t="s">
        <v>2083</v>
      </c>
      <c r="C4" s="110">
        <v>2</v>
      </c>
      <c r="D4" s="110" t="s">
        <v>2640</v>
      </c>
      <c r="E4" s="111">
        <v>45538</v>
      </c>
      <c r="F4" s="110">
        <v>1</v>
      </c>
      <c r="G4" s="137">
        <v>1</v>
      </c>
      <c r="H4" s="155" t="s">
        <v>2604</v>
      </c>
      <c r="I4" s="110" t="s">
        <v>2137</v>
      </c>
      <c r="J4" s="110" t="s">
        <v>2137</v>
      </c>
      <c r="K4" s="110" t="s">
        <v>2137</v>
      </c>
      <c r="L4" s="110" t="s">
        <v>2137</v>
      </c>
      <c r="M4" s="110" t="s">
        <v>2137</v>
      </c>
      <c r="N4" s="110" t="s">
        <v>2137</v>
      </c>
      <c r="O4" s="184" t="s">
        <v>2137</v>
      </c>
      <c r="P4" s="184" t="s">
        <v>2137</v>
      </c>
      <c r="Q4" s="184" t="s">
        <v>2137</v>
      </c>
      <c r="R4" s="184" t="s">
        <v>2137</v>
      </c>
      <c r="S4" s="110" t="s">
        <v>2137</v>
      </c>
      <c r="T4" s="110" t="s">
        <v>2137</v>
      </c>
      <c r="U4" s="110" t="s">
        <v>2137</v>
      </c>
      <c r="V4" s="110" t="s">
        <v>2137</v>
      </c>
      <c r="W4" s="110" t="s">
        <v>2137</v>
      </c>
      <c r="X4" s="110" t="s">
        <v>2137</v>
      </c>
      <c r="Y4" s="110" t="s">
        <v>2137</v>
      </c>
      <c r="Z4" s="110" t="s">
        <v>2137</v>
      </c>
      <c r="AA4" s="110" t="s">
        <v>2137</v>
      </c>
      <c r="AB4" s="110" t="s">
        <v>2137</v>
      </c>
    </row>
    <row r="5" spans="2:28" x14ac:dyDescent="0.35">
      <c r="B5" s="177" t="s">
        <v>2085</v>
      </c>
      <c r="C5" s="110">
        <v>3</v>
      </c>
      <c r="D5" s="110" t="s">
        <v>2641</v>
      </c>
      <c r="E5" s="111">
        <v>45538</v>
      </c>
      <c r="F5" s="110">
        <v>1</v>
      </c>
      <c r="G5" s="137">
        <v>1</v>
      </c>
      <c r="H5" s="155" t="s">
        <v>2604</v>
      </c>
      <c r="I5" s="110">
        <v>0</v>
      </c>
      <c r="J5" s="110">
        <v>0</v>
      </c>
      <c r="K5" s="110">
        <v>0</v>
      </c>
      <c r="L5" s="110">
        <v>0</v>
      </c>
      <c r="M5" s="110" t="s">
        <v>2137</v>
      </c>
      <c r="N5" s="110" t="s">
        <v>2137</v>
      </c>
      <c r="O5" s="184" t="s">
        <v>2137</v>
      </c>
      <c r="P5" s="184" t="s">
        <v>2137</v>
      </c>
      <c r="Q5" s="184" t="s">
        <v>2137</v>
      </c>
      <c r="R5" s="184" t="s">
        <v>2137</v>
      </c>
      <c r="S5" s="110" t="s">
        <v>2137</v>
      </c>
      <c r="T5" s="110" t="s">
        <v>2137</v>
      </c>
      <c r="U5" s="110" t="s">
        <v>2137</v>
      </c>
      <c r="V5" s="110" t="s">
        <v>2137</v>
      </c>
      <c r="W5" s="110" t="s">
        <v>2137</v>
      </c>
      <c r="X5" s="110" t="s">
        <v>2137</v>
      </c>
      <c r="Y5" s="110" t="s">
        <v>2137</v>
      </c>
      <c r="Z5" s="110" t="s">
        <v>2137</v>
      </c>
      <c r="AA5" s="110">
        <v>0</v>
      </c>
      <c r="AB5" s="110" t="s">
        <v>2137</v>
      </c>
    </row>
    <row r="6" spans="2:28" x14ac:dyDescent="0.35">
      <c r="B6" s="178" t="s">
        <v>2087</v>
      </c>
      <c r="C6" s="110">
        <v>4</v>
      </c>
      <c r="D6" s="110" t="s">
        <v>2141</v>
      </c>
      <c r="E6" s="111" t="s">
        <v>2137</v>
      </c>
      <c r="F6" s="110">
        <v>1</v>
      </c>
      <c r="G6" s="111" t="s">
        <v>2137</v>
      </c>
      <c r="H6" s="137" t="s">
        <v>2137</v>
      </c>
      <c r="I6" s="110" t="s">
        <v>2137</v>
      </c>
      <c r="J6" s="110" t="s">
        <v>2137</v>
      </c>
      <c r="K6" s="110" t="s">
        <v>2137</v>
      </c>
      <c r="L6" s="110" t="s">
        <v>2137</v>
      </c>
      <c r="M6" s="110" t="s">
        <v>2137</v>
      </c>
      <c r="N6" s="110" t="s">
        <v>2137</v>
      </c>
      <c r="O6" s="184" t="s">
        <v>2137</v>
      </c>
      <c r="P6" s="184" t="s">
        <v>2137</v>
      </c>
      <c r="Q6" s="184" t="s">
        <v>2137</v>
      </c>
      <c r="R6" s="184" t="s">
        <v>2137</v>
      </c>
      <c r="S6" s="110" t="s">
        <v>2137</v>
      </c>
      <c r="T6" s="110" t="s">
        <v>2137</v>
      </c>
      <c r="U6" s="110" t="s">
        <v>2137</v>
      </c>
      <c r="V6" s="110" t="s">
        <v>2137</v>
      </c>
      <c r="W6" s="110" t="s">
        <v>2137</v>
      </c>
      <c r="X6" s="110" t="s">
        <v>2137</v>
      </c>
      <c r="Y6" s="110" t="s">
        <v>2137</v>
      </c>
      <c r="Z6" s="110" t="s">
        <v>2137</v>
      </c>
      <c r="AA6" s="110" t="s">
        <v>2137</v>
      </c>
      <c r="AB6" s="110" t="s">
        <v>2137</v>
      </c>
    </row>
    <row r="7" spans="2:28" x14ac:dyDescent="0.35">
      <c r="B7" s="178" t="s">
        <v>2089</v>
      </c>
      <c r="C7" s="110">
        <v>5</v>
      </c>
      <c r="D7" s="110" t="s">
        <v>2141</v>
      </c>
      <c r="E7" s="111" t="s">
        <v>2137</v>
      </c>
      <c r="F7" s="110">
        <v>1</v>
      </c>
      <c r="G7" s="111" t="s">
        <v>2137</v>
      </c>
      <c r="H7" s="137" t="s">
        <v>2137</v>
      </c>
      <c r="I7" s="110" t="s">
        <v>2137</v>
      </c>
      <c r="J7" s="110" t="s">
        <v>2137</v>
      </c>
      <c r="K7" s="110" t="s">
        <v>2137</v>
      </c>
      <c r="L7" s="110" t="s">
        <v>2137</v>
      </c>
      <c r="M7" s="110" t="s">
        <v>2137</v>
      </c>
      <c r="N7" s="110" t="s">
        <v>2137</v>
      </c>
      <c r="O7" s="184" t="s">
        <v>2137</v>
      </c>
      <c r="P7" s="184" t="s">
        <v>2137</v>
      </c>
      <c r="Q7" s="184" t="s">
        <v>2137</v>
      </c>
      <c r="R7" s="184" t="s">
        <v>2137</v>
      </c>
      <c r="S7" s="110" t="s">
        <v>2137</v>
      </c>
      <c r="T7" s="110" t="s">
        <v>2137</v>
      </c>
      <c r="U7" s="110" t="s">
        <v>2137</v>
      </c>
      <c r="V7" s="110" t="s">
        <v>2137</v>
      </c>
      <c r="W7" s="110" t="s">
        <v>2137</v>
      </c>
      <c r="X7" s="110" t="s">
        <v>2137</v>
      </c>
      <c r="Y7" s="110" t="s">
        <v>2137</v>
      </c>
      <c r="Z7" s="110" t="s">
        <v>2137</v>
      </c>
      <c r="AA7" s="110" t="s">
        <v>2137</v>
      </c>
      <c r="AB7" s="110" t="s">
        <v>2137</v>
      </c>
    </row>
    <row r="8" spans="2:28" x14ac:dyDescent="0.35">
      <c r="B8" s="178" t="s">
        <v>2090</v>
      </c>
      <c r="C8" s="110">
        <v>6</v>
      </c>
      <c r="D8" s="110" t="s">
        <v>2642</v>
      </c>
      <c r="E8" s="111">
        <v>45538</v>
      </c>
      <c r="F8" s="110">
        <v>1</v>
      </c>
      <c r="G8" s="137" cm="1">
        <f t="array" ref="G8">SUMPRODUCT(--(I8:AB8&gt;0))/COUNTA(I8:AB8)</f>
        <v>0.8</v>
      </c>
      <c r="H8" s="137" t="s">
        <v>2604</v>
      </c>
      <c r="I8" s="110">
        <v>1</v>
      </c>
      <c r="J8" s="110">
        <v>1</v>
      </c>
      <c r="K8" s="110">
        <v>10</v>
      </c>
      <c r="L8" s="110">
        <v>2</v>
      </c>
      <c r="M8" s="110">
        <v>3</v>
      </c>
      <c r="N8" s="110">
        <v>0</v>
      </c>
      <c r="O8" s="184">
        <v>1</v>
      </c>
      <c r="P8" s="184">
        <v>1</v>
      </c>
      <c r="Q8" s="184">
        <v>1</v>
      </c>
      <c r="R8" s="184">
        <v>1</v>
      </c>
      <c r="S8" s="110">
        <v>1</v>
      </c>
      <c r="T8" s="110">
        <v>6</v>
      </c>
      <c r="U8" s="110">
        <v>9</v>
      </c>
      <c r="V8" s="110">
        <v>0</v>
      </c>
      <c r="W8" s="110">
        <v>0</v>
      </c>
      <c r="X8" s="110">
        <v>0</v>
      </c>
      <c r="Y8" s="110">
        <v>4</v>
      </c>
      <c r="Z8" s="110">
        <v>15</v>
      </c>
      <c r="AA8" s="110">
        <v>10</v>
      </c>
      <c r="AB8" s="110">
        <v>23</v>
      </c>
    </row>
    <row r="9" spans="2:28" x14ac:dyDescent="0.35">
      <c r="B9" s="177" t="s">
        <v>2093</v>
      </c>
      <c r="C9" s="110">
        <v>7</v>
      </c>
      <c r="D9" s="110" t="s">
        <v>2643</v>
      </c>
      <c r="E9" s="111">
        <v>45538</v>
      </c>
      <c r="F9" s="110">
        <v>1</v>
      </c>
      <c r="G9" s="144" cm="1">
        <f t="array" ref="G9">SUMPRODUCT(--(I9:AB9&lt;=I25:AB25))/COUNTA(I25:AB25)</f>
        <v>1</v>
      </c>
      <c r="H9" s="137" t="s">
        <v>2604</v>
      </c>
      <c r="I9" s="110">
        <v>10</v>
      </c>
      <c r="J9" s="110">
        <v>2</v>
      </c>
      <c r="K9" s="110">
        <v>10</v>
      </c>
      <c r="L9" s="110">
        <v>2</v>
      </c>
      <c r="M9" s="110">
        <v>3</v>
      </c>
      <c r="N9" s="110">
        <v>30</v>
      </c>
      <c r="O9" s="184">
        <v>13</v>
      </c>
      <c r="P9" s="184">
        <v>17</v>
      </c>
      <c r="Q9" s="184">
        <v>17</v>
      </c>
      <c r="R9" s="184">
        <v>9</v>
      </c>
      <c r="S9" s="110">
        <v>8</v>
      </c>
      <c r="T9" s="110">
        <v>6</v>
      </c>
      <c r="U9" s="110">
        <v>100</v>
      </c>
      <c r="V9" s="110">
        <v>10</v>
      </c>
      <c r="W9" s="110">
        <v>5</v>
      </c>
      <c r="X9" s="110">
        <v>50</v>
      </c>
      <c r="Y9" s="110">
        <v>10</v>
      </c>
      <c r="Z9" s="110">
        <v>221</v>
      </c>
      <c r="AA9" s="110">
        <v>10</v>
      </c>
      <c r="AB9" s="110">
        <v>23</v>
      </c>
    </row>
    <row r="10" spans="2:28" x14ac:dyDescent="0.35">
      <c r="B10" s="177" t="s">
        <v>2096</v>
      </c>
      <c r="C10" s="110">
        <v>8</v>
      </c>
      <c r="D10" s="110" t="s">
        <v>2644</v>
      </c>
      <c r="E10" s="111">
        <v>45538</v>
      </c>
      <c r="F10" s="110">
        <v>1</v>
      </c>
      <c r="G10" s="111" t="s">
        <v>2137</v>
      </c>
      <c r="H10" s="137" t="s">
        <v>2604</v>
      </c>
      <c r="I10" s="110">
        <v>100001</v>
      </c>
      <c r="J10" s="110">
        <v>1</v>
      </c>
      <c r="K10" s="150" t="s">
        <v>2151</v>
      </c>
      <c r="L10" s="110">
        <v>1</v>
      </c>
      <c r="M10" s="110">
        <v>4</v>
      </c>
      <c r="N10" s="110"/>
      <c r="O10" s="184" t="s">
        <v>984</v>
      </c>
      <c r="P10" s="185" t="s">
        <v>993</v>
      </c>
      <c r="Q10" s="184" t="s">
        <v>1001</v>
      </c>
      <c r="R10" s="184" t="s">
        <v>1008</v>
      </c>
      <c r="S10" s="110" t="s">
        <v>2141</v>
      </c>
      <c r="T10" s="110" t="s">
        <v>2645</v>
      </c>
      <c r="U10" s="110"/>
      <c r="V10" s="110"/>
      <c r="W10" s="110"/>
      <c r="X10" s="110"/>
      <c r="Y10" s="110"/>
      <c r="Z10" s="110"/>
      <c r="AA10" s="111"/>
      <c r="AB10" s="110"/>
    </row>
    <row r="11" spans="2:28" x14ac:dyDescent="0.35">
      <c r="B11" s="177" t="s">
        <v>2098</v>
      </c>
      <c r="C11" s="110">
        <v>9</v>
      </c>
      <c r="D11" s="110" t="s">
        <v>2646</v>
      </c>
      <c r="E11" s="111">
        <v>45538</v>
      </c>
      <c r="F11" s="110">
        <v>1</v>
      </c>
      <c r="G11" s="111" t="s">
        <v>2137</v>
      </c>
      <c r="H11" s="137" t="s">
        <v>2604</v>
      </c>
      <c r="I11" s="110">
        <v>2</v>
      </c>
      <c r="J11" s="110">
        <v>1</v>
      </c>
      <c r="K11" s="150" t="s">
        <v>2151</v>
      </c>
      <c r="L11" s="110">
        <v>1</v>
      </c>
      <c r="M11" s="110">
        <v>4</v>
      </c>
      <c r="N11" s="110"/>
      <c r="O11" s="184" t="s">
        <v>984</v>
      </c>
      <c r="P11" s="185" t="s">
        <v>993</v>
      </c>
      <c r="Q11" s="184" t="s">
        <v>1001</v>
      </c>
      <c r="R11" s="184" t="s">
        <v>1008</v>
      </c>
      <c r="S11" s="110" t="s">
        <v>2141</v>
      </c>
      <c r="T11" s="110" t="s">
        <v>2645</v>
      </c>
      <c r="U11" s="110"/>
      <c r="V11" s="110" t="s">
        <v>2647</v>
      </c>
      <c r="W11" s="110" t="s">
        <v>2648</v>
      </c>
      <c r="X11" s="110" t="s">
        <v>2649</v>
      </c>
      <c r="Y11" s="110" t="e">
        <v>#N/A</v>
      </c>
      <c r="Z11" s="110" t="s">
        <v>2650</v>
      </c>
      <c r="AA11" s="111">
        <v>45538</v>
      </c>
      <c r="AB11" s="110" t="s">
        <v>2651</v>
      </c>
    </row>
    <row r="12" spans="2:28" x14ac:dyDescent="0.35">
      <c r="B12" s="178" t="s">
        <v>2100</v>
      </c>
      <c r="C12" s="110">
        <v>10</v>
      </c>
      <c r="D12" s="110" t="s">
        <v>2652</v>
      </c>
      <c r="E12" s="111">
        <v>45538</v>
      </c>
      <c r="F12" s="110">
        <v>1</v>
      </c>
      <c r="G12" s="111" t="s">
        <v>2137</v>
      </c>
      <c r="H12" s="137" t="s">
        <v>2604</v>
      </c>
      <c r="I12" s="110">
        <v>99998</v>
      </c>
      <c r="J12" s="110">
        <v>39</v>
      </c>
      <c r="K12" s="111">
        <v>401768</v>
      </c>
      <c r="L12" s="110">
        <v>7</v>
      </c>
      <c r="M12" s="110">
        <v>954</v>
      </c>
      <c r="N12" s="110" t="s">
        <v>2653</v>
      </c>
      <c r="O12" s="184" t="s">
        <v>984</v>
      </c>
      <c r="P12" s="185" t="s">
        <v>993</v>
      </c>
      <c r="Q12" s="184" t="s">
        <v>1001</v>
      </c>
      <c r="R12" s="184" t="s">
        <v>1008</v>
      </c>
      <c r="S12" s="110" t="s">
        <v>2654</v>
      </c>
      <c r="T12" s="110" t="s">
        <v>2655</v>
      </c>
      <c r="U12" s="110" t="s">
        <v>2656</v>
      </c>
      <c r="V12" s="110" t="s">
        <v>2657</v>
      </c>
      <c r="W12" s="110" t="s">
        <v>2658</v>
      </c>
      <c r="X12" s="110" t="s">
        <v>2659</v>
      </c>
      <c r="Y12" s="110" t="s">
        <v>2660</v>
      </c>
      <c r="Z12" s="110" t="s">
        <v>2661</v>
      </c>
      <c r="AA12" s="111">
        <v>45538</v>
      </c>
      <c r="AB12" s="110" t="s">
        <v>2662</v>
      </c>
    </row>
    <row r="13" spans="2:28" x14ac:dyDescent="0.35">
      <c r="B13" s="177" t="s">
        <v>2102</v>
      </c>
      <c r="C13" s="110">
        <v>11</v>
      </c>
      <c r="D13" s="110" t="s">
        <v>2663</v>
      </c>
      <c r="E13" s="111">
        <v>45538</v>
      </c>
      <c r="F13" s="110">
        <v>1</v>
      </c>
      <c r="G13" s="111" t="s">
        <v>2137</v>
      </c>
      <c r="H13" s="137" t="s">
        <v>2604</v>
      </c>
      <c r="I13" s="110">
        <v>9961000437</v>
      </c>
      <c r="J13" s="110">
        <v>39</v>
      </c>
      <c r="K13" s="111">
        <v>401768</v>
      </c>
      <c r="L13" s="110">
        <v>7</v>
      </c>
      <c r="M13" s="110">
        <v>954</v>
      </c>
      <c r="N13" s="110" t="s">
        <v>2653</v>
      </c>
      <c r="O13" s="184" t="s">
        <v>984</v>
      </c>
      <c r="P13" s="185" t="s">
        <v>993</v>
      </c>
      <c r="Q13" s="184" t="s">
        <v>1001</v>
      </c>
      <c r="R13" s="184" t="s">
        <v>1008</v>
      </c>
      <c r="S13" s="110" t="s">
        <v>2654</v>
      </c>
      <c r="T13" s="110" t="s">
        <v>2655</v>
      </c>
      <c r="U13" s="110" t="s">
        <v>2656</v>
      </c>
      <c r="V13" s="110" t="s">
        <v>2657</v>
      </c>
      <c r="W13" s="110" t="s">
        <v>2658</v>
      </c>
      <c r="X13" s="110" t="s">
        <v>2659</v>
      </c>
      <c r="Y13" s="110" t="s">
        <v>2660</v>
      </c>
      <c r="Z13" s="110" t="s">
        <v>2661</v>
      </c>
      <c r="AA13" s="111">
        <v>45538</v>
      </c>
      <c r="AB13" s="110" t="s">
        <v>2664</v>
      </c>
    </row>
    <row r="14" spans="2:28" x14ac:dyDescent="0.35">
      <c r="B14" s="177" t="s">
        <v>2104</v>
      </c>
      <c r="C14" s="110">
        <v>12</v>
      </c>
      <c r="D14" s="110" t="s">
        <v>2665</v>
      </c>
      <c r="E14" s="111">
        <v>45538</v>
      </c>
      <c r="F14" s="110">
        <v>1</v>
      </c>
      <c r="G14" s="137" t="s">
        <v>2666</v>
      </c>
      <c r="H14" s="137" t="s">
        <v>2604</v>
      </c>
      <c r="I14" s="110">
        <v>0</v>
      </c>
      <c r="J14" s="110">
        <v>0</v>
      </c>
      <c r="K14" s="110">
        <v>0</v>
      </c>
      <c r="L14" s="110">
        <v>0</v>
      </c>
      <c r="M14" s="110">
        <v>0</v>
      </c>
      <c r="N14" s="110">
        <v>226909</v>
      </c>
      <c r="O14" s="184">
        <v>0</v>
      </c>
      <c r="P14" s="184">
        <v>0</v>
      </c>
      <c r="Q14" s="184">
        <v>0</v>
      </c>
      <c r="R14" s="184">
        <v>0</v>
      </c>
      <c r="S14" s="110">
        <v>226909</v>
      </c>
      <c r="T14" s="110">
        <v>231753</v>
      </c>
      <c r="U14" s="110">
        <v>231753</v>
      </c>
      <c r="V14" s="110">
        <v>226909</v>
      </c>
      <c r="W14" s="110">
        <v>231753</v>
      </c>
      <c r="X14" s="110">
        <v>231753</v>
      </c>
      <c r="Y14" s="110">
        <v>0</v>
      </c>
      <c r="Z14" s="110">
        <v>0</v>
      </c>
      <c r="AA14" s="110">
        <v>0</v>
      </c>
      <c r="AB14" s="110">
        <v>0</v>
      </c>
    </row>
    <row r="15" spans="2:28" x14ac:dyDescent="0.35">
      <c r="B15" s="177" t="s">
        <v>2106</v>
      </c>
      <c r="C15" s="110">
        <v>13</v>
      </c>
      <c r="D15" s="110" t="s">
        <v>2667</v>
      </c>
      <c r="E15" s="111">
        <v>45538</v>
      </c>
      <c r="F15" s="110">
        <v>1</v>
      </c>
      <c r="G15" s="137">
        <v>1</v>
      </c>
      <c r="H15" s="137" t="s">
        <v>2604</v>
      </c>
      <c r="I15" s="110" t="s">
        <v>2137</v>
      </c>
      <c r="J15" s="110" t="s">
        <v>2137</v>
      </c>
      <c r="K15" s="110">
        <v>0</v>
      </c>
      <c r="L15" s="110" t="s">
        <v>2137</v>
      </c>
      <c r="M15" s="110" t="s">
        <v>2137</v>
      </c>
      <c r="N15" s="110" t="s">
        <v>2137</v>
      </c>
      <c r="O15" s="184" t="s">
        <v>2137</v>
      </c>
      <c r="P15" s="184" t="s">
        <v>2137</v>
      </c>
      <c r="Q15" s="184" t="s">
        <v>2137</v>
      </c>
      <c r="R15" s="184" t="s">
        <v>2137</v>
      </c>
      <c r="S15" s="110" t="s">
        <v>2137</v>
      </c>
      <c r="T15" s="110" t="s">
        <v>2137</v>
      </c>
      <c r="U15" s="110" t="s">
        <v>2137</v>
      </c>
      <c r="V15" s="110" t="s">
        <v>2137</v>
      </c>
      <c r="W15" s="110" t="s">
        <v>2137</v>
      </c>
      <c r="X15" s="110" t="s">
        <v>2137</v>
      </c>
      <c r="Y15" s="110" t="s">
        <v>2137</v>
      </c>
      <c r="Z15" s="110" t="s">
        <v>2137</v>
      </c>
      <c r="AA15" s="110" t="s">
        <v>2137</v>
      </c>
      <c r="AB15" s="110" t="s">
        <v>2137</v>
      </c>
    </row>
    <row r="16" spans="2:28" x14ac:dyDescent="0.35">
      <c r="B16" s="177" t="s">
        <v>2108</v>
      </c>
      <c r="C16" s="110">
        <v>14</v>
      </c>
      <c r="D16" s="110" t="s">
        <v>2668</v>
      </c>
      <c r="E16" s="111">
        <v>45538</v>
      </c>
      <c r="F16" s="110">
        <v>1</v>
      </c>
      <c r="G16" s="137" t="s">
        <v>2669</v>
      </c>
      <c r="H16" s="155" t="s">
        <v>2604</v>
      </c>
      <c r="I16" s="110">
        <v>0</v>
      </c>
      <c r="J16" s="110" t="s">
        <v>2137</v>
      </c>
      <c r="K16" s="110" t="s">
        <v>2137</v>
      </c>
      <c r="L16" s="110">
        <v>0</v>
      </c>
      <c r="M16" s="110">
        <v>0</v>
      </c>
      <c r="N16" s="110">
        <v>182511</v>
      </c>
      <c r="O16" s="184">
        <v>0</v>
      </c>
      <c r="P16" s="184">
        <v>0</v>
      </c>
      <c r="Q16" s="184">
        <v>0</v>
      </c>
      <c r="R16" s="184">
        <v>0</v>
      </c>
      <c r="S16" s="110">
        <v>0</v>
      </c>
      <c r="T16" s="110">
        <v>431053</v>
      </c>
      <c r="U16" s="110">
        <v>604</v>
      </c>
      <c r="V16" s="110">
        <v>4043368</v>
      </c>
      <c r="W16" s="110">
        <v>910757</v>
      </c>
      <c r="X16" s="110">
        <v>2125143</v>
      </c>
      <c r="Y16" s="110">
        <v>0</v>
      </c>
      <c r="Z16" s="110">
        <v>32</v>
      </c>
      <c r="AA16" s="110" t="s">
        <v>2137</v>
      </c>
      <c r="AB16" s="110" t="s">
        <v>2137</v>
      </c>
    </row>
    <row r="17" spans="2:28" x14ac:dyDescent="0.35">
      <c r="B17" s="177" t="s">
        <v>2110</v>
      </c>
      <c r="C17" s="110">
        <v>15</v>
      </c>
      <c r="D17" s="110" t="s">
        <v>2670</v>
      </c>
      <c r="E17" s="111">
        <v>45538</v>
      </c>
      <c r="F17" s="110">
        <v>1</v>
      </c>
      <c r="G17" s="137">
        <v>1</v>
      </c>
      <c r="H17" s="155" t="s">
        <v>2604</v>
      </c>
      <c r="I17" s="110" t="s">
        <v>2137</v>
      </c>
      <c r="J17" s="110" t="s">
        <v>2137</v>
      </c>
      <c r="K17" s="110" t="s">
        <v>2137</v>
      </c>
      <c r="L17" s="110" t="s">
        <v>2137</v>
      </c>
      <c r="M17" s="110" t="s">
        <v>2137</v>
      </c>
      <c r="N17" s="110" t="s">
        <v>2137</v>
      </c>
      <c r="O17" s="184" t="s">
        <v>2137</v>
      </c>
      <c r="P17" s="184" t="s">
        <v>2137</v>
      </c>
      <c r="Q17" s="184" t="s">
        <v>2137</v>
      </c>
      <c r="R17" s="184" t="s">
        <v>2137</v>
      </c>
      <c r="S17" s="110" t="s">
        <v>2137</v>
      </c>
      <c r="T17" s="110" t="s">
        <v>2137</v>
      </c>
      <c r="U17" s="110" t="s">
        <v>2137</v>
      </c>
      <c r="V17" s="110" t="s">
        <v>2137</v>
      </c>
      <c r="W17" s="110" t="s">
        <v>2137</v>
      </c>
      <c r="X17" s="110" t="s">
        <v>2137</v>
      </c>
      <c r="Y17" s="110" t="s">
        <v>2137</v>
      </c>
      <c r="Z17" s="110" t="s">
        <v>2137</v>
      </c>
      <c r="AA17" s="110" t="s">
        <v>2137</v>
      </c>
      <c r="AB17" s="110" t="s">
        <v>2137</v>
      </c>
    </row>
    <row r="18" spans="2:28" x14ac:dyDescent="0.35">
      <c r="B18" s="177" t="s">
        <v>2112</v>
      </c>
      <c r="C18" s="110">
        <v>16</v>
      </c>
      <c r="D18" s="110" t="s">
        <v>2670</v>
      </c>
      <c r="E18" s="111">
        <v>45538</v>
      </c>
      <c r="F18" s="110">
        <v>1</v>
      </c>
      <c r="G18" s="137">
        <v>1</v>
      </c>
      <c r="H18" s="137" t="s">
        <v>2604</v>
      </c>
      <c r="I18" s="110" t="s">
        <v>2137</v>
      </c>
      <c r="J18" s="110" t="s">
        <v>2137</v>
      </c>
      <c r="K18" s="110" t="s">
        <v>2137</v>
      </c>
      <c r="L18" s="110" t="s">
        <v>2137</v>
      </c>
      <c r="M18" s="110" t="s">
        <v>2137</v>
      </c>
      <c r="N18" s="110" t="s">
        <v>2137</v>
      </c>
      <c r="O18" s="184" t="s">
        <v>2137</v>
      </c>
      <c r="P18" s="184" t="s">
        <v>2137</v>
      </c>
      <c r="Q18" s="184" t="s">
        <v>2137</v>
      </c>
      <c r="R18" s="184" t="s">
        <v>2137</v>
      </c>
      <c r="S18" s="110" t="s">
        <v>2137</v>
      </c>
      <c r="T18" s="110" t="s">
        <v>2137</v>
      </c>
      <c r="U18" s="110" t="s">
        <v>2137</v>
      </c>
      <c r="V18" s="110" t="s">
        <v>2137</v>
      </c>
      <c r="W18" s="110" t="s">
        <v>2137</v>
      </c>
      <c r="X18" s="110" t="s">
        <v>2137</v>
      </c>
      <c r="Y18" s="110" t="s">
        <v>2137</v>
      </c>
      <c r="Z18" s="110" t="s">
        <v>2137</v>
      </c>
      <c r="AA18" s="110" t="s">
        <v>2137</v>
      </c>
      <c r="AB18" s="110" t="s">
        <v>2137</v>
      </c>
    </row>
    <row r="19" spans="2:28" x14ac:dyDescent="0.35">
      <c r="B19" s="177" t="s">
        <v>2118</v>
      </c>
      <c r="C19" s="110">
        <v>19</v>
      </c>
      <c r="D19" s="110" t="s">
        <v>2671</v>
      </c>
      <c r="E19" s="111">
        <v>45538</v>
      </c>
      <c r="F19" s="110">
        <v>1</v>
      </c>
      <c r="G19" s="137" cm="1">
        <f t="array" ref="G19">SUMPRODUCT(--(ISNUMBER((SEARCH(I25:AB25,I19:AB19)))))/COUNTA(I19:AB19)</f>
        <v>1</v>
      </c>
      <c r="H19" s="110" t="s">
        <v>2604</v>
      </c>
      <c r="I19" s="110" t="s">
        <v>2175</v>
      </c>
      <c r="J19" s="110" t="s">
        <v>2672</v>
      </c>
      <c r="K19" s="110" t="s">
        <v>2175</v>
      </c>
      <c r="L19" s="110" t="s">
        <v>2175</v>
      </c>
      <c r="M19" s="110" t="s">
        <v>2175</v>
      </c>
      <c r="N19" s="110" t="s">
        <v>2175</v>
      </c>
      <c r="O19" s="184" t="s">
        <v>2175</v>
      </c>
      <c r="P19" s="184" t="s">
        <v>2175</v>
      </c>
      <c r="Q19" s="184" t="s">
        <v>2175</v>
      </c>
      <c r="R19" s="184" t="s">
        <v>2175</v>
      </c>
      <c r="S19" s="110" t="s">
        <v>2175</v>
      </c>
      <c r="T19" s="110" t="s">
        <v>2175</v>
      </c>
      <c r="U19" s="110" t="s">
        <v>2175</v>
      </c>
      <c r="V19" s="110" t="s">
        <v>2175</v>
      </c>
      <c r="W19" s="110" t="s">
        <v>2175</v>
      </c>
      <c r="X19" s="110" t="s">
        <v>2175</v>
      </c>
      <c r="Y19" s="110" t="s">
        <v>2175</v>
      </c>
      <c r="Z19" s="110" t="s">
        <v>2175</v>
      </c>
      <c r="AA19" s="110" t="s">
        <v>2175</v>
      </c>
      <c r="AB19" s="110" t="s">
        <v>2176</v>
      </c>
    </row>
    <row r="20" spans="2:28" x14ac:dyDescent="0.35">
      <c r="B20" s="177" t="s">
        <v>2121</v>
      </c>
      <c r="C20" s="110">
        <v>20</v>
      </c>
      <c r="D20" s="110" t="s">
        <v>2673</v>
      </c>
      <c r="E20" s="111">
        <v>45538</v>
      </c>
      <c r="F20" s="110">
        <v>1</v>
      </c>
      <c r="G20" s="137" cm="1">
        <f t="array" ref="G20">SUM(IF(I2:AB2 = I24:AB24, 1, 0))/ COUNTA(I2:AB2)</f>
        <v>1</v>
      </c>
      <c r="H20" s="110"/>
      <c r="I20" s="110"/>
      <c r="J20" s="110"/>
      <c r="K20" s="110"/>
      <c r="L20" s="110"/>
      <c r="M20" s="110"/>
      <c r="N20" s="110"/>
      <c r="O20" s="184"/>
      <c r="P20" s="184"/>
      <c r="Q20" s="184"/>
      <c r="R20" s="184"/>
      <c r="S20" s="110"/>
      <c r="T20" s="110"/>
      <c r="U20" s="110"/>
      <c r="V20" s="110"/>
      <c r="W20" s="110"/>
      <c r="X20" s="110"/>
      <c r="Y20" s="110"/>
      <c r="Z20" s="110"/>
      <c r="AA20" s="110"/>
      <c r="AB20" s="110"/>
    </row>
    <row r="21" spans="2:28" x14ac:dyDescent="0.35">
      <c r="B21" s="179" t="s">
        <v>2124</v>
      </c>
      <c r="C21" s="110">
        <v>21</v>
      </c>
      <c r="D21" s="110" t="s">
        <v>2673</v>
      </c>
      <c r="E21" s="111">
        <v>45538</v>
      </c>
      <c r="F21" s="110">
        <v>1</v>
      </c>
      <c r="G21" s="110" cm="1">
        <f t="array" ref="G21">SUM(IF(IF(G3:G19="null",1,G3:G19)=1,1,0))/COUNT(IF(G3:G19="null",1,1))</f>
        <v>0.82352941176470584</v>
      </c>
      <c r="H21" s="110"/>
      <c r="I21" s="110"/>
      <c r="J21" s="110"/>
      <c r="K21" s="110"/>
      <c r="L21" s="110"/>
      <c r="M21" s="110"/>
      <c r="N21" s="110"/>
      <c r="O21" s="184"/>
      <c r="P21" s="184"/>
      <c r="Q21" s="184"/>
      <c r="R21" s="184"/>
      <c r="S21" s="110"/>
      <c r="T21" s="110"/>
      <c r="U21" s="110"/>
      <c r="V21" s="110"/>
      <c r="W21" s="110"/>
      <c r="X21" s="110"/>
      <c r="Y21" s="110"/>
      <c r="Z21" s="110"/>
      <c r="AA21" s="110"/>
      <c r="AB21" s="110"/>
    </row>
    <row r="23" spans="2:28" x14ac:dyDescent="0.35">
      <c r="B23" s="93" t="s">
        <v>2177</v>
      </c>
    </row>
    <row r="24" spans="2:28" x14ac:dyDescent="0.35">
      <c r="B24" s="106" t="s">
        <v>2127</v>
      </c>
      <c r="C24" s="107" t="s">
        <v>2128</v>
      </c>
      <c r="D24" s="107" t="s">
        <v>2129</v>
      </c>
      <c r="E24" s="107" t="s">
        <v>2130</v>
      </c>
      <c r="F24" s="107" t="s">
        <v>2131</v>
      </c>
      <c r="G24" s="107" t="s">
        <v>2132</v>
      </c>
      <c r="H24" s="107" t="s">
        <v>2133</v>
      </c>
      <c r="I24" s="114" t="str" cm="1">
        <f t="array" ref="I24:AB24">TRANSPOSE(_xlfn.SORTBY(_xlfn._xlws.FILTER(Table2[NOME FÍSICO CAMPO],Table2[NOME FÍSICO TABELA]="individual_address"), _xlfn._xlws.FILTER(Table2[ORDEM], Table2[NOME FÍSICO TABELA]="individual_address"), 1))</f>
        <v>party_id</v>
      </c>
      <c r="J24" s="114" t="str">
        <v>order_number</v>
      </c>
      <c r="K24" s="114" t="str">
        <v>start_date</v>
      </c>
      <c r="L24" s="114" t="str">
        <v>address_type_code</v>
      </c>
      <c r="M24" s="114" t="str">
        <v>country_code</v>
      </c>
      <c r="N24" s="99" t="str">
        <v>district_name</v>
      </c>
      <c r="O24" s="99" t="str">
        <v>district_code</v>
      </c>
      <c r="P24" s="99" t="str">
        <v>municipality_code</v>
      </c>
      <c r="Q24" s="145" t="str">
        <v>civil_parish_code</v>
      </c>
      <c r="R24" s="145" t="str">
        <v>nut3_code</v>
      </c>
      <c r="S24" s="145" t="str">
        <v>postal_code</v>
      </c>
      <c r="T24" s="145" t="str">
        <v>street_type_code</v>
      </c>
      <c r="U24" s="145" t="str">
        <v>street_name</v>
      </c>
      <c r="V24" s="145" t="str">
        <v>building_type_code</v>
      </c>
      <c r="W24" s="145" t="str">
        <v>building_number</v>
      </c>
      <c r="X24" s="145" t="str">
        <v>building_details</v>
      </c>
      <c r="Y24" s="145" t="str">
        <v>post_office_box_number</v>
      </c>
      <c r="Z24" s="145" t="str">
        <v>full_address</v>
      </c>
      <c r="AA24" s="145" t="str">
        <v>data_date_part</v>
      </c>
      <c r="AB24" s="146" t="str">
        <v>data_timestamp_part</v>
      </c>
    </row>
    <row r="25" spans="2:28" x14ac:dyDescent="0.35">
      <c r="B25" s="102" t="s">
        <v>2178</v>
      </c>
      <c r="C25" s="103">
        <v>19</v>
      </c>
      <c r="D25" s="104" t="s">
        <v>2179</v>
      </c>
      <c r="E25" s="98" t="s">
        <v>2180</v>
      </c>
      <c r="F25" s="98" t="s">
        <v>749</v>
      </c>
      <c r="G25" s="98" t="s">
        <v>749</v>
      </c>
      <c r="H25" s="98" t="s">
        <v>749</v>
      </c>
      <c r="I25" s="98" t="str" cm="1">
        <f t="array" ref="I25:AB26">TRANSPOSE(_xlfn.SORTBY(_xlfn._xlws.FILTER(IF(Table2[FORMATO] :Table2[COMP_ CAMPO]&lt;&gt;"",Table2[FORMATO]:Table2[COMP_ CAMPO],9999999),Table2[NOME FÍSICO TABELA]="individual_address"), _xlfn._xlws.FILTER(Table2[ORDEM], Table2[NOME FÍSICO TABELA]="individual_address"), 1))</f>
        <v>STRING</v>
      </c>
      <c r="J25" s="98" t="str">
        <v>BIGINT</v>
      </c>
      <c r="K25" s="98" t="str">
        <v>STRING</v>
      </c>
      <c r="L25" s="98" t="str">
        <v>STRING</v>
      </c>
      <c r="M25" s="98" t="str">
        <v>STRING</v>
      </c>
      <c r="N25" s="98" t="str">
        <v>STRING</v>
      </c>
      <c r="O25" s="98" t="str">
        <v>STRING</v>
      </c>
      <c r="P25" s="98" t="str">
        <v>STRING</v>
      </c>
      <c r="Q25" s="98" t="str">
        <v>STRING</v>
      </c>
      <c r="R25" s="98" t="str">
        <v>STRING</v>
      </c>
      <c r="S25" s="98" t="str">
        <v>STRING</v>
      </c>
      <c r="T25" s="98" t="str">
        <v>STRING</v>
      </c>
      <c r="U25" s="98" t="str">
        <v>STRING</v>
      </c>
      <c r="V25" s="98" t="str">
        <v>STRING</v>
      </c>
      <c r="W25" s="98" t="str">
        <v>STRING</v>
      </c>
      <c r="X25" s="98" t="str">
        <v>STRING</v>
      </c>
      <c r="Y25" s="98" t="str">
        <v>STRING</v>
      </c>
      <c r="Z25" s="98" t="str">
        <v>STRING</v>
      </c>
      <c r="AA25" s="98" t="str">
        <v>STRING</v>
      </c>
      <c r="AB25" s="105" t="str">
        <v>TIMESTAMP</v>
      </c>
    </row>
    <row r="26" spans="2:28" x14ac:dyDescent="0.35">
      <c r="B26" s="94" t="s">
        <v>2181</v>
      </c>
      <c r="C26" s="95">
        <v>7</v>
      </c>
      <c r="D26" s="96" t="s">
        <v>2179</v>
      </c>
      <c r="E26" s="97" t="s">
        <v>2180</v>
      </c>
      <c r="F26" s="97" t="s">
        <v>749</v>
      </c>
      <c r="G26" s="97" t="s">
        <v>749</v>
      </c>
      <c r="H26" s="97" t="s">
        <v>749</v>
      </c>
      <c r="I26" s="97">
        <v>10</v>
      </c>
      <c r="J26" s="97">
        <v>9999999</v>
      </c>
      <c r="K26" s="97">
        <v>10</v>
      </c>
      <c r="L26" s="97">
        <v>4</v>
      </c>
      <c r="M26" s="97">
        <v>4</v>
      </c>
      <c r="N26" s="97">
        <v>6</v>
      </c>
      <c r="O26" s="97">
        <v>6</v>
      </c>
      <c r="P26" s="97">
        <v>6</v>
      </c>
      <c r="Q26" s="98">
        <v>6</v>
      </c>
      <c r="R26" s="98">
        <v>6</v>
      </c>
      <c r="S26" s="98">
        <v>7</v>
      </c>
      <c r="T26" s="98">
        <v>4</v>
      </c>
      <c r="U26" s="98">
        <v>9999999</v>
      </c>
      <c r="V26" s="98">
        <v>4</v>
      </c>
      <c r="W26" s="98">
        <v>9999999</v>
      </c>
      <c r="X26" s="98">
        <v>9999999</v>
      </c>
      <c r="Y26" s="98">
        <v>9999999</v>
      </c>
      <c r="Z26" s="98">
        <v>9999999</v>
      </c>
      <c r="AA26" s="98">
        <v>10</v>
      </c>
      <c r="AB26" s="105">
        <v>23</v>
      </c>
    </row>
    <row r="28" spans="2:28" x14ac:dyDescent="0.35">
      <c r="B28" s="109" t="s">
        <v>2182</v>
      </c>
      <c r="H28" s="149"/>
    </row>
    <row r="29" spans="2:28" x14ac:dyDescent="0.35">
      <c r="B29" s="116" t="s">
        <v>2183</v>
      </c>
      <c r="C29" s="117" t="s">
        <v>2184</v>
      </c>
      <c r="D29" s="118" t="s">
        <v>2185</v>
      </c>
      <c r="E29" s="117" t="s">
        <v>2186</v>
      </c>
      <c r="F29" s="118" t="s">
        <v>2187</v>
      </c>
    </row>
    <row r="30" spans="2:28" ht="58" x14ac:dyDescent="0.35">
      <c r="B30" s="124" t="s">
        <v>2674</v>
      </c>
      <c r="C30" s="124" t="s">
        <v>975</v>
      </c>
      <c r="D30" s="125" t="s">
        <v>2675</v>
      </c>
      <c r="E30" s="125" t="s">
        <v>2676</v>
      </c>
      <c r="F30" s="125" t="s">
        <v>2677</v>
      </c>
    </row>
    <row r="31" spans="2:28" ht="58" x14ac:dyDescent="0.35">
      <c r="B31" s="124" t="s">
        <v>2674</v>
      </c>
      <c r="C31" s="124" t="s">
        <v>2678</v>
      </c>
      <c r="D31" s="125" t="s">
        <v>2675</v>
      </c>
      <c r="E31" s="125" t="s">
        <v>2676</v>
      </c>
      <c r="F31" s="125" t="s">
        <v>2677</v>
      </c>
    </row>
    <row r="32" spans="2:28" ht="58" x14ac:dyDescent="0.35">
      <c r="B32" s="124" t="s">
        <v>2674</v>
      </c>
      <c r="C32" s="124" t="s">
        <v>1053</v>
      </c>
      <c r="D32" s="125" t="s">
        <v>2675</v>
      </c>
      <c r="E32" s="125" t="s">
        <v>2676</v>
      </c>
      <c r="F32" s="125" t="s">
        <v>2677</v>
      </c>
    </row>
    <row r="33" spans="2:6" ht="58" x14ac:dyDescent="0.35">
      <c r="B33" s="124" t="s">
        <v>2674</v>
      </c>
      <c r="C33" s="124" t="s">
        <v>1059</v>
      </c>
      <c r="D33" s="125" t="s">
        <v>2675</v>
      </c>
      <c r="E33" s="125" t="s">
        <v>2676</v>
      </c>
      <c r="F33" s="125" t="s">
        <v>2677</v>
      </c>
    </row>
    <row r="34" spans="2:6" ht="58" x14ac:dyDescent="0.35">
      <c r="B34" s="124" t="s">
        <v>2188</v>
      </c>
      <c r="C34" s="124" t="s">
        <v>975</v>
      </c>
      <c r="D34" s="125" t="s">
        <v>2679</v>
      </c>
      <c r="E34" s="125" t="s">
        <v>2680</v>
      </c>
      <c r="F34" s="124" t="s">
        <v>2191</v>
      </c>
    </row>
    <row r="35" spans="2:6" ht="58" x14ac:dyDescent="0.35">
      <c r="B35" s="124" t="s">
        <v>2188</v>
      </c>
      <c r="C35" s="124" t="s">
        <v>1018</v>
      </c>
      <c r="D35" s="125" t="s">
        <v>2679</v>
      </c>
      <c r="E35" s="125" t="s">
        <v>2680</v>
      </c>
      <c r="F35" s="124" t="s">
        <v>2191</v>
      </c>
    </row>
    <row r="36" spans="2:6" ht="58" x14ac:dyDescent="0.35">
      <c r="B36" s="124" t="s">
        <v>2188</v>
      </c>
      <c r="C36" s="124" t="s">
        <v>1027</v>
      </c>
      <c r="D36" s="125" t="s">
        <v>2681</v>
      </c>
      <c r="E36" s="125" t="s">
        <v>2682</v>
      </c>
      <c r="F36" s="124" t="s">
        <v>2191</v>
      </c>
    </row>
    <row r="37" spans="2:6" ht="58" x14ac:dyDescent="0.35">
      <c r="B37" s="124" t="s">
        <v>2188</v>
      </c>
      <c r="C37" s="124" t="s">
        <v>1037</v>
      </c>
      <c r="D37" s="125" t="s">
        <v>2681</v>
      </c>
      <c r="E37" s="125" t="s">
        <v>2682</v>
      </c>
      <c r="F37" s="124" t="s">
        <v>2191</v>
      </c>
    </row>
    <row r="38" spans="2:6" ht="58" x14ac:dyDescent="0.35">
      <c r="B38" s="124" t="s">
        <v>2188</v>
      </c>
      <c r="C38" s="124" t="s">
        <v>2678</v>
      </c>
      <c r="D38" s="125" t="s">
        <v>2679</v>
      </c>
      <c r="E38" s="125" t="s">
        <v>2680</v>
      </c>
      <c r="F38" s="124" t="s">
        <v>2191</v>
      </c>
    </row>
    <row r="39" spans="2:6" ht="58" x14ac:dyDescent="0.35">
      <c r="B39" s="124" t="s">
        <v>2188</v>
      </c>
      <c r="C39" s="124" t="s">
        <v>1053</v>
      </c>
      <c r="D39" s="125" t="s">
        <v>2681</v>
      </c>
      <c r="E39" s="125" t="s">
        <v>2682</v>
      </c>
      <c r="F39" s="124" t="s">
        <v>2191</v>
      </c>
    </row>
    <row r="40" spans="2:6" ht="58" x14ac:dyDescent="0.35">
      <c r="B40" s="124" t="s">
        <v>2188</v>
      </c>
      <c r="C40" s="124" t="s">
        <v>1059</v>
      </c>
      <c r="D40" s="125" t="s">
        <v>2681</v>
      </c>
      <c r="E40" s="125" t="s">
        <v>2682</v>
      </c>
      <c r="F40" s="124" t="s">
        <v>2191</v>
      </c>
    </row>
    <row r="41" spans="2:6" ht="101.5" x14ac:dyDescent="0.35">
      <c r="B41" s="124" t="s">
        <v>2317</v>
      </c>
      <c r="C41" s="124" t="s">
        <v>975</v>
      </c>
      <c r="D41" s="125" t="s">
        <v>2683</v>
      </c>
      <c r="E41" s="125" t="s">
        <v>2684</v>
      </c>
      <c r="F41" s="125" t="s">
        <v>2631</v>
      </c>
    </row>
    <row r="42" spans="2:6" ht="58" x14ac:dyDescent="0.35">
      <c r="B42" s="124" t="s">
        <v>2317</v>
      </c>
      <c r="C42" s="124" t="s">
        <v>1027</v>
      </c>
      <c r="D42" s="125" t="s">
        <v>2685</v>
      </c>
      <c r="E42" s="125" t="s">
        <v>2686</v>
      </c>
      <c r="F42" s="124" t="s">
        <v>2191</v>
      </c>
    </row>
    <row r="43" spans="2:6" ht="58" x14ac:dyDescent="0.35">
      <c r="B43" s="124" t="s">
        <v>2317</v>
      </c>
      <c r="C43" s="124" t="s">
        <v>1037</v>
      </c>
      <c r="D43" s="125" t="s">
        <v>2685</v>
      </c>
      <c r="E43" s="125" t="s">
        <v>2687</v>
      </c>
      <c r="F43" s="124" t="s">
        <v>2191</v>
      </c>
    </row>
    <row r="44" spans="2:6" ht="101.5" x14ac:dyDescent="0.35">
      <c r="B44" s="124" t="s">
        <v>2317</v>
      </c>
      <c r="C44" s="124" t="s">
        <v>1043</v>
      </c>
      <c r="D44" s="125" t="s">
        <v>2683</v>
      </c>
      <c r="E44" s="125" t="s">
        <v>2688</v>
      </c>
      <c r="F44" s="125" t="s">
        <v>2631</v>
      </c>
    </row>
    <row r="45" spans="2:6" ht="101.5" x14ac:dyDescent="0.35">
      <c r="B45" s="124" t="s">
        <v>2317</v>
      </c>
      <c r="C45" s="124" t="s">
        <v>1053</v>
      </c>
      <c r="D45" s="125" t="s">
        <v>2683</v>
      </c>
      <c r="E45" s="125" t="s">
        <v>2689</v>
      </c>
      <c r="F45" s="125" t="s">
        <v>2631</v>
      </c>
    </row>
    <row r="46" spans="2:6" ht="101.5" x14ac:dyDescent="0.35">
      <c r="B46" s="124" t="s">
        <v>2317</v>
      </c>
      <c r="C46" s="124" t="s">
        <v>1059</v>
      </c>
      <c r="D46" s="125" t="s">
        <v>2683</v>
      </c>
      <c r="E46" s="125" t="s">
        <v>2690</v>
      </c>
      <c r="F46" s="125" t="s">
        <v>2631</v>
      </c>
    </row>
    <row r="47" spans="2:6" ht="58" x14ac:dyDescent="0.35">
      <c r="B47" s="124" t="s">
        <v>2317</v>
      </c>
      <c r="C47" s="124" t="s">
        <v>2691</v>
      </c>
      <c r="D47" s="125" t="s">
        <v>2685</v>
      </c>
      <c r="E47" s="125" t="s">
        <v>2692</v>
      </c>
      <c r="F47" s="124" t="s">
        <v>2191</v>
      </c>
    </row>
  </sheetData>
  <pageMargins left="0.7" right="0.7" top="0.75" bottom="0.75" header="0.3" footer="0.3"/>
  <drawing r:id="rId1"/>
  <tableParts count="2">
    <tablePart r:id="rId2"/>
    <tablePart r:id="rId3"/>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F536B-0570-4A2D-BBD7-E29EB6D6D52F}">
  <sheetPr>
    <tabColor rgb="FFFFFF00"/>
  </sheetPr>
  <dimension ref="B1:AB43"/>
  <sheetViews>
    <sheetView showGridLines="0" workbookViewId="0">
      <selection activeCell="P13" sqref="P13"/>
    </sheetView>
  </sheetViews>
  <sheetFormatPr defaultRowHeight="14.5" x14ac:dyDescent="0.35"/>
  <cols>
    <col min="2" max="2" width="32.81640625" bestFit="1" customWidth="1"/>
    <col min="3" max="3" width="30.453125" bestFit="1" customWidth="1"/>
    <col min="4" max="4" width="30.26953125" bestFit="1" customWidth="1"/>
    <col min="5" max="5" width="30.453125" bestFit="1" customWidth="1"/>
    <col min="6" max="6" width="19.453125" bestFit="1" customWidth="1"/>
    <col min="7" max="7" width="11.453125" bestFit="1" customWidth="1"/>
    <col min="8" max="8" width="17.7265625" bestFit="1" customWidth="1"/>
    <col min="9" max="9" width="13.453125" bestFit="1" customWidth="1"/>
    <col min="10" max="10" width="55.81640625" bestFit="1" customWidth="1"/>
    <col min="11" max="11" width="33.26953125" bestFit="1" customWidth="1"/>
    <col min="12" max="12" width="24.81640625" bestFit="1" customWidth="1"/>
    <col min="13" max="13" width="48.453125" bestFit="1" customWidth="1"/>
    <col min="14" max="14" width="30" bestFit="1" customWidth="1"/>
    <col min="15" max="15" width="21.453125" bestFit="1" customWidth="1"/>
    <col min="16" max="17" width="26.81640625" bestFit="1" customWidth="1"/>
    <col min="18" max="18" width="12.81640625" bestFit="1" customWidth="1"/>
    <col min="19" max="19" width="14.26953125" bestFit="1" customWidth="1"/>
    <col min="20" max="20" width="19.26953125" bestFit="1" customWidth="1"/>
    <col min="21" max="21" width="59.54296875" bestFit="1" customWidth="1"/>
    <col min="22" max="22" width="21.26953125" bestFit="1" customWidth="1"/>
    <col min="23" max="23" width="18.81640625" bestFit="1" customWidth="1"/>
    <col min="24" max="24" width="41.81640625" bestFit="1" customWidth="1"/>
    <col min="25" max="25" width="26.26953125" bestFit="1" customWidth="1"/>
    <col min="26" max="26" width="41.54296875" bestFit="1" customWidth="1"/>
    <col min="27" max="27" width="17.453125" bestFit="1" customWidth="1"/>
    <col min="28" max="28" width="26.81640625" bestFit="1" customWidth="1"/>
  </cols>
  <sheetData>
    <row r="1" spans="2:28" ht="30" customHeight="1" x14ac:dyDescent="0.35"/>
    <row r="2" spans="2:28" x14ac:dyDescent="0.35">
      <c r="B2" s="90" t="s">
        <v>2127</v>
      </c>
      <c r="C2" t="s">
        <v>2128</v>
      </c>
      <c r="D2" t="s">
        <v>2129</v>
      </c>
      <c r="E2" t="s">
        <v>2130</v>
      </c>
      <c r="F2" t="s">
        <v>2131</v>
      </c>
      <c r="G2" t="s">
        <v>2132</v>
      </c>
      <c r="H2" t="s">
        <v>2133</v>
      </c>
      <c r="I2" t="s">
        <v>785</v>
      </c>
      <c r="J2" t="s">
        <v>932</v>
      </c>
      <c r="K2" t="s">
        <v>943</v>
      </c>
      <c r="L2" t="s">
        <v>952</v>
      </c>
      <c r="M2" t="s">
        <v>963</v>
      </c>
      <c r="N2" t="s">
        <v>975</v>
      </c>
      <c r="O2" t="s">
        <v>984</v>
      </c>
      <c r="P2" t="s">
        <v>993</v>
      </c>
      <c r="Q2" t="s">
        <v>1001</v>
      </c>
      <c r="R2" t="s">
        <v>1008</v>
      </c>
      <c r="S2" t="s">
        <v>1018</v>
      </c>
      <c r="T2" t="s">
        <v>1027</v>
      </c>
      <c r="U2" t="s">
        <v>1037</v>
      </c>
      <c r="V2" t="s">
        <v>1043</v>
      </c>
      <c r="W2" t="s">
        <v>1053</v>
      </c>
      <c r="X2" t="s">
        <v>1059</v>
      </c>
      <c r="Y2" t="s">
        <v>1066</v>
      </c>
      <c r="Z2" t="s">
        <v>1074</v>
      </c>
      <c r="AA2" t="s">
        <v>765</v>
      </c>
      <c r="AB2" t="s">
        <v>772</v>
      </c>
    </row>
    <row r="3" spans="2:28" x14ac:dyDescent="0.35">
      <c r="B3" s="177" t="s">
        <v>2081</v>
      </c>
      <c r="C3" s="110">
        <v>1</v>
      </c>
      <c r="D3" s="110" t="s">
        <v>2693</v>
      </c>
      <c r="E3" s="111">
        <v>45538</v>
      </c>
      <c r="F3" s="110">
        <v>1</v>
      </c>
      <c r="G3" s="137">
        <v>1</v>
      </c>
      <c r="H3" s="134" t="s">
        <v>2694</v>
      </c>
      <c r="I3" s="110" t="s">
        <v>2137</v>
      </c>
      <c r="J3" s="110" t="s">
        <v>2137</v>
      </c>
      <c r="K3" s="110" t="s">
        <v>2137</v>
      </c>
      <c r="L3" s="110" t="s">
        <v>2137</v>
      </c>
      <c r="M3" s="110" t="s">
        <v>2137</v>
      </c>
      <c r="N3" s="110" t="s">
        <v>2137</v>
      </c>
      <c r="O3" s="184" t="s">
        <v>2137</v>
      </c>
      <c r="P3" s="184" t="s">
        <v>2137</v>
      </c>
      <c r="Q3" s="184" t="s">
        <v>2137</v>
      </c>
      <c r="R3" s="184" t="s">
        <v>2137</v>
      </c>
      <c r="S3" s="110" t="s">
        <v>2137</v>
      </c>
      <c r="T3" s="110" t="s">
        <v>2137</v>
      </c>
      <c r="U3" s="110" t="s">
        <v>2137</v>
      </c>
      <c r="V3" s="110" t="s">
        <v>2137</v>
      </c>
      <c r="W3" s="110" t="s">
        <v>2137</v>
      </c>
      <c r="X3" s="110" t="s">
        <v>2137</v>
      </c>
      <c r="Y3" s="110" t="s">
        <v>2137</v>
      </c>
      <c r="Z3" s="110" t="s">
        <v>2137</v>
      </c>
      <c r="AA3" s="110" t="s">
        <v>2137</v>
      </c>
      <c r="AB3" s="110" t="s">
        <v>2137</v>
      </c>
    </row>
    <row r="4" spans="2:28" x14ac:dyDescent="0.35">
      <c r="B4" s="177" t="s">
        <v>2083</v>
      </c>
      <c r="C4" s="110">
        <v>2</v>
      </c>
      <c r="D4" s="110" t="s">
        <v>2695</v>
      </c>
      <c r="E4" s="111">
        <v>45538</v>
      </c>
      <c r="F4" s="110">
        <v>1</v>
      </c>
      <c r="G4" s="137">
        <v>1</v>
      </c>
      <c r="H4" s="155" t="s">
        <v>2604</v>
      </c>
      <c r="I4" s="110" t="s">
        <v>2137</v>
      </c>
      <c r="J4" s="110" t="s">
        <v>2137</v>
      </c>
      <c r="K4" s="110" t="s">
        <v>2137</v>
      </c>
      <c r="L4" s="110" t="s">
        <v>2137</v>
      </c>
      <c r="M4" s="110" t="s">
        <v>2137</v>
      </c>
      <c r="N4" s="110" t="s">
        <v>2137</v>
      </c>
      <c r="O4" s="184" t="s">
        <v>2137</v>
      </c>
      <c r="P4" s="184" t="s">
        <v>2137</v>
      </c>
      <c r="Q4" s="184" t="s">
        <v>2137</v>
      </c>
      <c r="R4" s="184" t="s">
        <v>2137</v>
      </c>
      <c r="S4" s="110" t="s">
        <v>2137</v>
      </c>
      <c r="T4" s="110" t="s">
        <v>2137</v>
      </c>
      <c r="U4" s="110" t="s">
        <v>2137</v>
      </c>
      <c r="V4" s="110" t="s">
        <v>2137</v>
      </c>
      <c r="W4" s="110" t="s">
        <v>2137</v>
      </c>
      <c r="X4" s="110" t="s">
        <v>2137</v>
      </c>
      <c r="Y4" s="110" t="s">
        <v>2137</v>
      </c>
      <c r="Z4" s="110" t="s">
        <v>2137</v>
      </c>
      <c r="AA4" s="110" t="s">
        <v>2137</v>
      </c>
      <c r="AB4" s="110" t="s">
        <v>2137</v>
      </c>
    </row>
    <row r="5" spans="2:28" x14ac:dyDescent="0.35">
      <c r="B5" s="177" t="s">
        <v>2085</v>
      </c>
      <c r="C5" s="110">
        <v>3</v>
      </c>
      <c r="D5" s="110" t="s">
        <v>2696</v>
      </c>
      <c r="E5" s="111">
        <v>45538</v>
      </c>
      <c r="F5" s="110">
        <v>1</v>
      </c>
      <c r="G5" s="137">
        <v>1</v>
      </c>
      <c r="H5" s="155" t="s">
        <v>2604</v>
      </c>
      <c r="I5" s="110">
        <v>0</v>
      </c>
      <c r="J5" s="110">
        <v>0</v>
      </c>
      <c r="K5" s="110">
        <v>0</v>
      </c>
      <c r="L5" s="110">
        <v>0</v>
      </c>
      <c r="M5" s="110" t="s">
        <v>2137</v>
      </c>
      <c r="N5" s="110" t="s">
        <v>2137</v>
      </c>
      <c r="O5" s="184" t="s">
        <v>2137</v>
      </c>
      <c r="P5" s="184" t="s">
        <v>2137</v>
      </c>
      <c r="Q5" s="184" t="s">
        <v>2137</v>
      </c>
      <c r="R5" s="184" t="s">
        <v>2137</v>
      </c>
      <c r="S5" s="110" t="s">
        <v>2137</v>
      </c>
      <c r="T5" s="110" t="s">
        <v>2137</v>
      </c>
      <c r="U5" s="110" t="s">
        <v>2137</v>
      </c>
      <c r="V5" s="110" t="s">
        <v>2137</v>
      </c>
      <c r="W5" s="110" t="s">
        <v>2137</v>
      </c>
      <c r="X5" s="110" t="s">
        <v>2137</v>
      </c>
      <c r="Y5" s="110" t="s">
        <v>2137</v>
      </c>
      <c r="Z5" s="110" t="s">
        <v>2137</v>
      </c>
      <c r="AA5" s="110">
        <v>0</v>
      </c>
      <c r="AB5" s="110" t="s">
        <v>2137</v>
      </c>
    </row>
    <row r="6" spans="2:28" x14ac:dyDescent="0.35">
      <c r="B6" s="178" t="s">
        <v>2087</v>
      </c>
      <c r="C6" s="110">
        <v>4</v>
      </c>
      <c r="D6" s="110" t="s">
        <v>2141</v>
      </c>
      <c r="E6" s="111" t="s">
        <v>2137</v>
      </c>
      <c r="F6" s="110">
        <v>1</v>
      </c>
      <c r="G6" s="111" t="s">
        <v>2137</v>
      </c>
      <c r="H6" s="137" t="s">
        <v>2137</v>
      </c>
      <c r="I6" s="110" t="s">
        <v>2137</v>
      </c>
      <c r="J6" s="110" t="s">
        <v>2137</v>
      </c>
      <c r="K6" s="110" t="s">
        <v>2137</v>
      </c>
      <c r="L6" s="110" t="s">
        <v>2137</v>
      </c>
      <c r="M6" s="110" t="s">
        <v>2137</v>
      </c>
      <c r="N6" s="110" t="s">
        <v>2137</v>
      </c>
      <c r="O6" s="184" t="s">
        <v>2137</v>
      </c>
      <c r="P6" s="184" t="s">
        <v>2137</v>
      </c>
      <c r="Q6" s="184" t="s">
        <v>2137</v>
      </c>
      <c r="R6" s="184" t="s">
        <v>2137</v>
      </c>
      <c r="S6" s="110" t="s">
        <v>2137</v>
      </c>
      <c r="T6" s="110" t="s">
        <v>2137</v>
      </c>
      <c r="U6" s="110" t="s">
        <v>2137</v>
      </c>
      <c r="V6" s="110" t="s">
        <v>2137</v>
      </c>
      <c r="W6" s="110" t="s">
        <v>2137</v>
      </c>
      <c r="X6" s="110" t="s">
        <v>2137</v>
      </c>
      <c r="Y6" s="110" t="s">
        <v>2137</v>
      </c>
      <c r="Z6" s="110" t="s">
        <v>2137</v>
      </c>
      <c r="AA6" s="110" t="s">
        <v>2137</v>
      </c>
      <c r="AB6" s="110" t="s">
        <v>2137</v>
      </c>
    </row>
    <row r="7" spans="2:28" x14ac:dyDescent="0.35">
      <c r="B7" s="178" t="s">
        <v>2089</v>
      </c>
      <c r="C7" s="110">
        <v>5</v>
      </c>
      <c r="D7" s="110" t="s">
        <v>2141</v>
      </c>
      <c r="E7" s="111" t="s">
        <v>2137</v>
      </c>
      <c r="F7" s="110">
        <v>1</v>
      </c>
      <c r="G7" s="111" t="s">
        <v>2137</v>
      </c>
      <c r="H7" s="137" t="s">
        <v>2137</v>
      </c>
      <c r="I7" s="110" t="s">
        <v>2137</v>
      </c>
      <c r="J7" s="110" t="s">
        <v>2137</v>
      </c>
      <c r="K7" s="110" t="s">
        <v>2137</v>
      </c>
      <c r="L7" s="110" t="s">
        <v>2137</v>
      </c>
      <c r="M7" s="110" t="s">
        <v>2137</v>
      </c>
      <c r="N7" s="110" t="s">
        <v>2137</v>
      </c>
      <c r="O7" s="184" t="s">
        <v>2137</v>
      </c>
      <c r="P7" s="184" t="s">
        <v>2137</v>
      </c>
      <c r="Q7" s="184" t="s">
        <v>2137</v>
      </c>
      <c r="R7" s="184" t="s">
        <v>2137</v>
      </c>
      <c r="S7" s="110" t="s">
        <v>2137</v>
      </c>
      <c r="T7" s="110" t="s">
        <v>2137</v>
      </c>
      <c r="U7" s="110" t="s">
        <v>2137</v>
      </c>
      <c r="V7" s="110" t="s">
        <v>2137</v>
      </c>
      <c r="W7" s="110" t="s">
        <v>2137</v>
      </c>
      <c r="X7" s="110" t="s">
        <v>2137</v>
      </c>
      <c r="Y7" s="110" t="s">
        <v>2137</v>
      </c>
      <c r="Z7" s="110" t="s">
        <v>2137</v>
      </c>
      <c r="AA7" s="110" t="s">
        <v>2137</v>
      </c>
      <c r="AB7" s="110" t="s">
        <v>2137</v>
      </c>
    </row>
    <row r="8" spans="2:28" x14ac:dyDescent="0.35">
      <c r="B8" s="178" t="s">
        <v>2090</v>
      </c>
      <c r="C8" s="110">
        <v>6</v>
      </c>
      <c r="D8" s="110" t="s">
        <v>2697</v>
      </c>
      <c r="E8" s="111">
        <v>45538</v>
      </c>
      <c r="F8" s="110">
        <v>1</v>
      </c>
      <c r="G8" s="137" cm="1">
        <f t="array" ref="G8">SUMPRODUCT(--(I8:AB8&gt;0))/COUNTA(I8:AB8)</f>
        <v>1</v>
      </c>
      <c r="H8" s="137" t="s">
        <v>2604</v>
      </c>
      <c r="I8" s="110">
        <v>2</v>
      </c>
      <c r="J8" s="110">
        <v>1</v>
      </c>
      <c r="K8" s="110">
        <v>10</v>
      </c>
      <c r="L8" s="110">
        <v>2</v>
      </c>
      <c r="M8" s="110">
        <v>3</v>
      </c>
      <c r="N8" s="110">
        <v>25</v>
      </c>
      <c r="O8" s="184">
        <v>13</v>
      </c>
      <c r="P8" s="184">
        <v>17</v>
      </c>
      <c r="Q8" s="184">
        <v>17</v>
      </c>
      <c r="R8" s="184">
        <v>9</v>
      </c>
      <c r="S8" s="110">
        <v>8</v>
      </c>
      <c r="T8" s="110">
        <v>6</v>
      </c>
      <c r="U8" s="110">
        <v>100</v>
      </c>
      <c r="V8" s="110">
        <v>2</v>
      </c>
      <c r="W8" s="110">
        <v>5</v>
      </c>
      <c r="X8" s="110">
        <v>50</v>
      </c>
      <c r="Y8" s="110">
        <v>4</v>
      </c>
      <c r="Z8" s="110">
        <v>60</v>
      </c>
      <c r="AA8" s="110">
        <v>10</v>
      </c>
      <c r="AB8" s="110">
        <v>23</v>
      </c>
    </row>
    <row r="9" spans="2:28" x14ac:dyDescent="0.35">
      <c r="B9" s="177" t="s">
        <v>2093</v>
      </c>
      <c r="C9" s="110">
        <v>7</v>
      </c>
      <c r="D9" s="110" t="s">
        <v>2698</v>
      </c>
      <c r="E9" s="111">
        <v>45538</v>
      </c>
      <c r="F9" s="110">
        <v>1</v>
      </c>
      <c r="G9" s="144" cm="1">
        <f t="array" ref="G9">SUMPRODUCT(--(I9:AB9&lt;=I25:AB25))/COUNTA(I25:AB25)</f>
        <v>1</v>
      </c>
      <c r="H9" s="137" t="s">
        <v>2604</v>
      </c>
      <c r="I9" s="110">
        <v>10</v>
      </c>
      <c r="J9" s="110">
        <v>3</v>
      </c>
      <c r="K9" s="110">
        <v>10</v>
      </c>
      <c r="L9" s="110">
        <v>2</v>
      </c>
      <c r="M9" s="110">
        <v>3</v>
      </c>
      <c r="N9" s="110">
        <v>30</v>
      </c>
      <c r="O9" s="184">
        <v>13</v>
      </c>
      <c r="P9" s="184">
        <v>17</v>
      </c>
      <c r="Q9" s="184">
        <v>17</v>
      </c>
      <c r="R9" s="184">
        <v>9</v>
      </c>
      <c r="S9" s="110">
        <v>8</v>
      </c>
      <c r="T9" s="110">
        <v>6</v>
      </c>
      <c r="U9" s="110">
        <v>100</v>
      </c>
      <c r="V9" s="110">
        <v>10</v>
      </c>
      <c r="W9" s="110">
        <v>5</v>
      </c>
      <c r="X9" s="110">
        <v>50</v>
      </c>
      <c r="Y9" s="110">
        <v>10</v>
      </c>
      <c r="Z9" s="110">
        <v>221</v>
      </c>
      <c r="AA9" s="110">
        <v>10</v>
      </c>
      <c r="AB9" s="110">
        <v>23</v>
      </c>
    </row>
    <row r="10" spans="2:28" x14ac:dyDescent="0.35">
      <c r="B10" s="177" t="s">
        <v>2096</v>
      </c>
      <c r="C10" s="110">
        <v>8</v>
      </c>
      <c r="D10" s="110" t="s">
        <v>2699</v>
      </c>
      <c r="E10" s="111">
        <v>45538</v>
      </c>
      <c r="F10" s="110">
        <v>1</v>
      </c>
      <c r="G10" s="111" t="s">
        <v>2137</v>
      </c>
      <c r="H10" s="137" t="s">
        <v>2604</v>
      </c>
      <c r="I10" s="110">
        <v>10004</v>
      </c>
      <c r="J10" s="110">
        <v>1</v>
      </c>
      <c r="K10" s="150" t="s">
        <v>2151</v>
      </c>
      <c r="L10" s="110">
        <v>1</v>
      </c>
      <c r="M10" s="110">
        <v>4</v>
      </c>
      <c r="N10" s="110" t="s">
        <v>2700</v>
      </c>
      <c r="O10" s="184" t="s">
        <v>984</v>
      </c>
      <c r="P10" s="185" t="s">
        <v>993</v>
      </c>
      <c r="Q10" s="184" t="s">
        <v>1001</v>
      </c>
      <c r="R10" s="184" t="s">
        <v>1008</v>
      </c>
      <c r="S10" s="110" t="s">
        <v>2701</v>
      </c>
      <c r="T10" s="110" t="s">
        <v>2645</v>
      </c>
      <c r="U10" s="110" t="s">
        <v>2702</v>
      </c>
      <c r="V10" s="110" t="s">
        <v>2647</v>
      </c>
      <c r="W10" s="110" t="s">
        <v>2648</v>
      </c>
      <c r="X10" s="110" t="s">
        <v>2649</v>
      </c>
      <c r="Y10" s="110" t="e">
        <v>#N/A</v>
      </c>
      <c r="Z10" s="110" t="s">
        <v>2650</v>
      </c>
      <c r="AA10" s="111">
        <v>45538</v>
      </c>
      <c r="AB10" s="110" t="s">
        <v>2703</v>
      </c>
    </row>
    <row r="11" spans="2:28" x14ac:dyDescent="0.35">
      <c r="B11" s="177" t="s">
        <v>2098</v>
      </c>
      <c r="C11" s="110">
        <v>9</v>
      </c>
      <c r="D11" s="110" t="s">
        <v>2704</v>
      </c>
      <c r="E11" s="111">
        <v>45538</v>
      </c>
      <c r="F11" s="110">
        <v>1</v>
      </c>
      <c r="G11" s="111" t="s">
        <v>2137</v>
      </c>
      <c r="H11" s="137" t="s">
        <v>2604</v>
      </c>
      <c r="I11" s="110">
        <v>42</v>
      </c>
      <c r="J11" s="110">
        <v>1</v>
      </c>
      <c r="K11" s="150" t="s">
        <v>2151</v>
      </c>
      <c r="L11" s="110">
        <v>1</v>
      </c>
      <c r="M11" s="110">
        <v>4</v>
      </c>
      <c r="N11" s="110" t="s">
        <v>2700</v>
      </c>
      <c r="O11" s="184" t="s">
        <v>984</v>
      </c>
      <c r="P11" s="185" t="s">
        <v>993</v>
      </c>
      <c r="Q11" s="184" t="s">
        <v>1001</v>
      </c>
      <c r="R11" s="184" t="s">
        <v>1008</v>
      </c>
      <c r="S11" s="110" t="s">
        <v>2701</v>
      </c>
      <c r="T11" s="110" t="s">
        <v>2645</v>
      </c>
      <c r="U11" s="110" t="s">
        <v>2702</v>
      </c>
      <c r="V11" s="110" t="s">
        <v>2647</v>
      </c>
      <c r="W11" s="110" t="s">
        <v>2648</v>
      </c>
      <c r="X11" s="110" t="s">
        <v>2649</v>
      </c>
      <c r="Y11" s="110" t="e">
        <v>#N/A</v>
      </c>
      <c r="Z11" s="110" t="s">
        <v>2650</v>
      </c>
      <c r="AA11" s="111">
        <v>45538</v>
      </c>
      <c r="AB11" s="110" t="s">
        <v>2651</v>
      </c>
    </row>
    <row r="12" spans="2:28" x14ac:dyDescent="0.35">
      <c r="B12" s="178" t="s">
        <v>2100</v>
      </c>
      <c r="C12" s="110">
        <v>10</v>
      </c>
      <c r="D12" s="110" t="s">
        <v>2705</v>
      </c>
      <c r="E12" s="111">
        <v>45538</v>
      </c>
      <c r="F12" s="110">
        <v>1</v>
      </c>
      <c r="G12" s="111" t="s">
        <v>2137</v>
      </c>
      <c r="H12" s="137" t="s">
        <v>2604</v>
      </c>
      <c r="I12" s="110">
        <v>99989</v>
      </c>
      <c r="J12" s="110">
        <v>322</v>
      </c>
      <c r="K12" s="111">
        <v>45538</v>
      </c>
      <c r="L12" s="110">
        <v>7</v>
      </c>
      <c r="M12" s="110">
        <v>954</v>
      </c>
      <c r="N12" s="110" t="s">
        <v>2706</v>
      </c>
      <c r="O12" s="184" t="s">
        <v>984</v>
      </c>
      <c r="P12" s="185" t="s">
        <v>993</v>
      </c>
      <c r="Q12" s="184" t="s">
        <v>1001</v>
      </c>
      <c r="R12" s="184" t="s">
        <v>1008</v>
      </c>
      <c r="S12" s="110" t="s">
        <v>2707</v>
      </c>
      <c r="T12" s="110" t="s">
        <v>2655</v>
      </c>
      <c r="U12" s="110" t="s">
        <v>2708</v>
      </c>
      <c r="V12" s="110" t="s">
        <v>2657</v>
      </c>
      <c r="W12" s="110" t="s">
        <v>2709</v>
      </c>
      <c r="X12" s="110" t="s">
        <v>2710</v>
      </c>
      <c r="Y12" s="110" t="s">
        <v>2711</v>
      </c>
      <c r="Z12" s="110" t="s">
        <v>2712</v>
      </c>
      <c r="AA12" s="111">
        <v>45538</v>
      </c>
      <c r="AB12" s="110" t="s">
        <v>2703</v>
      </c>
    </row>
    <row r="13" spans="2:28" x14ac:dyDescent="0.35">
      <c r="B13" s="177" t="s">
        <v>2102</v>
      </c>
      <c r="C13" s="110">
        <v>11</v>
      </c>
      <c r="D13" s="110" t="s">
        <v>2713</v>
      </c>
      <c r="E13" s="111">
        <v>45538</v>
      </c>
      <c r="F13" s="110">
        <v>1</v>
      </c>
      <c r="G13" s="111" t="s">
        <v>2137</v>
      </c>
      <c r="H13" s="137" t="s">
        <v>2604</v>
      </c>
      <c r="I13" s="110">
        <v>9002691418</v>
      </c>
      <c r="J13" s="110">
        <v>322</v>
      </c>
      <c r="K13" s="111">
        <v>45538</v>
      </c>
      <c r="L13" s="110">
        <v>7</v>
      </c>
      <c r="M13" s="110">
        <v>954</v>
      </c>
      <c r="N13" s="110" t="s">
        <v>2706</v>
      </c>
      <c r="O13" s="184" t="s">
        <v>984</v>
      </c>
      <c r="P13" s="185" t="s">
        <v>993</v>
      </c>
      <c r="Q13" s="184" t="s">
        <v>1001</v>
      </c>
      <c r="R13" s="184" t="s">
        <v>1008</v>
      </c>
      <c r="S13" s="110" t="s">
        <v>2707</v>
      </c>
      <c r="T13" s="110" t="s">
        <v>2655</v>
      </c>
      <c r="U13" s="110" t="s">
        <v>2708</v>
      </c>
      <c r="V13" s="110" t="s">
        <v>2657</v>
      </c>
      <c r="W13" s="110" t="s">
        <v>2709</v>
      </c>
      <c r="X13" s="110" t="s">
        <v>2710</v>
      </c>
      <c r="Y13" s="110" t="s">
        <v>2711</v>
      </c>
      <c r="Z13" s="110" t="s">
        <v>2712</v>
      </c>
      <c r="AA13" s="111">
        <v>45538</v>
      </c>
      <c r="AB13" s="110" t="s">
        <v>2714</v>
      </c>
    </row>
    <row r="14" spans="2:28" x14ac:dyDescent="0.35">
      <c r="B14" s="177" t="s">
        <v>2104</v>
      </c>
      <c r="C14" s="110">
        <v>12</v>
      </c>
      <c r="D14" s="110" t="s">
        <v>2715</v>
      </c>
      <c r="E14" s="111">
        <v>45538</v>
      </c>
      <c r="F14" s="110">
        <v>1</v>
      </c>
      <c r="G14" s="137" t="s">
        <v>2666</v>
      </c>
      <c r="H14" s="137" t="s">
        <v>2604</v>
      </c>
      <c r="I14" s="110">
        <v>0</v>
      </c>
      <c r="J14" s="110">
        <v>0</v>
      </c>
      <c r="K14" s="110">
        <v>0</v>
      </c>
      <c r="L14" s="110">
        <v>0</v>
      </c>
      <c r="M14" s="110">
        <v>0</v>
      </c>
      <c r="N14" s="110">
        <v>59023</v>
      </c>
      <c r="O14" s="184">
        <v>0</v>
      </c>
      <c r="P14" s="184">
        <v>0</v>
      </c>
      <c r="Q14" s="184">
        <v>0</v>
      </c>
      <c r="R14" s="184">
        <v>0</v>
      </c>
      <c r="S14" s="110">
        <v>59023</v>
      </c>
      <c r="T14" s="110">
        <v>66198</v>
      </c>
      <c r="U14" s="110">
        <v>66198</v>
      </c>
      <c r="V14" s="110">
        <v>59023</v>
      </c>
      <c r="W14" s="110">
        <v>66198</v>
      </c>
      <c r="X14" s="110">
        <v>66198</v>
      </c>
      <c r="Y14" s="110">
        <v>0</v>
      </c>
      <c r="Z14" s="110">
        <v>0</v>
      </c>
      <c r="AA14" s="110">
        <v>0</v>
      </c>
      <c r="AB14" s="110">
        <v>0</v>
      </c>
    </row>
    <row r="15" spans="2:28" x14ac:dyDescent="0.35">
      <c r="B15" s="177" t="s">
        <v>2106</v>
      </c>
      <c r="C15" s="110">
        <v>13</v>
      </c>
      <c r="D15" s="110" t="s">
        <v>2716</v>
      </c>
      <c r="E15" s="111">
        <v>45538</v>
      </c>
      <c r="F15" s="110">
        <v>1</v>
      </c>
      <c r="G15" s="137">
        <v>1</v>
      </c>
      <c r="H15" s="137" t="s">
        <v>2604</v>
      </c>
      <c r="I15" s="110" t="s">
        <v>2137</v>
      </c>
      <c r="J15" s="110" t="s">
        <v>2137</v>
      </c>
      <c r="K15" s="110">
        <v>0</v>
      </c>
      <c r="L15" s="110" t="s">
        <v>2137</v>
      </c>
      <c r="M15" s="110" t="s">
        <v>2137</v>
      </c>
      <c r="N15" s="110" t="s">
        <v>2137</v>
      </c>
      <c r="O15" s="184" t="s">
        <v>2137</v>
      </c>
      <c r="P15" s="184" t="s">
        <v>2137</v>
      </c>
      <c r="Q15" s="184" t="s">
        <v>2137</v>
      </c>
      <c r="R15" s="184" t="s">
        <v>2137</v>
      </c>
      <c r="S15" s="110" t="s">
        <v>2137</v>
      </c>
      <c r="T15" s="110" t="s">
        <v>2137</v>
      </c>
      <c r="U15" s="110" t="s">
        <v>2137</v>
      </c>
      <c r="V15" s="110" t="s">
        <v>2137</v>
      </c>
      <c r="W15" s="110" t="s">
        <v>2137</v>
      </c>
      <c r="X15" s="110" t="s">
        <v>2137</v>
      </c>
      <c r="Y15" s="110" t="s">
        <v>2137</v>
      </c>
      <c r="Z15" s="110" t="s">
        <v>2137</v>
      </c>
      <c r="AA15" s="110" t="s">
        <v>2137</v>
      </c>
      <c r="AB15" s="110" t="s">
        <v>2137</v>
      </c>
    </row>
    <row r="16" spans="2:28" x14ac:dyDescent="0.35">
      <c r="B16" s="177" t="s">
        <v>2108</v>
      </c>
      <c r="C16" s="110">
        <v>14</v>
      </c>
      <c r="D16" s="110" t="s">
        <v>2717</v>
      </c>
      <c r="E16" s="111">
        <v>45538</v>
      </c>
      <c r="F16" s="110">
        <v>1</v>
      </c>
      <c r="G16" s="137" t="s">
        <v>2718</v>
      </c>
      <c r="H16" s="155" t="s">
        <v>2604</v>
      </c>
      <c r="I16" s="110">
        <v>0</v>
      </c>
      <c r="J16" s="110" t="s">
        <v>2137</v>
      </c>
      <c r="K16" s="110" t="s">
        <v>2137</v>
      </c>
      <c r="L16" s="110">
        <v>0</v>
      </c>
      <c r="M16" s="110">
        <v>0</v>
      </c>
      <c r="N16" s="110">
        <v>570</v>
      </c>
      <c r="O16" s="184">
        <v>0</v>
      </c>
      <c r="P16" s="184">
        <v>0</v>
      </c>
      <c r="Q16" s="184">
        <v>0</v>
      </c>
      <c r="R16" s="184">
        <v>0</v>
      </c>
      <c r="S16" s="110">
        <v>0</v>
      </c>
      <c r="T16" s="110">
        <v>197968</v>
      </c>
      <c r="U16" s="110">
        <v>3773</v>
      </c>
      <c r="V16" s="110">
        <v>729441</v>
      </c>
      <c r="W16" s="110">
        <v>261270</v>
      </c>
      <c r="X16" s="110">
        <v>480509</v>
      </c>
      <c r="Y16" s="110">
        <v>0</v>
      </c>
      <c r="Z16" s="110">
        <v>12</v>
      </c>
      <c r="AA16" s="110" t="s">
        <v>2137</v>
      </c>
      <c r="AB16" s="110" t="s">
        <v>2137</v>
      </c>
    </row>
    <row r="17" spans="2:28" x14ac:dyDescent="0.35">
      <c r="B17" s="177" t="s">
        <v>2110</v>
      </c>
      <c r="C17" s="110">
        <v>15</v>
      </c>
      <c r="D17" s="110" t="s">
        <v>2719</v>
      </c>
      <c r="E17" s="111">
        <v>45538</v>
      </c>
      <c r="F17" s="110">
        <v>1</v>
      </c>
      <c r="G17" s="137">
        <v>1</v>
      </c>
      <c r="H17" s="155" t="s">
        <v>2604</v>
      </c>
      <c r="I17" s="110" t="s">
        <v>2137</v>
      </c>
      <c r="J17" s="110" t="s">
        <v>2137</v>
      </c>
      <c r="K17" s="110" t="s">
        <v>2137</v>
      </c>
      <c r="L17" s="110" t="s">
        <v>2137</v>
      </c>
      <c r="M17" s="110" t="s">
        <v>2137</v>
      </c>
      <c r="N17" s="110" t="s">
        <v>2137</v>
      </c>
      <c r="O17" s="184" t="s">
        <v>2137</v>
      </c>
      <c r="P17" s="184" t="s">
        <v>2137</v>
      </c>
      <c r="Q17" s="184" t="s">
        <v>2137</v>
      </c>
      <c r="R17" s="184" t="s">
        <v>2137</v>
      </c>
      <c r="S17" s="110" t="s">
        <v>2137</v>
      </c>
      <c r="T17" s="110" t="s">
        <v>2137</v>
      </c>
      <c r="U17" s="110" t="s">
        <v>2137</v>
      </c>
      <c r="V17" s="110" t="s">
        <v>2137</v>
      </c>
      <c r="W17" s="110" t="s">
        <v>2137</v>
      </c>
      <c r="X17" s="110" t="s">
        <v>2137</v>
      </c>
      <c r="Y17" s="110" t="s">
        <v>2137</v>
      </c>
      <c r="Z17" s="110" t="s">
        <v>2137</v>
      </c>
      <c r="AA17" s="110" t="s">
        <v>2137</v>
      </c>
      <c r="AB17" s="110" t="s">
        <v>2137</v>
      </c>
    </row>
    <row r="18" spans="2:28" x14ac:dyDescent="0.35">
      <c r="B18" s="177" t="s">
        <v>2112</v>
      </c>
      <c r="C18" s="110">
        <v>16</v>
      </c>
      <c r="D18" s="110" t="s">
        <v>2719</v>
      </c>
      <c r="E18" s="111">
        <v>45538</v>
      </c>
      <c r="F18" s="110">
        <v>1</v>
      </c>
      <c r="G18" s="137">
        <v>1</v>
      </c>
      <c r="H18" s="137" t="s">
        <v>2604</v>
      </c>
      <c r="I18" s="110" t="s">
        <v>2137</v>
      </c>
      <c r="J18" s="110" t="s">
        <v>2137</v>
      </c>
      <c r="K18" s="110" t="s">
        <v>2137</v>
      </c>
      <c r="L18" s="110" t="s">
        <v>2137</v>
      </c>
      <c r="M18" s="110" t="s">
        <v>2137</v>
      </c>
      <c r="N18" s="110" t="s">
        <v>2137</v>
      </c>
      <c r="O18" s="184" t="s">
        <v>2137</v>
      </c>
      <c r="P18" s="184" t="s">
        <v>2137</v>
      </c>
      <c r="Q18" s="184" t="s">
        <v>2137</v>
      </c>
      <c r="R18" s="184" t="s">
        <v>2137</v>
      </c>
      <c r="S18" s="110" t="s">
        <v>2137</v>
      </c>
      <c r="T18" s="110" t="s">
        <v>2137</v>
      </c>
      <c r="U18" s="110" t="s">
        <v>2137</v>
      </c>
      <c r="V18" s="110" t="s">
        <v>2137</v>
      </c>
      <c r="W18" s="110" t="s">
        <v>2137</v>
      </c>
      <c r="X18" s="110" t="s">
        <v>2137</v>
      </c>
      <c r="Y18" s="110" t="s">
        <v>2137</v>
      </c>
      <c r="Z18" s="110" t="s">
        <v>2137</v>
      </c>
      <c r="AA18" s="110" t="s">
        <v>2137</v>
      </c>
      <c r="AB18" s="110" t="s">
        <v>2137</v>
      </c>
    </row>
    <row r="19" spans="2:28" x14ac:dyDescent="0.35">
      <c r="B19" s="177" t="s">
        <v>2118</v>
      </c>
      <c r="C19" s="110">
        <v>19</v>
      </c>
      <c r="D19" s="110" t="s">
        <v>2720</v>
      </c>
      <c r="E19" s="111">
        <v>45538</v>
      </c>
      <c r="F19" s="110">
        <v>1</v>
      </c>
      <c r="G19" s="137" cm="1">
        <f t="array" ref="G19">SUMPRODUCT(--(ISNUMBER((SEARCH(I25:AB25,I19:AB19)))))/COUNTA(I19:AB19)</f>
        <v>1</v>
      </c>
      <c r="H19" s="110" t="s">
        <v>2604</v>
      </c>
      <c r="I19" s="110" t="s">
        <v>2175</v>
      </c>
      <c r="J19" s="110" t="s">
        <v>2672</v>
      </c>
      <c r="K19" s="110" t="s">
        <v>2175</v>
      </c>
      <c r="L19" s="110" t="s">
        <v>2175</v>
      </c>
      <c r="M19" s="110" t="s">
        <v>2175</v>
      </c>
      <c r="N19" s="110" t="s">
        <v>2175</v>
      </c>
      <c r="O19" s="184" t="s">
        <v>2175</v>
      </c>
      <c r="P19" s="184" t="s">
        <v>2175</v>
      </c>
      <c r="Q19" s="184" t="s">
        <v>2175</v>
      </c>
      <c r="R19" s="184" t="s">
        <v>2175</v>
      </c>
      <c r="S19" s="110" t="s">
        <v>2175</v>
      </c>
      <c r="T19" s="110" t="s">
        <v>2175</v>
      </c>
      <c r="U19" s="110" t="s">
        <v>2175</v>
      </c>
      <c r="V19" s="110" t="s">
        <v>2175</v>
      </c>
      <c r="W19" s="110" t="s">
        <v>2175</v>
      </c>
      <c r="X19" s="110" t="s">
        <v>2175</v>
      </c>
      <c r="Y19" s="110" t="s">
        <v>2175</v>
      </c>
      <c r="Z19" s="110" t="s">
        <v>2175</v>
      </c>
      <c r="AA19" s="110" t="s">
        <v>2175</v>
      </c>
      <c r="AB19" s="110" t="s">
        <v>2176</v>
      </c>
    </row>
    <row r="20" spans="2:28" x14ac:dyDescent="0.35">
      <c r="B20" s="177" t="s">
        <v>2121</v>
      </c>
      <c r="C20" s="110">
        <v>20</v>
      </c>
      <c r="D20" s="110" t="s">
        <v>2673</v>
      </c>
      <c r="E20" s="111">
        <v>45538</v>
      </c>
      <c r="F20" s="110">
        <v>1</v>
      </c>
      <c r="G20" s="137" cm="1">
        <f t="array" ref="G20">SUM(IF(I2:AB2 = I24:AB24, 1, 0))/ COUNTA(I2:AB2)</f>
        <v>1</v>
      </c>
      <c r="H20" s="110"/>
      <c r="I20" s="110"/>
      <c r="J20" s="110"/>
      <c r="K20" s="110"/>
      <c r="L20" s="110"/>
      <c r="M20" s="110"/>
      <c r="N20" s="110"/>
      <c r="O20" s="184"/>
      <c r="P20" s="184"/>
      <c r="Q20" s="184"/>
      <c r="R20" s="184"/>
      <c r="S20" s="110"/>
      <c r="T20" s="110"/>
      <c r="U20" s="110"/>
      <c r="V20" s="110"/>
      <c r="W20" s="110"/>
      <c r="X20" s="110"/>
      <c r="Y20" s="110"/>
      <c r="Z20" s="110"/>
      <c r="AA20" s="110"/>
      <c r="AB20" s="110"/>
    </row>
    <row r="21" spans="2:28" x14ac:dyDescent="0.35">
      <c r="B21" s="179" t="s">
        <v>2124</v>
      </c>
      <c r="C21" s="110">
        <v>21</v>
      </c>
      <c r="D21" s="110" t="s">
        <v>2673</v>
      </c>
      <c r="E21" s="111">
        <v>45538</v>
      </c>
      <c r="F21" s="110">
        <v>1</v>
      </c>
      <c r="G21" s="110" cm="1">
        <f t="array" ref="G21">SUM(IF(IF(G3:G19="null",1,G3:G19)=1,1,0))/COUNT(IF(G3:G19="null",1,1))</f>
        <v>0.88235294117647056</v>
      </c>
      <c r="H21" s="110"/>
      <c r="I21" s="110"/>
      <c r="J21" s="110"/>
      <c r="K21" s="110"/>
      <c r="L21" s="110"/>
      <c r="M21" s="110"/>
      <c r="N21" s="110"/>
      <c r="O21" s="184"/>
      <c r="P21" s="184"/>
      <c r="Q21" s="184"/>
      <c r="R21" s="184"/>
      <c r="S21" s="110"/>
      <c r="T21" s="110"/>
      <c r="U21" s="110"/>
      <c r="V21" s="110"/>
      <c r="W21" s="110"/>
      <c r="X21" s="110"/>
      <c r="Y21" s="110"/>
      <c r="Z21" s="110"/>
      <c r="AA21" s="110"/>
      <c r="AB21" s="110"/>
    </row>
    <row r="23" spans="2:28" x14ac:dyDescent="0.35">
      <c r="B23" s="93" t="s">
        <v>2177</v>
      </c>
    </row>
    <row r="24" spans="2:28" x14ac:dyDescent="0.35">
      <c r="B24" s="106" t="s">
        <v>2127</v>
      </c>
      <c r="C24" s="107" t="s">
        <v>2128</v>
      </c>
      <c r="D24" s="107" t="s">
        <v>2129</v>
      </c>
      <c r="E24" s="107" t="s">
        <v>2130</v>
      </c>
      <c r="F24" s="107" t="s">
        <v>2131</v>
      </c>
      <c r="G24" s="107" t="s">
        <v>2132</v>
      </c>
      <c r="H24" s="107" t="s">
        <v>2133</v>
      </c>
      <c r="I24" s="114" t="str" cm="1">
        <f t="array" ref="I24:AB24">TRANSPOSE(_xlfn.SORTBY(_xlfn._xlws.FILTER(Table2[NOME FÍSICO CAMPO],Table2[NOME FÍSICO TABELA]="entity_address"), _xlfn._xlws.FILTER(Table2[ORDEM], Table2[NOME FÍSICO TABELA]="entity_address"), 1))</f>
        <v>party_id</v>
      </c>
      <c r="J24" s="114" t="str">
        <v>order_number</v>
      </c>
      <c r="K24" s="114" t="str">
        <v>start_date</v>
      </c>
      <c r="L24" s="114" t="str">
        <v>address_type_code</v>
      </c>
      <c r="M24" s="114" t="str">
        <v>country_code</v>
      </c>
      <c r="N24" s="99" t="str">
        <v>district_name</v>
      </c>
      <c r="O24" s="99" t="str">
        <v>district_code</v>
      </c>
      <c r="P24" s="99" t="str">
        <v>municipality_code</v>
      </c>
      <c r="Q24" s="145" t="str">
        <v>civil_parish_code</v>
      </c>
      <c r="R24" s="145" t="str">
        <v>nut3_code</v>
      </c>
      <c r="S24" s="145" t="str">
        <v>postal_code</v>
      </c>
      <c r="T24" s="145" t="str">
        <v>street_type_code</v>
      </c>
      <c r="U24" s="145" t="str">
        <v>street_name</v>
      </c>
      <c r="V24" s="145" t="str">
        <v>building_type_code</v>
      </c>
      <c r="W24" s="145" t="str">
        <v>building_number</v>
      </c>
      <c r="X24" s="145" t="str">
        <v>building_details</v>
      </c>
      <c r="Y24" s="145" t="str">
        <v>post_office_box_number</v>
      </c>
      <c r="Z24" s="145" t="str">
        <v>full_address</v>
      </c>
      <c r="AA24" s="145" t="str">
        <v>data_date_part</v>
      </c>
      <c r="AB24" s="146" t="str">
        <v>data_timestamp_part</v>
      </c>
    </row>
    <row r="25" spans="2:28" x14ac:dyDescent="0.35">
      <c r="B25" s="102" t="s">
        <v>2178</v>
      </c>
      <c r="C25" s="103">
        <v>19</v>
      </c>
      <c r="D25" s="104" t="s">
        <v>2179</v>
      </c>
      <c r="E25" s="98" t="s">
        <v>2180</v>
      </c>
      <c r="F25" s="98" t="s">
        <v>749</v>
      </c>
      <c r="G25" s="98" t="s">
        <v>749</v>
      </c>
      <c r="H25" s="98" t="s">
        <v>749</v>
      </c>
      <c r="I25" s="98" t="str" cm="1">
        <f t="array" ref="I25:AB26">TRANSPOSE(_xlfn.SORTBY(_xlfn._xlws.FILTER(IF(Table2[FORMATO] :Table2[COMP_ CAMPO]&lt;&gt;"",Table2[FORMATO]:Table2[COMP_ CAMPO],9999999),Table2[NOME FÍSICO TABELA]="entity_address"), _xlfn._xlws.FILTER(Table2[ORDEM], Table2[NOME FÍSICO TABELA]="entity_address"), 1))</f>
        <v>STRING</v>
      </c>
      <c r="J25" s="98" t="str">
        <v>BIGINT</v>
      </c>
      <c r="K25" s="98" t="str">
        <v>STRING</v>
      </c>
      <c r="L25" s="98" t="str">
        <v>STRING</v>
      </c>
      <c r="M25" s="98" t="str">
        <v>STRING</v>
      </c>
      <c r="N25" s="98" t="str">
        <v>STRING</v>
      </c>
      <c r="O25" s="98" t="str">
        <v>STRING</v>
      </c>
      <c r="P25" s="98" t="str">
        <v>STRING</v>
      </c>
      <c r="Q25" s="98" t="str">
        <v>STRING</v>
      </c>
      <c r="R25" s="98" t="str">
        <v>STRING</v>
      </c>
      <c r="S25" s="98" t="str">
        <v>STRING</v>
      </c>
      <c r="T25" s="98" t="str">
        <v>STRING</v>
      </c>
      <c r="U25" s="98" t="str">
        <v>STRING</v>
      </c>
      <c r="V25" s="98" t="str">
        <v>STRING</v>
      </c>
      <c r="W25" s="98" t="str">
        <v>STRING</v>
      </c>
      <c r="X25" s="98" t="str">
        <v>STRING</v>
      </c>
      <c r="Y25" s="98" t="str">
        <v>STRING</v>
      </c>
      <c r="Z25" s="98" t="str">
        <v>STRING</v>
      </c>
      <c r="AA25" s="98" t="str">
        <v>STRING</v>
      </c>
      <c r="AB25" s="105" t="str">
        <v>TIMESTAMP</v>
      </c>
    </row>
    <row r="26" spans="2:28" x14ac:dyDescent="0.35">
      <c r="B26" s="94" t="s">
        <v>2181</v>
      </c>
      <c r="C26" s="95">
        <v>7</v>
      </c>
      <c r="D26" s="96" t="s">
        <v>2179</v>
      </c>
      <c r="E26" s="97" t="s">
        <v>2180</v>
      </c>
      <c r="F26" s="97" t="s">
        <v>749</v>
      </c>
      <c r="G26" s="97" t="s">
        <v>749</v>
      </c>
      <c r="H26" s="97" t="s">
        <v>749</v>
      </c>
      <c r="I26" s="97">
        <v>10</v>
      </c>
      <c r="J26" s="97">
        <v>9999999</v>
      </c>
      <c r="K26" s="97">
        <v>10</v>
      </c>
      <c r="L26" s="97">
        <v>4</v>
      </c>
      <c r="M26" s="97">
        <v>4</v>
      </c>
      <c r="N26" s="97">
        <v>6</v>
      </c>
      <c r="O26" s="97">
        <v>6</v>
      </c>
      <c r="P26" s="97">
        <v>6</v>
      </c>
      <c r="Q26" s="98">
        <v>6</v>
      </c>
      <c r="R26" s="98">
        <v>6</v>
      </c>
      <c r="S26" s="98">
        <v>7</v>
      </c>
      <c r="T26" s="98">
        <v>4</v>
      </c>
      <c r="U26" s="98">
        <v>9999999</v>
      </c>
      <c r="V26" s="98">
        <v>4</v>
      </c>
      <c r="W26" s="98">
        <v>9999999</v>
      </c>
      <c r="X26" s="98">
        <v>9999999</v>
      </c>
      <c r="Y26" s="98">
        <v>9999999</v>
      </c>
      <c r="Z26" s="98">
        <v>9999999</v>
      </c>
      <c r="AA26" s="98">
        <v>10</v>
      </c>
      <c r="AB26" s="105">
        <v>23</v>
      </c>
    </row>
    <row r="28" spans="2:28" x14ac:dyDescent="0.35">
      <c r="B28" s="109" t="s">
        <v>2182</v>
      </c>
      <c r="H28" s="149"/>
    </row>
    <row r="29" spans="2:28" x14ac:dyDescent="0.35">
      <c r="B29" s="116" t="s">
        <v>2183</v>
      </c>
      <c r="C29" s="117" t="s">
        <v>2184</v>
      </c>
      <c r="D29" s="118" t="s">
        <v>2185</v>
      </c>
      <c r="E29" s="117" t="s">
        <v>2186</v>
      </c>
      <c r="F29" s="118" t="s">
        <v>2187</v>
      </c>
    </row>
    <row r="30" spans="2:28" ht="58" x14ac:dyDescent="0.35">
      <c r="B30" s="124" t="s">
        <v>2188</v>
      </c>
      <c r="C30" s="124" t="s">
        <v>975</v>
      </c>
      <c r="D30" s="125" t="s">
        <v>2679</v>
      </c>
      <c r="E30" s="125" t="s">
        <v>2721</v>
      </c>
      <c r="F30" s="124" t="s">
        <v>2191</v>
      </c>
    </row>
    <row r="31" spans="2:28" ht="58" x14ac:dyDescent="0.35">
      <c r="B31" s="124" t="s">
        <v>2188</v>
      </c>
      <c r="C31" s="124" t="s">
        <v>1018</v>
      </c>
      <c r="D31" s="125" t="s">
        <v>2679</v>
      </c>
      <c r="E31" s="125" t="s">
        <v>2721</v>
      </c>
      <c r="F31" s="124" t="s">
        <v>2191</v>
      </c>
    </row>
    <row r="32" spans="2:28" ht="58" x14ac:dyDescent="0.35">
      <c r="B32" s="124" t="s">
        <v>2188</v>
      </c>
      <c r="C32" s="124" t="s">
        <v>1027</v>
      </c>
      <c r="D32" s="125" t="s">
        <v>2681</v>
      </c>
      <c r="E32" s="125" t="s">
        <v>2722</v>
      </c>
      <c r="F32" s="124" t="s">
        <v>2191</v>
      </c>
    </row>
    <row r="33" spans="2:6" ht="58" x14ac:dyDescent="0.35">
      <c r="B33" s="124" t="s">
        <v>2188</v>
      </c>
      <c r="C33" s="124" t="s">
        <v>1037</v>
      </c>
      <c r="D33" s="125" t="s">
        <v>2681</v>
      </c>
      <c r="E33" s="125" t="s">
        <v>2722</v>
      </c>
      <c r="F33" s="124" t="s">
        <v>2191</v>
      </c>
    </row>
    <row r="34" spans="2:6" ht="58" x14ac:dyDescent="0.35">
      <c r="B34" s="124" t="s">
        <v>2188</v>
      </c>
      <c r="C34" s="124" t="s">
        <v>2678</v>
      </c>
      <c r="D34" s="125" t="s">
        <v>2679</v>
      </c>
      <c r="E34" s="125" t="s">
        <v>2721</v>
      </c>
      <c r="F34" s="124" t="s">
        <v>2191</v>
      </c>
    </row>
    <row r="35" spans="2:6" ht="58" x14ac:dyDescent="0.35">
      <c r="B35" s="124" t="s">
        <v>2188</v>
      </c>
      <c r="C35" s="124" t="s">
        <v>1053</v>
      </c>
      <c r="D35" s="125" t="s">
        <v>2681</v>
      </c>
      <c r="E35" s="125" t="s">
        <v>2722</v>
      </c>
      <c r="F35" s="124" t="s">
        <v>2191</v>
      </c>
    </row>
    <row r="36" spans="2:6" ht="58" x14ac:dyDescent="0.35">
      <c r="B36" s="124" t="s">
        <v>2188</v>
      </c>
      <c r="C36" s="124" t="s">
        <v>1059</v>
      </c>
      <c r="D36" s="125" t="s">
        <v>2681</v>
      </c>
      <c r="E36" s="125" t="s">
        <v>2722</v>
      </c>
      <c r="F36" s="124" t="s">
        <v>2191</v>
      </c>
    </row>
    <row r="37" spans="2:6" ht="58" x14ac:dyDescent="0.35">
      <c r="B37" s="124" t="s">
        <v>2317</v>
      </c>
      <c r="C37" s="124" t="s">
        <v>975</v>
      </c>
      <c r="D37" s="125" t="s">
        <v>2685</v>
      </c>
      <c r="E37" s="125" t="s">
        <v>2723</v>
      </c>
      <c r="F37" s="124" t="s">
        <v>2191</v>
      </c>
    </row>
    <row r="38" spans="2:6" ht="58" x14ac:dyDescent="0.35">
      <c r="B38" s="124" t="s">
        <v>2317</v>
      </c>
      <c r="C38" s="124" t="s">
        <v>1027</v>
      </c>
      <c r="D38" s="125" t="s">
        <v>2685</v>
      </c>
      <c r="E38" s="125" t="s">
        <v>2724</v>
      </c>
      <c r="F38" s="124" t="s">
        <v>2191</v>
      </c>
    </row>
    <row r="39" spans="2:6" ht="58" x14ac:dyDescent="0.35">
      <c r="B39" s="124" t="s">
        <v>2317</v>
      </c>
      <c r="C39" s="124" t="s">
        <v>1037</v>
      </c>
      <c r="D39" s="125" t="s">
        <v>2685</v>
      </c>
      <c r="E39" s="125" t="s">
        <v>2725</v>
      </c>
      <c r="F39" s="124" t="s">
        <v>2191</v>
      </c>
    </row>
    <row r="40" spans="2:6" ht="58" x14ac:dyDescent="0.35">
      <c r="B40" s="124" t="s">
        <v>2317</v>
      </c>
      <c r="C40" s="124" t="s">
        <v>1043</v>
      </c>
      <c r="D40" s="125" t="s">
        <v>2685</v>
      </c>
      <c r="E40" s="125" t="s">
        <v>2726</v>
      </c>
      <c r="F40" s="124" t="s">
        <v>2191</v>
      </c>
    </row>
    <row r="41" spans="2:6" ht="58" x14ac:dyDescent="0.35">
      <c r="B41" s="124" t="s">
        <v>2317</v>
      </c>
      <c r="C41" s="124" t="s">
        <v>1053</v>
      </c>
      <c r="D41" s="125" t="s">
        <v>2685</v>
      </c>
      <c r="E41" s="125" t="s">
        <v>2727</v>
      </c>
      <c r="F41" s="124" t="s">
        <v>2191</v>
      </c>
    </row>
    <row r="42" spans="2:6" ht="58" x14ac:dyDescent="0.35">
      <c r="B42" s="124" t="s">
        <v>2317</v>
      </c>
      <c r="C42" s="124" t="s">
        <v>1059</v>
      </c>
      <c r="D42" s="125" t="s">
        <v>2685</v>
      </c>
      <c r="E42" s="125" t="s">
        <v>2728</v>
      </c>
      <c r="F42" s="124" t="s">
        <v>2191</v>
      </c>
    </row>
    <row r="43" spans="2:6" ht="58" x14ac:dyDescent="0.35">
      <c r="B43" s="124" t="s">
        <v>2317</v>
      </c>
      <c r="C43" s="124" t="s">
        <v>2691</v>
      </c>
      <c r="D43" s="125" t="s">
        <v>2685</v>
      </c>
      <c r="E43" s="125" t="s">
        <v>2729</v>
      </c>
      <c r="F43" s="124" t="s">
        <v>2191</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E93C3011-34CC-4A92-BA98-9DCF33F37C12}"/>
</file>

<file path=customXml/itemProps2.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3.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32</vt:i4>
      </vt:variant>
    </vt:vector>
  </HeadingPairs>
  <TitlesOfParts>
    <vt:vector size="32" baseType="lpstr">
      <vt:lpstr>Capa</vt:lpstr>
      <vt:lpstr>Lista</vt:lpstr>
      <vt:lpstr>Sheet1</vt:lpstr>
      <vt:lpstr>Sheet2</vt:lpstr>
      <vt:lpstr>Sheet5</vt:lpstr>
      <vt:lpstr>Sheet3</vt:lpstr>
      <vt:lpstr>Sheet4</vt:lpstr>
      <vt:lpstr>Tabelas</vt:lpstr>
      <vt:lpstr>Regras de Cruzamento</vt:lpstr>
      <vt:lpstr>Restrições de Universo</vt:lpstr>
      <vt:lpstr>Descrição Testes</vt:lpstr>
      <vt:lpstr>Individual</vt:lpstr>
      <vt:lpstr>Entity</vt:lpstr>
      <vt:lpstr>Party</vt:lpstr>
      <vt:lpstr>entity_economic_activity</vt:lpstr>
      <vt:lpstr>entity_contractual_mngt</vt:lpstr>
      <vt:lpstr>entity_contact</vt:lpstr>
      <vt:lpstr>individual_contact</vt:lpstr>
      <vt:lpstr>individual_contractual_mngt </vt:lpstr>
      <vt:lpstr>individual_economic_activity</vt:lpstr>
      <vt:lpstr>individual_negative_file</vt:lpstr>
      <vt:lpstr>entity_negative_file</vt:lpstr>
      <vt:lpstr>individual_citizenship</vt:lpstr>
      <vt:lpstr>individual_tax_residence_countr</vt:lpstr>
      <vt:lpstr>entity_tax_residence_country</vt:lpstr>
      <vt:lpstr>individual_identity_document</vt:lpstr>
      <vt:lpstr>entity_identity_document</vt:lpstr>
      <vt:lpstr>individual_segment</vt:lpstr>
      <vt:lpstr>entity_segment</vt:lpstr>
      <vt:lpstr>entity_financial_information</vt:lpstr>
      <vt:lpstr>individual_address</vt:lpstr>
      <vt:lpstr>entity_address</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Alexandre Dionisio Esteves</cp:lastModifiedBy>
  <cp:revision/>
  <dcterms:created xsi:type="dcterms:W3CDTF">2023-01-24T18:52:31Z</dcterms:created>
  <dcterms:modified xsi:type="dcterms:W3CDTF">2025-05-07T13:13:57Z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2024-01-18T10:55:55Z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e2119570-4aea-403d-bae8-e14e815fa2b6</vt:lpwstr>
  </property>
  <property fmtid="{D5CDD505-2E9C-101B-9397-08002B2CF9AE}" pid="12" name="MSIP_Label_3c41c091-3cbc-4dba-8b59-ce62f19500db_ContentBits">
    <vt:lpwstr>1</vt:lpwstr>
  </property>
</Properties>
</file>